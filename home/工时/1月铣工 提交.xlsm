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3"/>
  <mc:AlternateContent xmlns:mc="http://schemas.openxmlformats.org/markup-compatibility/2006">
    <mc:Choice Requires="x15">
      <x15ac:absPath xmlns:x15ac="http://schemas.microsoft.com/office/spreadsheetml/2010/11/ac" url="E:\陈玉洪\成本\2021\2021年1月成本核算\1月双流\"/>
    </mc:Choice>
  </mc:AlternateContent>
  <bookViews>
    <workbookView xWindow="0" yWindow="0" windowWidth="28800" windowHeight="12096"/>
  </bookViews>
  <sheets>
    <sheet name="数据源" sheetId="2" r:id="rId1"/>
    <sheet name="数据源 (整理)" sheetId="7" r:id="rId2"/>
    <sheet name="Sheet1" sheetId="8" r:id="rId3"/>
  </sheets>
  <externalReferences>
    <externalReference r:id="rId4"/>
    <externalReference r:id="rId5"/>
    <externalReference r:id="rId6"/>
    <externalReference r:id="rId7"/>
    <externalReference r:id="rId8"/>
    <externalReference r:id="rId9"/>
  </externalReferences>
  <definedNames>
    <definedName name="_xlnm._FilterDatabase" localSheetId="0" hidden="1">数据源!$A$1:$AA$2974</definedName>
    <definedName name="_xlnm._FilterDatabase" localSheetId="1" hidden="1">'数据源 (整理)'!$A$1:$AB$2971</definedName>
    <definedName name="新厂" localSheetId="1">#REF!</definedName>
    <definedName name="新厂">#REF!</definedName>
  </definedNames>
  <calcPr calcId="162913"/>
</workbook>
</file>

<file path=xl/calcChain.xml><?xml version="1.0" encoding="utf-8"?>
<calcChain xmlns="http://schemas.openxmlformats.org/spreadsheetml/2006/main">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1047" i="7"/>
  <c r="G1048" i="7"/>
  <c r="G1049" i="7"/>
  <c r="G1050" i="7"/>
  <c r="G1051" i="7"/>
  <c r="G1052" i="7"/>
  <c r="G1053" i="7"/>
  <c r="G1054" i="7"/>
  <c r="G1055" i="7"/>
  <c r="G1056" i="7"/>
  <c r="G1057" i="7"/>
  <c r="G1058" i="7"/>
  <c r="G1059" i="7"/>
  <c r="G1060" i="7"/>
  <c r="G1061" i="7"/>
  <c r="G1062" i="7"/>
  <c r="G1063" i="7"/>
  <c r="G1064" i="7"/>
  <c r="G1065" i="7"/>
  <c r="G1066" i="7"/>
  <c r="G1067" i="7"/>
  <c r="G1068" i="7"/>
  <c r="G1069" i="7"/>
  <c r="G1070" i="7"/>
  <c r="G1071" i="7"/>
  <c r="G1072" i="7"/>
  <c r="G1073" i="7"/>
  <c r="G1074" i="7"/>
  <c r="G1075" i="7"/>
  <c r="G1076" i="7"/>
  <c r="G1077" i="7"/>
  <c r="G1078" i="7"/>
  <c r="G1079" i="7"/>
  <c r="G1080" i="7"/>
  <c r="G1081" i="7"/>
  <c r="G1082" i="7"/>
  <c r="G1083" i="7"/>
  <c r="G1084" i="7"/>
  <c r="G1085" i="7"/>
  <c r="G1086" i="7"/>
  <c r="G1087" i="7"/>
  <c r="G1088" i="7"/>
  <c r="G1089" i="7"/>
  <c r="G1090" i="7"/>
  <c r="G1091" i="7"/>
  <c r="G1092" i="7"/>
  <c r="G1093" i="7"/>
  <c r="G1094" i="7"/>
  <c r="G1095" i="7"/>
  <c r="G1096" i="7"/>
  <c r="G1097" i="7"/>
  <c r="G1098" i="7"/>
  <c r="G1099" i="7"/>
  <c r="G1100" i="7"/>
  <c r="G1101" i="7"/>
  <c r="G1102" i="7"/>
  <c r="G1103" i="7"/>
  <c r="G1104" i="7"/>
  <c r="G1105" i="7"/>
  <c r="G1106" i="7"/>
  <c r="G1107" i="7"/>
  <c r="G1108" i="7"/>
  <c r="G1109" i="7"/>
  <c r="G1110" i="7"/>
  <c r="G1111" i="7"/>
  <c r="G1112" i="7"/>
  <c r="G1113" i="7"/>
  <c r="G1114" i="7"/>
  <c r="G1115" i="7"/>
  <c r="G1116" i="7"/>
  <c r="G1117" i="7"/>
  <c r="G1118" i="7"/>
  <c r="G1119" i="7"/>
  <c r="G1120" i="7"/>
  <c r="G1121" i="7"/>
  <c r="G1122" i="7"/>
  <c r="G1123" i="7"/>
  <c r="G1124" i="7"/>
  <c r="G1125" i="7"/>
  <c r="G1126" i="7"/>
  <c r="G1127" i="7"/>
  <c r="G1128" i="7"/>
  <c r="G1129" i="7"/>
  <c r="G1130" i="7"/>
  <c r="G1131" i="7"/>
  <c r="G1132" i="7"/>
  <c r="G1133" i="7"/>
  <c r="G1134" i="7"/>
  <c r="G1135" i="7"/>
  <c r="G1136" i="7"/>
  <c r="G1137" i="7"/>
  <c r="G1138" i="7"/>
  <c r="G1139" i="7"/>
  <c r="G1140" i="7"/>
  <c r="G1141" i="7"/>
  <c r="G1142" i="7"/>
  <c r="G1143" i="7"/>
  <c r="G1144" i="7"/>
  <c r="G1145" i="7"/>
  <c r="G1146" i="7"/>
  <c r="G1147" i="7"/>
  <c r="G1148" i="7"/>
  <c r="G1149" i="7"/>
  <c r="G1150" i="7"/>
  <c r="G1151" i="7"/>
  <c r="G1152" i="7"/>
  <c r="G1153" i="7"/>
  <c r="G1154" i="7"/>
  <c r="G1155" i="7"/>
  <c r="G1156" i="7"/>
  <c r="G1157" i="7"/>
  <c r="G1158" i="7"/>
  <c r="G1159" i="7"/>
  <c r="G1160" i="7"/>
  <c r="G1161" i="7"/>
  <c r="G1162" i="7"/>
  <c r="G1163" i="7"/>
  <c r="G1164" i="7"/>
  <c r="G1165" i="7"/>
  <c r="G1166" i="7"/>
  <c r="G1167" i="7"/>
  <c r="G1168" i="7"/>
  <c r="G1169" i="7"/>
  <c r="G1170" i="7"/>
  <c r="G1171" i="7"/>
  <c r="G1172" i="7"/>
  <c r="G1173" i="7"/>
  <c r="G1174" i="7"/>
  <c r="G1175" i="7"/>
  <c r="G1176" i="7"/>
  <c r="G1177" i="7"/>
  <c r="G1178" i="7"/>
  <c r="G1179" i="7"/>
  <c r="G1180" i="7"/>
  <c r="G1181" i="7"/>
  <c r="G1182" i="7"/>
  <c r="G1183" i="7"/>
  <c r="G1184" i="7"/>
  <c r="G1185" i="7"/>
  <c r="G1186" i="7"/>
  <c r="G1187" i="7"/>
  <c r="G1188" i="7"/>
  <c r="G1189" i="7"/>
  <c r="G1190" i="7"/>
  <c r="G1191" i="7"/>
  <c r="G1192" i="7"/>
  <c r="G1193" i="7"/>
  <c r="G1194" i="7"/>
  <c r="G1195" i="7"/>
  <c r="G1196" i="7"/>
  <c r="G1197" i="7"/>
  <c r="G1198" i="7"/>
  <c r="G1199" i="7"/>
  <c r="G1200" i="7"/>
  <c r="G1201" i="7"/>
  <c r="G1202" i="7"/>
  <c r="G1203" i="7"/>
  <c r="G1204" i="7"/>
  <c r="G1205" i="7"/>
  <c r="G1206" i="7"/>
  <c r="G1207" i="7"/>
  <c r="G1208" i="7"/>
  <c r="G1209" i="7"/>
  <c r="G1210" i="7"/>
  <c r="G1211" i="7"/>
  <c r="G1212" i="7"/>
  <c r="G1213" i="7"/>
  <c r="G1214" i="7"/>
  <c r="G1215" i="7"/>
  <c r="G1216" i="7"/>
  <c r="G1217" i="7"/>
  <c r="G1218" i="7"/>
  <c r="G1219" i="7"/>
  <c r="G1220" i="7"/>
  <c r="G1221" i="7"/>
  <c r="G1222" i="7"/>
  <c r="G1223" i="7"/>
  <c r="G1224" i="7"/>
  <c r="G1225" i="7"/>
  <c r="G1226" i="7"/>
  <c r="G1227" i="7"/>
  <c r="G1228" i="7"/>
  <c r="G1229" i="7"/>
  <c r="G1230" i="7"/>
  <c r="G1231" i="7"/>
  <c r="G1232" i="7"/>
  <c r="G1233" i="7"/>
  <c r="G1234" i="7"/>
  <c r="G1235" i="7"/>
  <c r="G1236" i="7"/>
  <c r="G1237" i="7"/>
  <c r="G1238" i="7"/>
  <c r="G1239" i="7"/>
  <c r="G1240" i="7"/>
  <c r="G1241" i="7"/>
  <c r="G1242" i="7"/>
  <c r="G1243" i="7"/>
  <c r="G1244" i="7"/>
  <c r="G1245" i="7"/>
  <c r="G1246" i="7"/>
  <c r="G1247" i="7"/>
  <c r="G1248" i="7"/>
  <c r="G1249" i="7"/>
  <c r="G1250" i="7"/>
  <c r="G1251" i="7"/>
  <c r="G1252" i="7"/>
  <c r="G1253" i="7"/>
  <c r="G1254" i="7"/>
  <c r="G1255" i="7"/>
  <c r="G1256" i="7"/>
  <c r="G1257" i="7"/>
  <c r="G1258" i="7"/>
  <c r="G1259" i="7"/>
  <c r="G1260" i="7"/>
  <c r="G1261" i="7"/>
  <c r="G1262" i="7"/>
  <c r="G1263" i="7"/>
  <c r="G1264" i="7"/>
  <c r="G1265" i="7"/>
  <c r="G1266" i="7"/>
  <c r="G1267" i="7"/>
  <c r="G1268" i="7"/>
  <c r="G1269" i="7"/>
  <c r="G1270" i="7"/>
  <c r="G1271" i="7"/>
  <c r="G1272" i="7"/>
  <c r="G1273" i="7"/>
  <c r="G1274" i="7"/>
  <c r="G1275" i="7"/>
  <c r="G1276" i="7"/>
  <c r="G1277" i="7"/>
  <c r="G1278" i="7"/>
  <c r="G1279" i="7"/>
  <c r="G1280" i="7"/>
  <c r="G1281" i="7"/>
  <c r="G1282" i="7"/>
  <c r="G1283" i="7"/>
  <c r="G1284" i="7"/>
  <c r="G1285" i="7"/>
  <c r="G1286" i="7"/>
  <c r="G1287" i="7"/>
  <c r="G1288" i="7"/>
  <c r="G1289" i="7"/>
  <c r="G1290" i="7"/>
  <c r="G1291" i="7"/>
  <c r="G1292" i="7"/>
  <c r="G1293" i="7"/>
  <c r="G1294" i="7"/>
  <c r="G1295" i="7"/>
  <c r="G1296" i="7"/>
  <c r="G1297" i="7"/>
  <c r="G1298" i="7"/>
  <c r="G1299" i="7"/>
  <c r="G1300" i="7"/>
  <c r="G1301" i="7"/>
  <c r="G1302" i="7"/>
  <c r="G1303" i="7"/>
  <c r="G1304" i="7"/>
  <c r="G1305" i="7"/>
  <c r="G1306" i="7"/>
  <c r="G1307" i="7"/>
  <c r="G1308" i="7"/>
  <c r="G1309" i="7"/>
  <c r="G1310" i="7"/>
  <c r="G1311" i="7"/>
  <c r="G1312" i="7"/>
  <c r="G1313" i="7"/>
  <c r="G1314" i="7"/>
  <c r="G1315" i="7"/>
  <c r="G1316" i="7"/>
  <c r="G1317" i="7"/>
  <c r="G1318" i="7"/>
  <c r="G1319" i="7"/>
  <c r="G1320" i="7"/>
  <c r="G1321" i="7"/>
  <c r="G1322" i="7"/>
  <c r="G1323" i="7"/>
  <c r="G1324" i="7"/>
  <c r="G1325" i="7"/>
  <c r="G1326" i="7"/>
  <c r="G1327" i="7"/>
  <c r="G1328" i="7"/>
  <c r="G1329" i="7"/>
  <c r="G1330" i="7"/>
  <c r="G1331" i="7"/>
  <c r="G1332" i="7"/>
  <c r="G1333" i="7"/>
  <c r="G1334" i="7"/>
  <c r="G1335" i="7"/>
  <c r="G1336" i="7"/>
  <c r="G1337" i="7"/>
  <c r="G1338" i="7"/>
  <c r="G1339" i="7"/>
  <c r="G1340" i="7"/>
  <c r="G1341" i="7"/>
  <c r="G1342" i="7"/>
  <c r="G1343" i="7"/>
  <c r="G1344" i="7"/>
  <c r="G1345" i="7"/>
  <c r="G1346" i="7"/>
  <c r="G1347" i="7"/>
  <c r="G1348" i="7"/>
  <c r="G1349" i="7"/>
  <c r="G1350" i="7"/>
  <c r="G1351" i="7"/>
  <c r="G1352" i="7"/>
  <c r="G1353" i="7"/>
  <c r="G1354" i="7"/>
  <c r="G1355" i="7"/>
  <c r="G1356" i="7"/>
  <c r="G1357" i="7"/>
  <c r="G1358" i="7"/>
  <c r="G1359" i="7"/>
  <c r="G1360" i="7"/>
  <c r="G1361" i="7"/>
  <c r="G1362" i="7"/>
  <c r="G1363" i="7"/>
  <c r="G1364" i="7"/>
  <c r="G1365" i="7"/>
  <c r="G1366" i="7"/>
  <c r="G1367" i="7"/>
  <c r="G1368" i="7"/>
  <c r="G1369" i="7"/>
  <c r="G1370" i="7"/>
  <c r="G1371" i="7"/>
  <c r="G1372" i="7"/>
  <c r="G1373" i="7"/>
  <c r="G1374" i="7"/>
  <c r="G1375" i="7"/>
  <c r="G1376" i="7"/>
  <c r="G1377" i="7"/>
  <c r="G1378" i="7"/>
  <c r="G1379" i="7"/>
  <c r="G1380" i="7"/>
  <c r="G1381" i="7"/>
  <c r="G1382" i="7"/>
  <c r="G1383" i="7"/>
  <c r="G1384" i="7"/>
  <c r="G1385" i="7"/>
  <c r="G1386" i="7"/>
  <c r="G1387" i="7"/>
  <c r="G1388" i="7"/>
  <c r="G1389" i="7"/>
  <c r="G1390" i="7"/>
  <c r="G1391" i="7"/>
  <c r="G1392" i="7"/>
  <c r="G1393" i="7"/>
  <c r="G1394" i="7"/>
  <c r="G1395" i="7"/>
  <c r="G1396" i="7"/>
  <c r="G1397" i="7"/>
  <c r="G1398" i="7"/>
  <c r="G1399" i="7"/>
  <c r="G1400" i="7"/>
  <c r="G1401" i="7"/>
  <c r="G1402" i="7"/>
  <c r="G1403" i="7"/>
  <c r="G1404" i="7"/>
  <c r="G1405" i="7"/>
  <c r="G1406" i="7"/>
  <c r="G1407" i="7"/>
  <c r="G1408" i="7"/>
  <c r="G1409" i="7"/>
  <c r="G1410" i="7"/>
  <c r="G1411" i="7"/>
  <c r="G1412" i="7"/>
  <c r="G1413" i="7"/>
  <c r="G1414" i="7"/>
  <c r="G1415" i="7"/>
  <c r="G1416" i="7"/>
  <c r="G1417" i="7"/>
  <c r="G1418" i="7"/>
  <c r="G1419" i="7"/>
  <c r="G1420" i="7"/>
  <c r="G1421" i="7"/>
  <c r="G1422" i="7"/>
  <c r="G1423" i="7"/>
  <c r="G1424" i="7"/>
  <c r="G1425" i="7"/>
  <c r="G1426" i="7"/>
  <c r="G1427" i="7"/>
  <c r="G1428" i="7"/>
  <c r="G1429" i="7"/>
  <c r="G1430" i="7"/>
  <c r="G1431" i="7"/>
  <c r="G1432" i="7"/>
  <c r="G1433" i="7"/>
  <c r="G1434" i="7"/>
  <c r="G1435" i="7"/>
  <c r="G1436" i="7"/>
  <c r="G1437" i="7"/>
  <c r="G1438" i="7"/>
  <c r="G1439" i="7"/>
  <c r="G1440" i="7"/>
  <c r="G1441" i="7"/>
  <c r="G1442" i="7"/>
  <c r="G1443" i="7"/>
  <c r="G1444" i="7"/>
  <c r="G1445" i="7"/>
  <c r="G1446" i="7"/>
  <c r="G1447" i="7"/>
  <c r="G1448" i="7"/>
  <c r="G1449" i="7"/>
  <c r="G1450" i="7"/>
  <c r="G1451" i="7"/>
  <c r="G1452" i="7"/>
  <c r="G1453" i="7"/>
  <c r="G1454" i="7"/>
  <c r="G1455" i="7"/>
  <c r="G1456" i="7"/>
  <c r="G1457" i="7"/>
  <c r="G1458" i="7"/>
  <c r="G1459" i="7"/>
  <c r="G1460" i="7"/>
  <c r="G1461" i="7"/>
  <c r="G1462" i="7"/>
  <c r="G1463" i="7"/>
  <c r="G1464" i="7"/>
  <c r="G1465" i="7"/>
  <c r="G1466" i="7"/>
  <c r="G1467" i="7"/>
  <c r="G1468" i="7"/>
  <c r="G1469" i="7"/>
  <c r="G1470" i="7"/>
  <c r="G1471" i="7"/>
  <c r="G1472" i="7"/>
  <c r="G1473" i="7"/>
  <c r="G1474" i="7"/>
  <c r="G1475" i="7"/>
  <c r="G1476" i="7"/>
  <c r="G1477" i="7"/>
  <c r="G1478" i="7"/>
  <c r="G1479" i="7"/>
  <c r="G1480" i="7"/>
  <c r="G1481" i="7"/>
  <c r="G1482" i="7"/>
  <c r="G1483" i="7"/>
  <c r="G1484" i="7"/>
  <c r="G1485" i="7"/>
  <c r="G1486" i="7"/>
  <c r="G1487" i="7"/>
  <c r="G1488" i="7"/>
  <c r="G1489" i="7"/>
  <c r="G1490" i="7"/>
  <c r="G1491" i="7"/>
  <c r="G1492" i="7"/>
  <c r="G1493" i="7"/>
  <c r="G1494" i="7"/>
  <c r="G1495" i="7"/>
  <c r="G1496" i="7"/>
  <c r="G1497" i="7"/>
  <c r="G1498" i="7"/>
  <c r="G1499" i="7"/>
  <c r="G1500" i="7"/>
  <c r="G1501" i="7"/>
  <c r="G1502" i="7"/>
  <c r="G1503" i="7"/>
  <c r="G1504" i="7"/>
  <c r="G1505" i="7"/>
  <c r="G1506" i="7"/>
  <c r="G1507" i="7"/>
  <c r="G1508" i="7"/>
  <c r="G1509" i="7"/>
  <c r="G1510" i="7"/>
  <c r="G1511" i="7"/>
  <c r="G1512" i="7"/>
  <c r="G1513" i="7"/>
  <c r="G1514" i="7"/>
  <c r="G1515" i="7"/>
  <c r="G1516" i="7"/>
  <c r="G1517" i="7"/>
  <c r="G1518" i="7"/>
  <c r="G1519" i="7"/>
  <c r="G1520" i="7"/>
  <c r="G1521" i="7"/>
  <c r="G1522" i="7"/>
  <c r="G1523" i="7"/>
  <c r="G1524" i="7"/>
  <c r="G1525" i="7"/>
  <c r="G1526" i="7"/>
  <c r="G1527" i="7"/>
  <c r="G1528" i="7"/>
  <c r="G1529" i="7"/>
  <c r="G1530" i="7"/>
  <c r="G1531" i="7"/>
  <c r="G1532" i="7"/>
  <c r="G1533" i="7"/>
  <c r="G1534" i="7"/>
  <c r="G1535" i="7"/>
  <c r="G1536" i="7"/>
  <c r="G1537" i="7"/>
  <c r="G1538" i="7"/>
  <c r="G1539" i="7"/>
  <c r="G1540" i="7"/>
  <c r="G1541" i="7"/>
  <c r="G1542" i="7"/>
  <c r="G1543" i="7"/>
  <c r="G1544" i="7"/>
  <c r="G1545" i="7"/>
  <c r="G1546" i="7"/>
  <c r="G1547" i="7"/>
  <c r="G1548" i="7"/>
  <c r="G1549" i="7"/>
  <c r="G1550" i="7"/>
  <c r="G1551" i="7"/>
  <c r="G1552" i="7"/>
  <c r="G1553" i="7"/>
  <c r="G1554" i="7"/>
  <c r="G1555" i="7"/>
  <c r="G1556" i="7"/>
  <c r="G1557" i="7"/>
  <c r="G1558" i="7"/>
  <c r="G1559" i="7"/>
  <c r="G1560" i="7"/>
  <c r="G1561" i="7"/>
  <c r="G1562" i="7"/>
  <c r="G1563" i="7"/>
  <c r="G1564" i="7"/>
  <c r="G1565" i="7"/>
  <c r="G1566" i="7"/>
  <c r="G1567" i="7"/>
  <c r="G1568" i="7"/>
  <c r="G1569" i="7"/>
  <c r="G1570" i="7"/>
  <c r="G1571" i="7"/>
  <c r="G1572" i="7"/>
  <c r="G1573" i="7"/>
  <c r="G1574" i="7"/>
  <c r="G1575" i="7"/>
  <c r="G1576" i="7"/>
  <c r="G1577" i="7"/>
  <c r="G1578" i="7"/>
  <c r="G1579" i="7"/>
  <c r="G1580" i="7"/>
  <c r="G1581" i="7"/>
  <c r="G1582" i="7"/>
  <c r="G1583" i="7"/>
  <c r="G1584" i="7"/>
  <c r="G1585" i="7"/>
  <c r="G1586" i="7"/>
  <c r="G1587" i="7"/>
  <c r="G1588" i="7"/>
  <c r="G1589" i="7"/>
  <c r="G1590" i="7"/>
  <c r="G1591" i="7"/>
  <c r="G1592" i="7"/>
  <c r="G1593" i="7"/>
  <c r="G1594" i="7"/>
  <c r="G1595" i="7"/>
  <c r="G1596" i="7"/>
  <c r="G1597" i="7"/>
  <c r="G1598" i="7"/>
  <c r="G1599" i="7"/>
  <c r="G1600" i="7"/>
  <c r="G1601" i="7"/>
  <c r="G1602" i="7"/>
  <c r="G1603" i="7"/>
  <c r="G1604" i="7"/>
  <c r="G1605" i="7"/>
  <c r="G1606" i="7"/>
  <c r="G1607" i="7"/>
  <c r="G1608" i="7"/>
  <c r="G1609" i="7"/>
  <c r="G1610" i="7"/>
  <c r="G1611" i="7"/>
  <c r="G1612" i="7"/>
  <c r="G1613" i="7"/>
  <c r="G1614" i="7"/>
  <c r="G1615" i="7"/>
  <c r="G1616" i="7"/>
  <c r="G1617" i="7"/>
  <c r="G1618" i="7"/>
  <c r="G1619" i="7"/>
  <c r="G1620" i="7"/>
  <c r="G1621" i="7"/>
  <c r="G1622" i="7"/>
  <c r="G1623" i="7"/>
  <c r="G1624" i="7"/>
  <c r="G1625" i="7"/>
  <c r="G1626" i="7"/>
  <c r="G1627" i="7"/>
  <c r="G1628" i="7"/>
  <c r="G1629" i="7"/>
  <c r="G1630" i="7"/>
  <c r="G1631" i="7"/>
  <c r="G1632" i="7"/>
  <c r="G1633" i="7"/>
  <c r="G1634" i="7"/>
  <c r="G1635" i="7"/>
  <c r="G1636" i="7"/>
  <c r="G1637" i="7"/>
  <c r="G1638" i="7"/>
  <c r="G1639" i="7"/>
  <c r="G1640" i="7"/>
  <c r="G1641" i="7"/>
  <c r="G1642" i="7"/>
  <c r="G1643" i="7"/>
  <c r="G1644" i="7"/>
  <c r="G1645" i="7"/>
  <c r="G1646" i="7"/>
  <c r="G1647" i="7"/>
  <c r="G1648" i="7"/>
  <c r="G1649" i="7"/>
  <c r="G1650" i="7"/>
  <c r="G1651" i="7"/>
  <c r="G1652" i="7"/>
  <c r="G1653" i="7"/>
  <c r="G1654" i="7"/>
  <c r="G1655" i="7"/>
  <c r="G1656" i="7"/>
  <c r="G1657" i="7"/>
  <c r="G1658" i="7"/>
  <c r="G1659" i="7"/>
  <c r="G1660" i="7"/>
  <c r="G1661" i="7"/>
  <c r="G1662" i="7"/>
  <c r="G1663" i="7"/>
  <c r="G1664" i="7"/>
  <c r="G1665" i="7"/>
  <c r="G1666" i="7"/>
  <c r="G1667" i="7"/>
  <c r="G1668" i="7"/>
  <c r="G1669" i="7"/>
  <c r="G1670" i="7"/>
  <c r="G1671" i="7"/>
  <c r="G1672" i="7"/>
  <c r="G1673" i="7"/>
  <c r="G1674" i="7"/>
  <c r="G1675" i="7"/>
  <c r="G1676" i="7"/>
  <c r="G1677" i="7"/>
  <c r="G1678" i="7"/>
  <c r="G1679" i="7"/>
  <c r="G1680" i="7"/>
  <c r="G1681" i="7"/>
  <c r="G1682" i="7"/>
  <c r="G1683" i="7"/>
  <c r="G1684" i="7"/>
  <c r="G1685" i="7"/>
  <c r="G1686" i="7"/>
  <c r="G1687" i="7"/>
  <c r="G1688" i="7"/>
  <c r="G1689" i="7"/>
  <c r="G1690" i="7"/>
  <c r="G1691" i="7"/>
  <c r="G1692" i="7"/>
  <c r="G1693" i="7"/>
  <c r="G1694" i="7"/>
  <c r="G1695" i="7"/>
  <c r="G1696" i="7"/>
  <c r="G1697" i="7"/>
  <c r="G1698" i="7"/>
  <c r="G1699" i="7"/>
  <c r="G1700" i="7"/>
  <c r="G1701" i="7"/>
  <c r="G1702" i="7"/>
  <c r="G1703" i="7"/>
  <c r="G1704" i="7"/>
  <c r="G1705" i="7"/>
  <c r="G1706" i="7"/>
  <c r="G1707" i="7"/>
  <c r="G1708" i="7"/>
  <c r="G1709" i="7"/>
  <c r="G1710" i="7"/>
  <c r="G1711" i="7"/>
  <c r="G1712" i="7"/>
  <c r="G1713" i="7"/>
  <c r="G1714" i="7"/>
  <c r="G1715" i="7"/>
  <c r="G1716" i="7"/>
  <c r="G1717" i="7"/>
  <c r="G1718" i="7"/>
  <c r="G1719" i="7"/>
  <c r="G1720" i="7"/>
  <c r="G1721" i="7"/>
  <c r="G1722" i="7"/>
  <c r="G1723" i="7"/>
  <c r="G1724" i="7"/>
  <c r="G1725" i="7"/>
  <c r="G1726" i="7"/>
  <c r="G1727" i="7"/>
  <c r="G1728" i="7"/>
  <c r="G1729" i="7"/>
  <c r="G1730" i="7"/>
  <c r="G1731" i="7"/>
  <c r="G1732" i="7"/>
  <c r="G1733" i="7"/>
  <c r="G1734" i="7"/>
  <c r="G1735" i="7"/>
  <c r="G1736" i="7"/>
  <c r="G1737" i="7"/>
  <c r="G1738" i="7"/>
  <c r="G1739" i="7"/>
  <c r="G1740" i="7"/>
  <c r="G1741" i="7"/>
  <c r="G1742" i="7"/>
  <c r="G1743" i="7"/>
  <c r="G1744" i="7"/>
  <c r="G1745" i="7"/>
  <c r="G1746" i="7"/>
  <c r="G1747" i="7"/>
  <c r="G1748" i="7"/>
  <c r="G1749" i="7"/>
  <c r="G1750" i="7"/>
  <c r="G1751" i="7"/>
  <c r="G1752" i="7"/>
  <c r="G1753" i="7"/>
  <c r="G1754" i="7"/>
  <c r="G1755" i="7"/>
  <c r="G1756" i="7"/>
  <c r="G1757" i="7"/>
  <c r="G1758" i="7"/>
  <c r="G1759" i="7"/>
  <c r="G1760" i="7"/>
  <c r="G1761" i="7"/>
  <c r="G1762" i="7"/>
  <c r="G1763" i="7"/>
  <c r="G1764" i="7"/>
  <c r="G1765" i="7"/>
  <c r="G1766" i="7"/>
  <c r="G1767" i="7"/>
  <c r="G1768" i="7"/>
  <c r="G1769" i="7"/>
  <c r="G1770" i="7"/>
  <c r="G1771" i="7"/>
  <c r="G1772" i="7"/>
  <c r="G1773" i="7"/>
  <c r="G1774" i="7"/>
  <c r="G1775" i="7"/>
  <c r="G1776" i="7"/>
  <c r="G1777" i="7"/>
  <c r="G1778" i="7"/>
  <c r="G1779" i="7"/>
  <c r="G1780" i="7"/>
  <c r="G1781" i="7"/>
  <c r="G1782" i="7"/>
  <c r="G1783" i="7"/>
  <c r="G1784" i="7"/>
  <c r="G1785" i="7"/>
  <c r="G1786" i="7"/>
  <c r="G1787" i="7"/>
  <c r="G1788" i="7"/>
  <c r="G1789" i="7"/>
  <c r="G1790" i="7"/>
  <c r="G1791" i="7"/>
  <c r="G1792" i="7"/>
  <c r="G1793" i="7"/>
  <c r="G1794" i="7"/>
  <c r="G1795" i="7"/>
  <c r="G1796" i="7"/>
  <c r="G1797" i="7"/>
  <c r="G1798" i="7"/>
  <c r="G1799" i="7"/>
  <c r="G1800" i="7"/>
  <c r="G1801" i="7"/>
  <c r="G1802" i="7"/>
  <c r="G1803" i="7"/>
  <c r="G1804" i="7"/>
  <c r="G1805" i="7"/>
  <c r="G1806" i="7"/>
  <c r="G1807" i="7"/>
  <c r="G1808" i="7"/>
  <c r="G1809" i="7"/>
  <c r="G1810" i="7"/>
  <c r="G1811" i="7"/>
  <c r="G1812" i="7"/>
  <c r="G1813" i="7"/>
  <c r="G1814" i="7"/>
  <c r="G1815" i="7"/>
  <c r="G1816" i="7"/>
  <c r="G1817" i="7"/>
  <c r="G1818" i="7"/>
  <c r="G1819" i="7"/>
  <c r="G1820" i="7"/>
  <c r="G1821" i="7"/>
  <c r="G1822" i="7"/>
  <c r="G1823" i="7"/>
  <c r="G1824" i="7"/>
  <c r="G1825" i="7"/>
  <c r="G1826" i="7"/>
  <c r="G1827" i="7"/>
  <c r="G1828" i="7"/>
  <c r="G1829" i="7"/>
  <c r="G1830" i="7"/>
  <c r="G1831" i="7"/>
  <c r="G1832" i="7"/>
  <c r="G1833" i="7"/>
  <c r="G1834" i="7"/>
  <c r="G1835" i="7"/>
  <c r="G1836" i="7"/>
  <c r="G1837" i="7"/>
  <c r="G1838" i="7"/>
  <c r="G1839" i="7"/>
  <c r="G1840" i="7"/>
  <c r="G1841" i="7"/>
  <c r="G1842" i="7"/>
  <c r="G1843" i="7"/>
  <c r="G1844" i="7"/>
  <c r="G1845" i="7"/>
  <c r="G1846" i="7"/>
  <c r="G1847" i="7"/>
  <c r="G1848" i="7"/>
  <c r="G1849" i="7"/>
  <c r="G1850" i="7"/>
  <c r="G1851" i="7"/>
  <c r="G1852" i="7"/>
  <c r="G1853" i="7"/>
  <c r="G1854" i="7"/>
  <c r="G1855" i="7"/>
  <c r="G1856" i="7"/>
  <c r="G1857" i="7"/>
  <c r="G1858" i="7"/>
  <c r="G1859" i="7"/>
  <c r="G1860" i="7"/>
  <c r="G1861" i="7"/>
  <c r="G1862" i="7"/>
  <c r="G1863" i="7"/>
  <c r="G1864" i="7"/>
  <c r="G1865" i="7"/>
  <c r="G1866" i="7"/>
  <c r="G1867" i="7"/>
  <c r="G1868" i="7"/>
  <c r="G1869" i="7"/>
  <c r="G1870" i="7"/>
  <c r="G1871" i="7"/>
  <c r="G1872" i="7"/>
  <c r="G1873" i="7"/>
  <c r="G1874" i="7"/>
  <c r="G1875" i="7"/>
  <c r="G1876" i="7"/>
  <c r="G1877" i="7"/>
  <c r="G1878" i="7"/>
  <c r="G1879" i="7"/>
  <c r="G1880" i="7"/>
  <c r="G1881" i="7"/>
  <c r="G1882" i="7"/>
  <c r="G1883" i="7"/>
  <c r="G1884" i="7"/>
  <c r="G1885" i="7"/>
  <c r="G1886" i="7"/>
  <c r="G1887" i="7"/>
  <c r="G1888" i="7"/>
  <c r="G1889" i="7"/>
  <c r="G1890" i="7"/>
  <c r="G1891" i="7"/>
  <c r="G1892" i="7"/>
  <c r="G1893" i="7"/>
  <c r="G1894" i="7"/>
  <c r="G1895" i="7"/>
  <c r="G1896" i="7"/>
  <c r="G1897" i="7"/>
  <c r="G1898" i="7"/>
  <c r="G1899" i="7"/>
  <c r="G1900" i="7"/>
  <c r="G1901" i="7"/>
  <c r="G1902" i="7"/>
  <c r="G1903" i="7"/>
  <c r="G1904" i="7"/>
  <c r="G1905" i="7"/>
  <c r="G1906" i="7"/>
  <c r="G1907" i="7"/>
  <c r="G1908" i="7"/>
  <c r="G1909" i="7"/>
  <c r="G1910" i="7"/>
  <c r="G1911" i="7"/>
  <c r="G1912" i="7"/>
  <c r="G1913" i="7"/>
  <c r="G1914" i="7"/>
  <c r="G1915" i="7"/>
  <c r="G1916" i="7"/>
  <c r="G1917" i="7"/>
  <c r="G1918" i="7"/>
  <c r="G1919" i="7"/>
  <c r="G1920" i="7"/>
  <c r="G1921" i="7"/>
  <c r="G1922" i="7"/>
  <c r="G1923" i="7"/>
  <c r="G1924" i="7"/>
  <c r="G1925" i="7"/>
  <c r="G1926" i="7"/>
  <c r="G1927" i="7"/>
  <c r="G1928" i="7"/>
  <c r="G1929" i="7"/>
  <c r="G1930" i="7"/>
  <c r="G1931" i="7"/>
  <c r="G1932" i="7"/>
  <c r="G1933" i="7"/>
  <c r="G1934" i="7"/>
  <c r="G1935" i="7"/>
  <c r="G1936" i="7"/>
  <c r="G1937" i="7"/>
  <c r="G1938" i="7"/>
  <c r="G1939" i="7"/>
  <c r="G1940" i="7"/>
  <c r="G1941" i="7"/>
  <c r="G1942" i="7"/>
  <c r="G1943" i="7"/>
  <c r="G1944" i="7"/>
  <c r="G1945" i="7"/>
  <c r="G1946" i="7"/>
  <c r="G1947" i="7"/>
  <c r="G1948" i="7"/>
  <c r="G1949" i="7"/>
  <c r="G1950" i="7"/>
  <c r="G1951" i="7"/>
  <c r="G1952" i="7"/>
  <c r="G1953" i="7"/>
  <c r="G1954" i="7"/>
  <c r="G1955" i="7"/>
  <c r="G1956" i="7"/>
  <c r="G1957" i="7"/>
  <c r="G1958" i="7"/>
  <c r="G1959" i="7"/>
  <c r="G1960" i="7"/>
  <c r="G1961" i="7"/>
  <c r="G1962" i="7"/>
  <c r="G1963" i="7"/>
  <c r="G1964" i="7"/>
  <c r="G1965" i="7"/>
  <c r="G1966" i="7"/>
  <c r="G1967" i="7"/>
  <c r="G1968" i="7"/>
  <c r="G1969" i="7"/>
  <c r="G1970" i="7"/>
  <c r="G1971" i="7"/>
  <c r="G1972" i="7"/>
  <c r="G1973" i="7"/>
  <c r="G1974" i="7"/>
  <c r="G1975" i="7"/>
  <c r="G1976" i="7"/>
  <c r="G1977" i="7"/>
  <c r="G1978" i="7"/>
  <c r="G1979" i="7"/>
  <c r="G1980" i="7"/>
  <c r="G1981" i="7"/>
  <c r="G1982" i="7"/>
  <c r="G1983" i="7"/>
  <c r="G1984" i="7"/>
  <c r="G1985" i="7"/>
  <c r="G1986" i="7"/>
  <c r="G1987" i="7"/>
  <c r="G1988" i="7"/>
  <c r="G1989" i="7"/>
  <c r="G1990" i="7"/>
  <c r="G1991" i="7"/>
  <c r="G1992" i="7"/>
  <c r="G1993" i="7"/>
  <c r="G1994" i="7"/>
  <c r="G1995" i="7"/>
  <c r="G1996" i="7"/>
  <c r="G1997" i="7"/>
  <c r="G1998" i="7"/>
  <c r="G1999" i="7"/>
  <c r="G2000" i="7"/>
  <c r="G2001" i="7"/>
  <c r="G2002" i="7"/>
  <c r="G2003" i="7"/>
  <c r="G2004" i="7"/>
  <c r="G2005" i="7"/>
  <c r="G2006" i="7"/>
  <c r="G2007" i="7"/>
  <c r="G2008" i="7"/>
  <c r="G2009" i="7"/>
  <c r="G2010" i="7"/>
  <c r="G2011" i="7"/>
  <c r="G2012" i="7"/>
  <c r="G2013" i="7"/>
  <c r="G2014" i="7"/>
  <c r="G2015" i="7"/>
  <c r="G2016" i="7"/>
  <c r="G2017" i="7"/>
  <c r="G2018" i="7"/>
  <c r="G2019" i="7"/>
  <c r="G2020" i="7"/>
  <c r="G2021" i="7"/>
  <c r="G2022" i="7"/>
  <c r="G2023" i="7"/>
  <c r="G2024" i="7"/>
  <c r="G2025" i="7"/>
  <c r="G2026" i="7"/>
  <c r="G2027" i="7"/>
  <c r="G2028" i="7"/>
  <c r="G2029" i="7"/>
  <c r="G2030" i="7"/>
  <c r="G2031" i="7"/>
  <c r="G2032" i="7"/>
  <c r="G2033" i="7"/>
  <c r="G2034" i="7"/>
  <c r="G2035" i="7"/>
  <c r="G2036" i="7"/>
  <c r="G2037" i="7"/>
  <c r="G2038" i="7"/>
  <c r="G2039" i="7"/>
  <c r="G2040" i="7"/>
  <c r="G2041" i="7"/>
  <c r="G2042" i="7"/>
  <c r="G2043" i="7"/>
  <c r="G2044" i="7"/>
  <c r="G2045" i="7"/>
  <c r="G2046" i="7"/>
  <c r="G2047" i="7"/>
  <c r="G2048" i="7"/>
  <c r="G2049" i="7"/>
  <c r="G2050" i="7"/>
  <c r="G2051" i="7"/>
  <c r="G2052" i="7"/>
  <c r="G2053" i="7"/>
  <c r="G2054" i="7"/>
  <c r="G2055" i="7"/>
  <c r="G2056" i="7"/>
  <c r="G2057" i="7"/>
  <c r="G2058" i="7"/>
  <c r="G2059" i="7"/>
  <c r="G2060" i="7"/>
  <c r="G2061" i="7"/>
  <c r="G2062" i="7"/>
  <c r="G2063" i="7"/>
  <c r="G2064" i="7"/>
  <c r="G2065" i="7"/>
  <c r="G2066" i="7"/>
  <c r="G2067" i="7"/>
  <c r="G2068" i="7"/>
  <c r="G2069" i="7"/>
  <c r="G2070" i="7"/>
  <c r="G2071" i="7"/>
  <c r="G2072" i="7"/>
  <c r="G2073" i="7"/>
  <c r="G2074" i="7"/>
  <c r="G2075" i="7"/>
  <c r="G2076" i="7"/>
  <c r="G2077" i="7"/>
  <c r="G2078" i="7"/>
  <c r="G2079" i="7"/>
  <c r="G2080" i="7"/>
  <c r="G2081" i="7"/>
  <c r="G2082" i="7"/>
  <c r="G2083" i="7"/>
  <c r="G2084" i="7"/>
  <c r="G2085" i="7"/>
  <c r="G2086" i="7"/>
  <c r="G2087" i="7"/>
  <c r="G2088" i="7"/>
  <c r="G2089" i="7"/>
  <c r="G2090" i="7"/>
  <c r="G2091" i="7"/>
  <c r="G2092" i="7"/>
  <c r="G2093" i="7"/>
  <c r="G2094" i="7"/>
  <c r="G2095" i="7"/>
  <c r="G2096" i="7"/>
  <c r="G2097" i="7"/>
  <c r="G2098" i="7"/>
  <c r="G2099" i="7"/>
  <c r="G2100" i="7"/>
  <c r="G2101" i="7"/>
  <c r="G2102" i="7"/>
  <c r="G2103" i="7"/>
  <c r="G2104" i="7"/>
  <c r="G2105" i="7"/>
  <c r="G2106" i="7"/>
  <c r="G2107" i="7"/>
  <c r="G2108" i="7"/>
  <c r="G2109" i="7"/>
  <c r="G2110" i="7"/>
  <c r="G2111" i="7"/>
  <c r="G2112" i="7"/>
  <c r="G2113" i="7"/>
  <c r="G2114" i="7"/>
  <c r="G2115" i="7"/>
  <c r="G2116" i="7"/>
  <c r="G2117" i="7"/>
  <c r="G2118" i="7"/>
  <c r="G2119" i="7"/>
  <c r="G2120" i="7"/>
  <c r="G2121" i="7"/>
  <c r="G2122" i="7"/>
  <c r="G2123" i="7"/>
  <c r="G2124" i="7"/>
  <c r="G2125" i="7"/>
  <c r="G2126" i="7"/>
  <c r="G2127" i="7"/>
  <c r="G2128" i="7"/>
  <c r="G2129" i="7"/>
  <c r="G2130" i="7"/>
  <c r="G2131" i="7"/>
  <c r="G2132" i="7"/>
  <c r="G2133" i="7"/>
  <c r="G2134" i="7"/>
  <c r="G2135" i="7"/>
  <c r="G2136" i="7"/>
  <c r="G2137" i="7"/>
  <c r="G2138" i="7"/>
  <c r="G2139" i="7"/>
  <c r="G2140" i="7"/>
  <c r="G2141" i="7"/>
  <c r="G2142" i="7"/>
  <c r="G2143" i="7"/>
  <c r="G2144" i="7"/>
  <c r="G2145" i="7"/>
  <c r="G2146" i="7"/>
  <c r="G2147" i="7"/>
  <c r="G2148" i="7"/>
  <c r="G2149" i="7"/>
  <c r="G2150" i="7"/>
  <c r="G2151" i="7"/>
  <c r="G2152" i="7"/>
  <c r="G2153" i="7"/>
  <c r="G2154" i="7"/>
  <c r="G2155" i="7"/>
  <c r="G2156" i="7"/>
  <c r="G2157" i="7"/>
  <c r="G2158" i="7"/>
  <c r="G2159" i="7"/>
  <c r="G2160" i="7"/>
  <c r="G2161" i="7"/>
  <c r="G2162" i="7"/>
  <c r="G2163" i="7"/>
  <c r="G2164" i="7"/>
  <c r="G2165" i="7"/>
  <c r="G2166" i="7"/>
  <c r="G2167" i="7"/>
  <c r="G2168" i="7"/>
  <c r="G2169" i="7"/>
  <c r="G2170" i="7"/>
  <c r="G2171" i="7"/>
  <c r="G2172" i="7"/>
  <c r="G2173" i="7"/>
  <c r="G2174" i="7"/>
  <c r="G2175" i="7"/>
  <c r="G2176" i="7"/>
  <c r="G2177" i="7"/>
  <c r="G2178" i="7"/>
  <c r="G2179" i="7"/>
  <c r="G2180" i="7"/>
  <c r="G2181" i="7"/>
  <c r="G2182" i="7"/>
  <c r="G2183" i="7"/>
  <c r="G2184" i="7"/>
  <c r="G2185" i="7"/>
  <c r="G2186" i="7"/>
  <c r="G2187" i="7"/>
  <c r="G2188" i="7"/>
  <c r="G2189" i="7"/>
  <c r="G2190" i="7"/>
  <c r="G2191" i="7"/>
  <c r="G2192" i="7"/>
  <c r="G2193" i="7"/>
  <c r="G2194" i="7"/>
  <c r="G2195" i="7"/>
  <c r="G2196" i="7"/>
  <c r="G2197" i="7"/>
  <c r="G2198" i="7"/>
  <c r="G2199" i="7"/>
  <c r="G2200" i="7"/>
  <c r="G2201" i="7"/>
  <c r="G2202" i="7"/>
  <c r="G2203" i="7"/>
  <c r="G2204" i="7"/>
  <c r="G2205" i="7"/>
  <c r="G2206" i="7"/>
  <c r="G2207" i="7"/>
  <c r="G2208" i="7"/>
  <c r="G2209" i="7"/>
  <c r="G2210" i="7"/>
  <c r="G2211" i="7"/>
  <c r="G2212" i="7"/>
  <c r="G2213" i="7"/>
  <c r="G2214" i="7"/>
  <c r="G2215" i="7"/>
  <c r="G2216" i="7"/>
  <c r="G2217" i="7"/>
  <c r="G2218" i="7"/>
  <c r="G2219" i="7"/>
  <c r="G2220" i="7"/>
  <c r="G2221" i="7"/>
  <c r="G2222" i="7"/>
  <c r="G2223" i="7"/>
  <c r="G2224" i="7"/>
  <c r="G2225" i="7"/>
  <c r="G2226" i="7"/>
  <c r="G2227" i="7"/>
  <c r="G2228" i="7"/>
  <c r="G2229" i="7"/>
  <c r="G2230" i="7"/>
  <c r="G2231" i="7"/>
  <c r="G2232" i="7"/>
  <c r="G2233" i="7"/>
  <c r="G2234" i="7"/>
  <c r="G2235" i="7"/>
  <c r="G2236" i="7"/>
  <c r="G2237" i="7"/>
  <c r="G2238" i="7"/>
  <c r="G2239" i="7"/>
  <c r="G2240" i="7"/>
  <c r="G2241" i="7"/>
  <c r="G2242" i="7"/>
  <c r="G2243" i="7"/>
  <c r="G2244" i="7"/>
  <c r="G2245" i="7"/>
  <c r="G2246" i="7"/>
  <c r="G2247" i="7"/>
  <c r="G2248" i="7"/>
  <c r="G2249" i="7"/>
  <c r="G2250" i="7"/>
  <c r="G2251" i="7"/>
  <c r="G2252" i="7"/>
  <c r="G2253" i="7"/>
  <c r="G2254" i="7"/>
  <c r="G2255" i="7"/>
  <c r="G2256" i="7"/>
  <c r="G2257" i="7"/>
  <c r="G2258" i="7"/>
  <c r="G2259" i="7"/>
  <c r="G2260" i="7"/>
  <c r="G2261" i="7"/>
  <c r="G2262" i="7"/>
  <c r="G2263" i="7"/>
  <c r="G2264" i="7"/>
  <c r="G2265" i="7"/>
  <c r="G2266" i="7"/>
  <c r="G2267" i="7"/>
  <c r="G2268" i="7"/>
  <c r="G2269" i="7"/>
  <c r="G2270" i="7"/>
  <c r="G2271" i="7"/>
  <c r="G2272" i="7"/>
  <c r="G2273" i="7"/>
  <c r="G2274" i="7"/>
  <c r="G2275" i="7"/>
  <c r="G2276" i="7"/>
  <c r="G2277" i="7"/>
  <c r="G2278" i="7"/>
  <c r="G2279" i="7"/>
  <c r="G2280" i="7"/>
  <c r="G2281" i="7"/>
  <c r="G2282" i="7"/>
  <c r="G2283" i="7"/>
  <c r="G2284" i="7"/>
  <c r="G2285" i="7"/>
  <c r="G2286" i="7"/>
  <c r="G2287" i="7"/>
  <c r="G2288" i="7"/>
  <c r="G2289" i="7"/>
  <c r="G2290" i="7"/>
  <c r="G2291" i="7"/>
  <c r="G2292" i="7"/>
  <c r="G2293" i="7"/>
  <c r="G2294" i="7"/>
  <c r="G2295" i="7"/>
  <c r="G2296" i="7"/>
  <c r="G2297" i="7"/>
  <c r="G2298" i="7"/>
  <c r="G2299" i="7"/>
  <c r="G2300" i="7"/>
  <c r="G2301" i="7"/>
  <c r="G2302" i="7"/>
  <c r="G2303" i="7"/>
  <c r="G2304" i="7"/>
  <c r="G2305" i="7"/>
  <c r="G2306" i="7"/>
  <c r="G2307" i="7"/>
  <c r="G2308" i="7"/>
  <c r="G2309" i="7"/>
  <c r="G2310" i="7"/>
  <c r="G2311" i="7"/>
  <c r="G2312" i="7"/>
  <c r="G2313" i="7"/>
  <c r="G2314" i="7"/>
  <c r="G2315" i="7"/>
  <c r="G2316" i="7"/>
  <c r="G2317" i="7"/>
  <c r="G2318" i="7"/>
  <c r="G2319" i="7"/>
  <c r="G2320" i="7"/>
  <c r="G2321" i="7"/>
  <c r="G2322" i="7"/>
  <c r="G2323" i="7"/>
  <c r="G2324" i="7"/>
  <c r="G2325" i="7"/>
  <c r="G2326" i="7"/>
  <c r="G2327" i="7"/>
  <c r="G2328" i="7"/>
  <c r="G2329" i="7"/>
  <c r="G2330" i="7"/>
  <c r="G2331" i="7"/>
  <c r="G2332" i="7"/>
  <c r="G2333" i="7"/>
  <c r="G2334" i="7"/>
  <c r="G2335" i="7"/>
  <c r="G2336" i="7"/>
  <c r="G2337" i="7"/>
  <c r="G2338" i="7"/>
  <c r="G2339" i="7"/>
  <c r="G2340" i="7"/>
  <c r="G2341" i="7"/>
  <c r="G2342" i="7"/>
  <c r="G2343" i="7"/>
  <c r="G2344" i="7"/>
  <c r="G2345" i="7"/>
  <c r="G2346" i="7"/>
  <c r="G2347" i="7"/>
  <c r="G2348" i="7"/>
  <c r="G2349" i="7"/>
  <c r="G2350" i="7"/>
  <c r="G2351" i="7"/>
  <c r="G2352" i="7"/>
  <c r="G2353" i="7"/>
  <c r="G2354" i="7"/>
  <c r="G2355" i="7"/>
  <c r="G2356" i="7"/>
  <c r="G2357" i="7"/>
  <c r="G2358" i="7"/>
  <c r="G2359" i="7"/>
  <c r="G2360" i="7"/>
  <c r="G2361" i="7"/>
  <c r="G2362" i="7"/>
  <c r="G2363" i="7"/>
  <c r="G2364" i="7"/>
  <c r="G2365" i="7"/>
  <c r="G2366" i="7"/>
  <c r="G2367" i="7"/>
  <c r="G2368" i="7"/>
  <c r="G2369" i="7"/>
  <c r="G2370" i="7"/>
  <c r="G2371" i="7"/>
  <c r="G2372" i="7"/>
  <c r="G2373" i="7"/>
  <c r="G2374" i="7"/>
  <c r="G2375" i="7"/>
  <c r="G2376" i="7"/>
  <c r="G2377" i="7"/>
  <c r="G2378" i="7"/>
  <c r="G2379" i="7"/>
  <c r="G2380" i="7"/>
  <c r="G2381" i="7"/>
  <c r="G2382" i="7"/>
  <c r="G2383" i="7"/>
  <c r="G2384" i="7"/>
  <c r="G2385" i="7"/>
  <c r="G2386" i="7"/>
  <c r="G2387" i="7"/>
  <c r="G2388" i="7"/>
  <c r="G2389" i="7"/>
  <c r="G2390" i="7"/>
  <c r="G2391" i="7"/>
  <c r="G2392" i="7"/>
  <c r="G2393" i="7"/>
  <c r="G2394" i="7"/>
  <c r="G2395" i="7"/>
  <c r="G2396" i="7"/>
  <c r="G2397" i="7"/>
  <c r="G2398" i="7"/>
  <c r="G2399" i="7"/>
  <c r="G2400" i="7"/>
  <c r="G2401" i="7"/>
  <c r="G2402" i="7"/>
  <c r="G2403" i="7"/>
  <c r="G2404" i="7"/>
  <c r="G2405" i="7"/>
  <c r="G2406" i="7"/>
  <c r="G2407" i="7"/>
  <c r="G2408" i="7"/>
  <c r="G2409" i="7"/>
  <c r="G2410" i="7"/>
  <c r="G2411" i="7"/>
  <c r="G2412" i="7"/>
  <c r="G2413" i="7"/>
  <c r="G2414" i="7"/>
  <c r="G2415" i="7"/>
  <c r="G2416" i="7"/>
  <c r="G2417" i="7"/>
  <c r="G2418" i="7"/>
  <c r="G2419" i="7"/>
  <c r="G2420" i="7"/>
  <c r="G2421" i="7"/>
  <c r="G2422" i="7"/>
  <c r="G2423" i="7"/>
  <c r="G2424" i="7"/>
  <c r="G2425" i="7"/>
  <c r="G2426" i="7"/>
  <c r="G2427" i="7"/>
  <c r="G2428" i="7"/>
  <c r="G2429" i="7"/>
  <c r="G2430" i="7"/>
  <c r="G2431" i="7"/>
  <c r="G2432" i="7"/>
  <c r="G2433" i="7"/>
  <c r="G2434" i="7"/>
  <c r="G2435" i="7"/>
  <c r="G2436" i="7"/>
  <c r="G2437" i="7"/>
  <c r="G2438" i="7"/>
  <c r="G2439" i="7"/>
  <c r="G2440" i="7"/>
  <c r="G2441" i="7"/>
  <c r="G2442" i="7"/>
  <c r="G2443" i="7"/>
  <c r="G2444" i="7"/>
  <c r="G2445" i="7"/>
  <c r="G2446" i="7"/>
  <c r="G2447" i="7"/>
  <c r="G2448" i="7"/>
  <c r="G2449" i="7"/>
  <c r="G2450" i="7"/>
  <c r="G2451" i="7"/>
  <c r="G2452" i="7"/>
  <c r="G2453" i="7"/>
  <c r="G2454" i="7"/>
  <c r="G2455" i="7"/>
  <c r="G2456" i="7"/>
  <c r="G2457" i="7"/>
  <c r="G2458" i="7"/>
  <c r="G2459" i="7"/>
  <c r="G2460" i="7"/>
  <c r="G2461" i="7"/>
  <c r="G2462" i="7"/>
  <c r="G2463" i="7"/>
  <c r="G2464" i="7"/>
  <c r="G2465" i="7"/>
  <c r="G2466" i="7"/>
  <c r="G2467" i="7"/>
  <c r="G2468" i="7"/>
  <c r="G2469" i="7"/>
  <c r="G2470" i="7"/>
  <c r="G2471" i="7"/>
  <c r="G2472" i="7"/>
  <c r="G2473" i="7"/>
  <c r="G2474" i="7"/>
  <c r="G2475" i="7"/>
  <c r="G2476" i="7"/>
  <c r="G2477" i="7"/>
  <c r="G2478" i="7"/>
  <c r="G2479" i="7"/>
  <c r="G2480" i="7"/>
  <c r="G2481" i="7"/>
  <c r="G2482" i="7"/>
  <c r="G2483" i="7"/>
  <c r="G2484" i="7"/>
  <c r="G2485" i="7"/>
  <c r="G2486" i="7"/>
  <c r="G2487" i="7"/>
  <c r="G2488" i="7"/>
  <c r="G2489" i="7"/>
  <c r="G2490" i="7"/>
  <c r="G2491" i="7"/>
  <c r="G2492" i="7"/>
  <c r="G2493" i="7"/>
  <c r="G2494" i="7"/>
  <c r="G2495" i="7"/>
  <c r="G2496" i="7"/>
  <c r="G2497" i="7"/>
  <c r="G2498" i="7"/>
  <c r="G2499" i="7"/>
  <c r="G2500" i="7"/>
  <c r="G2501" i="7"/>
  <c r="G2502" i="7"/>
  <c r="G2503" i="7"/>
  <c r="G2504" i="7"/>
  <c r="G2505" i="7"/>
  <c r="G2506" i="7"/>
  <c r="G2507" i="7"/>
  <c r="G2508" i="7"/>
  <c r="G2509" i="7"/>
  <c r="G2510" i="7"/>
  <c r="G2511" i="7"/>
  <c r="G2512" i="7"/>
  <c r="G2513" i="7"/>
  <c r="G2514" i="7"/>
  <c r="G2515" i="7"/>
  <c r="G2516" i="7"/>
  <c r="G2517" i="7"/>
  <c r="G2518" i="7"/>
  <c r="G2519" i="7"/>
  <c r="G2520" i="7"/>
  <c r="G2521" i="7"/>
  <c r="G2522" i="7"/>
  <c r="G2523" i="7"/>
  <c r="G2524" i="7"/>
  <c r="G2525" i="7"/>
  <c r="G2526" i="7"/>
  <c r="G2527" i="7"/>
  <c r="G2528" i="7"/>
  <c r="G2529" i="7"/>
  <c r="G2530" i="7"/>
  <c r="G2531" i="7"/>
  <c r="G2532" i="7"/>
  <c r="G2533" i="7"/>
  <c r="G2534" i="7"/>
  <c r="G2535" i="7"/>
  <c r="G2536" i="7"/>
  <c r="G2537" i="7"/>
  <c r="G2538" i="7"/>
  <c r="G2539" i="7"/>
  <c r="G2540" i="7"/>
  <c r="G2541" i="7"/>
  <c r="G2542" i="7"/>
  <c r="G2543" i="7"/>
  <c r="G2544" i="7"/>
  <c r="G2545" i="7"/>
  <c r="G2546" i="7"/>
  <c r="G2547" i="7"/>
  <c r="G2548" i="7"/>
  <c r="G2549" i="7"/>
  <c r="G2550" i="7"/>
  <c r="G2551" i="7"/>
  <c r="G2552" i="7"/>
  <c r="G2553" i="7"/>
  <c r="G2554" i="7"/>
  <c r="G2555" i="7"/>
  <c r="G2556" i="7"/>
  <c r="G2557" i="7"/>
  <c r="G2558" i="7"/>
  <c r="G2559" i="7"/>
  <c r="G2560" i="7"/>
  <c r="G2561" i="7"/>
  <c r="G2562" i="7"/>
  <c r="G2563" i="7"/>
  <c r="G2564" i="7"/>
  <c r="G2565" i="7"/>
  <c r="G2566" i="7"/>
  <c r="G2567" i="7"/>
  <c r="G2568" i="7"/>
  <c r="G2569" i="7"/>
  <c r="G2570" i="7"/>
  <c r="G2571" i="7"/>
  <c r="G2572" i="7"/>
  <c r="G2573" i="7"/>
  <c r="G2574" i="7"/>
  <c r="G2575" i="7"/>
  <c r="G2576" i="7"/>
  <c r="G2577" i="7"/>
  <c r="G2578" i="7"/>
  <c r="G2579" i="7"/>
  <c r="G2580" i="7"/>
  <c r="G2581" i="7"/>
  <c r="G2582" i="7"/>
  <c r="G2583" i="7"/>
  <c r="G2584" i="7"/>
  <c r="G2585" i="7"/>
  <c r="G2586" i="7"/>
  <c r="G2587" i="7"/>
  <c r="G2588" i="7"/>
  <c r="G2589" i="7"/>
  <c r="G2590" i="7"/>
  <c r="G2591" i="7"/>
  <c r="G2592" i="7"/>
  <c r="G2593" i="7"/>
  <c r="G2594" i="7"/>
  <c r="G2595" i="7"/>
  <c r="G2596" i="7"/>
  <c r="G2597" i="7"/>
  <c r="G2598" i="7"/>
  <c r="G2599" i="7"/>
  <c r="G2600" i="7"/>
  <c r="G2601" i="7"/>
  <c r="G2602" i="7"/>
  <c r="G2603" i="7"/>
  <c r="G2604" i="7"/>
  <c r="G2605" i="7"/>
  <c r="G2606" i="7"/>
  <c r="G2607" i="7"/>
  <c r="G2608" i="7"/>
  <c r="G2609" i="7"/>
  <c r="G2610" i="7"/>
  <c r="G2611" i="7"/>
  <c r="G2612" i="7"/>
  <c r="G2613" i="7"/>
  <c r="G2614" i="7"/>
  <c r="G2615" i="7"/>
  <c r="G2616" i="7"/>
  <c r="G2617" i="7"/>
  <c r="G2618" i="7"/>
  <c r="G2619" i="7"/>
  <c r="G2620" i="7"/>
  <c r="G2621" i="7"/>
  <c r="G2622" i="7"/>
  <c r="G2623" i="7"/>
  <c r="G2624" i="7"/>
  <c r="G2625" i="7"/>
  <c r="G2626" i="7"/>
  <c r="G2627" i="7"/>
  <c r="G2628" i="7"/>
  <c r="G2629" i="7"/>
  <c r="G2630" i="7"/>
  <c r="G2631" i="7"/>
  <c r="G2632" i="7"/>
  <c r="G2633" i="7"/>
  <c r="G2634" i="7"/>
  <c r="G2635" i="7"/>
  <c r="G2636" i="7"/>
  <c r="G2637" i="7"/>
  <c r="G2638" i="7"/>
  <c r="G2639" i="7"/>
  <c r="G2640" i="7"/>
  <c r="G2641" i="7"/>
  <c r="G2642" i="7"/>
  <c r="G2643" i="7"/>
  <c r="G2644" i="7"/>
  <c r="G2645" i="7"/>
  <c r="G2646" i="7"/>
  <c r="G2647" i="7"/>
  <c r="G2648" i="7"/>
  <c r="G2649" i="7"/>
  <c r="G2650" i="7"/>
  <c r="G2651" i="7"/>
  <c r="G2652" i="7"/>
  <c r="G2653" i="7"/>
  <c r="G2654" i="7"/>
  <c r="G2655" i="7"/>
  <c r="G2656" i="7"/>
  <c r="G2657" i="7"/>
  <c r="G2658" i="7"/>
  <c r="G2659" i="7"/>
  <c r="G2660" i="7"/>
  <c r="G2661" i="7"/>
  <c r="G2662" i="7"/>
  <c r="G2663" i="7"/>
  <c r="G2664" i="7"/>
  <c r="G2665" i="7"/>
  <c r="G2666" i="7"/>
  <c r="G2667" i="7"/>
  <c r="G2668" i="7"/>
  <c r="G2669" i="7"/>
  <c r="G2670" i="7"/>
  <c r="G2671" i="7"/>
  <c r="G2672" i="7"/>
  <c r="G2673" i="7"/>
  <c r="G2674" i="7"/>
  <c r="G2675" i="7"/>
  <c r="G2676" i="7"/>
  <c r="G2677" i="7"/>
  <c r="G2678" i="7"/>
  <c r="G2679" i="7"/>
  <c r="G2680" i="7"/>
  <c r="G2681" i="7"/>
  <c r="G2682" i="7"/>
  <c r="G2683" i="7"/>
  <c r="G2684" i="7"/>
  <c r="G2685" i="7"/>
  <c r="G2686" i="7"/>
  <c r="G2687" i="7"/>
  <c r="G2688" i="7"/>
  <c r="G2689" i="7"/>
  <c r="G2690" i="7"/>
  <c r="G2691" i="7"/>
  <c r="G2692" i="7"/>
  <c r="G2693" i="7"/>
  <c r="G2694" i="7"/>
  <c r="G2695" i="7"/>
  <c r="G2696" i="7"/>
  <c r="G2697" i="7"/>
  <c r="G2698" i="7"/>
  <c r="G2699" i="7"/>
  <c r="G2700" i="7"/>
  <c r="G2701" i="7"/>
  <c r="G2702" i="7"/>
  <c r="G2703" i="7"/>
  <c r="G2704" i="7"/>
  <c r="G2705" i="7"/>
  <c r="G2706" i="7"/>
  <c r="G2707" i="7"/>
  <c r="G2708" i="7"/>
  <c r="G2709" i="7"/>
  <c r="G2710" i="7"/>
  <c r="G2711" i="7"/>
  <c r="G2712" i="7"/>
  <c r="G2713" i="7"/>
  <c r="G2714" i="7"/>
  <c r="G2715" i="7"/>
  <c r="G2716" i="7"/>
  <c r="G2717" i="7"/>
  <c r="G2718" i="7"/>
  <c r="G2719" i="7"/>
  <c r="G2720" i="7"/>
  <c r="G2721" i="7"/>
  <c r="G2722" i="7"/>
  <c r="G2723" i="7"/>
  <c r="G2724" i="7"/>
  <c r="G2725" i="7"/>
  <c r="G2726" i="7"/>
  <c r="G2727" i="7"/>
  <c r="G2728" i="7"/>
  <c r="G2729" i="7"/>
  <c r="G2730" i="7"/>
  <c r="G2731" i="7"/>
  <c r="G2732" i="7"/>
  <c r="G2733" i="7"/>
  <c r="G2734" i="7"/>
  <c r="G2735" i="7"/>
  <c r="G2736" i="7"/>
  <c r="G2737" i="7"/>
  <c r="G2738" i="7"/>
  <c r="G2739" i="7"/>
  <c r="G2740" i="7"/>
  <c r="G2741" i="7"/>
  <c r="G2742" i="7"/>
  <c r="G2743" i="7"/>
  <c r="G2744" i="7"/>
  <c r="G2745" i="7"/>
  <c r="G2746" i="7"/>
  <c r="G2747" i="7"/>
  <c r="G2748" i="7"/>
  <c r="G2749" i="7"/>
  <c r="G2750" i="7"/>
  <c r="G2751" i="7"/>
  <c r="G2752" i="7"/>
  <c r="G2753" i="7"/>
  <c r="G2754" i="7"/>
  <c r="G2755" i="7"/>
  <c r="G2756" i="7"/>
  <c r="G2757" i="7"/>
  <c r="G2758" i="7"/>
  <c r="G2759" i="7"/>
  <c r="G2760" i="7"/>
  <c r="G2761" i="7"/>
  <c r="G2762" i="7"/>
  <c r="G2763" i="7"/>
  <c r="G2764" i="7"/>
  <c r="G2765" i="7"/>
  <c r="G2766" i="7"/>
  <c r="G2767" i="7"/>
  <c r="G2768" i="7"/>
  <c r="G2769" i="7"/>
  <c r="G2770" i="7"/>
  <c r="G2771" i="7"/>
  <c r="G2772" i="7"/>
  <c r="G2773" i="7"/>
  <c r="G2774" i="7"/>
  <c r="G2775" i="7"/>
  <c r="G2776" i="7"/>
  <c r="G2777" i="7"/>
  <c r="G2778" i="7"/>
  <c r="G2779" i="7"/>
  <c r="G2780" i="7"/>
  <c r="G2781" i="7"/>
  <c r="G2782" i="7"/>
  <c r="G2783" i="7"/>
  <c r="G2784" i="7"/>
  <c r="G2785" i="7"/>
  <c r="G2786" i="7"/>
  <c r="G2787" i="7"/>
  <c r="G2788" i="7"/>
  <c r="G2789" i="7"/>
  <c r="G2790" i="7"/>
  <c r="G2791" i="7"/>
  <c r="G2792" i="7"/>
  <c r="G2793" i="7"/>
  <c r="G2794" i="7"/>
  <c r="G2795" i="7"/>
  <c r="G2796" i="7"/>
  <c r="G2797" i="7"/>
  <c r="G2798" i="7"/>
  <c r="G2799" i="7"/>
  <c r="G2800" i="7"/>
  <c r="G2801" i="7"/>
  <c r="G2802" i="7"/>
  <c r="G2803" i="7"/>
  <c r="G2804" i="7"/>
  <c r="G2805" i="7"/>
  <c r="G2806" i="7"/>
  <c r="G2807" i="7"/>
  <c r="G2808" i="7"/>
  <c r="G2809" i="7"/>
  <c r="G2810" i="7"/>
  <c r="G2811" i="7"/>
  <c r="G2812" i="7"/>
  <c r="G2813" i="7"/>
  <c r="G2814" i="7"/>
  <c r="G2815" i="7"/>
  <c r="G2816" i="7"/>
  <c r="G2817" i="7"/>
  <c r="G2818" i="7"/>
  <c r="G2819" i="7"/>
  <c r="G2820" i="7"/>
  <c r="G2821" i="7"/>
  <c r="G2822" i="7"/>
  <c r="G2823" i="7"/>
  <c r="G2824" i="7"/>
  <c r="G2825" i="7"/>
  <c r="G2826" i="7"/>
  <c r="G2827" i="7"/>
  <c r="G2828" i="7"/>
  <c r="G2829" i="7"/>
  <c r="G2830" i="7"/>
  <c r="G2831" i="7"/>
  <c r="G2832" i="7"/>
  <c r="G2833" i="7"/>
  <c r="G2834" i="7"/>
  <c r="G2835" i="7"/>
  <c r="G2836" i="7"/>
  <c r="G2837" i="7"/>
  <c r="G2838" i="7"/>
  <c r="G2839" i="7"/>
  <c r="G2840" i="7"/>
  <c r="G2841" i="7"/>
  <c r="G2842" i="7"/>
  <c r="G2843" i="7"/>
  <c r="G2844" i="7"/>
  <c r="G2845" i="7"/>
  <c r="G2846" i="7"/>
  <c r="G2847" i="7"/>
  <c r="G2848" i="7"/>
  <c r="G2849" i="7"/>
  <c r="G2850" i="7"/>
  <c r="G2851" i="7"/>
  <c r="G2852" i="7"/>
  <c r="G2853" i="7"/>
  <c r="G2854" i="7"/>
  <c r="G2855" i="7"/>
  <c r="G2856" i="7"/>
  <c r="G2857" i="7"/>
  <c r="G2858" i="7"/>
  <c r="G2859" i="7"/>
  <c r="G2860" i="7"/>
  <c r="G2861" i="7"/>
  <c r="G2862" i="7"/>
  <c r="G2863" i="7"/>
  <c r="G2864" i="7"/>
  <c r="G2865" i="7"/>
  <c r="G2866" i="7"/>
  <c r="G2867" i="7"/>
  <c r="G2868" i="7"/>
  <c r="G2869" i="7"/>
  <c r="G2870" i="7"/>
  <c r="G2871" i="7"/>
  <c r="G2872" i="7"/>
  <c r="G2873" i="7"/>
  <c r="G2874" i="7"/>
  <c r="G2875" i="7"/>
  <c r="G2876" i="7"/>
  <c r="G2877" i="7"/>
  <c r="G2878" i="7"/>
  <c r="G2879" i="7"/>
  <c r="G2880" i="7"/>
  <c r="G2881" i="7"/>
  <c r="G2882" i="7"/>
  <c r="G2883" i="7"/>
  <c r="G2884" i="7"/>
  <c r="G2885" i="7"/>
  <c r="G2886" i="7"/>
  <c r="G2887" i="7"/>
  <c r="G2888" i="7"/>
  <c r="G2889" i="7"/>
  <c r="G2890" i="7"/>
  <c r="G2891" i="7"/>
  <c r="G2892" i="7"/>
  <c r="G2893" i="7"/>
  <c r="G2894" i="7"/>
  <c r="G2895" i="7"/>
  <c r="G2896" i="7"/>
  <c r="G2897" i="7"/>
  <c r="G2898" i="7"/>
  <c r="G2899" i="7"/>
  <c r="G2900" i="7"/>
  <c r="G2901" i="7"/>
  <c r="G2902" i="7"/>
  <c r="G2903" i="7"/>
  <c r="G2904" i="7"/>
  <c r="G2905" i="7"/>
  <c r="G2906" i="7"/>
  <c r="G2907" i="7"/>
  <c r="G2908" i="7"/>
  <c r="G2909" i="7"/>
  <c r="G2910" i="7"/>
  <c r="G2911" i="7"/>
  <c r="G2912" i="7"/>
  <c r="G2913" i="7"/>
  <c r="G2914" i="7"/>
  <c r="G2915" i="7"/>
  <c r="G2916" i="7"/>
  <c r="G2917" i="7"/>
  <c r="G2918" i="7"/>
  <c r="G2919" i="7"/>
  <c r="G2920" i="7"/>
  <c r="G2921" i="7"/>
  <c r="G2922" i="7"/>
  <c r="G2923" i="7"/>
  <c r="G2924" i="7"/>
  <c r="G2925" i="7"/>
  <c r="G2926" i="7"/>
  <c r="G2927" i="7"/>
  <c r="G2928" i="7"/>
  <c r="G2929" i="7"/>
  <c r="G2930" i="7"/>
  <c r="G2931" i="7"/>
  <c r="G2932" i="7"/>
  <c r="G2933" i="7"/>
  <c r="G2934" i="7"/>
  <c r="G2935" i="7"/>
  <c r="G2936" i="7"/>
  <c r="G2937" i="7"/>
  <c r="G2938" i="7"/>
  <c r="G2939" i="7"/>
  <c r="G2940" i="7"/>
  <c r="G2941" i="7"/>
  <c r="G2942" i="7"/>
  <c r="G2943" i="7"/>
  <c r="G2944" i="7"/>
  <c r="G2945" i="7"/>
  <c r="G2946" i="7"/>
  <c r="G2947" i="7"/>
  <c r="G2948" i="7"/>
  <c r="G2949" i="7"/>
  <c r="G2950" i="7"/>
  <c r="G2951" i="7"/>
  <c r="G2952" i="7"/>
  <c r="G2953" i="7"/>
  <c r="G2954" i="7"/>
  <c r="G2955" i="7"/>
  <c r="G2956" i="7"/>
  <c r="G2957" i="7"/>
  <c r="G2958" i="7"/>
  <c r="G2959" i="7"/>
  <c r="G2960" i="7"/>
  <c r="G2961" i="7"/>
  <c r="G2962" i="7"/>
  <c r="G2963" i="7"/>
  <c r="G2964" i="7"/>
  <c r="G2965" i="7"/>
  <c r="G2966" i="7"/>
  <c r="G2967" i="7"/>
  <c r="G2968" i="7"/>
  <c r="G2969" i="7"/>
  <c r="G2970" i="7"/>
  <c r="G2971" i="7"/>
  <c r="G2" i="7"/>
</calcChain>
</file>

<file path=xl/comments1.xml><?xml version="1.0" encoding="utf-8"?>
<comments xmlns="http://schemas.openxmlformats.org/spreadsheetml/2006/main">
  <authors>
    <author>Administrator</author>
  </authors>
  <commentList>
    <comment ref="C1" authorId="0" shapeId="0">
      <text>
        <r>
          <rPr>
            <sz val="9"/>
            <rFont val="宋体"/>
            <family val="3"/>
            <charset val="134"/>
          </rPr>
          <t xml:space="preserve">Administrator:
</t>
        </r>
      </text>
    </comment>
    <comment ref="G1" authorId="0" shapeId="0">
      <text>
        <r>
          <rPr>
            <sz val="9"/>
            <rFont val="宋体"/>
            <family val="3"/>
            <charset val="134"/>
          </rPr>
          <t xml:space="preserve">Administrator:
</t>
        </r>
      </text>
    </comment>
    <comment ref="L1" authorId="0" shapeId="0">
      <text>
        <r>
          <rPr>
            <sz val="9"/>
            <rFont val="宋体"/>
            <family val="3"/>
            <charset val="134"/>
          </rPr>
          <t xml:space="preserve">Administrator:
</t>
        </r>
      </text>
    </comment>
    <comment ref="M1" authorId="0" shapeId="0">
      <text>
        <r>
          <rPr>
            <sz val="9"/>
            <rFont val="宋体"/>
            <family val="3"/>
            <charset val="134"/>
          </rPr>
          <t xml:space="preserve">Administrator:
</t>
        </r>
      </text>
    </comment>
    <comment ref="Y1" authorId="0" shapeId="0">
      <text>
        <r>
          <rPr>
            <sz val="9"/>
            <rFont val="宋体"/>
            <family val="3"/>
            <charset val="134"/>
          </rPr>
          <t xml:space="preserve">Administrator:
</t>
        </r>
      </text>
    </comment>
    <comment ref="AA1" authorId="0" shapeId="0">
      <text>
        <r>
          <rPr>
            <sz val="9"/>
            <rFont val="宋体"/>
            <family val="3"/>
            <charset val="134"/>
          </rPr>
          <t xml:space="preserve">微软用户:
请在此签字
</t>
        </r>
      </text>
    </comment>
  </commentList>
</comments>
</file>

<file path=xl/comments2.xml><?xml version="1.0" encoding="utf-8"?>
<comments xmlns="http://schemas.openxmlformats.org/spreadsheetml/2006/main">
  <authors>
    <author>Administrator</author>
  </authors>
  <commentList>
    <comment ref="C1" authorId="0" shapeId="0">
      <text>
        <r>
          <rPr>
            <sz val="9"/>
            <rFont val="宋体"/>
            <family val="3"/>
            <charset val="134"/>
          </rPr>
          <t xml:space="preserve">Administrator:
</t>
        </r>
      </text>
    </comment>
    <comment ref="H1" authorId="0" shapeId="0">
      <text>
        <r>
          <rPr>
            <sz val="9"/>
            <rFont val="宋体"/>
            <family val="3"/>
            <charset val="134"/>
          </rPr>
          <t xml:space="preserve">Administrator:
</t>
        </r>
      </text>
    </comment>
    <comment ref="M1" authorId="0" shapeId="0">
      <text>
        <r>
          <rPr>
            <sz val="9"/>
            <rFont val="宋体"/>
            <family val="3"/>
            <charset val="134"/>
          </rPr>
          <t xml:space="preserve">Administrator:
</t>
        </r>
      </text>
    </comment>
    <comment ref="N1" authorId="0" shapeId="0">
      <text>
        <r>
          <rPr>
            <sz val="9"/>
            <rFont val="宋体"/>
            <family val="3"/>
            <charset val="134"/>
          </rPr>
          <t xml:space="preserve">Administrator:
</t>
        </r>
      </text>
    </comment>
    <comment ref="Z1" authorId="0" shapeId="0">
      <text>
        <r>
          <rPr>
            <sz val="9"/>
            <rFont val="宋体"/>
            <family val="3"/>
            <charset val="134"/>
          </rPr>
          <t xml:space="preserve">Administrator:
</t>
        </r>
      </text>
    </comment>
    <comment ref="AB1" authorId="0" shapeId="0">
      <text>
        <r>
          <rPr>
            <sz val="9"/>
            <rFont val="宋体"/>
            <family val="3"/>
            <charset val="134"/>
          </rPr>
          <t xml:space="preserve">微软用户:
请在此签字
</t>
        </r>
      </text>
    </comment>
  </commentList>
</comments>
</file>

<file path=xl/sharedStrings.xml><?xml version="1.0" encoding="utf-8"?>
<sst xmlns="http://schemas.openxmlformats.org/spreadsheetml/2006/main" count="55640" uniqueCount="2585">
  <si>
    <t>毕添</t>
  </si>
  <si>
    <t>曹煜</t>
  </si>
  <si>
    <t>曾学军</t>
  </si>
  <si>
    <t>曾学军/杜林</t>
  </si>
  <si>
    <t>曾学军/杜林/张小波</t>
  </si>
  <si>
    <t>陈波</t>
  </si>
  <si>
    <t>陈东</t>
  </si>
  <si>
    <t>邓耀波</t>
  </si>
  <si>
    <t>杜林</t>
  </si>
  <si>
    <t>郭豪豪</t>
  </si>
  <si>
    <t>郭沛</t>
  </si>
  <si>
    <t>胡海义</t>
  </si>
  <si>
    <t>蒋伟</t>
  </si>
  <si>
    <t>李城明</t>
  </si>
  <si>
    <t>李方山</t>
  </si>
  <si>
    <t>李锐</t>
  </si>
  <si>
    <t>李祥</t>
  </si>
  <si>
    <t>李自强</t>
  </si>
  <si>
    <t>刘锐</t>
  </si>
  <si>
    <t>刘先东</t>
  </si>
  <si>
    <t>刘鑫</t>
  </si>
  <si>
    <t>刘悦</t>
  </si>
  <si>
    <t>龙清华</t>
  </si>
  <si>
    <t>罗江</t>
  </si>
  <si>
    <t>罗文俊</t>
  </si>
  <si>
    <t>苗雍/曾学军</t>
  </si>
  <si>
    <t>苗雍/杜林/曾学军</t>
  </si>
  <si>
    <t>苗雍/魏海炉</t>
  </si>
  <si>
    <t>彭家文</t>
  </si>
  <si>
    <t>强海飞</t>
  </si>
  <si>
    <t>宋波</t>
  </si>
  <si>
    <t>宋代陶</t>
  </si>
  <si>
    <t>粟茂</t>
  </si>
  <si>
    <t>孙思波</t>
  </si>
  <si>
    <t>唐红兵/高伟/粟茂</t>
  </si>
  <si>
    <t>唐红兵/周士杰/高伟</t>
  </si>
  <si>
    <t>唐红兵/周士杰/高伟/粟茂</t>
  </si>
  <si>
    <t>唐红兵/周士杰/粟茂</t>
  </si>
  <si>
    <t>唐若斐</t>
  </si>
  <si>
    <t>汪大龙</t>
  </si>
  <si>
    <t>王俊杰</t>
  </si>
  <si>
    <t>魏海炉/张小波</t>
  </si>
  <si>
    <t>魏玉杰</t>
  </si>
  <si>
    <t>文杰</t>
  </si>
  <si>
    <t>吴强</t>
  </si>
  <si>
    <t>伍靖杰</t>
  </si>
  <si>
    <t>夏启辉</t>
  </si>
  <si>
    <t>肖茂</t>
  </si>
  <si>
    <t>徐丹/路航/杨巍</t>
  </si>
  <si>
    <t>杨定科</t>
  </si>
  <si>
    <t>杨海</t>
  </si>
  <si>
    <t>杨海/苗雍</t>
  </si>
  <si>
    <t>杨海/魏海炉</t>
  </si>
  <si>
    <t>杨海/魏海炉/苗雍</t>
  </si>
  <si>
    <t>杨海/魏海炉/张小波</t>
  </si>
  <si>
    <t>杨洪</t>
  </si>
  <si>
    <t>杨明</t>
  </si>
  <si>
    <t>杨平</t>
  </si>
  <si>
    <t>杨涛</t>
  </si>
  <si>
    <t>杨巍/张锐</t>
  </si>
  <si>
    <t>叶宇斐</t>
  </si>
  <si>
    <t>余谨宏</t>
  </si>
  <si>
    <t>余帅宏</t>
  </si>
  <si>
    <t>袁洪伟</t>
  </si>
  <si>
    <t>张成瑞</t>
  </si>
  <si>
    <t>张锐/路航/杨巍</t>
  </si>
  <si>
    <t>张锐/徐丹/路航</t>
  </si>
  <si>
    <t>张锐/徐丹/路航/杨巍</t>
  </si>
  <si>
    <t>张小波/杜林/曾学军</t>
  </si>
  <si>
    <t>张小波/苗雍</t>
  </si>
  <si>
    <t>张小波/杨海</t>
  </si>
  <si>
    <t>郑继肖</t>
  </si>
  <si>
    <t>郑万科</t>
  </si>
  <si>
    <t>周士杰/高伟</t>
  </si>
  <si>
    <t>周士杰/粟茂</t>
  </si>
  <si>
    <t xml:space="preserve"> 日 期</t>
  </si>
  <si>
    <t>班 次</t>
  </si>
  <si>
    <t>机床号</t>
  </si>
  <si>
    <t>图       号</t>
  </si>
  <si>
    <t>零件名称</t>
  </si>
  <si>
    <t>校对</t>
  </si>
  <si>
    <t>版次</t>
  </si>
  <si>
    <t>工  序</t>
  </si>
  <si>
    <t>计划数量</t>
  </si>
  <si>
    <t>完成数量</t>
  </si>
  <si>
    <t>首检</t>
  </si>
  <si>
    <t>批检</t>
  </si>
  <si>
    <t>质量编号</t>
  </si>
  <si>
    <t>输入程序时间</t>
  </si>
  <si>
    <t>输入装夹时间</t>
  </si>
  <si>
    <t>装夹件数</t>
  </si>
  <si>
    <t>输入准备工时</t>
  </si>
  <si>
    <t>调序</t>
  </si>
  <si>
    <t>辅助工时</t>
  </si>
  <si>
    <t>合计</t>
  </si>
  <si>
    <t>操作者</t>
  </si>
  <si>
    <t>备注</t>
  </si>
  <si>
    <t>负责人签字</t>
  </si>
  <si>
    <t>12/22</t>
  </si>
  <si>
    <t>白</t>
  </si>
  <si>
    <t>C571110500-001L001</t>
  </si>
  <si>
    <t>前梁一段</t>
  </si>
  <si>
    <t>A</t>
  </si>
  <si>
    <t>00P001</t>
  </si>
  <si>
    <t>12/19</t>
  </si>
  <si>
    <t>DD-J10B-04011-1</t>
  </si>
  <si>
    <t>7100框</t>
  </si>
  <si>
    <t>G</t>
  </si>
  <si>
    <t>/</t>
  </si>
  <si>
    <t>12/29</t>
  </si>
  <si>
    <t>早</t>
  </si>
  <si>
    <t>C571110500-001R001</t>
  </si>
  <si>
    <t>返修左件4H,上下装3H，首件调序，装夹1件</t>
  </si>
  <si>
    <t>夜</t>
  </si>
  <si>
    <t>12/30</t>
  </si>
  <si>
    <t>12/31</t>
  </si>
  <si>
    <t>CB5323120-001R005</t>
  </si>
  <si>
    <t>7820~8270侧上梁</t>
  </si>
  <si>
    <t>F</t>
  </si>
  <si>
    <t>6P018 6P019</t>
  </si>
  <si>
    <t>五轴试刀件</t>
  </si>
  <si>
    <t>BC5333100-006L001</t>
  </si>
  <si>
    <t>口框梁</t>
  </si>
  <si>
    <t>C</t>
  </si>
  <si>
    <t>3P018-3P020</t>
  </si>
  <si>
    <t>装夹3件</t>
  </si>
  <si>
    <t>DD-J10S-04031-1</t>
  </si>
  <si>
    <t>8700框</t>
  </si>
  <si>
    <t>4P020</t>
  </si>
  <si>
    <t>DD-J10-05156-1-Z</t>
  </si>
  <si>
    <t>外侧梁主件</t>
  </si>
  <si>
    <t>C6P005</t>
  </si>
  <si>
    <t>C552004000-001L001</t>
  </si>
  <si>
    <t>摇臂</t>
  </si>
  <si>
    <t>S首件鉴定</t>
  </si>
  <si>
    <t>工装压板</t>
  </si>
  <si>
    <t>临时工艺无图号，工艺版次，质量编号</t>
  </si>
  <si>
    <t>中</t>
  </si>
  <si>
    <t>BC2712522-001-004</t>
  </si>
  <si>
    <t>支座</t>
  </si>
  <si>
    <t>00P010</t>
  </si>
  <si>
    <t>12/3</t>
  </si>
  <si>
    <t>BC2712521-001-004</t>
  </si>
  <si>
    <t>首件鉴定，调65序</t>
  </si>
  <si>
    <t>C6P001/C6P005</t>
  </si>
  <si>
    <t>装夹1件</t>
  </si>
  <si>
    <t>6P016/6P017</t>
  </si>
  <si>
    <t>装夹2件</t>
  </si>
  <si>
    <t>3P015-3P017</t>
  </si>
  <si>
    <t>下工装，上工装3.5H，首件调试</t>
  </si>
  <si>
    <t>1/1</t>
  </si>
  <si>
    <t>首件鉴定</t>
  </si>
  <si>
    <t>CB5512300-004L002</t>
  </si>
  <si>
    <t>根肋前段（TC4-DT)</t>
  </si>
  <si>
    <t>B</t>
  </si>
  <si>
    <t>5P013</t>
  </si>
  <si>
    <t>元旦加班</t>
  </si>
  <si>
    <t>C532222810-015-001</t>
  </si>
  <si>
    <t>口框</t>
  </si>
  <si>
    <t>00P003</t>
  </si>
  <si>
    <t>上工装，做工装，装夹5H，机床故障停机</t>
  </si>
  <si>
    <t>3P021/3P022</t>
  </si>
  <si>
    <t>CB5315191-014R004</t>
  </si>
  <si>
    <t>排气下侧壁</t>
  </si>
  <si>
    <t>6P002</t>
  </si>
  <si>
    <t>拆工装2H，首件装夹调试</t>
  </si>
  <si>
    <t>重跑程序5H</t>
  </si>
  <si>
    <t>重跑程序4H</t>
  </si>
  <si>
    <t>6P020</t>
  </si>
  <si>
    <t>CB5326200-133L/R002</t>
  </si>
  <si>
    <t>8815 4号加强筋</t>
  </si>
  <si>
    <t>5P017 5P018</t>
  </si>
  <si>
    <t>拆工装拆方箱2件，上工装4H,装夹首件调试</t>
  </si>
  <si>
    <t>CB5512300-005L002</t>
  </si>
  <si>
    <t>根肋后段（TC4-DT)</t>
  </si>
  <si>
    <t>5P001/5P002</t>
  </si>
  <si>
    <t>5序装夹2次，调5工序</t>
  </si>
  <si>
    <t>C551005000-002R001</t>
  </si>
  <si>
    <t>首件鉴定 调100工序 100工序装夹1次</t>
  </si>
  <si>
    <t>1/2</t>
  </si>
  <si>
    <t>5P019</t>
  </si>
  <si>
    <t>首件鉴定，调试20镗刀</t>
  </si>
  <si>
    <t>DD-J10-05156-1-Y</t>
  </si>
  <si>
    <t>首件，装夹调试</t>
  </si>
  <si>
    <t>5P016/5P019</t>
  </si>
  <si>
    <t>首件鉴定，刀具磨损程序运行2次</t>
  </si>
  <si>
    <t>5P003 5P004</t>
  </si>
  <si>
    <t>5序装夹2次</t>
  </si>
  <si>
    <t>1/3</t>
  </si>
  <si>
    <t>C551005000-002L/R001-GZ03</t>
  </si>
  <si>
    <t>摇臂工装03</t>
  </si>
  <si>
    <t>无</t>
  </si>
  <si>
    <t>上下工装</t>
  </si>
  <si>
    <t>朱健</t>
  </si>
  <si>
    <t>C551005000-002L001</t>
  </si>
  <si>
    <t>00p001</t>
  </si>
  <si>
    <t>105序工艺改工艺，105序调序，装夹1件</t>
  </si>
  <si>
    <t>CB5315120-002L/R001</t>
  </si>
  <si>
    <t>6820框内段</t>
  </si>
  <si>
    <t>6P009</t>
  </si>
  <si>
    <t>CB5512300-015L001</t>
  </si>
  <si>
    <t>角盒（左）</t>
  </si>
  <si>
    <t>6P001-6P020</t>
  </si>
  <si>
    <t>CB5512300-015R001</t>
  </si>
  <si>
    <t>角盒（右）</t>
  </si>
  <si>
    <t>C532210912-001-001</t>
  </si>
  <si>
    <t>卡环</t>
  </si>
  <si>
    <t>00P017 00P018</t>
  </si>
  <si>
    <t>铝头，铣刀磨损，换铝头2只，铣刀1只，试铝共计2H</t>
  </si>
  <si>
    <t>00P014</t>
  </si>
  <si>
    <t>首件调试</t>
  </si>
  <si>
    <t>DD-J10-61031-44</t>
  </si>
  <si>
    <t>压板</t>
  </si>
  <si>
    <t>C6P006</t>
  </si>
  <si>
    <t>CB5315193-005-003</t>
  </si>
  <si>
    <t>口盖</t>
  </si>
  <si>
    <t>5P002</t>
  </si>
  <si>
    <t>CB5324320-007L009</t>
  </si>
  <si>
    <t>横梁</t>
  </si>
  <si>
    <t>6P006</t>
  </si>
  <si>
    <t>去除多余的量1.5H</t>
  </si>
  <si>
    <t>6P005</t>
  </si>
  <si>
    <t>5P016</t>
  </si>
  <si>
    <t>5P019/5P013</t>
  </si>
  <si>
    <t>下工装2H 装夹1件 下料2件</t>
  </si>
  <si>
    <t>拆工装3H</t>
  </si>
  <si>
    <t>DD-J10S-91001-1</t>
  </si>
  <si>
    <t>4P301</t>
  </si>
  <si>
    <t>3D打印</t>
  </si>
  <si>
    <t>531A9110-001-001</t>
  </si>
  <si>
    <t>前起落架舱门结构支撑梁</t>
  </si>
  <si>
    <t>8B</t>
  </si>
  <si>
    <t>C532210911-001L001</t>
  </si>
  <si>
    <t>左内侧接头</t>
  </si>
  <si>
    <t>00P004</t>
  </si>
  <si>
    <t>C532210921-001R001</t>
  </si>
  <si>
    <t>右外侧接头</t>
  </si>
  <si>
    <t>上下工装各一个用时3H,修左右外侧接头工装一个</t>
  </si>
  <si>
    <t>z朱建</t>
  </si>
  <si>
    <t>CB5822016-029R001</t>
  </si>
  <si>
    <t>角片</t>
  </si>
  <si>
    <t>25序首调</t>
  </si>
  <si>
    <t>DD-J10-61041-2</t>
  </si>
  <si>
    <t>管接头</t>
  </si>
  <si>
    <t>首调，每件还找平拉直耳片</t>
  </si>
  <si>
    <t>CB5323400-008R001</t>
  </si>
  <si>
    <t>外侧轴承盖</t>
  </si>
  <si>
    <t>6P001</t>
  </si>
  <si>
    <t>DD-J10-21102-32-Y</t>
  </si>
  <si>
    <t>10060下接头</t>
  </si>
  <si>
    <t>D</t>
  </si>
  <si>
    <t>C7P008</t>
  </si>
  <si>
    <t>C7P001-C7P008</t>
  </si>
  <si>
    <t>调试镗刀2H</t>
  </si>
  <si>
    <t>CB5323220-052-024</t>
  </si>
  <si>
    <t>9350-11140侧上梁</t>
  </si>
  <si>
    <t>5P012</t>
  </si>
  <si>
    <t>装工装2H,首件调试，装夹1件</t>
  </si>
  <si>
    <t>DD-J10B-26002-1G2-Z</t>
  </si>
  <si>
    <t>梁</t>
  </si>
  <si>
    <t>6P029</t>
  </si>
  <si>
    <t>C552004000-001R001</t>
  </si>
  <si>
    <t>装夹1件，首件鉴定</t>
  </si>
  <si>
    <t>8B 8C</t>
  </si>
  <si>
    <t xml:space="preserve">调序 </t>
  </si>
  <si>
    <t>O0P004</t>
  </si>
  <si>
    <t>CB5324500-004R004</t>
  </si>
  <si>
    <t>后端框</t>
  </si>
  <si>
    <t>拆工装板3小时</t>
  </si>
  <si>
    <t>装夹1件，首件调试</t>
  </si>
  <si>
    <t>检测单件180分钟</t>
  </si>
  <si>
    <t>CB5714200-005L002</t>
  </si>
  <si>
    <t>2470肋五段（左）</t>
  </si>
  <si>
    <t>531A9100-007-001</t>
  </si>
  <si>
    <t>前起落架水平接头</t>
  </si>
  <si>
    <t>8A</t>
  </si>
  <si>
    <t>C532210921-001L001</t>
  </si>
  <si>
    <t>左外侧接头</t>
  </si>
  <si>
    <t>调30/35</t>
  </si>
  <si>
    <t>调试钻头2H</t>
  </si>
  <si>
    <t>DD-J10-21102-273</t>
  </si>
  <si>
    <t>4#上垫片</t>
  </si>
  <si>
    <t>C7P003</t>
  </si>
  <si>
    <t>调10序1H</t>
  </si>
  <si>
    <t>梁（左件）</t>
  </si>
  <si>
    <t>6P030</t>
  </si>
  <si>
    <t>首件准备，装夹1件</t>
  </si>
  <si>
    <t>C6P003</t>
  </si>
  <si>
    <t>CB5323210-005L065</t>
  </si>
  <si>
    <t>5P012/5P020</t>
  </si>
  <si>
    <t>首件准备，装夹1件（两精孔差0.2，工艺叫暂停加工）</t>
  </si>
  <si>
    <t>CB5512300-005R002</t>
  </si>
  <si>
    <t>5P004</t>
  </si>
  <si>
    <t>5序装夹3次，调5工序</t>
  </si>
  <si>
    <t>DD-J10B-25002-30G2-1G2-Z</t>
  </si>
  <si>
    <t>7P005</t>
  </si>
  <si>
    <t>首件调试 装夹1件 上工装2H</t>
  </si>
  <si>
    <t>上方箱，上工装3H,热机5H</t>
  </si>
  <si>
    <t>CB5327110-003R002</t>
  </si>
  <si>
    <t>8635右隔框</t>
  </si>
  <si>
    <t>E</t>
  </si>
  <si>
    <t>5P008</t>
  </si>
  <si>
    <t>上方箱2个，上工装4H,调试装夹</t>
  </si>
  <si>
    <t>装夹1件，下工装2H</t>
  </si>
  <si>
    <t>首件鉴定20H</t>
  </si>
  <si>
    <t>5P018/5P010</t>
  </si>
  <si>
    <t>00P015</t>
  </si>
  <si>
    <t>8C</t>
  </si>
  <si>
    <t>C532210911-001R001</t>
  </si>
  <si>
    <t>右内侧接头</t>
  </si>
  <si>
    <t>2470肋五段</t>
  </si>
  <si>
    <t>CB5714200-005R002</t>
  </si>
  <si>
    <t>2470肋五段（右）</t>
  </si>
  <si>
    <t>装夹6件</t>
  </si>
  <si>
    <t>CB5315191-012R003</t>
  </si>
  <si>
    <t>进气下侧壁</t>
  </si>
  <si>
    <t>C7P001</t>
  </si>
  <si>
    <t>角盒</t>
  </si>
  <si>
    <t>6P016-6P020</t>
  </si>
  <si>
    <t>6P001-6P003</t>
  </si>
  <si>
    <t>5P002/6P002</t>
  </si>
  <si>
    <t>DD-J10B-04061-1</t>
  </si>
  <si>
    <t>10860框</t>
  </si>
  <si>
    <t>K</t>
  </si>
  <si>
    <t>7P012/7P014</t>
  </si>
  <si>
    <t>首件调序，装夹2件</t>
  </si>
  <si>
    <t>程序加工60，不含加压2次压板钻板加工</t>
  </si>
  <si>
    <t>6P0012/6P0015</t>
  </si>
  <si>
    <t>首件调试，装夹1件</t>
  </si>
  <si>
    <t>1/4</t>
  </si>
  <si>
    <t>C7P007</t>
  </si>
  <si>
    <t>首调</t>
  </si>
  <si>
    <t>CB5314107-001-003</t>
  </si>
  <si>
    <t>5550上框</t>
  </si>
  <si>
    <t>C1</t>
  </si>
  <si>
    <t>6P007/6P008</t>
  </si>
  <si>
    <t>首件调试，装夹2件</t>
  </si>
  <si>
    <r>
      <rPr>
        <sz val="11"/>
        <color indexed="8"/>
        <rFont val="宋体"/>
        <family val="3"/>
        <charset val="134"/>
      </rPr>
      <t>C</t>
    </r>
    <r>
      <rPr>
        <sz val="11"/>
        <color indexed="8"/>
        <rFont val="宋体"/>
        <family val="3"/>
        <charset val="134"/>
      </rPr>
      <t>532210921-001R001</t>
    </r>
  </si>
  <si>
    <r>
      <rPr>
        <sz val="10"/>
        <color indexed="8"/>
        <rFont val="宋体"/>
        <family val="3"/>
        <charset val="134"/>
      </rPr>
      <t>0</t>
    </r>
    <r>
      <rPr>
        <sz val="10"/>
        <color indexed="8"/>
        <rFont val="宋体"/>
        <family val="3"/>
        <charset val="134"/>
      </rPr>
      <t>0P003</t>
    </r>
  </si>
  <si>
    <r>
      <rPr>
        <sz val="10"/>
        <color indexed="8"/>
        <rFont val="宋体"/>
        <family val="3"/>
        <charset val="134"/>
      </rPr>
      <t>0</t>
    </r>
    <r>
      <rPr>
        <sz val="10"/>
        <color indexed="8"/>
        <rFont val="宋体"/>
        <family val="3"/>
        <charset val="134"/>
      </rPr>
      <t>0P004</t>
    </r>
  </si>
  <si>
    <r>
      <rPr>
        <sz val="10"/>
        <color indexed="8"/>
        <rFont val="宋体"/>
        <family val="3"/>
        <charset val="134"/>
      </rPr>
      <t>6</t>
    </r>
    <r>
      <rPr>
        <sz val="10"/>
        <color indexed="8"/>
        <rFont val="宋体"/>
        <family val="3"/>
        <charset val="134"/>
      </rPr>
      <t>P001</t>
    </r>
  </si>
  <si>
    <r>
      <rPr>
        <sz val="10"/>
        <color indexed="8"/>
        <rFont val="宋体"/>
        <family val="3"/>
        <charset val="134"/>
      </rPr>
      <t>6</t>
    </r>
    <r>
      <rPr>
        <sz val="10"/>
        <color indexed="8"/>
        <rFont val="宋体"/>
        <family val="3"/>
        <charset val="134"/>
      </rPr>
      <t>P006/6P005</t>
    </r>
  </si>
  <si>
    <r>
      <rPr>
        <sz val="10"/>
        <color indexed="8"/>
        <rFont val="宋体"/>
        <family val="3"/>
        <charset val="134"/>
      </rPr>
      <t>6</t>
    </r>
    <r>
      <rPr>
        <sz val="10"/>
        <color indexed="8"/>
        <rFont val="宋体"/>
        <family val="3"/>
        <charset val="134"/>
      </rPr>
      <t>P005</t>
    </r>
  </si>
  <si>
    <r>
      <rPr>
        <sz val="11"/>
        <color indexed="8"/>
        <rFont val="宋体"/>
        <family val="3"/>
        <charset val="134"/>
      </rPr>
      <t>D</t>
    </r>
    <r>
      <rPr>
        <sz val="11"/>
        <color indexed="8"/>
        <rFont val="宋体"/>
        <family val="3"/>
        <charset val="134"/>
      </rPr>
      <t>D-J10-21102-32-Y</t>
    </r>
  </si>
  <si>
    <r>
      <rPr>
        <sz val="10"/>
        <color indexed="8"/>
        <rFont val="宋体"/>
        <family val="3"/>
        <charset val="134"/>
      </rPr>
      <t>C</t>
    </r>
    <r>
      <rPr>
        <sz val="10"/>
        <color indexed="8"/>
        <rFont val="宋体"/>
        <family val="3"/>
        <charset val="134"/>
      </rPr>
      <t>7P002</t>
    </r>
  </si>
  <si>
    <r>
      <rPr>
        <sz val="10"/>
        <color indexed="8"/>
        <rFont val="宋体"/>
        <family val="3"/>
        <charset val="134"/>
      </rPr>
      <t>8</t>
    </r>
    <r>
      <rPr>
        <sz val="10"/>
        <color indexed="8"/>
        <rFont val="宋体"/>
        <family val="3"/>
        <charset val="134"/>
      </rPr>
      <t>C</t>
    </r>
  </si>
  <si>
    <t>首件调试，试孔3H</t>
  </si>
  <si>
    <t>首件调试，试孔2H</t>
  </si>
  <si>
    <t>00P016/00P018</t>
  </si>
  <si>
    <t>DD-J10-21102-274</t>
  </si>
  <si>
    <t>4#下垫片</t>
  </si>
  <si>
    <t>C7P005</t>
  </si>
  <si>
    <t>CB5324420-001L/R003</t>
  </si>
  <si>
    <t>侧下梁</t>
  </si>
  <si>
    <t>5</t>
  </si>
  <si>
    <t>6P011</t>
  </si>
  <si>
    <t>调5序，10序，15序</t>
  </si>
  <si>
    <t>5P020</t>
  </si>
  <si>
    <t>首件，装夹2件</t>
  </si>
  <si>
    <t>5P015/5P011</t>
  </si>
  <si>
    <t>首件鉴定，工艺有问题叫停，中途返修2次</t>
  </si>
  <si>
    <t>10</t>
  </si>
  <si>
    <t>15</t>
  </si>
  <si>
    <t>做45序，工艺有问题</t>
  </si>
  <si>
    <t>DD-J10B-77101-963</t>
  </si>
  <si>
    <t>卡箍扣</t>
  </si>
  <si>
    <t>6P001/6P020</t>
  </si>
  <si>
    <t>BC5333100-007-001</t>
  </si>
  <si>
    <t>下大梁</t>
  </si>
  <si>
    <t>3P015-3P020</t>
  </si>
  <si>
    <t>装夹专用工装2H</t>
  </si>
  <si>
    <t>7P006-7P008/7P011</t>
  </si>
  <si>
    <t>装夹4件</t>
  </si>
  <si>
    <t>下风箱2件，下工装，上工装1H，首件调试</t>
  </si>
  <si>
    <t>首件调试，做工装3H</t>
  </si>
  <si>
    <t>H</t>
  </si>
  <si>
    <t>5P009-5P013</t>
  </si>
  <si>
    <t>首件调试，装夹4件</t>
  </si>
  <si>
    <t>C532221700-005-001-EM01-FJ01</t>
  </si>
  <si>
    <t>格栅（钻模01阴件01）</t>
  </si>
  <si>
    <t>15序实际运行3H</t>
  </si>
  <si>
    <t>C532221700-005-001-ZM01</t>
  </si>
  <si>
    <t>格栅（钻模01）</t>
  </si>
  <si>
    <t>做垫板工装2H,调序</t>
  </si>
  <si>
    <t>6P011-6P020</t>
  </si>
  <si>
    <t>40序首调</t>
  </si>
  <si>
    <t>20序首调</t>
  </si>
  <si>
    <t>00P018/00P017</t>
  </si>
  <si>
    <t>DD-J10-21102-60/-1/3-Y</t>
  </si>
  <si>
    <t>11968下口盖</t>
  </si>
  <si>
    <t>C7P004/C7P003</t>
  </si>
  <si>
    <t>7P009-7P012</t>
  </si>
  <si>
    <t>DD-J10B-25002-30G2-1G2-Y</t>
  </si>
  <si>
    <t>7P003</t>
  </si>
  <si>
    <t>装夹首件调试</t>
  </si>
  <si>
    <t>CB5326200-134L/R002</t>
  </si>
  <si>
    <t>9010 4号加强筋</t>
  </si>
  <si>
    <t>5P017 5P014</t>
  </si>
  <si>
    <t>拆工装，拆方箱2件，上工装拆3H,装夹首件调试</t>
  </si>
  <si>
    <t>5P018</t>
  </si>
  <si>
    <t>装夹</t>
  </si>
  <si>
    <t>CB5350500-010R006</t>
  </si>
  <si>
    <t>1号护板微型肋右件</t>
  </si>
  <si>
    <t>做25序，工装3H,装夹首件调试</t>
  </si>
  <si>
    <t>CB5322400-017-061</t>
  </si>
  <si>
    <t>11140框右下半框</t>
  </si>
  <si>
    <t>拆工装，上方箱，上工装3H,首件调试3件</t>
  </si>
  <si>
    <t>首件调序，装夹1件</t>
  </si>
  <si>
    <t>DD-J10B-61001-2</t>
  </si>
  <si>
    <t>接头</t>
  </si>
  <si>
    <t>7P004</t>
  </si>
  <si>
    <t>调30/35/40/45，试40序钻头2H</t>
  </si>
  <si>
    <t>C7P006</t>
  </si>
  <si>
    <t>7P010/7P013</t>
  </si>
  <si>
    <t>首件鉴定，158孔余量太多，镗孔程序运行十多次。</t>
  </si>
  <si>
    <t>DD-J10B-55171-151G2</t>
  </si>
  <si>
    <t>三通管接头</t>
  </si>
  <si>
    <t>37/23</t>
  </si>
  <si>
    <t>6P004</t>
  </si>
  <si>
    <t>5P017</t>
  </si>
  <si>
    <t>CB5512300-004R002</t>
  </si>
  <si>
    <t>4P015</t>
  </si>
  <si>
    <t>调序，装夹1件</t>
  </si>
  <si>
    <t>DD-J10B-21302-40G2-1-Z</t>
  </si>
  <si>
    <t>后梁四段</t>
  </si>
  <si>
    <t>4P018</t>
  </si>
  <si>
    <t>调20序，装夹1件</t>
  </si>
  <si>
    <t>7P001-7P004</t>
  </si>
  <si>
    <t>装夹3件，下工装2H</t>
  </si>
  <si>
    <t>5P003</t>
  </si>
  <si>
    <t>上方箱2个，调试装夹1件</t>
  </si>
  <si>
    <t>5P018/5P017</t>
  </si>
  <si>
    <t>装夹12件</t>
  </si>
  <si>
    <t>6P002-6P004</t>
  </si>
  <si>
    <t>装夹40.45.50各3件</t>
  </si>
  <si>
    <t>调序，装夹1件 首件鉴定20H</t>
  </si>
  <si>
    <t>C571310300-022L001</t>
  </si>
  <si>
    <t>外副作动器整流罩支撑件上段</t>
  </si>
  <si>
    <t>00P003/00P004</t>
  </si>
  <si>
    <t>6P008</t>
  </si>
  <si>
    <t>00P013 00P015 00P014</t>
  </si>
  <si>
    <t>C571310300-022R001</t>
  </si>
  <si>
    <t>6P007/6P008/6P009</t>
  </si>
  <si>
    <t>6P009/6P010/6P011</t>
  </si>
  <si>
    <t>5P013/5P011</t>
  </si>
  <si>
    <t>6P010/6P011</t>
  </si>
  <si>
    <t>首件准备，装夹2件</t>
  </si>
  <si>
    <t>加工10序，装夹虎钳垫块2H</t>
  </si>
  <si>
    <t>自制工装2H</t>
  </si>
  <si>
    <t>C533114600-004L001</t>
  </si>
  <si>
    <t>装备5序10序工装，自制15序工装共3H</t>
  </si>
  <si>
    <t>下吸盘，清洁工作台，飞大铝板。做下口盖工装共计4H</t>
  </si>
  <si>
    <t>1/5</t>
  </si>
  <si>
    <t>外副作动器整流罩支撑件上段(右）</t>
  </si>
  <si>
    <t>外副作动器整流罩支撑件上段(左）</t>
  </si>
  <si>
    <t>做三爪工装2H</t>
  </si>
  <si>
    <t>6P003</t>
  </si>
  <si>
    <t>C6P008</t>
  </si>
  <si>
    <t>上工装2H,首件调试装夹1件</t>
  </si>
  <si>
    <t>CB5324310-011L/R006</t>
  </si>
  <si>
    <t>型材</t>
  </si>
  <si>
    <t>调试首件，做工装3H</t>
  </si>
  <si>
    <t>调试首件，做工装2H</t>
  </si>
  <si>
    <t>C7P004</t>
  </si>
  <si>
    <t>8A/8B</t>
  </si>
  <si>
    <t>调序，装夹1件，首件鉴定</t>
  </si>
  <si>
    <t>每件拉直找坐标，装夹慢</t>
  </si>
  <si>
    <t>C532221700-005-001-2M01</t>
  </si>
  <si>
    <t>4P018 4P015 4P014</t>
  </si>
  <si>
    <t>7P009 7P015</t>
  </si>
  <si>
    <t>4P016</t>
  </si>
  <si>
    <t>6P001-6P010</t>
  </si>
  <si>
    <t>6P011-6P018</t>
  </si>
  <si>
    <t>首件调试，做20序定位工装1个2H</t>
  </si>
  <si>
    <t>00P013</t>
  </si>
  <si>
    <t>5P011</t>
  </si>
  <si>
    <t>5P009</t>
  </si>
  <si>
    <t>上下工装2H,调80序，调试镗刀2H</t>
  </si>
  <si>
    <t>CB5350500-010L006</t>
  </si>
  <si>
    <t>1号护板微型肋左件</t>
  </si>
  <si>
    <t>调试右件首件，等三坐标2H</t>
  </si>
  <si>
    <t>CB5322400-016-061</t>
  </si>
  <si>
    <t>11140框左下半框</t>
  </si>
  <si>
    <t>上工装上方箱1个，首件调试</t>
  </si>
  <si>
    <t>CB5327110-003L002</t>
  </si>
  <si>
    <t>8635左隔框</t>
  </si>
  <si>
    <t>上风箱，下风箱，下工装，上工装3.5H 首件调试</t>
  </si>
  <si>
    <t>7P001</t>
  </si>
  <si>
    <t>上工装，首件调试</t>
  </si>
  <si>
    <t>每件拉直找坐标</t>
  </si>
  <si>
    <t>7P015-7P20 6P040</t>
  </si>
  <si>
    <t>6P003-6P005 6P011-6P012</t>
  </si>
  <si>
    <t>AZ安装背板工装</t>
  </si>
  <si>
    <t>程序18H</t>
  </si>
  <si>
    <t>首件装夹，首件调试</t>
  </si>
  <si>
    <t>CB5324500-004L004</t>
  </si>
  <si>
    <t>装夹10件</t>
  </si>
  <si>
    <t>6P004 6P005</t>
  </si>
  <si>
    <t>CB5323210-002-028</t>
  </si>
  <si>
    <t>10540中框</t>
  </si>
  <si>
    <t>DD-J10-21102-60/-1/2-Y</t>
  </si>
  <si>
    <t>C7P003 C7P004</t>
  </si>
  <si>
    <t>BC5712521-001-004-GZ01</t>
  </si>
  <si>
    <t>摇臂工装01</t>
  </si>
  <si>
    <t>三序总计15H</t>
  </si>
  <si>
    <t>6P019 6P020</t>
  </si>
  <si>
    <t>6P016</t>
  </si>
  <si>
    <t>00P016-00P018</t>
  </si>
  <si>
    <t>7P015</t>
  </si>
  <si>
    <t>6P013</t>
  </si>
  <si>
    <t>7P016 7P018</t>
  </si>
  <si>
    <t>接头工装</t>
  </si>
  <si>
    <t>做工装，磨销子2H</t>
  </si>
  <si>
    <t>DD-J10-21102-60/-1/3-Z</t>
  </si>
  <si>
    <t>C7P003 C7P004 C7P006</t>
  </si>
  <si>
    <t>7P001-7P002</t>
  </si>
  <si>
    <t>装夹7件，下工装2H</t>
  </si>
  <si>
    <t>CB5324310-016-006</t>
  </si>
  <si>
    <t>带板</t>
  </si>
  <si>
    <t>6P007</t>
  </si>
  <si>
    <t>5P015 5P017-5P019</t>
  </si>
  <si>
    <t>调试装夹4件，待三坐标2H</t>
  </si>
  <si>
    <t>下工装2H</t>
  </si>
  <si>
    <t>上工装3H,首件准备，装夹1件</t>
  </si>
  <si>
    <t>调序，装夹1件 上工装2H</t>
  </si>
  <si>
    <t>调80工序，80工序装夹1次</t>
  </si>
  <si>
    <t>6P001-6P004</t>
  </si>
  <si>
    <t>6P011/6P013</t>
  </si>
  <si>
    <t>4P013/4P014</t>
  </si>
  <si>
    <t>新程序加工80，不含中途加压，2次压板，钻攻加工</t>
  </si>
  <si>
    <t>6p003</t>
  </si>
  <si>
    <t>80方装夹1次</t>
  </si>
  <si>
    <t>4P017</t>
  </si>
  <si>
    <t>20方装夹2次</t>
  </si>
  <si>
    <t>工件有问题返修3H，首件鉴定20H</t>
  </si>
  <si>
    <t>C7P004/C7P005</t>
  </si>
  <si>
    <t>C7P003-C7P006</t>
  </si>
  <si>
    <t>单件校形10分钟/件，共计10H</t>
  </si>
  <si>
    <t>11968下口盖，下工装，上吸盘，下吸盘共计2H</t>
  </si>
  <si>
    <t>1/6</t>
  </si>
  <si>
    <t>6P017 6P018</t>
  </si>
  <si>
    <t>DD-J10-21102-272</t>
  </si>
  <si>
    <t>3#下垫片</t>
  </si>
  <si>
    <t>DD-J10-21102-271</t>
  </si>
  <si>
    <t>3#上垫片</t>
  </si>
  <si>
    <t>6P040</t>
  </si>
  <si>
    <t>做工装2H</t>
  </si>
  <si>
    <t>首件调序</t>
  </si>
  <si>
    <t>6p013</t>
  </si>
  <si>
    <t>5P016/5P017</t>
  </si>
  <si>
    <t>00P016</t>
  </si>
  <si>
    <t>其中一件停电重新加工，精加工无法剪切</t>
  </si>
  <si>
    <t>BC552B300-002-001</t>
  </si>
  <si>
    <t>前肋</t>
  </si>
  <si>
    <t>2P005</t>
  </si>
  <si>
    <t>调10序 调15序 15序上下工装做工装2H</t>
  </si>
  <si>
    <t>CP005</t>
  </si>
  <si>
    <t>停电机床重跑2H</t>
  </si>
  <si>
    <t>5P002/5P004</t>
  </si>
  <si>
    <t>80方装夹1次 调镗刀 调24孔补正2H</t>
  </si>
  <si>
    <t>4P016/4P017</t>
  </si>
  <si>
    <t>程序加工80，钻攻加工，不含加压2次压板</t>
  </si>
  <si>
    <t>7P005-7P008 7P015-7P019</t>
  </si>
  <si>
    <t>6P006-6P010</t>
  </si>
  <si>
    <t>调试10H8镗刀1H</t>
  </si>
  <si>
    <t>设备故障，暖机8H</t>
  </si>
  <si>
    <t>行车坏暖机7H</t>
  </si>
  <si>
    <t>7P002</t>
  </si>
  <si>
    <t>停电重新运行程序4H</t>
  </si>
  <si>
    <t>停电导致机床故障，热机8H</t>
  </si>
  <si>
    <t>6P007/6P009</t>
  </si>
  <si>
    <t>装夹1件，69007停电重新多跑3.2H</t>
  </si>
  <si>
    <t>停电重新跑程式，热机3H</t>
  </si>
  <si>
    <t>调15序，装夹1件</t>
  </si>
  <si>
    <t>6P015 6P016</t>
  </si>
  <si>
    <t>1/7</t>
  </si>
  <si>
    <t>做垫板工装2H</t>
  </si>
  <si>
    <t>做背板工装3H</t>
  </si>
  <si>
    <t>上下垫板工装2H</t>
  </si>
  <si>
    <t>C552004000-001L/R001GZ03-FJ01</t>
  </si>
  <si>
    <t>下摇臂工装02，上钳2H</t>
  </si>
  <si>
    <t>C552004000-001L/R001-GZ63</t>
  </si>
  <si>
    <t>装夹1件1H，自编程序打孔</t>
  </si>
  <si>
    <t>00P017</t>
  </si>
  <si>
    <t>调试首件</t>
  </si>
  <si>
    <t>6P011-6P014</t>
  </si>
  <si>
    <t>4P019/4P020</t>
  </si>
  <si>
    <t>4P014 4P018</t>
  </si>
  <si>
    <t>下工装2H,调25序</t>
  </si>
  <si>
    <t>DD-J10B-86051-2</t>
  </si>
  <si>
    <t>激励器转接件</t>
  </si>
  <si>
    <t>下工装，调整工装4H，调58序。</t>
  </si>
  <si>
    <t>CB5324320-007R009</t>
  </si>
  <si>
    <t>4P012/4P013</t>
  </si>
  <si>
    <t>5311C13031G70</t>
  </si>
  <si>
    <t>加强件</t>
  </si>
  <si>
    <t>3A</t>
  </si>
  <si>
    <t>7P020</t>
  </si>
  <si>
    <t>KQ8 70 007A</t>
  </si>
  <si>
    <t>输出机匣</t>
  </si>
  <si>
    <t>上风箱2件，上工装2H，首件调试</t>
  </si>
  <si>
    <t>6P001-6P015</t>
  </si>
  <si>
    <t>5P011/5P012</t>
  </si>
  <si>
    <t>6P009/6P010</t>
  </si>
  <si>
    <t>DD-J10B-21402-10G2-1G2-Z</t>
  </si>
  <si>
    <t>固定前缘边肋（左件）</t>
  </si>
  <si>
    <t>拆工装3H，上工装调首件，拆方箱2个</t>
  </si>
  <si>
    <t>7P017</t>
  </si>
  <si>
    <t>装夹1</t>
  </si>
  <si>
    <t>7P012</t>
  </si>
  <si>
    <t>首件，装夹1</t>
  </si>
  <si>
    <t>C571110500-002L001</t>
  </si>
  <si>
    <t>前梁二段</t>
  </si>
  <si>
    <t>00P002</t>
  </si>
  <si>
    <t>首件，装夹1，上下工装，拆工装</t>
  </si>
  <si>
    <t>7P005-7P008</t>
  </si>
  <si>
    <t>5317C23409G70</t>
  </si>
  <si>
    <t>立柱加强接头</t>
  </si>
  <si>
    <t>7P001/7P003</t>
  </si>
  <si>
    <t>返修零件3H</t>
  </si>
  <si>
    <t>装夹5件</t>
  </si>
  <si>
    <t>上垫板工装做，3D打印工装2H</t>
  </si>
  <si>
    <t>6P040/7P003-7P004</t>
  </si>
  <si>
    <t>拆工装2H</t>
  </si>
  <si>
    <t>DD-J10B-94076-802</t>
  </si>
  <si>
    <t>支架</t>
  </si>
  <si>
    <t>BC2716320-001-003</t>
  </si>
  <si>
    <t>插槽</t>
  </si>
  <si>
    <t>做垫块2H</t>
  </si>
  <si>
    <t>25序首调 30序首调 35序首调</t>
  </si>
  <si>
    <t>CP016</t>
  </si>
  <si>
    <t>00P017 00P013 00P018</t>
  </si>
  <si>
    <t>10序调，上下工装2H</t>
  </si>
  <si>
    <t>调序，来料大去除大余量3件共3H</t>
  </si>
  <si>
    <t>铣工装，改程序，磨钻头，共计4H</t>
  </si>
  <si>
    <t>C571110500-002R001</t>
  </si>
  <si>
    <t>C552004000-001L/R001-GZ03</t>
  </si>
  <si>
    <t>调镗刀2H</t>
  </si>
  <si>
    <t>调序，装夹1件，上工装2H，首件鉴定</t>
  </si>
  <si>
    <t>下工装装虎钳2H,调35序，35序装夹4次</t>
  </si>
  <si>
    <t>00P016 00P018</t>
  </si>
  <si>
    <t>4P013 4P015</t>
  </si>
  <si>
    <t>调试装夹6件</t>
  </si>
  <si>
    <t>CB5325210-001-004</t>
  </si>
  <si>
    <t>辅助动力舱口盖前段</t>
  </si>
  <si>
    <t>5P016 5P018</t>
  </si>
  <si>
    <t>下方箱2件，上工装4H,调试装夹2件</t>
  </si>
  <si>
    <t>首件调试，装夹6件，上工装2H</t>
  </si>
  <si>
    <t>首件调试，装夹1件，上工装2H</t>
  </si>
  <si>
    <t>首调、</t>
  </si>
  <si>
    <t>试件2件</t>
  </si>
  <si>
    <t>上下工装2H,25序装夹1次，调25工序</t>
  </si>
  <si>
    <t>C6P007</t>
  </si>
  <si>
    <t>1/8</t>
  </si>
  <si>
    <t>CB5323400-008L001</t>
  </si>
  <si>
    <t>改工艺，检刀具4H</t>
  </si>
  <si>
    <t>DD-J10-41173-141</t>
  </si>
  <si>
    <t>拨叉</t>
  </si>
  <si>
    <t>J</t>
  </si>
  <si>
    <t>C6P301-C6P303</t>
  </si>
  <si>
    <t>余量大，去除余量每件1H，共3件</t>
  </si>
  <si>
    <t>7P003 7P004</t>
  </si>
  <si>
    <t>CB5324500-003L002</t>
  </si>
  <si>
    <t>前端框</t>
  </si>
  <si>
    <t>5P005</t>
  </si>
  <si>
    <t>上风箱3件，上工装3H，首件调试</t>
  </si>
  <si>
    <t>5P017 5P003</t>
  </si>
  <si>
    <t>6P002/5P002</t>
  </si>
  <si>
    <t>装夹14件</t>
  </si>
  <si>
    <t>首件调试，多次换压板</t>
  </si>
  <si>
    <t>调试首件，上工装2H</t>
  </si>
  <si>
    <t>做背板工装3H 试孔1H</t>
  </si>
  <si>
    <t>6P012</t>
  </si>
  <si>
    <t>更改工艺重新走程序2H，首件鉴定</t>
  </si>
  <si>
    <t>装夹1件，重新上背板工装2H</t>
  </si>
  <si>
    <t>4P014</t>
  </si>
  <si>
    <t>CB5324321-010-006</t>
  </si>
  <si>
    <t>下上工装2H,调5序</t>
  </si>
  <si>
    <t>5P009/5P010</t>
  </si>
  <si>
    <t>首件调试装夹1件</t>
  </si>
  <si>
    <t>DD-J10-55014-2160-1</t>
  </si>
  <si>
    <t>耳环螺栓</t>
  </si>
  <si>
    <t>C6P062</t>
  </si>
  <si>
    <t>下上工装，调整工装共计3H,调55序</t>
  </si>
  <si>
    <t>7P014</t>
  </si>
  <si>
    <t>7p012</t>
  </si>
  <si>
    <t>25序装夹1次</t>
  </si>
  <si>
    <t>DD-J10-41173-147</t>
  </si>
  <si>
    <t>C6P031-C6P033</t>
  </si>
  <si>
    <t>6P015</t>
  </si>
  <si>
    <t>DD-J10B-82000-101G2</t>
  </si>
  <si>
    <t>地板</t>
  </si>
  <si>
    <t>7P008-7P013</t>
  </si>
  <si>
    <t>上下方箱工装2个回合5H，上方箱2个，上工装首件调试</t>
  </si>
  <si>
    <t>装夹工装2H,试钻头1H</t>
  </si>
  <si>
    <t>DD-J10B-54601-10-1</t>
  </si>
  <si>
    <t>过渡板</t>
  </si>
  <si>
    <t>C7P002</t>
  </si>
  <si>
    <t>CB5327310-014L/R001</t>
  </si>
  <si>
    <t>大舱门前缘冒型材</t>
  </si>
  <si>
    <t>00P013-00P018</t>
  </si>
  <si>
    <t>凹凸模</t>
  </si>
  <si>
    <t>ZJ总计8H</t>
  </si>
  <si>
    <t>7P008</t>
  </si>
  <si>
    <t>10序首调</t>
  </si>
  <si>
    <t>上工装2H，装夹1件，首件调试</t>
  </si>
  <si>
    <t>拆吸盘工装2H，装夹1件</t>
  </si>
  <si>
    <t>CB5327120-013L015</t>
  </si>
  <si>
    <t>10150侧隔框</t>
  </si>
  <si>
    <t>6P002/6P004/6P005/6P006</t>
  </si>
  <si>
    <t>上方箱2个，上工装3H，装夹4件，首件调试</t>
  </si>
  <si>
    <t>拆工装上工装返修工装3H，装夹2件，首件调试</t>
  </si>
  <si>
    <t>5P007</t>
  </si>
  <si>
    <t>程序时间70分钟</t>
  </si>
  <si>
    <t>来料大，去除余量3H（3件）</t>
  </si>
  <si>
    <t>调序，做垫板工装2H</t>
  </si>
  <si>
    <t>5P010</t>
  </si>
  <si>
    <t>DD-J10-34103-4</t>
  </si>
  <si>
    <t>上边肋</t>
  </si>
  <si>
    <t>GCC7P009</t>
  </si>
  <si>
    <t>首件测试装夹1件，装工装2H</t>
  </si>
  <si>
    <t>加工工装</t>
  </si>
  <si>
    <t>6P010</t>
  </si>
  <si>
    <t>上下工装铣工装2H</t>
  </si>
  <si>
    <t>GC7P002</t>
  </si>
  <si>
    <t>5序调序加工工装2H</t>
  </si>
  <si>
    <t>00P013-00P015</t>
  </si>
  <si>
    <t>CB229C070-001R001</t>
  </si>
  <si>
    <t>5P001</t>
  </si>
  <si>
    <t>自制50序工装夹具2H</t>
  </si>
  <si>
    <t>3DDY-TUMLL</t>
  </si>
  <si>
    <t>凸横</t>
  </si>
  <si>
    <t>7P008-7P012</t>
  </si>
  <si>
    <t>拆装10序15序工装夹具2H</t>
  </si>
  <si>
    <t>7P012-7P019</t>
  </si>
  <si>
    <t>DD-J10-21102-32-Z</t>
  </si>
  <si>
    <t>C7P009-C7P020</t>
  </si>
  <si>
    <t>调3 5 8序</t>
  </si>
  <si>
    <t>DD-J10B-02121-1AG2-Y</t>
  </si>
  <si>
    <t>BL280侧壁（右件）</t>
  </si>
  <si>
    <t>首件调试，装夹1件，上左右工装4H</t>
  </si>
  <si>
    <t>5P005 6P002</t>
  </si>
  <si>
    <t>CB5324500-003R002</t>
  </si>
  <si>
    <t>上方箱3件，上工装调试</t>
  </si>
  <si>
    <t>CB5327120-013R015</t>
  </si>
  <si>
    <t>6P002-6P006</t>
  </si>
  <si>
    <t>上工装2H,调试装夹5件</t>
  </si>
  <si>
    <t>程序有问题，停机8H</t>
  </si>
  <si>
    <t>1/9</t>
  </si>
  <si>
    <t>DD-J10-06031-404</t>
  </si>
  <si>
    <t>15序上下背板工装2H</t>
  </si>
  <si>
    <t>1/10</t>
  </si>
  <si>
    <t xml:space="preserve">20序上背板工装2H </t>
  </si>
  <si>
    <t>5319C02301G70</t>
  </si>
  <si>
    <t>程序时间72分钟</t>
  </si>
  <si>
    <t>6P003-6P006</t>
  </si>
  <si>
    <t>6P011/6P012</t>
  </si>
  <si>
    <t>做工装3H,调15序</t>
  </si>
  <si>
    <t>装夹3件，等三坐标3H</t>
  </si>
  <si>
    <t>CB5327120-010R015</t>
  </si>
  <si>
    <t>9555侧隔框</t>
  </si>
  <si>
    <t>上风箱1件，上工装2H，首件调试，装夹6件</t>
  </si>
  <si>
    <t>GCC7P009/GCC7P010</t>
  </si>
  <si>
    <t>装夹1件，首件准备，调10H7镗刀1.5H</t>
  </si>
  <si>
    <t>6P007/6P009/6P010</t>
  </si>
  <si>
    <t>00P002/00P003</t>
  </si>
  <si>
    <t>装夹2件，自制垫板工装2H</t>
  </si>
  <si>
    <t>6P017</t>
  </si>
  <si>
    <t>4P014/4P015</t>
  </si>
  <si>
    <t>C7P009/C7P010</t>
  </si>
  <si>
    <t>00P014/00P017/00P018</t>
  </si>
  <si>
    <t>7P009/7P010</t>
  </si>
  <si>
    <t>30序调序，上下工装2H，装夹</t>
  </si>
  <si>
    <t>6P004-6P009</t>
  </si>
  <si>
    <t>拆工装上工装2H，首件调试，装夹6件</t>
  </si>
  <si>
    <t>C533114600-004R001</t>
  </si>
  <si>
    <t>DD-J10B-02121-1AG2-Z</t>
  </si>
  <si>
    <t>BL280侧壁（左件）</t>
  </si>
  <si>
    <t>7P007</t>
  </si>
  <si>
    <t>上工装2H,装夹调试</t>
  </si>
  <si>
    <t>7P010</t>
  </si>
  <si>
    <t>6P018</t>
  </si>
  <si>
    <t>GCC7P010</t>
  </si>
  <si>
    <t>加班</t>
  </si>
  <si>
    <t>4P013</t>
  </si>
  <si>
    <t>上背板专用工装2H,调试镗孔2H</t>
  </si>
  <si>
    <t>7P007/7P008</t>
  </si>
  <si>
    <t>CB5714100-002L003</t>
  </si>
  <si>
    <t>根肋二段</t>
  </si>
  <si>
    <t>拆工装上方箱2件，工装3H</t>
  </si>
  <si>
    <t>CB5327120-003L/R006</t>
  </si>
  <si>
    <t>8270侧隔框</t>
  </si>
  <si>
    <t>维修工压机，热机8H</t>
  </si>
  <si>
    <t>HTM-DF3220</t>
  </si>
  <si>
    <t>上工装做工装4H,首件调试装夹1件</t>
  </si>
  <si>
    <t>装夹1件，热机3H</t>
  </si>
  <si>
    <t>1/11</t>
  </si>
  <si>
    <t>DD-J10S-06031-410-1</t>
  </si>
  <si>
    <t>上虎钳，铣工装2H</t>
  </si>
  <si>
    <t>首件装夹1件</t>
  </si>
  <si>
    <t>调序，上工装2H,装夹1件</t>
  </si>
  <si>
    <t>7P013</t>
  </si>
  <si>
    <t>20序上背板工装2H 25序上垫板工装2H</t>
  </si>
  <si>
    <t>调试3道序，40序调试镗刀2H</t>
  </si>
  <si>
    <t>调33序1H，做工装2H</t>
  </si>
  <si>
    <t>C552103000-026L001</t>
  </si>
  <si>
    <t>前缘短肋</t>
  </si>
  <si>
    <t>DD-J10-78140-2110-1</t>
  </si>
  <si>
    <t>铰链</t>
  </si>
  <si>
    <t>C4P302</t>
  </si>
  <si>
    <t>BC2712542-001-001</t>
  </si>
  <si>
    <t>带耳螺栓</t>
  </si>
  <si>
    <t>做虎钳垫块工装2H</t>
  </si>
  <si>
    <t>5317C11003G71</t>
  </si>
  <si>
    <t>调试首件（打样）做工装2H</t>
  </si>
  <si>
    <t>5317C11004G71</t>
  </si>
  <si>
    <t>调试首件，首件鉴定</t>
  </si>
  <si>
    <t>调试首件，打样</t>
  </si>
  <si>
    <t>00P013-00P017</t>
  </si>
  <si>
    <t>首件调序，上下工装，铣铝垫块2H,调80镗刀3H</t>
  </si>
  <si>
    <t>调序，上工装2H,装夹1件，调镗刀</t>
  </si>
  <si>
    <t>Y20-5317001074-501</t>
  </si>
  <si>
    <t>1#竖梁</t>
  </si>
  <si>
    <t>调序装夹2件</t>
  </si>
  <si>
    <t>7P013/7P016</t>
  </si>
  <si>
    <t>GCC7P011</t>
  </si>
  <si>
    <t>DD-J10B-04501-10-1-Y</t>
  </si>
  <si>
    <t>BL900侧梁</t>
  </si>
  <si>
    <t>7P009-7P011</t>
  </si>
  <si>
    <t>首件准备，装夹3件</t>
  </si>
  <si>
    <t>CB5714100-002R003</t>
  </si>
  <si>
    <t>首件调试，装夹9件</t>
  </si>
  <si>
    <t>上风箱2件，上工装2H,做工装飞面2H，首件调试</t>
  </si>
  <si>
    <t>上风箱2件，上工装下风箱/上工装上风箱1件，首件调试</t>
  </si>
  <si>
    <t>CB5714100-003L003</t>
  </si>
  <si>
    <t>根肋三段</t>
  </si>
  <si>
    <t>上方箱，铣方箱6H，上工装首件调试</t>
  </si>
  <si>
    <t>19/26</t>
  </si>
  <si>
    <t>C7P011/C7P012</t>
  </si>
  <si>
    <t>6P009/6P011</t>
  </si>
  <si>
    <t>7P008-7P010</t>
  </si>
  <si>
    <t>自制15序，垫板工装2H</t>
  </si>
  <si>
    <t>6P014</t>
  </si>
  <si>
    <t>程序加工3H，还要换压板</t>
  </si>
  <si>
    <t>首调加工工装2H</t>
  </si>
  <si>
    <t>00P018</t>
  </si>
  <si>
    <t>5319C96017G70</t>
  </si>
  <si>
    <t>短框连接块</t>
  </si>
  <si>
    <t>上下虎钳粘垫块2H</t>
  </si>
  <si>
    <t>做铝钳口和垫块4H</t>
  </si>
  <si>
    <t>下背板，清洁工作台做工装3H</t>
  </si>
  <si>
    <t>8A-8C</t>
  </si>
  <si>
    <t>6P017-6P020</t>
  </si>
  <si>
    <t>7P017-7P019</t>
  </si>
  <si>
    <t>Y20-5317001074-502</t>
  </si>
  <si>
    <t>5序装夹2件，10序装夹2件，10序上垫块工装定位块2H</t>
  </si>
  <si>
    <t>10序装夹2件</t>
  </si>
  <si>
    <t>做30序背板工装3H</t>
  </si>
  <si>
    <t>15序做垫板工装2H</t>
  </si>
  <si>
    <t>GCC7P011/GCC7P012</t>
  </si>
  <si>
    <t>7P009</t>
  </si>
  <si>
    <t>7P011</t>
  </si>
  <si>
    <t>装工装3H.首件准备装夹1件</t>
  </si>
  <si>
    <t>拆工装上工装3H，首件调试装夹1件</t>
  </si>
  <si>
    <t>拆工装，拆方箱2，工艺有问题停机4H</t>
  </si>
  <si>
    <t>5P011/5P017</t>
  </si>
  <si>
    <t>C533114600-005L001</t>
  </si>
  <si>
    <t>拆工装上工装2H,装夹首件调试，装夹2件</t>
  </si>
  <si>
    <t>4P015/4P017/4P018</t>
  </si>
  <si>
    <t>C7P012/C7P013</t>
  </si>
  <si>
    <t>1/12</t>
  </si>
  <si>
    <t>做工装2H，调30序1H</t>
  </si>
  <si>
    <t>CB5822016-029L001</t>
  </si>
  <si>
    <t>5P021</t>
  </si>
  <si>
    <t>调33序1H</t>
  </si>
  <si>
    <t>C7P014/C7P015</t>
  </si>
  <si>
    <t>首件调试，做工装2H</t>
  </si>
  <si>
    <t>试钻头做背板工装3H</t>
  </si>
  <si>
    <t>调25工序,25序装夹1次</t>
  </si>
  <si>
    <t>00P014/00P016/00P017</t>
  </si>
  <si>
    <t>调镗刀3H，镗孔加工运行2H/件</t>
  </si>
  <si>
    <t>6P014-6P016</t>
  </si>
  <si>
    <t>调试首件（打样）</t>
  </si>
  <si>
    <t>GCC7P012/GCC7P013</t>
  </si>
  <si>
    <t>GCC7P012</t>
  </si>
  <si>
    <t>装夹1件，拆工装2H</t>
  </si>
  <si>
    <t>C532111100-001R001</t>
  </si>
  <si>
    <t>外侧梁</t>
  </si>
  <si>
    <t>调5序，5序装夹1次</t>
  </si>
  <si>
    <t>C532111100-001L001</t>
  </si>
  <si>
    <t>4P019</t>
  </si>
  <si>
    <t>做工装4H</t>
  </si>
  <si>
    <t>5319C55013G70</t>
  </si>
  <si>
    <t>连接接头</t>
  </si>
  <si>
    <t>调试首件，做背板工装2H</t>
  </si>
  <si>
    <t>5317C23403G70</t>
  </si>
  <si>
    <t>回收锁销接头</t>
  </si>
  <si>
    <t>上虎钳做垫块2H</t>
  </si>
  <si>
    <t>装夹工装2H</t>
  </si>
  <si>
    <t>5317C11005G71</t>
  </si>
  <si>
    <t>7P010-7P013</t>
  </si>
  <si>
    <t>安装虎钳，铣工装垫块2H</t>
  </si>
  <si>
    <t>C7P016/C7P017</t>
  </si>
  <si>
    <t>安装调试工装共计2H，调试镗刀3H</t>
  </si>
  <si>
    <t>20序加工工装2H</t>
  </si>
  <si>
    <t>调试60序镗刀2H</t>
  </si>
  <si>
    <t>6P016-6P019</t>
  </si>
  <si>
    <t>调5序，装夹1件</t>
  </si>
  <si>
    <t>501装夹2件，502装夹2件</t>
  </si>
  <si>
    <t>1/13</t>
  </si>
  <si>
    <t>C7P018 C7P019</t>
  </si>
  <si>
    <t>CB2295170-001-002</t>
  </si>
  <si>
    <t>安装支座</t>
  </si>
  <si>
    <t>5P003 5P002 4P002</t>
  </si>
  <si>
    <t>6P001-6P002</t>
  </si>
  <si>
    <t>7P018-7P019</t>
  </si>
  <si>
    <t>CB22956R1-001R001</t>
  </si>
  <si>
    <t>座子</t>
  </si>
  <si>
    <t>DD-J10B-02021-3/1-Y</t>
  </si>
  <si>
    <t>雷达罩锁支座</t>
  </si>
  <si>
    <t>DD-J10B-02021-3/1-Z</t>
  </si>
  <si>
    <t>DD-J10B-02021-3/2-Z</t>
  </si>
  <si>
    <t>铣换工装垫块 上换工装 工艺多次改动 调试零件10H</t>
  </si>
  <si>
    <t>DD-J10-42074-90-1-Z</t>
  </si>
  <si>
    <t>5319C02201G70</t>
  </si>
  <si>
    <t>3A 3B</t>
  </si>
  <si>
    <t>Z做工装2H</t>
  </si>
  <si>
    <t>C6P006 C6P008</t>
  </si>
  <si>
    <t>4P015 4P017</t>
  </si>
  <si>
    <t>S上下工装2H</t>
  </si>
  <si>
    <t>00p004</t>
  </si>
  <si>
    <t>C532210931-001-001</t>
  </si>
  <si>
    <t>中推力销支座接头</t>
  </si>
  <si>
    <t>找卡簧-19 找刀3H</t>
  </si>
  <si>
    <t>7P019-7P020</t>
  </si>
  <si>
    <t>7P018-7P020</t>
  </si>
  <si>
    <t>S上工装 拆根肋二段 方箱2个 2H</t>
  </si>
  <si>
    <t>DD-J10S-06021-107</t>
  </si>
  <si>
    <t>后隔框</t>
  </si>
  <si>
    <t>A-1</t>
  </si>
  <si>
    <t>6P027</t>
  </si>
  <si>
    <t>S上工装2H</t>
  </si>
  <si>
    <t>5P003 5P005</t>
  </si>
  <si>
    <t>S上方箱2个 工装4H</t>
  </si>
  <si>
    <t>5P003 4P002</t>
  </si>
  <si>
    <t>Z做专用工装3H</t>
  </si>
  <si>
    <t>DD-J10B-02161-501</t>
  </si>
  <si>
    <t>5755横框</t>
  </si>
  <si>
    <t>GC7P015-GC7P031</t>
  </si>
  <si>
    <t>下大工装板 清洁工装台2H</t>
  </si>
  <si>
    <t>3B</t>
  </si>
  <si>
    <t>7P009 7P010</t>
  </si>
  <si>
    <t>GCC7P014</t>
  </si>
  <si>
    <t>C拆工装2H</t>
  </si>
  <si>
    <t>7P010-7P009</t>
  </si>
  <si>
    <t>Z做工装3H</t>
  </si>
  <si>
    <t>调挡刀 铰刀 找正零件15H</t>
  </si>
  <si>
    <t>Z朱建</t>
  </si>
  <si>
    <t>C533114600-005R001</t>
  </si>
  <si>
    <t>XZC-CG-01</t>
  </si>
  <si>
    <t>XZC储罐</t>
  </si>
  <si>
    <t>自制工装 垫块5H</t>
  </si>
  <si>
    <t>夹具专用工装12H</t>
  </si>
  <si>
    <t>Z做工装 调试钻头4H</t>
  </si>
  <si>
    <t>CB5811100-003-001</t>
  </si>
  <si>
    <t>螺栓</t>
  </si>
  <si>
    <t>CB229C050-014-003</t>
  </si>
  <si>
    <t>Z支架</t>
  </si>
  <si>
    <t>CB2284480-003-001</t>
  </si>
  <si>
    <t>四通接头</t>
  </si>
  <si>
    <t>自制工装2H 试钻头1H</t>
  </si>
  <si>
    <t xml:space="preserve">C6P006 </t>
  </si>
  <si>
    <t>7P007-7P008</t>
  </si>
  <si>
    <t>5P04-5P005</t>
  </si>
  <si>
    <t>6P003-1</t>
  </si>
  <si>
    <t>C拆工装 方箱2个 上工装4H</t>
  </si>
  <si>
    <t>镗孔3H 程序限位</t>
  </si>
  <si>
    <t>7P005-7P007</t>
  </si>
  <si>
    <t>DD-J10B-26002-1G2-Y</t>
  </si>
  <si>
    <t>梁（右件）</t>
  </si>
  <si>
    <t>6P027-6P030</t>
  </si>
  <si>
    <t>Y20-5312225701-001</t>
  </si>
  <si>
    <t>纵向加强件</t>
  </si>
  <si>
    <t>C拆工装上工装4H  装夹调试 把零件装好 程序不对</t>
  </si>
  <si>
    <t>CB5327120-003L006</t>
  </si>
  <si>
    <t>5P010-5P011</t>
  </si>
  <si>
    <t>CB5327120-003R006</t>
  </si>
  <si>
    <t>CB5327110-002L004</t>
  </si>
  <si>
    <t>8270左隔框</t>
  </si>
  <si>
    <t>5P012-5P014</t>
  </si>
  <si>
    <t>CB5327110-002R004</t>
  </si>
  <si>
    <t>8270右隔框</t>
  </si>
  <si>
    <t>C532111100-002R001</t>
  </si>
  <si>
    <t>内侧梁</t>
  </si>
  <si>
    <t>多次调试 找正坐标 8H</t>
  </si>
  <si>
    <t>xZC-CG-01</t>
  </si>
  <si>
    <t>xZC储罐</t>
  </si>
  <si>
    <t>Z总计15H</t>
  </si>
  <si>
    <t>C7P019</t>
  </si>
  <si>
    <t>00p002</t>
  </si>
  <si>
    <t>7P016 7P013</t>
  </si>
  <si>
    <t>7P011 7P012</t>
  </si>
  <si>
    <t>1/14</t>
  </si>
  <si>
    <t xml:space="preserve">7P016 </t>
  </si>
  <si>
    <t>6P004-6P005</t>
  </si>
  <si>
    <t>Z做工装 上虎钳 5H</t>
  </si>
  <si>
    <t>调试2个精孔3H</t>
  </si>
  <si>
    <t xml:space="preserve">7P009 </t>
  </si>
  <si>
    <t>5P012-5P013</t>
  </si>
  <si>
    <t>Sj首件鉴定20H</t>
  </si>
  <si>
    <t>Sj首件鉴定 S上工装2H</t>
  </si>
  <si>
    <t>X下工装2H</t>
  </si>
  <si>
    <t>CB5327120-002L033</t>
  </si>
  <si>
    <t>8120侧隔框</t>
  </si>
  <si>
    <t>6P003-1 5P002</t>
  </si>
  <si>
    <t>等修改程序3H</t>
  </si>
  <si>
    <t>9350-11140右侧上梁</t>
  </si>
  <si>
    <t>4P005</t>
  </si>
  <si>
    <t>6P027-6P028</t>
  </si>
  <si>
    <t>Z总计6H</t>
  </si>
  <si>
    <t>S输出机匣</t>
  </si>
  <si>
    <t>磨刀 自磨刀具 修工装销子 找四轴</t>
  </si>
  <si>
    <t>4P002 5P003</t>
  </si>
  <si>
    <t>GC7P016-GC7P020 GC7P028-GC7P031</t>
  </si>
  <si>
    <t>KQ8 70 007A-GZ01</t>
  </si>
  <si>
    <t>S输出机匣-工装</t>
  </si>
  <si>
    <t>Z工装 铁三爪 调试 5H</t>
  </si>
  <si>
    <t>Z做工装2H 调镗刀3H</t>
  </si>
  <si>
    <t>3D打样</t>
  </si>
  <si>
    <t>找正四轴 反复重跑 总计15H</t>
  </si>
  <si>
    <t>DD-J10B-02021-3/2-Y</t>
  </si>
  <si>
    <t>DD-J10B-02041-2-Z</t>
  </si>
  <si>
    <t>前上大梁（左）</t>
  </si>
  <si>
    <t>GC7P011</t>
  </si>
  <si>
    <t>调试钻头 做工装3H</t>
  </si>
  <si>
    <t>7P015-7P016</t>
  </si>
  <si>
    <t>C7P009</t>
  </si>
  <si>
    <t>4[017</t>
  </si>
  <si>
    <t>Z做工装 下虎钳 2H</t>
  </si>
  <si>
    <t>5319C97005G71</t>
  </si>
  <si>
    <t>底部连接接头</t>
  </si>
  <si>
    <t>5P012-5P020</t>
  </si>
  <si>
    <t>DD-J10B-02041-2-Y</t>
  </si>
  <si>
    <t>GC7P027</t>
  </si>
  <si>
    <t>S上工装1.5H</t>
  </si>
  <si>
    <t>5319C02101G70</t>
  </si>
  <si>
    <t>7P017-7P018</t>
  </si>
  <si>
    <t>DD-J10B-21302-40G2-1-Y</t>
  </si>
  <si>
    <t>GC7P022-GC7P027</t>
  </si>
  <si>
    <t>GC7P022</t>
  </si>
  <si>
    <t>每件试镗孔 程序运行120分钟</t>
  </si>
  <si>
    <t>6P012-6P014</t>
  </si>
  <si>
    <t>6P001-6P002 6P019 6P020</t>
  </si>
  <si>
    <t>5P003  4P002</t>
  </si>
  <si>
    <t>做垫板工装 攻丝2H</t>
  </si>
  <si>
    <t>GC7P015</t>
  </si>
  <si>
    <t>上下工装 三爪工装3H</t>
  </si>
  <si>
    <t>5319C60011G70</t>
  </si>
  <si>
    <t>实际运行50分钟</t>
  </si>
  <si>
    <t>00P017-00P018</t>
  </si>
  <si>
    <t>挟持边10件</t>
  </si>
  <si>
    <t>DD-J10B-02021-3/1-Z
DD-J10B-02021-3/2-Z
DD-J10B-02021-3/2-Y</t>
  </si>
  <si>
    <t>挟持边30件 零件毛刺不规则 大小不一 钢材铣面</t>
  </si>
  <si>
    <t>飞夹持边20件</t>
  </si>
  <si>
    <t>CB5714100-004L002</t>
  </si>
  <si>
    <t>根肋四段</t>
  </si>
  <si>
    <t>，。</t>
  </si>
  <si>
    <t>DD-J10-21102-250-1-Y</t>
  </si>
  <si>
    <t>11900梁一段（右件）</t>
  </si>
  <si>
    <t>C7P001-C7P008 C7P019</t>
  </si>
  <si>
    <t>CB5713600-001L006</t>
  </si>
  <si>
    <t>CB5326200-125L/R002</t>
  </si>
  <si>
    <t>9200 3号加强筋</t>
  </si>
  <si>
    <t>5P019 5P020 6P009-6P012</t>
  </si>
  <si>
    <t>CB5324413-004-002</t>
  </si>
  <si>
    <t>油箱底板（中）</t>
  </si>
  <si>
    <t>CB5714100-004R002</t>
  </si>
  <si>
    <t xml:space="preserve">5P003 </t>
  </si>
  <si>
    <t>S上工装3H</t>
  </si>
  <si>
    <t>程序跑一天10.5H 也只能做0.7</t>
  </si>
  <si>
    <t>6P011-6P012</t>
  </si>
  <si>
    <t>DD-J10B-24002-60G2-1G2-Z</t>
  </si>
  <si>
    <t>付翼前梁</t>
  </si>
  <si>
    <t>DD-J10B-24002-60G2-1G2-Y</t>
  </si>
  <si>
    <t xml:space="preserve">6P019 5P017 </t>
  </si>
  <si>
    <t>等工艺确认</t>
  </si>
  <si>
    <t>5p003</t>
  </si>
  <si>
    <t>CB5715000-002R002</t>
  </si>
  <si>
    <t>固定前缘根肋</t>
  </si>
  <si>
    <t>5P005-5P009</t>
  </si>
  <si>
    <t>7P013-7P014</t>
  </si>
  <si>
    <t>Y20-4354233101-001</t>
  </si>
  <si>
    <t>氧气瓶支架</t>
  </si>
  <si>
    <t>6P013-6P014 6P019-6P020</t>
  </si>
  <si>
    <t>6P005-6P006</t>
  </si>
  <si>
    <t>DD-J10-21102-410-1-Z</t>
  </si>
  <si>
    <t>1150肋根肋（左件）</t>
  </si>
  <si>
    <t>CB5714100-001R004</t>
  </si>
  <si>
    <t>根肋一段</t>
  </si>
  <si>
    <t>CB5327120-010L/R015</t>
  </si>
  <si>
    <t>5P019-5P020</t>
  </si>
  <si>
    <t>6P020 6P017-6P018</t>
  </si>
  <si>
    <t>j接上班0.5</t>
  </si>
  <si>
    <t>6P013-6P015</t>
  </si>
  <si>
    <t>6P006-6P008</t>
  </si>
  <si>
    <t>j接上班0.2</t>
  </si>
  <si>
    <t>7P011-7P012</t>
  </si>
  <si>
    <t>j接上班0.1 加工0.9未完</t>
  </si>
  <si>
    <t>DD-J10-21102-250-1-Z</t>
  </si>
  <si>
    <t>11900梁一段（左件）</t>
  </si>
  <si>
    <t>C7P003-C7P006 7P017-7P020</t>
  </si>
  <si>
    <t>CB5713600-001R004</t>
  </si>
  <si>
    <t>6p008-6p007</t>
  </si>
  <si>
    <t>6P002-6P003</t>
  </si>
  <si>
    <t>6P007-6P009</t>
  </si>
  <si>
    <t>6P013-6P014</t>
  </si>
  <si>
    <t>试孔</t>
  </si>
  <si>
    <t>5p019-5p020</t>
  </si>
  <si>
    <t>6P006-6P007</t>
  </si>
  <si>
    <t>6P008-6P009</t>
  </si>
  <si>
    <t>6P005-6P007</t>
  </si>
  <si>
    <t>6P009-6P010</t>
  </si>
  <si>
    <t>C7P003-C7P002</t>
  </si>
  <si>
    <t>j接上班0.7 加工0.3未完</t>
  </si>
  <si>
    <t>首件调镗刀2H</t>
  </si>
  <si>
    <t>6p009</t>
  </si>
  <si>
    <t>6P010-6P009</t>
  </si>
  <si>
    <t>6P003-6P004</t>
  </si>
  <si>
    <t>CB5327120-013L/R015</t>
  </si>
  <si>
    <t>6P007-6P010</t>
  </si>
  <si>
    <t xml:space="preserve">j接上班0.1 </t>
  </si>
  <si>
    <t>6P016-6P018</t>
  </si>
  <si>
    <t>5P014</t>
  </si>
  <si>
    <t>X下134工装 下GZ07-J10B-02121-1GZ MH 工装 5H</t>
  </si>
  <si>
    <t>6p007-6p008 6P011-6P012</t>
  </si>
  <si>
    <t>6P007-P6008</t>
  </si>
  <si>
    <t>6P015-6P016</t>
  </si>
  <si>
    <t>6P007-6P008</t>
  </si>
  <si>
    <t>S上下工装3H</t>
  </si>
  <si>
    <t>S上下工装4H</t>
  </si>
  <si>
    <t>4p016-4p020</t>
  </si>
  <si>
    <t>c7p004-c7p005</t>
  </si>
  <si>
    <t>1-4 1-7 改程序 重跑2天24H</t>
  </si>
  <si>
    <t>6P019</t>
  </si>
  <si>
    <t>7P011-7P014</t>
  </si>
  <si>
    <t>6P004 6P002</t>
  </si>
  <si>
    <t>6P019-6P020</t>
  </si>
  <si>
    <t>修理工装2H</t>
  </si>
  <si>
    <t>DD-J10-21102-2-Y</t>
  </si>
  <si>
    <t>1号下壁板</t>
  </si>
  <si>
    <t>C6P001-C6P006</t>
  </si>
  <si>
    <t>S上工装3H 装真空吸盘胶条2H</t>
  </si>
  <si>
    <t>DD-J10-21102-2-Z</t>
  </si>
  <si>
    <t>C6P001-C6P004</t>
  </si>
  <si>
    <t>C7P005-C7P006</t>
  </si>
  <si>
    <t>4P018 4P020</t>
  </si>
  <si>
    <t>C6P004-C6P008</t>
  </si>
  <si>
    <t>6P019 5P017-5P018</t>
  </si>
  <si>
    <t>6P001-6P002 5P018</t>
  </si>
  <si>
    <t>5P002 5P004</t>
  </si>
  <si>
    <t>5P015-5P016 6P017-6P018</t>
  </si>
  <si>
    <t>C6P001-C6P002</t>
  </si>
  <si>
    <t>4P016 4P019</t>
  </si>
  <si>
    <t>程序要跑5H</t>
  </si>
  <si>
    <t xml:space="preserve">C7P007-C7P008 </t>
  </si>
  <si>
    <t>5P003-5P004</t>
  </si>
  <si>
    <t>修机床3H</t>
  </si>
  <si>
    <t>4P017-4P019</t>
  </si>
  <si>
    <t>7P009-7P014</t>
  </si>
  <si>
    <t>7P006</t>
  </si>
  <si>
    <t>6P017-6P018</t>
  </si>
  <si>
    <t>DD-J10-34003-2</t>
  </si>
  <si>
    <t>后梁</t>
  </si>
  <si>
    <t>6P009-6P008</t>
  </si>
  <si>
    <t>C6P005-C6P006</t>
  </si>
  <si>
    <t>铺胶条1H</t>
  </si>
  <si>
    <t>CB5714100-001L004</t>
  </si>
  <si>
    <t>5P018-5P019</t>
  </si>
  <si>
    <t>等三坐标</t>
  </si>
  <si>
    <t xml:space="preserve">5p019 5P020 </t>
  </si>
  <si>
    <t>C6P007-C6P008 C6P003-C6P004</t>
  </si>
  <si>
    <t>S上工装4H</t>
  </si>
  <si>
    <t>4P017-4P018 4P020</t>
  </si>
  <si>
    <t>6P006 6P002-6P003</t>
  </si>
  <si>
    <t>5P017-5P018</t>
  </si>
  <si>
    <t>4P016-4P020</t>
  </si>
  <si>
    <t>6P004-6P006</t>
  </si>
  <si>
    <t>4P016-4P017</t>
  </si>
  <si>
    <t>Sj首件调镗刀2H</t>
  </si>
  <si>
    <t>77P001-7P003</t>
  </si>
  <si>
    <t>5P008-5P009</t>
  </si>
  <si>
    <t>CB5314240-012-003</t>
  </si>
  <si>
    <t>后顶板</t>
  </si>
  <si>
    <t>C拆工装3H</t>
  </si>
  <si>
    <t>X修工装孔3H</t>
  </si>
  <si>
    <t>5P016 5P018 5P013</t>
  </si>
  <si>
    <t>7P009-7P010</t>
  </si>
  <si>
    <t>DD-J10-21102-410-1-Y</t>
  </si>
  <si>
    <t>1150肋根肋（右件）</t>
  </si>
  <si>
    <t xml:space="preserve">5P016 </t>
  </si>
  <si>
    <t>X下工装3H</t>
  </si>
  <si>
    <t xml:space="preserve">6P002-6P006 </t>
  </si>
  <si>
    <t>6P008-6P009 6P005-6P006</t>
  </si>
  <si>
    <t>C6P003-C6P006</t>
  </si>
  <si>
    <t>5P020 6P006-6P010 6P016-6020</t>
  </si>
  <si>
    <t>6P001 6P003</t>
  </si>
  <si>
    <t>C6P003-C6P004</t>
  </si>
  <si>
    <t>4P018-4P019</t>
  </si>
  <si>
    <t>5P002-5P004</t>
  </si>
  <si>
    <t>4p016</t>
  </si>
  <si>
    <t>首件加工有问题 返工2H</t>
  </si>
  <si>
    <t>CB5327120-010L015</t>
  </si>
  <si>
    <t>6P016-6P020 5P018-5P020</t>
  </si>
  <si>
    <t>c7p007</t>
  </si>
  <si>
    <t xml:space="preserve"> 7P009 7P010</t>
  </si>
  <si>
    <t>6P004 6P012 6P017 6P018</t>
  </si>
  <si>
    <t>6P010-6P012 6P004 6P017-6P018</t>
  </si>
  <si>
    <t>6P005-6P008 6P013-6P016 6P019</t>
  </si>
  <si>
    <t>5P003-5P005</t>
  </si>
  <si>
    <t>C6P007-C6P008</t>
  </si>
  <si>
    <t>C6P005-C6P008</t>
  </si>
  <si>
    <t>1/15</t>
  </si>
  <si>
    <t>T调精孔 2H</t>
  </si>
  <si>
    <t>6P006-6P008 6P016-6P018</t>
  </si>
  <si>
    <t>工装飞面2H</t>
  </si>
  <si>
    <t>DD-J10B-24002-60G2-1G2-Y/Z</t>
  </si>
  <si>
    <t>8635左/右隔框</t>
  </si>
  <si>
    <t>6P004 6P010-6P012 6P017 6P018</t>
  </si>
  <si>
    <t xml:space="preserve">6P016-6P020 </t>
  </si>
  <si>
    <t>6P019-6P018</t>
  </si>
  <si>
    <t>6p004-6p009</t>
  </si>
  <si>
    <t>S上工装3H 按胶条1H</t>
  </si>
  <si>
    <t>c6p005-c6p006</t>
  </si>
  <si>
    <t>6P005-6P008 6P014-6P020</t>
  </si>
  <si>
    <t>6P010-6P0126P017-6P018</t>
  </si>
  <si>
    <t>6P010-6P011</t>
  </si>
  <si>
    <t>1/16</t>
  </si>
  <si>
    <t xml:space="preserve"> 7P009 </t>
  </si>
  <si>
    <t>S上工装2H 调试钻头1H</t>
  </si>
  <si>
    <t>CB5714100-003R003</t>
  </si>
  <si>
    <t>4P016-4P018</t>
  </si>
  <si>
    <t>6P011-6P015</t>
  </si>
  <si>
    <t>S上工装2H 等工艺 首件调试3H</t>
  </si>
  <si>
    <t>5P019-5P020 6P019-6P020</t>
  </si>
  <si>
    <t>1/20</t>
  </si>
  <si>
    <t>SX上下工装2H</t>
  </si>
  <si>
    <t>根肋后段</t>
  </si>
  <si>
    <t>根肋前段</t>
  </si>
  <si>
    <t xml:space="preserve">4P013 </t>
  </si>
  <si>
    <t>5317C03023G71</t>
  </si>
  <si>
    <t>X铣工装2H</t>
  </si>
  <si>
    <t>5319C49005G70</t>
  </si>
  <si>
    <t>Z总计5H</t>
  </si>
  <si>
    <t>CB5814000-002-001</t>
  </si>
  <si>
    <t>前支架</t>
  </si>
  <si>
    <t>CB5323120-001L002</t>
  </si>
  <si>
    <t>5P016-5P017</t>
  </si>
  <si>
    <t>C552103000-026R001</t>
  </si>
  <si>
    <t>Z做工装刀具消避空 4H</t>
  </si>
  <si>
    <t>5319C97004G71</t>
  </si>
  <si>
    <t>X下工装 清理工作台 铣垫块工装 2H</t>
  </si>
  <si>
    <t>5319C19021G70</t>
  </si>
  <si>
    <t>5319C22021G71</t>
  </si>
  <si>
    <t>Z做工装2H 上虎钳1H</t>
  </si>
  <si>
    <t>5317C09037G71</t>
  </si>
  <si>
    <t>SX上下工装2H 调试钻头3H 等三坐标4H</t>
  </si>
  <si>
    <t>5P013-5P014</t>
  </si>
  <si>
    <t>6P031-6P033</t>
  </si>
  <si>
    <t>5317C09011G70</t>
  </si>
  <si>
    <t>Sj首件鉴定</t>
  </si>
  <si>
    <t>5317C09013G70</t>
  </si>
  <si>
    <t>CB5327120-002R033</t>
  </si>
  <si>
    <t>C7P018</t>
  </si>
  <si>
    <t>7P016</t>
  </si>
  <si>
    <t>Z总计2H</t>
  </si>
  <si>
    <t>BC5711304-001R002</t>
  </si>
  <si>
    <t>3P027</t>
  </si>
  <si>
    <t>DD-J10-55055-2611</t>
  </si>
  <si>
    <t>接管嘴</t>
  </si>
  <si>
    <t>C7P001 HY0053</t>
  </si>
  <si>
    <t>5317C05051G71</t>
  </si>
  <si>
    <t>前上大梁（右）</t>
  </si>
  <si>
    <t>5317C07005G70</t>
  </si>
  <si>
    <t>9框前支柱</t>
  </si>
  <si>
    <t>T调5/10序 8H</t>
  </si>
  <si>
    <t>5317C07007G70</t>
  </si>
  <si>
    <t>T调5/10序 7H</t>
  </si>
  <si>
    <t>5311C11107G72</t>
  </si>
  <si>
    <t>垫片</t>
  </si>
  <si>
    <t>3D</t>
  </si>
  <si>
    <t>GC7P019-GC7P020</t>
  </si>
  <si>
    <t>D等三坐标3H</t>
  </si>
  <si>
    <t>5319C28059G70</t>
  </si>
  <si>
    <t>5319C28033G70</t>
  </si>
  <si>
    <t>5319C28039G70</t>
  </si>
  <si>
    <t>5319C28057G70</t>
  </si>
  <si>
    <t>DD-J10B-65000-1901G2</t>
  </si>
  <si>
    <t>固定板</t>
  </si>
  <si>
    <t>6P005-6P009</t>
  </si>
  <si>
    <t>C571310300-023R001</t>
  </si>
  <si>
    <t>00P003-00P004</t>
  </si>
  <si>
    <t>C571310200-019R001</t>
  </si>
  <si>
    <t>后舱内段支撑件上段1段</t>
  </si>
  <si>
    <t>X下工装1H</t>
  </si>
  <si>
    <t>4P014 4P016</t>
  </si>
  <si>
    <t>6P031</t>
  </si>
  <si>
    <t>Z上工装3H</t>
  </si>
  <si>
    <t>6P015-6P020</t>
  </si>
  <si>
    <t>取7件料 拉过大机边1.5H</t>
  </si>
  <si>
    <t>拉直工装 机床问题临时补1H 合计3H</t>
  </si>
  <si>
    <t>GC7P020</t>
  </si>
  <si>
    <t>5317C09035G71</t>
  </si>
  <si>
    <t>GC7P009</t>
  </si>
  <si>
    <t>Z做工装2H 调试钻头2H</t>
  </si>
  <si>
    <t>5211C31005G70-FJ01</t>
  </si>
  <si>
    <t>垫片附件</t>
  </si>
  <si>
    <t>Z做虎钳垫块2H 调试钻头2H</t>
  </si>
  <si>
    <t>5211C31005G70-GZ01</t>
  </si>
  <si>
    <t>垫片工装</t>
  </si>
  <si>
    <t>T调试钻头2H</t>
  </si>
  <si>
    <t>Z做工装2H 调试钻头1H  实际运行55分钟</t>
  </si>
  <si>
    <t xml:space="preserve">SX上下工装2H </t>
  </si>
  <si>
    <t>00P003 00P004</t>
  </si>
  <si>
    <t>3C</t>
  </si>
  <si>
    <t>重做工装 试孔2H</t>
  </si>
  <si>
    <t>Sj首件鉴定 2序共计15H</t>
  </si>
  <si>
    <t>ZBB做背板工装3H</t>
  </si>
  <si>
    <t>SX上下工装2H 调试钻头试绞刀 1H</t>
  </si>
  <si>
    <t>3P027 3P029</t>
  </si>
  <si>
    <t>1/17</t>
  </si>
  <si>
    <t>ZB自备工作2H</t>
  </si>
  <si>
    <t>DD-J10-41153-105</t>
  </si>
  <si>
    <t>联锁摇臂</t>
  </si>
  <si>
    <t>1/19</t>
  </si>
  <si>
    <t>GC7P028</t>
  </si>
  <si>
    <t>3A 3B 3C</t>
  </si>
  <si>
    <t>Z总计7.5H</t>
  </si>
  <si>
    <t>1/18</t>
  </si>
  <si>
    <t>GC7P029-GC7P031</t>
  </si>
  <si>
    <t>6P012-6P013 6P020</t>
  </si>
  <si>
    <t>做工装 铣工装4H</t>
  </si>
  <si>
    <t>Y20-5318100045-001</t>
  </si>
  <si>
    <t>6P011-6P017</t>
  </si>
  <si>
    <t>试孔 磨钻头 去刀刺 3H</t>
  </si>
  <si>
    <t>GC7P028-GC7P030</t>
  </si>
  <si>
    <t>首件工时不足 程序运行不足 请不补够</t>
  </si>
  <si>
    <t>Y20-5318100045-001-GZ01</t>
  </si>
  <si>
    <t>加工3.75H</t>
  </si>
  <si>
    <t>GC7P016-GC7P017</t>
  </si>
  <si>
    <t>12/25</t>
  </si>
  <si>
    <t>DD-J10B-02041-304</t>
  </si>
  <si>
    <t>右内侧角材</t>
  </si>
  <si>
    <t>7P003-7P008</t>
  </si>
  <si>
    <t>X实际运行42分钟</t>
  </si>
  <si>
    <t>7p009-7p020</t>
  </si>
  <si>
    <t>粘胶铣工装 2H</t>
  </si>
  <si>
    <t>此8件为重复加工 程序有问题 共计4H</t>
  </si>
  <si>
    <t>T调镗刀1H</t>
  </si>
  <si>
    <t>T调镗刀2H</t>
  </si>
  <si>
    <t>SX上下工装2H 试钻头 调镗刀2H</t>
  </si>
  <si>
    <t>1/21</t>
  </si>
  <si>
    <t>设备原因 单件1H 合计2H</t>
  </si>
  <si>
    <t>5317C09033G71</t>
  </si>
  <si>
    <t>铣垫块 做工装 磨砖头 改程序共计10H</t>
  </si>
  <si>
    <t>5317C03017G71</t>
  </si>
  <si>
    <t>3C 3B</t>
  </si>
  <si>
    <t>5311C11108G73</t>
  </si>
  <si>
    <t>垫板</t>
  </si>
  <si>
    <t>GC7P017-GC7P018</t>
  </si>
  <si>
    <t>7P010 7P013</t>
  </si>
  <si>
    <t>6P007 6P009 6P010</t>
  </si>
  <si>
    <t>DD-J10B-04321-1-Z</t>
  </si>
  <si>
    <t>斜横梁</t>
  </si>
  <si>
    <t>5P010-5P009</t>
  </si>
  <si>
    <t>4P015-4P016</t>
  </si>
  <si>
    <t>C拆工装 做工作5H</t>
  </si>
  <si>
    <t>ZZ自制工装2H</t>
  </si>
  <si>
    <t>AZ安装虎钳，铣工装垫块2H</t>
  </si>
  <si>
    <t>00P002-00P004</t>
  </si>
  <si>
    <t>Z做工装2H 调试钻头3H</t>
  </si>
  <si>
    <t>CB5814000-003-001</t>
  </si>
  <si>
    <t>后支架</t>
  </si>
  <si>
    <t>3P022-3P025</t>
  </si>
  <si>
    <t>DD-J10B-02081-61-Z</t>
  </si>
  <si>
    <t>角材</t>
  </si>
  <si>
    <t>X下虎钳 清理工作台 铣垫块工装 3H</t>
  </si>
  <si>
    <t>5211C31005G70</t>
  </si>
  <si>
    <t>首件  打样</t>
  </si>
  <si>
    <t>CB2294170-003-001</t>
  </si>
  <si>
    <t>4P003</t>
  </si>
  <si>
    <t>5317C07005G70-GZ01</t>
  </si>
  <si>
    <t>工装3.5H</t>
  </si>
  <si>
    <t>5317C07007G70-GZ01</t>
  </si>
  <si>
    <t>工装4H</t>
  </si>
  <si>
    <t>DD-J10B-94076-2031/1</t>
  </si>
  <si>
    <t>XS铣三爪2H</t>
  </si>
  <si>
    <t>TS调试镗刀2H</t>
  </si>
  <si>
    <t>DD-J10-05346-1-Z</t>
  </si>
  <si>
    <t>受剪接头</t>
  </si>
  <si>
    <t>C7P021-C7P032</t>
  </si>
  <si>
    <t>5P011-5P012-5P019-P5020 5P016</t>
  </si>
  <si>
    <t>6P033-6P031</t>
  </si>
  <si>
    <t>6P033</t>
  </si>
  <si>
    <r>
      <rPr>
        <sz val="11"/>
        <color indexed="8"/>
        <rFont val="宋体"/>
        <family val="3"/>
        <charset val="134"/>
      </rPr>
      <t>C571110500-00</t>
    </r>
    <r>
      <rPr>
        <sz val="11"/>
        <color indexed="8"/>
        <rFont val="宋体"/>
        <family val="3"/>
        <charset val="134"/>
      </rPr>
      <t>1</t>
    </r>
    <r>
      <rPr>
        <sz val="11"/>
        <color indexed="8"/>
        <rFont val="宋体"/>
        <family val="3"/>
        <charset val="134"/>
      </rPr>
      <t>R001</t>
    </r>
  </si>
  <si>
    <t>C7P020</t>
  </si>
  <si>
    <t>KQ8 70 006A</t>
  </si>
  <si>
    <t>S输入机匣</t>
  </si>
  <si>
    <t>Z总计20H</t>
  </si>
  <si>
    <t>GC7P012</t>
  </si>
  <si>
    <t>DD-J10B-26002-1G2-GZ03-FJ03</t>
  </si>
  <si>
    <t>校型检查工装</t>
  </si>
  <si>
    <t>DD-J10B-04321-1-Y</t>
  </si>
  <si>
    <t>交接断刀 重新调试</t>
  </si>
  <si>
    <t>SX上下工装3H</t>
  </si>
  <si>
    <t>3P026</t>
  </si>
  <si>
    <t>BC5711304-001L002</t>
  </si>
  <si>
    <t>3P022-3P026</t>
  </si>
  <si>
    <t>C7P021-C7P024</t>
  </si>
  <si>
    <t>DD-J10-05346-1-Y</t>
  </si>
  <si>
    <t>5317C03015G71</t>
  </si>
  <si>
    <t>DD-J10B-34303-12G2</t>
  </si>
  <si>
    <t>第5隔板</t>
  </si>
  <si>
    <t>ZJ总计15H</t>
  </si>
  <si>
    <t>DD-J10-21102-120-1-Y</t>
  </si>
  <si>
    <t>9480梁（右件）</t>
  </si>
  <si>
    <t>GC7P009-GCC7P010</t>
  </si>
  <si>
    <t>C7P009-C7P014</t>
  </si>
  <si>
    <t>Z工装2H</t>
  </si>
  <si>
    <t>5317C05061G70</t>
  </si>
  <si>
    <t>6P028</t>
  </si>
  <si>
    <t>Z工装4H</t>
  </si>
  <si>
    <t>机床故障 停机10H</t>
  </si>
  <si>
    <t>1/22</t>
  </si>
  <si>
    <t>DD-J10B-02081-61-Y</t>
  </si>
  <si>
    <t>Z总计2.2H</t>
  </si>
  <si>
    <t>GC7P022-GC7P024</t>
  </si>
  <si>
    <t>C拆上工装3H</t>
  </si>
  <si>
    <t>C拆工装 方箱2个 上工装3H</t>
  </si>
  <si>
    <t>DD-J10S-06021-107-SY</t>
  </si>
  <si>
    <t>后隔框-试验件</t>
  </si>
  <si>
    <t>GC7P021</t>
  </si>
  <si>
    <t>ZBB做背板工装2H</t>
  </si>
  <si>
    <t>3P027-3P030</t>
  </si>
  <si>
    <t>3P021</t>
  </si>
  <si>
    <t>6P015-6P019</t>
  </si>
  <si>
    <t>6P032</t>
  </si>
  <si>
    <t>5P021-5P022</t>
  </si>
  <si>
    <t>6P002 7P001</t>
  </si>
  <si>
    <t>7P015 7P017-7P018</t>
  </si>
  <si>
    <t>Q清理水箱3个</t>
  </si>
  <si>
    <t>ZG做工作 试钻头3H</t>
  </si>
  <si>
    <t>ZG做工作 试钻头2H</t>
  </si>
  <si>
    <t>加强梁</t>
  </si>
  <si>
    <t>GC7P030</t>
  </si>
  <si>
    <t>H合计20H</t>
  </si>
  <si>
    <t>DD-J10B-26002-1G2-GZ03-FJ05</t>
  </si>
  <si>
    <t xml:space="preserve">SX上下工装4H </t>
  </si>
  <si>
    <t>5319C02011G70</t>
  </si>
  <si>
    <t>SZ上专用工作2H 上钢牙螺套3H</t>
  </si>
  <si>
    <t>C7P021-C7P025</t>
  </si>
  <si>
    <t>三坐标1H</t>
  </si>
  <si>
    <t>SB设备原件 单件加1H</t>
  </si>
  <si>
    <t>凸模</t>
  </si>
  <si>
    <t>3P021-3P023</t>
  </si>
  <si>
    <t xml:space="preserve">SX上下工装 铣工装4H </t>
  </si>
  <si>
    <t>CB5350510-002-010</t>
  </si>
  <si>
    <t>扶手支座</t>
  </si>
  <si>
    <t>ZD做垫板工装3H 攻圆攻丝</t>
  </si>
  <si>
    <t>GU5714000-003R003</t>
  </si>
  <si>
    <t>2750肋</t>
  </si>
  <si>
    <t>DD-J10B-94076-2031/2</t>
  </si>
  <si>
    <t>SB上背板工装 调试钻头4H</t>
  </si>
  <si>
    <t>5317C05047G71</t>
  </si>
  <si>
    <t>ZG做工装2H</t>
  </si>
  <si>
    <t>SG上工装 风箱3H</t>
  </si>
  <si>
    <t>Z周堂全</t>
  </si>
  <si>
    <t>GC7P024-GC7P027</t>
  </si>
  <si>
    <t>GC7P025-GC7P027</t>
  </si>
  <si>
    <t>XL下料1件</t>
  </si>
  <si>
    <t>HG换工装3H</t>
  </si>
  <si>
    <t>协助调试零件20H</t>
  </si>
  <si>
    <t>JC机床故障 停机10H</t>
  </si>
  <si>
    <t>7P015 7P018</t>
  </si>
  <si>
    <t>5P022</t>
  </si>
  <si>
    <t>6P031-6P032</t>
  </si>
  <si>
    <t>6P015 6P012</t>
  </si>
  <si>
    <t>C7P010-C7P011</t>
  </si>
  <si>
    <t>C7P023 C7P028 C7P026</t>
  </si>
  <si>
    <t>C7P022 C7P023 C7P025</t>
  </si>
  <si>
    <t>1/23</t>
  </si>
  <si>
    <t>3P024-3P025</t>
  </si>
  <si>
    <t>C拆工装 方箱2个 上工装5H</t>
  </si>
  <si>
    <t>GC7P021-GC7P027</t>
  </si>
  <si>
    <t>JC机床故障  试机4H</t>
  </si>
  <si>
    <t>JC机床故障  热机2H</t>
  </si>
  <si>
    <t>6P016 6P011</t>
  </si>
  <si>
    <t>CX程序运行2H50分钟</t>
  </si>
  <si>
    <t>C7P012 C7P013</t>
  </si>
  <si>
    <t>C551005000-002L/R001-GZ04</t>
  </si>
  <si>
    <t>Y摇臂工装04</t>
  </si>
  <si>
    <t>7P015 7P017</t>
  </si>
  <si>
    <t>7P020 GC7P021</t>
  </si>
  <si>
    <t>ZG做工装5H</t>
  </si>
  <si>
    <t>5317C03019G71</t>
  </si>
  <si>
    <t>X铣工装2.5H</t>
  </si>
  <si>
    <t>SX上下工装1H</t>
  </si>
  <si>
    <t>Y20-5319540003-001</t>
  </si>
  <si>
    <t>转盘</t>
  </si>
  <si>
    <t xml:space="preserve">SX上下工装H 调孔7H </t>
  </si>
  <si>
    <t>C7P026-C7P028 C7P021 C7P024</t>
  </si>
  <si>
    <t>C7P030-C7P031</t>
  </si>
  <si>
    <t>4P004</t>
  </si>
  <si>
    <t>SB下背板工装 调堂孔 2H</t>
  </si>
  <si>
    <t>DD-J10B-94076-2051</t>
  </si>
  <si>
    <t>外套螺母</t>
  </si>
  <si>
    <t>5317C05061G70-GZ01</t>
  </si>
  <si>
    <t>加强件-工装</t>
  </si>
  <si>
    <t>5P013-5P022</t>
  </si>
  <si>
    <t>辅助调试零件精孔 20H</t>
  </si>
  <si>
    <t>DD-J10-55165-703</t>
  </si>
  <si>
    <t>BC2712521-001-001</t>
  </si>
  <si>
    <t>3P003</t>
  </si>
  <si>
    <t>M毛培来料不规则 飞夹持边3H</t>
  </si>
  <si>
    <t>H合计15H</t>
  </si>
  <si>
    <t>Sj首件鉴定 做工装2H</t>
  </si>
  <si>
    <t>5319C28063G70-GZ-01</t>
  </si>
  <si>
    <t>Z支架-工装</t>
  </si>
  <si>
    <t>HQ虎钳工装2H</t>
  </si>
  <si>
    <t>C551005000-002L/R001-GZ04-FJ01</t>
  </si>
  <si>
    <t>Y摇臂工装04-附件01</t>
  </si>
  <si>
    <t>C7P013 C7P014</t>
  </si>
  <si>
    <t>5P004 5P002</t>
  </si>
  <si>
    <t>9350-11140左侧上梁</t>
  </si>
  <si>
    <t>配合设维修 停机5H</t>
  </si>
  <si>
    <t>SB设备故障 试运行8H</t>
  </si>
  <si>
    <t>DD-J10B-34303-7G2</t>
  </si>
  <si>
    <t>第1隔板</t>
  </si>
  <si>
    <t>中途换压板 首件鉴定</t>
  </si>
  <si>
    <t>SB上背板工装 调试钻头4H 每件拉直找坐标</t>
  </si>
  <si>
    <t>DD-J10-04401-103</t>
  </si>
  <si>
    <t>ZD做垫板工装2H</t>
  </si>
  <si>
    <t>5319C97003G71</t>
  </si>
  <si>
    <t>ZD做垫板工装1H</t>
  </si>
  <si>
    <t>DD-J10-05156-1-Y-GZ01-FJ03</t>
  </si>
  <si>
    <t>外侧梁主件-工装</t>
  </si>
  <si>
    <t>ZG做工装4H</t>
  </si>
  <si>
    <t>SB设备原因 单件加1H</t>
  </si>
  <si>
    <t>C7P029-C7P030</t>
  </si>
  <si>
    <t>SG上工装2H</t>
  </si>
  <si>
    <t>1/24</t>
  </si>
  <si>
    <t>7P018</t>
  </si>
  <si>
    <t>5P013 5P020</t>
  </si>
  <si>
    <t>6P001 6P002</t>
  </si>
  <si>
    <t>5319C55017G70/118G70</t>
  </si>
  <si>
    <t>C7P011</t>
  </si>
  <si>
    <t>6P016-6P017</t>
  </si>
  <si>
    <t>S试钻1H</t>
  </si>
  <si>
    <t xml:space="preserve">SX上下工装3H </t>
  </si>
  <si>
    <t>6P009-6P011</t>
  </si>
  <si>
    <t>6P006-6P009</t>
  </si>
  <si>
    <t>6P011-6P013</t>
  </si>
  <si>
    <t>6P005-6P008</t>
  </si>
  <si>
    <t xml:space="preserve">4P017-4P018 </t>
  </si>
  <si>
    <t>GCC7P013</t>
  </si>
  <si>
    <t>剖形支柱工装</t>
  </si>
  <si>
    <t>XL下料3件</t>
  </si>
  <si>
    <t>刀库错位 重新对刀1H 零件反工2H</t>
  </si>
  <si>
    <t>5P002-5P003</t>
  </si>
  <si>
    <t>GC7P009-GC7P014</t>
  </si>
  <si>
    <t>5317C03013G71</t>
  </si>
  <si>
    <t>剖形支柱</t>
  </si>
  <si>
    <t>5317C03011/15/17G71</t>
  </si>
  <si>
    <t>ZG装工装3H</t>
  </si>
  <si>
    <t>6P004 6P009</t>
  </si>
  <si>
    <t>GC7P013</t>
  </si>
  <si>
    <t>6P006 6P008</t>
  </si>
  <si>
    <t>GCC7P009-GCC7P014</t>
  </si>
  <si>
    <t>5317C03003/5/7/9G71-GZ01</t>
  </si>
  <si>
    <t>剖形支柱-工装</t>
  </si>
  <si>
    <t>5717C030011/13G71-GZ01</t>
  </si>
  <si>
    <t>6P009-6P010 6P004</t>
  </si>
  <si>
    <t>C7P006-C7P005</t>
  </si>
  <si>
    <t>5317C07003G70</t>
  </si>
  <si>
    <t>5317C07004G70</t>
  </si>
  <si>
    <t>5317C03005G71</t>
  </si>
  <si>
    <t>6P004 6P009 6P0010</t>
  </si>
  <si>
    <t>6P014-6P015</t>
  </si>
  <si>
    <t>修机床2H</t>
  </si>
  <si>
    <t>5P015-5P018</t>
  </si>
  <si>
    <t>5317C03009G71</t>
  </si>
  <si>
    <t>5317C03009G71-GZ01</t>
  </si>
  <si>
    <t>ZG做工装6H</t>
  </si>
  <si>
    <t>6p013-6p014</t>
  </si>
  <si>
    <t>5P015-5P016</t>
  </si>
  <si>
    <t>SX上下工装5H</t>
  </si>
  <si>
    <t>5317C03011G71</t>
  </si>
  <si>
    <t>5317C07003G70-GZ01</t>
  </si>
  <si>
    <t>GCC7P009-GCC7P010</t>
  </si>
  <si>
    <t>C拆工装1H</t>
  </si>
  <si>
    <t>GC7P009-GC7P010</t>
  </si>
  <si>
    <t>6P004-6P010</t>
  </si>
  <si>
    <t>5312C45001G71</t>
  </si>
  <si>
    <t>FR15右侧框缘</t>
  </si>
  <si>
    <t>XG下工装3H</t>
  </si>
  <si>
    <t>DD-J10-21002-1-Y</t>
  </si>
  <si>
    <t>4号上壁板（右件）</t>
  </si>
  <si>
    <t>GCC7P012-GCC7P014</t>
  </si>
  <si>
    <t>DD-J10-21002-1-Z</t>
  </si>
  <si>
    <t>4号上壁板（左件）</t>
  </si>
  <si>
    <t>C7P001-C7P004</t>
  </si>
  <si>
    <t>GCC7P011-GCC7P012</t>
  </si>
  <si>
    <t>SG上工装3H</t>
  </si>
  <si>
    <t>试机3H</t>
  </si>
  <si>
    <t>7P015-7P016 7P017</t>
  </si>
  <si>
    <t>ZG装工装</t>
  </si>
  <si>
    <t>DD-J10-33003-4</t>
  </si>
  <si>
    <t>C7P013</t>
  </si>
  <si>
    <t>GCC7P002-GCC7P004</t>
  </si>
  <si>
    <t>GCC7P003-GCC7P004</t>
  </si>
  <si>
    <t>c7p005</t>
  </si>
  <si>
    <t>6p003-6p004</t>
  </si>
  <si>
    <t>1/25</t>
  </si>
  <si>
    <t>GCC7P003</t>
  </si>
  <si>
    <t>GCC7P001</t>
  </si>
  <si>
    <t>XG修工装2H</t>
  </si>
  <si>
    <t>7P016-7P017</t>
  </si>
  <si>
    <t>C7P013-C7P016</t>
  </si>
  <si>
    <t>5317C03007G71</t>
  </si>
  <si>
    <t>7P019</t>
  </si>
  <si>
    <t>CX程序异常 待技术更改程序4H</t>
  </si>
  <si>
    <t>C7P014-C7P016</t>
  </si>
  <si>
    <t>GCC7P011-GCC7P014</t>
  </si>
  <si>
    <t>4P011</t>
  </si>
  <si>
    <t>6P012-6P015</t>
  </si>
  <si>
    <t>CB2298621-001-002</t>
  </si>
  <si>
    <t>4P002</t>
  </si>
  <si>
    <t>TS调试镗刀1H</t>
  </si>
  <si>
    <t>SX水箱堵塞 弄水箱2H</t>
  </si>
  <si>
    <t>SB设备故障 调试10H</t>
  </si>
  <si>
    <t>SG上工装 风箱4H</t>
  </si>
  <si>
    <t>DZ吊装下装2H</t>
  </si>
  <si>
    <t>3P022</t>
  </si>
  <si>
    <t xml:space="preserve">SX上下工装 风箱4H 飞工装2H </t>
  </si>
  <si>
    <t>GU5714000-005R003-SY-GZ01</t>
  </si>
  <si>
    <t>4500肋-工装</t>
  </si>
  <si>
    <t>X铣工装4H</t>
  </si>
  <si>
    <t>DD-J10-05346-3-Y</t>
  </si>
  <si>
    <t>C7P021-C7P023</t>
  </si>
  <si>
    <t>对刀仪3H</t>
  </si>
  <si>
    <t>C551005000-002L/R001-GZ04-HJ02</t>
  </si>
  <si>
    <t>Y摇臂工装04附件02</t>
  </si>
  <si>
    <t>DD-J10B-04061-1-GZ01</t>
  </si>
  <si>
    <t>10860框-工装01</t>
  </si>
  <si>
    <t>DD-J10-54101-201</t>
  </si>
  <si>
    <t>3P028-3P029</t>
  </si>
  <si>
    <t>SB上背板工装 2H</t>
  </si>
  <si>
    <t>GC7P029</t>
  </si>
  <si>
    <t>5317C05049G70-GZ01</t>
  </si>
  <si>
    <t>AZ安装调试，铣工装3H</t>
  </si>
  <si>
    <t>5P022 5P023</t>
  </si>
  <si>
    <t>CX程序运行57分钟</t>
  </si>
  <si>
    <t>5317C05049G70</t>
  </si>
  <si>
    <t>5P019-5P022</t>
  </si>
  <si>
    <t>5319C28041G70</t>
  </si>
  <si>
    <t>7P015-7P017</t>
  </si>
  <si>
    <t>3DDY-A0MLL</t>
  </si>
  <si>
    <t>凹模</t>
  </si>
  <si>
    <t>ZJ总计12H</t>
  </si>
  <si>
    <t>BC2281650-006-003</t>
  </si>
  <si>
    <t>支臂</t>
  </si>
  <si>
    <t>2P001</t>
  </si>
  <si>
    <t>ZG装工装2H</t>
  </si>
  <si>
    <t>DD-J10B-67011-6103</t>
  </si>
  <si>
    <t>DD-J10B-04041-1</t>
  </si>
  <si>
    <t>10060框</t>
  </si>
  <si>
    <t>2P013</t>
  </si>
  <si>
    <t>SX上下工装4H</t>
  </si>
  <si>
    <t>SX上下工装2H 等三坐标2H</t>
  </si>
  <si>
    <t>DD-J10-05076-20-1-Z</t>
  </si>
  <si>
    <t>DD-J10-05076-20-1-Y</t>
  </si>
  <si>
    <t>C7P006-C7P007</t>
  </si>
  <si>
    <t>XG下工装 虎钳 清洁2H</t>
  </si>
  <si>
    <t>5p021</t>
  </si>
  <si>
    <t>DD-J10-05346-3-Z</t>
  </si>
  <si>
    <t>清理机床水箱</t>
  </si>
  <si>
    <t>7p010</t>
  </si>
  <si>
    <t>5319C97007G71</t>
  </si>
  <si>
    <t>底板连接接头</t>
  </si>
  <si>
    <t>DD-J10B-61201-12</t>
  </si>
  <si>
    <t>平编钻攻四方</t>
  </si>
  <si>
    <t xml:space="preserve">TS调试 测量 </t>
  </si>
  <si>
    <t>XG下工装2H</t>
  </si>
  <si>
    <t>C571310200-020R001</t>
  </si>
  <si>
    <t>后舱内段支撑件上段2段</t>
  </si>
  <si>
    <t>C7P010</t>
  </si>
  <si>
    <t>SX上下工装2H 程序有问题 没有加工到零件</t>
  </si>
  <si>
    <t>TS调试镗刀2H 首件鉴定 余量3mm</t>
  </si>
  <si>
    <t>CG拆工装2H</t>
  </si>
  <si>
    <t>DD-J10-67096-50-1</t>
  </si>
  <si>
    <t>压板组件 Z型件</t>
  </si>
  <si>
    <t>TD调镗刀3H</t>
  </si>
  <si>
    <t>4P014-4P015</t>
  </si>
  <si>
    <t>CB229C440-002R001</t>
  </si>
  <si>
    <t>JC夹持面19件</t>
  </si>
  <si>
    <t>ZZ自制工装2H 调试钻头</t>
  </si>
  <si>
    <t>HQ装虎钳 铣垫块2H</t>
  </si>
  <si>
    <t>TK调孔3H</t>
  </si>
  <si>
    <t>C571310300-023L001</t>
  </si>
  <si>
    <t>CX程序时间8H</t>
  </si>
  <si>
    <t>ZG钻改中心 实际时间17分</t>
  </si>
  <si>
    <t>ZG钻改中心 背板装夹时间7分 试钻头1H</t>
  </si>
  <si>
    <t>AZ安装调试，做工装3H</t>
  </si>
  <si>
    <t>GC7P017-GC7P019</t>
  </si>
  <si>
    <t>每件X.Y找坐标</t>
  </si>
  <si>
    <t>CB5324310-011L/R001</t>
  </si>
  <si>
    <t>6P001-6P019</t>
  </si>
  <si>
    <t>首件运行 检测尺寸运行单件15分钟</t>
  </si>
  <si>
    <t>TS调试镗刀2H 首件鉴定 余量3mm 下专用工装2H</t>
  </si>
  <si>
    <t>5319C22035G70</t>
  </si>
  <si>
    <t>5P013-5P015</t>
  </si>
  <si>
    <t>C7P002-C7P004</t>
  </si>
  <si>
    <t xml:space="preserve">5P019 5P020 </t>
  </si>
  <si>
    <t>6P028-6P029</t>
  </si>
  <si>
    <t>JJ精加工前飞面1.5H</t>
  </si>
  <si>
    <t>刀具12把 精加工刀具</t>
  </si>
  <si>
    <t>5p016</t>
  </si>
  <si>
    <t>C7P012</t>
  </si>
  <si>
    <t>5211C41003G70</t>
  </si>
  <si>
    <t>球形杯</t>
  </si>
  <si>
    <t>TS调试钻头2H</t>
  </si>
  <si>
    <t>GC7P019</t>
  </si>
  <si>
    <t>ZZ自制工装2H 调试钻头1H</t>
  </si>
  <si>
    <t>GC7P010</t>
  </si>
  <si>
    <t>中途更换零件重调</t>
  </si>
  <si>
    <t>529A4300-003-001</t>
  </si>
  <si>
    <t>U形转轴</t>
  </si>
  <si>
    <t>7C</t>
  </si>
  <si>
    <t>修钻头3H</t>
  </si>
  <si>
    <t>ZJ装夹专用工装2H</t>
  </si>
  <si>
    <t>C7P012-C7P013</t>
  </si>
  <si>
    <t>C571310200-020L001</t>
  </si>
  <si>
    <t>AZ安装调试，工装2H</t>
  </si>
  <si>
    <t>CB5522200-020L/R001</t>
  </si>
  <si>
    <t>实心块</t>
  </si>
  <si>
    <t>SD上垫板工装1H</t>
  </si>
  <si>
    <t>CB5325125-403L001</t>
  </si>
  <si>
    <t>SX上下虎钳1H</t>
  </si>
  <si>
    <t>c7p002</t>
  </si>
  <si>
    <r>
      <rPr>
        <sz val="11"/>
        <color indexed="8"/>
        <rFont val="宋体"/>
        <family val="3"/>
        <charset val="134"/>
      </rPr>
      <t>5317</t>
    </r>
    <r>
      <rPr>
        <sz val="11"/>
        <color indexed="8"/>
        <rFont val="宋体"/>
        <family val="3"/>
        <charset val="134"/>
      </rPr>
      <t>C</t>
    </r>
    <r>
      <rPr>
        <sz val="11"/>
        <color indexed="8"/>
        <rFont val="宋体"/>
        <family val="3"/>
        <charset val="134"/>
      </rPr>
      <t>09031G71</t>
    </r>
  </si>
  <si>
    <t>6P004 6P003</t>
  </si>
  <si>
    <t>SS送三坐标1H</t>
  </si>
  <si>
    <t>RJ热机2H</t>
  </si>
  <si>
    <t>CL拆工装 修零件 4H</t>
  </si>
  <si>
    <t>TT调镗刀2H</t>
  </si>
  <si>
    <t>ZG装工装4H</t>
  </si>
  <si>
    <t>CB5326200-131L/R002</t>
  </si>
  <si>
    <t>8455 4号加强筋</t>
  </si>
  <si>
    <t>C7P014</t>
  </si>
  <si>
    <t>ZG做工装2H 零件打三坐标3H</t>
  </si>
  <si>
    <t>DD-J10-04401-104</t>
  </si>
  <si>
    <t>C571310200-019L001</t>
  </si>
  <si>
    <t>GC7P018-GC7P020</t>
  </si>
  <si>
    <t>GC7P018</t>
  </si>
  <si>
    <t>SX上下工装 拉直2H</t>
  </si>
  <si>
    <t>C532111100-002L001</t>
  </si>
  <si>
    <t>5P013 5P012</t>
  </si>
  <si>
    <t>C7P015</t>
  </si>
  <si>
    <t xml:space="preserve">SZ上专用工装2H </t>
  </si>
  <si>
    <t>7p013</t>
  </si>
  <si>
    <t>ZB自备工装2H</t>
  </si>
  <si>
    <t>c7p003</t>
  </si>
  <si>
    <t>SJ首件故障 重新调试</t>
  </si>
  <si>
    <t>5P017-5P019</t>
  </si>
  <si>
    <t>3A 3B 3C 3D</t>
  </si>
  <si>
    <t>上真空吸盘1H 零件变形多次翻面飞</t>
  </si>
  <si>
    <t>SX上下工装2H  调镗刀3H</t>
  </si>
  <si>
    <t>4P017 4P015</t>
  </si>
  <si>
    <t>6P026-6P030</t>
  </si>
  <si>
    <t>CG拆上工装2H</t>
  </si>
  <si>
    <t>5p008</t>
  </si>
  <si>
    <t>板机床探头 加工试切件10H</t>
  </si>
  <si>
    <t>C7P016</t>
  </si>
  <si>
    <t>XG下工装 虎钳 清洁2.3H</t>
  </si>
  <si>
    <t>ZD做垫板工装 试孔3H 钻攻中心程序17</t>
  </si>
  <si>
    <t>ZD做垫板工装1个</t>
  </si>
  <si>
    <t>DD-J10B-67011-20010-2</t>
  </si>
  <si>
    <t>弓形件</t>
  </si>
  <si>
    <t>ZD做垫板工装 攻 攻丝 4H</t>
  </si>
  <si>
    <t>CX程序时间235分钟 请补足</t>
  </si>
  <si>
    <t>CX程序时间225分钟 请补足</t>
  </si>
  <si>
    <t>3B 3C</t>
  </si>
  <si>
    <t>5317C09031G71</t>
  </si>
  <si>
    <t>ZBB做背板工装3H 试钻头2H</t>
  </si>
  <si>
    <t>C7P017</t>
  </si>
  <si>
    <t>5P003 5P002</t>
  </si>
  <si>
    <t>GC7P010-GC7P013</t>
  </si>
  <si>
    <t>XG铣工装2H</t>
  </si>
  <si>
    <t>CG拆工装 方箱4H</t>
  </si>
  <si>
    <t>SG上工装 方箱4H</t>
  </si>
  <si>
    <t>下料件</t>
  </si>
  <si>
    <t>夹板</t>
  </si>
  <si>
    <t>TD钻头2H</t>
  </si>
  <si>
    <t>GC7P029-GC7P030</t>
  </si>
  <si>
    <t>程序运行280 不含装夹时间 请补工时</t>
  </si>
  <si>
    <t>扩螺纹孔 安钢丝螺套2H</t>
  </si>
  <si>
    <t>CX程序时间280分钟 请补足</t>
  </si>
  <si>
    <t>新品调试 装夹复杂6H</t>
  </si>
  <si>
    <t>8700侧隔框</t>
  </si>
  <si>
    <t>5P017 5P010</t>
  </si>
  <si>
    <t>XG下工装2H 下风箱3H 上风箱</t>
  </si>
  <si>
    <t>4P015-4P018</t>
  </si>
  <si>
    <t>DD-J10-61001-722</t>
  </si>
  <si>
    <t>XG铣工装2H 调试钻头1H</t>
  </si>
  <si>
    <t>C552004000-001L/R001-GZ04</t>
  </si>
  <si>
    <t>ZD做垫板工装4H</t>
  </si>
  <si>
    <t>CG拆工装 方箱3H</t>
  </si>
  <si>
    <t>6P028-6P030</t>
  </si>
  <si>
    <t>Y20-5312225701-002</t>
  </si>
  <si>
    <t>C6P011</t>
  </si>
  <si>
    <t>C552004000-001L/R001</t>
  </si>
  <si>
    <t>GC7P013-GC7P014</t>
  </si>
  <si>
    <t>7P010-7P019</t>
  </si>
  <si>
    <t>HQ虎钳工装2H 调试钻头1H</t>
  </si>
  <si>
    <t>DD-J10-21102-60/-1/2-Z</t>
  </si>
  <si>
    <t>C6P00</t>
  </si>
  <si>
    <r>
      <rPr>
        <sz val="11"/>
        <color indexed="8"/>
        <rFont val="宋体"/>
        <family val="3"/>
        <charset val="134"/>
      </rPr>
      <t>G</t>
    </r>
    <r>
      <rPr>
        <sz val="11"/>
        <color indexed="8"/>
        <rFont val="宋体"/>
        <family val="3"/>
        <charset val="134"/>
      </rPr>
      <t>Z</t>
    </r>
  </si>
  <si>
    <t>DD-J10-21102-60/-1/1-Y</t>
  </si>
  <si>
    <r>
      <rPr>
        <sz val="11"/>
        <color indexed="8"/>
        <rFont val="宋体"/>
        <family val="3"/>
        <charset val="134"/>
      </rPr>
      <t>1</t>
    </r>
    <r>
      <rPr>
        <sz val="11"/>
        <color indexed="8"/>
        <rFont val="宋体"/>
        <family val="3"/>
        <charset val="134"/>
      </rPr>
      <t>/21</t>
    </r>
  </si>
  <si>
    <r>
      <rPr>
        <sz val="11"/>
        <color indexed="8"/>
        <rFont val="宋体"/>
        <family val="3"/>
        <charset val="134"/>
      </rPr>
      <t>D</t>
    </r>
    <r>
      <rPr>
        <sz val="11"/>
        <color indexed="8"/>
        <rFont val="宋体"/>
        <family val="3"/>
        <charset val="134"/>
      </rPr>
      <t>D-J10B-02081-61-Z</t>
    </r>
  </si>
  <si>
    <t>KHGZ-GZJJ-GZ01</t>
  </si>
  <si>
    <t>管子夹具工装01</t>
  </si>
  <si>
    <t>XG铣工装5H</t>
  </si>
  <si>
    <t>ZZ自制工装3H</t>
  </si>
  <si>
    <t>DD-J10B-94076-501-Y</t>
  </si>
  <si>
    <t>拉杆支座</t>
  </si>
  <si>
    <t>50五轴2000</t>
    <phoneticPr fontId="11" type="noConversion"/>
  </si>
  <si>
    <t>C</t>
    <phoneticPr fontId="11" type="noConversion"/>
  </si>
  <si>
    <t>F</t>
    <phoneticPr fontId="11" type="noConversion"/>
  </si>
  <si>
    <t>C</t>
    <phoneticPr fontId="11" type="noConversion"/>
  </si>
  <si>
    <t>C</t>
    <phoneticPr fontId="11" type="noConversion"/>
  </si>
  <si>
    <t>E</t>
    <phoneticPr fontId="11" type="noConversion"/>
  </si>
  <si>
    <t>CB5323120-001R005</t>
    <phoneticPr fontId="11" type="noConversion"/>
  </si>
  <si>
    <t>DD-J10B-02081-61-Z</t>
    <phoneticPr fontId="11" type="noConversion"/>
  </si>
  <si>
    <t>40/五轴180</t>
    <phoneticPr fontId="11" type="noConversion"/>
  </si>
  <si>
    <t>程序时间</t>
    <phoneticPr fontId="11" type="noConversion"/>
  </si>
  <si>
    <t>CB5714200-005L002</t>
    <phoneticPr fontId="11" type="noConversion"/>
  </si>
  <si>
    <t>D</t>
    <phoneticPr fontId="11" type="noConversion"/>
  </si>
  <si>
    <t>王榆淇</t>
    <phoneticPr fontId="11" type="noConversion"/>
  </si>
  <si>
    <t>00P002</t>
    <phoneticPr fontId="11" type="noConversion"/>
  </si>
  <si>
    <t>25/数470</t>
    <phoneticPr fontId="11" type="noConversion"/>
  </si>
  <si>
    <t>25数铣10</t>
    <phoneticPr fontId="11" type="noConversion"/>
  </si>
  <si>
    <t>70数铣500</t>
    <phoneticPr fontId="11" type="noConversion"/>
  </si>
  <si>
    <t>15数铣10</t>
    <phoneticPr fontId="11" type="noConversion"/>
  </si>
  <si>
    <t>40/数铣</t>
    <phoneticPr fontId="11" type="noConversion"/>
  </si>
  <si>
    <t>25/数铣670</t>
    <phoneticPr fontId="11" type="noConversion"/>
  </si>
  <si>
    <t>35/数铣33</t>
    <phoneticPr fontId="11" type="noConversion"/>
  </si>
  <si>
    <t>15/数铣60</t>
    <phoneticPr fontId="11" type="noConversion"/>
  </si>
  <si>
    <t>40/数铣120</t>
    <phoneticPr fontId="11" type="noConversion"/>
  </si>
  <si>
    <t>45/五轴5</t>
    <phoneticPr fontId="11" type="noConversion"/>
  </si>
  <si>
    <t>15/数铣25</t>
    <phoneticPr fontId="11" type="noConversion"/>
  </si>
  <si>
    <t>20数铣280</t>
    <phoneticPr fontId="11" type="noConversion"/>
  </si>
  <si>
    <t>60数铣70</t>
    <phoneticPr fontId="11" type="noConversion"/>
  </si>
  <si>
    <t>20数铣180</t>
    <phoneticPr fontId="11" type="noConversion"/>
  </si>
  <si>
    <t>30/数铣</t>
    <phoneticPr fontId="11" type="noConversion"/>
  </si>
  <si>
    <t>15数铣20</t>
    <phoneticPr fontId="11" type="noConversion"/>
  </si>
  <si>
    <t>55数铣3</t>
    <phoneticPr fontId="11" type="noConversion"/>
  </si>
  <si>
    <t>45/数铣700</t>
    <phoneticPr fontId="11" type="noConversion"/>
  </si>
  <si>
    <t>10/数铣70</t>
    <phoneticPr fontId="11" type="noConversion"/>
  </si>
  <si>
    <t>15/数铣860</t>
    <phoneticPr fontId="11" type="noConversion"/>
  </si>
  <si>
    <t>15/数铣480</t>
    <phoneticPr fontId="11" type="noConversion"/>
  </si>
  <si>
    <t>45/数铣210</t>
    <phoneticPr fontId="11" type="noConversion"/>
  </si>
  <si>
    <t>15/数铣250</t>
    <phoneticPr fontId="11" type="noConversion"/>
  </si>
  <si>
    <t>40/五轴170</t>
    <phoneticPr fontId="11" type="noConversion"/>
  </si>
  <si>
    <t>30/数铣2000</t>
    <phoneticPr fontId="11" type="noConversion"/>
  </si>
  <si>
    <t>70五轴780</t>
    <phoneticPr fontId="11" type="noConversion"/>
  </si>
  <si>
    <r>
      <t>SG上工装4H</t>
    </r>
    <r>
      <rPr>
        <sz val="11"/>
        <color indexed="8"/>
        <rFont val="宋体"/>
        <family val="3"/>
        <charset val="134"/>
      </rPr>
      <t>,上钛合金</t>
    </r>
    <phoneticPr fontId="11" type="noConversion"/>
  </si>
  <si>
    <t>15/数铣45</t>
    <phoneticPr fontId="11" type="noConversion"/>
  </si>
  <si>
    <t>30/数铣2000</t>
    <phoneticPr fontId="11" type="noConversion"/>
  </si>
  <si>
    <t>70五轴780</t>
    <phoneticPr fontId="11" type="noConversion"/>
  </si>
  <si>
    <t>65/数铣210</t>
    <phoneticPr fontId="11" type="noConversion"/>
  </si>
  <si>
    <t>20数铣60</t>
    <phoneticPr fontId="11" type="noConversion"/>
  </si>
  <si>
    <t>40/五轴170</t>
    <phoneticPr fontId="11" type="noConversion"/>
  </si>
  <si>
    <t>5/数铣190</t>
    <phoneticPr fontId="11" type="noConversion"/>
  </si>
  <si>
    <t>20五轴140</t>
    <phoneticPr fontId="11" type="noConversion"/>
  </si>
  <si>
    <t>50/数铣125</t>
    <phoneticPr fontId="11" type="noConversion"/>
  </si>
  <si>
    <t>35/数铣185</t>
    <phoneticPr fontId="11" type="noConversion"/>
  </si>
  <si>
    <t>50五轴2000</t>
    <phoneticPr fontId="11" type="noConversion"/>
  </si>
  <si>
    <t>25/五轴330</t>
    <phoneticPr fontId="11" type="noConversion"/>
  </si>
  <si>
    <t>5/数铣150</t>
    <phoneticPr fontId="11" type="noConversion"/>
  </si>
  <si>
    <t>100/数铣240</t>
    <phoneticPr fontId="11" type="noConversion"/>
  </si>
  <si>
    <t>105/数铣35</t>
    <phoneticPr fontId="11" type="noConversion"/>
  </si>
  <si>
    <t>30/数铣10</t>
    <phoneticPr fontId="11" type="noConversion"/>
  </si>
  <si>
    <t>25数铣320</t>
    <phoneticPr fontId="11" type="noConversion"/>
  </si>
  <si>
    <t>15/数铣40</t>
    <phoneticPr fontId="11" type="noConversion"/>
  </si>
  <si>
    <t>25/数铣100</t>
    <phoneticPr fontId="11" type="noConversion"/>
  </si>
  <si>
    <t>15/数铣45</t>
    <phoneticPr fontId="11" type="noConversion"/>
  </si>
  <si>
    <t>20/数铣200</t>
    <phoneticPr fontId="11" type="noConversion"/>
  </si>
  <si>
    <t>10数铣30</t>
    <phoneticPr fontId="11" type="noConversion"/>
  </si>
  <si>
    <t>55/数铣5</t>
    <phoneticPr fontId="11" type="noConversion"/>
  </si>
  <si>
    <t>50/数铣1000</t>
    <phoneticPr fontId="11" type="noConversion"/>
  </si>
  <si>
    <t>20/数铣60</t>
    <phoneticPr fontId="11" type="noConversion"/>
  </si>
  <si>
    <t>30/数铣20</t>
    <phoneticPr fontId="11" type="noConversion"/>
  </si>
  <si>
    <t>40/数铣160</t>
    <phoneticPr fontId="11" type="noConversion"/>
  </si>
  <si>
    <t>15/数铣380</t>
    <phoneticPr fontId="11" type="noConversion"/>
  </si>
  <si>
    <t>25/数铣20</t>
    <phoneticPr fontId="11" type="noConversion"/>
  </si>
  <si>
    <t>20/数铣35</t>
    <phoneticPr fontId="11" type="noConversion"/>
  </si>
  <si>
    <t>45/测量</t>
    <phoneticPr fontId="11" type="noConversion"/>
  </si>
  <si>
    <t>50/数铣470</t>
    <phoneticPr fontId="11" type="noConversion"/>
  </si>
  <si>
    <t>20/数铣140</t>
    <phoneticPr fontId="11" type="noConversion"/>
  </si>
  <si>
    <t>50数铣/160</t>
    <phoneticPr fontId="11" type="noConversion"/>
  </si>
  <si>
    <t>30/数铣70</t>
    <phoneticPr fontId="11" type="noConversion"/>
  </si>
  <si>
    <t>40/数铣20</t>
    <phoneticPr fontId="11" type="noConversion"/>
  </si>
  <si>
    <t>30数铣40</t>
    <phoneticPr fontId="11" type="noConversion"/>
  </si>
  <si>
    <t>40数铣50</t>
    <phoneticPr fontId="11" type="noConversion"/>
  </si>
  <si>
    <t>25/数铣120</t>
    <phoneticPr fontId="11" type="noConversion"/>
  </si>
  <si>
    <t>40/数铣</t>
    <phoneticPr fontId="11" type="noConversion"/>
  </si>
  <si>
    <t>10/数铣</t>
    <phoneticPr fontId="11" type="noConversion"/>
  </si>
  <si>
    <t>90数铣30</t>
    <phoneticPr fontId="11" type="noConversion"/>
  </si>
  <si>
    <t>95数铣10</t>
    <phoneticPr fontId="11" type="noConversion"/>
  </si>
  <si>
    <t>45/数铣600</t>
    <phoneticPr fontId="11" type="noConversion"/>
  </si>
  <si>
    <t>45/五轴65</t>
    <phoneticPr fontId="11" type="noConversion"/>
  </si>
  <si>
    <t>30/五轴500</t>
    <phoneticPr fontId="11" type="noConversion"/>
  </si>
  <si>
    <t>45/数铣25</t>
    <phoneticPr fontId="11" type="noConversion"/>
  </si>
  <si>
    <t>25/数铣670</t>
    <phoneticPr fontId="11" type="noConversion"/>
  </si>
  <si>
    <t>35/数铣33</t>
    <phoneticPr fontId="11" type="noConversion"/>
  </si>
  <si>
    <t>35/数铣330</t>
    <phoneticPr fontId="11" type="noConversion"/>
  </si>
  <si>
    <t>15/数铣60</t>
    <phoneticPr fontId="11" type="noConversion"/>
  </si>
  <si>
    <t>45/数铣220</t>
    <phoneticPr fontId="11" type="noConversion"/>
  </si>
  <si>
    <t>75数铣10</t>
    <phoneticPr fontId="11" type="noConversion"/>
  </si>
  <si>
    <t>35数铣10</t>
    <phoneticPr fontId="11" type="noConversion"/>
  </si>
  <si>
    <t>5/数铣</t>
    <phoneticPr fontId="11" type="noConversion"/>
  </si>
  <si>
    <t>15/数铣</t>
    <phoneticPr fontId="11" type="noConversion"/>
  </si>
  <si>
    <t>45数铣70</t>
    <phoneticPr fontId="11" type="noConversion"/>
  </si>
  <si>
    <t>25五轴15</t>
    <phoneticPr fontId="11" type="noConversion"/>
  </si>
  <si>
    <t>35/五轴15</t>
    <phoneticPr fontId="11" type="noConversion"/>
  </si>
  <si>
    <t>40/数铣120</t>
    <phoneticPr fontId="11" type="noConversion"/>
  </si>
  <si>
    <t>20/数铣</t>
    <phoneticPr fontId="11" type="noConversion"/>
  </si>
  <si>
    <t>25/数铣180</t>
    <phoneticPr fontId="11" type="noConversion"/>
  </si>
  <si>
    <t>25/五轴25</t>
    <phoneticPr fontId="11" type="noConversion"/>
  </si>
  <si>
    <t>40/五轴65</t>
    <phoneticPr fontId="11" type="noConversion"/>
  </si>
  <si>
    <t>35/数铣540</t>
    <phoneticPr fontId="11" type="noConversion"/>
  </si>
  <si>
    <t>10/数铣25</t>
    <phoneticPr fontId="11" type="noConversion"/>
  </si>
  <si>
    <t>10/数铣8</t>
    <phoneticPr fontId="11" type="noConversion"/>
  </si>
  <si>
    <t>45/五轴5</t>
    <phoneticPr fontId="11" type="noConversion"/>
  </si>
  <si>
    <t>50/五轴65</t>
    <phoneticPr fontId="11" type="noConversion"/>
  </si>
  <si>
    <t>5/数铣180</t>
    <phoneticPr fontId="11" type="noConversion"/>
  </si>
  <si>
    <t>15/数铣30</t>
    <phoneticPr fontId="11" type="noConversion"/>
  </si>
  <si>
    <t>15/数铣25</t>
    <phoneticPr fontId="11" type="noConversion"/>
  </si>
  <si>
    <t>20数铣280</t>
    <phoneticPr fontId="11" type="noConversion"/>
  </si>
  <si>
    <t>10/数铣40</t>
    <phoneticPr fontId="11" type="noConversion"/>
  </si>
  <si>
    <t>20/数铣220</t>
    <phoneticPr fontId="11" type="noConversion"/>
  </si>
  <si>
    <t>70数铣170</t>
    <phoneticPr fontId="11" type="noConversion"/>
  </si>
  <si>
    <t>10数铣</t>
    <phoneticPr fontId="11" type="noConversion"/>
  </si>
  <si>
    <t>30数铣30</t>
    <phoneticPr fontId="11" type="noConversion"/>
  </si>
  <si>
    <t>45/数铣180</t>
    <phoneticPr fontId="11" type="noConversion"/>
  </si>
  <si>
    <t>20数铣75</t>
    <phoneticPr fontId="11" type="noConversion"/>
  </si>
  <si>
    <t>15/数铣260</t>
    <phoneticPr fontId="11" type="noConversion"/>
  </si>
  <si>
    <t>05数铣</t>
    <phoneticPr fontId="11" type="noConversion"/>
  </si>
  <si>
    <t>5/数铣6</t>
    <phoneticPr fontId="11" type="noConversion"/>
  </si>
  <si>
    <t>20/数铣350</t>
    <phoneticPr fontId="11" type="noConversion"/>
  </si>
  <si>
    <t>20/数铣70</t>
    <phoneticPr fontId="11" type="noConversion"/>
  </si>
  <si>
    <t>15/数铣76</t>
    <phoneticPr fontId="11" type="noConversion"/>
  </si>
  <si>
    <t>20/数铣20</t>
    <phoneticPr fontId="11" type="noConversion"/>
  </si>
  <si>
    <t>35数铣120</t>
    <phoneticPr fontId="11" type="noConversion"/>
  </si>
  <si>
    <t>80数铣30</t>
    <phoneticPr fontId="11" type="noConversion"/>
  </si>
  <si>
    <t>50/五轴770</t>
    <phoneticPr fontId="11" type="noConversion"/>
  </si>
  <si>
    <t>70/五轴</t>
    <phoneticPr fontId="11" type="noConversion"/>
  </si>
  <si>
    <t>25/数铣220</t>
    <phoneticPr fontId="11" type="noConversion"/>
  </si>
  <si>
    <t>60/数铣</t>
    <phoneticPr fontId="11" type="noConversion"/>
  </si>
  <si>
    <t>40/数铣240</t>
    <phoneticPr fontId="11" type="noConversion"/>
  </si>
  <si>
    <t>25/数铣5</t>
    <phoneticPr fontId="11" type="noConversion"/>
  </si>
  <si>
    <t>40数铣130</t>
    <phoneticPr fontId="11" type="noConversion"/>
  </si>
  <si>
    <t>15数铣180</t>
    <phoneticPr fontId="11" type="noConversion"/>
  </si>
  <si>
    <t>5/校形</t>
    <phoneticPr fontId="11" type="noConversion"/>
  </si>
  <si>
    <t>20/数铣50</t>
    <phoneticPr fontId="11" type="noConversion"/>
  </si>
  <si>
    <t>20数铣120</t>
    <phoneticPr fontId="11" type="noConversion"/>
  </si>
  <si>
    <t>25/数铣270</t>
    <phoneticPr fontId="11" type="noConversion"/>
  </si>
  <si>
    <t>15/数铣230</t>
    <phoneticPr fontId="11" type="noConversion"/>
  </si>
  <si>
    <t>20/数铣10</t>
    <phoneticPr fontId="11" type="noConversion"/>
  </si>
  <si>
    <t>30/数铣75</t>
    <phoneticPr fontId="11" type="noConversion"/>
  </si>
  <si>
    <t>45数铣150</t>
    <phoneticPr fontId="11" type="noConversion"/>
  </si>
  <si>
    <t>25/数铣30</t>
    <phoneticPr fontId="11" type="noConversion"/>
  </si>
  <si>
    <t>65/数铣190</t>
    <phoneticPr fontId="11" type="noConversion"/>
  </si>
  <si>
    <t>25/数铣45</t>
    <phoneticPr fontId="11" type="noConversion"/>
  </si>
  <si>
    <t>25/五轴5</t>
    <phoneticPr fontId="11" type="noConversion"/>
  </si>
  <si>
    <t>50/五轴30</t>
    <phoneticPr fontId="11" type="noConversion"/>
  </si>
  <si>
    <t>50/数铣450</t>
    <phoneticPr fontId="11" type="noConversion"/>
  </si>
  <si>
    <t xml:space="preserve">40数铣 </t>
    <phoneticPr fontId="11" type="noConversion"/>
  </si>
  <si>
    <t>10数铣15</t>
    <phoneticPr fontId="11" type="noConversion"/>
  </si>
  <si>
    <t>15数铣55</t>
    <phoneticPr fontId="11" type="noConversion"/>
  </si>
  <si>
    <t>30数铣45</t>
    <phoneticPr fontId="11" type="noConversion"/>
  </si>
  <si>
    <t>45/数铣26</t>
    <phoneticPr fontId="11" type="noConversion"/>
  </si>
  <si>
    <t>30数铣</t>
    <phoneticPr fontId="11" type="noConversion"/>
  </si>
  <si>
    <t>25数铣</t>
    <phoneticPr fontId="11" type="noConversion"/>
  </si>
  <si>
    <t>30/数铣25</t>
    <phoneticPr fontId="11" type="noConversion"/>
  </si>
  <si>
    <t>70/数铣550</t>
    <phoneticPr fontId="11" type="noConversion"/>
  </si>
  <si>
    <t>45数铣25</t>
    <phoneticPr fontId="11" type="noConversion"/>
  </si>
  <si>
    <t>35数铣20</t>
    <phoneticPr fontId="11" type="noConversion"/>
  </si>
  <si>
    <t>75/数铣80</t>
    <phoneticPr fontId="11" type="noConversion"/>
  </si>
  <si>
    <t>35/数铣50</t>
    <phoneticPr fontId="11" type="noConversion"/>
  </si>
  <si>
    <t>50数铣20</t>
    <phoneticPr fontId="11" type="noConversion"/>
  </si>
  <si>
    <t>45五轴60</t>
    <phoneticPr fontId="11" type="noConversion"/>
  </si>
  <si>
    <t>20数铣95</t>
    <phoneticPr fontId="11" type="noConversion"/>
  </si>
  <si>
    <t>40数铣20</t>
    <phoneticPr fontId="11" type="noConversion"/>
  </si>
  <si>
    <t>55/数铣420</t>
    <phoneticPr fontId="11" type="noConversion"/>
  </si>
  <si>
    <t>30/数铣380</t>
    <phoneticPr fontId="11" type="noConversion"/>
  </si>
  <si>
    <t>25/数铣300</t>
    <phoneticPr fontId="11" type="noConversion"/>
  </si>
  <si>
    <t>60/数铣5</t>
    <phoneticPr fontId="11" type="noConversion"/>
  </si>
  <si>
    <t>25/数铣10</t>
    <phoneticPr fontId="11" type="noConversion"/>
  </si>
  <si>
    <t>50/数铣15</t>
    <phoneticPr fontId="11" type="noConversion"/>
  </si>
  <si>
    <t>55/五轴200</t>
    <phoneticPr fontId="11" type="noConversion"/>
  </si>
  <si>
    <t>85数铣15</t>
    <phoneticPr fontId="11" type="noConversion"/>
  </si>
  <si>
    <t>35/数铣25</t>
    <phoneticPr fontId="11" type="noConversion"/>
  </si>
  <si>
    <t>20数铣15</t>
    <phoneticPr fontId="11" type="noConversion"/>
  </si>
  <si>
    <t>15数铣15</t>
    <phoneticPr fontId="11" type="noConversion"/>
  </si>
  <si>
    <t>45数铣</t>
    <phoneticPr fontId="11" type="noConversion"/>
  </si>
  <si>
    <t>80/数铣70</t>
    <phoneticPr fontId="11" type="noConversion"/>
  </si>
  <si>
    <t>25/数铣640</t>
    <phoneticPr fontId="11" type="noConversion"/>
  </si>
  <si>
    <t>25/数铣500</t>
    <phoneticPr fontId="11" type="noConversion"/>
  </si>
  <si>
    <t>55数铣25</t>
    <phoneticPr fontId="11" type="noConversion"/>
  </si>
  <si>
    <t>45/数铣30</t>
    <phoneticPr fontId="11" type="noConversion"/>
  </si>
  <si>
    <t>50/五轴1000</t>
    <phoneticPr fontId="11" type="noConversion"/>
  </si>
  <si>
    <t>25数铣35</t>
    <phoneticPr fontId="11" type="noConversion"/>
  </si>
  <si>
    <t>10/数铣20</t>
    <phoneticPr fontId="11" type="noConversion"/>
  </si>
  <si>
    <t>10/数铣50</t>
    <phoneticPr fontId="11" type="noConversion"/>
  </si>
  <si>
    <t>90数铣10</t>
    <phoneticPr fontId="11" type="noConversion"/>
  </si>
  <si>
    <t>30五轴300</t>
    <phoneticPr fontId="11" type="noConversion"/>
  </si>
  <si>
    <t>35/五轴40</t>
    <phoneticPr fontId="11" type="noConversion"/>
  </si>
  <si>
    <t>45/数铣910</t>
    <phoneticPr fontId="11" type="noConversion"/>
  </si>
  <si>
    <t>50/数铣</t>
    <phoneticPr fontId="11" type="noConversion"/>
  </si>
  <si>
    <t>20/数铣120</t>
    <phoneticPr fontId="11" type="noConversion"/>
  </si>
  <si>
    <t>55数铣130</t>
    <phoneticPr fontId="11" type="noConversion"/>
  </si>
  <si>
    <t>50/数铣60</t>
    <phoneticPr fontId="11" type="noConversion"/>
  </si>
  <si>
    <t>15/数铣140</t>
    <phoneticPr fontId="11" type="noConversion"/>
  </si>
  <si>
    <t>20/数铣5</t>
    <phoneticPr fontId="11" type="noConversion"/>
  </si>
  <si>
    <t>25/五轴360</t>
    <phoneticPr fontId="11" type="noConversion"/>
  </si>
  <si>
    <t>55/数铣60</t>
    <phoneticPr fontId="11" type="noConversion"/>
  </si>
  <si>
    <t>25/数铣90</t>
    <phoneticPr fontId="11" type="noConversion"/>
  </si>
  <si>
    <t>10数铣25</t>
    <phoneticPr fontId="11" type="noConversion"/>
  </si>
  <si>
    <t>50/数铣40</t>
    <phoneticPr fontId="11" type="noConversion"/>
  </si>
  <si>
    <t>30/数铣200</t>
    <phoneticPr fontId="11" type="noConversion"/>
  </si>
  <si>
    <t>75/数铣15</t>
    <phoneticPr fontId="11" type="noConversion"/>
  </si>
  <si>
    <t>15/数铣100</t>
    <phoneticPr fontId="11" type="noConversion"/>
  </si>
  <si>
    <t>15/数铣135</t>
    <phoneticPr fontId="11" type="noConversion"/>
  </si>
  <si>
    <t>35/五轴45</t>
    <phoneticPr fontId="11" type="noConversion"/>
  </si>
  <si>
    <t>15/数铣380</t>
    <phoneticPr fontId="11" type="noConversion"/>
  </si>
  <si>
    <t>10/数铣270</t>
    <phoneticPr fontId="11" type="noConversion"/>
  </si>
  <si>
    <t>30/数铣330</t>
    <phoneticPr fontId="11" type="noConversion"/>
  </si>
  <si>
    <t>15/数铣120</t>
    <phoneticPr fontId="11" type="noConversion"/>
  </si>
  <si>
    <t>65数铣20</t>
    <phoneticPr fontId="11" type="noConversion"/>
  </si>
  <si>
    <t>70数铣110</t>
    <phoneticPr fontId="11" type="noConversion"/>
  </si>
  <si>
    <t>50/五轴20</t>
    <phoneticPr fontId="11" type="noConversion"/>
  </si>
  <si>
    <t>25五轴50</t>
    <phoneticPr fontId="11" type="noConversion"/>
  </si>
  <si>
    <t>30/数铣1320</t>
    <phoneticPr fontId="11" type="noConversion"/>
  </si>
  <si>
    <t>25/数铣</t>
    <phoneticPr fontId="11" type="noConversion"/>
  </si>
  <si>
    <t>40/数铣10</t>
    <phoneticPr fontId="11" type="noConversion"/>
  </si>
  <si>
    <t>15数铣30</t>
    <phoneticPr fontId="11" type="noConversion"/>
  </si>
  <si>
    <t>10数铣100</t>
    <phoneticPr fontId="11" type="noConversion"/>
  </si>
  <si>
    <t>30/数铣15</t>
    <phoneticPr fontId="11" type="noConversion"/>
  </si>
  <si>
    <t>10/数铣150</t>
    <phoneticPr fontId="11" type="noConversion"/>
  </si>
  <si>
    <t>05/数铣</t>
    <phoneticPr fontId="11" type="noConversion"/>
  </si>
  <si>
    <t>30/五轴930</t>
    <phoneticPr fontId="11" type="noConversion"/>
  </si>
  <si>
    <t>60/五轴180</t>
    <phoneticPr fontId="11" type="noConversion"/>
  </si>
  <si>
    <t>85/五轴15</t>
    <phoneticPr fontId="11" type="noConversion"/>
  </si>
  <si>
    <t>60/五轴120</t>
    <phoneticPr fontId="11" type="noConversion"/>
  </si>
  <si>
    <t>15数铣385</t>
    <phoneticPr fontId="11" type="noConversion"/>
  </si>
  <si>
    <t>40/数铣40</t>
    <phoneticPr fontId="11" type="noConversion"/>
  </si>
  <si>
    <t>45/数铣20</t>
    <phoneticPr fontId="11" type="noConversion"/>
  </si>
  <si>
    <t>25数铣75</t>
    <phoneticPr fontId="11" type="noConversion"/>
  </si>
  <si>
    <t>10/数铣15</t>
    <phoneticPr fontId="11" type="noConversion"/>
  </si>
  <si>
    <t>30数铣20</t>
    <phoneticPr fontId="11" type="noConversion"/>
  </si>
  <si>
    <t>15/数铣990</t>
    <phoneticPr fontId="11" type="noConversion"/>
  </si>
  <si>
    <t>30五轴250</t>
    <phoneticPr fontId="11" type="noConversion"/>
  </si>
  <si>
    <t>35/数铣</t>
    <phoneticPr fontId="11" type="noConversion"/>
  </si>
  <si>
    <t>25/数铣210</t>
    <phoneticPr fontId="11" type="noConversion"/>
  </si>
  <si>
    <t>15/数铣90</t>
    <phoneticPr fontId="11" type="noConversion"/>
  </si>
  <si>
    <t>20/数铣130</t>
    <phoneticPr fontId="11" type="noConversion"/>
  </si>
  <si>
    <t>35/数铣20</t>
    <phoneticPr fontId="11" type="noConversion"/>
  </si>
  <si>
    <t>30/数铣210</t>
    <phoneticPr fontId="11" type="noConversion"/>
  </si>
  <si>
    <t>25/数铣55</t>
    <phoneticPr fontId="11" type="noConversion"/>
  </si>
  <si>
    <t>40数铣10</t>
    <phoneticPr fontId="11" type="noConversion"/>
  </si>
  <si>
    <t>30/数铣5</t>
    <phoneticPr fontId="11" type="noConversion"/>
  </si>
  <si>
    <t>20数铣90</t>
    <phoneticPr fontId="11" type="noConversion"/>
  </si>
  <si>
    <t>60数铣3</t>
    <phoneticPr fontId="11" type="noConversion"/>
  </si>
  <si>
    <t>65数铣5</t>
    <phoneticPr fontId="11" type="noConversion"/>
  </si>
  <si>
    <t>30/数铣50</t>
    <phoneticPr fontId="11" type="noConversion"/>
  </si>
  <si>
    <t>35/数铣350</t>
    <phoneticPr fontId="11" type="noConversion"/>
  </si>
  <si>
    <t>20数铣10</t>
    <phoneticPr fontId="11" type="noConversion"/>
  </si>
  <si>
    <t>15/数铣28</t>
    <phoneticPr fontId="11" type="noConversion"/>
  </si>
  <si>
    <t>20/装配</t>
    <phoneticPr fontId="11" type="noConversion"/>
  </si>
  <si>
    <t>10数铣18</t>
    <phoneticPr fontId="11" type="noConversion"/>
  </si>
  <si>
    <t>15数铣35</t>
    <phoneticPr fontId="11" type="noConversion"/>
  </si>
  <si>
    <t>30/数铣62</t>
    <phoneticPr fontId="11" type="noConversion"/>
  </si>
  <si>
    <t>40/数铣60</t>
    <phoneticPr fontId="11" type="noConversion"/>
  </si>
  <si>
    <t>10/数铣</t>
    <phoneticPr fontId="11" type="noConversion"/>
  </si>
  <si>
    <t>60/数铣300</t>
    <phoneticPr fontId="11" type="noConversion"/>
  </si>
  <si>
    <t>40/五轴153</t>
    <phoneticPr fontId="11" type="noConversion"/>
  </si>
  <si>
    <t>55/五轴400</t>
    <phoneticPr fontId="11" type="noConversion"/>
  </si>
  <si>
    <t>10/数铣30</t>
    <phoneticPr fontId="11" type="noConversion"/>
  </si>
  <si>
    <t>20数铣35</t>
    <phoneticPr fontId="11" type="noConversion"/>
  </si>
  <si>
    <t>20/数铣22</t>
    <phoneticPr fontId="11" type="noConversion"/>
  </si>
  <si>
    <t>70/数铣10</t>
    <phoneticPr fontId="11" type="noConversion"/>
  </si>
  <si>
    <t>50/五轴350</t>
    <phoneticPr fontId="11" type="noConversion"/>
  </si>
  <si>
    <t>70/数铣40</t>
    <phoneticPr fontId="11" type="noConversion"/>
  </si>
  <si>
    <t>25/数铣48</t>
    <phoneticPr fontId="11" type="noConversion"/>
  </si>
  <si>
    <t>55数铣15</t>
    <phoneticPr fontId="11" type="noConversion"/>
  </si>
  <si>
    <t>20数铣</t>
    <phoneticPr fontId="11" type="noConversion"/>
  </si>
  <si>
    <t>20/数铣520</t>
    <phoneticPr fontId="11" type="noConversion"/>
  </si>
  <si>
    <t>10/数铣100</t>
    <phoneticPr fontId="11" type="noConversion"/>
  </si>
  <si>
    <t>35/五轴35</t>
    <phoneticPr fontId="11" type="noConversion"/>
  </si>
  <si>
    <t>40/五轴1140</t>
    <phoneticPr fontId="11" type="noConversion"/>
  </si>
  <si>
    <t>15/数铣70</t>
    <phoneticPr fontId="11" type="noConversion"/>
  </si>
  <si>
    <t>15/数铣50</t>
    <phoneticPr fontId="11" type="noConversion"/>
  </si>
  <si>
    <t>25五轴60</t>
    <phoneticPr fontId="11" type="noConversion"/>
  </si>
  <si>
    <t>10/数铣33</t>
    <phoneticPr fontId="11" type="noConversion"/>
  </si>
  <si>
    <t>15线切割</t>
    <phoneticPr fontId="11" type="noConversion"/>
  </si>
  <si>
    <t>30/数铣23</t>
    <phoneticPr fontId="11" type="noConversion"/>
  </si>
  <si>
    <t>20数铣30</t>
    <phoneticPr fontId="11" type="noConversion"/>
  </si>
  <si>
    <t>50/数铣380</t>
    <phoneticPr fontId="11" type="noConversion"/>
  </si>
  <si>
    <t>55/数铣10</t>
    <phoneticPr fontId="11" type="noConversion"/>
  </si>
  <si>
    <t>40数铣1950</t>
    <phoneticPr fontId="11" type="noConversion"/>
  </si>
  <si>
    <t>40/数铣45</t>
  </si>
  <si>
    <t>40/数铣45</t>
    <phoneticPr fontId="11" type="noConversion"/>
  </si>
  <si>
    <t>30/数铣550</t>
    <phoneticPr fontId="11" type="noConversion"/>
  </si>
  <si>
    <t>40/修面</t>
    <phoneticPr fontId="11" type="noConversion"/>
  </si>
  <si>
    <t>45/数洗420</t>
    <phoneticPr fontId="11" type="noConversion"/>
  </si>
  <si>
    <t>50/数铣30</t>
    <phoneticPr fontId="11" type="noConversion"/>
  </si>
  <si>
    <t>30/数铣830</t>
    <phoneticPr fontId="11" type="noConversion"/>
  </si>
  <si>
    <t>30/时效</t>
    <phoneticPr fontId="11" type="noConversion"/>
  </si>
  <si>
    <t>20/数铣280</t>
    <phoneticPr fontId="11" type="noConversion"/>
  </si>
  <si>
    <t>25/数铣105</t>
    <phoneticPr fontId="11" type="noConversion"/>
  </si>
  <si>
    <t>30/数铣400</t>
    <phoneticPr fontId="11" type="noConversion"/>
  </si>
  <si>
    <t>20/数铣630</t>
    <phoneticPr fontId="11" type="noConversion"/>
  </si>
  <si>
    <t>30/数铣590</t>
    <phoneticPr fontId="11" type="noConversion"/>
  </si>
  <si>
    <t>15/数铣65</t>
    <phoneticPr fontId="11" type="noConversion"/>
  </si>
  <si>
    <t>20/数铣310</t>
    <phoneticPr fontId="11" type="noConversion"/>
  </si>
  <si>
    <t>10/数铣110</t>
    <phoneticPr fontId="11" type="noConversion"/>
  </si>
  <si>
    <t>45/数铣780</t>
  </si>
  <si>
    <t>45/数铣780</t>
    <phoneticPr fontId="11" type="noConversion"/>
  </si>
  <si>
    <t>35/数铣480</t>
    <phoneticPr fontId="11" type="noConversion"/>
  </si>
  <si>
    <t>25/数铣550</t>
    <phoneticPr fontId="11" type="noConversion"/>
  </si>
  <si>
    <t>35/数铣300</t>
    <phoneticPr fontId="11" type="noConversion"/>
  </si>
  <si>
    <t>15/数铣350</t>
    <phoneticPr fontId="11" type="noConversion"/>
  </si>
  <si>
    <t>25/数铣240</t>
    <phoneticPr fontId="11" type="noConversion"/>
  </si>
  <si>
    <t>15/数铣480</t>
    <phoneticPr fontId="11" type="noConversion"/>
  </si>
  <si>
    <t>40/数铣260</t>
    <phoneticPr fontId="11" type="noConversion"/>
  </si>
  <si>
    <t>45/数铣40</t>
    <phoneticPr fontId="11" type="noConversion"/>
  </si>
  <si>
    <t>40/数铣280</t>
    <phoneticPr fontId="11" type="noConversion"/>
  </si>
  <si>
    <t>50/数洗320</t>
    <phoneticPr fontId="11" type="noConversion"/>
  </si>
  <si>
    <t>25/数铣160</t>
    <phoneticPr fontId="11" type="noConversion"/>
  </si>
  <si>
    <t>20/数铣230</t>
    <phoneticPr fontId="11" type="noConversion"/>
  </si>
  <si>
    <t>15/数铣35</t>
    <phoneticPr fontId="11" type="noConversion"/>
  </si>
  <si>
    <t>15/数铣67</t>
    <phoneticPr fontId="11" type="noConversion"/>
  </si>
  <si>
    <t>25/数铣750</t>
  </si>
  <si>
    <t>25/数铣750</t>
    <phoneticPr fontId="11" type="noConversion"/>
  </si>
  <si>
    <t>20/数铣245</t>
    <phoneticPr fontId="11" type="noConversion"/>
  </si>
  <si>
    <t>60/数铣430</t>
    <phoneticPr fontId="11" type="noConversion"/>
  </si>
  <si>
    <t>35/数铣850</t>
    <phoneticPr fontId="11" type="noConversion"/>
  </si>
  <si>
    <t>5/数铣20</t>
    <phoneticPr fontId="11" type="noConversion"/>
  </si>
  <si>
    <t>45/数铣210</t>
    <phoneticPr fontId="11" type="noConversion"/>
  </si>
  <si>
    <t>25/数铣190</t>
    <phoneticPr fontId="11" type="noConversion"/>
  </si>
  <si>
    <t>60/数铣430</t>
    <phoneticPr fontId="11" type="noConversion"/>
  </si>
  <si>
    <t>25/数铣2950</t>
  </si>
  <si>
    <t>25/数铣2950</t>
    <phoneticPr fontId="11" type="noConversion"/>
  </si>
  <si>
    <t>20/数铣245</t>
    <phoneticPr fontId="11" type="noConversion"/>
  </si>
  <si>
    <t>5/数铣20</t>
    <phoneticPr fontId="11" type="noConversion"/>
  </si>
  <si>
    <t>55/数铣910</t>
    <phoneticPr fontId="11" type="noConversion"/>
  </si>
  <si>
    <t>30/数铣310</t>
    <phoneticPr fontId="11" type="noConversion"/>
  </si>
  <si>
    <t>55/数铣55</t>
    <phoneticPr fontId="11" type="noConversion"/>
  </si>
  <si>
    <t>25/数铣8</t>
    <phoneticPr fontId="11" type="noConversion"/>
  </si>
  <si>
    <t>30/数铣1200</t>
    <phoneticPr fontId="11" type="noConversion"/>
  </si>
  <si>
    <t>20/数铣440</t>
    <phoneticPr fontId="11" type="noConversion"/>
  </si>
  <si>
    <t>40/数铣360</t>
    <phoneticPr fontId="11" type="noConversion"/>
  </si>
  <si>
    <t>40/数铣600</t>
    <phoneticPr fontId="11" type="noConversion"/>
  </si>
  <si>
    <t>35/数铣520</t>
    <phoneticPr fontId="11" type="noConversion"/>
  </si>
  <si>
    <t>25/数铣飞面</t>
    <phoneticPr fontId="11" type="noConversion"/>
  </si>
  <si>
    <t>10/数铣130</t>
    <phoneticPr fontId="11" type="noConversion"/>
  </si>
  <si>
    <t>15/数铣250</t>
    <phoneticPr fontId="11" type="noConversion"/>
  </si>
  <si>
    <t>60/数铣55</t>
    <phoneticPr fontId="11" type="noConversion"/>
  </si>
  <si>
    <t>5/飞面</t>
    <phoneticPr fontId="11" type="noConversion"/>
  </si>
  <si>
    <t>15/数铣240</t>
    <phoneticPr fontId="11" type="noConversion"/>
  </si>
  <si>
    <t>20/数铣370</t>
    <phoneticPr fontId="11" type="noConversion"/>
  </si>
  <si>
    <t>25/数铣修面</t>
    <phoneticPr fontId="11" type="noConversion"/>
  </si>
  <si>
    <t>20/数铣660</t>
    <phoneticPr fontId="11" type="noConversion"/>
  </si>
  <si>
    <t>65/数铣10</t>
    <phoneticPr fontId="11" type="noConversion"/>
  </si>
  <si>
    <t>50/数铣900</t>
    <phoneticPr fontId="11" type="noConversion"/>
  </si>
  <si>
    <t>30/数铣900</t>
    <phoneticPr fontId="11" type="noConversion"/>
  </si>
  <si>
    <t>35/数铣3700</t>
    <phoneticPr fontId="11" type="noConversion"/>
  </si>
  <si>
    <t>45/数铣</t>
    <phoneticPr fontId="11" type="noConversion"/>
  </si>
  <si>
    <t>45/数铣10</t>
    <phoneticPr fontId="11" type="noConversion"/>
  </si>
  <si>
    <t>25/数铣185</t>
  </si>
  <si>
    <t>25/数铣185</t>
    <phoneticPr fontId="11" type="noConversion"/>
  </si>
  <si>
    <t>10/孔50</t>
    <phoneticPr fontId="11" type="noConversion"/>
  </si>
  <si>
    <t>30/数铣420</t>
    <phoneticPr fontId="11" type="noConversion"/>
  </si>
  <si>
    <t>55/数铣70</t>
    <phoneticPr fontId="11" type="noConversion"/>
  </si>
  <si>
    <t>5/数铣130</t>
    <phoneticPr fontId="11" type="noConversion"/>
  </si>
  <si>
    <t>10/数铣136</t>
    <phoneticPr fontId="11" type="noConversion"/>
  </si>
  <si>
    <t>35/数铣597</t>
    <phoneticPr fontId="11" type="noConversion"/>
  </si>
  <si>
    <t>25/数洗135</t>
    <phoneticPr fontId="11" type="noConversion"/>
  </si>
  <si>
    <t>30/数铣540</t>
    <phoneticPr fontId="11" type="noConversion"/>
  </si>
  <si>
    <t>65/数铣50</t>
    <phoneticPr fontId="11" type="noConversion"/>
  </si>
  <si>
    <t>35/数铣597</t>
    <phoneticPr fontId="11" type="noConversion"/>
  </si>
  <si>
    <t>50/五轴40</t>
    <phoneticPr fontId="11" type="noConversion"/>
  </si>
  <si>
    <t>60五轴360</t>
    <phoneticPr fontId="11" type="noConversion"/>
  </si>
  <si>
    <t>50数铣1920</t>
    <phoneticPr fontId="11" type="noConversion"/>
  </si>
  <si>
    <t>15数铣50</t>
    <phoneticPr fontId="11" type="noConversion"/>
  </si>
  <si>
    <t>60/数铣20</t>
    <phoneticPr fontId="11" type="noConversion"/>
  </si>
  <si>
    <t>20数铣10</t>
    <phoneticPr fontId="11" type="noConversion"/>
  </si>
  <si>
    <t>25/数铣35</t>
    <phoneticPr fontId="11" type="noConversion"/>
  </si>
  <si>
    <t>25/数铣40</t>
    <phoneticPr fontId="11" type="noConversion"/>
  </si>
  <si>
    <t>50数铣900</t>
    <phoneticPr fontId="11" type="noConversion"/>
  </si>
  <si>
    <t>30/数铣（15）</t>
    <phoneticPr fontId="11" type="noConversion"/>
  </si>
  <si>
    <t>20/数铣25</t>
    <phoneticPr fontId="11" type="noConversion"/>
  </si>
  <si>
    <t>20/数铣80</t>
    <phoneticPr fontId="11" type="noConversion"/>
  </si>
  <si>
    <t>10数铣45</t>
    <phoneticPr fontId="11" type="noConversion"/>
  </si>
  <si>
    <t>10数铣240</t>
    <phoneticPr fontId="11" type="noConversion"/>
  </si>
  <si>
    <t>30/数铣130</t>
    <phoneticPr fontId="11" type="noConversion"/>
  </si>
  <si>
    <t>20数铣10</t>
    <phoneticPr fontId="11" type="noConversion"/>
  </si>
  <si>
    <t>30数铣10</t>
    <phoneticPr fontId="11" type="noConversion"/>
  </si>
  <si>
    <t>30数铣75</t>
    <phoneticPr fontId="11" type="noConversion"/>
  </si>
  <si>
    <t>35五轴25</t>
    <phoneticPr fontId="11" type="noConversion"/>
  </si>
  <si>
    <t>35五轴50</t>
    <phoneticPr fontId="11" type="noConversion"/>
  </si>
  <si>
    <t>60/五轴70</t>
    <phoneticPr fontId="11" type="noConversion"/>
  </si>
  <si>
    <t>55/数铣300</t>
    <phoneticPr fontId="11" type="noConversion"/>
  </si>
  <si>
    <t>25/数铣540</t>
    <phoneticPr fontId="11" type="noConversion"/>
  </si>
  <si>
    <t>25/数铣500</t>
    <phoneticPr fontId="11" type="noConversion"/>
  </si>
  <si>
    <t>10数铣40</t>
    <phoneticPr fontId="11" type="noConversion"/>
  </si>
  <si>
    <t>55/数铣165</t>
    <phoneticPr fontId="11" type="noConversion"/>
  </si>
  <si>
    <t>35/数铣75</t>
    <phoneticPr fontId="11" type="noConversion"/>
  </si>
  <si>
    <t>35/数铣10</t>
    <phoneticPr fontId="11" type="noConversion"/>
  </si>
  <si>
    <t>35/普铣</t>
    <phoneticPr fontId="11" type="noConversion"/>
  </si>
  <si>
    <t>15/数铣15</t>
    <phoneticPr fontId="11" type="noConversion"/>
  </si>
  <si>
    <t>20/数铣180</t>
    <phoneticPr fontId="11" type="noConversion"/>
  </si>
  <si>
    <t>25/数铣110</t>
    <phoneticPr fontId="11" type="noConversion"/>
  </si>
  <si>
    <t>20/数铣210</t>
    <phoneticPr fontId="11" type="noConversion"/>
  </si>
  <si>
    <t>20/数铣100</t>
    <phoneticPr fontId="11" type="noConversion"/>
  </si>
  <si>
    <t>45/数铣1200</t>
    <phoneticPr fontId="11" type="noConversion"/>
  </si>
  <si>
    <t>55/五轴 10</t>
    <phoneticPr fontId="11" type="noConversion"/>
  </si>
  <si>
    <t>50/数铣960</t>
    <phoneticPr fontId="11" type="noConversion"/>
  </si>
  <si>
    <t>40数铣5</t>
    <phoneticPr fontId="11" type="noConversion"/>
  </si>
  <si>
    <t>20/数铣70</t>
    <phoneticPr fontId="11" type="noConversion"/>
  </si>
  <si>
    <t>10/数铣10</t>
    <phoneticPr fontId="11" type="noConversion"/>
  </si>
  <si>
    <t>30/数铣120</t>
    <phoneticPr fontId="11" type="noConversion"/>
  </si>
  <si>
    <t>30数铣5</t>
    <phoneticPr fontId="11" type="noConversion"/>
  </si>
  <si>
    <t>30/数铣30</t>
    <phoneticPr fontId="11" type="noConversion"/>
  </si>
  <si>
    <t>10/数铣60</t>
    <phoneticPr fontId="11" type="noConversion"/>
  </si>
  <si>
    <t>15/数铣400</t>
    <phoneticPr fontId="11" type="noConversion"/>
  </si>
  <si>
    <t>10/数铣1000</t>
    <phoneticPr fontId="11" type="noConversion"/>
  </si>
  <si>
    <t>15/数铣540</t>
    <phoneticPr fontId="11" type="noConversion"/>
  </si>
  <si>
    <t>15数铣90</t>
    <phoneticPr fontId="11" type="noConversion"/>
  </si>
  <si>
    <t>30/五轴10</t>
    <phoneticPr fontId="11" type="noConversion"/>
  </si>
  <si>
    <t>60/五轴80</t>
    <phoneticPr fontId="11" type="noConversion"/>
  </si>
  <si>
    <t>20装配</t>
    <phoneticPr fontId="11" type="noConversion"/>
  </si>
  <si>
    <t>35/数铣110</t>
    <phoneticPr fontId="11" type="noConversion"/>
  </si>
  <si>
    <t>40数铣95</t>
    <phoneticPr fontId="11" type="noConversion"/>
  </si>
  <si>
    <t>10/数铣42</t>
    <phoneticPr fontId="11" type="noConversion"/>
  </si>
  <si>
    <t>15/数铣89</t>
    <phoneticPr fontId="11" type="noConversion"/>
  </si>
  <si>
    <t>30/数铣40</t>
    <phoneticPr fontId="11" type="noConversion"/>
  </si>
  <si>
    <t>10数铣12</t>
    <phoneticPr fontId="11" type="noConversion"/>
  </si>
  <si>
    <t>15/数铣46</t>
    <phoneticPr fontId="11" type="noConversion"/>
  </si>
  <si>
    <t>15/数铣330</t>
    <phoneticPr fontId="11" type="noConversion"/>
  </si>
  <si>
    <t>50/五轴1000</t>
    <phoneticPr fontId="11" type="noConversion"/>
  </si>
  <si>
    <t>15/数铣150</t>
    <phoneticPr fontId="11" type="noConversion"/>
  </si>
  <si>
    <t>40/数铣270</t>
    <phoneticPr fontId="11" type="noConversion"/>
  </si>
  <si>
    <t>30/数铣2</t>
    <phoneticPr fontId="11" type="noConversion"/>
  </si>
  <si>
    <t>35/数铣2</t>
    <phoneticPr fontId="11" type="noConversion"/>
  </si>
  <si>
    <t>15钳工</t>
    <phoneticPr fontId="11" type="noConversion"/>
  </si>
  <si>
    <t>30数铣52</t>
    <phoneticPr fontId="11" type="noConversion"/>
  </si>
  <si>
    <t>20/数铣240</t>
    <phoneticPr fontId="11" type="noConversion"/>
  </si>
  <si>
    <t>20/数铣58</t>
    <phoneticPr fontId="11" type="noConversion"/>
  </si>
  <si>
    <t>25/数铣12</t>
    <phoneticPr fontId="11" type="noConversion"/>
  </si>
  <si>
    <t>20数铣20</t>
    <phoneticPr fontId="11" type="noConversion"/>
  </si>
  <si>
    <t>40/数铣270</t>
    <phoneticPr fontId="11" type="noConversion"/>
  </si>
  <si>
    <t>25/数铣160</t>
    <phoneticPr fontId="11" type="noConversion"/>
  </si>
  <si>
    <t>35/穿孔</t>
    <phoneticPr fontId="11" type="noConversion"/>
  </si>
  <si>
    <t>10数铣8</t>
    <phoneticPr fontId="11" type="noConversion"/>
  </si>
  <si>
    <t>55/五轴360</t>
    <phoneticPr fontId="11" type="noConversion"/>
  </si>
  <si>
    <t>25/数铣200</t>
    <phoneticPr fontId="11" type="noConversion"/>
  </si>
  <si>
    <t>55/数铣840</t>
    <phoneticPr fontId="11" type="noConversion"/>
  </si>
  <si>
    <t>20/数铣75</t>
    <phoneticPr fontId="11" type="noConversion"/>
  </si>
  <si>
    <t>20/数铣150</t>
    <phoneticPr fontId="11" type="noConversion"/>
  </si>
  <si>
    <t>10数铣35</t>
    <phoneticPr fontId="11" type="noConversion"/>
  </si>
  <si>
    <t>65/数铣15</t>
    <phoneticPr fontId="11" type="noConversion"/>
  </si>
  <si>
    <t>40/数铣30</t>
    <phoneticPr fontId="11" type="noConversion"/>
  </si>
  <si>
    <t>25/数铣</t>
    <phoneticPr fontId="11" type="noConversion"/>
  </si>
  <si>
    <t>25数铣15</t>
    <phoneticPr fontId="11" type="noConversion"/>
  </si>
  <si>
    <t>15数铣45</t>
    <phoneticPr fontId="11" type="noConversion"/>
  </si>
  <si>
    <t>55/数铣165</t>
    <phoneticPr fontId="11" type="noConversion"/>
  </si>
  <si>
    <t>35/数铣5</t>
    <phoneticPr fontId="11" type="noConversion"/>
  </si>
  <si>
    <t>70/五轴900</t>
    <phoneticPr fontId="11" type="noConversion"/>
  </si>
  <si>
    <t>15/数铣10</t>
    <phoneticPr fontId="11" type="noConversion"/>
  </si>
  <si>
    <t>30/数洗165</t>
    <phoneticPr fontId="11" type="noConversion"/>
  </si>
  <si>
    <t>15/数铣120</t>
    <phoneticPr fontId="11" type="noConversion"/>
  </si>
  <si>
    <t>10/数铣200</t>
    <phoneticPr fontId="11" type="noConversion"/>
  </si>
  <si>
    <t>20/数铣370</t>
    <phoneticPr fontId="11" type="noConversion"/>
  </si>
  <si>
    <t>55/数铣20</t>
    <phoneticPr fontId="11" type="noConversion"/>
  </si>
  <si>
    <t>40/数铣680</t>
    <phoneticPr fontId="11" type="noConversion"/>
  </si>
  <si>
    <t>15/数铣64</t>
    <phoneticPr fontId="11" type="noConversion"/>
  </si>
  <si>
    <t>20/数铣700</t>
    <phoneticPr fontId="11" type="noConversion"/>
  </si>
  <si>
    <t>5/钳工</t>
    <phoneticPr fontId="11" type="noConversion"/>
  </si>
  <si>
    <t>10数铣24</t>
    <phoneticPr fontId="11" type="noConversion"/>
  </si>
  <si>
    <t>20/数铣210</t>
    <phoneticPr fontId="11" type="noConversion"/>
  </si>
  <si>
    <t>25/数铣750</t>
    <phoneticPr fontId="11" type="noConversion"/>
  </si>
  <si>
    <t>50/数铣900</t>
    <phoneticPr fontId="11" type="noConversion"/>
  </si>
  <si>
    <t>30/数铣400</t>
    <phoneticPr fontId="11" type="noConversion"/>
  </si>
  <si>
    <t>25数铣140</t>
    <phoneticPr fontId="11" type="noConversion"/>
  </si>
  <si>
    <t>10/数铣80</t>
    <phoneticPr fontId="11" type="noConversion"/>
  </si>
  <si>
    <t>60/数铣60</t>
    <phoneticPr fontId="11" type="noConversion"/>
  </si>
  <si>
    <t>25/数铣660</t>
    <phoneticPr fontId="11" type="noConversion"/>
  </si>
  <si>
    <t>45/数铣45</t>
    <phoneticPr fontId="11" type="noConversion"/>
  </si>
  <si>
    <t>25/数铣90</t>
    <phoneticPr fontId="11" type="noConversion"/>
  </si>
  <si>
    <t>20/数铣102</t>
    <phoneticPr fontId="11" type="noConversion"/>
  </si>
  <si>
    <t>35/数铣300</t>
    <phoneticPr fontId="11" type="noConversion"/>
  </si>
  <si>
    <t>20/数铣15</t>
    <phoneticPr fontId="11" type="noConversion"/>
  </si>
  <si>
    <t>25/数铣15</t>
    <phoneticPr fontId="11" type="noConversion"/>
  </si>
  <si>
    <t>10/数铣</t>
    <phoneticPr fontId="11" type="noConversion"/>
  </si>
  <si>
    <t>10数铣20</t>
    <phoneticPr fontId="11" type="noConversion"/>
  </si>
  <si>
    <t>20数铣100</t>
    <phoneticPr fontId="11" type="noConversion"/>
  </si>
  <si>
    <t>40数铣</t>
    <phoneticPr fontId="11" type="noConversion"/>
  </si>
  <si>
    <t>15数铣5</t>
    <phoneticPr fontId="11" type="noConversion"/>
  </si>
  <si>
    <t>15/数铣237</t>
    <phoneticPr fontId="11" type="noConversion"/>
  </si>
  <si>
    <t>15/数铣102</t>
    <phoneticPr fontId="11" type="noConversion"/>
  </si>
  <si>
    <t>05/数铣</t>
    <phoneticPr fontId="11" type="noConversion"/>
  </si>
  <si>
    <t>30/五轴500</t>
    <phoneticPr fontId="11" type="noConversion"/>
  </si>
  <si>
    <t>45/数铣15</t>
    <phoneticPr fontId="11" type="noConversion"/>
  </si>
  <si>
    <t>10数铣10</t>
    <phoneticPr fontId="11" type="noConversion"/>
  </si>
  <si>
    <t>40/数铣150</t>
    <phoneticPr fontId="11" type="noConversion"/>
  </si>
  <si>
    <t>25五轴15</t>
    <phoneticPr fontId="11" type="noConversion"/>
  </si>
  <si>
    <t>35/五轴300</t>
    <phoneticPr fontId="11" type="noConversion"/>
  </si>
  <si>
    <t>10数铣</t>
    <phoneticPr fontId="11" type="noConversion"/>
  </si>
  <si>
    <t>85/数铣350</t>
    <phoneticPr fontId="11" type="noConversion"/>
  </si>
  <si>
    <t>60/数铣440</t>
    <phoneticPr fontId="11" type="noConversion"/>
  </si>
  <si>
    <t>20/数铣260</t>
    <phoneticPr fontId="11" type="noConversion"/>
  </si>
  <si>
    <t>35/数铣38</t>
    <phoneticPr fontId="11" type="noConversion"/>
  </si>
  <si>
    <t>25/数铣80</t>
    <phoneticPr fontId="11" type="noConversion"/>
  </si>
  <si>
    <t>15/数铣130</t>
    <phoneticPr fontId="11" type="noConversion"/>
  </si>
  <si>
    <t>25五轴45</t>
    <phoneticPr fontId="11" type="noConversion"/>
  </si>
  <si>
    <t>50/五轴60</t>
    <phoneticPr fontId="11" type="noConversion"/>
  </si>
  <si>
    <t>15/数铣80</t>
    <phoneticPr fontId="11" type="noConversion"/>
  </si>
  <si>
    <t>15/数铣32</t>
    <phoneticPr fontId="11" type="noConversion"/>
  </si>
  <si>
    <t>60/数铣15</t>
    <phoneticPr fontId="11" type="noConversion"/>
  </si>
  <si>
    <t>20五轴265</t>
    <phoneticPr fontId="11" type="noConversion"/>
  </si>
  <si>
    <t>30数铣50</t>
    <phoneticPr fontId="11" type="noConversion"/>
  </si>
  <si>
    <t>15/数铣5</t>
    <phoneticPr fontId="11" type="noConversion"/>
  </si>
  <si>
    <t>20/数铣68</t>
    <phoneticPr fontId="11" type="noConversion"/>
  </si>
  <si>
    <t>50/线切割</t>
    <phoneticPr fontId="11" type="noConversion"/>
  </si>
  <si>
    <t>15数铣</t>
    <phoneticPr fontId="11" type="noConversion"/>
  </si>
  <si>
    <t>30/数铣350</t>
    <phoneticPr fontId="11" type="noConversion"/>
  </si>
  <si>
    <t>30数铣65</t>
    <phoneticPr fontId="11" type="noConversion"/>
  </si>
  <si>
    <t>25/数铣27</t>
    <phoneticPr fontId="11" type="noConversion"/>
  </si>
  <si>
    <t>10数铣</t>
    <phoneticPr fontId="11" type="noConversion"/>
  </si>
  <si>
    <t>20/数铣45</t>
    <phoneticPr fontId="11" type="noConversion"/>
  </si>
  <si>
    <t>35五轴215</t>
    <phoneticPr fontId="11" type="noConversion"/>
  </si>
  <si>
    <t>20/数铣3</t>
    <phoneticPr fontId="11" type="noConversion"/>
  </si>
  <si>
    <t>20/数铣（15）</t>
    <phoneticPr fontId="11" type="noConversion"/>
  </si>
  <si>
    <t>40/五轴1140</t>
    <phoneticPr fontId="11" type="noConversion"/>
  </si>
  <si>
    <t>35五轴215</t>
    <phoneticPr fontId="11" type="noConversion"/>
  </si>
  <si>
    <t>15/数铣160</t>
    <phoneticPr fontId="11" type="noConversion"/>
  </si>
  <si>
    <t>50/五轴150</t>
    <phoneticPr fontId="11" type="noConversion"/>
  </si>
  <si>
    <t>35/数铣52</t>
    <phoneticPr fontId="11" type="noConversion"/>
  </si>
  <si>
    <t>50/数铣10</t>
    <phoneticPr fontId="11" type="noConversion"/>
  </si>
  <si>
    <t>25/数铣（8）</t>
    <phoneticPr fontId="11" type="noConversion"/>
  </si>
  <si>
    <t>10/数铣3</t>
    <phoneticPr fontId="11" type="noConversion"/>
  </si>
  <si>
    <t>15/数铣7</t>
    <phoneticPr fontId="11" type="noConversion"/>
  </si>
  <si>
    <t>30/五轴930</t>
    <phoneticPr fontId="11" type="noConversion"/>
  </si>
  <si>
    <t>35五轴45</t>
    <phoneticPr fontId="11" type="noConversion"/>
  </si>
  <si>
    <t>15/数铣70</t>
    <phoneticPr fontId="11" type="noConversion"/>
  </si>
  <si>
    <t>20/数铣115</t>
    <phoneticPr fontId="11" type="noConversion"/>
  </si>
  <si>
    <t>45/数铣810</t>
    <phoneticPr fontId="11" type="noConversion"/>
  </si>
  <si>
    <t>60/五轴120</t>
    <phoneticPr fontId="11" type="noConversion"/>
  </si>
  <si>
    <t>30/数铣</t>
    <phoneticPr fontId="11" type="noConversion"/>
  </si>
  <si>
    <t>50/数铣3</t>
    <phoneticPr fontId="11" type="noConversion"/>
  </si>
  <si>
    <t>15数铣57</t>
    <phoneticPr fontId="11" type="noConversion"/>
  </si>
  <si>
    <t>65/数铣210</t>
    <phoneticPr fontId="11" type="noConversion"/>
  </si>
  <si>
    <t>95/数铣230</t>
    <phoneticPr fontId="11" type="noConversion"/>
  </si>
  <si>
    <t>65/数铣210</t>
    <phoneticPr fontId="11" type="noConversion"/>
  </si>
  <si>
    <t>5/数铣190</t>
    <phoneticPr fontId="11" type="noConversion"/>
  </si>
  <si>
    <t>30/数铣2000</t>
    <phoneticPr fontId="11" type="noConversion"/>
  </si>
  <si>
    <t>20/数铣5</t>
    <phoneticPr fontId="11" type="noConversion"/>
  </si>
  <si>
    <t>30/检验</t>
    <phoneticPr fontId="11" type="noConversion"/>
  </si>
  <si>
    <t>35/修面</t>
    <phoneticPr fontId="11" type="noConversion"/>
  </si>
  <si>
    <t>5/数铣</t>
    <phoneticPr fontId="11" type="noConversion"/>
  </si>
  <si>
    <t>50/数铣380</t>
    <phoneticPr fontId="11" type="noConversion"/>
  </si>
  <si>
    <t>15/数铣65</t>
    <phoneticPr fontId="11" type="noConversion"/>
  </si>
  <si>
    <t>20/数铣440</t>
    <phoneticPr fontId="11" type="noConversion"/>
  </si>
  <si>
    <t>45/数铣65</t>
    <phoneticPr fontId="11" type="noConversion"/>
  </si>
  <si>
    <t>40/数铣1380</t>
    <phoneticPr fontId="11" type="noConversion"/>
  </si>
  <si>
    <t>05/数铣</t>
    <phoneticPr fontId="11" type="noConversion"/>
  </si>
  <si>
    <t>05数铣</t>
    <phoneticPr fontId="11" type="noConversion"/>
  </si>
  <si>
    <t>30/数铣10</t>
    <phoneticPr fontId="11" type="noConversion"/>
  </si>
  <si>
    <t>30/数铣</t>
    <phoneticPr fontId="11" type="noConversion"/>
  </si>
  <si>
    <t>25/数铣160</t>
    <phoneticPr fontId="11" type="noConversion"/>
  </si>
  <si>
    <t>30/五轴500</t>
    <phoneticPr fontId="11" type="noConversion"/>
  </si>
  <si>
    <t>25/数铣550</t>
    <phoneticPr fontId="11" type="noConversion"/>
  </si>
  <si>
    <t>15/数铣480</t>
    <phoneticPr fontId="11" type="noConversion"/>
  </si>
  <si>
    <t>20/数铣230</t>
    <phoneticPr fontId="11" type="noConversion"/>
  </si>
  <si>
    <t>35/五轴720</t>
    <phoneticPr fontId="11" type="noConversion"/>
  </si>
  <si>
    <t>20/数铣28</t>
    <phoneticPr fontId="11" type="noConversion"/>
  </si>
  <si>
    <t>15/数铣307</t>
    <phoneticPr fontId="11" type="noConversion"/>
  </si>
  <si>
    <t>25五轴20</t>
    <phoneticPr fontId="11" type="noConversion"/>
  </si>
  <si>
    <t>35/五轴50</t>
    <phoneticPr fontId="11" type="noConversion"/>
  </si>
  <si>
    <t>10数铣18</t>
    <phoneticPr fontId="11" type="noConversion"/>
  </si>
  <si>
    <t>15/数铣130</t>
    <phoneticPr fontId="11" type="noConversion"/>
  </si>
  <si>
    <t>10/数铣50</t>
    <phoneticPr fontId="11" type="noConversion"/>
  </si>
  <si>
    <t>25/数铣（8）</t>
    <phoneticPr fontId="11" type="noConversion"/>
  </si>
  <si>
    <t>20/数铣45</t>
    <phoneticPr fontId="11" type="noConversion"/>
  </si>
  <si>
    <t>30/数铣2000</t>
    <phoneticPr fontId="11" type="noConversion"/>
  </si>
  <si>
    <t>30五轴250</t>
    <phoneticPr fontId="11" type="noConversion"/>
  </si>
  <si>
    <t>工序内容</t>
    <phoneticPr fontId="11" type="noConversion"/>
  </si>
  <si>
    <t>20/数铣900</t>
    <phoneticPr fontId="11" type="noConversion"/>
  </si>
  <si>
    <t>30/数铣2000</t>
    <phoneticPr fontId="11" type="noConversion"/>
  </si>
  <si>
    <t>70五轴780</t>
    <phoneticPr fontId="11" type="noConversion"/>
  </si>
  <si>
    <t>15数铣10</t>
    <phoneticPr fontId="11" type="noConversion"/>
  </si>
  <si>
    <t>20数铣120</t>
    <phoneticPr fontId="11" type="noConversion"/>
  </si>
  <si>
    <t>65/数铣210</t>
    <phoneticPr fontId="11" type="noConversion"/>
  </si>
  <si>
    <t>70五轴780</t>
    <phoneticPr fontId="11" type="noConversion"/>
  </si>
  <si>
    <t>45五轴1800</t>
    <phoneticPr fontId="11" type="noConversion"/>
  </si>
  <si>
    <t>50/数铣125</t>
    <phoneticPr fontId="11" type="noConversion"/>
  </si>
  <si>
    <t>35/数铣185</t>
    <phoneticPr fontId="11" type="noConversion"/>
  </si>
  <si>
    <t>25/五轴330</t>
    <phoneticPr fontId="11" type="noConversion"/>
  </si>
  <si>
    <t>100/数铣240</t>
    <phoneticPr fontId="11" type="noConversion"/>
  </si>
  <si>
    <t>30/数铣10</t>
    <phoneticPr fontId="11" type="noConversion"/>
  </si>
  <si>
    <t>25数铣320</t>
    <phoneticPr fontId="11" type="noConversion"/>
  </si>
  <si>
    <t>25/数铣100</t>
    <phoneticPr fontId="11" type="noConversion"/>
  </si>
  <si>
    <t>25/五轴330</t>
    <phoneticPr fontId="11" type="noConversion"/>
  </si>
  <si>
    <t>70数铣500</t>
    <phoneticPr fontId="11" type="noConversion"/>
  </si>
  <si>
    <t>50/数铣470</t>
    <phoneticPr fontId="11" type="noConversion"/>
  </si>
  <si>
    <t>40/数铣</t>
    <phoneticPr fontId="11" type="noConversion"/>
  </si>
  <si>
    <t>5/数铣150</t>
    <phoneticPr fontId="11" type="noConversion"/>
  </si>
  <si>
    <t>40/数铣160</t>
    <phoneticPr fontId="11" type="noConversion"/>
  </si>
  <si>
    <t>75数铣10</t>
    <phoneticPr fontId="11" type="noConversion"/>
  </si>
  <si>
    <t>35数铣10</t>
    <phoneticPr fontId="11" type="noConversion"/>
  </si>
  <si>
    <t>20/数铣20</t>
    <phoneticPr fontId="11" type="noConversion"/>
  </si>
  <si>
    <t>15/数铣20</t>
    <phoneticPr fontId="11" type="noConversion"/>
  </si>
  <si>
    <t>35/五轴45</t>
    <phoneticPr fontId="11" type="noConversion"/>
  </si>
  <si>
    <t>55/五轴200</t>
    <phoneticPr fontId="11" type="noConversion"/>
  </si>
  <si>
    <t>30/数铣200</t>
    <phoneticPr fontId="11" type="noConversion"/>
  </si>
  <si>
    <t>90数铣10</t>
    <phoneticPr fontId="11" type="noConversion"/>
  </si>
  <si>
    <t>10/数铣15</t>
    <phoneticPr fontId="11" type="noConversion"/>
  </si>
  <si>
    <t>10数铣25</t>
    <phoneticPr fontId="11" type="noConversion"/>
  </si>
  <si>
    <t>25/数铣210</t>
    <phoneticPr fontId="11" type="noConversion"/>
  </si>
  <si>
    <t>50数铣20</t>
    <phoneticPr fontId="11" type="noConversion"/>
  </si>
  <si>
    <t>25/数铣48</t>
    <phoneticPr fontId="11" type="noConversion"/>
  </si>
  <si>
    <t>40/数铣240</t>
    <phoneticPr fontId="11" type="noConversion"/>
  </si>
  <si>
    <t>35/数铣350</t>
    <phoneticPr fontId="11" type="noConversion"/>
  </si>
  <si>
    <t>20/数铣35</t>
    <phoneticPr fontId="11" type="noConversion"/>
  </si>
  <si>
    <t>75/数铣15</t>
    <phoneticPr fontId="11" type="noConversion"/>
  </si>
  <si>
    <t>20数铣10</t>
    <phoneticPr fontId="11" type="noConversion"/>
  </si>
  <si>
    <t>5/数铣</t>
    <phoneticPr fontId="11" type="noConversion"/>
  </si>
  <si>
    <t>30/数铣15</t>
    <phoneticPr fontId="11" type="noConversion"/>
  </si>
  <si>
    <t>70数铣100</t>
    <phoneticPr fontId="11" type="noConversion"/>
  </si>
  <si>
    <t>15/数铣860</t>
    <phoneticPr fontId="11" type="noConversion"/>
  </si>
  <si>
    <t>40/修面</t>
    <phoneticPr fontId="11" type="noConversion"/>
  </si>
  <si>
    <t>45/数洗420</t>
    <phoneticPr fontId="11" type="noConversion"/>
  </si>
  <si>
    <t>30/数铣590</t>
    <phoneticPr fontId="11" type="noConversion"/>
  </si>
  <si>
    <t>20/数铣630</t>
    <phoneticPr fontId="11" type="noConversion"/>
  </si>
  <si>
    <t>50/数洗320</t>
    <phoneticPr fontId="11" type="noConversion"/>
  </si>
  <si>
    <t>45/数铣780</t>
    <phoneticPr fontId="11" type="noConversion"/>
  </si>
  <si>
    <t>25/数铣8</t>
    <phoneticPr fontId="11" type="noConversion"/>
  </si>
  <si>
    <t>55/数铣70</t>
    <phoneticPr fontId="11" type="noConversion"/>
  </si>
  <si>
    <t>65/数铣50</t>
    <phoneticPr fontId="11" type="noConversion"/>
  </si>
  <si>
    <t>15/数铣120</t>
    <phoneticPr fontId="11" type="noConversion"/>
  </si>
  <si>
    <t>50数铣900</t>
    <phoneticPr fontId="11" type="noConversion"/>
  </si>
  <si>
    <t>05/数铣</t>
    <phoneticPr fontId="11" type="noConversion"/>
  </si>
  <si>
    <t>10数铣15</t>
    <phoneticPr fontId="11" type="noConversion"/>
  </si>
  <si>
    <t>25/数铣500</t>
    <phoneticPr fontId="11" type="noConversion"/>
  </si>
  <si>
    <t>15数铣385</t>
    <phoneticPr fontId="11" type="noConversion"/>
  </si>
  <si>
    <t>15/数铣90</t>
    <phoneticPr fontId="11" type="noConversion"/>
  </si>
  <si>
    <t>30数铣10</t>
    <phoneticPr fontId="11" type="noConversion"/>
  </si>
  <si>
    <t>10数铣40</t>
    <phoneticPr fontId="11" type="noConversion"/>
  </si>
  <si>
    <t>30/数铣10</t>
    <phoneticPr fontId="11" type="noConversion"/>
  </si>
  <si>
    <t>40/数铣5</t>
    <phoneticPr fontId="11" type="noConversion"/>
  </si>
  <si>
    <t>50/数铣960</t>
    <phoneticPr fontId="11" type="noConversion"/>
  </si>
  <si>
    <t>15/数铣400</t>
    <phoneticPr fontId="11" type="noConversion"/>
  </si>
  <si>
    <t>20/数铣70</t>
    <phoneticPr fontId="11" type="noConversion"/>
  </si>
  <si>
    <t>45/五轴60</t>
    <phoneticPr fontId="11" type="noConversion"/>
  </si>
  <si>
    <t>15/数铣330</t>
    <phoneticPr fontId="11" type="noConversion"/>
  </si>
  <si>
    <t>20/数铣240</t>
    <phoneticPr fontId="11" type="noConversion"/>
  </si>
  <si>
    <t>20/数铣70</t>
    <phoneticPr fontId="11" type="noConversion"/>
  </si>
  <si>
    <t>35/数铣28</t>
    <phoneticPr fontId="11" type="noConversion"/>
  </si>
  <si>
    <t>55/五轴360</t>
    <phoneticPr fontId="11" type="noConversion"/>
  </si>
  <si>
    <t>15/数铣150</t>
    <phoneticPr fontId="11" type="noConversion"/>
  </si>
  <si>
    <t>40/数铣30</t>
    <phoneticPr fontId="11" type="noConversion"/>
  </si>
  <si>
    <t>10/数铣</t>
    <phoneticPr fontId="11" type="noConversion"/>
  </si>
  <si>
    <t>10/数铣10</t>
    <phoneticPr fontId="11" type="noConversion"/>
  </si>
  <si>
    <t>55/数铣840</t>
    <phoneticPr fontId="11" type="noConversion"/>
  </si>
  <si>
    <t>30/数铣830</t>
    <phoneticPr fontId="11" type="noConversion"/>
  </si>
  <si>
    <t>10/数铣150</t>
    <phoneticPr fontId="11" type="noConversion"/>
  </si>
  <si>
    <t>25/数洗135</t>
    <phoneticPr fontId="11" type="noConversion"/>
  </si>
  <si>
    <t>15/数铣250</t>
    <phoneticPr fontId="11" type="noConversion"/>
  </si>
  <si>
    <t>50/数铣30</t>
    <phoneticPr fontId="11" type="noConversion"/>
  </si>
  <si>
    <t>30/数铣420</t>
    <phoneticPr fontId="11" type="noConversion"/>
  </si>
  <si>
    <t>30/数铣830</t>
    <phoneticPr fontId="11" type="noConversion"/>
  </si>
  <si>
    <t>10/数铣90</t>
    <phoneticPr fontId="11" type="noConversion"/>
  </si>
  <si>
    <t>40/数铣360</t>
    <phoneticPr fontId="11" type="noConversion"/>
  </si>
  <si>
    <t>15/数铣65</t>
    <phoneticPr fontId="11" type="noConversion"/>
  </si>
  <si>
    <t>55/数铣910</t>
    <phoneticPr fontId="11" type="noConversion"/>
  </si>
  <si>
    <t>25/数铣修面</t>
    <phoneticPr fontId="11" type="noConversion"/>
  </si>
  <si>
    <t>35/数铣850</t>
    <phoneticPr fontId="11" type="noConversion"/>
  </si>
  <si>
    <t>15/数铣65</t>
    <phoneticPr fontId="11" type="noConversion"/>
  </si>
  <si>
    <t>30/数铣900</t>
    <phoneticPr fontId="11" type="noConversion"/>
  </si>
  <si>
    <t>15/数铣135</t>
    <phoneticPr fontId="11" type="noConversion"/>
  </si>
  <si>
    <t>60/数铣60</t>
    <phoneticPr fontId="11" type="noConversion"/>
  </si>
  <si>
    <t>30/数铣830</t>
    <phoneticPr fontId="11" type="noConversion"/>
  </si>
  <si>
    <t>25数铣140</t>
    <phoneticPr fontId="11" type="noConversion"/>
  </si>
  <si>
    <t>40/数铣270</t>
    <phoneticPr fontId="11" type="noConversion"/>
  </si>
  <si>
    <t>20/数铣35</t>
    <phoneticPr fontId="11" type="noConversion"/>
  </si>
  <si>
    <t>35/数铣300</t>
    <phoneticPr fontId="11" type="noConversion"/>
  </si>
  <si>
    <t>30数铣</t>
    <phoneticPr fontId="11" type="noConversion"/>
  </si>
  <si>
    <t>40/五轴1140</t>
    <phoneticPr fontId="11" type="noConversion"/>
  </si>
  <si>
    <t>30/数铣550</t>
    <phoneticPr fontId="11" type="noConversion"/>
  </si>
  <si>
    <t>50/数铣230</t>
    <phoneticPr fontId="11" type="noConversion"/>
  </si>
  <si>
    <t>10/数铣50</t>
    <phoneticPr fontId="11" type="noConversion"/>
  </si>
  <si>
    <t>10/数铣40</t>
    <phoneticPr fontId="11" type="noConversion"/>
  </si>
  <si>
    <t>20/数铣260</t>
    <phoneticPr fontId="11" type="noConversion"/>
  </si>
  <si>
    <t>35/数铣38</t>
    <phoneticPr fontId="11" type="noConversion"/>
  </si>
  <si>
    <t>15/数铣130</t>
    <phoneticPr fontId="11" type="noConversion"/>
  </si>
  <si>
    <t>25五轴50</t>
    <phoneticPr fontId="11" type="noConversion"/>
  </si>
  <si>
    <t>25/数铣45</t>
    <phoneticPr fontId="11" type="noConversion"/>
  </si>
  <si>
    <t>25/数铣110</t>
    <phoneticPr fontId="11" type="noConversion"/>
  </si>
  <si>
    <t>15/数铣140</t>
    <phoneticPr fontId="11" type="noConversion"/>
  </si>
  <si>
    <t>30数铣65</t>
    <phoneticPr fontId="11" type="noConversion"/>
  </si>
  <si>
    <t>35五轴25</t>
    <phoneticPr fontId="11" type="noConversion"/>
  </si>
  <si>
    <t>10/数铣1000</t>
    <phoneticPr fontId="11" type="noConversion"/>
  </si>
  <si>
    <t>15/数铣130</t>
    <phoneticPr fontId="11" type="noConversion"/>
  </si>
  <si>
    <t>30/数铣（15）</t>
    <phoneticPr fontId="11" type="noConversion"/>
  </si>
  <si>
    <t>15数铣20</t>
    <phoneticPr fontId="11" type="noConversion"/>
  </si>
  <si>
    <t>20/数铣68</t>
    <phoneticPr fontId="11" type="noConversion"/>
  </si>
  <si>
    <t>30/数铣350</t>
    <phoneticPr fontId="11" type="noConversion"/>
  </si>
  <si>
    <t>50/数铣15</t>
    <phoneticPr fontId="11" type="noConversion"/>
  </si>
  <si>
    <t>45/平磨</t>
    <phoneticPr fontId="11" type="noConversion"/>
  </si>
  <si>
    <t>60/五轴180</t>
    <phoneticPr fontId="11" type="noConversion"/>
  </si>
  <si>
    <t>65/数铣190</t>
    <phoneticPr fontId="11" type="noConversion"/>
  </si>
  <si>
    <t>45/数铣1200</t>
    <phoneticPr fontId="11" type="noConversion"/>
  </si>
  <si>
    <t>15/数铣60</t>
    <phoneticPr fontId="11" type="noConversion"/>
  </si>
  <si>
    <t>30/数铣20</t>
    <phoneticPr fontId="11" type="noConversion"/>
  </si>
  <si>
    <t>15/数铣990</t>
    <phoneticPr fontId="11" type="noConversion"/>
  </si>
  <si>
    <t>15数铣20</t>
    <phoneticPr fontId="11" type="noConversion"/>
  </si>
  <si>
    <t>30/数铣50</t>
    <phoneticPr fontId="11" type="noConversion"/>
  </si>
  <si>
    <t>10数铣40</t>
    <phoneticPr fontId="11" type="noConversion"/>
  </si>
  <si>
    <t>15/数铣25</t>
    <phoneticPr fontId="11" type="noConversion"/>
  </si>
  <si>
    <t>装夹时间</t>
    <phoneticPr fontId="11" type="noConversion"/>
  </si>
  <si>
    <t>准备工时</t>
    <phoneticPr fontId="11" type="noConversion"/>
  </si>
  <si>
    <t>CB5713600-001R006</t>
  </si>
  <si>
    <t>登录漏，已补上改好</t>
  </si>
  <si>
    <t>漏0.1 实际完成1.3</t>
  </si>
  <si>
    <t>外侧梁主件（左件）</t>
  </si>
  <si>
    <t>外侧梁主件（右件）</t>
  </si>
  <si>
    <t>5550上框（精加工）</t>
  </si>
  <si>
    <t>1号护板维型肋右件</t>
  </si>
  <si>
    <t>1号护板维型肋左件</t>
  </si>
  <si>
    <t>工装</t>
    <phoneticPr fontId="13" type="noConversion"/>
  </si>
  <si>
    <t>3D</t>
    <phoneticPr fontId="13" type="noConversion"/>
  </si>
  <si>
    <t>成本校验</t>
    <phoneticPr fontId="13" type="noConversion"/>
  </si>
  <si>
    <t>工装</t>
    <phoneticPr fontId="13" type="noConversion"/>
  </si>
  <si>
    <t>CB5327110-002L002</t>
  </si>
  <si>
    <t>CB5327110-002R002</t>
  </si>
  <si>
    <t>CB5323210-005L033</t>
  </si>
  <si>
    <t>DD-J10B-71031-110-1</t>
  </si>
  <si>
    <t>DD-J10-96011-12</t>
  </si>
  <si>
    <t>DD-J10B-26002-100G2-1G2-Y</t>
  </si>
  <si>
    <t>531A3420-000-029 A</t>
  </si>
  <si>
    <t>531A3420-000-035 A</t>
  </si>
  <si>
    <t>531A3420-000-041 B</t>
  </si>
  <si>
    <t>531A3420-000-165 A</t>
  </si>
  <si>
    <t>5313C81051G71</t>
  </si>
  <si>
    <t>CB5715000-001L002</t>
  </si>
  <si>
    <t>CB5715000-001R002</t>
  </si>
  <si>
    <t>1号下壁板</t>
    <phoneticPr fontId="13" type="noConversion"/>
  </si>
  <si>
    <t>CB5512300-005R002</t>
    <phoneticPr fontId="13" type="noConversion"/>
  </si>
  <si>
    <t>工装</t>
  </si>
  <si>
    <t>工装</t>
    <phoneticPr fontId="13" type="noConversion"/>
  </si>
  <si>
    <t>BC5819311-001-001</t>
  </si>
  <si>
    <t>BC5812812-001-001</t>
  </si>
  <si>
    <t>CB5315120-002L001</t>
  </si>
  <si>
    <t>CB5315130-002L001</t>
  </si>
  <si>
    <t>DD-J10B-94076-501-Z</t>
  </si>
  <si>
    <t>GU5336113-001L001</t>
  </si>
  <si>
    <t>GU5336113-001R001</t>
  </si>
  <si>
    <t>总计</t>
  </si>
  <si>
    <t>图号</t>
  </si>
  <si>
    <t>数量</t>
  </si>
  <si>
    <t>工时</t>
  </si>
  <si>
    <t>占比</t>
  </si>
  <si>
    <t>费用分摊</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</si>
</sst>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indexed="8"/>
      <name val="宋体"/>
      <charset val="134"/>
    </font>
    <font>
      <sz val="10"/>
      <color indexed="8"/>
      <name val="宋体"/>
      <family val="3"/>
      <charset val="134"/>
    </font>
    <font>
      <b/>
      <sz val="10"/>
      <color indexed="56"/>
      <name val="宋体"/>
      <family val="3"/>
      <charset val="134"/>
    </font>
    <font>
      <sz val="10"/>
      <name val="宋体"/>
      <family val="3"/>
      <charset val="134"/>
    </font>
    <font>
      <sz val="11"/>
      <name val="宋体"/>
      <family val="3"/>
      <charset val="134"/>
    </font>
    <font>
      <b/>
      <sz val="11"/>
      <color indexed="56"/>
      <name val="宋体"/>
      <family val="3"/>
      <charset val="134"/>
    </font>
    <font>
      <b/>
      <sz val="10"/>
      <name val="宋体"/>
      <family val="3"/>
      <charset val="134"/>
    </font>
    <font>
      <sz val="10"/>
      <color rgb="FF00B050"/>
      <name val="宋体"/>
      <family val="3"/>
      <charset val="134"/>
    </font>
    <font>
      <b/>
      <sz val="11"/>
      <color indexed="8"/>
      <name val="宋体"/>
      <family val="3"/>
      <charset val="134"/>
    </font>
    <font>
      <sz val="11"/>
      <color rgb="FFFF0000"/>
      <name val="宋体"/>
      <family val="3"/>
      <charset val="134"/>
    </font>
    <font>
      <sz val="12"/>
      <name val="宋体"/>
      <family val="3"/>
      <charset val="134"/>
    </font>
    <font>
      <sz val="9"/>
      <name val="宋体"/>
      <family val="3"/>
      <charset val="134"/>
    </font>
    <font>
      <sz val="11"/>
      <color indexed="8"/>
      <name val="宋体"/>
      <family val="3"/>
      <charset val="134"/>
    </font>
    <font>
      <sz val="9"/>
      <name val="宋体"/>
      <family val="3"/>
      <charset val="134"/>
    </font>
  </fonts>
  <fills count="7">
    <fill>
      <patternFill patternType="none"/>
    </fill>
    <fill>
      <patternFill patternType="gray125"/>
    </fill>
    <fill>
      <patternFill patternType="solid">
        <fgColor indexed="27"/>
        <bgColor indexed="64"/>
      </patternFill>
    </fill>
    <fill>
      <patternFill patternType="solid">
        <fgColor indexed="42"/>
        <bgColor indexed="64"/>
      </patternFill>
    </fill>
    <fill>
      <patternFill patternType="solid">
        <fgColor indexed="13"/>
        <bgColor indexed="64"/>
      </patternFill>
    </fill>
    <fill>
      <patternFill patternType="solid">
        <fgColor rgb="FFFFFF00"/>
        <bgColor indexed="64"/>
      </patternFill>
    </fill>
    <fill>
      <patternFill patternType="solid">
        <fgColor rgb="FFCCFFCC"/>
        <bgColor indexed="64"/>
      </patternFill>
    </fill>
  </fills>
  <borders count="1">
    <border>
      <left/>
      <right/>
      <top/>
      <bottom/>
      <diagonal/>
    </border>
  </borders>
  <cellStyleXfs count="6">
    <xf numFmtId="0" fontId="0"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0" fillId="0" borderId="0">
      <alignment vertical="center"/>
    </xf>
  </cellStyleXfs>
  <cellXfs count="96">
    <xf numFmtId="0" fontId="0" fillId="0" borderId="0" xfId="0">
      <alignment vertical="center"/>
    </xf>
    <xf numFmtId="0" fontId="1" fillId="0" borderId="0" xfId="0" applyFont="1" applyBorder="1" applyAlignment="1">
      <alignment horizontal="center" vertical="center"/>
    </xf>
    <xf numFmtId="0" fontId="0" fillId="0" borderId="0" xfId="0" applyFont="1" applyBorder="1" applyAlignment="1">
      <alignment vertical="center"/>
    </xf>
    <xf numFmtId="0" fontId="0" fillId="0" borderId="0" xfId="0" applyFont="1" applyBorder="1" applyAlignment="1">
      <alignment horizontal="center" vertical="center"/>
    </xf>
    <xf numFmtId="0" fontId="0" fillId="0" borderId="0" xfId="0" applyFont="1" applyBorder="1" applyAlignment="1">
      <alignment horizontal="left" vertical="center"/>
    </xf>
    <xf numFmtId="0" fontId="0" fillId="0" borderId="0" xfId="0" applyFont="1" applyFill="1" applyBorder="1" applyAlignment="1">
      <alignment horizontal="left" vertical="center"/>
    </xf>
    <xf numFmtId="0" fontId="0" fillId="0" borderId="0" xfId="0" applyFont="1" applyAlignment="1">
      <alignment vertical="center"/>
    </xf>
    <xf numFmtId="0" fontId="0" fillId="0" borderId="0" xfId="0"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0" fillId="0" borderId="0" xfId="0" applyFill="1" applyAlignment="1">
      <alignment horizontal="center" vertical="center"/>
    </xf>
    <xf numFmtId="0" fontId="0" fillId="2" borderId="0" xfId="0" applyFill="1" applyAlignment="1">
      <alignment horizontal="center" vertical="center"/>
    </xf>
    <xf numFmtId="0" fontId="3" fillId="0" borderId="0" xfId="0" applyFont="1" applyAlignment="1">
      <alignment horizontal="center" vertical="center" wrapText="1"/>
    </xf>
    <xf numFmtId="0" fontId="0" fillId="3" borderId="0" xfId="0" applyFill="1" applyAlignment="1">
      <alignment horizontal="center" vertical="center"/>
    </xf>
    <xf numFmtId="0" fontId="0" fillId="0" borderId="0" xfId="0" applyFill="1">
      <alignment vertical="center"/>
    </xf>
    <xf numFmtId="49" fontId="2" fillId="0" borderId="0" xfId="0" applyNumberFormat="1" applyFont="1" applyFill="1" applyBorder="1" applyAlignment="1">
      <alignment horizontal="center" vertical="center" wrapText="1"/>
    </xf>
    <xf numFmtId="0" fontId="2" fillId="0"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2" fillId="4" borderId="0" xfId="0" applyFont="1" applyFill="1" applyBorder="1" applyAlignment="1">
      <alignment horizontal="center" vertical="center" wrapText="1"/>
    </xf>
    <xf numFmtId="0" fontId="5" fillId="0" borderId="0" xfId="0" applyFont="1" applyFill="1" applyBorder="1" applyAlignment="1" applyProtection="1">
      <alignment horizontal="center" vertical="center" wrapText="1"/>
    </xf>
    <xf numFmtId="49" fontId="1" fillId="0" borderId="0" xfId="0" applyNumberFormat="1" applyFont="1" applyBorder="1" applyAlignment="1">
      <alignment horizontal="center" vertical="center"/>
    </xf>
    <xf numFmtId="0" fontId="0" fillId="0" borderId="0" xfId="0" applyFont="1" applyFill="1" applyBorder="1" applyAlignment="1" applyProtection="1">
      <alignment horizontal="center" vertical="center"/>
    </xf>
    <xf numFmtId="0" fontId="2" fillId="2" borderId="0" xfId="0" applyFont="1" applyFill="1" applyBorder="1" applyAlignment="1">
      <alignment horizontal="center" vertical="center" wrapText="1"/>
    </xf>
    <xf numFmtId="0" fontId="0" fillId="2" borderId="0" xfId="0" applyFont="1" applyFill="1" applyBorder="1" applyAlignment="1">
      <alignment horizontal="center" vertical="center"/>
    </xf>
    <xf numFmtId="0" fontId="1" fillId="0" borderId="0" xfId="0" applyFont="1" applyBorder="1" applyAlignment="1">
      <alignment horizontal="center" vertical="center" wrapText="1"/>
    </xf>
    <xf numFmtId="0" fontId="1" fillId="0" borderId="0" xfId="0" applyFont="1" applyFill="1" applyBorder="1" applyAlignment="1">
      <alignment horizontal="center" vertical="center"/>
    </xf>
    <xf numFmtId="0" fontId="6" fillId="0" borderId="0" xfId="0" applyFont="1" applyFill="1" applyBorder="1" applyAlignment="1">
      <alignment horizontal="center" vertical="center" wrapText="1"/>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0" borderId="0" xfId="0" applyFont="1" applyAlignment="1">
      <alignment horizontal="center" vertical="center" wrapText="1"/>
    </xf>
    <xf numFmtId="0" fontId="1" fillId="5" borderId="0" xfId="0" applyFont="1" applyFill="1" applyBorder="1" applyAlignment="1">
      <alignment horizontal="center" vertical="center"/>
    </xf>
    <xf numFmtId="0" fontId="0" fillId="0" borderId="0" xfId="0" applyFont="1" applyFill="1" applyBorder="1" applyAlignment="1">
      <alignment horizontal="center" vertical="center"/>
    </xf>
    <xf numFmtId="0" fontId="7" fillId="0" borderId="0" xfId="0" applyFont="1" applyAlignment="1">
      <alignment horizontal="center" vertical="center" wrapText="1"/>
    </xf>
    <xf numFmtId="0" fontId="0" fillId="2" borderId="0" xfId="0" applyFont="1" applyFill="1" applyBorder="1" applyAlignment="1">
      <alignment vertical="center"/>
    </xf>
    <xf numFmtId="0" fontId="8" fillId="0" borderId="0" xfId="0" applyFont="1" applyFill="1" applyBorder="1" applyAlignment="1">
      <alignment horizontal="center" vertical="center"/>
    </xf>
    <xf numFmtId="0" fontId="0" fillId="5" borderId="0" xfId="0" applyFont="1" applyFill="1" applyBorder="1" applyAlignment="1">
      <alignment horizontal="center" vertical="center"/>
    </xf>
    <xf numFmtId="0" fontId="0" fillId="3" borderId="0" xfId="0" applyFont="1" applyFill="1" applyBorder="1" applyAlignment="1">
      <alignment vertical="center"/>
    </xf>
    <xf numFmtId="0" fontId="0" fillId="0" borderId="0" xfId="0" applyFont="1" applyFill="1" applyBorder="1" applyAlignment="1">
      <alignment vertical="center"/>
    </xf>
    <xf numFmtId="0" fontId="0" fillId="3" borderId="0" xfId="0" applyFont="1" applyFill="1" applyBorder="1" applyAlignment="1">
      <alignment horizontal="center" vertical="center"/>
    </xf>
    <xf numFmtId="0" fontId="0" fillId="5" borderId="0" xfId="0" applyFont="1" applyFill="1" applyBorder="1" applyAlignment="1">
      <alignment vertical="center"/>
    </xf>
    <xf numFmtId="0" fontId="9" fillId="0" borderId="0" xfId="0" applyFont="1" applyBorder="1" applyAlignment="1">
      <alignment vertical="center"/>
    </xf>
    <xf numFmtId="0" fontId="1" fillId="0" borderId="0" xfId="0" applyFont="1" applyFill="1" applyBorder="1" applyAlignment="1" applyProtection="1">
      <alignment horizontal="center" vertical="center"/>
    </xf>
    <xf numFmtId="0" fontId="0" fillId="0" borderId="0" xfId="0" applyFont="1" applyAlignment="1">
      <alignment horizontal="center" vertical="center"/>
    </xf>
    <xf numFmtId="0" fontId="0" fillId="2" borderId="0" xfId="0" applyFill="1">
      <alignment vertical="center"/>
    </xf>
    <xf numFmtId="0" fontId="0" fillId="5" borderId="0" xfId="0" applyFill="1" applyAlignment="1">
      <alignment horizontal="center" vertical="center"/>
    </xf>
    <xf numFmtId="0" fontId="0" fillId="3" borderId="0" xfId="0" applyFill="1">
      <alignment vertical="center"/>
    </xf>
    <xf numFmtId="0" fontId="0" fillId="0" borderId="0" xfId="0" applyFont="1" applyAlignment="1">
      <alignment horizontal="center" vertical="center" wrapText="1"/>
    </xf>
    <xf numFmtId="0" fontId="0" fillId="0" borderId="0" xfId="0" applyFont="1" applyFill="1" applyAlignment="1">
      <alignment horizontal="center" vertical="center"/>
    </xf>
    <xf numFmtId="0" fontId="0" fillId="2" borderId="0" xfId="0" applyFont="1" applyFill="1" applyAlignment="1">
      <alignment vertical="center"/>
    </xf>
    <xf numFmtId="0" fontId="0" fillId="2" borderId="0" xfId="0" applyFont="1" applyFill="1" applyAlignment="1">
      <alignment horizontal="center" vertical="center"/>
    </xf>
    <xf numFmtId="0" fontId="0" fillId="3" borderId="0" xfId="0" applyFont="1" applyFill="1" applyAlignment="1">
      <alignment vertical="center"/>
    </xf>
    <xf numFmtId="0" fontId="0" fillId="0" borderId="0" xfId="0" applyFont="1" applyFill="1" applyAlignment="1">
      <alignment vertical="center"/>
    </xf>
    <xf numFmtId="0" fontId="0" fillId="0" borderId="0" xfId="0" applyFont="1" applyAlignment="1">
      <alignment horizontal="left" vertical="center"/>
    </xf>
    <xf numFmtId="49" fontId="1" fillId="0" borderId="0" xfId="0" applyNumberFormat="1" applyFont="1" applyFill="1" applyBorder="1" applyAlignment="1">
      <alignment horizontal="center" vertical="center"/>
    </xf>
    <xf numFmtId="0" fontId="0" fillId="0" borderId="0" xfId="0" applyAlignment="1">
      <alignment horizontal="left" vertical="center"/>
    </xf>
    <xf numFmtId="0" fontId="3" fillId="0" borderId="0" xfId="0" applyFont="1" applyFill="1" applyAlignment="1">
      <alignment horizontal="center" vertical="center" wrapText="1"/>
    </xf>
    <xf numFmtId="0" fontId="0" fillId="0" borderId="0" xfId="0" applyFill="1" applyAlignment="1">
      <alignment horizontal="left" vertical="center"/>
    </xf>
    <xf numFmtId="0" fontId="0" fillId="0" borderId="0" xfId="0" applyFont="1">
      <alignment vertical="center"/>
    </xf>
    <xf numFmtId="49" fontId="1" fillId="5" borderId="0" xfId="0" applyNumberFormat="1" applyFont="1" applyFill="1" applyBorder="1" applyAlignment="1">
      <alignment horizontal="center" vertical="center"/>
    </xf>
    <xf numFmtId="0" fontId="0" fillId="6" borderId="0" xfId="0" applyFill="1">
      <alignment vertical="center"/>
    </xf>
    <xf numFmtId="0" fontId="0" fillId="6" borderId="0" xfId="0" applyFill="1" applyAlignment="1">
      <alignment horizontal="center" vertical="center"/>
    </xf>
    <xf numFmtId="49" fontId="0" fillId="0" borderId="0" xfId="0" applyNumberFormat="1" applyFont="1">
      <alignment vertical="center"/>
    </xf>
    <xf numFmtId="49" fontId="0" fillId="0" borderId="0" xfId="0" applyNumberFormat="1">
      <alignment vertical="center"/>
    </xf>
    <xf numFmtId="0" fontId="12" fillId="0" borderId="0" xfId="0" applyFont="1" applyBorder="1" applyAlignment="1">
      <alignment horizontal="center" vertical="center"/>
    </xf>
    <xf numFmtId="0" fontId="12" fillId="0" borderId="0" xfId="0" applyFont="1" applyAlignment="1">
      <alignment horizontal="center" vertical="center"/>
    </xf>
    <xf numFmtId="0" fontId="12" fillId="0" borderId="0" xfId="0" applyFont="1" applyFill="1" applyAlignment="1">
      <alignment horizontal="center" vertical="center"/>
    </xf>
    <xf numFmtId="0" fontId="12" fillId="0" borderId="0" xfId="0" applyFont="1">
      <alignment vertical="center"/>
    </xf>
    <xf numFmtId="0" fontId="12" fillId="2" borderId="0" xfId="5" applyFont="1" applyFill="1" applyBorder="1" applyAlignment="1">
      <alignment horizontal="center" vertical="center"/>
    </xf>
    <xf numFmtId="0" fontId="1" fillId="0" borderId="0" xfId="5" applyFont="1" applyBorder="1" applyAlignment="1">
      <alignment horizontal="center" vertical="center"/>
    </xf>
    <xf numFmtId="0" fontId="12" fillId="0" borderId="0" xfId="5" applyFont="1" applyBorder="1" applyAlignment="1">
      <alignment horizontal="center" vertical="center"/>
    </xf>
    <xf numFmtId="49" fontId="1" fillId="0" borderId="0" xfId="5" applyNumberFormat="1" applyFont="1" applyBorder="1" applyAlignment="1">
      <alignment horizontal="center" vertical="center"/>
    </xf>
    <xf numFmtId="0" fontId="1" fillId="0" borderId="0" xfId="5" applyFont="1" applyFill="1" applyBorder="1" applyAlignment="1" applyProtection="1">
      <alignment horizontal="center" vertical="center"/>
    </xf>
    <xf numFmtId="0" fontId="1" fillId="0" borderId="0" xfId="5" applyFont="1" applyBorder="1" applyAlignment="1">
      <alignment horizontal="center" vertical="center" wrapText="1"/>
    </xf>
    <xf numFmtId="0" fontId="1" fillId="0" borderId="0" xfId="5" applyFont="1" applyFill="1" applyBorder="1" applyAlignment="1">
      <alignment horizontal="center" vertical="center"/>
    </xf>
    <xf numFmtId="0" fontId="1" fillId="2" borderId="0" xfId="5" applyFont="1" applyFill="1" applyBorder="1" applyAlignment="1">
      <alignment horizontal="center" vertical="center"/>
    </xf>
    <xf numFmtId="0" fontId="1" fillId="3" borderId="0" xfId="5" applyFont="1" applyFill="1" applyBorder="1" applyAlignment="1">
      <alignment horizontal="center" vertical="center"/>
    </xf>
    <xf numFmtId="0" fontId="1" fillId="6" borderId="0" xfId="5" applyFont="1" applyFill="1" applyBorder="1" applyAlignment="1">
      <alignment horizontal="center" vertical="center"/>
    </xf>
    <xf numFmtId="0" fontId="1" fillId="0" borderId="0" xfId="0" applyFont="1" applyFill="1" applyBorder="1" applyAlignment="1">
      <alignment horizontal="center" vertical="center" wrapText="1"/>
    </xf>
    <xf numFmtId="0" fontId="3" fillId="0" borderId="0" xfId="0" applyFont="1" applyFill="1" applyAlignment="1">
      <alignment horizontal="center" vertical="center"/>
    </xf>
    <xf numFmtId="0" fontId="1" fillId="0" borderId="0" xfId="0" applyFont="1" applyFill="1" applyAlignment="1">
      <alignment horizontal="center" vertical="center" wrapText="1"/>
    </xf>
    <xf numFmtId="49" fontId="1" fillId="0" borderId="0" xfId="5" applyNumberFormat="1" applyFont="1" applyFill="1" applyBorder="1" applyAlignment="1">
      <alignment horizontal="center" vertical="center"/>
    </xf>
    <xf numFmtId="0" fontId="12" fillId="0" borderId="0" xfId="5" applyFont="1" applyFill="1" applyBorder="1" applyAlignment="1">
      <alignment horizontal="center" vertical="center"/>
    </xf>
    <xf numFmtId="0" fontId="1" fillId="0" borderId="0" xfId="5" applyFont="1" applyFill="1" applyBorder="1" applyAlignment="1">
      <alignment horizontal="center" vertical="center" wrapText="1"/>
    </xf>
    <xf numFmtId="0" fontId="7" fillId="0" borderId="0" xfId="0" applyFont="1" applyFill="1" applyAlignment="1">
      <alignment horizontal="center" vertical="center" wrapText="1"/>
    </xf>
    <xf numFmtId="0" fontId="9" fillId="0" borderId="0" xfId="0" applyFont="1" applyFill="1" applyBorder="1" applyAlignment="1">
      <alignment vertical="center"/>
    </xf>
    <xf numFmtId="0" fontId="12" fillId="0" borderId="0" xfId="0" applyFont="1" applyFill="1" applyBorder="1" applyAlignment="1">
      <alignment horizontal="center" vertical="center"/>
    </xf>
    <xf numFmtId="0" fontId="0" fillId="0" borderId="0" xfId="0" applyFont="1" applyFill="1" applyAlignment="1">
      <alignment horizontal="left" vertical="center"/>
    </xf>
    <xf numFmtId="0" fontId="0" fillId="0" borderId="0" xfId="0" applyFont="1" applyFill="1" applyAlignment="1">
      <alignment horizontal="center" vertical="center" wrapText="1"/>
    </xf>
    <xf numFmtId="0" fontId="0" fillId="0" borderId="0" xfId="0" applyFont="1" applyFill="1">
      <alignment vertical="center"/>
    </xf>
    <xf numFmtId="0" fontId="12" fillId="0" borderId="0" xfId="0" applyFont="1" applyFill="1">
      <alignment vertical="center"/>
    </xf>
    <xf numFmtId="0" fontId="4" fillId="0" borderId="0" xfId="0" applyFont="1" applyFill="1" applyAlignment="1">
      <alignment horizontal="center" vertical="center"/>
    </xf>
    <xf numFmtId="49" fontId="0" fillId="0" borderId="0" xfId="0" applyNumberFormat="1" applyFont="1" applyFill="1">
      <alignment vertical="center"/>
    </xf>
    <xf numFmtId="49" fontId="0" fillId="0" borderId="0" xfId="0" applyNumberFormat="1" applyFill="1">
      <alignment vertical="center"/>
    </xf>
    <xf numFmtId="0" fontId="0" fillId="0" borderId="0" xfId="0" pivotButton="1">
      <alignment vertical="center"/>
    </xf>
    <xf numFmtId="0" fontId="0" fillId="0" borderId="0" xfId="0" applyNumberFormat="1">
      <alignment vertical="center"/>
    </xf>
    <xf numFmtId="10" fontId="0" fillId="0" borderId="0" xfId="0" applyNumberFormat="1">
      <alignment vertical="center"/>
    </xf>
  </cellXfs>
  <cellStyles count="6">
    <cellStyle name="常规" xfId="0" builtinId="0"/>
    <cellStyle name="常规 11" xfId="3"/>
    <cellStyle name="常规 2" xfId="4"/>
    <cellStyle name="常规 21" xfId="2"/>
    <cellStyle name="常规 24" xfId="5"/>
    <cellStyle name="常规 26" xfId="1"/>
  </cellStyles>
  <dxfs count="1951">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5"/>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0"/>
        </patternFill>
      </fill>
    </dxf>
    <dxf>
      <fill>
        <patternFill patternType="solid">
          <bgColor indexed="4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styles" Target="styles.xml"/><Relationship Id="rId5" Type="http://schemas.openxmlformats.org/officeDocument/2006/relationships/externalLink" Target="externalLinks/externalLink2.xml"/><Relationship Id="rId10" Type="http://schemas.openxmlformats.org/officeDocument/2006/relationships/theme" Target="theme/theme1.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Users\Administrator\Desktop\1-27\&#24037;&#26102;&#24405;&#20837;\&#26700;&#38754;%201&#26376;&#38115;&#24037;&#24037;&#26102;1-2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2021&#24180;&#36164;&#26009;\2021&#20135;&#21697;&#24037;&#26102;\&#38115;&#24037;\1&#26376;&#38115;&#24037;&#24037;&#26102;1-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Z:\2021&#24180;&#36164;&#26009;\2021&#20135;&#21697;&#24037;&#26102;\&#38115;&#24037;\1&#26376;&#38115;&#24037;&#24037;&#26102;1-2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Z:\Users\Administrator\Desktop\&#24037;&#26102;&#24405;&#20837;\&#26700;&#38754;%201&#26376;&#38115;&#24037;&#24037;&#26102;1-26.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2021&#24180;&#36164;&#26009;\2021&#20135;&#21697;&#24037;&#26102;\&#38115;&#24037;\1&#26376;&#38115;&#24037;&#24037;&#26102;.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2021&#24180;1&#26376;&#25104;&#26412;&#26680;&#31639;&#34920;-&#21452;&#27969;&#65288;&#30830;&#23450;&#6528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计划"/>
      <sheetName val="Sheet3"/>
      <sheetName val="机床号"/>
      <sheetName val="排班"/>
      <sheetName val="双流排班."/>
      <sheetName val="新厂排班"/>
      <sheetName val="1.25-1.30"/>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机床号"/>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机床号"/>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计划"/>
      <sheetName val="Sheet3"/>
      <sheetName val="机床号"/>
      <sheetName val="排班"/>
      <sheetName val="双流排班."/>
      <sheetName val="新厂排班"/>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计划"/>
      <sheetName val="Sheet3"/>
      <sheetName val="机床号"/>
      <sheetName val="排班"/>
      <sheetName val="Sheet2"/>
    </sheetNames>
    <sheetDataSet>
      <sheetData sheetId="0"/>
      <sheetData sheetId="1"/>
      <sheetData sheetId="2"/>
      <sheetData sheetId="3"/>
      <sheetData sheetId="4"/>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固定资产"/>
      <sheetName val="九院成本"/>
      <sheetName val="双流成本"/>
      <sheetName val="导管成本"/>
      <sheetName val="成飞半成品"/>
      <sheetName val="费用总表1月"/>
      <sheetName val="设备分摊"/>
      <sheetName val="车工"/>
      <sheetName val="铣工"/>
      <sheetName val="钳工"/>
      <sheetName val="准备工"/>
      <sheetName val="图号汇总"/>
      <sheetName val="图号分拆"/>
      <sheetName val="Sheet1"/>
      <sheetName val="Sheet2"/>
      <sheetName val="成本归集"/>
      <sheetName val="工资工时"/>
      <sheetName val="工种名单"/>
    </sheetNames>
    <sheetDataSet>
      <sheetData sheetId="0"/>
      <sheetData sheetId="1"/>
      <sheetData sheetId="2"/>
      <sheetData sheetId="3"/>
      <sheetData sheetId="4">
        <row r="3">
          <cell r="A3" t="str">
            <v>存货代码</v>
          </cell>
          <cell r="B3" t="str">
            <v>产品名称</v>
          </cell>
        </row>
        <row r="4">
          <cell r="A4" t="str">
            <v>5210A000000X009</v>
          </cell>
          <cell r="B4" t="str">
            <v>垫圈</v>
          </cell>
        </row>
        <row r="5">
          <cell r="A5" t="str">
            <v>5210A000001G010</v>
          </cell>
          <cell r="B5" t="str">
            <v>止动螺钉</v>
          </cell>
        </row>
        <row r="6">
          <cell r="A6" t="str">
            <v>5214A000025G010</v>
          </cell>
          <cell r="B6" t="str">
            <v>手柄</v>
          </cell>
        </row>
        <row r="7">
          <cell r="A7" t="str">
            <v>5215A000007G010</v>
          </cell>
          <cell r="B7" t="str">
            <v>门下轴-铰链</v>
          </cell>
        </row>
        <row r="8">
          <cell r="A8" t="str">
            <v>521A1100-001-001 B1</v>
          </cell>
          <cell r="B8" t="str">
            <v>接头</v>
          </cell>
        </row>
        <row r="9">
          <cell r="A9" t="str">
            <v>521A1100-002-001 C</v>
          </cell>
          <cell r="B9" t="str">
            <v>接头</v>
          </cell>
        </row>
        <row r="10">
          <cell r="A10" t="str">
            <v>521A1150-001-001</v>
          </cell>
          <cell r="B10" t="str">
            <v>接头</v>
          </cell>
        </row>
        <row r="11">
          <cell r="A11" t="str">
            <v>521A4000-015-001</v>
          </cell>
          <cell r="B11" t="str">
            <v>轴</v>
          </cell>
        </row>
        <row r="12">
          <cell r="A12" t="str">
            <v>521A4000-039-001</v>
          </cell>
          <cell r="B12" t="str">
            <v>轴</v>
          </cell>
        </row>
        <row r="13">
          <cell r="A13" t="str">
            <v>521A4180-001-001</v>
          </cell>
          <cell r="B13" t="str">
            <v>端头</v>
          </cell>
        </row>
        <row r="14">
          <cell r="A14" t="str">
            <v>521A4210-000-003</v>
          </cell>
          <cell r="B14" t="str">
            <v>钢管</v>
          </cell>
        </row>
        <row r="15">
          <cell r="A15" t="str">
            <v>521A4260-000-003</v>
          </cell>
          <cell r="B15" t="str">
            <v>管子</v>
          </cell>
        </row>
        <row r="16">
          <cell r="A16" t="str">
            <v>521A4300-002-001</v>
          </cell>
          <cell r="B16" t="str">
            <v>轴</v>
          </cell>
        </row>
        <row r="17">
          <cell r="A17" t="str">
            <v>524A2230-001-001</v>
          </cell>
          <cell r="B17" t="str">
            <v>服务门上折板角形合页</v>
          </cell>
        </row>
        <row r="18">
          <cell r="A18" t="str">
            <v>524A2230-002-001</v>
          </cell>
          <cell r="B18" t="str">
            <v>服务门上折板平板合页</v>
          </cell>
        </row>
        <row r="19">
          <cell r="A19" t="str">
            <v>524A2240-001-001</v>
          </cell>
          <cell r="B19" t="str">
            <v>服务门下折板角形合页</v>
          </cell>
        </row>
        <row r="20">
          <cell r="A20" t="str">
            <v>524A2240-002-001</v>
          </cell>
          <cell r="B20" t="str">
            <v>服务门下折板平板合页</v>
          </cell>
        </row>
        <row r="21">
          <cell r="A21" t="str">
            <v>524A2300-011-001</v>
          </cell>
          <cell r="B21" t="str">
            <v>转轴</v>
          </cell>
        </row>
        <row r="22">
          <cell r="A22" t="str">
            <v>528A1210-000-003</v>
          </cell>
          <cell r="B22" t="str">
            <v>铰链</v>
          </cell>
        </row>
        <row r="23">
          <cell r="A23" t="str">
            <v>528A1210-000-003 C</v>
          </cell>
          <cell r="B23" t="str">
            <v>铰链</v>
          </cell>
        </row>
        <row r="24">
          <cell r="A24" t="str">
            <v>528A1210-000-004</v>
          </cell>
          <cell r="B24" t="str">
            <v>铰链</v>
          </cell>
        </row>
        <row r="25">
          <cell r="A25" t="str">
            <v>529A1000-006-001</v>
          </cell>
          <cell r="B25" t="str">
            <v>舱门轴</v>
          </cell>
        </row>
        <row r="26">
          <cell r="A26" t="str">
            <v>529A1200-002-002 E1</v>
          </cell>
          <cell r="B26" t="str">
            <v>铰链接头</v>
          </cell>
        </row>
        <row r="27">
          <cell r="A27" t="str">
            <v>529A4300-003-001</v>
          </cell>
          <cell r="B27" t="str">
            <v>U形转轴</v>
          </cell>
        </row>
        <row r="28">
          <cell r="A28" t="str">
            <v>529A4310-002-001</v>
          </cell>
          <cell r="B28" t="str">
            <v>堵头</v>
          </cell>
        </row>
        <row r="29">
          <cell r="A29" t="str">
            <v>529A4310-004-001</v>
          </cell>
          <cell r="B29" t="str">
            <v>垫圈</v>
          </cell>
        </row>
        <row r="30">
          <cell r="A30" t="str">
            <v>5312C02301G70</v>
          </cell>
          <cell r="B30" t="str">
            <v>雷达罩导销</v>
          </cell>
        </row>
        <row r="31">
          <cell r="A31" t="str">
            <v>531A1100-015-001 B</v>
          </cell>
          <cell r="B31" t="str">
            <v>合页</v>
          </cell>
        </row>
        <row r="32">
          <cell r="A32" t="str">
            <v>531A3420-000-029 A</v>
          </cell>
          <cell r="B32" t="str">
            <v>地板支撑件</v>
          </cell>
        </row>
        <row r="33">
          <cell r="A33" t="str">
            <v>531A3420-000-035 A</v>
          </cell>
          <cell r="B33" t="str">
            <v>地板支撑件</v>
          </cell>
        </row>
        <row r="34">
          <cell r="A34" t="str">
            <v>531A3420-000-041 B</v>
          </cell>
          <cell r="B34" t="str">
            <v>地板支撑件</v>
          </cell>
        </row>
        <row r="35">
          <cell r="A35" t="str">
            <v>531A3420-000-165 A</v>
          </cell>
          <cell r="B35" t="str">
            <v>地板支撑件</v>
          </cell>
        </row>
        <row r="36">
          <cell r="A36" t="str">
            <v>531A4200-061-001</v>
          </cell>
          <cell r="B36" t="str">
            <v>螺栓</v>
          </cell>
        </row>
        <row r="37">
          <cell r="A37" t="str">
            <v>531A9100-007-001</v>
          </cell>
          <cell r="B37" t="str">
            <v>前起落架水平接头</v>
          </cell>
        </row>
        <row r="38">
          <cell r="A38" t="str">
            <v>531A9110-001-001</v>
          </cell>
          <cell r="B38" t="str">
            <v>前起落架舱门结构支撑梁</v>
          </cell>
        </row>
        <row r="39">
          <cell r="A39" t="str">
            <v>531A9800-009-001</v>
          </cell>
          <cell r="B39" t="str">
            <v>支座</v>
          </cell>
        </row>
        <row r="40">
          <cell r="A40" t="str">
            <v>561A3310-007-501</v>
          </cell>
          <cell r="B40" t="str">
            <v>衬套</v>
          </cell>
        </row>
        <row r="41">
          <cell r="A41" t="str">
            <v>561A3341-005-501</v>
          </cell>
          <cell r="B41" t="str">
            <v>滚轮</v>
          </cell>
        </row>
        <row r="42">
          <cell r="A42" t="str">
            <v>561A3351-002-501</v>
          </cell>
          <cell r="B42" t="str">
            <v>滚轮转轴</v>
          </cell>
        </row>
        <row r="43">
          <cell r="A43" t="str">
            <v>BC22103LP-001-001</v>
          </cell>
          <cell r="B43" t="str">
            <v>支架</v>
          </cell>
        </row>
        <row r="44">
          <cell r="A44" t="str">
            <v>BC221T1AC-003-001</v>
          </cell>
          <cell r="B44" t="str">
            <v>传感器座</v>
          </cell>
        </row>
        <row r="45">
          <cell r="A45" t="str">
            <v>BC221T1BB-001-001</v>
          </cell>
          <cell r="B45" t="str">
            <v>法兰</v>
          </cell>
        </row>
        <row r="46">
          <cell r="A46" t="str">
            <v>BC221T2MF-002-001</v>
          </cell>
          <cell r="B46" t="str">
            <v>传感器底座</v>
          </cell>
        </row>
        <row r="47">
          <cell r="A47" t="str">
            <v>BC2271603-001-004</v>
          </cell>
          <cell r="B47" t="str">
            <v>加速度传感器组件过渡支架</v>
          </cell>
        </row>
        <row r="48">
          <cell r="A48" t="str">
            <v>BC2280241-060-001</v>
          </cell>
          <cell r="B48" t="str">
            <v>带柔性接头的法兰（Φ60）</v>
          </cell>
        </row>
        <row r="49">
          <cell r="A49" t="str">
            <v>BC2281242-001-001</v>
          </cell>
          <cell r="B49" t="str">
            <v>支座</v>
          </cell>
        </row>
        <row r="50">
          <cell r="A50" t="str">
            <v>BC2281650-005-001</v>
          </cell>
          <cell r="B50" t="str">
            <v>角片</v>
          </cell>
        </row>
        <row r="51">
          <cell r="A51" t="str">
            <v>BC2281650-006-001</v>
          </cell>
          <cell r="B51" t="str">
            <v>角片</v>
          </cell>
        </row>
        <row r="52">
          <cell r="A52" t="str">
            <v>BC2282305-001-001</v>
          </cell>
          <cell r="B52" t="str">
            <v>转接接头</v>
          </cell>
        </row>
        <row r="53">
          <cell r="A53" t="str">
            <v>BC2282340-001-001</v>
          </cell>
          <cell r="B53" t="str">
            <v>带管接嘴法兰4</v>
          </cell>
        </row>
        <row r="54">
          <cell r="A54" t="str">
            <v>BC2282340-002-001</v>
          </cell>
          <cell r="B54" t="str">
            <v>带管接嘴法兰4</v>
          </cell>
        </row>
        <row r="55">
          <cell r="A55" t="str">
            <v>BC2291150-001-001</v>
          </cell>
          <cell r="B55" t="str">
            <v>安全阀支架底板</v>
          </cell>
        </row>
        <row r="56">
          <cell r="A56" t="str">
            <v>BC22931A0-011-001</v>
          </cell>
          <cell r="B56" t="str">
            <v>支架</v>
          </cell>
        </row>
        <row r="57">
          <cell r="A57" t="str">
            <v>BC2295121-002-001</v>
          </cell>
          <cell r="B57" t="str">
            <v>三通接头</v>
          </cell>
        </row>
        <row r="58">
          <cell r="A58" t="str">
            <v>BC2295132-002-002</v>
          </cell>
          <cell r="B58" t="str">
            <v>三通接头</v>
          </cell>
        </row>
        <row r="59">
          <cell r="A59" t="str">
            <v>3D</v>
          </cell>
          <cell r="B59" t="str">
            <v>3D打印</v>
          </cell>
        </row>
        <row r="60">
          <cell r="A60" t="str">
            <v>BC22971A1-005-001</v>
          </cell>
          <cell r="B60" t="str">
            <v>缓冲头</v>
          </cell>
        </row>
        <row r="61">
          <cell r="A61" t="str">
            <v>BC22971B1-002-001</v>
          </cell>
          <cell r="B61" t="str">
            <v>带限流的直通过框接头</v>
          </cell>
        </row>
        <row r="62">
          <cell r="A62" t="str">
            <v>BC2298150-005-001</v>
          </cell>
          <cell r="B62" t="str">
            <v>摇臂</v>
          </cell>
        </row>
        <row r="63">
          <cell r="A63" t="str">
            <v>BC2299175-001-001</v>
          </cell>
          <cell r="B63" t="str">
            <v>支架</v>
          </cell>
        </row>
        <row r="64">
          <cell r="A64" t="str">
            <v>BC2299241-004-001</v>
          </cell>
          <cell r="B64" t="str">
            <v>套筒</v>
          </cell>
        </row>
        <row r="65">
          <cell r="A65" t="str">
            <v>BC2332200-001-001</v>
          </cell>
          <cell r="B65" t="str">
            <v>卡钉</v>
          </cell>
        </row>
        <row r="66">
          <cell r="A66" t="str">
            <v>BC2332H01-008-001</v>
          </cell>
          <cell r="B66" t="str">
            <v>衬套</v>
          </cell>
        </row>
        <row r="67">
          <cell r="A67" t="str">
            <v>BC2563130-002-001</v>
          </cell>
          <cell r="B67" t="str">
            <v>支座</v>
          </cell>
        </row>
        <row r="68">
          <cell r="A68" t="str">
            <v>BC2711110-003-001</v>
          </cell>
          <cell r="B68" t="str">
            <v>螺纹堵盖</v>
          </cell>
        </row>
        <row r="69">
          <cell r="A69" t="str">
            <v>BC2711364-001-001</v>
          </cell>
          <cell r="B69" t="str">
            <v>螺母1</v>
          </cell>
        </row>
        <row r="70">
          <cell r="A70" t="str">
            <v>BC2712521-001-001</v>
          </cell>
          <cell r="B70" t="str">
            <v>摇臂</v>
          </cell>
        </row>
        <row r="71">
          <cell r="A71" t="str">
            <v>BC2712521-001-004</v>
          </cell>
          <cell r="B71" t="str">
            <v>摇臂</v>
          </cell>
        </row>
        <row r="72">
          <cell r="A72" t="str">
            <v>BC2712521-004-004</v>
          </cell>
          <cell r="B72" t="str">
            <v>限位销</v>
          </cell>
        </row>
        <row r="73">
          <cell r="A73" t="str">
            <v>BC2712522-001-001</v>
          </cell>
          <cell r="B73" t="str">
            <v>支座</v>
          </cell>
        </row>
        <row r="74">
          <cell r="A74" t="str">
            <v>BC2712522-001-004</v>
          </cell>
          <cell r="B74" t="str">
            <v>支座</v>
          </cell>
        </row>
        <row r="75">
          <cell r="A75" t="str">
            <v>BC27149G2-002-001</v>
          </cell>
          <cell r="B75" t="str">
            <v>管</v>
          </cell>
        </row>
        <row r="76">
          <cell r="A76" t="str">
            <v>BC2716320-001-003</v>
          </cell>
          <cell r="B76" t="str">
            <v>插槽</v>
          </cell>
        </row>
        <row r="77">
          <cell r="A77" t="str">
            <v>BC3012210-001-002</v>
          </cell>
          <cell r="B77" t="str">
            <v>前左斜操纵台</v>
          </cell>
        </row>
        <row r="78">
          <cell r="A78" t="str">
            <v>BC3101123-021-001</v>
          </cell>
          <cell r="B78" t="str">
            <v>梯形螺栓</v>
          </cell>
        </row>
        <row r="79">
          <cell r="A79" t="str">
            <v>BC3101242-012-001</v>
          </cell>
          <cell r="B79" t="str">
            <v>锁柄</v>
          </cell>
        </row>
        <row r="80">
          <cell r="A80" t="str">
            <v>BC3101242-013L001</v>
          </cell>
          <cell r="B80" t="str">
            <v>套筒</v>
          </cell>
        </row>
        <row r="81">
          <cell r="A81" t="str">
            <v>BC3101242-013R001</v>
          </cell>
          <cell r="B81" t="str">
            <v>套筒</v>
          </cell>
        </row>
        <row r="82">
          <cell r="A82" t="str">
            <v>BC3101300-005-001</v>
          </cell>
          <cell r="B82" t="str">
            <v>下支座螺栓</v>
          </cell>
        </row>
        <row r="83">
          <cell r="A83" t="str">
            <v>BC3230400-001-003</v>
          </cell>
          <cell r="B83" t="str">
            <v>过渡板</v>
          </cell>
        </row>
        <row r="84">
          <cell r="A84" t="str">
            <v>BC3230400-001-300</v>
          </cell>
          <cell r="B84" t="str">
            <v>过渡板</v>
          </cell>
        </row>
        <row r="85">
          <cell r="A85" t="str">
            <v>BC3230500-001-003</v>
          </cell>
          <cell r="B85" t="str">
            <v>过渡板</v>
          </cell>
        </row>
        <row r="86">
          <cell r="A86" t="str">
            <v>BC3230500-001-300</v>
          </cell>
          <cell r="B86" t="str">
            <v>过渡板</v>
          </cell>
        </row>
        <row r="87">
          <cell r="A87" t="str">
            <v>BC5311300-002-001</v>
          </cell>
          <cell r="B87" t="str">
            <v>前铰链支座</v>
          </cell>
        </row>
        <row r="88">
          <cell r="A88" t="str">
            <v>BC5311300-003-001</v>
          </cell>
          <cell r="B88" t="str">
            <v>前铰链支座</v>
          </cell>
        </row>
        <row r="89">
          <cell r="A89" t="str">
            <v>BC5314401-001-001</v>
          </cell>
          <cell r="B89" t="str">
            <v>4160左框</v>
          </cell>
        </row>
        <row r="90">
          <cell r="A90" t="str">
            <v>BC5324360-002-001</v>
          </cell>
          <cell r="B90" t="str">
            <v>堵塞</v>
          </cell>
        </row>
        <row r="91">
          <cell r="A91" t="str">
            <v>BC5328100-007-001</v>
          </cell>
          <cell r="B91" t="str">
            <v>连接耳片</v>
          </cell>
        </row>
        <row r="92">
          <cell r="A92" t="str">
            <v>BC5332100-009-001</v>
          </cell>
          <cell r="B92" t="str">
            <v>滑轨支座</v>
          </cell>
        </row>
        <row r="93">
          <cell r="A93" t="str">
            <v>BC5333651-001-001</v>
          </cell>
          <cell r="B93" t="str">
            <v>壳体</v>
          </cell>
        </row>
        <row r="94">
          <cell r="A94" t="str">
            <v>BC5337100-101R001</v>
          </cell>
          <cell r="B94" t="str">
            <v>上受拉接头</v>
          </cell>
        </row>
        <row r="95">
          <cell r="A95" t="str">
            <v>BC5337100-102R001</v>
          </cell>
          <cell r="B95" t="str">
            <v>中受拉接头</v>
          </cell>
        </row>
        <row r="96">
          <cell r="A96" t="str">
            <v>BC5337100-103L001</v>
          </cell>
          <cell r="B96" t="str">
            <v>下受拉接头</v>
          </cell>
        </row>
        <row r="97">
          <cell r="A97" t="str">
            <v>BC5337100-103R001</v>
          </cell>
          <cell r="B97" t="str">
            <v>下受拉接头</v>
          </cell>
        </row>
        <row r="98">
          <cell r="A98" t="str">
            <v>BC5337100-104L001</v>
          </cell>
          <cell r="B98" t="str">
            <v>上受剪接头</v>
          </cell>
        </row>
        <row r="99">
          <cell r="A99" t="str">
            <v>BC5337100-105L001</v>
          </cell>
          <cell r="B99" t="str">
            <v>中受剪接头</v>
          </cell>
        </row>
        <row r="100">
          <cell r="A100" t="str">
            <v>BC5337100-106L001</v>
          </cell>
          <cell r="B100" t="str">
            <v>下受剪接头</v>
          </cell>
        </row>
        <row r="101">
          <cell r="A101" t="str">
            <v>BC5525200-003-002</v>
          </cell>
          <cell r="B101" t="str">
            <v>对穿螺栓</v>
          </cell>
        </row>
        <row r="102">
          <cell r="A102" t="str">
            <v>BC5711304-001L002</v>
          </cell>
          <cell r="B102" t="str">
            <v>口盖</v>
          </cell>
        </row>
        <row r="103">
          <cell r="A103" t="str">
            <v>BC5711304-001R002</v>
          </cell>
          <cell r="B103" t="str">
            <v>口盖</v>
          </cell>
        </row>
        <row r="104">
          <cell r="A104" t="str">
            <v>BC5711410-001-002</v>
          </cell>
          <cell r="B104" t="str">
            <v>螺栓</v>
          </cell>
        </row>
        <row r="105">
          <cell r="A105" t="str">
            <v>BC5711420-001-002</v>
          </cell>
          <cell r="B105" t="str">
            <v>螺栓</v>
          </cell>
        </row>
        <row r="106">
          <cell r="A106" t="str">
            <v>BC5812000-001-001</v>
          </cell>
          <cell r="B106" t="str">
            <v>轴</v>
          </cell>
        </row>
        <row r="107">
          <cell r="A107" t="str">
            <v>BC5812000-002-001</v>
          </cell>
          <cell r="B107" t="str">
            <v>螺栓</v>
          </cell>
        </row>
        <row r="108">
          <cell r="A108" t="str">
            <v>BC5812000-004-001</v>
          </cell>
          <cell r="B108" t="str">
            <v>螺栓</v>
          </cell>
        </row>
        <row r="109">
          <cell r="A109" t="str">
            <v>BC5812000-005-001</v>
          </cell>
          <cell r="B109" t="str">
            <v>拨轴</v>
          </cell>
        </row>
        <row r="110">
          <cell r="A110" t="str">
            <v>BC5812100-008-001</v>
          </cell>
          <cell r="B110" t="str">
            <v>轴</v>
          </cell>
        </row>
        <row r="111">
          <cell r="A111" t="str">
            <v>BC5812200-001-001</v>
          </cell>
          <cell r="B111" t="str">
            <v>轴</v>
          </cell>
        </row>
        <row r="112">
          <cell r="A112" t="str">
            <v>BC5812300-001-001</v>
          </cell>
          <cell r="B112" t="str">
            <v>螺栓</v>
          </cell>
        </row>
        <row r="113">
          <cell r="A113" t="str">
            <v>BC5812420-002-001</v>
          </cell>
          <cell r="B113" t="str">
            <v>转轴衬套</v>
          </cell>
        </row>
        <row r="114">
          <cell r="A114" t="str">
            <v>BC5812420-003-001</v>
          </cell>
          <cell r="B114" t="str">
            <v>拉杆衬套</v>
          </cell>
        </row>
        <row r="115">
          <cell r="A115" t="str">
            <v>BC5812500-001-001</v>
          </cell>
          <cell r="B115" t="str">
            <v>螺栓</v>
          </cell>
        </row>
        <row r="116">
          <cell r="A116" t="str">
            <v>BC5812600-001-001</v>
          </cell>
          <cell r="B116" t="str">
            <v>摇臂</v>
          </cell>
        </row>
        <row r="117">
          <cell r="A117" t="str">
            <v>BC5812700-002-001</v>
          </cell>
          <cell r="B117" t="str">
            <v>支撑衬套</v>
          </cell>
        </row>
        <row r="118">
          <cell r="A118" t="str">
            <v>BC5812700-003-001</v>
          </cell>
          <cell r="B118" t="str">
            <v>螺栓</v>
          </cell>
        </row>
        <row r="119">
          <cell r="A119" t="str">
            <v>BC5812710-001-001</v>
          </cell>
          <cell r="B119" t="str">
            <v>下套筒</v>
          </cell>
        </row>
        <row r="120">
          <cell r="A120" t="str">
            <v>BC5812800-001-001</v>
          </cell>
          <cell r="B120" t="str">
            <v>摇臂</v>
          </cell>
        </row>
        <row r="121">
          <cell r="A121" t="str">
            <v>BC5812810-001-001</v>
          </cell>
          <cell r="B121" t="str">
            <v>螺母</v>
          </cell>
        </row>
        <row r="122">
          <cell r="A122" t="str">
            <v>BC5812811-001-001</v>
          </cell>
          <cell r="B122" t="str">
            <v>拉杆</v>
          </cell>
        </row>
        <row r="123">
          <cell r="A123" t="str">
            <v>BC5812910-001-001</v>
          </cell>
          <cell r="B123" t="str">
            <v>拉杆</v>
          </cell>
        </row>
        <row r="124">
          <cell r="A124" t="str">
            <v>BC5819311-001-001</v>
          </cell>
          <cell r="B124" t="str">
            <v>耳环螺栓</v>
          </cell>
        </row>
        <row r="125">
          <cell r="A125" t="str">
            <v>BC5822100-002L001</v>
          </cell>
          <cell r="B125" t="str">
            <v>止动摇臂</v>
          </cell>
        </row>
        <row r="126">
          <cell r="A126" t="str">
            <v>BC5822100-002R001</v>
          </cell>
          <cell r="B126" t="str">
            <v>止动摇臂</v>
          </cell>
        </row>
        <row r="127">
          <cell r="A127" t="str">
            <v>BC5822100-007-001</v>
          </cell>
          <cell r="B127" t="str">
            <v>轴</v>
          </cell>
        </row>
        <row r="128">
          <cell r="A128" t="str">
            <v>BC5836011-001-001</v>
          </cell>
          <cell r="B128" t="str">
            <v>壳体</v>
          </cell>
        </row>
        <row r="129">
          <cell r="A129" t="str">
            <v>C532111100-008L001</v>
          </cell>
          <cell r="B129" t="str">
            <v>外侧轴承盖</v>
          </cell>
        </row>
        <row r="130">
          <cell r="A130" t="str">
            <v>C532111100-008R001</v>
          </cell>
          <cell r="B130" t="str">
            <v>外侧轴承盖</v>
          </cell>
        </row>
        <row r="131">
          <cell r="A131" t="str">
            <v>C532114400-135L001</v>
          </cell>
          <cell r="B131" t="str">
            <v>引气加强口框</v>
          </cell>
        </row>
        <row r="132">
          <cell r="A132" t="str">
            <v>C532210911-001L001</v>
          </cell>
          <cell r="B132" t="str">
            <v>左内侧接头</v>
          </cell>
        </row>
        <row r="133">
          <cell r="A133" t="str">
            <v>C532210911-001R001</v>
          </cell>
          <cell r="B133" t="str">
            <v>右内侧接头</v>
          </cell>
        </row>
        <row r="134">
          <cell r="A134" t="str">
            <v>C532210912-001-001</v>
          </cell>
          <cell r="B134" t="str">
            <v>卡环</v>
          </cell>
        </row>
        <row r="135">
          <cell r="A135" t="str">
            <v>C532210921-001L001</v>
          </cell>
          <cell r="B135" t="str">
            <v>左外侧接头</v>
          </cell>
        </row>
        <row r="136">
          <cell r="A136" t="str">
            <v>C532210921-001R001</v>
          </cell>
          <cell r="B136" t="str">
            <v>右外侧接头</v>
          </cell>
        </row>
        <row r="137">
          <cell r="A137" t="str">
            <v>C532210931-001-001</v>
          </cell>
          <cell r="B137" t="str">
            <v>中推力销支座接头</v>
          </cell>
        </row>
        <row r="138">
          <cell r="A138" t="str">
            <v>C532210932-001-001</v>
          </cell>
          <cell r="B138" t="str">
            <v>中推力销末端卡环</v>
          </cell>
        </row>
        <row r="139">
          <cell r="A139" t="str">
            <v>C532210941-001L001</v>
          </cell>
          <cell r="B139" t="str">
            <v>左推力销支座接头</v>
          </cell>
        </row>
        <row r="140">
          <cell r="A140" t="str">
            <v>C532210941-001R001</v>
          </cell>
          <cell r="B140" t="str">
            <v>右推力销支座接头</v>
          </cell>
        </row>
        <row r="141">
          <cell r="A141" t="str">
            <v>C532222810-015-001</v>
          </cell>
          <cell r="B141" t="str">
            <v>口框</v>
          </cell>
        </row>
        <row r="142">
          <cell r="A142" t="str">
            <v>C533114600-004L001</v>
          </cell>
          <cell r="B142" t="str">
            <v>角盒</v>
          </cell>
        </row>
        <row r="143">
          <cell r="A143" t="str">
            <v>C533114600-004R001</v>
          </cell>
          <cell r="B143" t="str">
            <v>角盒</v>
          </cell>
        </row>
        <row r="144">
          <cell r="A144" t="str">
            <v>C533114600-005L001</v>
          </cell>
          <cell r="B144" t="str">
            <v>角盒</v>
          </cell>
        </row>
        <row r="145">
          <cell r="A145" t="str">
            <v>C533114600-005R001</v>
          </cell>
          <cell r="B145" t="str">
            <v>角盒</v>
          </cell>
        </row>
        <row r="146">
          <cell r="A146" t="str">
            <v>C551005000-002L001</v>
          </cell>
          <cell r="B146" t="str">
            <v>摇臂</v>
          </cell>
        </row>
        <row r="147">
          <cell r="A147" t="str">
            <v>C551005000-002R001</v>
          </cell>
          <cell r="B147" t="str">
            <v>摇臂</v>
          </cell>
        </row>
        <row r="148">
          <cell r="A148" t="str">
            <v>C552004000-001L001</v>
          </cell>
          <cell r="B148" t="str">
            <v>摇臂</v>
          </cell>
        </row>
        <row r="149">
          <cell r="A149" t="str">
            <v>C552004000-001R001</v>
          </cell>
          <cell r="B149" t="str">
            <v>摇臂</v>
          </cell>
        </row>
        <row r="150">
          <cell r="A150" t="str">
            <v>C552103000-026L001</v>
          </cell>
          <cell r="B150" t="str">
            <v>前缘短肋</v>
          </cell>
        </row>
        <row r="151">
          <cell r="A151" t="str">
            <v>C552103000-026R001</v>
          </cell>
          <cell r="B151" t="str">
            <v>前缘短肋</v>
          </cell>
        </row>
        <row r="152">
          <cell r="A152" t="str">
            <v>C571110300-003L001</v>
          </cell>
          <cell r="B152" t="str">
            <v>角盒</v>
          </cell>
        </row>
        <row r="153">
          <cell r="A153" t="str">
            <v>C571110500-001L001</v>
          </cell>
          <cell r="B153" t="str">
            <v>前梁一段</v>
          </cell>
        </row>
        <row r="154">
          <cell r="A154" t="str">
            <v>C571110500-001R001</v>
          </cell>
          <cell r="B154" t="str">
            <v>前梁一段</v>
          </cell>
        </row>
        <row r="155">
          <cell r="A155" t="str">
            <v>C571110500-002L001</v>
          </cell>
          <cell r="B155" t="str">
            <v>前梁二段</v>
          </cell>
        </row>
        <row r="156">
          <cell r="A156" t="str">
            <v>C571110500-002R001</v>
          </cell>
          <cell r="B156" t="str">
            <v>前梁二段</v>
          </cell>
        </row>
        <row r="157">
          <cell r="A157" t="str">
            <v>C571310200-019L001</v>
          </cell>
          <cell r="B157" t="str">
            <v>后舱内段支撑件上段1段</v>
          </cell>
        </row>
        <row r="158">
          <cell r="A158" t="str">
            <v>C571310200-019R001</v>
          </cell>
          <cell r="B158" t="str">
            <v>后舱内段支撑件上段1段</v>
          </cell>
        </row>
        <row r="159">
          <cell r="A159" t="str">
            <v>C571310200-020L001</v>
          </cell>
          <cell r="B159" t="str">
            <v>后舱内段支撑件上段2段</v>
          </cell>
        </row>
        <row r="160">
          <cell r="A160" t="str">
            <v>C571310200-020R001</v>
          </cell>
          <cell r="B160" t="str">
            <v>后舱内段支撑件上段2段</v>
          </cell>
        </row>
        <row r="161">
          <cell r="A161" t="str">
            <v>C571310300-022L001</v>
          </cell>
          <cell r="B161" t="str">
            <v>外副作动器整流罩支撑件上段</v>
          </cell>
        </row>
        <row r="162">
          <cell r="A162" t="str">
            <v>C571310300-022R001</v>
          </cell>
          <cell r="B162" t="str">
            <v>外副作动器整流罩支撑件上段</v>
          </cell>
        </row>
        <row r="163">
          <cell r="A163" t="str">
            <v>C571310300-023L001</v>
          </cell>
          <cell r="B163" t="str">
            <v>外副作动器整流罩支撑件上段</v>
          </cell>
        </row>
        <row r="164">
          <cell r="A164" t="str">
            <v>C571310300-023R001</v>
          </cell>
          <cell r="B164" t="str">
            <v>外副作动器整流罩支撑件上段</v>
          </cell>
        </row>
        <row r="165">
          <cell r="A165" t="str">
            <v>CB2210982-001-002</v>
          </cell>
          <cell r="B165" t="str">
            <v>管接头</v>
          </cell>
        </row>
        <row r="166">
          <cell r="A166" t="str">
            <v>CB22109ME-002-001</v>
          </cell>
          <cell r="B166" t="str">
            <v>150度弯管接头</v>
          </cell>
        </row>
        <row r="167">
          <cell r="A167" t="str">
            <v>CB22109MN-001-003</v>
          </cell>
          <cell r="B167" t="str">
            <v>变径直通接头</v>
          </cell>
        </row>
        <row r="168">
          <cell r="A168" t="str">
            <v>CB22109PF-001-002</v>
          </cell>
          <cell r="B168" t="str">
            <v>三通管接头</v>
          </cell>
        </row>
        <row r="169">
          <cell r="A169" t="str">
            <v>CB22109TD-001-001</v>
          </cell>
          <cell r="B169" t="str">
            <v>带排水孔的管接头</v>
          </cell>
        </row>
        <row r="170">
          <cell r="A170" t="str">
            <v>CB221T0LCN002-002</v>
          </cell>
          <cell r="B170" t="str">
            <v>压力传感器接嘴</v>
          </cell>
        </row>
        <row r="171">
          <cell r="A171" t="str">
            <v>CB221T1LA-001-001</v>
          </cell>
          <cell r="B171" t="str">
            <v>管接头</v>
          </cell>
        </row>
        <row r="172">
          <cell r="A172" t="str">
            <v>CB221T1LD-003-001</v>
          </cell>
          <cell r="B172" t="str">
            <v>接管嘴</v>
          </cell>
        </row>
        <row r="173">
          <cell r="A173" t="str">
            <v>CB221T2LB-001-001</v>
          </cell>
          <cell r="B173" t="str">
            <v>接管嘴</v>
          </cell>
        </row>
        <row r="174">
          <cell r="A174" t="str">
            <v>CB221T2LF-003-003</v>
          </cell>
          <cell r="B174" t="str">
            <v>接管嘴</v>
          </cell>
        </row>
        <row r="175">
          <cell r="A175" t="str">
            <v>CB221T2LN-001-001</v>
          </cell>
          <cell r="B175" t="str">
            <v>接管嘴</v>
          </cell>
        </row>
        <row r="176">
          <cell r="A176" t="str">
            <v>CB221T2LR-001-001</v>
          </cell>
          <cell r="B176" t="str">
            <v>平管嘴</v>
          </cell>
        </row>
        <row r="177">
          <cell r="A177" t="str">
            <v>CB221T3LG-002-001</v>
          </cell>
          <cell r="B177" t="str">
            <v>接头</v>
          </cell>
        </row>
        <row r="178">
          <cell r="A178" t="str">
            <v>CB221T9MLN003-001</v>
          </cell>
          <cell r="B178" t="str">
            <v>液体压力传感器接管嘴</v>
          </cell>
        </row>
        <row r="179">
          <cell r="A179" t="str">
            <v>CB2245110-001-001</v>
          </cell>
          <cell r="B179" t="str">
            <v>支架1</v>
          </cell>
        </row>
        <row r="180">
          <cell r="A180" t="str">
            <v>CB2248145-001-006</v>
          </cell>
          <cell r="B180" t="str">
            <v>支片5</v>
          </cell>
        </row>
        <row r="181">
          <cell r="A181" t="str">
            <v>CB2263267-001-002</v>
          </cell>
          <cell r="B181" t="str">
            <v>直通管接头</v>
          </cell>
        </row>
        <row r="182">
          <cell r="A182" t="str">
            <v>CB2263270-001-001</v>
          </cell>
          <cell r="B182" t="str">
            <v>喷嘴</v>
          </cell>
        </row>
        <row r="183">
          <cell r="A183" t="str">
            <v>CB2263280-001-002</v>
          </cell>
          <cell r="B183" t="str">
            <v>喷嘴</v>
          </cell>
        </row>
        <row r="184">
          <cell r="A184" t="str">
            <v>CB2276730-001-001</v>
          </cell>
          <cell r="B184" t="str">
            <v>操纵台侧壁板</v>
          </cell>
        </row>
        <row r="185">
          <cell r="A185" t="str">
            <v>CB2276731-007-001</v>
          </cell>
          <cell r="B185" t="str">
            <v>筋条5</v>
          </cell>
        </row>
        <row r="186">
          <cell r="A186" t="str">
            <v>CB2280211-025-001</v>
          </cell>
          <cell r="B186" t="str">
            <v>穿框管接头</v>
          </cell>
        </row>
        <row r="187">
          <cell r="A187" t="str">
            <v>CB2280231-004-001</v>
          </cell>
          <cell r="B187" t="str">
            <v>轴</v>
          </cell>
        </row>
        <row r="188">
          <cell r="A188" t="str">
            <v>CB2280231N003-001</v>
          </cell>
          <cell r="B188" t="str">
            <v>管子</v>
          </cell>
        </row>
        <row r="189">
          <cell r="A189" t="str">
            <v>CB2283651-002-001</v>
          </cell>
          <cell r="B189" t="str">
            <v>法兰</v>
          </cell>
        </row>
        <row r="190">
          <cell r="A190" t="str">
            <v>CB2283664-002-001</v>
          </cell>
          <cell r="B190" t="str">
            <v>法兰</v>
          </cell>
        </row>
        <row r="191">
          <cell r="A191" t="str">
            <v>CB22836Y6-003-001</v>
          </cell>
          <cell r="B191" t="str">
            <v>轴</v>
          </cell>
        </row>
        <row r="192">
          <cell r="A192" t="str">
            <v>CB2283792-002-002</v>
          </cell>
          <cell r="B192" t="str">
            <v>法兰</v>
          </cell>
        </row>
        <row r="193">
          <cell r="A193" t="str">
            <v>CB22837C3-001-001</v>
          </cell>
          <cell r="B193" t="str">
            <v>法兰</v>
          </cell>
        </row>
        <row r="194">
          <cell r="A194" t="str">
            <v>CB22837F1-001-001</v>
          </cell>
          <cell r="B194" t="str">
            <v>法兰</v>
          </cell>
        </row>
        <row r="195">
          <cell r="A195" t="str">
            <v>CB2284450-001-001</v>
          </cell>
          <cell r="B195" t="str">
            <v>穿框管接头</v>
          </cell>
        </row>
        <row r="196">
          <cell r="A196" t="str">
            <v>CB2284460-004-001</v>
          </cell>
          <cell r="B196" t="str">
            <v>四通接头</v>
          </cell>
        </row>
        <row r="197">
          <cell r="A197" t="str">
            <v>CB2284460-007-001</v>
          </cell>
          <cell r="B197" t="str">
            <v>四通接头</v>
          </cell>
        </row>
        <row r="198">
          <cell r="A198" t="str">
            <v>CB2284480-003-001</v>
          </cell>
          <cell r="B198" t="str">
            <v>四通接头</v>
          </cell>
        </row>
        <row r="199">
          <cell r="A199" t="str">
            <v>CB2284480-004-001</v>
          </cell>
          <cell r="B199" t="str">
            <v>四通接头</v>
          </cell>
        </row>
        <row r="200">
          <cell r="A200" t="str">
            <v>CB22844A0-001-001</v>
          </cell>
          <cell r="B200" t="str">
            <v>三通接头</v>
          </cell>
        </row>
        <row r="201">
          <cell r="A201" t="str">
            <v>CB22844A0-002-001</v>
          </cell>
          <cell r="B201" t="str">
            <v>三通接头</v>
          </cell>
        </row>
        <row r="202">
          <cell r="A202" t="str">
            <v>CB228455A-001-004</v>
          </cell>
          <cell r="B202" t="str">
            <v>三通底座</v>
          </cell>
        </row>
        <row r="203">
          <cell r="A203" t="str">
            <v>CB2284751-003-001</v>
          </cell>
          <cell r="B203" t="str">
            <v>法兰盘</v>
          </cell>
        </row>
        <row r="204">
          <cell r="A204" t="str">
            <v>CB2284751-006-001</v>
          </cell>
          <cell r="B204" t="str">
            <v>主动油总管四通</v>
          </cell>
        </row>
        <row r="205">
          <cell r="A205" t="str">
            <v>CB2284752-005-001</v>
          </cell>
          <cell r="B205" t="str">
            <v>接头</v>
          </cell>
        </row>
        <row r="206">
          <cell r="A206" t="str">
            <v>CB2284761-003-001</v>
          </cell>
          <cell r="B206" t="str">
            <v>主动油总管四通</v>
          </cell>
        </row>
        <row r="207">
          <cell r="A207" t="str">
            <v>CB2284764-002-001</v>
          </cell>
          <cell r="B207" t="str">
            <v>接头</v>
          </cell>
        </row>
        <row r="208">
          <cell r="A208" t="str">
            <v>CB22847Y1-008-001</v>
          </cell>
          <cell r="B208" t="str">
            <v>轴</v>
          </cell>
        </row>
        <row r="209">
          <cell r="A209" t="str">
            <v>CB22847Y1N007-001</v>
          </cell>
          <cell r="B209" t="str">
            <v>衬套</v>
          </cell>
        </row>
        <row r="210">
          <cell r="A210" t="str">
            <v>CB2285662-002-001</v>
          </cell>
          <cell r="B210" t="str">
            <v>穿框管接头</v>
          </cell>
        </row>
        <row r="211">
          <cell r="A211" t="str">
            <v>CB2285758-004-001</v>
          </cell>
          <cell r="B211" t="str">
            <v>接头</v>
          </cell>
        </row>
        <row r="212">
          <cell r="A212" t="str">
            <v>CB22857F8-003-002</v>
          </cell>
          <cell r="B212" t="str">
            <v>法兰</v>
          </cell>
        </row>
        <row r="213">
          <cell r="A213" t="str">
            <v>CB22857G1-004-001</v>
          </cell>
          <cell r="B213" t="str">
            <v>法兰</v>
          </cell>
        </row>
        <row r="214">
          <cell r="A214" t="str">
            <v>CB22857YB-008-001</v>
          </cell>
          <cell r="B214" t="str">
            <v>轴</v>
          </cell>
        </row>
        <row r="215">
          <cell r="A215" t="str">
            <v>CB2287717-003-001</v>
          </cell>
          <cell r="B215" t="str">
            <v>14200框左侧铆接支架</v>
          </cell>
        </row>
        <row r="216">
          <cell r="A216" t="str">
            <v>CB22877HD-001-001</v>
          </cell>
          <cell r="B216" t="str">
            <v>变径直通管接头</v>
          </cell>
        </row>
        <row r="217">
          <cell r="A217" t="str">
            <v>CB22877J9-003-001</v>
          </cell>
          <cell r="B217" t="str">
            <v>变径三通接头</v>
          </cell>
        </row>
        <row r="218">
          <cell r="A218" t="str">
            <v>CB2292112-003-001</v>
          </cell>
          <cell r="B218" t="str">
            <v>小轴</v>
          </cell>
        </row>
        <row r="219">
          <cell r="A219" t="str">
            <v>CB2292112-004-001</v>
          </cell>
          <cell r="B219" t="str">
            <v>螺栓</v>
          </cell>
        </row>
        <row r="220">
          <cell r="A220" t="str">
            <v>CB2292182-003-001</v>
          </cell>
          <cell r="B220" t="str">
            <v>衬套</v>
          </cell>
        </row>
        <row r="221">
          <cell r="A221" t="str">
            <v>CB22921A1-003-001</v>
          </cell>
          <cell r="B221" t="str">
            <v>衬套</v>
          </cell>
        </row>
        <row r="222">
          <cell r="A222" t="str">
            <v>CB22921L3-001-003</v>
          </cell>
          <cell r="B222" t="str">
            <v>支座</v>
          </cell>
        </row>
        <row r="223">
          <cell r="A223" t="str">
            <v>CB2292321-001-003</v>
          </cell>
          <cell r="B223" t="str">
            <v>支座</v>
          </cell>
        </row>
        <row r="224">
          <cell r="A224" t="str">
            <v>CB22924J0-001-001</v>
          </cell>
          <cell r="B224" t="str">
            <v>角片</v>
          </cell>
        </row>
        <row r="225">
          <cell r="A225" t="str">
            <v>CB22924J0-002-005</v>
          </cell>
          <cell r="B225" t="str">
            <v>角片</v>
          </cell>
        </row>
        <row r="226">
          <cell r="A226" t="str">
            <v>CB2293181-004-001</v>
          </cell>
          <cell r="B226" t="str">
            <v>衬套</v>
          </cell>
        </row>
        <row r="227">
          <cell r="A227" t="str">
            <v>CB2294170-001-001</v>
          </cell>
          <cell r="B227" t="str">
            <v>压杆</v>
          </cell>
        </row>
        <row r="228">
          <cell r="A228" t="str">
            <v>CB2294170-003-001</v>
          </cell>
          <cell r="B228" t="str">
            <v>支架</v>
          </cell>
        </row>
        <row r="229">
          <cell r="A229" t="str">
            <v>CB2294456-001-001</v>
          </cell>
          <cell r="B229" t="str">
            <v>盖</v>
          </cell>
        </row>
        <row r="230">
          <cell r="A230" t="str">
            <v>CB22956R1-001R001</v>
          </cell>
          <cell r="B230" t="str">
            <v>座子</v>
          </cell>
        </row>
        <row r="231">
          <cell r="A231" t="str">
            <v>CB2297011-001-001</v>
          </cell>
          <cell r="B231" t="str">
            <v>支架</v>
          </cell>
        </row>
        <row r="232">
          <cell r="A232" t="str">
            <v>CB2297011-002-001</v>
          </cell>
          <cell r="B232" t="str">
            <v>支架</v>
          </cell>
        </row>
        <row r="233">
          <cell r="A233" t="str">
            <v>CB2297012-001-001</v>
          </cell>
          <cell r="B233" t="str">
            <v>支架</v>
          </cell>
        </row>
        <row r="234">
          <cell r="A234" t="str">
            <v>CB2297021-001-001</v>
          </cell>
          <cell r="B234" t="str">
            <v>支架</v>
          </cell>
        </row>
        <row r="235">
          <cell r="A235" t="str">
            <v>CB2297032-001-001</v>
          </cell>
          <cell r="B235" t="str">
            <v>支架</v>
          </cell>
        </row>
        <row r="236">
          <cell r="A236" t="str">
            <v>CB2297041-001-001</v>
          </cell>
          <cell r="B236" t="str">
            <v>支架</v>
          </cell>
        </row>
        <row r="237">
          <cell r="A237" t="str">
            <v>CB2297120-005-002</v>
          </cell>
          <cell r="B237" t="str">
            <v>支架</v>
          </cell>
        </row>
        <row r="238">
          <cell r="A238" t="str">
            <v>CB2297120-006-002</v>
          </cell>
          <cell r="B238" t="str">
            <v>支架</v>
          </cell>
        </row>
        <row r="239">
          <cell r="A239" t="str">
            <v>CB22984L0-002-001</v>
          </cell>
          <cell r="B239" t="str">
            <v>管夹</v>
          </cell>
        </row>
        <row r="240">
          <cell r="A240" t="str">
            <v>CB22984M0-002-001</v>
          </cell>
          <cell r="B240" t="str">
            <v>管夹</v>
          </cell>
        </row>
        <row r="241">
          <cell r="A241" t="str">
            <v>CB22984M0-002-002</v>
          </cell>
          <cell r="B241" t="str">
            <v>管夹</v>
          </cell>
        </row>
        <row r="242">
          <cell r="A242" t="str">
            <v>CB22985H0-002-002</v>
          </cell>
          <cell r="B242" t="str">
            <v>管夹</v>
          </cell>
        </row>
        <row r="243">
          <cell r="A243" t="str">
            <v>CB2298612-001-001</v>
          </cell>
          <cell r="B243" t="str">
            <v>支架</v>
          </cell>
        </row>
        <row r="244">
          <cell r="A244" t="str">
            <v>CB2298615-001-001</v>
          </cell>
          <cell r="B244" t="str">
            <v>管夹</v>
          </cell>
        </row>
        <row r="245">
          <cell r="A245" t="str">
            <v>CB229861B-001-001</v>
          </cell>
          <cell r="B245" t="str">
            <v>管夹</v>
          </cell>
        </row>
        <row r="246">
          <cell r="A246" t="str">
            <v>CB2298622-001-001</v>
          </cell>
          <cell r="B246" t="str">
            <v>管夹</v>
          </cell>
        </row>
        <row r="247">
          <cell r="A247" t="str">
            <v>CB229B412-003-001</v>
          </cell>
          <cell r="B247" t="str">
            <v>管夹</v>
          </cell>
        </row>
        <row r="248">
          <cell r="A248" t="str">
            <v>CB229C050-002-003</v>
          </cell>
          <cell r="B248" t="str">
            <v>拨杆</v>
          </cell>
        </row>
        <row r="249">
          <cell r="A249" t="str">
            <v>CB229C050-007-003</v>
          </cell>
          <cell r="B249" t="str">
            <v>摇臂</v>
          </cell>
        </row>
        <row r="250">
          <cell r="A250" t="str">
            <v>CB229C050-014-003</v>
          </cell>
          <cell r="B250" t="str">
            <v>Z支架</v>
          </cell>
        </row>
        <row r="251">
          <cell r="A251" t="str">
            <v>CB229C070-001R001</v>
          </cell>
          <cell r="B251" t="str">
            <v>支架</v>
          </cell>
        </row>
        <row r="252">
          <cell r="A252" t="str">
            <v>CB229C071-001L001</v>
          </cell>
          <cell r="B252" t="str">
            <v>支架</v>
          </cell>
        </row>
        <row r="253">
          <cell r="A253" t="str">
            <v>CB229C420-004-001</v>
          </cell>
          <cell r="B253" t="str">
            <v>套筒</v>
          </cell>
        </row>
        <row r="254">
          <cell r="A254" t="str">
            <v>CB229C440-001-001</v>
          </cell>
          <cell r="B254" t="str">
            <v>组合导管夹</v>
          </cell>
        </row>
        <row r="255">
          <cell r="A255" t="str">
            <v>CB26036A6-001-001</v>
          </cell>
          <cell r="B255" t="str">
            <v>直通过框接头</v>
          </cell>
        </row>
        <row r="256">
          <cell r="A256" t="str">
            <v>CB2716663-003-002</v>
          </cell>
          <cell r="B256" t="str">
            <v>弯头平管嘴</v>
          </cell>
        </row>
        <row r="257">
          <cell r="A257" t="str">
            <v>CB2747B10-003-002</v>
          </cell>
          <cell r="B257" t="str">
            <v>管接头</v>
          </cell>
        </row>
        <row r="258">
          <cell r="A258" t="str">
            <v>CB2747B20-003-002</v>
          </cell>
          <cell r="B258" t="str">
            <v>管接头</v>
          </cell>
        </row>
        <row r="259">
          <cell r="A259" t="str">
            <v>CB2747G90-006-001</v>
          </cell>
          <cell r="B259" t="str">
            <v>管接头3</v>
          </cell>
        </row>
        <row r="260">
          <cell r="A260" t="str">
            <v>CB2747GA0-002-002</v>
          </cell>
          <cell r="B260" t="str">
            <v>扩压式管接头</v>
          </cell>
        </row>
        <row r="261">
          <cell r="A261" t="str">
            <v>CB2747R00-002-001</v>
          </cell>
          <cell r="B261" t="str">
            <v>三通管接头</v>
          </cell>
        </row>
        <row r="262">
          <cell r="A262" t="str">
            <v>CB3014940-001-002</v>
          </cell>
          <cell r="B262" t="str">
            <v>左BL297侧框</v>
          </cell>
        </row>
        <row r="263">
          <cell r="A263" t="str">
            <v>CB3092441-001-001</v>
          </cell>
          <cell r="B263" t="str">
            <v>连接片1</v>
          </cell>
        </row>
        <row r="264">
          <cell r="A264" t="str">
            <v>CB3092441-002-001</v>
          </cell>
          <cell r="B264" t="str">
            <v>连接片2</v>
          </cell>
        </row>
        <row r="265">
          <cell r="A265" t="str">
            <v>CB5313200-004L006</v>
          </cell>
          <cell r="B265" t="str">
            <v>左前分合面框</v>
          </cell>
        </row>
        <row r="266">
          <cell r="A266" t="str">
            <v>CB5313231-001-006</v>
          </cell>
          <cell r="B266" t="str">
            <v>管接头</v>
          </cell>
        </row>
        <row r="267">
          <cell r="A267" t="str">
            <v>CB5314107-001-002</v>
          </cell>
          <cell r="B267" t="str">
            <v>5550上框</v>
          </cell>
        </row>
        <row r="268">
          <cell r="A268" t="str">
            <v>CB5314107-001-003</v>
          </cell>
          <cell r="B268" t="str">
            <v>5550上框</v>
          </cell>
        </row>
        <row r="269">
          <cell r="A269" t="str">
            <v>CB5314107-005-001</v>
          </cell>
          <cell r="B269" t="str">
            <v>油箱口盖</v>
          </cell>
        </row>
        <row r="270">
          <cell r="A270" t="str">
            <v>CB5314240-012-003</v>
          </cell>
          <cell r="B270" t="str">
            <v>后顶板</v>
          </cell>
        </row>
        <row r="271">
          <cell r="A271" t="str">
            <v>CB5314300-025-003</v>
          </cell>
          <cell r="B271" t="str">
            <v>蒙皮加强件</v>
          </cell>
        </row>
        <row r="272">
          <cell r="A272" t="str">
            <v>CB5315120-002L001</v>
          </cell>
          <cell r="B272" t="str">
            <v>6820框内段</v>
          </cell>
        </row>
        <row r="273">
          <cell r="A273" t="str">
            <v>CB5315120-002R001</v>
          </cell>
          <cell r="B273" t="str">
            <v>6820框内段</v>
          </cell>
        </row>
        <row r="274">
          <cell r="A274" t="str">
            <v>CB5315130-002L001</v>
          </cell>
          <cell r="B274" t="str">
            <v>6940框内段</v>
          </cell>
        </row>
        <row r="275">
          <cell r="A275" t="str">
            <v>CB5315130-002R001</v>
          </cell>
          <cell r="B275" t="str">
            <v>6940框内段</v>
          </cell>
        </row>
        <row r="276">
          <cell r="A276" t="str">
            <v>CB5315190-002L001</v>
          </cell>
          <cell r="B276" t="str">
            <v>WL-600地板梁</v>
          </cell>
        </row>
        <row r="277">
          <cell r="A277" t="str">
            <v>CB5315190-002R001</v>
          </cell>
          <cell r="B277" t="str">
            <v>WL-600地板梁</v>
          </cell>
        </row>
        <row r="278">
          <cell r="A278" t="str">
            <v>CB5315191-012L003</v>
          </cell>
          <cell r="B278" t="str">
            <v>进气下侧壁</v>
          </cell>
        </row>
        <row r="279">
          <cell r="A279" t="str">
            <v>CB5315191-014L003</v>
          </cell>
          <cell r="B279" t="str">
            <v>排气下侧壁</v>
          </cell>
        </row>
        <row r="280">
          <cell r="A280" t="str">
            <v>CB5315191-014L004</v>
          </cell>
          <cell r="B280" t="str">
            <v>排气下侧壁</v>
          </cell>
        </row>
        <row r="281">
          <cell r="A281" t="str">
            <v>CB5315191-014R003</v>
          </cell>
          <cell r="B281" t="str">
            <v>排气下侧壁</v>
          </cell>
        </row>
        <row r="282">
          <cell r="A282" t="str">
            <v>CB5315191-014R004</v>
          </cell>
          <cell r="B282" t="str">
            <v>排气下侧壁</v>
          </cell>
        </row>
        <row r="283">
          <cell r="A283" t="str">
            <v>CB5315193-005-003</v>
          </cell>
          <cell r="B283" t="str">
            <v>口盖</v>
          </cell>
        </row>
        <row r="284">
          <cell r="A284" t="str">
            <v>CB5322400-016-061</v>
          </cell>
          <cell r="B284" t="str">
            <v>11140框左下半框</v>
          </cell>
        </row>
        <row r="285">
          <cell r="A285" t="str">
            <v>CB5322400-017-061</v>
          </cell>
          <cell r="B285" t="str">
            <v>11140框右下半框</v>
          </cell>
        </row>
        <row r="286">
          <cell r="A286" t="str">
            <v>CB5323210-002-028</v>
          </cell>
          <cell r="B286" t="str">
            <v>10540中框</v>
          </cell>
        </row>
        <row r="287">
          <cell r="A287" t="str">
            <v>CB5323210-005L033</v>
          </cell>
          <cell r="B287" t="str">
            <v>9350-11140左侧上梁</v>
          </cell>
        </row>
        <row r="288">
          <cell r="A288" t="str">
            <v>CB5323320-007L001</v>
          </cell>
          <cell r="B288" t="str">
            <v>角盒</v>
          </cell>
        </row>
        <row r="289">
          <cell r="A289" t="str">
            <v>CB5323320-007R001</v>
          </cell>
          <cell r="B289" t="str">
            <v>角盒</v>
          </cell>
        </row>
        <row r="290">
          <cell r="A290" t="str">
            <v>CB5323400-008L001</v>
          </cell>
          <cell r="B290" t="str">
            <v>外侧轴承盖</v>
          </cell>
        </row>
        <row r="291">
          <cell r="A291" t="str">
            <v>CB5323400-008R001</v>
          </cell>
          <cell r="B291" t="str">
            <v>外侧轴承盖</v>
          </cell>
        </row>
        <row r="292">
          <cell r="A292" t="str">
            <v>CB5324310-003-099</v>
          </cell>
          <cell r="B292" t="str">
            <v>角盒</v>
          </cell>
        </row>
        <row r="293">
          <cell r="A293" t="str">
            <v>CB5324310-011L006</v>
          </cell>
          <cell r="B293" t="str">
            <v>型材</v>
          </cell>
        </row>
        <row r="294">
          <cell r="A294" t="str">
            <v>CB5324310-011R006</v>
          </cell>
          <cell r="B294" t="str">
            <v>型材</v>
          </cell>
        </row>
        <row r="295">
          <cell r="A295" t="str">
            <v>CB5324310-016-006</v>
          </cell>
          <cell r="B295" t="str">
            <v>带板</v>
          </cell>
        </row>
        <row r="296">
          <cell r="A296" t="str">
            <v>CB5324320-007L009</v>
          </cell>
          <cell r="B296" t="str">
            <v>横梁</v>
          </cell>
        </row>
        <row r="297">
          <cell r="A297" t="str">
            <v>CB5324320-007R009</v>
          </cell>
          <cell r="B297" t="str">
            <v>横梁</v>
          </cell>
        </row>
        <row r="298">
          <cell r="A298" t="str">
            <v>CB5324321-010-006</v>
          </cell>
          <cell r="B298" t="str">
            <v>加强件</v>
          </cell>
        </row>
        <row r="299">
          <cell r="A299" t="str">
            <v>CB5324413-004-002</v>
          </cell>
          <cell r="B299" t="str">
            <v>油箱底板（中）</v>
          </cell>
        </row>
        <row r="300">
          <cell r="A300" t="str">
            <v>CB5324420-001L003</v>
          </cell>
          <cell r="B300" t="str">
            <v>侧下梁</v>
          </cell>
        </row>
        <row r="301">
          <cell r="A301" t="str">
            <v>CB5324420-001R003</v>
          </cell>
          <cell r="B301" t="str">
            <v>侧下梁</v>
          </cell>
        </row>
        <row r="302">
          <cell r="A302" t="str">
            <v>CB5324500-003R002</v>
          </cell>
          <cell r="B302" t="str">
            <v>前端框</v>
          </cell>
        </row>
        <row r="303">
          <cell r="A303" t="str">
            <v>CB5324500-004L004</v>
          </cell>
          <cell r="B303" t="str">
            <v>后端框</v>
          </cell>
        </row>
        <row r="304">
          <cell r="A304" t="str">
            <v>CB5324500-004R004</v>
          </cell>
          <cell r="B304" t="str">
            <v>后端框</v>
          </cell>
        </row>
        <row r="305">
          <cell r="A305" t="str">
            <v>CB5325125-403L001</v>
          </cell>
          <cell r="B305" t="str">
            <v>支座</v>
          </cell>
        </row>
        <row r="306">
          <cell r="A306" t="str">
            <v>CB5325153-303-008</v>
          </cell>
          <cell r="B306" t="str">
            <v>摇臂座</v>
          </cell>
        </row>
        <row r="307">
          <cell r="A307" t="str">
            <v>CB5325210-001-004</v>
          </cell>
          <cell r="B307" t="str">
            <v>辅助动力舱口盖前段</v>
          </cell>
        </row>
        <row r="308">
          <cell r="A308" t="str">
            <v>CB5326200-125L002</v>
          </cell>
          <cell r="B308" t="str">
            <v>9200 3号加强筋</v>
          </cell>
        </row>
        <row r="309">
          <cell r="A309" t="str">
            <v>CB5326200-125R002</v>
          </cell>
          <cell r="B309" t="str">
            <v>9200 3号加强筋</v>
          </cell>
        </row>
        <row r="310">
          <cell r="A310" t="str">
            <v>CB5326200-131L002</v>
          </cell>
          <cell r="B310" t="str">
            <v>8455 4号加强筋</v>
          </cell>
        </row>
        <row r="311">
          <cell r="A311" t="str">
            <v>CB5326200-131R002</v>
          </cell>
          <cell r="B311" t="str">
            <v>8455 4号加强筋</v>
          </cell>
        </row>
        <row r="312">
          <cell r="A312" t="str">
            <v>CB5326200-133L002</v>
          </cell>
          <cell r="B312" t="str">
            <v>8815 4号加强筋</v>
          </cell>
        </row>
        <row r="313">
          <cell r="A313" t="str">
            <v>CB5326200-133R002</v>
          </cell>
          <cell r="B313" t="str">
            <v>8815 4号加强筋</v>
          </cell>
        </row>
        <row r="314">
          <cell r="A314" t="str">
            <v>CB5326200-134L002</v>
          </cell>
          <cell r="B314" t="str">
            <v>9010 4号加强筋</v>
          </cell>
        </row>
        <row r="315">
          <cell r="A315" t="str">
            <v>CB5326200-134R002</v>
          </cell>
          <cell r="B315" t="str">
            <v>9010 4号加强筋</v>
          </cell>
        </row>
        <row r="316">
          <cell r="A316" t="str">
            <v>CB5327110-002L002</v>
          </cell>
          <cell r="B316" t="str">
            <v>8270左隔框</v>
          </cell>
        </row>
        <row r="317">
          <cell r="A317" t="str">
            <v>CB5327110-002L004</v>
          </cell>
          <cell r="B317" t="str">
            <v>8270左隔框</v>
          </cell>
        </row>
        <row r="318">
          <cell r="A318" t="str">
            <v>CB5327110-002R002</v>
          </cell>
          <cell r="B318" t="str">
            <v>8270右隔框</v>
          </cell>
        </row>
        <row r="319">
          <cell r="A319" t="str">
            <v>CB5327110-002R004</v>
          </cell>
          <cell r="B319" t="str">
            <v>8270右隔框</v>
          </cell>
        </row>
        <row r="320">
          <cell r="A320" t="str">
            <v>CB5327110-003L002</v>
          </cell>
          <cell r="B320" t="str">
            <v>8635左隔框</v>
          </cell>
        </row>
        <row r="321">
          <cell r="A321" t="str">
            <v>CB5327110-003R002</v>
          </cell>
          <cell r="B321" t="str">
            <v>8635右隔框</v>
          </cell>
        </row>
        <row r="322">
          <cell r="A322" t="str">
            <v>CB5327120-010L015</v>
          </cell>
          <cell r="B322" t="str">
            <v>9555侧隔框</v>
          </cell>
        </row>
        <row r="323">
          <cell r="A323" t="str">
            <v>CB5327120-010R015</v>
          </cell>
          <cell r="B323" t="str">
            <v>9555侧隔框</v>
          </cell>
        </row>
        <row r="324">
          <cell r="A324" t="str">
            <v>CB5327120-013L015</v>
          </cell>
          <cell r="B324" t="str">
            <v>10150侧隔框</v>
          </cell>
        </row>
        <row r="325">
          <cell r="A325" t="str">
            <v>CB5327120-013R015</v>
          </cell>
          <cell r="B325" t="str">
            <v>10150侧隔框</v>
          </cell>
        </row>
        <row r="326">
          <cell r="A326" t="str">
            <v>CB5327220-002L001</v>
          </cell>
          <cell r="B326" t="str">
            <v>型材</v>
          </cell>
        </row>
        <row r="327">
          <cell r="A327" t="str">
            <v>CB5327310-014L001</v>
          </cell>
          <cell r="B327" t="str">
            <v>大舱门前缘冒型材</v>
          </cell>
        </row>
        <row r="328">
          <cell r="A328" t="str">
            <v>CB5327310-014R001</v>
          </cell>
          <cell r="B328" t="str">
            <v>大舱门前缘冒型材</v>
          </cell>
        </row>
        <row r="329">
          <cell r="A329" t="str">
            <v>CB5327500-003-001</v>
          </cell>
          <cell r="B329" t="str">
            <v>螺栓</v>
          </cell>
        </row>
        <row r="330">
          <cell r="A330" t="str">
            <v>CB5350500-010L006</v>
          </cell>
          <cell r="B330" t="str">
            <v>1号护板维型肋左件</v>
          </cell>
        </row>
        <row r="331">
          <cell r="A331" t="str">
            <v>CB5350500-010R006</v>
          </cell>
          <cell r="B331" t="str">
            <v>1号护板维型肋右件</v>
          </cell>
        </row>
        <row r="332">
          <cell r="A332" t="str">
            <v>CB5350500-016L006</v>
          </cell>
          <cell r="B332" t="str">
            <v>7号护板维型肋左件</v>
          </cell>
        </row>
        <row r="333">
          <cell r="A333" t="str">
            <v>CB5350500-016R006</v>
          </cell>
          <cell r="B333" t="str">
            <v>7号护板维型肋右件</v>
          </cell>
        </row>
        <row r="334">
          <cell r="A334" t="str">
            <v>CB5512300-004R002</v>
          </cell>
          <cell r="B334" t="str">
            <v>根肋前段</v>
          </cell>
        </row>
        <row r="335">
          <cell r="A335" t="str">
            <v>CB5512300-006L003</v>
          </cell>
          <cell r="B335" t="str">
            <v>1#斜肋</v>
          </cell>
        </row>
        <row r="336">
          <cell r="A336" t="str">
            <v>CB5512300-006R003</v>
          </cell>
          <cell r="B336" t="str">
            <v>1#斜肋</v>
          </cell>
        </row>
        <row r="337">
          <cell r="A337" t="str">
            <v>CB5512300-014L001</v>
          </cell>
          <cell r="B337" t="str">
            <v>角盒</v>
          </cell>
        </row>
        <row r="338">
          <cell r="A338" t="str">
            <v>CB5512300-014R001</v>
          </cell>
          <cell r="B338" t="str">
            <v>角盒</v>
          </cell>
        </row>
        <row r="339">
          <cell r="A339" t="str">
            <v>CB5512300-015L001</v>
          </cell>
          <cell r="B339" t="str">
            <v>角盒</v>
          </cell>
        </row>
        <row r="340">
          <cell r="A340" t="str">
            <v>CB5512300-015R001</v>
          </cell>
          <cell r="B340" t="str">
            <v>角盒</v>
          </cell>
        </row>
        <row r="341">
          <cell r="A341" t="str">
            <v>CB5713600-001L006</v>
          </cell>
          <cell r="B341" t="str">
            <v>前梁一段</v>
          </cell>
        </row>
        <row r="342">
          <cell r="A342" t="str">
            <v>CB5713600-001R004</v>
          </cell>
          <cell r="B342" t="str">
            <v>前梁一段</v>
          </cell>
        </row>
        <row r="343">
          <cell r="A343" t="str">
            <v>CB5714100-001L004</v>
          </cell>
          <cell r="B343" t="str">
            <v>根肋一段</v>
          </cell>
        </row>
        <row r="344">
          <cell r="A344" t="str">
            <v>CB5714100-001R004</v>
          </cell>
          <cell r="B344" t="str">
            <v>根肋一段</v>
          </cell>
        </row>
        <row r="345">
          <cell r="A345" t="str">
            <v>CB5714100-002R003</v>
          </cell>
          <cell r="B345" t="str">
            <v>根肋二段</v>
          </cell>
        </row>
        <row r="346">
          <cell r="A346" t="str">
            <v>CB5714100-003L003</v>
          </cell>
          <cell r="B346" t="str">
            <v>根肋三段</v>
          </cell>
        </row>
        <row r="347">
          <cell r="A347" t="str">
            <v>CB5714100-003R003</v>
          </cell>
          <cell r="B347" t="str">
            <v>根肋三段</v>
          </cell>
        </row>
        <row r="348">
          <cell r="A348" t="str">
            <v>CB5715000-001L002</v>
          </cell>
          <cell r="B348" t="str">
            <v>固定前缘边肋</v>
          </cell>
        </row>
        <row r="349">
          <cell r="A349" t="str">
            <v>CB5715000-001R002</v>
          </cell>
          <cell r="B349" t="str">
            <v>固定前缘边肋</v>
          </cell>
        </row>
        <row r="350">
          <cell r="A350" t="str">
            <v>CB5742000-202L001</v>
          </cell>
          <cell r="B350" t="str">
            <v>前梁二段</v>
          </cell>
        </row>
        <row r="351">
          <cell r="A351" t="str">
            <v>CB5742000-202R001</v>
          </cell>
          <cell r="B351" t="str">
            <v>前梁二段</v>
          </cell>
        </row>
        <row r="352">
          <cell r="A352" t="str">
            <v>CB5752000-022L003</v>
          </cell>
          <cell r="B352" t="str">
            <v>角片</v>
          </cell>
        </row>
        <row r="353">
          <cell r="A353" t="str">
            <v>CB5811100-003-001</v>
          </cell>
          <cell r="B353" t="str">
            <v>螺栓</v>
          </cell>
        </row>
        <row r="354">
          <cell r="A354" t="str">
            <v>CB5811100-004-001</v>
          </cell>
          <cell r="B354" t="str">
            <v>连接轴</v>
          </cell>
        </row>
        <row r="355">
          <cell r="A355" t="str">
            <v>CB5811100-005-001</v>
          </cell>
          <cell r="B355" t="str">
            <v>螺栓</v>
          </cell>
        </row>
        <row r="356">
          <cell r="A356" t="str">
            <v>CB5811100-006-001</v>
          </cell>
          <cell r="B356" t="str">
            <v>垫圈</v>
          </cell>
        </row>
        <row r="357">
          <cell r="A357" t="str">
            <v>CB5811100-010-001</v>
          </cell>
          <cell r="B357" t="str">
            <v>螺栓</v>
          </cell>
        </row>
        <row r="358">
          <cell r="A358" t="str">
            <v>CB5811100-013-001</v>
          </cell>
          <cell r="B358" t="str">
            <v>垫圈</v>
          </cell>
        </row>
        <row r="359">
          <cell r="A359" t="str">
            <v>CB5811100-014-001</v>
          </cell>
          <cell r="B359" t="str">
            <v>螺栓</v>
          </cell>
        </row>
        <row r="360">
          <cell r="A360" t="str">
            <v>CB5811200-003-001</v>
          </cell>
          <cell r="B360" t="str">
            <v>长安装螺栓</v>
          </cell>
        </row>
        <row r="361">
          <cell r="A361" t="str">
            <v>CB5811300-001-001</v>
          </cell>
          <cell r="B361" t="str">
            <v>螺栓</v>
          </cell>
        </row>
        <row r="362">
          <cell r="A362" t="str">
            <v>CB5811300-003-001</v>
          </cell>
          <cell r="B362" t="str">
            <v>转轴</v>
          </cell>
        </row>
        <row r="363">
          <cell r="A363" t="str">
            <v>CB5812000-028-001</v>
          </cell>
          <cell r="B363" t="str">
            <v>螺栓</v>
          </cell>
        </row>
        <row r="364">
          <cell r="A364" t="str">
            <v>CB5814000-002-001</v>
          </cell>
          <cell r="B364" t="str">
            <v>前支架</v>
          </cell>
        </row>
        <row r="365">
          <cell r="A365" t="str">
            <v>CB5814000-003-001</v>
          </cell>
          <cell r="B365" t="str">
            <v>后支架</v>
          </cell>
        </row>
        <row r="366">
          <cell r="A366" t="str">
            <v>CB5814000-005-001</v>
          </cell>
          <cell r="B366" t="str">
            <v>垫圈</v>
          </cell>
        </row>
        <row r="367">
          <cell r="A367" t="str">
            <v>CB5822016-024L001</v>
          </cell>
          <cell r="B367" t="str">
            <v>角片</v>
          </cell>
        </row>
        <row r="368">
          <cell r="A368" t="str">
            <v>CB5822016-024R001</v>
          </cell>
          <cell r="B368" t="str">
            <v>角片</v>
          </cell>
        </row>
        <row r="369">
          <cell r="A369" t="str">
            <v>CB5822016-029L001</v>
          </cell>
          <cell r="B369" t="str">
            <v>角片</v>
          </cell>
        </row>
        <row r="370">
          <cell r="A370" t="str">
            <v>CB5822016-029R001</v>
          </cell>
          <cell r="B370" t="str">
            <v>角片</v>
          </cell>
        </row>
        <row r="371">
          <cell r="A371" t="str">
            <v>CB5822016-034L001</v>
          </cell>
          <cell r="B371" t="str">
            <v>角片</v>
          </cell>
        </row>
        <row r="372">
          <cell r="A372" t="str">
            <v>CB5822016-034R001</v>
          </cell>
          <cell r="B372" t="str">
            <v>角片</v>
          </cell>
        </row>
        <row r="373">
          <cell r="A373" t="str">
            <v>DD-FC1-41123-1111</v>
          </cell>
          <cell r="B373" t="str">
            <v>销子</v>
          </cell>
        </row>
        <row r="374">
          <cell r="A374" t="str">
            <v>DD-FC1-41123-1112</v>
          </cell>
          <cell r="B374" t="str">
            <v>拨棍</v>
          </cell>
        </row>
        <row r="375">
          <cell r="A375" t="str">
            <v>DD-FC1-41153-21</v>
          </cell>
          <cell r="B375" t="str">
            <v>单耳接头</v>
          </cell>
        </row>
        <row r="376">
          <cell r="A376" t="str">
            <v>DD-FC1-86011-3210-1</v>
          </cell>
          <cell r="B376" t="str">
            <v>左转接管</v>
          </cell>
        </row>
        <row r="377">
          <cell r="A377" t="str">
            <v>DD-FC1-94076-7</v>
          </cell>
          <cell r="B377" t="str">
            <v>垫片</v>
          </cell>
        </row>
        <row r="378">
          <cell r="A378" t="str">
            <v>DD-J10-04401-103</v>
          </cell>
          <cell r="B378" t="str">
            <v>接头</v>
          </cell>
        </row>
        <row r="379">
          <cell r="A379" t="str">
            <v>DD-J10-04401-104</v>
          </cell>
          <cell r="B379" t="str">
            <v>接头</v>
          </cell>
        </row>
        <row r="380">
          <cell r="A380" t="str">
            <v>DD-J10-05076-20-1-Z</v>
          </cell>
          <cell r="B380" t="str">
            <v>梁</v>
          </cell>
        </row>
        <row r="381">
          <cell r="A381" t="str">
            <v>DD-J10-05086-20-1-Y</v>
          </cell>
          <cell r="B381" t="str">
            <v>梁</v>
          </cell>
        </row>
        <row r="382">
          <cell r="A382" t="str">
            <v>DD-J10-05086-20-1-Z</v>
          </cell>
          <cell r="B382" t="str">
            <v>梁</v>
          </cell>
        </row>
        <row r="383">
          <cell r="A383" t="str">
            <v>DD-J10-06031-302</v>
          </cell>
          <cell r="B383" t="str">
            <v>支座</v>
          </cell>
        </row>
        <row r="384">
          <cell r="A384" t="str">
            <v>DD-J10-06031-404</v>
          </cell>
          <cell r="B384" t="str">
            <v>支座</v>
          </cell>
        </row>
        <row r="385">
          <cell r="A385" t="str">
            <v>DD-J10-06041-81</v>
          </cell>
          <cell r="B385" t="str">
            <v>弯管接头</v>
          </cell>
        </row>
        <row r="386">
          <cell r="A386" t="str">
            <v>DD-J10-06061-6</v>
          </cell>
          <cell r="B386" t="str">
            <v>支座</v>
          </cell>
        </row>
        <row r="387">
          <cell r="A387" t="str">
            <v>DD-J10-21102-250-1-Y</v>
          </cell>
          <cell r="B387" t="str">
            <v>11900梁一段（右件）</v>
          </cell>
        </row>
        <row r="388">
          <cell r="A388" t="str">
            <v>DD-J10-21102-250-1-Z</v>
          </cell>
          <cell r="B388" t="str">
            <v>11900梁一段（左件）</v>
          </cell>
        </row>
        <row r="389">
          <cell r="A389" t="str">
            <v>DD-J10-21102-250-2-Y</v>
          </cell>
          <cell r="B389" t="str">
            <v>11900梁二段</v>
          </cell>
        </row>
        <row r="390">
          <cell r="A390" t="str">
            <v>DD-J10-21102-271</v>
          </cell>
          <cell r="B390" t="str">
            <v>3#上垫片</v>
          </cell>
        </row>
        <row r="391">
          <cell r="A391" t="str">
            <v>DD-J10-21102-273</v>
          </cell>
          <cell r="B391" t="str">
            <v>4#上垫片</v>
          </cell>
        </row>
        <row r="392">
          <cell r="A392" t="str">
            <v>DD-J10-21102-274</v>
          </cell>
          <cell r="B392" t="str">
            <v>4#下垫片</v>
          </cell>
        </row>
        <row r="393">
          <cell r="A393" t="str">
            <v>DD-J10-21102-2-Y</v>
          </cell>
          <cell r="B393" t="str">
            <v>1号下壁板</v>
          </cell>
        </row>
        <row r="394">
          <cell r="A394" t="str">
            <v>DD-J10-21102-390-1-Z</v>
          </cell>
          <cell r="B394" t="str">
            <v>1150肋九段</v>
          </cell>
        </row>
        <row r="395">
          <cell r="A395" t="str">
            <v>DD-J10-21102-410-1-Y</v>
          </cell>
          <cell r="B395" t="str">
            <v>1150肋根肋</v>
          </cell>
        </row>
        <row r="396">
          <cell r="A396" t="str">
            <v>DD-J10-21102-410-1-Z</v>
          </cell>
          <cell r="B396" t="str">
            <v>1150肋根肋</v>
          </cell>
        </row>
        <row r="397">
          <cell r="A397" t="str">
            <v>DD-J10-21102-60/-1/3-Y</v>
          </cell>
          <cell r="B397" t="str">
            <v>11968下口盖</v>
          </cell>
        </row>
        <row r="398">
          <cell r="A398" t="str">
            <v>DD-J10-25002-1-Y</v>
          </cell>
          <cell r="B398" t="str">
            <v>第3肋</v>
          </cell>
        </row>
        <row r="399">
          <cell r="A399" t="str">
            <v>DD-J10-33003-4</v>
          </cell>
          <cell r="B399" t="str">
            <v>梁</v>
          </cell>
        </row>
        <row r="400">
          <cell r="A400" t="str">
            <v>DD-J10-34003-2</v>
          </cell>
          <cell r="B400" t="str">
            <v>后梁</v>
          </cell>
        </row>
        <row r="401">
          <cell r="A401" t="str">
            <v>DD-J10-34103-4</v>
          </cell>
          <cell r="B401" t="str">
            <v>上边肋</v>
          </cell>
        </row>
        <row r="402">
          <cell r="A402" t="str">
            <v>DD-J10-41035-120-1</v>
          </cell>
          <cell r="B402" t="str">
            <v>管子</v>
          </cell>
        </row>
        <row r="403">
          <cell r="A403" t="str">
            <v>DD-J10-41123-1101</v>
          </cell>
          <cell r="B403" t="str">
            <v>壳体</v>
          </cell>
        </row>
        <row r="404">
          <cell r="A404" t="str">
            <v>DD-J10-41123-1102</v>
          </cell>
          <cell r="B404" t="str">
            <v>堵塞</v>
          </cell>
        </row>
        <row r="405">
          <cell r="A405" t="str">
            <v>DD-J10-41123-1103</v>
          </cell>
          <cell r="B405" t="str">
            <v>螺帽</v>
          </cell>
        </row>
        <row r="406">
          <cell r="A406" t="str">
            <v>DD-J10-41123-1111</v>
          </cell>
          <cell r="B406" t="str">
            <v>销子</v>
          </cell>
        </row>
        <row r="407">
          <cell r="A407" t="str">
            <v>DD-J10-41123-1112</v>
          </cell>
          <cell r="B407" t="str">
            <v>拨棍</v>
          </cell>
        </row>
        <row r="408">
          <cell r="A408" t="str">
            <v>DD-J10-41143-110-2</v>
          </cell>
          <cell r="B408" t="str">
            <v>螺帽</v>
          </cell>
        </row>
        <row r="409">
          <cell r="A409" t="str">
            <v>DD-J10-41153-105</v>
          </cell>
          <cell r="B409" t="str">
            <v>联锁摇臂</v>
          </cell>
        </row>
        <row r="410">
          <cell r="A410" t="str">
            <v>DD-J10-41153-120-2</v>
          </cell>
          <cell r="B410" t="str">
            <v>挡销</v>
          </cell>
        </row>
        <row r="411">
          <cell r="A411" t="str">
            <v>DD-J10-41153-140-1</v>
          </cell>
          <cell r="B411" t="str">
            <v>开锁摇臂</v>
          </cell>
        </row>
        <row r="412">
          <cell r="A412" t="str">
            <v>DD-J10-41153-140-2</v>
          </cell>
          <cell r="B412" t="str">
            <v>指针</v>
          </cell>
        </row>
        <row r="413">
          <cell r="A413" t="str">
            <v>DD-J10-41153-210-1</v>
          </cell>
          <cell r="B413" t="str">
            <v>管子</v>
          </cell>
        </row>
        <row r="414">
          <cell r="A414" t="str">
            <v>DD-J10-41173-147</v>
          </cell>
          <cell r="B414" t="str">
            <v>拨叉</v>
          </cell>
        </row>
        <row r="415">
          <cell r="A415" t="str">
            <v>DD-J10-42074-150-1</v>
          </cell>
          <cell r="B415" t="str">
            <v>管子</v>
          </cell>
        </row>
        <row r="416">
          <cell r="A416" t="str">
            <v>DD-J10-42074-160-1</v>
          </cell>
          <cell r="B416" t="str">
            <v>拉杆</v>
          </cell>
        </row>
        <row r="417">
          <cell r="A417" t="str">
            <v>DD-J10-42074-90-1-Z</v>
          </cell>
          <cell r="B417" t="str">
            <v>支座</v>
          </cell>
        </row>
        <row r="418">
          <cell r="A418" t="str">
            <v>DD-J10-54101-201</v>
          </cell>
          <cell r="B418" t="str">
            <v>支座</v>
          </cell>
        </row>
        <row r="419">
          <cell r="A419" t="str">
            <v>DD-J10-54101-2801</v>
          </cell>
          <cell r="B419" t="str">
            <v>手柄</v>
          </cell>
        </row>
        <row r="420">
          <cell r="A420" t="str">
            <v>DD-J10-54101-2802</v>
          </cell>
          <cell r="B420" t="str">
            <v>套筒</v>
          </cell>
        </row>
        <row r="421">
          <cell r="A421" t="str">
            <v>DD-J10-54101-2803</v>
          </cell>
          <cell r="B421" t="str">
            <v>止动器</v>
          </cell>
        </row>
        <row r="422">
          <cell r="A422" t="str">
            <v>DD-J10-54101-2821</v>
          </cell>
          <cell r="B422" t="str">
            <v>插销</v>
          </cell>
        </row>
        <row r="423">
          <cell r="A423" t="str">
            <v>DD-J10-54111-1200-1</v>
          </cell>
          <cell r="B423" t="str">
            <v>衬套</v>
          </cell>
        </row>
        <row r="424">
          <cell r="A424" t="str">
            <v>DD-J10-54231-2-Y</v>
          </cell>
          <cell r="B424" t="str">
            <v>鸭翼伺服作动器安装支座</v>
          </cell>
        </row>
        <row r="425">
          <cell r="A425" t="str">
            <v>DD-J10-54231-2-Z</v>
          </cell>
          <cell r="B425" t="str">
            <v>鸭翼伺服作动器安装支座</v>
          </cell>
        </row>
        <row r="426">
          <cell r="A426" t="str">
            <v>DD-J10-55014-1400-2</v>
          </cell>
          <cell r="B426" t="str">
            <v>堵片</v>
          </cell>
        </row>
        <row r="427">
          <cell r="A427" t="str">
            <v>DD-J10-55014-2131</v>
          </cell>
          <cell r="B427" t="str">
            <v>接管嘴</v>
          </cell>
        </row>
        <row r="428">
          <cell r="A428" t="str">
            <v>DD-J10-55014-2160-1</v>
          </cell>
          <cell r="B428" t="str">
            <v>耳环螺栓</v>
          </cell>
        </row>
        <row r="429">
          <cell r="A429" t="str">
            <v>DD-J10-55014-3101</v>
          </cell>
          <cell r="B429" t="str">
            <v>接管嘴</v>
          </cell>
        </row>
        <row r="430">
          <cell r="A430" t="str">
            <v>DD-J10-55014-3200-1</v>
          </cell>
          <cell r="B430" t="str">
            <v>耳环螺栓</v>
          </cell>
        </row>
        <row r="431">
          <cell r="A431" t="str">
            <v>DD-J10-55015-5300-1</v>
          </cell>
          <cell r="B431" t="str">
            <v>耳环螺栓</v>
          </cell>
        </row>
        <row r="432">
          <cell r="A432" t="str">
            <v>DD-J10-55015-5503-Y</v>
          </cell>
          <cell r="B432" t="str">
            <v>接管嘴</v>
          </cell>
        </row>
        <row r="433">
          <cell r="A433" t="str">
            <v>DD-J10-55015-6100-1</v>
          </cell>
          <cell r="B433" t="str">
            <v>耳环螺栓</v>
          </cell>
        </row>
        <row r="434">
          <cell r="A434" t="str">
            <v>DD-J10-55023-632</v>
          </cell>
          <cell r="B434" t="str">
            <v>小衬套</v>
          </cell>
        </row>
        <row r="435">
          <cell r="A435" t="str">
            <v>DD-J10-55051-1311</v>
          </cell>
          <cell r="B435" t="str">
            <v>连接件</v>
          </cell>
        </row>
        <row r="436">
          <cell r="A436" t="str">
            <v>DD-J10-55051-6101</v>
          </cell>
          <cell r="B436" t="str">
            <v>接管嘴</v>
          </cell>
        </row>
        <row r="437">
          <cell r="A437" t="str">
            <v>DD-J10-55055-2611</v>
          </cell>
          <cell r="B437" t="str">
            <v>接管嘴</v>
          </cell>
        </row>
        <row r="438">
          <cell r="A438" t="str">
            <v>DD-J10-55121-1</v>
          </cell>
          <cell r="B438" t="str">
            <v>三通管接头</v>
          </cell>
        </row>
        <row r="439">
          <cell r="A439" t="str">
            <v>DD-J10-55121-2</v>
          </cell>
          <cell r="B439" t="str">
            <v>三通管接头</v>
          </cell>
        </row>
        <row r="440">
          <cell r="A440" t="str">
            <v>DD-J10-55155-1</v>
          </cell>
          <cell r="B440" t="str">
            <v>四通管接头</v>
          </cell>
        </row>
        <row r="441">
          <cell r="A441" t="str">
            <v>DD-J10-55155-710-3</v>
          </cell>
          <cell r="B441" t="str">
            <v>衬套</v>
          </cell>
        </row>
        <row r="442">
          <cell r="A442" t="str">
            <v>DD-J10-55165-331</v>
          </cell>
          <cell r="B442" t="str">
            <v>三通管接头</v>
          </cell>
        </row>
        <row r="443">
          <cell r="A443" t="str">
            <v>DD-J10-55165-703</v>
          </cell>
          <cell r="B443" t="str">
            <v>摇臂</v>
          </cell>
        </row>
        <row r="444">
          <cell r="A444" t="str">
            <v>DD-J10-55165-710-3</v>
          </cell>
          <cell r="B444" t="str">
            <v>衬套</v>
          </cell>
        </row>
        <row r="445">
          <cell r="A445" t="str">
            <v>DD-J10-55181-13</v>
          </cell>
          <cell r="B445" t="str">
            <v>变径三通管接头</v>
          </cell>
        </row>
        <row r="446">
          <cell r="A446" t="str">
            <v>DD-J10-55181-16</v>
          </cell>
          <cell r="B446" t="str">
            <v>变径三通管接头</v>
          </cell>
        </row>
        <row r="447">
          <cell r="A447" t="str">
            <v>DD-J10-55181-2532</v>
          </cell>
          <cell r="B447" t="str">
            <v>螺帽</v>
          </cell>
        </row>
        <row r="448">
          <cell r="A448" t="str">
            <v>DD-J10-55181-2540-1</v>
          </cell>
          <cell r="B448" t="str">
            <v>螺栓</v>
          </cell>
        </row>
        <row r="449">
          <cell r="A449" t="str">
            <v>DD-J10-55181-2540-2</v>
          </cell>
          <cell r="B449" t="str">
            <v>小轴</v>
          </cell>
        </row>
        <row r="450">
          <cell r="A450" t="str">
            <v>DD-J10-55181-6</v>
          </cell>
          <cell r="B450" t="str">
            <v>变径三通管接头</v>
          </cell>
        </row>
        <row r="451">
          <cell r="A451" t="str">
            <v>DD-J10-55181-6431</v>
          </cell>
          <cell r="B451" t="str">
            <v>变径三通管接头</v>
          </cell>
        </row>
        <row r="452">
          <cell r="A452" t="str">
            <v>DD-J10-55181-66</v>
          </cell>
          <cell r="B452" t="str">
            <v>转接管接头</v>
          </cell>
        </row>
        <row r="453">
          <cell r="A453" t="str">
            <v>DD-J10-55181-6742</v>
          </cell>
          <cell r="B453" t="str">
            <v>收紧螺母</v>
          </cell>
        </row>
        <row r="454">
          <cell r="A454" t="str">
            <v>DD-J10-55196-311</v>
          </cell>
          <cell r="B454" t="str">
            <v>螺栓</v>
          </cell>
        </row>
        <row r="455">
          <cell r="A455" t="str">
            <v>DD-J10-61001-7001</v>
          </cell>
          <cell r="B455" t="str">
            <v>管接头</v>
          </cell>
        </row>
        <row r="456">
          <cell r="A456" t="str">
            <v>DD-J10-61001-722</v>
          </cell>
          <cell r="B456" t="str">
            <v>螺栓</v>
          </cell>
        </row>
        <row r="457">
          <cell r="A457" t="str">
            <v>DD-J10-61031-44</v>
          </cell>
          <cell r="B457" t="str">
            <v>压板</v>
          </cell>
        </row>
        <row r="458">
          <cell r="A458" t="str">
            <v>DD-J10-61031-801</v>
          </cell>
          <cell r="B458" t="str">
            <v>直管接头</v>
          </cell>
        </row>
        <row r="459">
          <cell r="A459" t="str">
            <v>DD-J10-61041-2</v>
          </cell>
          <cell r="B459" t="str">
            <v>管接头</v>
          </cell>
        </row>
        <row r="460">
          <cell r="A460" t="str">
            <v>DD-J10-61052-172</v>
          </cell>
          <cell r="B460" t="str">
            <v>接管嘴</v>
          </cell>
        </row>
        <row r="461">
          <cell r="A461" t="str">
            <v>DD-J10-61052-4</v>
          </cell>
          <cell r="B461" t="str">
            <v>接管嘴</v>
          </cell>
        </row>
        <row r="462">
          <cell r="A462" t="str">
            <v>DD-J10-61101-5001/16</v>
          </cell>
          <cell r="B462" t="str">
            <v>管接头</v>
          </cell>
        </row>
        <row r="463">
          <cell r="A463" t="str">
            <v>DD-J10-62021-11106</v>
          </cell>
          <cell r="B463" t="str">
            <v>壳体</v>
          </cell>
        </row>
        <row r="464">
          <cell r="A464" t="str">
            <v>DD-J10-62021-7</v>
          </cell>
          <cell r="B464" t="str">
            <v>管接头</v>
          </cell>
        </row>
        <row r="465">
          <cell r="A465" t="str">
            <v>DD-J10-64011-421</v>
          </cell>
          <cell r="B465" t="str">
            <v>套筒</v>
          </cell>
        </row>
        <row r="466">
          <cell r="A466" t="str">
            <v>DD-J10-64026-122</v>
          </cell>
          <cell r="B466" t="str">
            <v>球头</v>
          </cell>
        </row>
        <row r="467">
          <cell r="A467" t="str">
            <v>DD-J10-68095-1100-2</v>
          </cell>
          <cell r="B467" t="str">
            <v>衬套</v>
          </cell>
        </row>
        <row r="468">
          <cell r="A468" t="str">
            <v>DD-J10-68095-1300-3</v>
          </cell>
          <cell r="B468" t="str">
            <v>衬套</v>
          </cell>
        </row>
        <row r="469">
          <cell r="A469" t="str">
            <v>DD-J10-68095-1400-1</v>
          </cell>
          <cell r="B469" t="str">
            <v>套筒</v>
          </cell>
        </row>
        <row r="470">
          <cell r="A470" t="str">
            <v>DD-J10-71211-326</v>
          </cell>
          <cell r="B470" t="str">
            <v>盖片</v>
          </cell>
        </row>
        <row r="471">
          <cell r="A471" t="str">
            <v>DD-J10-77101-50/1-1</v>
          </cell>
          <cell r="B471" t="str">
            <v>管夹上部</v>
          </cell>
        </row>
        <row r="472">
          <cell r="A472" t="str">
            <v>DD-J10-78140-2110-1</v>
          </cell>
          <cell r="B472" t="str">
            <v>铰链</v>
          </cell>
        </row>
        <row r="473">
          <cell r="A473" t="str">
            <v>DD-J10-86011-3210-1</v>
          </cell>
          <cell r="B473" t="str">
            <v>左转接管</v>
          </cell>
        </row>
        <row r="474">
          <cell r="A474" t="str">
            <v>DD-J10-86021-5000-1</v>
          </cell>
          <cell r="B474" t="str">
            <v>斜垫块</v>
          </cell>
        </row>
        <row r="475">
          <cell r="A475" t="str">
            <v>DD-J10-86021-6000-2</v>
          </cell>
          <cell r="B475" t="str">
            <v>短管</v>
          </cell>
        </row>
        <row r="476">
          <cell r="A476" t="str">
            <v>DD-J10-86041-1</v>
          </cell>
          <cell r="B476" t="str">
            <v>齿纹垫圈</v>
          </cell>
        </row>
        <row r="477">
          <cell r="A477" t="str">
            <v>DD-J10-91001-1</v>
          </cell>
          <cell r="B477" t="str">
            <v>支座</v>
          </cell>
        </row>
        <row r="478">
          <cell r="A478" t="str">
            <v>DD-J10-94021-730-3</v>
          </cell>
          <cell r="B478" t="str">
            <v>环</v>
          </cell>
        </row>
        <row r="479">
          <cell r="A479" t="str">
            <v>DD-J10-94021-740-3</v>
          </cell>
          <cell r="B479" t="str">
            <v>环</v>
          </cell>
        </row>
        <row r="480">
          <cell r="A480" t="str">
            <v>DD-J10-96011-12</v>
          </cell>
          <cell r="B480" t="str">
            <v>管接头</v>
          </cell>
        </row>
        <row r="481">
          <cell r="A481" t="str">
            <v>DD-J10-96031-104</v>
          </cell>
          <cell r="B481" t="str">
            <v>接管嘴</v>
          </cell>
        </row>
        <row r="482">
          <cell r="A482" t="str">
            <v>DD-J10-96031-111</v>
          </cell>
          <cell r="B482" t="str">
            <v>螺母</v>
          </cell>
        </row>
        <row r="483">
          <cell r="A483" t="str">
            <v>DD-J10-96031-121</v>
          </cell>
          <cell r="B483" t="str">
            <v>销棒</v>
          </cell>
        </row>
        <row r="484">
          <cell r="A484" t="str">
            <v>DD-J10-96031-130-1</v>
          </cell>
          <cell r="B484" t="str">
            <v>管子</v>
          </cell>
        </row>
        <row r="485">
          <cell r="A485" t="str">
            <v>DD-J10B-02021-3/1-Y</v>
          </cell>
          <cell r="B485" t="str">
            <v>雷达罩锁支座</v>
          </cell>
        </row>
        <row r="486">
          <cell r="A486" t="str">
            <v>DD-J10B-02021-3/1-Z</v>
          </cell>
          <cell r="B486" t="str">
            <v>雷达罩锁支座</v>
          </cell>
        </row>
        <row r="487">
          <cell r="A487" t="str">
            <v>DD-J10B-02021-3/2-Y</v>
          </cell>
          <cell r="B487" t="str">
            <v>雷达罩锁支座</v>
          </cell>
        </row>
        <row r="488">
          <cell r="A488" t="str">
            <v>DD-J10B-02021-3/2-Y-TZ</v>
          </cell>
          <cell r="B488" t="str">
            <v>雷达罩锁支座特制</v>
          </cell>
        </row>
        <row r="489">
          <cell r="A489" t="str">
            <v>DD-J10B-02021-3/2-Z</v>
          </cell>
          <cell r="B489" t="str">
            <v>雷达罩锁支座</v>
          </cell>
        </row>
        <row r="490">
          <cell r="A490" t="str">
            <v>DD-J10B-02021-3/2-Z-TZ</v>
          </cell>
          <cell r="B490" t="str">
            <v>雷达罩锁支座特制</v>
          </cell>
        </row>
        <row r="491">
          <cell r="A491" t="str">
            <v>DD-J10B-02041-2-Y</v>
          </cell>
          <cell r="B491" t="str">
            <v>前上大梁（右）</v>
          </cell>
        </row>
        <row r="492">
          <cell r="A492" t="str">
            <v>DD-J10B-02041-2-Z</v>
          </cell>
          <cell r="B492" t="str">
            <v>前上大梁（左）</v>
          </cell>
        </row>
        <row r="493">
          <cell r="A493" t="str">
            <v>DD-J10B-02041-300-3</v>
          </cell>
          <cell r="B493" t="str">
            <v>右内侧角材</v>
          </cell>
        </row>
        <row r="494">
          <cell r="A494" t="str">
            <v>DD-J10B-02041-304</v>
          </cell>
          <cell r="B494" t="str">
            <v>右内侧角材</v>
          </cell>
        </row>
        <row r="495">
          <cell r="A495" t="str">
            <v>DD-J10B-02081-61-Y</v>
          </cell>
          <cell r="B495" t="str">
            <v>角材</v>
          </cell>
        </row>
        <row r="496">
          <cell r="A496" t="str">
            <v>DD-J10B-02081-61-Z</v>
          </cell>
          <cell r="B496" t="str">
            <v>角材</v>
          </cell>
        </row>
        <row r="497">
          <cell r="A497" t="str">
            <v>DD-J10B-02121-1AG2-Y</v>
          </cell>
          <cell r="B497" t="str">
            <v>BL280侧壁（右件）</v>
          </cell>
        </row>
        <row r="498">
          <cell r="A498" t="str">
            <v>DD-J10B-02121-1AG2-Z</v>
          </cell>
          <cell r="B498" t="str">
            <v>BL280侧壁（左件）</v>
          </cell>
        </row>
        <row r="499">
          <cell r="A499" t="str">
            <v>DD-J10B-02161-0G2-203G2</v>
          </cell>
          <cell r="B499" t="str">
            <v>密封垫</v>
          </cell>
        </row>
        <row r="500">
          <cell r="A500" t="str">
            <v>DD-J10B-02161-501</v>
          </cell>
          <cell r="B500" t="str">
            <v>5755横框</v>
          </cell>
        </row>
        <row r="501">
          <cell r="A501" t="str">
            <v>DD-J10B-04041-1</v>
          </cell>
          <cell r="B501" t="str">
            <v>10060框</v>
          </cell>
        </row>
        <row r="502">
          <cell r="A502" t="str">
            <v>DD-J10B-04051-1</v>
          </cell>
          <cell r="B502" t="str">
            <v>10460框</v>
          </cell>
        </row>
        <row r="503">
          <cell r="A503" t="str">
            <v>DD-J10B-04061-1</v>
          </cell>
          <cell r="B503" t="str">
            <v>10860框</v>
          </cell>
        </row>
        <row r="504">
          <cell r="A504" t="str">
            <v>DD-J10B-04321-1-Y</v>
          </cell>
          <cell r="B504" t="str">
            <v>斜横梁</v>
          </cell>
        </row>
        <row r="505">
          <cell r="A505" t="str">
            <v>DD-J10B-04321-30-1-Z</v>
          </cell>
          <cell r="B505" t="str">
            <v>侧下梁（左件）</v>
          </cell>
        </row>
        <row r="506">
          <cell r="A506" t="str">
            <v>DD-J10B-04501-10-1-Y</v>
          </cell>
          <cell r="B506" t="str">
            <v>BL900侧梁</v>
          </cell>
        </row>
        <row r="507">
          <cell r="A507" t="str">
            <v>DD-J10B-04501-10-1-Z</v>
          </cell>
          <cell r="B507" t="str">
            <v>BL900侧梁</v>
          </cell>
        </row>
        <row r="508">
          <cell r="A508" t="str">
            <v>DD-J10B-05236-111-Y</v>
          </cell>
          <cell r="B508" t="str">
            <v>前隔框</v>
          </cell>
        </row>
        <row r="509">
          <cell r="A509" t="str">
            <v>DD-J10B-05236-111-Z</v>
          </cell>
          <cell r="B509" t="str">
            <v>前隔框</v>
          </cell>
        </row>
        <row r="510">
          <cell r="A510" t="str">
            <v>DD-J10B-21302-40G2-1-Z</v>
          </cell>
          <cell r="B510" t="str">
            <v>后梁四段</v>
          </cell>
        </row>
        <row r="511">
          <cell r="A511" t="str">
            <v>DD-J10B-24002-60G2-1G2-Y</v>
          </cell>
          <cell r="B511" t="str">
            <v xml:space="preserve"> 前梁</v>
          </cell>
        </row>
        <row r="512">
          <cell r="A512" t="str">
            <v>DD-J10B-24002-60G2-1G2-Z</v>
          </cell>
          <cell r="B512" t="str">
            <v xml:space="preserve"> 前梁</v>
          </cell>
        </row>
        <row r="513">
          <cell r="A513" t="str">
            <v>DD-J10B-25002-30G2-1G2-Z</v>
          </cell>
          <cell r="B513" t="str">
            <v>梁（左件）</v>
          </cell>
        </row>
        <row r="514">
          <cell r="A514" t="str">
            <v>DD-J10B-26002-100G2-1G2-Z</v>
          </cell>
          <cell r="B514" t="str">
            <v>翼尖接头</v>
          </cell>
        </row>
        <row r="515">
          <cell r="A515" t="str">
            <v>DD-J10B-41045-8</v>
          </cell>
          <cell r="B515" t="str">
            <v>轴</v>
          </cell>
        </row>
        <row r="516">
          <cell r="A516" t="str">
            <v>DD-J10B-41123-20-1</v>
          </cell>
          <cell r="B516" t="str">
            <v>肋板</v>
          </cell>
        </row>
        <row r="517">
          <cell r="A517" t="str">
            <v>DD-J10B-42074-130-1</v>
          </cell>
          <cell r="B517" t="str">
            <v>拉杆</v>
          </cell>
        </row>
        <row r="518">
          <cell r="A518" t="str">
            <v>DD-J10B-42074-140-1</v>
          </cell>
          <cell r="B518" t="str">
            <v>拉杆</v>
          </cell>
        </row>
        <row r="519">
          <cell r="A519" t="str">
            <v>DD-J10B-54601-10-1</v>
          </cell>
          <cell r="B519" t="str">
            <v>过渡板</v>
          </cell>
        </row>
        <row r="520">
          <cell r="A520" t="str">
            <v>DD-J10B-55141-101</v>
          </cell>
          <cell r="B520" t="str">
            <v>90°弯管接头</v>
          </cell>
        </row>
        <row r="521">
          <cell r="A521" t="str">
            <v>DD-J10B-55141-111</v>
          </cell>
          <cell r="B521" t="str">
            <v>90°弯管接头</v>
          </cell>
        </row>
        <row r="522">
          <cell r="A522" t="str">
            <v>DD-J10B-55165-1480-1</v>
          </cell>
          <cell r="B522" t="str">
            <v>螺栓</v>
          </cell>
        </row>
        <row r="523">
          <cell r="A523" t="str">
            <v>DD-J10B-55171-151G2</v>
          </cell>
          <cell r="B523" t="str">
            <v>三通管接头</v>
          </cell>
        </row>
        <row r="524">
          <cell r="A524" t="str">
            <v>DD-J10B-61001-1</v>
          </cell>
          <cell r="B524" t="str">
            <v>接头</v>
          </cell>
        </row>
        <row r="525">
          <cell r="A525" t="str">
            <v>DD-J10B-61001-2</v>
          </cell>
          <cell r="B525" t="str">
            <v>接头</v>
          </cell>
        </row>
        <row r="526">
          <cell r="A526" t="str">
            <v>DD-J10B-61041-18</v>
          </cell>
          <cell r="B526" t="str">
            <v>管接头</v>
          </cell>
        </row>
        <row r="527">
          <cell r="A527" t="str">
            <v>DD-J10B-61201-301</v>
          </cell>
          <cell r="B527" t="str">
            <v>直通管接头</v>
          </cell>
        </row>
        <row r="528">
          <cell r="A528" t="str">
            <v>DD-J10B-63001-651</v>
          </cell>
          <cell r="B528" t="str">
            <v>法兰盘</v>
          </cell>
        </row>
        <row r="529">
          <cell r="A529" t="str">
            <v>DD-J10B-64016-501</v>
          </cell>
          <cell r="B529" t="str">
            <v>管接头</v>
          </cell>
        </row>
        <row r="530">
          <cell r="A530" t="str">
            <v>DD-J10B-65000-1710G2-1</v>
          </cell>
          <cell r="B530" t="str">
            <v>连杆</v>
          </cell>
        </row>
        <row r="531">
          <cell r="A531" t="str">
            <v>DD-J10B-65000-1720G2-1</v>
          </cell>
          <cell r="B531" t="str">
            <v>管子</v>
          </cell>
        </row>
        <row r="532">
          <cell r="A532" t="str">
            <v>DD-J10B-65000-1810G2-1</v>
          </cell>
          <cell r="B532" t="str">
            <v>支座</v>
          </cell>
        </row>
        <row r="533">
          <cell r="A533" t="str">
            <v>DD-J10B-65000-1820G2-1</v>
          </cell>
          <cell r="B533" t="str">
            <v>摇臂</v>
          </cell>
        </row>
        <row r="534">
          <cell r="A534" t="str">
            <v>DD-J10B-65000-1901G2</v>
          </cell>
          <cell r="B534" t="str">
            <v>固定板</v>
          </cell>
        </row>
        <row r="535">
          <cell r="A535" t="str">
            <v>DD-J10B-65000-2250-1GF</v>
          </cell>
          <cell r="B535" t="str">
            <v>管子</v>
          </cell>
        </row>
        <row r="536">
          <cell r="A536" t="str">
            <v>DD-J10B-67011-20010-2</v>
          </cell>
          <cell r="B536" t="str">
            <v>弓形件</v>
          </cell>
        </row>
        <row r="537">
          <cell r="A537" t="str">
            <v>DD-J10B-67011-6103</v>
          </cell>
          <cell r="B537" t="str">
            <v>角片</v>
          </cell>
        </row>
        <row r="538">
          <cell r="A538" t="str">
            <v>DD-J10B-68095-1710-3-Y</v>
          </cell>
          <cell r="B538" t="str">
            <v>钢管</v>
          </cell>
        </row>
        <row r="539">
          <cell r="A539" t="str">
            <v>DD-J10B-68095-1720-3</v>
          </cell>
          <cell r="B539" t="str">
            <v>钢管</v>
          </cell>
        </row>
        <row r="540">
          <cell r="A540" t="str">
            <v>DD-J10B-71031-110-1</v>
          </cell>
          <cell r="B540" t="str">
            <v>樑</v>
          </cell>
        </row>
        <row r="541">
          <cell r="A541" t="str">
            <v>DD-J10B-77101-963</v>
          </cell>
          <cell r="B541" t="str">
            <v>卡箍扣</v>
          </cell>
        </row>
        <row r="542">
          <cell r="A542" t="str">
            <v>DD-J10B-78001-460-1</v>
          </cell>
          <cell r="B542" t="str">
            <v>铰链</v>
          </cell>
        </row>
        <row r="543">
          <cell r="A543" t="str">
            <v>DD-J10B-86031-404</v>
          </cell>
          <cell r="B543" t="str">
            <v>导向件</v>
          </cell>
        </row>
        <row r="544">
          <cell r="A544" t="str">
            <v>DD-J10B-86031-510-3</v>
          </cell>
          <cell r="B544" t="str">
            <v>套管</v>
          </cell>
        </row>
        <row r="545">
          <cell r="A545" t="str">
            <v>DD-J10B-86031-510-4</v>
          </cell>
          <cell r="B545" t="str">
            <v>套管</v>
          </cell>
        </row>
        <row r="546">
          <cell r="A546" t="str">
            <v>DD-J10B-86051-2</v>
          </cell>
          <cell r="B546" t="str">
            <v>激励器转接件</v>
          </cell>
        </row>
        <row r="547">
          <cell r="A547" t="str">
            <v>DD-J10B-94011-701</v>
          </cell>
          <cell r="B547" t="str">
            <v>支臂</v>
          </cell>
        </row>
        <row r="548">
          <cell r="A548" t="str">
            <v>DD-J10B-94061-1061/1</v>
          </cell>
          <cell r="B548" t="str">
            <v>法兰盘</v>
          </cell>
        </row>
        <row r="549">
          <cell r="A549" t="str">
            <v>DD-J10B-94061-1061/2</v>
          </cell>
          <cell r="B549" t="str">
            <v>法兰盘</v>
          </cell>
        </row>
        <row r="550">
          <cell r="A550" t="str">
            <v>DD-J10B-94061-1061/3</v>
          </cell>
          <cell r="B550" t="str">
            <v>法兰盘</v>
          </cell>
        </row>
        <row r="551">
          <cell r="A551" t="str">
            <v>DD-J10B-94061-401</v>
          </cell>
          <cell r="B551" t="str">
            <v>支架</v>
          </cell>
        </row>
        <row r="552">
          <cell r="A552" t="str">
            <v>DD-J10B-94061-520-2</v>
          </cell>
          <cell r="B552" t="str">
            <v>衬套</v>
          </cell>
        </row>
        <row r="553">
          <cell r="A553" t="str">
            <v>DD-J10B-94076-1312</v>
          </cell>
          <cell r="B553" t="str">
            <v>衬盘</v>
          </cell>
        </row>
        <row r="554">
          <cell r="A554" t="str">
            <v>DD-J10B-94076-1391</v>
          </cell>
          <cell r="B554" t="str">
            <v>法兰盘</v>
          </cell>
        </row>
        <row r="555">
          <cell r="A555" t="str">
            <v>DD-J10B-94076-2031/1</v>
          </cell>
          <cell r="B555" t="str">
            <v>接管嘴</v>
          </cell>
        </row>
        <row r="556">
          <cell r="A556" t="str">
            <v>DD-J10B-94076-2031/2</v>
          </cell>
          <cell r="B556" t="str">
            <v>接管嘴</v>
          </cell>
        </row>
        <row r="557">
          <cell r="A557" t="str">
            <v>DD-J10B-94076-2031/3</v>
          </cell>
          <cell r="B557" t="str">
            <v>接管嘴</v>
          </cell>
        </row>
        <row r="558">
          <cell r="A558" t="str">
            <v>DD-J10B-94076-2051</v>
          </cell>
          <cell r="B558" t="str">
            <v>外套螺母</v>
          </cell>
        </row>
        <row r="559">
          <cell r="A559" t="str">
            <v>DD-J10B-94076-501-Z</v>
          </cell>
          <cell r="B559" t="str">
            <v>拉杆支座</v>
          </cell>
        </row>
        <row r="560">
          <cell r="A560" t="str">
            <v>DD-J10B-94076-620-1</v>
          </cell>
          <cell r="B560" t="str">
            <v>管子</v>
          </cell>
        </row>
        <row r="561">
          <cell r="A561" t="str">
            <v>DD-J10B-94076-802</v>
          </cell>
          <cell r="B561" t="str">
            <v>支架</v>
          </cell>
        </row>
        <row r="562">
          <cell r="A562" t="str">
            <v>DD-J10B-94076-811</v>
          </cell>
          <cell r="B562" t="str">
            <v>法兰盘</v>
          </cell>
        </row>
        <row r="563">
          <cell r="A563" t="str">
            <v>DD-J10B-94091-24G2</v>
          </cell>
          <cell r="B563" t="str">
            <v>20-28变径直通接头</v>
          </cell>
        </row>
        <row r="564">
          <cell r="A564" t="str">
            <v>DD-J10S-02121-3-Y</v>
          </cell>
          <cell r="B564" t="str">
            <v>助力器边梁（右件）</v>
          </cell>
        </row>
        <row r="565">
          <cell r="A565" t="str">
            <v>DD-J10S-02121-3-Z</v>
          </cell>
          <cell r="B565" t="str">
            <v>助力器边梁（左件）</v>
          </cell>
        </row>
        <row r="566">
          <cell r="A566" t="str">
            <v>DD-J10S-54101-720-1</v>
          </cell>
          <cell r="B566" t="str">
            <v>支座</v>
          </cell>
        </row>
        <row r="567">
          <cell r="A567" t="str">
            <v>DD-J10S-65001-4010-1</v>
          </cell>
          <cell r="B567" t="str">
            <v>管子</v>
          </cell>
        </row>
        <row r="568">
          <cell r="A568" t="str">
            <v>DD-J10S-91001-1</v>
          </cell>
          <cell r="B568" t="str">
            <v>支座</v>
          </cell>
        </row>
        <row r="569">
          <cell r="A569" t="str">
            <v>DD-J10S-94076-630-1</v>
          </cell>
          <cell r="B569" t="str">
            <v>管子</v>
          </cell>
        </row>
        <row r="570">
          <cell r="A570" t="str">
            <v>DD-J10S-96011-1202</v>
          </cell>
          <cell r="B570" t="str">
            <v>接嘴</v>
          </cell>
        </row>
        <row r="571">
          <cell r="A571" t="str">
            <v>DD-J10S-96011-1203</v>
          </cell>
          <cell r="B571" t="str">
            <v>管子</v>
          </cell>
        </row>
        <row r="572">
          <cell r="A572" t="str">
            <v>DD-J10S-96011-1601</v>
          </cell>
          <cell r="B572" t="str">
            <v>支臂</v>
          </cell>
        </row>
        <row r="573">
          <cell r="A573" t="str">
            <v>DD-J10S-96011-1811</v>
          </cell>
          <cell r="B573" t="str">
            <v>转接嘴</v>
          </cell>
        </row>
        <row r="574">
          <cell r="A574" t="str">
            <v>DD-J10S-96011-90-1</v>
          </cell>
          <cell r="B574" t="str">
            <v>底座</v>
          </cell>
        </row>
        <row r="575">
          <cell r="A575" t="str">
            <v>DD-J10S-96011-90-2</v>
          </cell>
          <cell r="B575" t="str">
            <v>夹子</v>
          </cell>
        </row>
        <row r="576">
          <cell r="A576" t="str">
            <v>DD-J10S-96021-10-1</v>
          </cell>
          <cell r="B576" t="str">
            <v>底座</v>
          </cell>
        </row>
        <row r="577">
          <cell r="A577" t="str">
            <v>DD-J10S-96021-10-2</v>
          </cell>
          <cell r="B577" t="str">
            <v>夹子</v>
          </cell>
        </row>
        <row r="578">
          <cell r="A578" t="str">
            <v>EA5700041-008L101</v>
          </cell>
          <cell r="B578" t="str">
            <v>后下对接肋</v>
          </cell>
        </row>
        <row r="579">
          <cell r="A579" t="str">
            <v>EA5700041-008R101</v>
          </cell>
          <cell r="B579" t="str">
            <v>后下对接肋</v>
          </cell>
        </row>
        <row r="580">
          <cell r="A580" t="str">
            <v>EA5721120-001L101</v>
          </cell>
          <cell r="B580" t="str">
            <v>前翼外段前梁二段</v>
          </cell>
        </row>
        <row r="581">
          <cell r="A581" t="str">
            <v>EA5721120-001R101</v>
          </cell>
          <cell r="B581" t="str">
            <v>前翼外段前梁二段</v>
          </cell>
        </row>
        <row r="582">
          <cell r="A582" t="str">
            <v>EA5731400-002L101</v>
          </cell>
          <cell r="B582" t="str">
            <v>后翼主翼面2肋</v>
          </cell>
        </row>
        <row r="583">
          <cell r="A583" t="str">
            <v>EA5731400-002R101</v>
          </cell>
          <cell r="B583" t="str">
            <v>后翼主翼面2肋</v>
          </cell>
        </row>
        <row r="584">
          <cell r="A584" t="str">
            <v>EA5731400-003L101</v>
          </cell>
          <cell r="B584" t="str">
            <v>后翼主翼面3肋</v>
          </cell>
        </row>
        <row r="585">
          <cell r="A585" t="str">
            <v>EA5731400-003R101</v>
          </cell>
          <cell r="B585" t="str">
            <v>后翼主翼面3肋</v>
          </cell>
        </row>
        <row r="586">
          <cell r="A586" t="str">
            <v>EA5740020-004L101</v>
          </cell>
          <cell r="B586" t="str">
            <v>右侧梁</v>
          </cell>
        </row>
        <row r="587">
          <cell r="A587" t="str">
            <v>EB5721120-001L001</v>
          </cell>
          <cell r="B587" t="str">
            <v>前翼外段前梁二段</v>
          </cell>
        </row>
        <row r="588">
          <cell r="A588" t="str">
            <v>EB5721120-001R001</v>
          </cell>
          <cell r="B588" t="str">
            <v>前翼外段前梁二段</v>
          </cell>
        </row>
        <row r="589">
          <cell r="A589" t="str">
            <v>EB5740020-004R001</v>
          </cell>
          <cell r="B589" t="str">
            <v>右侧梁</v>
          </cell>
        </row>
        <row r="590">
          <cell r="A590" t="str">
            <v>GU5336113-001L001</v>
          </cell>
          <cell r="B590" t="str">
            <v>STA8510~9055左上大梁</v>
          </cell>
        </row>
        <row r="591">
          <cell r="A591" t="str">
            <v>GU5336113-001R001</v>
          </cell>
          <cell r="B591" t="str">
            <v>STA8510~9055右上大梁</v>
          </cell>
        </row>
        <row r="592">
          <cell r="A592" t="str">
            <v>GU5714000-008L001</v>
          </cell>
          <cell r="B592" t="str">
            <v>8800肋</v>
          </cell>
        </row>
        <row r="593">
          <cell r="A593" t="str">
            <v>GU5714000-008R001</v>
          </cell>
          <cell r="B593" t="str">
            <v>8800肋</v>
          </cell>
        </row>
        <row r="594">
          <cell r="A594" t="str">
            <v>GU5714000-009L001</v>
          </cell>
          <cell r="B594" t="str">
            <v>端肋</v>
          </cell>
        </row>
        <row r="595">
          <cell r="A595" t="str">
            <v>GU5714000-009R001</v>
          </cell>
          <cell r="B595" t="str">
            <v>端肋</v>
          </cell>
        </row>
        <row r="596">
          <cell r="A596" t="str">
            <v>GU5714000-011L001</v>
          </cell>
          <cell r="B596" t="str">
            <v>8800肋角片</v>
          </cell>
        </row>
        <row r="597">
          <cell r="A597" t="str">
            <v>GU5715010-006L001</v>
          </cell>
          <cell r="B597" t="str">
            <v>前缘根肋</v>
          </cell>
        </row>
        <row r="598">
          <cell r="A598" t="str">
            <v>J10-55055-2611</v>
          </cell>
          <cell r="B598" t="str">
            <v>接管嘴</v>
          </cell>
        </row>
        <row r="599">
          <cell r="A599" t="str">
            <v>J7-0603-241</v>
          </cell>
          <cell r="B599" t="str">
            <v>螺栓</v>
          </cell>
        </row>
        <row r="600">
          <cell r="A600" t="str">
            <v>J7-0603-590-5</v>
          </cell>
          <cell r="B600" t="str">
            <v>衬套</v>
          </cell>
        </row>
        <row r="601">
          <cell r="A601" t="str">
            <v>J7-0603-590-7</v>
          </cell>
          <cell r="B601" t="str">
            <v>螺帽</v>
          </cell>
        </row>
        <row r="602">
          <cell r="A602" t="str">
            <v>J7II-0603-615</v>
          </cell>
          <cell r="B602" t="str">
            <v>衬套</v>
          </cell>
        </row>
        <row r="603">
          <cell r="A603" t="str">
            <v>J7II-4801-123</v>
          </cell>
          <cell r="B603" t="str">
            <v>六角头轴</v>
          </cell>
        </row>
        <row r="604">
          <cell r="A604" t="str">
            <v>J7II-5606-30-2</v>
          </cell>
          <cell r="B604" t="str">
            <v>管子</v>
          </cell>
        </row>
        <row r="605">
          <cell r="A605" t="str">
            <v>LTCS515030000-08R01</v>
          </cell>
          <cell r="B605" t="str">
            <v>2430竖梁右</v>
          </cell>
        </row>
        <row r="606">
          <cell r="A606" t="str">
            <v>Y20-4354233101-001</v>
          </cell>
          <cell r="B606" t="str">
            <v>氧气瓶支架</v>
          </cell>
        </row>
        <row r="607">
          <cell r="A607" t="str">
            <v>Y20-4383220003-001</v>
          </cell>
          <cell r="B607" t="str">
            <v>支架</v>
          </cell>
        </row>
        <row r="608">
          <cell r="A608" t="str">
            <v>Y20-4761200096-001</v>
          </cell>
          <cell r="B608" t="str">
            <v>悬挂横梁</v>
          </cell>
        </row>
        <row r="609">
          <cell r="A609" t="str">
            <v>Y20-5211025003-001</v>
          </cell>
          <cell r="B609" t="str">
            <v>螺栓</v>
          </cell>
        </row>
        <row r="610">
          <cell r="A610" t="str">
            <v>Y20-5212290004-001</v>
          </cell>
          <cell r="B610" t="str">
            <v>合页</v>
          </cell>
        </row>
        <row r="611">
          <cell r="A611" t="str">
            <v>Y20-5212290007-002</v>
          </cell>
          <cell r="B611" t="str">
            <v>合页片</v>
          </cell>
        </row>
        <row r="612">
          <cell r="A612" t="str">
            <v>Y20-5212290013-001</v>
          </cell>
          <cell r="B612" t="str">
            <v>合页</v>
          </cell>
        </row>
        <row r="613">
          <cell r="A613" t="str">
            <v>Y20-5226204002-001</v>
          </cell>
          <cell r="B613" t="str">
            <v>衬套</v>
          </cell>
        </row>
        <row r="614">
          <cell r="A614" t="str">
            <v>Y20-5226300011-001</v>
          </cell>
          <cell r="B614" t="str">
            <v>锁盒支撑角片</v>
          </cell>
        </row>
        <row r="615">
          <cell r="A615" t="str">
            <v>Y20-5312100302-001</v>
          </cell>
          <cell r="B615" t="str">
            <v>合页</v>
          </cell>
        </row>
        <row r="616">
          <cell r="A616" t="str">
            <v>Y20-5312100303-001</v>
          </cell>
          <cell r="B616" t="str">
            <v>合页</v>
          </cell>
        </row>
        <row r="617">
          <cell r="A617" t="str">
            <v>Y20-5312224004-001</v>
          </cell>
          <cell r="B617" t="str">
            <v>18框前33长桁</v>
          </cell>
        </row>
        <row r="618">
          <cell r="A618" t="str">
            <v>Y20-5312224004-002</v>
          </cell>
          <cell r="B618" t="str">
            <v>18框前33长桁</v>
          </cell>
        </row>
        <row r="619">
          <cell r="A619" t="str">
            <v>Y20-5312225701-001</v>
          </cell>
          <cell r="B619" t="str">
            <v>纵向加强件</v>
          </cell>
        </row>
        <row r="620">
          <cell r="A620" t="str">
            <v>Y20-5312225701-002</v>
          </cell>
          <cell r="B620" t="str">
            <v>纵向加强件</v>
          </cell>
        </row>
        <row r="621">
          <cell r="A621" t="str">
            <v>Y20-5316100415-001</v>
          </cell>
          <cell r="B621" t="str">
            <v>加强件</v>
          </cell>
        </row>
        <row r="622">
          <cell r="A622" t="str">
            <v>Y20-5316100416-002</v>
          </cell>
          <cell r="B622" t="str">
            <v>加强件</v>
          </cell>
        </row>
        <row r="623">
          <cell r="A623" t="str">
            <v>Y20-5316107001-002</v>
          </cell>
          <cell r="B623" t="str">
            <v>脚蹬纵向加强件</v>
          </cell>
        </row>
        <row r="624">
          <cell r="A624" t="str">
            <v>Y20-5318100045-001</v>
          </cell>
          <cell r="B624" t="str">
            <v>加强件</v>
          </cell>
        </row>
        <row r="625">
          <cell r="A625" t="str">
            <v>Y20-5318120002-001</v>
          </cell>
          <cell r="B625" t="str">
            <v>前起作动筒支座衬套</v>
          </cell>
        </row>
        <row r="626">
          <cell r="A626" t="str">
            <v>Y20-5318210004-002</v>
          </cell>
          <cell r="B626" t="str">
            <v>舱门摇臂交点衬套</v>
          </cell>
        </row>
        <row r="627">
          <cell r="A627" t="str">
            <v>Y20-5319400015-001</v>
          </cell>
          <cell r="B627" t="str">
            <v>扶手支座</v>
          </cell>
        </row>
        <row r="628">
          <cell r="A628" t="str">
            <v>Y20-5319540003-001</v>
          </cell>
          <cell r="B628" t="str">
            <v>转盘</v>
          </cell>
        </row>
        <row r="629">
          <cell r="A629" t="str">
            <v>CB5313200-004R006</v>
          </cell>
          <cell r="B629" t="str">
            <v>右前分合面框</v>
          </cell>
        </row>
        <row r="630">
          <cell r="A630" t="str">
            <v>2710A400004G010</v>
          </cell>
          <cell r="B630" t="str">
            <v>衬套</v>
          </cell>
        </row>
        <row r="631">
          <cell r="A631" t="str">
            <v>5211C31005G70</v>
          </cell>
          <cell r="B631" t="str">
            <v>垫片</v>
          </cell>
        </row>
        <row r="632">
          <cell r="A632" t="str">
            <v>5211C38057G70</v>
          </cell>
          <cell r="B632" t="str">
            <v>垫片</v>
          </cell>
        </row>
        <row r="633">
          <cell r="A633" t="str">
            <v>5211C41003G70</v>
          </cell>
          <cell r="B633" t="str">
            <v>球形杯</v>
          </cell>
        </row>
        <row r="634">
          <cell r="A634" t="str">
            <v>5211C41007G70</v>
          </cell>
          <cell r="B634" t="str">
            <v>垫圈</v>
          </cell>
        </row>
        <row r="635">
          <cell r="A635" t="str">
            <v>5211C41013G70</v>
          </cell>
          <cell r="B635" t="str">
            <v>垫圈</v>
          </cell>
        </row>
        <row r="636">
          <cell r="A636" t="str">
            <v>5211C41015G70</v>
          </cell>
          <cell r="B636" t="str">
            <v>导向衬套</v>
          </cell>
        </row>
        <row r="637">
          <cell r="A637" t="str">
            <v>5211C41017G70</v>
          </cell>
          <cell r="B637" t="str">
            <v>球型杯</v>
          </cell>
        </row>
        <row r="638">
          <cell r="A638" t="str">
            <v>5211C41027G70</v>
          </cell>
          <cell r="B638" t="str">
            <v>垫片</v>
          </cell>
        </row>
        <row r="639">
          <cell r="A639" t="str">
            <v>5211C41029G70</v>
          </cell>
          <cell r="B639" t="str">
            <v>垫片</v>
          </cell>
        </row>
        <row r="640">
          <cell r="A640" t="str">
            <v>5311C05104G70</v>
          </cell>
          <cell r="B640" t="str">
            <v>加强板</v>
          </cell>
        </row>
        <row r="641">
          <cell r="A641" t="str">
            <v>5311C11107G72</v>
          </cell>
          <cell r="B641" t="str">
            <v>垫板</v>
          </cell>
        </row>
        <row r="642">
          <cell r="A642" t="str">
            <v>5311C11108G73</v>
          </cell>
          <cell r="B642" t="str">
            <v>垫板</v>
          </cell>
        </row>
        <row r="643">
          <cell r="A643" t="str">
            <v>5311C13031G70</v>
          </cell>
          <cell r="B643" t="str">
            <v>加强件</v>
          </cell>
        </row>
        <row r="644">
          <cell r="A644" t="str">
            <v>5312C45001G71</v>
          </cell>
          <cell r="B644" t="str">
            <v>FR15右侧框缘</v>
          </cell>
        </row>
        <row r="645">
          <cell r="A645" t="str">
            <v>5312C48001G71</v>
          </cell>
          <cell r="B645" t="str">
            <v>FR16左侧框缘</v>
          </cell>
        </row>
        <row r="646">
          <cell r="A646" t="str">
            <v>5312C48002G71</v>
          </cell>
          <cell r="B646" t="str">
            <v>FR16右侧框缘</v>
          </cell>
        </row>
        <row r="647">
          <cell r="A647" t="str">
            <v>5313C81051G71</v>
          </cell>
          <cell r="B647" t="str">
            <v>地板嵌入接头</v>
          </cell>
        </row>
        <row r="648">
          <cell r="A648" t="str">
            <v>5315C51012G72</v>
          </cell>
          <cell r="B648" t="str">
            <v>结冰探测器加强垫板</v>
          </cell>
        </row>
        <row r="649">
          <cell r="A649" t="str">
            <v>5317C03003G71</v>
          </cell>
          <cell r="B649" t="str">
            <v>剖形支柱</v>
          </cell>
        </row>
        <row r="650">
          <cell r="A650" t="str">
            <v>5317C03005G71</v>
          </cell>
          <cell r="B650" t="str">
            <v>剖形支柱</v>
          </cell>
        </row>
        <row r="651">
          <cell r="A651" t="str">
            <v>5317C03007G71</v>
          </cell>
          <cell r="B651" t="str">
            <v>剖形支柱</v>
          </cell>
        </row>
        <row r="652">
          <cell r="A652" t="str">
            <v>5317C03009G71</v>
          </cell>
          <cell r="B652" t="str">
            <v>剖形支柱</v>
          </cell>
        </row>
        <row r="653">
          <cell r="A653" t="str">
            <v>5317C03011G71</v>
          </cell>
          <cell r="B653" t="str">
            <v>剖形支柱</v>
          </cell>
        </row>
        <row r="654">
          <cell r="A654" t="str">
            <v>5317C03013G71</v>
          </cell>
          <cell r="B654" t="str">
            <v>剖形支柱</v>
          </cell>
        </row>
        <row r="655">
          <cell r="A655" t="str">
            <v>5317C03015G71</v>
          </cell>
          <cell r="B655" t="str">
            <v>接头</v>
          </cell>
        </row>
        <row r="656">
          <cell r="A656" t="str">
            <v>5317C03017G71</v>
          </cell>
          <cell r="B656" t="str">
            <v>接头</v>
          </cell>
        </row>
        <row r="657">
          <cell r="A657" t="str">
            <v>5317C03019G71</v>
          </cell>
          <cell r="B657" t="str">
            <v>接头</v>
          </cell>
        </row>
        <row r="658">
          <cell r="A658" t="str">
            <v>5317C03021G70</v>
          </cell>
          <cell r="B658" t="str">
            <v>接头</v>
          </cell>
        </row>
        <row r="659">
          <cell r="A659" t="str">
            <v>5317C03023G71</v>
          </cell>
          <cell r="B659" t="str">
            <v>接头</v>
          </cell>
        </row>
        <row r="660">
          <cell r="A660" t="str">
            <v>5317C05047G71</v>
          </cell>
          <cell r="B660" t="str">
            <v>加强件</v>
          </cell>
        </row>
        <row r="661">
          <cell r="A661" t="str">
            <v>5317C05049G70</v>
          </cell>
          <cell r="B661" t="str">
            <v>加强件</v>
          </cell>
        </row>
        <row r="662">
          <cell r="A662" t="str">
            <v>5317C05051G71</v>
          </cell>
          <cell r="B662" t="str">
            <v>加强件</v>
          </cell>
        </row>
        <row r="663">
          <cell r="A663" t="str">
            <v>5317C05061G70</v>
          </cell>
          <cell r="B663" t="str">
            <v>加强梁</v>
          </cell>
        </row>
        <row r="664">
          <cell r="A664" t="str">
            <v>5317C07003G70</v>
          </cell>
          <cell r="B664" t="str">
            <v>9框前支柱</v>
          </cell>
        </row>
        <row r="665">
          <cell r="A665" t="str">
            <v>5317C07004G70</v>
          </cell>
          <cell r="B665" t="str">
            <v>9框前支柱</v>
          </cell>
        </row>
        <row r="666">
          <cell r="A666" t="str">
            <v>5317C07005G70</v>
          </cell>
          <cell r="B666" t="str">
            <v>9框前支柱</v>
          </cell>
        </row>
        <row r="667">
          <cell r="A667" t="str">
            <v>5317C07007G70</v>
          </cell>
          <cell r="B667" t="str">
            <v>9框前支柱</v>
          </cell>
        </row>
        <row r="668">
          <cell r="A668" t="str">
            <v>5317C07055G70</v>
          </cell>
          <cell r="B668" t="str">
            <v>顶起弹簧底座</v>
          </cell>
        </row>
        <row r="669">
          <cell r="A669" t="str">
            <v>5317C09011G70</v>
          </cell>
          <cell r="B669" t="str">
            <v>接头</v>
          </cell>
        </row>
        <row r="670">
          <cell r="A670" t="str">
            <v>5317C09013G70</v>
          </cell>
          <cell r="B670" t="str">
            <v>接头</v>
          </cell>
        </row>
        <row r="671">
          <cell r="A671" t="str">
            <v>5317C09031G71</v>
          </cell>
          <cell r="B671" t="str">
            <v>接头</v>
          </cell>
        </row>
        <row r="672">
          <cell r="A672" t="str">
            <v>5317C09033G71</v>
          </cell>
          <cell r="B672" t="str">
            <v>接头</v>
          </cell>
        </row>
        <row r="673">
          <cell r="A673" t="str">
            <v>5317C09035G71</v>
          </cell>
          <cell r="B673" t="str">
            <v>接头</v>
          </cell>
        </row>
        <row r="674">
          <cell r="A674" t="str">
            <v>5317C09037G71</v>
          </cell>
          <cell r="B674" t="str">
            <v>接头</v>
          </cell>
        </row>
        <row r="675">
          <cell r="A675" t="str">
            <v>5317C11003G71</v>
          </cell>
          <cell r="B675" t="str">
            <v>接头</v>
          </cell>
        </row>
        <row r="676">
          <cell r="A676" t="str">
            <v>5317C11004G71</v>
          </cell>
          <cell r="B676" t="str">
            <v>接头</v>
          </cell>
        </row>
        <row r="677">
          <cell r="A677" t="str">
            <v>5317C11005G71</v>
          </cell>
          <cell r="B677" t="str">
            <v>接头</v>
          </cell>
        </row>
        <row r="678">
          <cell r="A678" t="str">
            <v>5317C23403G70</v>
          </cell>
          <cell r="B678" t="str">
            <v>回收锁销接头</v>
          </cell>
        </row>
        <row r="679">
          <cell r="A679" t="str">
            <v>5317C23409G70</v>
          </cell>
          <cell r="B679" t="str">
            <v>立柱加强接头</v>
          </cell>
        </row>
        <row r="680">
          <cell r="A680" t="str">
            <v>5319C02011G70</v>
          </cell>
          <cell r="B680" t="str">
            <v>接头</v>
          </cell>
        </row>
        <row r="681">
          <cell r="A681" t="str">
            <v>5319C02101G70</v>
          </cell>
          <cell r="B681" t="str">
            <v>接头</v>
          </cell>
        </row>
        <row r="682">
          <cell r="A682" t="str">
            <v>5319C02201G70</v>
          </cell>
          <cell r="B682" t="str">
            <v>接头</v>
          </cell>
        </row>
        <row r="683">
          <cell r="A683" t="str">
            <v>5319C02301G70</v>
          </cell>
          <cell r="B683" t="str">
            <v>接头</v>
          </cell>
        </row>
        <row r="684">
          <cell r="A684" t="str">
            <v>5319C19021G70</v>
          </cell>
          <cell r="B684" t="str">
            <v>接头</v>
          </cell>
        </row>
        <row r="685">
          <cell r="A685" t="str">
            <v>5319C22021G71</v>
          </cell>
          <cell r="B685" t="str">
            <v>支架</v>
          </cell>
        </row>
        <row r="686">
          <cell r="A686" t="str">
            <v>5319C22035G70</v>
          </cell>
          <cell r="B686" t="str">
            <v>支架</v>
          </cell>
        </row>
        <row r="687">
          <cell r="A687" t="str">
            <v>5319C28033G70</v>
          </cell>
          <cell r="B687" t="str">
            <v>接头</v>
          </cell>
        </row>
        <row r="688">
          <cell r="A688" t="str">
            <v>5319C28039G70</v>
          </cell>
          <cell r="B688" t="str">
            <v>接头</v>
          </cell>
        </row>
        <row r="689">
          <cell r="A689" t="str">
            <v>5319C28041G70</v>
          </cell>
          <cell r="B689" t="str">
            <v>接头</v>
          </cell>
        </row>
        <row r="690">
          <cell r="A690" t="str">
            <v>5319C28057G70</v>
          </cell>
          <cell r="B690" t="str">
            <v>接头</v>
          </cell>
        </row>
        <row r="691">
          <cell r="A691" t="str">
            <v>5319C28059G70</v>
          </cell>
          <cell r="B691" t="str">
            <v>接头</v>
          </cell>
        </row>
        <row r="692">
          <cell r="A692" t="str">
            <v>5319C28063G70</v>
          </cell>
          <cell r="B692" t="str">
            <v>支架</v>
          </cell>
        </row>
        <row r="693">
          <cell r="A693" t="str">
            <v>5319C49005G70</v>
          </cell>
          <cell r="B693" t="str">
            <v>支架</v>
          </cell>
        </row>
        <row r="694">
          <cell r="A694" t="str">
            <v>5319C55013G70</v>
          </cell>
          <cell r="B694" t="str">
            <v>连接接头</v>
          </cell>
        </row>
        <row r="695">
          <cell r="A695" t="str">
            <v>5319C55017G70</v>
          </cell>
          <cell r="B695" t="str">
            <v>接头</v>
          </cell>
        </row>
        <row r="696">
          <cell r="A696" t="str">
            <v>5319C55018G70</v>
          </cell>
          <cell r="B696" t="str">
            <v>接头</v>
          </cell>
        </row>
        <row r="697">
          <cell r="A697" t="str">
            <v>5319C60011G70</v>
          </cell>
          <cell r="B697" t="str">
            <v>支架</v>
          </cell>
        </row>
        <row r="698">
          <cell r="A698" t="str">
            <v>5319C96017G70</v>
          </cell>
          <cell r="B698" t="str">
            <v>短框连接块</v>
          </cell>
        </row>
        <row r="699">
          <cell r="A699" t="str">
            <v>5319C97003G71</v>
          </cell>
          <cell r="B699" t="str">
            <v>底部连接接头</v>
          </cell>
        </row>
        <row r="700">
          <cell r="A700" t="str">
            <v>5319C97004G71</v>
          </cell>
          <cell r="B700" t="str">
            <v>底部连接接头</v>
          </cell>
        </row>
        <row r="701">
          <cell r="A701" t="str">
            <v>5319C97005G71</v>
          </cell>
          <cell r="B701" t="str">
            <v>底部连接接头</v>
          </cell>
        </row>
        <row r="702">
          <cell r="A702" t="str">
            <v>5319C97007G71</v>
          </cell>
          <cell r="B702" t="str">
            <v>底板连接接头</v>
          </cell>
        </row>
        <row r="703">
          <cell r="A703" t="str">
            <v>5613A380024G010</v>
          </cell>
          <cell r="B703" t="str">
            <v>圆柱销</v>
          </cell>
        </row>
        <row r="704">
          <cell r="A704" t="str">
            <v>5613A380025G010</v>
          </cell>
          <cell r="B704" t="str">
            <v>圆柱销</v>
          </cell>
        </row>
        <row r="705">
          <cell r="A705" t="str">
            <v>5613A380029G010</v>
          </cell>
          <cell r="B705" t="str">
            <v>手柄握把</v>
          </cell>
        </row>
        <row r="706">
          <cell r="A706" t="str">
            <v>561A3310-008-501</v>
          </cell>
          <cell r="B706" t="str">
            <v>衬套</v>
          </cell>
        </row>
        <row r="707">
          <cell r="A707" t="str">
            <v>561A3310-009-501</v>
          </cell>
          <cell r="B707" t="str">
            <v>衬套</v>
          </cell>
        </row>
        <row r="708">
          <cell r="A708" t="str">
            <v>561A3310-015-501</v>
          </cell>
          <cell r="B708" t="str">
            <v>衬套</v>
          </cell>
        </row>
        <row r="709">
          <cell r="A709" t="str">
            <v>BC3101241-012-001</v>
          </cell>
          <cell r="B709" t="str">
            <v>锁柄</v>
          </cell>
        </row>
        <row r="710">
          <cell r="A710" t="str">
            <v>BC552B300-002-001</v>
          </cell>
          <cell r="B710" t="str">
            <v>前肋</v>
          </cell>
        </row>
        <row r="711">
          <cell r="A711" t="str">
            <v>BC5711430-001-002</v>
          </cell>
          <cell r="B711" t="str">
            <v>螺栓</v>
          </cell>
        </row>
        <row r="712">
          <cell r="A712" t="str">
            <v>BC5812700-001-002</v>
          </cell>
          <cell r="B712" t="str">
            <v>上套筒</v>
          </cell>
        </row>
        <row r="713">
          <cell r="A713" t="str">
            <v>BC5812812-001-001</v>
          </cell>
          <cell r="B713" t="str">
            <v>耳环螺栓</v>
          </cell>
        </row>
        <row r="714">
          <cell r="A714" t="str">
            <v>BC5812910-002-001</v>
          </cell>
          <cell r="B714" t="str">
            <v>接头</v>
          </cell>
        </row>
        <row r="715">
          <cell r="A715" t="str">
            <v>C221069811-001-001</v>
          </cell>
          <cell r="B715" t="str">
            <v>平管嘴</v>
          </cell>
        </row>
        <row r="716">
          <cell r="A716" t="str">
            <v>C227300700-002-001</v>
          </cell>
          <cell r="B716" t="str">
            <v>垫片</v>
          </cell>
        </row>
        <row r="717">
          <cell r="A717" t="str">
            <v>C228571602-007-001</v>
          </cell>
          <cell r="B717" t="str">
            <v>管子</v>
          </cell>
        </row>
        <row r="718">
          <cell r="A718" t="str">
            <v>C228571602-008-001</v>
          </cell>
          <cell r="B718" t="str">
            <v>轴</v>
          </cell>
        </row>
        <row r="719">
          <cell r="A719" t="str">
            <v>C228575105-002-001</v>
          </cell>
          <cell r="B719" t="str">
            <v>导管</v>
          </cell>
        </row>
        <row r="720">
          <cell r="A720" t="str">
            <v>C229102400-001-001</v>
          </cell>
          <cell r="B720" t="str">
            <v>衬套</v>
          </cell>
        </row>
        <row r="721">
          <cell r="A721" t="str">
            <v>C229103200-002-001</v>
          </cell>
          <cell r="B721" t="str">
            <v>短衬套</v>
          </cell>
        </row>
        <row r="722">
          <cell r="A722" t="str">
            <v>C232111300-007-001</v>
          </cell>
          <cell r="B722" t="str">
            <v>锁环</v>
          </cell>
        </row>
        <row r="723">
          <cell r="A723" t="str">
            <v>C232330100-003-001</v>
          </cell>
          <cell r="B723" t="str">
            <v>连接轴</v>
          </cell>
        </row>
        <row r="724">
          <cell r="A724" t="str">
            <v>C232332210-005-001</v>
          </cell>
          <cell r="B724" t="str">
            <v>心轴</v>
          </cell>
        </row>
        <row r="725">
          <cell r="A725" t="str">
            <v>C232800600-003-001</v>
          </cell>
          <cell r="B725" t="str">
            <v>衬套</v>
          </cell>
        </row>
        <row r="726">
          <cell r="A726" t="str">
            <v>C256201400-001-001</v>
          </cell>
          <cell r="B726" t="str">
            <v>垫圈</v>
          </cell>
        </row>
        <row r="727">
          <cell r="A727" t="str">
            <v>C256300800-003-001</v>
          </cell>
          <cell r="B727" t="str">
            <v>垫圈</v>
          </cell>
        </row>
        <row r="728">
          <cell r="A728" t="str">
            <v>C532111100-001L001</v>
          </cell>
          <cell r="B728" t="str">
            <v>外侧梁</v>
          </cell>
        </row>
        <row r="729">
          <cell r="A729" t="str">
            <v>C532111100-001R001</v>
          </cell>
          <cell r="B729" t="str">
            <v>外侧梁</v>
          </cell>
        </row>
        <row r="730">
          <cell r="A730" t="str">
            <v>C532111100-002R001</v>
          </cell>
          <cell r="B730" t="str">
            <v>内侧梁</v>
          </cell>
        </row>
        <row r="731">
          <cell r="A731" t="str">
            <v>CB2263268-001-002</v>
          </cell>
          <cell r="B731" t="str">
            <v>三通管接头</v>
          </cell>
        </row>
        <row r="732">
          <cell r="A732" t="str">
            <v>CB2295170-001-002</v>
          </cell>
          <cell r="B732" t="str">
            <v>安装支座</v>
          </cell>
        </row>
        <row r="733">
          <cell r="A733" t="str">
            <v>CB2298621-001-002</v>
          </cell>
          <cell r="B733" t="str">
            <v>支架</v>
          </cell>
        </row>
        <row r="734">
          <cell r="A734" t="str">
            <v>CB229C440-002R001</v>
          </cell>
          <cell r="B734" t="str">
            <v>支架</v>
          </cell>
        </row>
        <row r="735">
          <cell r="A735" t="str">
            <v>CB5350510-002-010</v>
          </cell>
          <cell r="B735" t="str">
            <v>扶手支座</v>
          </cell>
        </row>
        <row r="736">
          <cell r="A736" t="str">
            <v>CB5522200-020L001</v>
          </cell>
          <cell r="B736" t="str">
            <v>实心块</v>
          </cell>
        </row>
        <row r="737">
          <cell r="A737" t="str">
            <v>CB5522200-020R001</v>
          </cell>
          <cell r="B737" t="str">
            <v>实心块</v>
          </cell>
        </row>
        <row r="738">
          <cell r="A738" t="str">
            <v>DD-J10-05346-3-Z</v>
          </cell>
          <cell r="B738" t="str">
            <v>受剪接头</v>
          </cell>
        </row>
        <row r="739">
          <cell r="A739" t="str">
            <v>DD-J10-21002-1-Y</v>
          </cell>
          <cell r="B739" t="str">
            <v>4号上壁板（右件）</v>
          </cell>
        </row>
        <row r="740">
          <cell r="A740" t="str">
            <v>DD-J10-21002-1-Z</v>
          </cell>
          <cell r="B740" t="str">
            <v>4号上壁板（左件）</v>
          </cell>
        </row>
        <row r="741">
          <cell r="A741" t="str">
            <v>DD-J10-21102-120-1-Y</v>
          </cell>
          <cell r="B741" t="str">
            <v>9480梁（右件）</v>
          </cell>
        </row>
        <row r="742">
          <cell r="A742" t="str">
            <v>DD-J10-41153-130-2</v>
          </cell>
          <cell r="B742" t="str">
            <v>管子</v>
          </cell>
        </row>
        <row r="743">
          <cell r="A743" t="str">
            <v>DD-J10-54101-2805</v>
          </cell>
          <cell r="B743" t="str">
            <v>滑轮</v>
          </cell>
        </row>
        <row r="744">
          <cell r="A744" t="str">
            <v>DD-J10-55014-1102</v>
          </cell>
          <cell r="B744" t="str">
            <v>管接头</v>
          </cell>
        </row>
        <row r="745">
          <cell r="A745" t="str">
            <v>DD-J10-55014-2010-1</v>
          </cell>
          <cell r="B745" t="str">
            <v>管子</v>
          </cell>
        </row>
        <row r="746">
          <cell r="A746" t="str">
            <v>DD-J10-55015-5102</v>
          </cell>
          <cell r="B746" t="str">
            <v>接管嘴</v>
          </cell>
        </row>
        <row r="747">
          <cell r="A747" t="str">
            <v>DD-J10-55051-1211</v>
          </cell>
          <cell r="B747" t="str">
            <v>连接件</v>
          </cell>
        </row>
        <row r="748">
          <cell r="A748" t="str">
            <v>DD-J10-55165-1430-2</v>
          </cell>
          <cell r="B748" t="str">
            <v>衬套</v>
          </cell>
        </row>
        <row r="749">
          <cell r="A749" t="str">
            <v>DD-J10-55181-14</v>
          </cell>
          <cell r="B749" t="str">
            <v>变径四通管接头</v>
          </cell>
        </row>
        <row r="750">
          <cell r="A750" t="str">
            <v>DD-J10-55181-710-1</v>
          </cell>
          <cell r="B750" t="str">
            <v>衬套</v>
          </cell>
        </row>
        <row r="751">
          <cell r="A751" t="str">
            <v>DD-J10-64011-430-2</v>
          </cell>
          <cell r="B751" t="str">
            <v>套</v>
          </cell>
        </row>
        <row r="752">
          <cell r="A752" t="str">
            <v>DD-J10-86011-3100-3</v>
          </cell>
          <cell r="B752" t="str">
            <v>凸台</v>
          </cell>
        </row>
        <row r="753">
          <cell r="A753" t="str">
            <v>DD-J10B-02111-2-Y</v>
          </cell>
          <cell r="B753" t="str">
            <v>角盒</v>
          </cell>
        </row>
        <row r="754">
          <cell r="A754" t="str">
            <v>DD-J10B-04321-30-1-Y</v>
          </cell>
          <cell r="B754" t="str">
            <v>侧下梁（右件）</v>
          </cell>
        </row>
        <row r="755">
          <cell r="A755" t="str">
            <v>DD-J10B-06061-22</v>
          </cell>
          <cell r="B755" t="str">
            <v>摇臂</v>
          </cell>
        </row>
        <row r="756">
          <cell r="A756" t="str">
            <v>DD-J10B-55111-210-2</v>
          </cell>
          <cell r="B756" t="str">
            <v>套管</v>
          </cell>
        </row>
        <row r="757">
          <cell r="A757" t="str">
            <v>DD-J10B-61001-8001</v>
          </cell>
          <cell r="B757" t="str">
            <v>卡片</v>
          </cell>
        </row>
        <row r="758">
          <cell r="A758" t="str">
            <v>DD-J10B-68095-1200-3</v>
          </cell>
          <cell r="B758" t="str">
            <v>衬套</v>
          </cell>
        </row>
        <row r="759">
          <cell r="A759" t="str">
            <v>DD-J10B-68095-1710-3-Z</v>
          </cell>
          <cell r="B759" t="str">
            <v>钢管</v>
          </cell>
        </row>
        <row r="760">
          <cell r="A760" t="str">
            <v>DD-J10B-94051-3640-2</v>
          </cell>
          <cell r="B760" t="str">
            <v>管子</v>
          </cell>
        </row>
        <row r="761">
          <cell r="A761" t="str">
            <v>DD-J10B-94076-220-2</v>
          </cell>
          <cell r="B761" t="str">
            <v>衬套</v>
          </cell>
        </row>
        <row r="762">
          <cell r="A762" t="str">
            <v>DD-J10B-94076-620-4</v>
          </cell>
          <cell r="B762" t="str">
            <v>衬套</v>
          </cell>
        </row>
        <row r="763">
          <cell r="A763" t="str">
            <v>DD-J10B-94091-86G2</v>
          </cell>
          <cell r="B763" t="str">
            <v>三通接头</v>
          </cell>
        </row>
        <row r="764">
          <cell r="A764" t="str">
            <v>GU5714000-003R003</v>
          </cell>
          <cell r="B764" t="str">
            <v>2750肋</v>
          </cell>
        </row>
        <row r="765">
          <cell r="A765" t="str">
            <v>J7-0203-25</v>
          </cell>
          <cell r="B765" t="str">
            <v>帽盖</v>
          </cell>
        </row>
        <row r="766">
          <cell r="A766" t="str">
            <v>Y20-5319120045-001</v>
          </cell>
          <cell r="B766" t="str">
            <v>角盒</v>
          </cell>
        </row>
        <row r="767">
          <cell r="A767" t="str">
            <v>BC2711322-002-001</v>
          </cell>
          <cell r="B767" t="str">
            <v>接头</v>
          </cell>
        </row>
        <row r="768">
          <cell r="A768" t="str">
            <v>BC2712520-003-001</v>
          </cell>
          <cell r="B768" t="str">
            <v>支架</v>
          </cell>
        </row>
        <row r="769">
          <cell r="A769" t="str">
            <v>CB5323120-001R005</v>
          </cell>
          <cell r="B769" t="str">
            <v>7820~8270侧上梁</v>
          </cell>
        </row>
        <row r="770">
          <cell r="A770" t="str">
            <v>CB5324500-003L002</v>
          </cell>
          <cell r="B770" t="str">
            <v>前端框</v>
          </cell>
        </row>
        <row r="771">
          <cell r="A771" t="str">
            <v>DD-J10-21102-272</v>
          </cell>
          <cell r="B771" t="str">
            <v>3#下垫片</v>
          </cell>
        </row>
        <row r="772">
          <cell r="A772" t="str">
            <v>DD-J10-21102-32-Y</v>
          </cell>
          <cell r="B772" t="str">
            <v>10060下接头</v>
          </cell>
        </row>
        <row r="773">
          <cell r="A773" t="str">
            <v>DD-J10-21102-60/-1/2-Y</v>
          </cell>
          <cell r="B773" t="str">
            <v>11968下口盖</v>
          </cell>
        </row>
        <row r="774">
          <cell r="A774" t="str">
            <v>DD-J10-21102-60/-1/3-Z</v>
          </cell>
          <cell r="B774" t="str">
            <v>11968下口盖</v>
          </cell>
        </row>
        <row r="775">
          <cell r="A775" t="str">
            <v>DD-J10-55165-1460-3</v>
          </cell>
          <cell r="B775" t="str">
            <v>衬套</v>
          </cell>
        </row>
        <row r="776">
          <cell r="A776" t="str">
            <v>DD-J10-63001-511</v>
          </cell>
          <cell r="B776" t="str">
            <v>阳密封式法兰盘</v>
          </cell>
        </row>
        <row r="777">
          <cell r="A777" t="str">
            <v>DD-J10B-02081-404</v>
          </cell>
          <cell r="B777" t="str">
            <v>支座</v>
          </cell>
        </row>
        <row r="778">
          <cell r="A778" t="str">
            <v>DD-J10B-04321-1-Z</v>
          </cell>
          <cell r="B778" t="str">
            <v>斜横梁</v>
          </cell>
        </row>
        <row r="779">
          <cell r="A779" t="str">
            <v>Y20-5317001074-501</v>
          </cell>
          <cell r="B779" t="str">
            <v>1#竖梁</v>
          </cell>
        </row>
        <row r="780">
          <cell r="A780" t="str">
            <v>Y20-5317001074-502</v>
          </cell>
          <cell r="B780" t="str">
            <v>1#竖梁</v>
          </cell>
        </row>
        <row r="781">
          <cell r="A781" t="str">
            <v>BC2281650-006-003</v>
          </cell>
          <cell r="B781" t="str">
            <v>支臂</v>
          </cell>
        </row>
        <row r="782">
          <cell r="A782" t="str">
            <v>BC22971B1-003-001</v>
          </cell>
          <cell r="B782" t="str">
            <v>带限流的直通过框接头</v>
          </cell>
        </row>
        <row r="783">
          <cell r="A783" t="str">
            <v>CB5315191-012R003</v>
          </cell>
          <cell r="B783" t="str">
            <v>进气下侧壁</v>
          </cell>
        </row>
        <row r="784">
          <cell r="A784" t="str">
            <v>CB5323120-001L002</v>
          </cell>
          <cell r="B784" t="str">
            <v>7820~8270侧上梁</v>
          </cell>
        </row>
        <row r="785">
          <cell r="A785" t="str">
            <v>CB5323210-005L065</v>
          </cell>
          <cell r="B785" t="str">
            <v>9350-11140左侧上梁</v>
          </cell>
        </row>
        <row r="786">
          <cell r="A786" t="str">
            <v>CB5323220-052-024</v>
          </cell>
          <cell r="B786" t="str">
            <v>9350-11140右侧上梁</v>
          </cell>
        </row>
        <row r="787">
          <cell r="A787" t="str">
            <v>CB5512300-004L002</v>
          </cell>
          <cell r="B787" t="str">
            <v>根肋前段</v>
          </cell>
        </row>
        <row r="788">
          <cell r="A788" t="str">
            <v>CB5512300-005L002</v>
          </cell>
          <cell r="B788" t="str">
            <v>根肋后段</v>
          </cell>
        </row>
        <row r="789">
          <cell r="A789" t="str">
            <v>CB5512300-005R002</v>
          </cell>
          <cell r="B789" t="str">
            <v>根肋后段</v>
          </cell>
        </row>
        <row r="790">
          <cell r="A790" t="str">
            <v>CB5714100-002L003</v>
          </cell>
          <cell r="B790" t="str">
            <v>根肋二段</v>
          </cell>
        </row>
        <row r="791">
          <cell r="A791" t="str">
            <v>CB5752000-022R002</v>
          </cell>
          <cell r="B791" t="str">
            <v>角片</v>
          </cell>
        </row>
        <row r="792">
          <cell r="A792" t="str">
            <v>CB5752000-023L003</v>
          </cell>
          <cell r="B792" t="str">
            <v>角片</v>
          </cell>
        </row>
        <row r="793">
          <cell r="A793" t="str">
            <v>CB5752000-023R002</v>
          </cell>
          <cell r="B793" t="str">
            <v>角片</v>
          </cell>
        </row>
        <row r="794">
          <cell r="A794" t="str">
            <v>DD-J10-05346-1-Y</v>
          </cell>
          <cell r="B794" t="str">
            <v>受剪接头</v>
          </cell>
        </row>
        <row r="795">
          <cell r="A795" t="str">
            <v>DD-J10-05346-1-Z</v>
          </cell>
          <cell r="B795" t="str">
            <v>受剪接头</v>
          </cell>
        </row>
        <row r="796">
          <cell r="A796" t="str">
            <v>DD-J10-05346-2-Y</v>
          </cell>
          <cell r="B796" t="str">
            <v>受剪接头</v>
          </cell>
        </row>
        <row r="797">
          <cell r="A797" t="str">
            <v>DD-J10-05346-2-Z</v>
          </cell>
          <cell r="B797" t="str">
            <v>受剪接头</v>
          </cell>
        </row>
        <row r="798">
          <cell r="A798" t="str">
            <v>DD-J10-05346-3-Y</v>
          </cell>
          <cell r="B798" t="str">
            <v>受剪接头</v>
          </cell>
        </row>
        <row r="799">
          <cell r="A799" t="str">
            <v>DD-J10-21102-120-1-Z</v>
          </cell>
          <cell r="B799" t="str">
            <v>9480梁（左件）</v>
          </cell>
        </row>
        <row r="800">
          <cell r="A800" t="str">
            <v>DD-J10-21102-32-Z</v>
          </cell>
          <cell r="B800" t="str">
            <v>10060下接头</v>
          </cell>
        </row>
        <row r="801">
          <cell r="A801" t="str">
            <v>DD-J10-21102-390-1-Y</v>
          </cell>
          <cell r="B801" t="str">
            <v>1150肋九段</v>
          </cell>
        </row>
        <row r="802">
          <cell r="A802" t="str">
            <v>DD-J10-61101-15</v>
          </cell>
          <cell r="B802" t="str">
            <v>接管嘴</v>
          </cell>
        </row>
        <row r="803">
          <cell r="A803" t="str">
            <v>DD-J10-64016-210-1</v>
          </cell>
          <cell r="B803" t="str">
            <v>管子</v>
          </cell>
        </row>
        <row r="804">
          <cell r="A804" t="str">
            <v>DD-J10-67096-50-1</v>
          </cell>
          <cell r="B804" t="str">
            <v>Z型件</v>
          </cell>
        </row>
        <row r="805">
          <cell r="A805" t="str">
            <v>DD-J10B-02181-6-Y</v>
          </cell>
          <cell r="B805" t="str">
            <v>盒子</v>
          </cell>
        </row>
        <row r="806">
          <cell r="A806" t="str">
            <v>DD-J10B-02181-6-Z</v>
          </cell>
          <cell r="B806" t="str">
            <v>盒子</v>
          </cell>
        </row>
        <row r="807">
          <cell r="A807" t="str">
            <v>DD-J10B-21302-40G2-1-Y</v>
          </cell>
          <cell r="B807" t="str">
            <v>后梁四段</v>
          </cell>
        </row>
        <row r="808">
          <cell r="A808" t="str">
            <v>DD-J10B-26002-100G2-1G2-Y</v>
          </cell>
          <cell r="B808" t="str">
            <v>翼尖接头</v>
          </cell>
        </row>
        <row r="809">
          <cell r="A809" t="str">
            <v>DD-J10B-34303-11G2</v>
          </cell>
          <cell r="B809" t="str">
            <v>第4隔板</v>
          </cell>
        </row>
        <row r="810">
          <cell r="A810" t="str">
            <v>DD-J10B-34303-12G2</v>
          </cell>
          <cell r="B810" t="str">
            <v>第5隔板</v>
          </cell>
        </row>
        <row r="811">
          <cell r="A811" t="str">
            <v>DD-J10B-34303-13G2</v>
          </cell>
          <cell r="B811" t="str">
            <v>第6隔板</v>
          </cell>
        </row>
        <row r="812">
          <cell r="A812" t="str">
            <v>DD-J10B-34303-4</v>
          </cell>
          <cell r="B812" t="str">
            <v>支座</v>
          </cell>
        </row>
        <row r="813">
          <cell r="A813" t="str">
            <v>DD-J10B-34303-7G2</v>
          </cell>
          <cell r="B813" t="str">
            <v>第1隔板</v>
          </cell>
        </row>
        <row r="814">
          <cell r="A814" t="str">
            <v>DD-J10B-34303-8G2</v>
          </cell>
          <cell r="B814" t="str">
            <v>第2隔板</v>
          </cell>
        </row>
        <row r="815">
          <cell r="A815" t="str">
            <v>DD-J10B-34303-9G2</v>
          </cell>
          <cell r="B815" t="str">
            <v>第3隔板</v>
          </cell>
        </row>
        <row r="816">
          <cell r="A816" t="str">
            <v>DD-J10B-55015-4100-1</v>
          </cell>
          <cell r="B816" t="str">
            <v>垫圈</v>
          </cell>
        </row>
        <row r="817">
          <cell r="A817" t="str">
            <v>DD-J10B-61201-12</v>
          </cell>
          <cell r="B817" t="str">
            <v>接头</v>
          </cell>
        </row>
        <row r="818">
          <cell r="A818" t="str">
            <v>DD-J10B-68074-1710-3</v>
          </cell>
          <cell r="B818" t="str">
            <v>钢管</v>
          </cell>
        </row>
        <row r="819">
          <cell r="A819" t="str">
            <v>DD-J10B-68074-1720-3</v>
          </cell>
          <cell r="B819" t="str">
            <v>钢管</v>
          </cell>
        </row>
        <row r="820">
          <cell r="A820" t="str">
            <v>DD-J10B-94076-803</v>
          </cell>
          <cell r="B820" t="str">
            <v>支架</v>
          </cell>
        </row>
        <row r="823">
          <cell r="A823" t="str">
            <v>备注：</v>
          </cell>
        </row>
        <row r="824">
          <cell r="A824" t="str">
            <v>工装</v>
          </cell>
          <cell r="B824" t="str">
            <v>工装</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alpha val="100000"/>
            </a:srgbClr>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2974"/>
  <sheetViews>
    <sheetView tabSelected="1" workbookViewId="0">
      <pane ySplit="1" topLeftCell="A2" activePane="bottomLeft" state="frozen"/>
      <selection pane="bottomLeft" activeCell="J13" sqref="J13"/>
    </sheetView>
  </sheetViews>
  <sheetFormatPr defaultColWidth="9" defaultRowHeight="14.4" x14ac:dyDescent="0.25"/>
  <cols>
    <col min="1" max="1" width="6.44140625" customWidth="1"/>
    <col min="2" max="2" width="3.44140625" style="7" customWidth="1"/>
    <col min="3" max="3" width="5.44140625" style="7" customWidth="1"/>
    <col min="4" max="4" width="26.21875" style="7" customWidth="1"/>
    <col min="5" max="5" width="19.109375" style="8" customWidth="1"/>
    <col min="6" max="6" width="8.109375" style="9" customWidth="1"/>
    <col min="7" max="7" width="3" style="7" customWidth="1"/>
    <col min="8" max="8" width="4.88671875" style="7" customWidth="1"/>
    <col min="9" max="9" width="10.6640625" style="7" customWidth="1"/>
    <col min="10" max="10" width="5.21875" style="10" customWidth="1"/>
    <col min="11" max="11" width="5.33203125" style="10" customWidth="1"/>
    <col min="12" max="12" width="4" style="11" customWidth="1"/>
    <col min="13" max="13" width="3.88671875" style="11" customWidth="1"/>
    <col min="14" max="14" width="10.88671875" style="12" customWidth="1"/>
    <col min="15" max="15" width="4.21875" style="10" customWidth="1"/>
    <col min="16" max="16" width="7.6640625" style="10" customWidth="1"/>
    <col min="17" max="17" width="5" style="10" customWidth="1"/>
    <col min="18" max="18" width="5.21875" style="10" customWidth="1"/>
    <col min="19" max="19" width="4.33203125" style="11" customWidth="1"/>
    <col min="20" max="20" width="4.21875" style="10" customWidth="1"/>
    <col min="21" max="21" width="4.77734375" style="10" customWidth="1"/>
    <col min="22" max="22" width="4.109375" style="13" customWidth="1"/>
    <col min="23" max="23" width="4.44140625" style="14" customWidth="1"/>
    <col min="24" max="24" width="7.6640625" style="14" customWidth="1"/>
    <col min="25" max="25" width="18.44140625" style="7" customWidth="1"/>
    <col min="26" max="26" width="39.88671875" customWidth="1"/>
    <col min="27" max="27" width="8.109375" customWidth="1"/>
    <col min="253" max="253" width="6.6640625" customWidth="1"/>
    <col min="254" max="254" width="5.109375" customWidth="1"/>
    <col min="255" max="255" width="5.88671875" customWidth="1"/>
    <col min="256" max="256" width="29.6640625" customWidth="1"/>
    <col min="257" max="257" width="24.88671875" customWidth="1"/>
    <col min="258" max="258" width="18.44140625" customWidth="1"/>
    <col min="259" max="259" width="4.88671875" customWidth="1"/>
    <col min="260" max="260" width="6.109375" customWidth="1"/>
    <col min="261" max="261" width="7.6640625" customWidth="1"/>
    <col min="262" max="262" width="5.6640625" customWidth="1"/>
    <col min="263" max="263" width="5.33203125" customWidth="1"/>
    <col min="264" max="265" width="6.33203125" customWidth="1"/>
    <col min="266" max="266" width="10.88671875" customWidth="1"/>
    <col min="267" max="270" width="7.6640625" customWidth="1"/>
    <col min="271" max="271" width="4.33203125" customWidth="1"/>
    <col min="272" max="273" width="7.6640625" customWidth="1"/>
    <col min="274" max="274" width="4.109375" customWidth="1"/>
    <col min="275" max="275" width="7.6640625" customWidth="1"/>
    <col min="276" max="276" width="4.33203125" customWidth="1"/>
    <col min="277" max="277" width="18.6640625" customWidth="1"/>
    <col min="278" max="278" width="47.77734375" customWidth="1"/>
    <col min="279" max="279" width="9.44140625" customWidth="1"/>
    <col min="509" max="509" width="6.6640625" customWidth="1"/>
    <col min="510" max="510" width="5.109375" customWidth="1"/>
    <col min="511" max="511" width="5.88671875" customWidth="1"/>
    <col min="512" max="512" width="29.6640625" customWidth="1"/>
    <col min="513" max="513" width="24.88671875" customWidth="1"/>
    <col min="514" max="514" width="18.44140625" customWidth="1"/>
    <col min="515" max="515" width="4.88671875" customWidth="1"/>
    <col min="516" max="516" width="6.109375" customWidth="1"/>
    <col min="517" max="517" width="7.6640625" customWidth="1"/>
    <col min="518" max="518" width="5.6640625" customWidth="1"/>
    <col min="519" max="519" width="5.33203125" customWidth="1"/>
    <col min="520" max="521" width="6.33203125" customWidth="1"/>
    <col min="522" max="522" width="10.88671875" customWidth="1"/>
    <col min="523" max="526" width="7.6640625" customWidth="1"/>
    <col min="527" max="527" width="4.33203125" customWidth="1"/>
    <col min="528" max="529" width="7.6640625" customWidth="1"/>
    <col min="530" max="530" width="4.109375" customWidth="1"/>
    <col min="531" max="531" width="7.6640625" customWidth="1"/>
    <col min="532" max="532" width="4.33203125" customWidth="1"/>
    <col min="533" max="533" width="18.6640625" customWidth="1"/>
    <col min="534" max="534" width="47.77734375" customWidth="1"/>
    <col min="535" max="535" width="9.44140625" customWidth="1"/>
    <col min="765" max="765" width="6.6640625" customWidth="1"/>
    <col min="766" max="766" width="5.109375" customWidth="1"/>
    <col min="767" max="767" width="5.88671875" customWidth="1"/>
    <col min="768" max="768" width="29.6640625" customWidth="1"/>
    <col min="769" max="769" width="24.88671875" customWidth="1"/>
    <col min="770" max="770" width="18.44140625" customWidth="1"/>
    <col min="771" max="771" width="4.88671875" customWidth="1"/>
    <col min="772" max="772" width="6.109375" customWidth="1"/>
    <col min="773" max="773" width="7.6640625" customWidth="1"/>
    <col min="774" max="774" width="5.6640625" customWidth="1"/>
    <col min="775" max="775" width="5.33203125" customWidth="1"/>
    <col min="776" max="777" width="6.33203125" customWidth="1"/>
    <col min="778" max="778" width="10.88671875" customWidth="1"/>
    <col min="779" max="782" width="7.6640625" customWidth="1"/>
    <col min="783" max="783" width="4.33203125" customWidth="1"/>
    <col min="784" max="785" width="7.6640625" customWidth="1"/>
    <col min="786" max="786" width="4.109375" customWidth="1"/>
    <col min="787" max="787" width="7.6640625" customWidth="1"/>
    <col min="788" max="788" width="4.33203125" customWidth="1"/>
    <col min="789" max="789" width="18.6640625" customWidth="1"/>
    <col min="790" max="790" width="47.77734375" customWidth="1"/>
    <col min="791" max="791" width="9.44140625" customWidth="1"/>
    <col min="1021" max="1021" width="6.6640625" customWidth="1"/>
    <col min="1022" max="1022" width="5.109375" customWidth="1"/>
    <col min="1023" max="1023" width="5.88671875" customWidth="1"/>
    <col min="1024" max="1024" width="29.6640625" customWidth="1"/>
    <col min="1025" max="1025" width="24.88671875" customWidth="1"/>
    <col min="1026" max="1026" width="18.44140625" customWidth="1"/>
    <col min="1027" max="1027" width="4.88671875" customWidth="1"/>
    <col min="1028" max="1028" width="6.109375" customWidth="1"/>
    <col min="1029" max="1029" width="7.6640625" customWidth="1"/>
    <col min="1030" max="1030" width="5.6640625" customWidth="1"/>
    <col min="1031" max="1031" width="5.33203125" customWidth="1"/>
    <col min="1032" max="1033" width="6.33203125" customWidth="1"/>
    <col min="1034" max="1034" width="10.88671875" customWidth="1"/>
    <col min="1035" max="1038" width="7.6640625" customWidth="1"/>
    <col min="1039" max="1039" width="4.33203125" customWidth="1"/>
    <col min="1040" max="1041" width="7.6640625" customWidth="1"/>
    <col min="1042" max="1042" width="4.109375" customWidth="1"/>
    <col min="1043" max="1043" width="7.6640625" customWidth="1"/>
    <col min="1044" max="1044" width="4.33203125" customWidth="1"/>
    <col min="1045" max="1045" width="18.6640625" customWidth="1"/>
    <col min="1046" max="1046" width="47.77734375" customWidth="1"/>
    <col min="1047" max="1047" width="9.44140625" customWidth="1"/>
    <col min="1277" max="1277" width="6.6640625" customWidth="1"/>
    <col min="1278" max="1278" width="5.109375" customWidth="1"/>
    <col min="1279" max="1279" width="5.88671875" customWidth="1"/>
    <col min="1280" max="1280" width="29.6640625" customWidth="1"/>
    <col min="1281" max="1281" width="24.88671875" customWidth="1"/>
    <col min="1282" max="1282" width="18.44140625" customWidth="1"/>
    <col min="1283" max="1283" width="4.88671875" customWidth="1"/>
    <col min="1284" max="1284" width="6.109375" customWidth="1"/>
    <col min="1285" max="1285" width="7.6640625" customWidth="1"/>
    <col min="1286" max="1286" width="5.6640625" customWidth="1"/>
    <col min="1287" max="1287" width="5.33203125" customWidth="1"/>
    <col min="1288" max="1289" width="6.33203125" customWidth="1"/>
    <col min="1290" max="1290" width="10.88671875" customWidth="1"/>
    <col min="1291" max="1294" width="7.6640625" customWidth="1"/>
    <col min="1295" max="1295" width="4.33203125" customWidth="1"/>
    <col min="1296" max="1297" width="7.6640625" customWidth="1"/>
    <col min="1298" max="1298" width="4.109375" customWidth="1"/>
    <col min="1299" max="1299" width="7.6640625" customWidth="1"/>
    <col min="1300" max="1300" width="4.33203125" customWidth="1"/>
    <col min="1301" max="1301" width="18.6640625" customWidth="1"/>
    <col min="1302" max="1302" width="47.77734375" customWidth="1"/>
    <col min="1303" max="1303" width="9.44140625" customWidth="1"/>
    <col min="1533" max="1533" width="6.6640625" customWidth="1"/>
    <col min="1534" max="1534" width="5.109375" customWidth="1"/>
    <col min="1535" max="1535" width="5.88671875" customWidth="1"/>
    <col min="1536" max="1536" width="29.6640625" customWidth="1"/>
    <col min="1537" max="1537" width="24.88671875" customWidth="1"/>
    <col min="1538" max="1538" width="18.44140625" customWidth="1"/>
    <col min="1539" max="1539" width="4.88671875" customWidth="1"/>
    <col min="1540" max="1540" width="6.109375" customWidth="1"/>
    <col min="1541" max="1541" width="7.6640625" customWidth="1"/>
    <col min="1542" max="1542" width="5.6640625" customWidth="1"/>
    <col min="1543" max="1543" width="5.33203125" customWidth="1"/>
    <col min="1544" max="1545" width="6.33203125" customWidth="1"/>
    <col min="1546" max="1546" width="10.88671875" customWidth="1"/>
    <col min="1547" max="1550" width="7.6640625" customWidth="1"/>
    <col min="1551" max="1551" width="4.33203125" customWidth="1"/>
    <col min="1552" max="1553" width="7.6640625" customWidth="1"/>
    <col min="1554" max="1554" width="4.109375" customWidth="1"/>
    <col min="1555" max="1555" width="7.6640625" customWidth="1"/>
    <col min="1556" max="1556" width="4.33203125" customWidth="1"/>
    <col min="1557" max="1557" width="18.6640625" customWidth="1"/>
    <col min="1558" max="1558" width="47.77734375" customWidth="1"/>
    <col min="1559" max="1559" width="9.44140625" customWidth="1"/>
    <col min="1789" max="1789" width="6.6640625" customWidth="1"/>
    <col min="1790" max="1790" width="5.109375" customWidth="1"/>
    <col min="1791" max="1791" width="5.88671875" customWidth="1"/>
    <col min="1792" max="1792" width="29.6640625" customWidth="1"/>
    <col min="1793" max="1793" width="24.88671875" customWidth="1"/>
    <col min="1794" max="1794" width="18.44140625" customWidth="1"/>
    <col min="1795" max="1795" width="4.88671875" customWidth="1"/>
    <col min="1796" max="1796" width="6.109375" customWidth="1"/>
    <col min="1797" max="1797" width="7.6640625" customWidth="1"/>
    <col min="1798" max="1798" width="5.6640625" customWidth="1"/>
    <col min="1799" max="1799" width="5.33203125" customWidth="1"/>
    <col min="1800" max="1801" width="6.33203125" customWidth="1"/>
    <col min="1802" max="1802" width="10.88671875" customWidth="1"/>
    <col min="1803" max="1806" width="7.6640625" customWidth="1"/>
    <col min="1807" max="1807" width="4.33203125" customWidth="1"/>
    <col min="1808" max="1809" width="7.6640625" customWidth="1"/>
    <col min="1810" max="1810" width="4.109375" customWidth="1"/>
    <col min="1811" max="1811" width="7.6640625" customWidth="1"/>
    <col min="1812" max="1812" width="4.33203125" customWidth="1"/>
    <col min="1813" max="1813" width="18.6640625" customWidth="1"/>
    <col min="1814" max="1814" width="47.77734375" customWidth="1"/>
    <col min="1815" max="1815" width="9.44140625" customWidth="1"/>
    <col min="2045" max="2045" width="6.6640625" customWidth="1"/>
    <col min="2046" max="2046" width="5.109375" customWidth="1"/>
    <col min="2047" max="2047" width="5.88671875" customWidth="1"/>
    <col min="2048" max="2048" width="29.6640625" customWidth="1"/>
    <col min="2049" max="2049" width="24.88671875" customWidth="1"/>
    <col min="2050" max="2050" width="18.44140625" customWidth="1"/>
    <col min="2051" max="2051" width="4.88671875" customWidth="1"/>
    <col min="2052" max="2052" width="6.109375" customWidth="1"/>
    <col min="2053" max="2053" width="7.6640625" customWidth="1"/>
    <col min="2054" max="2054" width="5.6640625" customWidth="1"/>
    <col min="2055" max="2055" width="5.33203125" customWidth="1"/>
    <col min="2056" max="2057" width="6.33203125" customWidth="1"/>
    <col min="2058" max="2058" width="10.88671875" customWidth="1"/>
    <col min="2059" max="2062" width="7.6640625" customWidth="1"/>
    <col min="2063" max="2063" width="4.33203125" customWidth="1"/>
    <col min="2064" max="2065" width="7.6640625" customWidth="1"/>
    <col min="2066" max="2066" width="4.109375" customWidth="1"/>
    <col min="2067" max="2067" width="7.6640625" customWidth="1"/>
    <col min="2068" max="2068" width="4.33203125" customWidth="1"/>
    <col min="2069" max="2069" width="18.6640625" customWidth="1"/>
    <col min="2070" max="2070" width="47.77734375" customWidth="1"/>
    <col min="2071" max="2071" width="9.44140625" customWidth="1"/>
    <col min="2301" max="2301" width="6.6640625" customWidth="1"/>
    <col min="2302" max="2302" width="5.109375" customWidth="1"/>
    <col min="2303" max="2303" width="5.88671875" customWidth="1"/>
    <col min="2304" max="2304" width="29.6640625" customWidth="1"/>
    <col min="2305" max="2305" width="24.88671875" customWidth="1"/>
    <col min="2306" max="2306" width="18.44140625" customWidth="1"/>
    <col min="2307" max="2307" width="4.88671875" customWidth="1"/>
    <col min="2308" max="2308" width="6.109375" customWidth="1"/>
    <col min="2309" max="2309" width="7.6640625" customWidth="1"/>
    <col min="2310" max="2310" width="5.6640625" customWidth="1"/>
    <col min="2311" max="2311" width="5.33203125" customWidth="1"/>
    <col min="2312" max="2313" width="6.33203125" customWidth="1"/>
    <col min="2314" max="2314" width="10.88671875" customWidth="1"/>
    <col min="2315" max="2318" width="7.6640625" customWidth="1"/>
    <col min="2319" max="2319" width="4.33203125" customWidth="1"/>
    <col min="2320" max="2321" width="7.6640625" customWidth="1"/>
    <col min="2322" max="2322" width="4.109375" customWidth="1"/>
    <col min="2323" max="2323" width="7.6640625" customWidth="1"/>
    <col min="2324" max="2324" width="4.33203125" customWidth="1"/>
    <col min="2325" max="2325" width="18.6640625" customWidth="1"/>
    <col min="2326" max="2326" width="47.77734375" customWidth="1"/>
    <col min="2327" max="2327" width="9.44140625" customWidth="1"/>
    <col min="2557" max="2557" width="6.6640625" customWidth="1"/>
    <col min="2558" max="2558" width="5.109375" customWidth="1"/>
    <col min="2559" max="2559" width="5.88671875" customWidth="1"/>
    <col min="2560" max="2560" width="29.6640625" customWidth="1"/>
    <col min="2561" max="2561" width="24.88671875" customWidth="1"/>
    <col min="2562" max="2562" width="18.44140625" customWidth="1"/>
    <col min="2563" max="2563" width="4.88671875" customWidth="1"/>
    <col min="2564" max="2564" width="6.109375" customWidth="1"/>
    <col min="2565" max="2565" width="7.6640625" customWidth="1"/>
    <col min="2566" max="2566" width="5.6640625" customWidth="1"/>
    <col min="2567" max="2567" width="5.33203125" customWidth="1"/>
    <col min="2568" max="2569" width="6.33203125" customWidth="1"/>
    <col min="2570" max="2570" width="10.88671875" customWidth="1"/>
    <col min="2571" max="2574" width="7.6640625" customWidth="1"/>
    <col min="2575" max="2575" width="4.33203125" customWidth="1"/>
    <col min="2576" max="2577" width="7.6640625" customWidth="1"/>
    <col min="2578" max="2578" width="4.109375" customWidth="1"/>
    <col min="2579" max="2579" width="7.6640625" customWidth="1"/>
    <col min="2580" max="2580" width="4.33203125" customWidth="1"/>
    <col min="2581" max="2581" width="18.6640625" customWidth="1"/>
    <col min="2582" max="2582" width="47.77734375" customWidth="1"/>
    <col min="2583" max="2583" width="9.44140625" customWidth="1"/>
    <col min="2813" max="2813" width="6.6640625" customWidth="1"/>
    <col min="2814" max="2814" width="5.109375" customWidth="1"/>
    <col min="2815" max="2815" width="5.88671875" customWidth="1"/>
    <col min="2816" max="2816" width="29.6640625" customWidth="1"/>
    <col min="2817" max="2817" width="24.88671875" customWidth="1"/>
    <col min="2818" max="2818" width="18.44140625" customWidth="1"/>
    <col min="2819" max="2819" width="4.88671875" customWidth="1"/>
    <col min="2820" max="2820" width="6.109375" customWidth="1"/>
    <col min="2821" max="2821" width="7.6640625" customWidth="1"/>
    <col min="2822" max="2822" width="5.6640625" customWidth="1"/>
    <col min="2823" max="2823" width="5.33203125" customWidth="1"/>
    <col min="2824" max="2825" width="6.33203125" customWidth="1"/>
    <col min="2826" max="2826" width="10.88671875" customWidth="1"/>
    <col min="2827" max="2830" width="7.6640625" customWidth="1"/>
    <col min="2831" max="2831" width="4.33203125" customWidth="1"/>
    <col min="2832" max="2833" width="7.6640625" customWidth="1"/>
    <col min="2834" max="2834" width="4.109375" customWidth="1"/>
    <col min="2835" max="2835" width="7.6640625" customWidth="1"/>
    <col min="2836" max="2836" width="4.33203125" customWidth="1"/>
    <col min="2837" max="2837" width="18.6640625" customWidth="1"/>
    <col min="2838" max="2838" width="47.77734375" customWidth="1"/>
    <col min="2839" max="2839" width="9.44140625" customWidth="1"/>
    <col min="3069" max="3069" width="6.6640625" customWidth="1"/>
    <col min="3070" max="3070" width="5.109375" customWidth="1"/>
    <col min="3071" max="3071" width="5.88671875" customWidth="1"/>
    <col min="3072" max="3072" width="29.6640625" customWidth="1"/>
    <col min="3073" max="3073" width="24.88671875" customWidth="1"/>
    <col min="3074" max="3074" width="18.44140625" customWidth="1"/>
    <col min="3075" max="3075" width="4.88671875" customWidth="1"/>
    <col min="3076" max="3076" width="6.109375" customWidth="1"/>
    <col min="3077" max="3077" width="7.6640625" customWidth="1"/>
    <col min="3078" max="3078" width="5.6640625" customWidth="1"/>
    <col min="3079" max="3079" width="5.33203125" customWidth="1"/>
    <col min="3080" max="3081" width="6.33203125" customWidth="1"/>
    <col min="3082" max="3082" width="10.88671875" customWidth="1"/>
    <col min="3083" max="3086" width="7.6640625" customWidth="1"/>
    <col min="3087" max="3087" width="4.33203125" customWidth="1"/>
    <col min="3088" max="3089" width="7.6640625" customWidth="1"/>
    <col min="3090" max="3090" width="4.109375" customWidth="1"/>
    <col min="3091" max="3091" width="7.6640625" customWidth="1"/>
    <col min="3092" max="3092" width="4.33203125" customWidth="1"/>
    <col min="3093" max="3093" width="18.6640625" customWidth="1"/>
    <col min="3094" max="3094" width="47.77734375" customWidth="1"/>
    <col min="3095" max="3095" width="9.44140625" customWidth="1"/>
    <col min="3325" max="3325" width="6.6640625" customWidth="1"/>
    <col min="3326" max="3326" width="5.109375" customWidth="1"/>
    <col min="3327" max="3327" width="5.88671875" customWidth="1"/>
    <col min="3328" max="3328" width="29.6640625" customWidth="1"/>
    <col min="3329" max="3329" width="24.88671875" customWidth="1"/>
    <col min="3330" max="3330" width="18.44140625" customWidth="1"/>
    <col min="3331" max="3331" width="4.88671875" customWidth="1"/>
    <col min="3332" max="3332" width="6.109375" customWidth="1"/>
    <col min="3333" max="3333" width="7.6640625" customWidth="1"/>
    <col min="3334" max="3334" width="5.6640625" customWidth="1"/>
    <col min="3335" max="3335" width="5.33203125" customWidth="1"/>
    <col min="3336" max="3337" width="6.33203125" customWidth="1"/>
    <col min="3338" max="3338" width="10.88671875" customWidth="1"/>
    <col min="3339" max="3342" width="7.6640625" customWidth="1"/>
    <col min="3343" max="3343" width="4.33203125" customWidth="1"/>
    <col min="3344" max="3345" width="7.6640625" customWidth="1"/>
    <col min="3346" max="3346" width="4.109375" customWidth="1"/>
    <col min="3347" max="3347" width="7.6640625" customWidth="1"/>
    <col min="3348" max="3348" width="4.33203125" customWidth="1"/>
    <col min="3349" max="3349" width="18.6640625" customWidth="1"/>
    <col min="3350" max="3350" width="47.77734375" customWidth="1"/>
    <col min="3351" max="3351" width="9.44140625" customWidth="1"/>
    <col min="3581" max="3581" width="6.6640625" customWidth="1"/>
    <col min="3582" max="3582" width="5.109375" customWidth="1"/>
    <col min="3583" max="3583" width="5.88671875" customWidth="1"/>
    <col min="3584" max="3584" width="29.6640625" customWidth="1"/>
    <col min="3585" max="3585" width="24.88671875" customWidth="1"/>
    <col min="3586" max="3586" width="18.44140625" customWidth="1"/>
    <col min="3587" max="3587" width="4.88671875" customWidth="1"/>
    <col min="3588" max="3588" width="6.109375" customWidth="1"/>
    <col min="3589" max="3589" width="7.6640625" customWidth="1"/>
    <col min="3590" max="3590" width="5.6640625" customWidth="1"/>
    <col min="3591" max="3591" width="5.33203125" customWidth="1"/>
    <col min="3592" max="3593" width="6.33203125" customWidth="1"/>
    <col min="3594" max="3594" width="10.88671875" customWidth="1"/>
    <col min="3595" max="3598" width="7.6640625" customWidth="1"/>
    <col min="3599" max="3599" width="4.33203125" customWidth="1"/>
    <col min="3600" max="3601" width="7.6640625" customWidth="1"/>
    <col min="3602" max="3602" width="4.109375" customWidth="1"/>
    <col min="3603" max="3603" width="7.6640625" customWidth="1"/>
    <col min="3604" max="3604" width="4.33203125" customWidth="1"/>
    <col min="3605" max="3605" width="18.6640625" customWidth="1"/>
    <col min="3606" max="3606" width="47.77734375" customWidth="1"/>
    <col min="3607" max="3607" width="9.44140625" customWidth="1"/>
    <col min="3837" max="3837" width="6.6640625" customWidth="1"/>
    <col min="3838" max="3838" width="5.109375" customWidth="1"/>
    <col min="3839" max="3839" width="5.88671875" customWidth="1"/>
    <col min="3840" max="3840" width="29.6640625" customWidth="1"/>
    <col min="3841" max="3841" width="24.88671875" customWidth="1"/>
    <col min="3842" max="3842" width="18.44140625" customWidth="1"/>
    <col min="3843" max="3843" width="4.88671875" customWidth="1"/>
    <col min="3844" max="3844" width="6.109375" customWidth="1"/>
    <col min="3845" max="3845" width="7.6640625" customWidth="1"/>
    <col min="3846" max="3846" width="5.6640625" customWidth="1"/>
    <col min="3847" max="3847" width="5.33203125" customWidth="1"/>
    <col min="3848" max="3849" width="6.33203125" customWidth="1"/>
    <col min="3850" max="3850" width="10.88671875" customWidth="1"/>
    <col min="3851" max="3854" width="7.6640625" customWidth="1"/>
    <col min="3855" max="3855" width="4.33203125" customWidth="1"/>
    <col min="3856" max="3857" width="7.6640625" customWidth="1"/>
    <col min="3858" max="3858" width="4.109375" customWidth="1"/>
    <col min="3859" max="3859" width="7.6640625" customWidth="1"/>
    <col min="3860" max="3860" width="4.33203125" customWidth="1"/>
    <col min="3861" max="3861" width="18.6640625" customWidth="1"/>
    <col min="3862" max="3862" width="47.77734375" customWidth="1"/>
    <col min="3863" max="3863" width="9.44140625" customWidth="1"/>
    <col min="4093" max="4093" width="6.6640625" customWidth="1"/>
    <col min="4094" max="4094" width="5.109375" customWidth="1"/>
    <col min="4095" max="4095" width="5.88671875" customWidth="1"/>
    <col min="4096" max="4096" width="29.6640625" customWidth="1"/>
    <col min="4097" max="4097" width="24.88671875" customWidth="1"/>
    <col min="4098" max="4098" width="18.44140625" customWidth="1"/>
    <col min="4099" max="4099" width="4.88671875" customWidth="1"/>
    <col min="4100" max="4100" width="6.109375" customWidth="1"/>
    <col min="4101" max="4101" width="7.6640625" customWidth="1"/>
    <col min="4102" max="4102" width="5.6640625" customWidth="1"/>
    <col min="4103" max="4103" width="5.33203125" customWidth="1"/>
    <col min="4104" max="4105" width="6.33203125" customWidth="1"/>
    <col min="4106" max="4106" width="10.88671875" customWidth="1"/>
    <col min="4107" max="4110" width="7.6640625" customWidth="1"/>
    <col min="4111" max="4111" width="4.33203125" customWidth="1"/>
    <col min="4112" max="4113" width="7.6640625" customWidth="1"/>
    <col min="4114" max="4114" width="4.109375" customWidth="1"/>
    <col min="4115" max="4115" width="7.6640625" customWidth="1"/>
    <col min="4116" max="4116" width="4.33203125" customWidth="1"/>
    <col min="4117" max="4117" width="18.6640625" customWidth="1"/>
    <col min="4118" max="4118" width="47.77734375" customWidth="1"/>
    <col min="4119" max="4119" width="9.44140625" customWidth="1"/>
    <col min="4349" max="4349" width="6.6640625" customWidth="1"/>
    <col min="4350" max="4350" width="5.109375" customWidth="1"/>
    <col min="4351" max="4351" width="5.88671875" customWidth="1"/>
    <col min="4352" max="4352" width="29.6640625" customWidth="1"/>
    <col min="4353" max="4353" width="24.88671875" customWidth="1"/>
    <col min="4354" max="4354" width="18.44140625" customWidth="1"/>
    <col min="4355" max="4355" width="4.88671875" customWidth="1"/>
    <col min="4356" max="4356" width="6.109375" customWidth="1"/>
    <col min="4357" max="4357" width="7.6640625" customWidth="1"/>
    <col min="4358" max="4358" width="5.6640625" customWidth="1"/>
    <col min="4359" max="4359" width="5.33203125" customWidth="1"/>
    <col min="4360" max="4361" width="6.33203125" customWidth="1"/>
    <col min="4362" max="4362" width="10.88671875" customWidth="1"/>
    <col min="4363" max="4366" width="7.6640625" customWidth="1"/>
    <col min="4367" max="4367" width="4.33203125" customWidth="1"/>
    <col min="4368" max="4369" width="7.6640625" customWidth="1"/>
    <col min="4370" max="4370" width="4.109375" customWidth="1"/>
    <col min="4371" max="4371" width="7.6640625" customWidth="1"/>
    <col min="4372" max="4372" width="4.33203125" customWidth="1"/>
    <col min="4373" max="4373" width="18.6640625" customWidth="1"/>
    <col min="4374" max="4374" width="47.77734375" customWidth="1"/>
    <col min="4375" max="4375" width="9.44140625" customWidth="1"/>
    <col min="4605" max="4605" width="6.6640625" customWidth="1"/>
    <col min="4606" max="4606" width="5.109375" customWidth="1"/>
    <col min="4607" max="4607" width="5.88671875" customWidth="1"/>
    <col min="4608" max="4608" width="29.6640625" customWidth="1"/>
    <col min="4609" max="4609" width="24.88671875" customWidth="1"/>
    <col min="4610" max="4610" width="18.44140625" customWidth="1"/>
    <col min="4611" max="4611" width="4.88671875" customWidth="1"/>
    <col min="4612" max="4612" width="6.109375" customWidth="1"/>
    <col min="4613" max="4613" width="7.6640625" customWidth="1"/>
    <col min="4614" max="4614" width="5.6640625" customWidth="1"/>
    <col min="4615" max="4615" width="5.33203125" customWidth="1"/>
    <col min="4616" max="4617" width="6.33203125" customWidth="1"/>
    <col min="4618" max="4618" width="10.88671875" customWidth="1"/>
    <col min="4619" max="4622" width="7.6640625" customWidth="1"/>
    <col min="4623" max="4623" width="4.33203125" customWidth="1"/>
    <col min="4624" max="4625" width="7.6640625" customWidth="1"/>
    <col min="4626" max="4626" width="4.109375" customWidth="1"/>
    <col min="4627" max="4627" width="7.6640625" customWidth="1"/>
    <col min="4628" max="4628" width="4.33203125" customWidth="1"/>
    <col min="4629" max="4629" width="18.6640625" customWidth="1"/>
    <col min="4630" max="4630" width="47.77734375" customWidth="1"/>
    <col min="4631" max="4631" width="9.44140625" customWidth="1"/>
    <col min="4861" max="4861" width="6.6640625" customWidth="1"/>
    <col min="4862" max="4862" width="5.109375" customWidth="1"/>
    <col min="4863" max="4863" width="5.88671875" customWidth="1"/>
    <col min="4864" max="4864" width="29.6640625" customWidth="1"/>
    <col min="4865" max="4865" width="24.88671875" customWidth="1"/>
    <col min="4866" max="4866" width="18.44140625" customWidth="1"/>
    <col min="4867" max="4867" width="4.88671875" customWidth="1"/>
    <col min="4868" max="4868" width="6.109375" customWidth="1"/>
    <col min="4869" max="4869" width="7.6640625" customWidth="1"/>
    <col min="4870" max="4870" width="5.6640625" customWidth="1"/>
    <col min="4871" max="4871" width="5.33203125" customWidth="1"/>
    <col min="4872" max="4873" width="6.33203125" customWidth="1"/>
    <col min="4874" max="4874" width="10.88671875" customWidth="1"/>
    <col min="4875" max="4878" width="7.6640625" customWidth="1"/>
    <col min="4879" max="4879" width="4.33203125" customWidth="1"/>
    <col min="4880" max="4881" width="7.6640625" customWidth="1"/>
    <col min="4882" max="4882" width="4.109375" customWidth="1"/>
    <col min="4883" max="4883" width="7.6640625" customWidth="1"/>
    <col min="4884" max="4884" width="4.33203125" customWidth="1"/>
    <col min="4885" max="4885" width="18.6640625" customWidth="1"/>
    <col min="4886" max="4886" width="47.77734375" customWidth="1"/>
    <col min="4887" max="4887" width="9.44140625" customWidth="1"/>
    <col min="5117" max="5117" width="6.6640625" customWidth="1"/>
    <col min="5118" max="5118" width="5.109375" customWidth="1"/>
    <col min="5119" max="5119" width="5.88671875" customWidth="1"/>
    <col min="5120" max="5120" width="29.6640625" customWidth="1"/>
    <col min="5121" max="5121" width="24.88671875" customWidth="1"/>
    <col min="5122" max="5122" width="18.44140625" customWidth="1"/>
    <col min="5123" max="5123" width="4.88671875" customWidth="1"/>
    <col min="5124" max="5124" width="6.109375" customWidth="1"/>
    <col min="5125" max="5125" width="7.6640625" customWidth="1"/>
    <col min="5126" max="5126" width="5.6640625" customWidth="1"/>
    <col min="5127" max="5127" width="5.33203125" customWidth="1"/>
    <col min="5128" max="5129" width="6.33203125" customWidth="1"/>
    <col min="5130" max="5130" width="10.88671875" customWidth="1"/>
    <col min="5131" max="5134" width="7.6640625" customWidth="1"/>
    <col min="5135" max="5135" width="4.33203125" customWidth="1"/>
    <col min="5136" max="5137" width="7.6640625" customWidth="1"/>
    <col min="5138" max="5138" width="4.109375" customWidth="1"/>
    <col min="5139" max="5139" width="7.6640625" customWidth="1"/>
    <col min="5140" max="5140" width="4.33203125" customWidth="1"/>
    <col min="5141" max="5141" width="18.6640625" customWidth="1"/>
    <col min="5142" max="5142" width="47.77734375" customWidth="1"/>
    <col min="5143" max="5143" width="9.44140625" customWidth="1"/>
    <col min="5373" max="5373" width="6.6640625" customWidth="1"/>
    <col min="5374" max="5374" width="5.109375" customWidth="1"/>
    <col min="5375" max="5375" width="5.88671875" customWidth="1"/>
    <col min="5376" max="5376" width="29.6640625" customWidth="1"/>
    <col min="5377" max="5377" width="24.88671875" customWidth="1"/>
    <col min="5378" max="5378" width="18.44140625" customWidth="1"/>
    <col min="5379" max="5379" width="4.88671875" customWidth="1"/>
    <col min="5380" max="5380" width="6.109375" customWidth="1"/>
    <col min="5381" max="5381" width="7.6640625" customWidth="1"/>
    <col min="5382" max="5382" width="5.6640625" customWidth="1"/>
    <col min="5383" max="5383" width="5.33203125" customWidth="1"/>
    <col min="5384" max="5385" width="6.33203125" customWidth="1"/>
    <col min="5386" max="5386" width="10.88671875" customWidth="1"/>
    <col min="5387" max="5390" width="7.6640625" customWidth="1"/>
    <col min="5391" max="5391" width="4.33203125" customWidth="1"/>
    <col min="5392" max="5393" width="7.6640625" customWidth="1"/>
    <col min="5394" max="5394" width="4.109375" customWidth="1"/>
    <col min="5395" max="5395" width="7.6640625" customWidth="1"/>
    <col min="5396" max="5396" width="4.33203125" customWidth="1"/>
    <col min="5397" max="5397" width="18.6640625" customWidth="1"/>
    <col min="5398" max="5398" width="47.77734375" customWidth="1"/>
    <col min="5399" max="5399" width="9.44140625" customWidth="1"/>
    <col min="5629" max="5629" width="6.6640625" customWidth="1"/>
    <col min="5630" max="5630" width="5.109375" customWidth="1"/>
    <col min="5631" max="5631" width="5.88671875" customWidth="1"/>
    <col min="5632" max="5632" width="29.6640625" customWidth="1"/>
    <col min="5633" max="5633" width="24.88671875" customWidth="1"/>
    <col min="5634" max="5634" width="18.44140625" customWidth="1"/>
    <col min="5635" max="5635" width="4.88671875" customWidth="1"/>
    <col min="5636" max="5636" width="6.109375" customWidth="1"/>
    <col min="5637" max="5637" width="7.6640625" customWidth="1"/>
    <col min="5638" max="5638" width="5.6640625" customWidth="1"/>
    <col min="5639" max="5639" width="5.33203125" customWidth="1"/>
    <col min="5640" max="5641" width="6.33203125" customWidth="1"/>
    <col min="5642" max="5642" width="10.88671875" customWidth="1"/>
    <col min="5643" max="5646" width="7.6640625" customWidth="1"/>
    <col min="5647" max="5647" width="4.33203125" customWidth="1"/>
    <col min="5648" max="5649" width="7.6640625" customWidth="1"/>
    <col min="5650" max="5650" width="4.109375" customWidth="1"/>
    <col min="5651" max="5651" width="7.6640625" customWidth="1"/>
    <col min="5652" max="5652" width="4.33203125" customWidth="1"/>
    <col min="5653" max="5653" width="18.6640625" customWidth="1"/>
    <col min="5654" max="5654" width="47.77734375" customWidth="1"/>
    <col min="5655" max="5655" width="9.44140625" customWidth="1"/>
    <col min="5885" max="5885" width="6.6640625" customWidth="1"/>
    <col min="5886" max="5886" width="5.109375" customWidth="1"/>
    <col min="5887" max="5887" width="5.88671875" customWidth="1"/>
    <col min="5888" max="5888" width="29.6640625" customWidth="1"/>
    <col min="5889" max="5889" width="24.88671875" customWidth="1"/>
    <col min="5890" max="5890" width="18.44140625" customWidth="1"/>
    <col min="5891" max="5891" width="4.88671875" customWidth="1"/>
    <col min="5892" max="5892" width="6.109375" customWidth="1"/>
    <col min="5893" max="5893" width="7.6640625" customWidth="1"/>
    <col min="5894" max="5894" width="5.6640625" customWidth="1"/>
    <col min="5895" max="5895" width="5.33203125" customWidth="1"/>
    <col min="5896" max="5897" width="6.33203125" customWidth="1"/>
    <col min="5898" max="5898" width="10.88671875" customWidth="1"/>
    <col min="5899" max="5902" width="7.6640625" customWidth="1"/>
    <col min="5903" max="5903" width="4.33203125" customWidth="1"/>
    <col min="5904" max="5905" width="7.6640625" customWidth="1"/>
    <col min="5906" max="5906" width="4.109375" customWidth="1"/>
    <col min="5907" max="5907" width="7.6640625" customWidth="1"/>
    <col min="5908" max="5908" width="4.33203125" customWidth="1"/>
    <col min="5909" max="5909" width="18.6640625" customWidth="1"/>
    <col min="5910" max="5910" width="47.77734375" customWidth="1"/>
    <col min="5911" max="5911" width="9.44140625" customWidth="1"/>
    <col min="6141" max="6141" width="6.6640625" customWidth="1"/>
    <col min="6142" max="6142" width="5.109375" customWidth="1"/>
    <col min="6143" max="6143" width="5.88671875" customWidth="1"/>
    <col min="6144" max="6144" width="29.6640625" customWidth="1"/>
    <col min="6145" max="6145" width="24.88671875" customWidth="1"/>
    <col min="6146" max="6146" width="18.44140625" customWidth="1"/>
    <col min="6147" max="6147" width="4.88671875" customWidth="1"/>
    <col min="6148" max="6148" width="6.109375" customWidth="1"/>
    <col min="6149" max="6149" width="7.6640625" customWidth="1"/>
    <col min="6150" max="6150" width="5.6640625" customWidth="1"/>
    <col min="6151" max="6151" width="5.33203125" customWidth="1"/>
    <col min="6152" max="6153" width="6.33203125" customWidth="1"/>
    <col min="6154" max="6154" width="10.88671875" customWidth="1"/>
    <col min="6155" max="6158" width="7.6640625" customWidth="1"/>
    <col min="6159" max="6159" width="4.33203125" customWidth="1"/>
    <col min="6160" max="6161" width="7.6640625" customWidth="1"/>
    <col min="6162" max="6162" width="4.109375" customWidth="1"/>
    <col min="6163" max="6163" width="7.6640625" customWidth="1"/>
    <col min="6164" max="6164" width="4.33203125" customWidth="1"/>
    <col min="6165" max="6165" width="18.6640625" customWidth="1"/>
    <col min="6166" max="6166" width="47.77734375" customWidth="1"/>
    <col min="6167" max="6167" width="9.44140625" customWidth="1"/>
    <col min="6397" max="6397" width="6.6640625" customWidth="1"/>
    <col min="6398" max="6398" width="5.109375" customWidth="1"/>
    <col min="6399" max="6399" width="5.88671875" customWidth="1"/>
    <col min="6400" max="6400" width="29.6640625" customWidth="1"/>
    <col min="6401" max="6401" width="24.88671875" customWidth="1"/>
    <col min="6402" max="6402" width="18.44140625" customWidth="1"/>
    <col min="6403" max="6403" width="4.88671875" customWidth="1"/>
    <col min="6404" max="6404" width="6.109375" customWidth="1"/>
    <col min="6405" max="6405" width="7.6640625" customWidth="1"/>
    <col min="6406" max="6406" width="5.6640625" customWidth="1"/>
    <col min="6407" max="6407" width="5.33203125" customWidth="1"/>
    <col min="6408" max="6409" width="6.33203125" customWidth="1"/>
    <col min="6410" max="6410" width="10.88671875" customWidth="1"/>
    <col min="6411" max="6414" width="7.6640625" customWidth="1"/>
    <col min="6415" max="6415" width="4.33203125" customWidth="1"/>
    <col min="6416" max="6417" width="7.6640625" customWidth="1"/>
    <col min="6418" max="6418" width="4.109375" customWidth="1"/>
    <col min="6419" max="6419" width="7.6640625" customWidth="1"/>
    <col min="6420" max="6420" width="4.33203125" customWidth="1"/>
    <col min="6421" max="6421" width="18.6640625" customWidth="1"/>
    <col min="6422" max="6422" width="47.77734375" customWidth="1"/>
    <col min="6423" max="6423" width="9.44140625" customWidth="1"/>
    <col min="6653" max="6653" width="6.6640625" customWidth="1"/>
    <col min="6654" max="6654" width="5.109375" customWidth="1"/>
    <col min="6655" max="6655" width="5.88671875" customWidth="1"/>
    <col min="6656" max="6656" width="29.6640625" customWidth="1"/>
    <col min="6657" max="6657" width="24.88671875" customWidth="1"/>
    <col min="6658" max="6658" width="18.44140625" customWidth="1"/>
    <col min="6659" max="6659" width="4.88671875" customWidth="1"/>
    <col min="6660" max="6660" width="6.109375" customWidth="1"/>
    <col min="6661" max="6661" width="7.6640625" customWidth="1"/>
    <col min="6662" max="6662" width="5.6640625" customWidth="1"/>
    <col min="6663" max="6663" width="5.33203125" customWidth="1"/>
    <col min="6664" max="6665" width="6.33203125" customWidth="1"/>
    <col min="6666" max="6666" width="10.88671875" customWidth="1"/>
    <col min="6667" max="6670" width="7.6640625" customWidth="1"/>
    <col min="6671" max="6671" width="4.33203125" customWidth="1"/>
    <col min="6672" max="6673" width="7.6640625" customWidth="1"/>
    <col min="6674" max="6674" width="4.109375" customWidth="1"/>
    <col min="6675" max="6675" width="7.6640625" customWidth="1"/>
    <col min="6676" max="6676" width="4.33203125" customWidth="1"/>
    <col min="6677" max="6677" width="18.6640625" customWidth="1"/>
    <col min="6678" max="6678" width="47.77734375" customWidth="1"/>
    <col min="6679" max="6679" width="9.44140625" customWidth="1"/>
    <col min="6909" max="6909" width="6.6640625" customWidth="1"/>
    <col min="6910" max="6910" width="5.109375" customWidth="1"/>
    <col min="6911" max="6911" width="5.88671875" customWidth="1"/>
    <col min="6912" max="6912" width="29.6640625" customWidth="1"/>
    <col min="6913" max="6913" width="24.88671875" customWidth="1"/>
    <col min="6914" max="6914" width="18.44140625" customWidth="1"/>
    <col min="6915" max="6915" width="4.88671875" customWidth="1"/>
    <col min="6916" max="6916" width="6.109375" customWidth="1"/>
    <col min="6917" max="6917" width="7.6640625" customWidth="1"/>
    <col min="6918" max="6918" width="5.6640625" customWidth="1"/>
    <col min="6919" max="6919" width="5.33203125" customWidth="1"/>
    <col min="6920" max="6921" width="6.33203125" customWidth="1"/>
    <col min="6922" max="6922" width="10.88671875" customWidth="1"/>
    <col min="6923" max="6926" width="7.6640625" customWidth="1"/>
    <col min="6927" max="6927" width="4.33203125" customWidth="1"/>
    <col min="6928" max="6929" width="7.6640625" customWidth="1"/>
    <col min="6930" max="6930" width="4.109375" customWidth="1"/>
    <col min="6931" max="6931" width="7.6640625" customWidth="1"/>
    <col min="6932" max="6932" width="4.33203125" customWidth="1"/>
    <col min="6933" max="6933" width="18.6640625" customWidth="1"/>
    <col min="6934" max="6934" width="47.77734375" customWidth="1"/>
    <col min="6935" max="6935" width="9.44140625" customWidth="1"/>
    <col min="7165" max="7165" width="6.6640625" customWidth="1"/>
    <col min="7166" max="7166" width="5.109375" customWidth="1"/>
    <col min="7167" max="7167" width="5.88671875" customWidth="1"/>
    <col min="7168" max="7168" width="29.6640625" customWidth="1"/>
    <col min="7169" max="7169" width="24.88671875" customWidth="1"/>
    <col min="7170" max="7170" width="18.44140625" customWidth="1"/>
    <col min="7171" max="7171" width="4.88671875" customWidth="1"/>
    <col min="7172" max="7172" width="6.109375" customWidth="1"/>
    <col min="7173" max="7173" width="7.6640625" customWidth="1"/>
    <col min="7174" max="7174" width="5.6640625" customWidth="1"/>
    <col min="7175" max="7175" width="5.33203125" customWidth="1"/>
    <col min="7176" max="7177" width="6.33203125" customWidth="1"/>
    <col min="7178" max="7178" width="10.88671875" customWidth="1"/>
    <col min="7179" max="7182" width="7.6640625" customWidth="1"/>
    <col min="7183" max="7183" width="4.33203125" customWidth="1"/>
    <col min="7184" max="7185" width="7.6640625" customWidth="1"/>
    <col min="7186" max="7186" width="4.109375" customWidth="1"/>
    <col min="7187" max="7187" width="7.6640625" customWidth="1"/>
    <col min="7188" max="7188" width="4.33203125" customWidth="1"/>
    <col min="7189" max="7189" width="18.6640625" customWidth="1"/>
    <col min="7190" max="7190" width="47.77734375" customWidth="1"/>
    <col min="7191" max="7191" width="9.44140625" customWidth="1"/>
    <col min="7421" max="7421" width="6.6640625" customWidth="1"/>
    <col min="7422" max="7422" width="5.109375" customWidth="1"/>
    <col min="7423" max="7423" width="5.88671875" customWidth="1"/>
    <col min="7424" max="7424" width="29.6640625" customWidth="1"/>
    <col min="7425" max="7425" width="24.88671875" customWidth="1"/>
    <col min="7426" max="7426" width="18.44140625" customWidth="1"/>
    <col min="7427" max="7427" width="4.88671875" customWidth="1"/>
    <col min="7428" max="7428" width="6.109375" customWidth="1"/>
    <col min="7429" max="7429" width="7.6640625" customWidth="1"/>
    <col min="7430" max="7430" width="5.6640625" customWidth="1"/>
    <col min="7431" max="7431" width="5.33203125" customWidth="1"/>
    <col min="7432" max="7433" width="6.33203125" customWidth="1"/>
    <col min="7434" max="7434" width="10.88671875" customWidth="1"/>
    <col min="7435" max="7438" width="7.6640625" customWidth="1"/>
    <col min="7439" max="7439" width="4.33203125" customWidth="1"/>
    <col min="7440" max="7441" width="7.6640625" customWidth="1"/>
    <col min="7442" max="7442" width="4.109375" customWidth="1"/>
    <col min="7443" max="7443" width="7.6640625" customWidth="1"/>
    <col min="7444" max="7444" width="4.33203125" customWidth="1"/>
    <col min="7445" max="7445" width="18.6640625" customWidth="1"/>
    <col min="7446" max="7446" width="47.77734375" customWidth="1"/>
    <col min="7447" max="7447" width="9.44140625" customWidth="1"/>
    <col min="7677" max="7677" width="6.6640625" customWidth="1"/>
    <col min="7678" max="7678" width="5.109375" customWidth="1"/>
    <col min="7679" max="7679" width="5.88671875" customWidth="1"/>
    <col min="7680" max="7680" width="29.6640625" customWidth="1"/>
    <col min="7681" max="7681" width="24.88671875" customWidth="1"/>
    <col min="7682" max="7682" width="18.44140625" customWidth="1"/>
    <col min="7683" max="7683" width="4.88671875" customWidth="1"/>
    <col min="7684" max="7684" width="6.109375" customWidth="1"/>
    <col min="7685" max="7685" width="7.6640625" customWidth="1"/>
    <col min="7686" max="7686" width="5.6640625" customWidth="1"/>
    <col min="7687" max="7687" width="5.33203125" customWidth="1"/>
    <col min="7688" max="7689" width="6.33203125" customWidth="1"/>
    <col min="7690" max="7690" width="10.88671875" customWidth="1"/>
    <col min="7691" max="7694" width="7.6640625" customWidth="1"/>
    <col min="7695" max="7695" width="4.33203125" customWidth="1"/>
    <col min="7696" max="7697" width="7.6640625" customWidth="1"/>
    <col min="7698" max="7698" width="4.109375" customWidth="1"/>
    <col min="7699" max="7699" width="7.6640625" customWidth="1"/>
    <col min="7700" max="7700" width="4.33203125" customWidth="1"/>
    <col min="7701" max="7701" width="18.6640625" customWidth="1"/>
    <col min="7702" max="7702" width="47.77734375" customWidth="1"/>
    <col min="7703" max="7703" width="9.44140625" customWidth="1"/>
    <col min="7933" max="7933" width="6.6640625" customWidth="1"/>
    <col min="7934" max="7934" width="5.109375" customWidth="1"/>
    <col min="7935" max="7935" width="5.88671875" customWidth="1"/>
    <col min="7936" max="7936" width="29.6640625" customWidth="1"/>
    <col min="7937" max="7937" width="24.88671875" customWidth="1"/>
    <col min="7938" max="7938" width="18.44140625" customWidth="1"/>
    <col min="7939" max="7939" width="4.88671875" customWidth="1"/>
    <col min="7940" max="7940" width="6.109375" customWidth="1"/>
    <col min="7941" max="7941" width="7.6640625" customWidth="1"/>
    <col min="7942" max="7942" width="5.6640625" customWidth="1"/>
    <col min="7943" max="7943" width="5.33203125" customWidth="1"/>
    <col min="7944" max="7945" width="6.33203125" customWidth="1"/>
    <col min="7946" max="7946" width="10.88671875" customWidth="1"/>
    <col min="7947" max="7950" width="7.6640625" customWidth="1"/>
    <col min="7951" max="7951" width="4.33203125" customWidth="1"/>
    <col min="7952" max="7953" width="7.6640625" customWidth="1"/>
    <col min="7954" max="7954" width="4.109375" customWidth="1"/>
    <col min="7955" max="7955" width="7.6640625" customWidth="1"/>
    <col min="7956" max="7956" width="4.33203125" customWidth="1"/>
    <col min="7957" max="7957" width="18.6640625" customWidth="1"/>
    <col min="7958" max="7958" width="47.77734375" customWidth="1"/>
    <col min="7959" max="7959" width="9.44140625" customWidth="1"/>
    <col min="8189" max="8189" width="6.6640625" customWidth="1"/>
    <col min="8190" max="8190" width="5.109375" customWidth="1"/>
    <col min="8191" max="8191" width="5.88671875" customWidth="1"/>
    <col min="8192" max="8192" width="29.6640625" customWidth="1"/>
    <col min="8193" max="8193" width="24.88671875" customWidth="1"/>
    <col min="8194" max="8194" width="18.44140625" customWidth="1"/>
    <col min="8195" max="8195" width="4.88671875" customWidth="1"/>
    <col min="8196" max="8196" width="6.109375" customWidth="1"/>
    <col min="8197" max="8197" width="7.6640625" customWidth="1"/>
    <col min="8198" max="8198" width="5.6640625" customWidth="1"/>
    <col min="8199" max="8199" width="5.33203125" customWidth="1"/>
    <col min="8200" max="8201" width="6.33203125" customWidth="1"/>
    <col min="8202" max="8202" width="10.88671875" customWidth="1"/>
    <col min="8203" max="8206" width="7.6640625" customWidth="1"/>
    <col min="8207" max="8207" width="4.33203125" customWidth="1"/>
    <col min="8208" max="8209" width="7.6640625" customWidth="1"/>
    <col min="8210" max="8210" width="4.109375" customWidth="1"/>
    <col min="8211" max="8211" width="7.6640625" customWidth="1"/>
    <col min="8212" max="8212" width="4.33203125" customWidth="1"/>
    <col min="8213" max="8213" width="18.6640625" customWidth="1"/>
    <col min="8214" max="8214" width="47.77734375" customWidth="1"/>
    <col min="8215" max="8215" width="9.44140625" customWidth="1"/>
    <col min="8445" max="8445" width="6.6640625" customWidth="1"/>
    <col min="8446" max="8446" width="5.109375" customWidth="1"/>
    <col min="8447" max="8447" width="5.88671875" customWidth="1"/>
    <col min="8448" max="8448" width="29.6640625" customWidth="1"/>
    <col min="8449" max="8449" width="24.88671875" customWidth="1"/>
    <col min="8450" max="8450" width="18.44140625" customWidth="1"/>
    <col min="8451" max="8451" width="4.88671875" customWidth="1"/>
    <col min="8452" max="8452" width="6.109375" customWidth="1"/>
    <col min="8453" max="8453" width="7.6640625" customWidth="1"/>
    <col min="8454" max="8454" width="5.6640625" customWidth="1"/>
    <col min="8455" max="8455" width="5.33203125" customWidth="1"/>
    <col min="8456" max="8457" width="6.33203125" customWidth="1"/>
    <col min="8458" max="8458" width="10.88671875" customWidth="1"/>
    <col min="8459" max="8462" width="7.6640625" customWidth="1"/>
    <col min="8463" max="8463" width="4.33203125" customWidth="1"/>
    <col min="8464" max="8465" width="7.6640625" customWidth="1"/>
    <col min="8466" max="8466" width="4.109375" customWidth="1"/>
    <col min="8467" max="8467" width="7.6640625" customWidth="1"/>
    <col min="8468" max="8468" width="4.33203125" customWidth="1"/>
    <col min="8469" max="8469" width="18.6640625" customWidth="1"/>
    <col min="8470" max="8470" width="47.77734375" customWidth="1"/>
    <col min="8471" max="8471" width="9.44140625" customWidth="1"/>
    <col min="8701" max="8701" width="6.6640625" customWidth="1"/>
    <col min="8702" max="8702" width="5.109375" customWidth="1"/>
    <col min="8703" max="8703" width="5.88671875" customWidth="1"/>
    <col min="8704" max="8704" width="29.6640625" customWidth="1"/>
    <col min="8705" max="8705" width="24.88671875" customWidth="1"/>
    <col min="8706" max="8706" width="18.44140625" customWidth="1"/>
    <col min="8707" max="8707" width="4.88671875" customWidth="1"/>
    <col min="8708" max="8708" width="6.109375" customWidth="1"/>
    <col min="8709" max="8709" width="7.6640625" customWidth="1"/>
    <col min="8710" max="8710" width="5.6640625" customWidth="1"/>
    <col min="8711" max="8711" width="5.33203125" customWidth="1"/>
    <col min="8712" max="8713" width="6.33203125" customWidth="1"/>
    <col min="8714" max="8714" width="10.88671875" customWidth="1"/>
    <col min="8715" max="8718" width="7.6640625" customWidth="1"/>
    <col min="8719" max="8719" width="4.33203125" customWidth="1"/>
    <col min="8720" max="8721" width="7.6640625" customWidth="1"/>
    <col min="8722" max="8722" width="4.109375" customWidth="1"/>
    <col min="8723" max="8723" width="7.6640625" customWidth="1"/>
    <col min="8724" max="8724" width="4.33203125" customWidth="1"/>
    <col min="8725" max="8725" width="18.6640625" customWidth="1"/>
    <col min="8726" max="8726" width="47.77734375" customWidth="1"/>
    <col min="8727" max="8727" width="9.44140625" customWidth="1"/>
    <col min="8957" max="8957" width="6.6640625" customWidth="1"/>
    <col min="8958" max="8958" width="5.109375" customWidth="1"/>
    <col min="8959" max="8959" width="5.88671875" customWidth="1"/>
    <col min="8960" max="8960" width="29.6640625" customWidth="1"/>
    <col min="8961" max="8961" width="24.88671875" customWidth="1"/>
    <col min="8962" max="8962" width="18.44140625" customWidth="1"/>
    <col min="8963" max="8963" width="4.88671875" customWidth="1"/>
    <col min="8964" max="8964" width="6.109375" customWidth="1"/>
    <col min="8965" max="8965" width="7.6640625" customWidth="1"/>
    <col min="8966" max="8966" width="5.6640625" customWidth="1"/>
    <col min="8967" max="8967" width="5.33203125" customWidth="1"/>
    <col min="8968" max="8969" width="6.33203125" customWidth="1"/>
    <col min="8970" max="8970" width="10.88671875" customWidth="1"/>
    <col min="8971" max="8974" width="7.6640625" customWidth="1"/>
    <col min="8975" max="8975" width="4.33203125" customWidth="1"/>
    <col min="8976" max="8977" width="7.6640625" customWidth="1"/>
    <col min="8978" max="8978" width="4.109375" customWidth="1"/>
    <col min="8979" max="8979" width="7.6640625" customWidth="1"/>
    <col min="8980" max="8980" width="4.33203125" customWidth="1"/>
    <col min="8981" max="8981" width="18.6640625" customWidth="1"/>
    <col min="8982" max="8982" width="47.77734375" customWidth="1"/>
    <col min="8983" max="8983" width="9.44140625" customWidth="1"/>
    <col min="9213" max="9213" width="6.6640625" customWidth="1"/>
    <col min="9214" max="9214" width="5.109375" customWidth="1"/>
    <col min="9215" max="9215" width="5.88671875" customWidth="1"/>
    <col min="9216" max="9216" width="29.6640625" customWidth="1"/>
    <col min="9217" max="9217" width="24.88671875" customWidth="1"/>
    <col min="9218" max="9218" width="18.44140625" customWidth="1"/>
    <col min="9219" max="9219" width="4.88671875" customWidth="1"/>
    <col min="9220" max="9220" width="6.109375" customWidth="1"/>
    <col min="9221" max="9221" width="7.6640625" customWidth="1"/>
    <col min="9222" max="9222" width="5.6640625" customWidth="1"/>
    <col min="9223" max="9223" width="5.33203125" customWidth="1"/>
    <col min="9224" max="9225" width="6.33203125" customWidth="1"/>
    <col min="9226" max="9226" width="10.88671875" customWidth="1"/>
    <col min="9227" max="9230" width="7.6640625" customWidth="1"/>
    <col min="9231" max="9231" width="4.33203125" customWidth="1"/>
    <col min="9232" max="9233" width="7.6640625" customWidth="1"/>
    <col min="9234" max="9234" width="4.109375" customWidth="1"/>
    <col min="9235" max="9235" width="7.6640625" customWidth="1"/>
    <col min="9236" max="9236" width="4.33203125" customWidth="1"/>
    <col min="9237" max="9237" width="18.6640625" customWidth="1"/>
    <col min="9238" max="9238" width="47.77734375" customWidth="1"/>
    <col min="9239" max="9239" width="9.44140625" customWidth="1"/>
    <col min="9469" max="9469" width="6.6640625" customWidth="1"/>
    <col min="9470" max="9470" width="5.109375" customWidth="1"/>
    <col min="9471" max="9471" width="5.88671875" customWidth="1"/>
    <col min="9472" max="9472" width="29.6640625" customWidth="1"/>
    <col min="9473" max="9473" width="24.88671875" customWidth="1"/>
    <col min="9474" max="9474" width="18.44140625" customWidth="1"/>
    <col min="9475" max="9475" width="4.88671875" customWidth="1"/>
    <col min="9476" max="9476" width="6.109375" customWidth="1"/>
    <col min="9477" max="9477" width="7.6640625" customWidth="1"/>
    <col min="9478" max="9478" width="5.6640625" customWidth="1"/>
    <col min="9479" max="9479" width="5.33203125" customWidth="1"/>
    <col min="9480" max="9481" width="6.33203125" customWidth="1"/>
    <col min="9482" max="9482" width="10.88671875" customWidth="1"/>
    <col min="9483" max="9486" width="7.6640625" customWidth="1"/>
    <col min="9487" max="9487" width="4.33203125" customWidth="1"/>
    <col min="9488" max="9489" width="7.6640625" customWidth="1"/>
    <col min="9490" max="9490" width="4.109375" customWidth="1"/>
    <col min="9491" max="9491" width="7.6640625" customWidth="1"/>
    <col min="9492" max="9492" width="4.33203125" customWidth="1"/>
    <col min="9493" max="9493" width="18.6640625" customWidth="1"/>
    <col min="9494" max="9494" width="47.77734375" customWidth="1"/>
    <col min="9495" max="9495" width="9.44140625" customWidth="1"/>
    <col min="9725" max="9725" width="6.6640625" customWidth="1"/>
    <col min="9726" max="9726" width="5.109375" customWidth="1"/>
    <col min="9727" max="9727" width="5.88671875" customWidth="1"/>
    <col min="9728" max="9728" width="29.6640625" customWidth="1"/>
    <col min="9729" max="9729" width="24.88671875" customWidth="1"/>
    <col min="9730" max="9730" width="18.44140625" customWidth="1"/>
    <col min="9731" max="9731" width="4.88671875" customWidth="1"/>
    <col min="9732" max="9732" width="6.109375" customWidth="1"/>
    <col min="9733" max="9733" width="7.6640625" customWidth="1"/>
    <col min="9734" max="9734" width="5.6640625" customWidth="1"/>
    <col min="9735" max="9735" width="5.33203125" customWidth="1"/>
    <col min="9736" max="9737" width="6.33203125" customWidth="1"/>
    <col min="9738" max="9738" width="10.88671875" customWidth="1"/>
    <col min="9739" max="9742" width="7.6640625" customWidth="1"/>
    <col min="9743" max="9743" width="4.33203125" customWidth="1"/>
    <col min="9744" max="9745" width="7.6640625" customWidth="1"/>
    <col min="9746" max="9746" width="4.109375" customWidth="1"/>
    <col min="9747" max="9747" width="7.6640625" customWidth="1"/>
    <col min="9748" max="9748" width="4.33203125" customWidth="1"/>
    <col min="9749" max="9749" width="18.6640625" customWidth="1"/>
    <col min="9750" max="9750" width="47.77734375" customWidth="1"/>
    <col min="9751" max="9751" width="9.44140625" customWidth="1"/>
    <col min="9981" max="9981" width="6.6640625" customWidth="1"/>
    <col min="9982" max="9982" width="5.109375" customWidth="1"/>
    <col min="9983" max="9983" width="5.88671875" customWidth="1"/>
    <col min="9984" max="9984" width="29.6640625" customWidth="1"/>
    <col min="9985" max="9985" width="24.88671875" customWidth="1"/>
    <col min="9986" max="9986" width="18.44140625" customWidth="1"/>
    <col min="9987" max="9987" width="4.88671875" customWidth="1"/>
    <col min="9988" max="9988" width="6.109375" customWidth="1"/>
    <col min="9989" max="9989" width="7.6640625" customWidth="1"/>
    <col min="9990" max="9990" width="5.6640625" customWidth="1"/>
    <col min="9991" max="9991" width="5.33203125" customWidth="1"/>
    <col min="9992" max="9993" width="6.33203125" customWidth="1"/>
    <col min="9994" max="9994" width="10.88671875" customWidth="1"/>
    <col min="9995" max="9998" width="7.6640625" customWidth="1"/>
    <col min="9999" max="9999" width="4.33203125" customWidth="1"/>
    <col min="10000" max="10001" width="7.6640625" customWidth="1"/>
    <col min="10002" max="10002" width="4.109375" customWidth="1"/>
    <col min="10003" max="10003" width="7.6640625" customWidth="1"/>
    <col min="10004" max="10004" width="4.33203125" customWidth="1"/>
    <col min="10005" max="10005" width="18.6640625" customWidth="1"/>
    <col min="10006" max="10006" width="47.77734375" customWidth="1"/>
    <col min="10007" max="10007" width="9.44140625" customWidth="1"/>
    <col min="10237" max="10237" width="6.6640625" customWidth="1"/>
    <col min="10238" max="10238" width="5.109375" customWidth="1"/>
    <col min="10239" max="10239" width="5.88671875" customWidth="1"/>
    <col min="10240" max="10240" width="29.6640625" customWidth="1"/>
    <col min="10241" max="10241" width="24.88671875" customWidth="1"/>
    <col min="10242" max="10242" width="18.44140625" customWidth="1"/>
    <col min="10243" max="10243" width="4.88671875" customWidth="1"/>
    <col min="10244" max="10244" width="6.109375" customWidth="1"/>
    <col min="10245" max="10245" width="7.6640625" customWidth="1"/>
    <col min="10246" max="10246" width="5.6640625" customWidth="1"/>
    <col min="10247" max="10247" width="5.33203125" customWidth="1"/>
    <col min="10248" max="10249" width="6.33203125" customWidth="1"/>
    <col min="10250" max="10250" width="10.88671875" customWidth="1"/>
    <col min="10251" max="10254" width="7.6640625" customWidth="1"/>
    <col min="10255" max="10255" width="4.33203125" customWidth="1"/>
    <col min="10256" max="10257" width="7.6640625" customWidth="1"/>
    <col min="10258" max="10258" width="4.109375" customWidth="1"/>
    <col min="10259" max="10259" width="7.6640625" customWidth="1"/>
    <col min="10260" max="10260" width="4.33203125" customWidth="1"/>
    <col min="10261" max="10261" width="18.6640625" customWidth="1"/>
    <col min="10262" max="10262" width="47.77734375" customWidth="1"/>
    <col min="10263" max="10263" width="9.44140625" customWidth="1"/>
    <col min="10493" max="10493" width="6.6640625" customWidth="1"/>
    <col min="10494" max="10494" width="5.109375" customWidth="1"/>
    <col min="10495" max="10495" width="5.88671875" customWidth="1"/>
    <col min="10496" max="10496" width="29.6640625" customWidth="1"/>
    <col min="10497" max="10497" width="24.88671875" customWidth="1"/>
    <col min="10498" max="10498" width="18.44140625" customWidth="1"/>
    <col min="10499" max="10499" width="4.88671875" customWidth="1"/>
    <col min="10500" max="10500" width="6.109375" customWidth="1"/>
    <col min="10501" max="10501" width="7.6640625" customWidth="1"/>
    <col min="10502" max="10502" width="5.6640625" customWidth="1"/>
    <col min="10503" max="10503" width="5.33203125" customWidth="1"/>
    <col min="10504" max="10505" width="6.33203125" customWidth="1"/>
    <col min="10506" max="10506" width="10.88671875" customWidth="1"/>
    <col min="10507" max="10510" width="7.6640625" customWidth="1"/>
    <col min="10511" max="10511" width="4.33203125" customWidth="1"/>
    <col min="10512" max="10513" width="7.6640625" customWidth="1"/>
    <col min="10514" max="10514" width="4.109375" customWidth="1"/>
    <col min="10515" max="10515" width="7.6640625" customWidth="1"/>
    <col min="10516" max="10516" width="4.33203125" customWidth="1"/>
    <col min="10517" max="10517" width="18.6640625" customWidth="1"/>
    <col min="10518" max="10518" width="47.77734375" customWidth="1"/>
    <col min="10519" max="10519" width="9.44140625" customWidth="1"/>
    <col min="10749" max="10749" width="6.6640625" customWidth="1"/>
    <col min="10750" max="10750" width="5.109375" customWidth="1"/>
    <col min="10751" max="10751" width="5.88671875" customWidth="1"/>
    <col min="10752" max="10752" width="29.6640625" customWidth="1"/>
    <col min="10753" max="10753" width="24.88671875" customWidth="1"/>
    <col min="10754" max="10754" width="18.44140625" customWidth="1"/>
    <col min="10755" max="10755" width="4.88671875" customWidth="1"/>
    <col min="10756" max="10756" width="6.109375" customWidth="1"/>
    <col min="10757" max="10757" width="7.6640625" customWidth="1"/>
    <col min="10758" max="10758" width="5.6640625" customWidth="1"/>
    <col min="10759" max="10759" width="5.33203125" customWidth="1"/>
    <col min="10760" max="10761" width="6.33203125" customWidth="1"/>
    <col min="10762" max="10762" width="10.88671875" customWidth="1"/>
    <col min="10763" max="10766" width="7.6640625" customWidth="1"/>
    <col min="10767" max="10767" width="4.33203125" customWidth="1"/>
    <col min="10768" max="10769" width="7.6640625" customWidth="1"/>
    <col min="10770" max="10770" width="4.109375" customWidth="1"/>
    <col min="10771" max="10771" width="7.6640625" customWidth="1"/>
    <col min="10772" max="10772" width="4.33203125" customWidth="1"/>
    <col min="10773" max="10773" width="18.6640625" customWidth="1"/>
    <col min="10774" max="10774" width="47.77734375" customWidth="1"/>
    <col min="10775" max="10775" width="9.44140625" customWidth="1"/>
    <col min="11005" max="11005" width="6.6640625" customWidth="1"/>
    <col min="11006" max="11006" width="5.109375" customWidth="1"/>
    <col min="11007" max="11007" width="5.88671875" customWidth="1"/>
    <col min="11008" max="11008" width="29.6640625" customWidth="1"/>
    <col min="11009" max="11009" width="24.88671875" customWidth="1"/>
    <col min="11010" max="11010" width="18.44140625" customWidth="1"/>
    <col min="11011" max="11011" width="4.88671875" customWidth="1"/>
    <col min="11012" max="11012" width="6.109375" customWidth="1"/>
    <col min="11013" max="11013" width="7.6640625" customWidth="1"/>
    <col min="11014" max="11014" width="5.6640625" customWidth="1"/>
    <col min="11015" max="11015" width="5.33203125" customWidth="1"/>
    <col min="11016" max="11017" width="6.33203125" customWidth="1"/>
    <col min="11018" max="11018" width="10.88671875" customWidth="1"/>
    <col min="11019" max="11022" width="7.6640625" customWidth="1"/>
    <col min="11023" max="11023" width="4.33203125" customWidth="1"/>
    <col min="11024" max="11025" width="7.6640625" customWidth="1"/>
    <col min="11026" max="11026" width="4.109375" customWidth="1"/>
    <col min="11027" max="11027" width="7.6640625" customWidth="1"/>
    <col min="11028" max="11028" width="4.33203125" customWidth="1"/>
    <col min="11029" max="11029" width="18.6640625" customWidth="1"/>
    <col min="11030" max="11030" width="47.77734375" customWidth="1"/>
    <col min="11031" max="11031" width="9.44140625" customWidth="1"/>
    <col min="11261" max="11261" width="6.6640625" customWidth="1"/>
    <col min="11262" max="11262" width="5.109375" customWidth="1"/>
    <col min="11263" max="11263" width="5.88671875" customWidth="1"/>
    <col min="11264" max="11264" width="29.6640625" customWidth="1"/>
    <col min="11265" max="11265" width="24.88671875" customWidth="1"/>
    <col min="11266" max="11266" width="18.44140625" customWidth="1"/>
    <col min="11267" max="11267" width="4.88671875" customWidth="1"/>
    <col min="11268" max="11268" width="6.109375" customWidth="1"/>
    <col min="11269" max="11269" width="7.6640625" customWidth="1"/>
    <col min="11270" max="11270" width="5.6640625" customWidth="1"/>
    <col min="11271" max="11271" width="5.33203125" customWidth="1"/>
    <col min="11272" max="11273" width="6.33203125" customWidth="1"/>
    <col min="11274" max="11274" width="10.88671875" customWidth="1"/>
    <col min="11275" max="11278" width="7.6640625" customWidth="1"/>
    <col min="11279" max="11279" width="4.33203125" customWidth="1"/>
    <col min="11280" max="11281" width="7.6640625" customWidth="1"/>
    <col min="11282" max="11282" width="4.109375" customWidth="1"/>
    <col min="11283" max="11283" width="7.6640625" customWidth="1"/>
    <col min="11284" max="11284" width="4.33203125" customWidth="1"/>
    <col min="11285" max="11285" width="18.6640625" customWidth="1"/>
    <col min="11286" max="11286" width="47.77734375" customWidth="1"/>
    <col min="11287" max="11287" width="9.44140625" customWidth="1"/>
    <col min="11517" max="11517" width="6.6640625" customWidth="1"/>
    <col min="11518" max="11518" width="5.109375" customWidth="1"/>
    <col min="11519" max="11519" width="5.88671875" customWidth="1"/>
    <col min="11520" max="11520" width="29.6640625" customWidth="1"/>
    <col min="11521" max="11521" width="24.88671875" customWidth="1"/>
    <col min="11522" max="11522" width="18.44140625" customWidth="1"/>
    <col min="11523" max="11523" width="4.88671875" customWidth="1"/>
    <col min="11524" max="11524" width="6.109375" customWidth="1"/>
    <col min="11525" max="11525" width="7.6640625" customWidth="1"/>
    <col min="11526" max="11526" width="5.6640625" customWidth="1"/>
    <col min="11527" max="11527" width="5.33203125" customWidth="1"/>
    <col min="11528" max="11529" width="6.33203125" customWidth="1"/>
    <col min="11530" max="11530" width="10.88671875" customWidth="1"/>
    <col min="11531" max="11534" width="7.6640625" customWidth="1"/>
    <col min="11535" max="11535" width="4.33203125" customWidth="1"/>
    <col min="11536" max="11537" width="7.6640625" customWidth="1"/>
    <col min="11538" max="11538" width="4.109375" customWidth="1"/>
    <col min="11539" max="11539" width="7.6640625" customWidth="1"/>
    <col min="11540" max="11540" width="4.33203125" customWidth="1"/>
    <col min="11541" max="11541" width="18.6640625" customWidth="1"/>
    <col min="11542" max="11542" width="47.77734375" customWidth="1"/>
    <col min="11543" max="11543" width="9.44140625" customWidth="1"/>
    <col min="11773" max="11773" width="6.6640625" customWidth="1"/>
    <col min="11774" max="11774" width="5.109375" customWidth="1"/>
    <col min="11775" max="11775" width="5.88671875" customWidth="1"/>
    <col min="11776" max="11776" width="29.6640625" customWidth="1"/>
    <col min="11777" max="11777" width="24.88671875" customWidth="1"/>
    <col min="11778" max="11778" width="18.44140625" customWidth="1"/>
    <col min="11779" max="11779" width="4.88671875" customWidth="1"/>
    <col min="11780" max="11780" width="6.109375" customWidth="1"/>
    <col min="11781" max="11781" width="7.6640625" customWidth="1"/>
    <col min="11782" max="11782" width="5.6640625" customWidth="1"/>
    <col min="11783" max="11783" width="5.33203125" customWidth="1"/>
    <col min="11784" max="11785" width="6.33203125" customWidth="1"/>
    <col min="11786" max="11786" width="10.88671875" customWidth="1"/>
    <col min="11787" max="11790" width="7.6640625" customWidth="1"/>
    <col min="11791" max="11791" width="4.33203125" customWidth="1"/>
    <col min="11792" max="11793" width="7.6640625" customWidth="1"/>
    <col min="11794" max="11794" width="4.109375" customWidth="1"/>
    <col min="11795" max="11795" width="7.6640625" customWidth="1"/>
    <col min="11796" max="11796" width="4.33203125" customWidth="1"/>
    <col min="11797" max="11797" width="18.6640625" customWidth="1"/>
    <col min="11798" max="11798" width="47.77734375" customWidth="1"/>
    <col min="11799" max="11799" width="9.44140625" customWidth="1"/>
    <col min="12029" max="12029" width="6.6640625" customWidth="1"/>
    <col min="12030" max="12030" width="5.109375" customWidth="1"/>
    <col min="12031" max="12031" width="5.88671875" customWidth="1"/>
    <col min="12032" max="12032" width="29.6640625" customWidth="1"/>
    <col min="12033" max="12033" width="24.88671875" customWidth="1"/>
    <col min="12034" max="12034" width="18.44140625" customWidth="1"/>
    <col min="12035" max="12035" width="4.88671875" customWidth="1"/>
    <col min="12036" max="12036" width="6.109375" customWidth="1"/>
    <col min="12037" max="12037" width="7.6640625" customWidth="1"/>
    <col min="12038" max="12038" width="5.6640625" customWidth="1"/>
    <col min="12039" max="12039" width="5.33203125" customWidth="1"/>
    <col min="12040" max="12041" width="6.33203125" customWidth="1"/>
    <col min="12042" max="12042" width="10.88671875" customWidth="1"/>
    <col min="12043" max="12046" width="7.6640625" customWidth="1"/>
    <col min="12047" max="12047" width="4.33203125" customWidth="1"/>
    <col min="12048" max="12049" width="7.6640625" customWidth="1"/>
    <col min="12050" max="12050" width="4.109375" customWidth="1"/>
    <col min="12051" max="12051" width="7.6640625" customWidth="1"/>
    <col min="12052" max="12052" width="4.33203125" customWidth="1"/>
    <col min="12053" max="12053" width="18.6640625" customWidth="1"/>
    <col min="12054" max="12054" width="47.77734375" customWidth="1"/>
    <col min="12055" max="12055" width="9.44140625" customWidth="1"/>
    <col min="12285" max="12285" width="6.6640625" customWidth="1"/>
    <col min="12286" max="12286" width="5.109375" customWidth="1"/>
    <col min="12287" max="12287" width="5.88671875" customWidth="1"/>
    <col min="12288" max="12288" width="29.6640625" customWidth="1"/>
    <col min="12289" max="12289" width="24.88671875" customWidth="1"/>
    <col min="12290" max="12290" width="18.44140625" customWidth="1"/>
    <col min="12291" max="12291" width="4.88671875" customWidth="1"/>
    <col min="12292" max="12292" width="6.109375" customWidth="1"/>
    <col min="12293" max="12293" width="7.6640625" customWidth="1"/>
    <col min="12294" max="12294" width="5.6640625" customWidth="1"/>
    <col min="12295" max="12295" width="5.33203125" customWidth="1"/>
    <col min="12296" max="12297" width="6.33203125" customWidth="1"/>
    <col min="12298" max="12298" width="10.88671875" customWidth="1"/>
    <col min="12299" max="12302" width="7.6640625" customWidth="1"/>
    <col min="12303" max="12303" width="4.33203125" customWidth="1"/>
    <col min="12304" max="12305" width="7.6640625" customWidth="1"/>
    <col min="12306" max="12306" width="4.109375" customWidth="1"/>
    <col min="12307" max="12307" width="7.6640625" customWidth="1"/>
    <col min="12308" max="12308" width="4.33203125" customWidth="1"/>
    <col min="12309" max="12309" width="18.6640625" customWidth="1"/>
    <col min="12310" max="12310" width="47.77734375" customWidth="1"/>
    <col min="12311" max="12311" width="9.44140625" customWidth="1"/>
    <col min="12541" max="12541" width="6.6640625" customWidth="1"/>
    <col min="12542" max="12542" width="5.109375" customWidth="1"/>
    <col min="12543" max="12543" width="5.88671875" customWidth="1"/>
    <col min="12544" max="12544" width="29.6640625" customWidth="1"/>
    <col min="12545" max="12545" width="24.88671875" customWidth="1"/>
    <col min="12546" max="12546" width="18.44140625" customWidth="1"/>
    <col min="12547" max="12547" width="4.88671875" customWidth="1"/>
    <col min="12548" max="12548" width="6.109375" customWidth="1"/>
    <col min="12549" max="12549" width="7.6640625" customWidth="1"/>
    <col min="12550" max="12550" width="5.6640625" customWidth="1"/>
    <col min="12551" max="12551" width="5.33203125" customWidth="1"/>
    <col min="12552" max="12553" width="6.33203125" customWidth="1"/>
    <col min="12554" max="12554" width="10.88671875" customWidth="1"/>
    <col min="12555" max="12558" width="7.6640625" customWidth="1"/>
    <col min="12559" max="12559" width="4.33203125" customWidth="1"/>
    <col min="12560" max="12561" width="7.6640625" customWidth="1"/>
    <col min="12562" max="12562" width="4.109375" customWidth="1"/>
    <col min="12563" max="12563" width="7.6640625" customWidth="1"/>
    <col min="12564" max="12564" width="4.33203125" customWidth="1"/>
    <col min="12565" max="12565" width="18.6640625" customWidth="1"/>
    <col min="12566" max="12566" width="47.77734375" customWidth="1"/>
    <col min="12567" max="12567" width="9.44140625" customWidth="1"/>
    <col min="12797" max="12797" width="6.6640625" customWidth="1"/>
    <col min="12798" max="12798" width="5.109375" customWidth="1"/>
    <col min="12799" max="12799" width="5.88671875" customWidth="1"/>
    <col min="12800" max="12800" width="29.6640625" customWidth="1"/>
    <col min="12801" max="12801" width="24.88671875" customWidth="1"/>
    <col min="12802" max="12802" width="18.44140625" customWidth="1"/>
    <col min="12803" max="12803" width="4.88671875" customWidth="1"/>
    <col min="12804" max="12804" width="6.109375" customWidth="1"/>
    <col min="12805" max="12805" width="7.6640625" customWidth="1"/>
    <col min="12806" max="12806" width="5.6640625" customWidth="1"/>
    <col min="12807" max="12807" width="5.33203125" customWidth="1"/>
    <col min="12808" max="12809" width="6.33203125" customWidth="1"/>
    <col min="12810" max="12810" width="10.88671875" customWidth="1"/>
    <col min="12811" max="12814" width="7.6640625" customWidth="1"/>
    <col min="12815" max="12815" width="4.33203125" customWidth="1"/>
    <col min="12816" max="12817" width="7.6640625" customWidth="1"/>
    <col min="12818" max="12818" width="4.109375" customWidth="1"/>
    <col min="12819" max="12819" width="7.6640625" customWidth="1"/>
    <col min="12820" max="12820" width="4.33203125" customWidth="1"/>
    <col min="12821" max="12821" width="18.6640625" customWidth="1"/>
    <col min="12822" max="12822" width="47.77734375" customWidth="1"/>
    <col min="12823" max="12823" width="9.44140625" customWidth="1"/>
    <col min="13053" max="13053" width="6.6640625" customWidth="1"/>
    <col min="13054" max="13054" width="5.109375" customWidth="1"/>
    <col min="13055" max="13055" width="5.88671875" customWidth="1"/>
    <col min="13056" max="13056" width="29.6640625" customWidth="1"/>
    <col min="13057" max="13057" width="24.88671875" customWidth="1"/>
    <col min="13058" max="13058" width="18.44140625" customWidth="1"/>
    <col min="13059" max="13059" width="4.88671875" customWidth="1"/>
    <col min="13060" max="13060" width="6.109375" customWidth="1"/>
    <col min="13061" max="13061" width="7.6640625" customWidth="1"/>
    <col min="13062" max="13062" width="5.6640625" customWidth="1"/>
    <col min="13063" max="13063" width="5.33203125" customWidth="1"/>
    <col min="13064" max="13065" width="6.33203125" customWidth="1"/>
    <col min="13066" max="13066" width="10.88671875" customWidth="1"/>
    <col min="13067" max="13070" width="7.6640625" customWidth="1"/>
    <col min="13071" max="13071" width="4.33203125" customWidth="1"/>
    <col min="13072" max="13073" width="7.6640625" customWidth="1"/>
    <col min="13074" max="13074" width="4.109375" customWidth="1"/>
    <col min="13075" max="13075" width="7.6640625" customWidth="1"/>
    <col min="13076" max="13076" width="4.33203125" customWidth="1"/>
    <col min="13077" max="13077" width="18.6640625" customWidth="1"/>
    <col min="13078" max="13078" width="47.77734375" customWidth="1"/>
    <col min="13079" max="13079" width="9.44140625" customWidth="1"/>
    <col min="13309" max="13309" width="6.6640625" customWidth="1"/>
    <col min="13310" max="13310" width="5.109375" customWidth="1"/>
    <col min="13311" max="13311" width="5.88671875" customWidth="1"/>
    <col min="13312" max="13312" width="29.6640625" customWidth="1"/>
    <col min="13313" max="13313" width="24.88671875" customWidth="1"/>
    <col min="13314" max="13314" width="18.44140625" customWidth="1"/>
    <col min="13315" max="13315" width="4.88671875" customWidth="1"/>
    <col min="13316" max="13316" width="6.109375" customWidth="1"/>
    <col min="13317" max="13317" width="7.6640625" customWidth="1"/>
    <col min="13318" max="13318" width="5.6640625" customWidth="1"/>
    <col min="13319" max="13319" width="5.33203125" customWidth="1"/>
    <col min="13320" max="13321" width="6.33203125" customWidth="1"/>
    <col min="13322" max="13322" width="10.88671875" customWidth="1"/>
    <col min="13323" max="13326" width="7.6640625" customWidth="1"/>
    <col min="13327" max="13327" width="4.33203125" customWidth="1"/>
    <col min="13328" max="13329" width="7.6640625" customWidth="1"/>
    <col min="13330" max="13330" width="4.109375" customWidth="1"/>
    <col min="13331" max="13331" width="7.6640625" customWidth="1"/>
    <col min="13332" max="13332" width="4.33203125" customWidth="1"/>
    <col min="13333" max="13333" width="18.6640625" customWidth="1"/>
    <col min="13334" max="13334" width="47.77734375" customWidth="1"/>
    <col min="13335" max="13335" width="9.44140625" customWidth="1"/>
    <col min="13565" max="13565" width="6.6640625" customWidth="1"/>
    <col min="13566" max="13566" width="5.109375" customWidth="1"/>
    <col min="13567" max="13567" width="5.88671875" customWidth="1"/>
    <col min="13568" max="13568" width="29.6640625" customWidth="1"/>
    <col min="13569" max="13569" width="24.88671875" customWidth="1"/>
    <col min="13570" max="13570" width="18.44140625" customWidth="1"/>
    <col min="13571" max="13571" width="4.88671875" customWidth="1"/>
    <col min="13572" max="13572" width="6.109375" customWidth="1"/>
    <col min="13573" max="13573" width="7.6640625" customWidth="1"/>
    <col min="13574" max="13574" width="5.6640625" customWidth="1"/>
    <col min="13575" max="13575" width="5.33203125" customWidth="1"/>
    <col min="13576" max="13577" width="6.33203125" customWidth="1"/>
    <col min="13578" max="13578" width="10.88671875" customWidth="1"/>
    <col min="13579" max="13582" width="7.6640625" customWidth="1"/>
    <col min="13583" max="13583" width="4.33203125" customWidth="1"/>
    <col min="13584" max="13585" width="7.6640625" customWidth="1"/>
    <col min="13586" max="13586" width="4.109375" customWidth="1"/>
    <col min="13587" max="13587" width="7.6640625" customWidth="1"/>
    <col min="13588" max="13588" width="4.33203125" customWidth="1"/>
    <col min="13589" max="13589" width="18.6640625" customWidth="1"/>
    <col min="13590" max="13590" width="47.77734375" customWidth="1"/>
    <col min="13591" max="13591" width="9.44140625" customWidth="1"/>
    <col min="13821" max="13821" width="6.6640625" customWidth="1"/>
    <col min="13822" max="13822" width="5.109375" customWidth="1"/>
    <col min="13823" max="13823" width="5.88671875" customWidth="1"/>
    <col min="13824" max="13824" width="29.6640625" customWidth="1"/>
    <col min="13825" max="13825" width="24.88671875" customWidth="1"/>
    <col min="13826" max="13826" width="18.44140625" customWidth="1"/>
    <col min="13827" max="13827" width="4.88671875" customWidth="1"/>
    <col min="13828" max="13828" width="6.109375" customWidth="1"/>
    <col min="13829" max="13829" width="7.6640625" customWidth="1"/>
    <col min="13830" max="13830" width="5.6640625" customWidth="1"/>
    <col min="13831" max="13831" width="5.33203125" customWidth="1"/>
    <col min="13832" max="13833" width="6.33203125" customWidth="1"/>
    <col min="13834" max="13834" width="10.88671875" customWidth="1"/>
    <col min="13835" max="13838" width="7.6640625" customWidth="1"/>
    <col min="13839" max="13839" width="4.33203125" customWidth="1"/>
    <col min="13840" max="13841" width="7.6640625" customWidth="1"/>
    <col min="13842" max="13842" width="4.109375" customWidth="1"/>
    <col min="13843" max="13843" width="7.6640625" customWidth="1"/>
    <col min="13844" max="13844" width="4.33203125" customWidth="1"/>
    <col min="13845" max="13845" width="18.6640625" customWidth="1"/>
    <col min="13846" max="13846" width="47.77734375" customWidth="1"/>
    <col min="13847" max="13847" width="9.44140625" customWidth="1"/>
    <col min="14077" max="14077" width="6.6640625" customWidth="1"/>
    <col min="14078" max="14078" width="5.109375" customWidth="1"/>
    <col min="14079" max="14079" width="5.88671875" customWidth="1"/>
    <col min="14080" max="14080" width="29.6640625" customWidth="1"/>
    <col min="14081" max="14081" width="24.88671875" customWidth="1"/>
    <col min="14082" max="14082" width="18.44140625" customWidth="1"/>
    <col min="14083" max="14083" width="4.88671875" customWidth="1"/>
    <col min="14084" max="14084" width="6.109375" customWidth="1"/>
    <col min="14085" max="14085" width="7.6640625" customWidth="1"/>
    <col min="14086" max="14086" width="5.6640625" customWidth="1"/>
    <col min="14087" max="14087" width="5.33203125" customWidth="1"/>
    <col min="14088" max="14089" width="6.33203125" customWidth="1"/>
    <col min="14090" max="14090" width="10.88671875" customWidth="1"/>
    <col min="14091" max="14094" width="7.6640625" customWidth="1"/>
    <col min="14095" max="14095" width="4.33203125" customWidth="1"/>
    <col min="14096" max="14097" width="7.6640625" customWidth="1"/>
    <col min="14098" max="14098" width="4.109375" customWidth="1"/>
    <col min="14099" max="14099" width="7.6640625" customWidth="1"/>
    <col min="14100" max="14100" width="4.33203125" customWidth="1"/>
    <col min="14101" max="14101" width="18.6640625" customWidth="1"/>
    <col min="14102" max="14102" width="47.77734375" customWidth="1"/>
    <col min="14103" max="14103" width="9.44140625" customWidth="1"/>
    <col min="14333" max="14333" width="6.6640625" customWidth="1"/>
    <col min="14334" max="14334" width="5.109375" customWidth="1"/>
    <col min="14335" max="14335" width="5.88671875" customWidth="1"/>
    <col min="14336" max="14336" width="29.6640625" customWidth="1"/>
    <col min="14337" max="14337" width="24.88671875" customWidth="1"/>
    <col min="14338" max="14338" width="18.44140625" customWidth="1"/>
    <col min="14339" max="14339" width="4.88671875" customWidth="1"/>
    <col min="14340" max="14340" width="6.109375" customWidth="1"/>
    <col min="14341" max="14341" width="7.6640625" customWidth="1"/>
    <col min="14342" max="14342" width="5.6640625" customWidth="1"/>
    <col min="14343" max="14343" width="5.33203125" customWidth="1"/>
    <col min="14344" max="14345" width="6.33203125" customWidth="1"/>
    <col min="14346" max="14346" width="10.88671875" customWidth="1"/>
    <col min="14347" max="14350" width="7.6640625" customWidth="1"/>
    <col min="14351" max="14351" width="4.33203125" customWidth="1"/>
    <col min="14352" max="14353" width="7.6640625" customWidth="1"/>
    <col min="14354" max="14354" width="4.109375" customWidth="1"/>
    <col min="14355" max="14355" width="7.6640625" customWidth="1"/>
    <col min="14356" max="14356" width="4.33203125" customWidth="1"/>
    <col min="14357" max="14357" width="18.6640625" customWidth="1"/>
    <col min="14358" max="14358" width="47.77734375" customWidth="1"/>
    <col min="14359" max="14359" width="9.44140625" customWidth="1"/>
    <col min="14589" max="14589" width="6.6640625" customWidth="1"/>
    <col min="14590" max="14590" width="5.109375" customWidth="1"/>
    <col min="14591" max="14591" width="5.88671875" customWidth="1"/>
    <col min="14592" max="14592" width="29.6640625" customWidth="1"/>
    <col min="14593" max="14593" width="24.88671875" customWidth="1"/>
    <col min="14594" max="14594" width="18.44140625" customWidth="1"/>
    <col min="14595" max="14595" width="4.88671875" customWidth="1"/>
    <col min="14596" max="14596" width="6.109375" customWidth="1"/>
    <col min="14597" max="14597" width="7.6640625" customWidth="1"/>
    <col min="14598" max="14598" width="5.6640625" customWidth="1"/>
    <col min="14599" max="14599" width="5.33203125" customWidth="1"/>
    <col min="14600" max="14601" width="6.33203125" customWidth="1"/>
    <col min="14602" max="14602" width="10.88671875" customWidth="1"/>
    <col min="14603" max="14606" width="7.6640625" customWidth="1"/>
    <col min="14607" max="14607" width="4.33203125" customWidth="1"/>
    <col min="14608" max="14609" width="7.6640625" customWidth="1"/>
    <col min="14610" max="14610" width="4.109375" customWidth="1"/>
    <col min="14611" max="14611" width="7.6640625" customWidth="1"/>
    <col min="14612" max="14612" width="4.33203125" customWidth="1"/>
    <col min="14613" max="14613" width="18.6640625" customWidth="1"/>
    <col min="14614" max="14614" width="47.77734375" customWidth="1"/>
    <col min="14615" max="14615" width="9.44140625" customWidth="1"/>
    <col min="14845" max="14845" width="6.6640625" customWidth="1"/>
    <col min="14846" max="14846" width="5.109375" customWidth="1"/>
    <col min="14847" max="14847" width="5.88671875" customWidth="1"/>
    <col min="14848" max="14848" width="29.6640625" customWidth="1"/>
    <col min="14849" max="14849" width="24.88671875" customWidth="1"/>
    <col min="14850" max="14850" width="18.44140625" customWidth="1"/>
    <col min="14851" max="14851" width="4.88671875" customWidth="1"/>
    <col min="14852" max="14852" width="6.109375" customWidth="1"/>
    <col min="14853" max="14853" width="7.6640625" customWidth="1"/>
    <col min="14854" max="14854" width="5.6640625" customWidth="1"/>
    <col min="14855" max="14855" width="5.33203125" customWidth="1"/>
    <col min="14856" max="14857" width="6.33203125" customWidth="1"/>
    <col min="14858" max="14858" width="10.88671875" customWidth="1"/>
    <col min="14859" max="14862" width="7.6640625" customWidth="1"/>
    <col min="14863" max="14863" width="4.33203125" customWidth="1"/>
    <col min="14864" max="14865" width="7.6640625" customWidth="1"/>
    <col min="14866" max="14866" width="4.109375" customWidth="1"/>
    <col min="14867" max="14867" width="7.6640625" customWidth="1"/>
    <col min="14868" max="14868" width="4.33203125" customWidth="1"/>
    <col min="14869" max="14869" width="18.6640625" customWidth="1"/>
    <col min="14870" max="14870" width="47.77734375" customWidth="1"/>
    <col min="14871" max="14871" width="9.44140625" customWidth="1"/>
    <col min="15101" max="15101" width="6.6640625" customWidth="1"/>
    <col min="15102" max="15102" width="5.109375" customWidth="1"/>
    <col min="15103" max="15103" width="5.88671875" customWidth="1"/>
    <col min="15104" max="15104" width="29.6640625" customWidth="1"/>
    <col min="15105" max="15105" width="24.88671875" customWidth="1"/>
    <col min="15106" max="15106" width="18.44140625" customWidth="1"/>
    <col min="15107" max="15107" width="4.88671875" customWidth="1"/>
    <col min="15108" max="15108" width="6.109375" customWidth="1"/>
    <col min="15109" max="15109" width="7.6640625" customWidth="1"/>
    <col min="15110" max="15110" width="5.6640625" customWidth="1"/>
    <col min="15111" max="15111" width="5.33203125" customWidth="1"/>
    <col min="15112" max="15113" width="6.33203125" customWidth="1"/>
    <col min="15114" max="15114" width="10.88671875" customWidth="1"/>
    <col min="15115" max="15118" width="7.6640625" customWidth="1"/>
    <col min="15119" max="15119" width="4.33203125" customWidth="1"/>
    <col min="15120" max="15121" width="7.6640625" customWidth="1"/>
    <col min="15122" max="15122" width="4.109375" customWidth="1"/>
    <col min="15123" max="15123" width="7.6640625" customWidth="1"/>
    <col min="15124" max="15124" width="4.33203125" customWidth="1"/>
    <col min="15125" max="15125" width="18.6640625" customWidth="1"/>
    <col min="15126" max="15126" width="47.77734375" customWidth="1"/>
    <col min="15127" max="15127" width="9.44140625" customWidth="1"/>
    <col min="15357" max="15357" width="6.6640625" customWidth="1"/>
    <col min="15358" max="15358" width="5.109375" customWidth="1"/>
    <col min="15359" max="15359" width="5.88671875" customWidth="1"/>
    <col min="15360" max="15360" width="29.6640625" customWidth="1"/>
    <col min="15361" max="15361" width="24.88671875" customWidth="1"/>
    <col min="15362" max="15362" width="18.44140625" customWidth="1"/>
    <col min="15363" max="15363" width="4.88671875" customWidth="1"/>
    <col min="15364" max="15364" width="6.109375" customWidth="1"/>
    <col min="15365" max="15365" width="7.6640625" customWidth="1"/>
    <col min="15366" max="15366" width="5.6640625" customWidth="1"/>
    <col min="15367" max="15367" width="5.33203125" customWidth="1"/>
    <col min="15368" max="15369" width="6.33203125" customWidth="1"/>
    <col min="15370" max="15370" width="10.88671875" customWidth="1"/>
    <col min="15371" max="15374" width="7.6640625" customWidth="1"/>
    <col min="15375" max="15375" width="4.33203125" customWidth="1"/>
    <col min="15376" max="15377" width="7.6640625" customWidth="1"/>
    <col min="15378" max="15378" width="4.109375" customWidth="1"/>
    <col min="15379" max="15379" width="7.6640625" customWidth="1"/>
    <col min="15380" max="15380" width="4.33203125" customWidth="1"/>
    <col min="15381" max="15381" width="18.6640625" customWidth="1"/>
    <col min="15382" max="15382" width="47.77734375" customWidth="1"/>
    <col min="15383" max="15383" width="9.44140625" customWidth="1"/>
    <col min="15613" max="15613" width="6.6640625" customWidth="1"/>
    <col min="15614" max="15614" width="5.109375" customWidth="1"/>
    <col min="15615" max="15615" width="5.88671875" customWidth="1"/>
    <col min="15616" max="15616" width="29.6640625" customWidth="1"/>
    <col min="15617" max="15617" width="24.88671875" customWidth="1"/>
    <col min="15618" max="15618" width="18.44140625" customWidth="1"/>
    <col min="15619" max="15619" width="4.88671875" customWidth="1"/>
    <col min="15620" max="15620" width="6.109375" customWidth="1"/>
    <col min="15621" max="15621" width="7.6640625" customWidth="1"/>
    <col min="15622" max="15622" width="5.6640625" customWidth="1"/>
    <col min="15623" max="15623" width="5.33203125" customWidth="1"/>
    <col min="15624" max="15625" width="6.33203125" customWidth="1"/>
    <col min="15626" max="15626" width="10.88671875" customWidth="1"/>
    <col min="15627" max="15630" width="7.6640625" customWidth="1"/>
    <col min="15631" max="15631" width="4.33203125" customWidth="1"/>
    <col min="15632" max="15633" width="7.6640625" customWidth="1"/>
    <col min="15634" max="15634" width="4.109375" customWidth="1"/>
    <col min="15635" max="15635" width="7.6640625" customWidth="1"/>
    <col min="15636" max="15636" width="4.33203125" customWidth="1"/>
    <col min="15637" max="15637" width="18.6640625" customWidth="1"/>
    <col min="15638" max="15638" width="47.77734375" customWidth="1"/>
    <col min="15639" max="15639" width="9.44140625" customWidth="1"/>
    <col min="15869" max="15869" width="6.6640625" customWidth="1"/>
    <col min="15870" max="15870" width="5.109375" customWidth="1"/>
    <col min="15871" max="15871" width="5.88671875" customWidth="1"/>
    <col min="15872" max="15872" width="29.6640625" customWidth="1"/>
    <col min="15873" max="15873" width="24.88671875" customWidth="1"/>
    <col min="15874" max="15874" width="18.44140625" customWidth="1"/>
    <col min="15875" max="15875" width="4.88671875" customWidth="1"/>
    <col min="15876" max="15876" width="6.109375" customWidth="1"/>
    <col min="15877" max="15877" width="7.6640625" customWidth="1"/>
    <col min="15878" max="15878" width="5.6640625" customWidth="1"/>
    <col min="15879" max="15879" width="5.33203125" customWidth="1"/>
    <col min="15880" max="15881" width="6.33203125" customWidth="1"/>
    <col min="15882" max="15882" width="10.88671875" customWidth="1"/>
    <col min="15883" max="15886" width="7.6640625" customWidth="1"/>
    <col min="15887" max="15887" width="4.33203125" customWidth="1"/>
    <col min="15888" max="15889" width="7.6640625" customWidth="1"/>
    <col min="15890" max="15890" width="4.109375" customWidth="1"/>
    <col min="15891" max="15891" width="7.6640625" customWidth="1"/>
    <col min="15892" max="15892" width="4.33203125" customWidth="1"/>
    <col min="15893" max="15893" width="18.6640625" customWidth="1"/>
    <col min="15894" max="15894" width="47.77734375" customWidth="1"/>
    <col min="15895" max="15895" width="9.44140625" customWidth="1"/>
    <col min="16125" max="16125" width="6.6640625" customWidth="1"/>
    <col min="16126" max="16126" width="5.109375" customWidth="1"/>
    <col min="16127" max="16127" width="5.88671875" customWidth="1"/>
    <col min="16128" max="16128" width="29.6640625" customWidth="1"/>
    <col min="16129" max="16129" width="24.88671875" customWidth="1"/>
    <col min="16130" max="16130" width="18.44140625" customWidth="1"/>
    <col min="16131" max="16131" width="4.88671875" customWidth="1"/>
    <col min="16132" max="16132" width="6.109375" customWidth="1"/>
    <col min="16133" max="16133" width="7.6640625" customWidth="1"/>
    <col min="16134" max="16134" width="5.6640625" customWidth="1"/>
    <col min="16135" max="16135" width="5.33203125" customWidth="1"/>
    <col min="16136" max="16137" width="6.33203125" customWidth="1"/>
    <col min="16138" max="16138" width="10.88671875" customWidth="1"/>
    <col min="16139" max="16142" width="7.6640625" customWidth="1"/>
    <col min="16143" max="16143" width="4.33203125" customWidth="1"/>
    <col min="16144" max="16145" width="7.6640625" customWidth="1"/>
    <col min="16146" max="16146" width="4.109375" customWidth="1"/>
    <col min="16147" max="16147" width="7.6640625" customWidth="1"/>
    <col min="16148" max="16148" width="4.33203125" customWidth="1"/>
    <col min="16149" max="16149" width="18.6640625" customWidth="1"/>
    <col min="16150" max="16150" width="47.77734375" customWidth="1"/>
    <col min="16151" max="16151" width="9.44140625" customWidth="1"/>
  </cols>
  <sheetData>
    <row r="1" spans="1:31" ht="36" customHeight="1" x14ac:dyDescent="0.25">
      <c r="A1" s="15" t="s">
        <v>75</v>
      </c>
      <c r="B1" s="16" t="s">
        <v>76</v>
      </c>
      <c r="C1" s="17" t="s">
        <v>77</v>
      </c>
      <c r="D1" s="18" t="s">
        <v>78</v>
      </c>
      <c r="E1" s="18" t="s">
        <v>79</v>
      </c>
      <c r="F1" s="19" t="s">
        <v>80</v>
      </c>
      <c r="G1" s="18" t="s">
        <v>81</v>
      </c>
      <c r="H1" s="17" t="s">
        <v>82</v>
      </c>
      <c r="I1" s="16" t="s">
        <v>2408</v>
      </c>
      <c r="J1" s="16" t="s">
        <v>83</v>
      </c>
      <c r="K1" s="16" t="s">
        <v>84</v>
      </c>
      <c r="L1" s="22" t="s">
        <v>85</v>
      </c>
      <c r="M1" s="22" t="s">
        <v>86</v>
      </c>
      <c r="N1" s="18" t="s">
        <v>87</v>
      </c>
      <c r="O1" s="16" t="s">
        <v>88</v>
      </c>
      <c r="P1" s="16" t="s">
        <v>1844</v>
      </c>
      <c r="Q1" s="16" t="s">
        <v>2541</v>
      </c>
      <c r="R1" s="16" t="s">
        <v>89</v>
      </c>
      <c r="S1" s="22" t="s">
        <v>90</v>
      </c>
      <c r="T1" s="26" t="s">
        <v>2542</v>
      </c>
      <c r="U1" s="16" t="s">
        <v>91</v>
      </c>
      <c r="V1" s="17" t="s">
        <v>92</v>
      </c>
      <c r="W1" s="16" t="s">
        <v>93</v>
      </c>
      <c r="X1" s="16" t="s">
        <v>94</v>
      </c>
      <c r="Y1" s="17" t="s">
        <v>95</v>
      </c>
      <c r="Z1" s="24" t="s">
        <v>96</v>
      </c>
      <c r="AA1" s="1" t="s">
        <v>97</v>
      </c>
    </row>
    <row r="2" spans="1:31" ht="23.1" customHeight="1" x14ac:dyDescent="0.25">
      <c r="A2" s="20" t="s">
        <v>104</v>
      </c>
      <c r="B2" s="1" t="s">
        <v>99</v>
      </c>
      <c r="C2" s="3">
        <v>21</v>
      </c>
      <c r="D2" s="1" t="s">
        <v>105</v>
      </c>
      <c r="E2" s="1" t="s">
        <v>106</v>
      </c>
      <c r="F2" s="21" t="s">
        <v>106</v>
      </c>
      <c r="G2" s="8" t="s">
        <v>107</v>
      </c>
      <c r="H2" s="1">
        <v>20</v>
      </c>
      <c r="I2" s="1" t="s">
        <v>2409</v>
      </c>
      <c r="J2" s="1"/>
      <c r="K2" s="1">
        <v>1</v>
      </c>
      <c r="L2" s="23"/>
      <c r="M2" s="23">
        <v>31</v>
      </c>
      <c r="N2" s="24" t="s">
        <v>108</v>
      </c>
      <c r="O2" s="25"/>
      <c r="P2" s="25">
        <v>1320</v>
      </c>
      <c r="Q2" s="25">
        <v>120</v>
      </c>
      <c r="R2" s="25"/>
      <c r="S2" s="27"/>
      <c r="T2" s="25">
        <v>120</v>
      </c>
      <c r="U2" s="25"/>
      <c r="V2" s="28"/>
      <c r="W2" s="25"/>
      <c r="X2" s="29">
        <v>22</v>
      </c>
      <c r="Y2" s="1" t="s">
        <v>58</v>
      </c>
      <c r="Z2" s="1"/>
      <c r="AA2" s="1"/>
    </row>
    <row r="3" spans="1:31" ht="23.1" customHeight="1" x14ac:dyDescent="0.25">
      <c r="A3" s="70" t="s">
        <v>98</v>
      </c>
      <c r="B3" s="68" t="s">
        <v>99</v>
      </c>
      <c r="C3" s="69">
        <v>22</v>
      </c>
      <c r="D3" s="68" t="s">
        <v>100</v>
      </c>
      <c r="E3" s="68" t="s">
        <v>101</v>
      </c>
      <c r="F3" s="71" t="s">
        <v>101</v>
      </c>
      <c r="G3" s="68" t="s">
        <v>102</v>
      </c>
      <c r="H3" s="68">
        <v>30</v>
      </c>
      <c r="I3" s="68"/>
      <c r="J3" s="68">
        <v>0.2</v>
      </c>
      <c r="K3" s="68">
        <v>0.2</v>
      </c>
      <c r="L3" s="67"/>
      <c r="M3" s="67">
        <v>31</v>
      </c>
      <c r="N3" s="72" t="s">
        <v>103</v>
      </c>
      <c r="O3" s="73"/>
      <c r="P3" s="25">
        <v>6000</v>
      </c>
      <c r="Q3" s="73"/>
      <c r="R3" s="73"/>
      <c r="S3" s="74"/>
      <c r="T3" s="73"/>
      <c r="U3" s="73"/>
      <c r="V3" s="75"/>
      <c r="W3" s="76"/>
      <c r="X3" s="29">
        <v>20</v>
      </c>
      <c r="Y3" s="68" t="s">
        <v>58</v>
      </c>
      <c r="Z3" s="68"/>
      <c r="AA3" s="68"/>
      <c r="AB3" s="68"/>
      <c r="AC3" s="68">
        <v>1</v>
      </c>
      <c r="AD3" s="68"/>
      <c r="AE3" s="68"/>
    </row>
    <row r="4" spans="1:31" ht="23.1" customHeight="1" x14ac:dyDescent="0.25">
      <c r="A4" s="20" t="s">
        <v>109</v>
      </c>
      <c r="B4" s="1" t="s">
        <v>110</v>
      </c>
      <c r="C4" s="3">
        <v>22</v>
      </c>
      <c r="D4" s="1" t="s">
        <v>111</v>
      </c>
      <c r="E4" s="1" t="s">
        <v>101</v>
      </c>
      <c r="F4" s="21" t="s">
        <v>101</v>
      </c>
      <c r="G4" s="1" t="s">
        <v>102</v>
      </c>
      <c r="H4" s="1">
        <v>30</v>
      </c>
      <c r="I4" s="1" t="s">
        <v>2410</v>
      </c>
      <c r="J4" s="1">
        <v>0.15</v>
      </c>
      <c r="K4" s="1">
        <v>0</v>
      </c>
      <c r="L4" s="23"/>
      <c r="M4" s="23">
        <v>26</v>
      </c>
      <c r="N4" s="24" t="s">
        <v>103</v>
      </c>
      <c r="O4" s="25"/>
      <c r="P4" s="25">
        <v>6000</v>
      </c>
      <c r="Q4" s="25">
        <v>180</v>
      </c>
      <c r="R4" s="25"/>
      <c r="S4" s="27">
        <v>1</v>
      </c>
      <c r="T4" s="25">
        <v>180</v>
      </c>
      <c r="U4" s="31"/>
      <c r="V4" s="28">
        <v>1</v>
      </c>
      <c r="W4" s="25">
        <v>7</v>
      </c>
      <c r="X4" s="29">
        <v>13</v>
      </c>
      <c r="Y4" s="1" t="s">
        <v>49</v>
      </c>
      <c r="Z4" s="1" t="s">
        <v>112</v>
      </c>
      <c r="AA4" s="1"/>
    </row>
    <row r="5" spans="1:31" ht="23.1" customHeight="1" x14ac:dyDescent="0.25">
      <c r="A5" s="20" t="s">
        <v>109</v>
      </c>
      <c r="B5" s="1" t="s">
        <v>113</v>
      </c>
      <c r="C5" s="3">
        <v>22</v>
      </c>
      <c r="D5" s="1" t="s">
        <v>111</v>
      </c>
      <c r="E5" s="1" t="s">
        <v>101</v>
      </c>
      <c r="F5" s="21" t="s">
        <v>101</v>
      </c>
      <c r="G5" s="1" t="s">
        <v>102</v>
      </c>
      <c r="H5" s="1">
        <v>30</v>
      </c>
      <c r="I5" s="1" t="s">
        <v>1873</v>
      </c>
      <c r="J5" s="1">
        <v>0.15</v>
      </c>
      <c r="K5" s="1">
        <v>0.2</v>
      </c>
      <c r="L5" s="23"/>
      <c r="M5" s="23">
        <v>26</v>
      </c>
      <c r="N5" s="24" t="s">
        <v>103</v>
      </c>
      <c r="O5" s="25"/>
      <c r="P5" s="25">
        <v>6000</v>
      </c>
      <c r="Q5" s="25">
        <v>180</v>
      </c>
      <c r="R5" s="25"/>
      <c r="S5" s="27"/>
      <c r="T5" s="25">
        <v>180</v>
      </c>
      <c r="U5" s="31"/>
      <c r="V5" s="28"/>
      <c r="W5" s="25"/>
      <c r="X5" s="29">
        <v>20</v>
      </c>
      <c r="Y5" s="1" t="s">
        <v>49</v>
      </c>
      <c r="Z5" s="1"/>
      <c r="AA5" s="1"/>
    </row>
    <row r="6" spans="1:31" ht="23.1" customHeight="1" x14ac:dyDescent="0.25">
      <c r="A6" s="20" t="s">
        <v>114</v>
      </c>
      <c r="B6" s="1" t="s">
        <v>110</v>
      </c>
      <c r="C6" s="3">
        <v>22</v>
      </c>
      <c r="D6" s="1" t="s">
        <v>111</v>
      </c>
      <c r="E6" s="1" t="s">
        <v>101</v>
      </c>
      <c r="F6" s="21" t="s">
        <v>101</v>
      </c>
      <c r="G6" s="1" t="s">
        <v>102</v>
      </c>
      <c r="H6" s="1">
        <v>30</v>
      </c>
      <c r="I6" s="1" t="s">
        <v>2377</v>
      </c>
      <c r="J6" s="1">
        <v>0.15</v>
      </c>
      <c r="K6" s="1">
        <v>0.2</v>
      </c>
      <c r="L6" s="23"/>
      <c r="M6" s="23">
        <v>26</v>
      </c>
      <c r="N6" s="24" t="s">
        <v>103</v>
      </c>
      <c r="O6" s="25"/>
      <c r="P6" s="25">
        <v>6000</v>
      </c>
      <c r="Q6" s="25">
        <v>180</v>
      </c>
      <c r="R6" s="25"/>
      <c r="S6" s="27"/>
      <c r="T6" s="25">
        <v>180</v>
      </c>
      <c r="U6" s="31"/>
      <c r="V6" s="28"/>
      <c r="W6" s="25"/>
      <c r="X6" s="29">
        <v>20</v>
      </c>
      <c r="Y6" s="1" t="s">
        <v>49</v>
      </c>
      <c r="Z6" s="1"/>
      <c r="AA6" s="1"/>
    </row>
    <row r="7" spans="1:31" ht="23.1" customHeight="1" x14ac:dyDescent="0.25">
      <c r="A7" s="20" t="s">
        <v>115</v>
      </c>
      <c r="B7" s="1" t="s">
        <v>110</v>
      </c>
      <c r="C7" s="3">
        <v>91</v>
      </c>
      <c r="D7" s="1" t="s">
        <v>1841</v>
      </c>
      <c r="E7" s="1" t="s">
        <v>117</v>
      </c>
      <c r="F7" s="21" t="s">
        <v>117</v>
      </c>
      <c r="G7" s="1" t="s">
        <v>118</v>
      </c>
      <c r="H7" s="1">
        <v>40</v>
      </c>
      <c r="I7" s="1" t="s">
        <v>1881</v>
      </c>
      <c r="J7" s="1">
        <v>2</v>
      </c>
      <c r="K7" s="1">
        <v>2</v>
      </c>
      <c r="L7" s="23">
        <v>23</v>
      </c>
      <c r="M7" s="23">
        <v>19</v>
      </c>
      <c r="N7" s="24" t="s">
        <v>119</v>
      </c>
      <c r="O7" s="25"/>
      <c r="P7" s="25">
        <v>450</v>
      </c>
      <c r="Q7" s="25">
        <v>60</v>
      </c>
      <c r="R7" s="25"/>
      <c r="S7" s="27">
        <v>2</v>
      </c>
      <c r="T7" s="25">
        <v>120</v>
      </c>
      <c r="U7" s="25"/>
      <c r="V7" s="28"/>
      <c r="W7" s="25"/>
      <c r="X7" s="29">
        <v>17</v>
      </c>
      <c r="Y7" s="1" t="s">
        <v>52</v>
      </c>
      <c r="Z7" s="1"/>
      <c r="AA7" s="1"/>
    </row>
    <row r="8" spans="1:31" ht="23.1" customHeight="1" x14ac:dyDescent="0.25">
      <c r="A8" s="20" t="s">
        <v>115</v>
      </c>
      <c r="B8" s="1" t="s">
        <v>110</v>
      </c>
      <c r="C8" s="3">
        <v>121</v>
      </c>
      <c r="D8" s="1" t="s">
        <v>108</v>
      </c>
      <c r="E8" s="1" t="s">
        <v>120</v>
      </c>
      <c r="F8" s="21" t="e">
        <v>#N/A</v>
      </c>
      <c r="G8" s="1" t="s">
        <v>102</v>
      </c>
      <c r="H8" s="1" t="s">
        <v>108</v>
      </c>
      <c r="I8" s="1"/>
      <c r="J8" s="1"/>
      <c r="K8" s="1">
        <v>1</v>
      </c>
      <c r="L8" s="23">
        <v>5</v>
      </c>
      <c r="M8" s="23">
        <v>5</v>
      </c>
      <c r="N8" s="24" t="s">
        <v>108</v>
      </c>
      <c r="O8" s="25"/>
      <c r="P8" s="25"/>
      <c r="Q8" s="25"/>
      <c r="R8" s="25"/>
      <c r="S8" s="27"/>
      <c r="T8" s="25"/>
      <c r="U8" s="25"/>
      <c r="V8" s="28"/>
      <c r="W8" s="25">
        <v>8</v>
      </c>
      <c r="X8" s="29">
        <v>8</v>
      </c>
      <c r="Y8" s="1" t="s">
        <v>52</v>
      </c>
      <c r="Z8" s="1"/>
      <c r="AA8" s="1"/>
    </row>
    <row r="9" spans="1:31" ht="23.1" customHeight="1" x14ac:dyDescent="0.25">
      <c r="A9" s="20" t="s">
        <v>115</v>
      </c>
      <c r="B9" s="1" t="s">
        <v>110</v>
      </c>
      <c r="C9" s="3">
        <v>84</v>
      </c>
      <c r="D9" s="1" t="s">
        <v>121</v>
      </c>
      <c r="E9" s="1" t="s">
        <v>122</v>
      </c>
      <c r="F9" s="21" t="s">
        <v>122</v>
      </c>
      <c r="G9" s="1" t="s">
        <v>123</v>
      </c>
      <c r="H9" s="1">
        <v>40</v>
      </c>
      <c r="I9" s="1" t="s">
        <v>1843</v>
      </c>
      <c r="J9" s="1">
        <v>2</v>
      </c>
      <c r="K9" s="1">
        <v>3</v>
      </c>
      <c r="L9" s="23">
        <v>5</v>
      </c>
      <c r="M9" s="23"/>
      <c r="N9" s="24" t="s">
        <v>124</v>
      </c>
      <c r="O9" s="25"/>
      <c r="P9" s="25">
        <v>480</v>
      </c>
      <c r="Q9" s="25">
        <v>60</v>
      </c>
      <c r="R9" s="25"/>
      <c r="S9" s="27">
        <v>3</v>
      </c>
      <c r="T9" s="25">
        <v>120</v>
      </c>
      <c r="U9" s="25"/>
      <c r="V9" s="28"/>
      <c r="W9" s="25"/>
      <c r="X9" s="29">
        <v>27</v>
      </c>
      <c r="Y9" s="1" t="s">
        <v>52</v>
      </c>
      <c r="Z9" s="1" t="s">
        <v>125</v>
      </c>
      <c r="AA9" s="1"/>
    </row>
    <row r="10" spans="1:31" ht="23.1" customHeight="1" x14ac:dyDescent="0.25">
      <c r="A10" s="20" t="s">
        <v>115</v>
      </c>
      <c r="B10" s="1" t="s">
        <v>110</v>
      </c>
      <c r="C10" s="3">
        <v>69</v>
      </c>
      <c r="D10" s="1" t="s">
        <v>126</v>
      </c>
      <c r="E10" s="1" t="s">
        <v>127</v>
      </c>
      <c r="F10" s="21" t="s">
        <v>127</v>
      </c>
      <c r="G10" s="1" t="s">
        <v>102</v>
      </c>
      <c r="H10" s="1">
        <v>50</v>
      </c>
      <c r="I10" s="1" t="s">
        <v>1835</v>
      </c>
      <c r="J10" s="1">
        <v>0.2</v>
      </c>
      <c r="K10" s="1">
        <v>0.2</v>
      </c>
      <c r="L10" s="23"/>
      <c r="M10" s="23">
        <v>37</v>
      </c>
      <c r="N10" s="24" t="s">
        <v>128</v>
      </c>
      <c r="O10" s="25"/>
      <c r="P10" s="25">
        <v>6000</v>
      </c>
      <c r="Q10" s="25">
        <v>120</v>
      </c>
      <c r="R10" s="25"/>
      <c r="S10" s="27"/>
      <c r="T10" s="25">
        <v>240</v>
      </c>
      <c r="U10" s="25"/>
      <c r="V10" s="28"/>
      <c r="W10" s="25"/>
      <c r="X10" s="29">
        <v>20</v>
      </c>
      <c r="Y10" s="1" t="s">
        <v>52</v>
      </c>
      <c r="Z10" s="1"/>
      <c r="AA10" s="1"/>
    </row>
    <row r="11" spans="1:31" ht="23.1" customHeight="1" x14ac:dyDescent="0.25">
      <c r="A11" s="20" t="s">
        <v>115</v>
      </c>
      <c r="B11" s="1" t="s">
        <v>110</v>
      </c>
      <c r="C11" s="3">
        <v>24</v>
      </c>
      <c r="D11" s="1" t="s">
        <v>129</v>
      </c>
      <c r="E11" s="1" t="s">
        <v>130</v>
      </c>
      <c r="F11" s="21" t="s">
        <v>2546</v>
      </c>
      <c r="G11" s="1" t="s">
        <v>102</v>
      </c>
      <c r="H11" s="1">
        <v>70</v>
      </c>
      <c r="I11" s="1" t="s">
        <v>2411</v>
      </c>
      <c r="J11" s="1">
        <v>0.1</v>
      </c>
      <c r="K11" s="1">
        <v>0.4</v>
      </c>
      <c r="L11" s="23"/>
      <c r="M11" s="23">
        <v>5</v>
      </c>
      <c r="N11" s="24" t="s">
        <v>131</v>
      </c>
      <c r="O11" s="25"/>
      <c r="P11" s="25">
        <v>2760</v>
      </c>
      <c r="Q11" s="25">
        <v>120</v>
      </c>
      <c r="R11" s="25"/>
      <c r="S11" s="27"/>
      <c r="T11" s="25">
        <v>180</v>
      </c>
      <c r="U11" s="25"/>
      <c r="V11" s="28"/>
      <c r="W11" s="25"/>
      <c r="X11" s="29">
        <v>18.399999999999999</v>
      </c>
      <c r="Y11" s="1" t="s">
        <v>52</v>
      </c>
      <c r="Z11" s="1"/>
      <c r="AA11" s="1"/>
    </row>
    <row r="12" spans="1:31" ht="23.1" customHeight="1" x14ac:dyDescent="0.25">
      <c r="A12" s="20" t="s">
        <v>115</v>
      </c>
      <c r="B12" s="1" t="s">
        <v>110</v>
      </c>
      <c r="C12" s="3">
        <v>78</v>
      </c>
      <c r="D12" s="1" t="s">
        <v>132</v>
      </c>
      <c r="E12" s="1" t="s">
        <v>133</v>
      </c>
      <c r="F12" s="21" t="s">
        <v>133</v>
      </c>
      <c r="G12" s="1" t="s">
        <v>102</v>
      </c>
      <c r="H12" s="1">
        <v>65</v>
      </c>
      <c r="I12" s="1" t="s">
        <v>1879</v>
      </c>
      <c r="J12" s="1">
        <v>1</v>
      </c>
      <c r="K12" s="1">
        <v>0.2</v>
      </c>
      <c r="L12" s="23"/>
      <c r="M12" s="23">
        <v>5</v>
      </c>
      <c r="N12" s="24" t="s">
        <v>103</v>
      </c>
      <c r="O12" s="25"/>
      <c r="P12" s="25">
        <v>660</v>
      </c>
      <c r="Q12" s="25">
        <v>60</v>
      </c>
      <c r="R12" s="25"/>
      <c r="S12" s="27"/>
      <c r="T12" s="25">
        <v>120</v>
      </c>
      <c r="U12" s="25"/>
      <c r="V12" s="28"/>
      <c r="W12" s="25"/>
      <c r="X12" s="29">
        <v>2.2000000000000002</v>
      </c>
      <c r="Y12" s="1" t="s">
        <v>45</v>
      </c>
      <c r="Z12" s="1" t="s">
        <v>134</v>
      </c>
      <c r="AA12" s="1"/>
    </row>
    <row r="13" spans="1:31" ht="23.1" customHeight="1" x14ac:dyDescent="0.25">
      <c r="A13" s="20" t="s">
        <v>115</v>
      </c>
      <c r="B13" s="1" t="s">
        <v>110</v>
      </c>
      <c r="C13" s="3">
        <v>16</v>
      </c>
      <c r="D13" s="1" t="s">
        <v>108</v>
      </c>
      <c r="E13" s="1" t="s">
        <v>135</v>
      </c>
      <c r="F13" s="21" t="e">
        <v>#N/A</v>
      </c>
      <c r="G13" s="1" t="s">
        <v>108</v>
      </c>
      <c r="H13" s="1" t="s">
        <v>108</v>
      </c>
      <c r="I13" s="1"/>
      <c r="J13" s="1" t="s">
        <v>108</v>
      </c>
      <c r="K13" s="1">
        <v>30</v>
      </c>
      <c r="L13" s="23">
        <v>26</v>
      </c>
      <c r="M13" s="23"/>
      <c r="N13" s="24" t="s">
        <v>108</v>
      </c>
      <c r="O13" s="25"/>
      <c r="P13" s="25"/>
      <c r="Q13" s="25"/>
      <c r="R13" s="25"/>
      <c r="S13" s="27"/>
      <c r="T13" s="25"/>
      <c r="U13" s="25"/>
      <c r="V13" s="28"/>
      <c r="W13" s="25">
        <v>2</v>
      </c>
      <c r="X13" s="29">
        <v>2</v>
      </c>
      <c r="Y13" s="1" t="s">
        <v>63</v>
      </c>
      <c r="Z13" s="1" t="s">
        <v>136</v>
      </c>
      <c r="AA13" s="1"/>
    </row>
    <row r="14" spans="1:31" ht="23.1" customHeight="1" x14ac:dyDescent="0.25">
      <c r="A14" s="20" t="s">
        <v>115</v>
      </c>
      <c r="B14" s="1" t="s">
        <v>110</v>
      </c>
      <c r="C14" s="3">
        <v>22</v>
      </c>
      <c r="D14" s="1" t="s">
        <v>111</v>
      </c>
      <c r="E14" s="1" t="s">
        <v>101</v>
      </c>
      <c r="F14" s="21" t="s">
        <v>101</v>
      </c>
      <c r="G14" s="1" t="s">
        <v>102</v>
      </c>
      <c r="H14" s="1">
        <v>30</v>
      </c>
      <c r="I14" s="1" t="s">
        <v>1873</v>
      </c>
      <c r="J14" s="1">
        <v>0.15</v>
      </c>
      <c r="K14" s="1">
        <v>0.15</v>
      </c>
      <c r="L14" s="23"/>
      <c r="M14" s="23">
        <v>26</v>
      </c>
      <c r="N14" s="24" t="s">
        <v>103</v>
      </c>
      <c r="O14" s="25"/>
      <c r="P14" s="25">
        <v>6000</v>
      </c>
      <c r="Q14" s="25">
        <v>180</v>
      </c>
      <c r="R14" s="25"/>
      <c r="S14" s="27"/>
      <c r="T14" s="25">
        <v>180</v>
      </c>
      <c r="U14" s="31"/>
      <c r="V14" s="28"/>
      <c r="W14" s="25"/>
      <c r="X14" s="29">
        <v>15</v>
      </c>
      <c r="Y14" s="1" t="s">
        <v>49</v>
      </c>
      <c r="Z14" s="1"/>
      <c r="AA14" s="1"/>
    </row>
    <row r="15" spans="1:31" ht="23.1" customHeight="1" x14ac:dyDescent="0.25">
      <c r="A15" s="20" t="s">
        <v>114</v>
      </c>
      <c r="B15" s="1" t="s">
        <v>137</v>
      </c>
      <c r="C15" s="3">
        <v>59</v>
      </c>
      <c r="D15" s="1" t="s">
        <v>138</v>
      </c>
      <c r="E15" s="1" t="s">
        <v>139</v>
      </c>
      <c r="F15" s="21" t="s">
        <v>139</v>
      </c>
      <c r="G15" s="1" t="s">
        <v>102</v>
      </c>
      <c r="H15" s="1">
        <v>10</v>
      </c>
      <c r="I15" s="1" t="s">
        <v>1897</v>
      </c>
      <c r="J15" s="1">
        <v>2</v>
      </c>
      <c r="K15" s="1">
        <v>2</v>
      </c>
      <c r="L15" s="23">
        <v>28</v>
      </c>
      <c r="M15" s="23">
        <v>28</v>
      </c>
      <c r="N15" s="24" t="s">
        <v>140</v>
      </c>
      <c r="O15" s="25"/>
      <c r="P15" s="25">
        <v>60</v>
      </c>
      <c r="Q15" s="25"/>
      <c r="R15" s="25"/>
      <c r="S15" s="27"/>
      <c r="T15" s="25">
        <v>60</v>
      </c>
      <c r="U15" s="25"/>
      <c r="V15" s="28">
        <v>1</v>
      </c>
      <c r="W15" s="25"/>
      <c r="X15" s="29">
        <v>3</v>
      </c>
      <c r="Y15" s="1" t="s">
        <v>42</v>
      </c>
      <c r="Z15" s="1"/>
      <c r="AA15" s="1"/>
    </row>
    <row r="16" spans="1:31" ht="23.1" customHeight="1" x14ac:dyDescent="0.25">
      <c r="A16" s="20" t="s">
        <v>114</v>
      </c>
      <c r="B16" s="1" t="s">
        <v>137</v>
      </c>
      <c r="C16" s="3">
        <v>59</v>
      </c>
      <c r="D16" s="1" t="s">
        <v>138</v>
      </c>
      <c r="E16" s="1" t="s">
        <v>139</v>
      </c>
      <c r="F16" s="21" t="s">
        <v>139</v>
      </c>
      <c r="G16" s="1" t="s">
        <v>102</v>
      </c>
      <c r="H16" s="1">
        <v>15</v>
      </c>
      <c r="I16" s="1" t="s">
        <v>2412</v>
      </c>
      <c r="J16" s="1">
        <v>2</v>
      </c>
      <c r="K16" s="1">
        <v>2</v>
      </c>
      <c r="L16" s="23">
        <v>28</v>
      </c>
      <c r="M16" s="23">
        <v>28</v>
      </c>
      <c r="N16" s="24" t="s">
        <v>140</v>
      </c>
      <c r="O16" s="25"/>
      <c r="P16" s="25">
        <v>20</v>
      </c>
      <c r="Q16" s="25"/>
      <c r="R16" s="25"/>
      <c r="S16" s="27"/>
      <c r="T16" s="25">
        <v>60</v>
      </c>
      <c r="U16" s="25"/>
      <c r="V16" s="28">
        <v>1</v>
      </c>
      <c r="W16" s="25"/>
      <c r="X16" s="29">
        <v>1.7</v>
      </c>
      <c r="Y16" s="1" t="s">
        <v>42</v>
      </c>
      <c r="Z16" s="1"/>
      <c r="AA16" s="1"/>
    </row>
    <row r="17" spans="1:27" ht="23.1" customHeight="1" x14ac:dyDescent="0.25">
      <c r="A17" s="20" t="s">
        <v>141</v>
      </c>
      <c r="B17" s="1" t="s">
        <v>137</v>
      </c>
      <c r="C17" s="3">
        <v>59</v>
      </c>
      <c r="D17" s="1" t="s">
        <v>138</v>
      </c>
      <c r="E17" s="1" t="s">
        <v>139</v>
      </c>
      <c r="F17" s="21" t="s">
        <v>139</v>
      </c>
      <c r="G17" s="1" t="s">
        <v>102</v>
      </c>
      <c r="H17" s="1">
        <v>20</v>
      </c>
      <c r="I17" s="1" t="s">
        <v>1880</v>
      </c>
      <c r="J17" s="1">
        <v>2</v>
      </c>
      <c r="K17" s="1">
        <v>2</v>
      </c>
      <c r="L17" s="23">
        <v>28</v>
      </c>
      <c r="M17" s="23">
        <v>28</v>
      </c>
      <c r="N17" s="24" t="s">
        <v>140</v>
      </c>
      <c r="O17" s="25"/>
      <c r="P17" s="25">
        <v>60</v>
      </c>
      <c r="Q17" s="25"/>
      <c r="R17" s="25"/>
      <c r="S17" s="27"/>
      <c r="T17" s="25">
        <v>120</v>
      </c>
      <c r="U17" s="25"/>
      <c r="V17" s="28"/>
      <c r="W17" s="25"/>
      <c r="X17" s="29">
        <v>2</v>
      </c>
      <c r="Y17" s="1" t="s">
        <v>42</v>
      </c>
      <c r="Z17" s="1"/>
      <c r="AA17" s="1"/>
    </row>
    <row r="18" spans="1:27" ht="23.1" customHeight="1" x14ac:dyDescent="0.25">
      <c r="A18" s="20" t="s">
        <v>114</v>
      </c>
      <c r="B18" s="1" t="s">
        <v>137</v>
      </c>
      <c r="C18" s="3">
        <v>59</v>
      </c>
      <c r="D18" s="1" t="s">
        <v>142</v>
      </c>
      <c r="E18" s="1" t="s">
        <v>133</v>
      </c>
      <c r="F18" s="21" t="s">
        <v>133</v>
      </c>
      <c r="G18" s="1" t="s">
        <v>102</v>
      </c>
      <c r="H18" s="1">
        <v>20</v>
      </c>
      <c r="I18" s="1" t="s">
        <v>2413</v>
      </c>
      <c r="J18" s="1"/>
      <c r="K18" s="1">
        <v>1</v>
      </c>
      <c r="L18" s="23"/>
      <c r="M18" s="23">
        <v>31</v>
      </c>
      <c r="N18" s="24" t="s">
        <v>140</v>
      </c>
      <c r="O18" s="25"/>
      <c r="P18" s="25">
        <v>160</v>
      </c>
      <c r="Q18" s="25"/>
      <c r="R18" s="25"/>
      <c r="S18" s="27"/>
      <c r="T18" s="25">
        <v>120</v>
      </c>
      <c r="U18" s="25"/>
      <c r="V18" s="28"/>
      <c r="W18" s="25"/>
      <c r="X18" s="29">
        <v>2.7</v>
      </c>
      <c r="Y18" s="1" t="s">
        <v>42</v>
      </c>
      <c r="Z18" s="1"/>
      <c r="AA18" s="1"/>
    </row>
    <row r="19" spans="1:27" ht="23.1" customHeight="1" x14ac:dyDescent="0.25">
      <c r="A19" s="20" t="s">
        <v>114</v>
      </c>
      <c r="B19" s="1" t="s">
        <v>113</v>
      </c>
      <c r="C19" s="3">
        <v>79</v>
      </c>
      <c r="D19" s="1" t="s">
        <v>132</v>
      </c>
      <c r="E19" s="1" t="s">
        <v>133</v>
      </c>
      <c r="F19" s="21" t="s">
        <v>133</v>
      </c>
      <c r="G19" s="1" t="s">
        <v>102</v>
      </c>
      <c r="H19" s="1">
        <v>65</v>
      </c>
      <c r="I19" s="1" t="s">
        <v>2414</v>
      </c>
      <c r="J19" s="1">
        <v>1</v>
      </c>
      <c r="K19" s="1">
        <v>0.3</v>
      </c>
      <c r="L19" s="23"/>
      <c r="M19" s="23">
        <v>28</v>
      </c>
      <c r="N19" s="24" t="s">
        <v>103</v>
      </c>
      <c r="O19" s="25"/>
      <c r="P19" s="25">
        <v>660</v>
      </c>
      <c r="Q19" s="25">
        <v>60</v>
      </c>
      <c r="R19" s="25"/>
      <c r="S19" s="27"/>
      <c r="T19" s="25">
        <v>120</v>
      </c>
      <c r="U19" s="25"/>
      <c r="V19" s="28">
        <v>1</v>
      </c>
      <c r="W19" s="25">
        <v>14.7</v>
      </c>
      <c r="X19" s="29">
        <v>20</v>
      </c>
      <c r="Y19" s="1" t="s">
        <v>19</v>
      </c>
      <c r="Z19" s="1" t="s">
        <v>143</v>
      </c>
      <c r="AA19" s="1"/>
    </row>
    <row r="20" spans="1:27" ht="23.1" customHeight="1" x14ac:dyDescent="0.25">
      <c r="A20" s="20" t="s">
        <v>114</v>
      </c>
      <c r="B20" s="1" t="s">
        <v>113</v>
      </c>
      <c r="C20" s="3">
        <v>24</v>
      </c>
      <c r="D20" s="1" t="s">
        <v>129</v>
      </c>
      <c r="E20" s="1" t="s">
        <v>130</v>
      </c>
      <c r="F20" s="21" t="s">
        <v>2546</v>
      </c>
      <c r="G20" s="1" t="s">
        <v>102</v>
      </c>
      <c r="H20" s="1">
        <v>70</v>
      </c>
      <c r="I20" s="1" t="s">
        <v>2415</v>
      </c>
      <c r="J20" s="1">
        <v>0.3</v>
      </c>
      <c r="K20" s="1">
        <v>0.4</v>
      </c>
      <c r="L20" s="23">
        <v>5</v>
      </c>
      <c r="M20" s="23">
        <v>5</v>
      </c>
      <c r="N20" s="24" t="s">
        <v>144</v>
      </c>
      <c r="O20" s="25"/>
      <c r="P20" s="25">
        <v>2760</v>
      </c>
      <c r="Q20" s="25">
        <v>120</v>
      </c>
      <c r="R20" s="25"/>
      <c r="S20" s="27">
        <v>1</v>
      </c>
      <c r="T20" s="25">
        <v>180</v>
      </c>
      <c r="U20" s="25"/>
      <c r="V20" s="28"/>
      <c r="W20" s="25"/>
      <c r="X20" s="29">
        <v>20.399999999999999</v>
      </c>
      <c r="Y20" s="1" t="s">
        <v>3</v>
      </c>
      <c r="Z20" s="1" t="s">
        <v>145</v>
      </c>
      <c r="AA20" s="1"/>
    </row>
    <row r="21" spans="1:27" ht="23.1" customHeight="1" x14ac:dyDescent="0.25">
      <c r="A21" s="20" t="s">
        <v>114</v>
      </c>
      <c r="B21" s="1" t="s">
        <v>113</v>
      </c>
      <c r="C21" s="3">
        <v>91</v>
      </c>
      <c r="D21" s="1" t="s">
        <v>116</v>
      </c>
      <c r="E21" s="1" t="s">
        <v>117</v>
      </c>
      <c r="F21" s="21" t="s">
        <v>117</v>
      </c>
      <c r="G21" s="1" t="s">
        <v>118</v>
      </c>
      <c r="H21" s="1">
        <v>40</v>
      </c>
      <c r="I21" s="1" t="s">
        <v>1872</v>
      </c>
      <c r="J21" s="1">
        <v>2</v>
      </c>
      <c r="K21" s="1">
        <v>2</v>
      </c>
      <c r="L21" s="23">
        <v>26</v>
      </c>
      <c r="M21" s="23">
        <v>23</v>
      </c>
      <c r="N21" s="24" t="s">
        <v>146</v>
      </c>
      <c r="O21" s="25"/>
      <c r="P21" s="25">
        <v>450</v>
      </c>
      <c r="Q21" s="25">
        <v>60</v>
      </c>
      <c r="R21" s="25"/>
      <c r="S21" s="27">
        <v>2</v>
      </c>
      <c r="T21" s="25">
        <v>120</v>
      </c>
      <c r="U21" s="25"/>
      <c r="V21" s="28"/>
      <c r="W21" s="25"/>
      <c r="X21" s="29">
        <v>17</v>
      </c>
      <c r="Y21" s="1" t="s">
        <v>3</v>
      </c>
      <c r="Z21" s="1" t="s">
        <v>147</v>
      </c>
      <c r="AA21" s="1"/>
    </row>
    <row r="22" spans="1:27" ht="23.1" customHeight="1" x14ac:dyDescent="0.25">
      <c r="A22" s="20" t="s">
        <v>114</v>
      </c>
      <c r="B22" s="1" t="s">
        <v>113</v>
      </c>
      <c r="C22" s="3">
        <v>84</v>
      </c>
      <c r="D22" s="1" t="s">
        <v>121</v>
      </c>
      <c r="E22" s="1" t="s">
        <v>122</v>
      </c>
      <c r="F22" s="21" t="s">
        <v>122</v>
      </c>
      <c r="G22" s="1" t="s">
        <v>123</v>
      </c>
      <c r="H22" s="1">
        <v>50</v>
      </c>
      <c r="I22" s="1" t="s">
        <v>1884</v>
      </c>
      <c r="J22" s="1">
        <v>2</v>
      </c>
      <c r="K22" s="1">
        <v>2.8</v>
      </c>
      <c r="L22" s="23">
        <v>26</v>
      </c>
      <c r="M22" s="23">
        <v>5</v>
      </c>
      <c r="N22" s="24" t="s">
        <v>148</v>
      </c>
      <c r="O22" s="25"/>
      <c r="P22" s="25">
        <v>360</v>
      </c>
      <c r="Q22" s="25">
        <v>60</v>
      </c>
      <c r="R22" s="25"/>
      <c r="S22" s="27">
        <v>2</v>
      </c>
      <c r="T22" s="25">
        <v>120</v>
      </c>
      <c r="U22" s="25"/>
      <c r="V22" s="28"/>
      <c r="W22" s="25"/>
      <c r="X22" s="29">
        <v>18.8</v>
      </c>
      <c r="Y22" s="1" t="s">
        <v>3</v>
      </c>
      <c r="Z22" s="1" t="s">
        <v>147</v>
      </c>
      <c r="AA22" s="1"/>
    </row>
    <row r="23" spans="1:27" ht="23.1" customHeight="1" x14ac:dyDescent="0.25">
      <c r="A23" s="20" t="s">
        <v>114</v>
      </c>
      <c r="B23" s="1" t="s">
        <v>113</v>
      </c>
      <c r="C23" s="3">
        <v>69</v>
      </c>
      <c r="D23" s="1" t="s">
        <v>126</v>
      </c>
      <c r="E23" s="1" t="s">
        <v>127</v>
      </c>
      <c r="F23" s="21" t="s">
        <v>127</v>
      </c>
      <c r="G23" s="1" t="s">
        <v>102</v>
      </c>
      <c r="H23" s="1">
        <v>45</v>
      </c>
      <c r="I23" s="1" t="s">
        <v>2416</v>
      </c>
      <c r="J23" s="1">
        <v>0.2</v>
      </c>
      <c r="K23" s="1">
        <v>0.1</v>
      </c>
      <c r="L23" s="23"/>
      <c r="M23" s="23">
        <v>28</v>
      </c>
      <c r="N23" s="24" t="s">
        <v>128</v>
      </c>
      <c r="O23" s="25"/>
      <c r="P23" s="25">
        <v>4500</v>
      </c>
      <c r="Q23" s="25">
        <v>120</v>
      </c>
      <c r="R23" s="25"/>
      <c r="S23" s="27"/>
      <c r="T23" s="25">
        <v>240</v>
      </c>
      <c r="U23" s="25"/>
      <c r="V23" s="28">
        <v>1</v>
      </c>
      <c r="W23" s="25"/>
      <c r="X23" s="29">
        <v>11.5</v>
      </c>
      <c r="Y23" s="1" t="s">
        <v>3</v>
      </c>
      <c r="Z23" s="1"/>
      <c r="AA23" s="1"/>
    </row>
    <row r="24" spans="1:27" ht="23.1" customHeight="1" x14ac:dyDescent="0.25">
      <c r="A24" s="20" t="s">
        <v>114</v>
      </c>
      <c r="B24" s="1" t="s">
        <v>113</v>
      </c>
      <c r="C24" s="3">
        <v>69</v>
      </c>
      <c r="D24" s="1" t="s">
        <v>126</v>
      </c>
      <c r="E24" s="1" t="s">
        <v>127</v>
      </c>
      <c r="F24" s="21" t="s">
        <v>127</v>
      </c>
      <c r="G24" s="1" t="s">
        <v>102</v>
      </c>
      <c r="H24" s="1">
        <v>50</v>
      </c>
      <c r="I24" s="1" t="s">
        <v>1835</v>
      </c>
      <c r="J24" s="1"/>
      <c r="K24" s="1">
        <v>0.1</v>
      </c>
      <c r="L24" s="23"/>
      <c r="M24" s="23">
        <v>37</v>
      </c>
      <c r="N24" s="24" t="s">
        <v>128</v>
      </c>
      <c r="O24" s="25"/>
      <c r="P24" s="25">
        <v>6000</v>
      </c>
      <c r="Q24" s="25">
        <v>120</v>
      </c>
      <c r="R24" s="25"/>
      <c r="S24" s="27"/>
      <c r="T24" s="25">
        <v>240</v>
      </c>
      <c r="U24" s="25"/>
      <c r="V24" s="28"/>
      <c r="W24" s="25">
        <v>5</v>
      </c>
      <c r="X24" s="29">
        <v>15</v>
      </c>
      <c r="Y24" s="1" t="s">
        <v>3</v>
      </c>
      <c r="Z24" s="1" t="s">
        <v>149</v>
      </c>
      <c r="AA24" s="1"/>
    </row>
    <row r="25" spans="1:27" ht="23.1" customHeight="1" x14ac:dyDescent="0.25">
      <c r="A25" s="20" t="s">
        <v>114</v>
      </c>
      <c r="B25" s="1" t="s">
        <v>113</v>
      </c>
      <c r="C25" s="3">
        <v>22</v>
      </c>
      <c r="D25" s="1" t="s">
        <v>111</v>
      </c>
      <c r="E25" s="1" t="s">
        <v>101</v>
      </c>
      <c r="F25" s="21" t="s">
        <v>101</v>
      </c>
      <c r="G25" s="1" t="s">
        <v>102</v>
      </c>
      <c r="H25" s="1">
        <v>30</v>
      </c>
      <c r="I25" s="1" t="s">
        <v>1877</v>
      </c>
      <c r="J25" s="1">
        <v>0.15</v>
      </c>
      <c r="K25" s="1">
        <v>0.15</v>
      </c>
      <c r="L25" s="23"/>
      <c r="M25" s="23">
        <v>26</v>
      </c>
      <c r="N25" s="24" t="s">
        <v>103</v>
      </c>
      <c r="O25" s="25"/>
      <c r="P25" s="25">
        <v>6000</v>
      </c>
      <c r="Q25" s="25">
        <v>180</v>
      </c>
      <c r="R25" s="25"/>
      <c r="S25" s="27"/>
      <c r="T25" s="25">
        <v>180</v>
      </c>
      <c r="U25" s="30"/>
      <c r="V25" s="28"/>
      <c r="W25" s="25"/>
      <c r="X25" s="29">
        <v>15</v>
      </c>
      <c r="Y25" s="1" t="s">
        <v>58</v>
      </c>
      <c r="Z25" s="1"/>
      <c r="AA25" s="1"/>
    </row>
    <row r="26" spans="1:27" ht="23.1" customHeight="1" x14ac:dyDescent="0.25">
      <c r="A26" s="20" t="s">
        <v>150</v>
      </c>
      <c r="B26" s="1" t="s">
        <v>99</v>
      </c>
      <c r="C26" s="3">
        <v>78</v>
      </c>
      <c r="D26" s="1" t="s">
        <v>132</v>
      </c>
      <c r="E26" s="1" t="s">
        <v>133</v>
      </c>
      <c r="F26" s="21" t="s">
        <v>133</v>
      </c>
      <c r="G26" s="1" t="s">
        <v>102</v>
      </c>
      <c r="H26" s="1">
        <v>65</v>
      </c>
      <c r="I26" s="1" t="s">
        <v>2375</v>
      </c>
      <c r="J26" s="1"/>
      <c r="K26" s="1">
        <v>0.3</v>
      </c>
      <c r="L26" s="23"/>
      <c r="M26" s="23">
        <v>5</v>
      </c>
      <c r="N26" s="24" t="s">
        <v>103</v>
      </c>
      <c r="O26" s="25"/>
      <c r="P26" s="25">
        <v>660</v>
      </c>
      <c r="Q26" s="25">
        <v>60</v>
      </c>
      <c r="R26" s="25"/>
      <c r="S26" s="27"/>
      <c r="T26" s="25">
        <v>120</v>
      </c>
      <c r="U26" s="25"/>
      <c r="V26" s="28"/>
      <c r="W26" s="25"/>
      <c r="X26" s="29">
        <v>3.3</v>
      </c>
      <c r="Y26" s="1" t="s">
        <v>45</v>
      </c>
      <c r="Z26" s="1" t="s">
        <v>151</v>
      </c>
      <c r="AA26" s="1"/>
    </row>
    <row r="27" spans="1:27" ht="23.1" customHeight="1" x14ac:dyDescent="0.25">
      <c r="A27" s="20" t="s">
        <v>150</v>
      </c>
      <c r="B27" s="1" t="s">
        <v>99</v>
      </c>
      <c r="C27" s="3">
        <v>79</v>
      </c>
      <c r="D27" s="1" t="s">
        <v>152</v>
      </c>
      <c r="E27" s="1" t="s">
        <v>153</v>
      </c>
      <c r="F27" s="21" t="s">
        <v>1247</v>
      </c>
      <c r="G27" s="1" t="s">
        <v>154</v>
      </c>
      <c r="H27" s="1">
        <v>5</v>
      </c>
      <c r="I27" s="1" t="s">
        <v>1882</v>
      </c>
      <c r="J27" s="1"/>
      <c r="K27" s="1">
        <v>0.2</v>
      </c>
      <c r="L27" s="23">
        <v>5</v>
      </c>
      <c r="M27" s="23"/>
      <c r="N27" s="24" t="s">
        <v>155</v>
      </c>
      <c r="O27" s="25"/>
      <c r="P27" s="25">
        <v>770</v>
      </c>
      <c r="Q27" s="25">
        <v>120</v>
      </c>
      <c r="R27" s="25"/>
      <c r="S27" s="27"/>
      <c r="T27" s="25">
        <v>120</v>
      </c>
      <c r="U27" s="25"/>
      <c r="V27" s="28"/>
      <c r="W27" s="25"/>
      <c r="X27" s="29">
        <v>2.6</v>
      </c>
      <c r="Y27" s="1" t="s">
        <v>45</v>
      </c>
      <c r="Z27" s="1" t="s">
        <v>156</v>
      </c>
      <c r="AA27" s="1"/>
    </row>
    <row r="28" spans="1:27" ht="23.1" customHeight="1" x14ac:dyDescent="0.25">
      <c r="A28" s="20" t="s">
        <v>150</v>
      </c>
      <c r="B28" s="1" t="s">
        <v>110</v>
      </c>
      <c r="C28" s="3">
        <v>24</v>
      </c>
      <c r="D28" s="1" t="s">
        <v>129</v>
      </c>
      <c r="E28" s="1" t="s">
        <v>130</v>
      </c>
      <c r="F28" s="21" t="s">
        <v>2546</v>
      </c>
      <c r="G28" s="1" t="s">
        <v>102</v>
      </c>
      <c r="H28" s="1">
        <v>70</v>
      </c>
      <c r="I28" s="1" t="s">
        <v>1874</v>
      </c>
      <c r="J28" s="1"/>
      <c r="K28" s="1">
        <v>0.5</v>
      </c>
      <c r="L28" s="23"/>
      <c r="M28" s="23">
        <v>5</v>
      </c>
      <c r="N28" s="24" t="s">
        <v>131</v>
      </c>
      <c r="O28" s="25"/>
      <c r="P28" s="25">
        <v>2760</v>
      </c>
      <c r="Q28" s="25">
        <v>120</v>
      </c>
      <c r="R28" s="25"/>
      <c r="S28" s="27"/>
      <c r="T28" s="25">
        <v>180</v>
      </c>
      <c r="U28" s="25"/>
      <c r="V28" s="28"/>
      <c r="W28" s="25"/>
      <c r="X28" s="29">
        <v>23</v>
      </c>
      <c r="Y28" s="1" t="s">
        <v>51</v>
      </c>
      <c r="Z28" s="1"/>
      <c r="AA28" s="1"/>
    </row>
    <row r="29" spans="1:27" ht="23.1" customHeight="1" x14ac:dyDescent="0.25">
      <c r="A29" s="20" t="s">
        <v>150</v>
      </c>
      <c r="B29" s="1" t="s">
        <v>110</v>
      </c>
      <c r="C29" s="3">
        <v>121</v>
      </c>
      <c r="D29" s="1" t="s">
        <v>157</v>
      </c>
      <c r="E29" s="1" t="s">
        <v>158</v>
      </c>
      <c r="F29" s="21" t="s">
        <v>158</v>
      </c>
      <c r="G29" s="1" t="s">
        <v>154</v>
      </c>
      <c r="H29" s="1">
        <v>20</v>
      </c>
      <c r="I29" s="1" t="s">
        <v>1883</v>
      </c>
      <c r="J29" s="1"/>
      <c r="K29" s="1"/>
      <c r="L29" s="23"/>
      <c r="M29" s="23"/>
      <c r="N29" s="24" t="s">
        <v>159</v>
      </c>
      <c r="O29" s="25"/>
      <c r="P29" s="25">
        <v>420</v>
      </c>
      <c r="Q29" s="25">
        <v>60</v>
      </c>
      <c r="R29" s="25"/>
      <c r="S29" s="27"/>
      <c r="T29" s="25">
        <v>120</v>
      </c>
      <c r="U29" s="25"/>
      <c r="V29" s="28"/>
      <c r="W29" s="25">
        <v>6.5</v>
      </c>
      <c r="X29" s="29">
        <v>6.5</v>
      </c>
      <c r="Y29" s="1" t="s">
        <v>51</v>
      </c>
      <c r="Z29" s="1" t="s">
        <v>160</v>
      </c>
      <c r="AA29" s="1"/>
    </row>
    <row r="30" spans="1:27" ht="23.1" customHeight="1" x14ac:dyDescent="0.25">
      <c r="A30" s="20" t="s">
        <v>150</v>
      </c>
      <c r="B30" s="1" t="s">
        <v>110</v>
      </c>
      <c r="C30" s="3">
        <v>84</v>
      </c>
      <c r="D30" s="1" t="s">
        <v>121</v>
      </c>
      <c r="E30" s="1" t="s">
        <v>122</v>
      </c>
      <c r="F30" s="21" t="s">
        <v>122</v>
      </c>
      <c r="G30" s="1" t="s">
        <v>123</v>
      </c>
      <c r="H30" s="1">
        <v>50</v>
      </c>
      <c r="I30" s="1" t="s">
        <v>2417</v>
      </c>
      <c r="J30" s="1"/>
      <c r="K30" s="1">
        <v>2</v>
      </c>
      <c r="L30" s="23">
        <v>5</v>
      </c>
      <c r="M30" s="23">
        <v>5</v>
      </c>
      <c r="N30" s="24" t="s">
        <v>161</v>
      </c>
      <c r="O30" s="25"/>
      <c r="P30" s="25">
        <v>360</v>
      </c>
      <c r="Q30" s="25">
        <v>60</v>
      </c>
      <c r="R30" s="25"/>
      <c r="S30" s="27"/>
      <c r="T30" s="25">
        <v>120</v>
      </c>
      <c r="U30" s="25"/>
      <c r="V30" s="28"/>
      <c r="W30" s="25"/>
      <c r="X30" s="29">
        <v>12</v>
      </c>
      <c r="Y30" s="1" t="s">
        <v>51</v>
      </c>
      <c r="Z30" s="1"/>
      <c r="AA30" s="1"/>
    </row>
    <row r="31" spans="1:27" ht="23.1" customHeight="1" x14ac:dyDescent="0.25">
      <c r="A31" s="20" t="s">
        <v>150</v>
      </c>
      <c r="B31" s="1" t="s">
        <v>110</v>
      </c>
      <c r="C31" s="3">
        <v>84</v>
      </c>
      <c r="D31" s="1" t="s">
        <v>162</v>
      </c>
      <c r="E31" s="1" t="s">
        <v>163</v>
      </c>
      <c r="F31" s="21" t="s">
        <v>163</v>
      </c>
      <c r="G31" s="1" t="s">
        <v>123</v>
      </c>
      <c r="H31" s="1">
        <v>35</v>
      </c>
      <c r="I31" s="1" t="s">
        <v>2418</v>
      </c>
      <c r="J31" s="1"/>
      <c r="K31" s="1">
        <v>1</v>
      </c>
      <c r="L31" s="23">
        <v>5</v>
      </c>
      <c r="M31" s="23">
        <v>5</v>
      </c>
      <c r="N31" s="24" t="s">
        <v>164</v>
      </c>
      <c r="O31" s="25"/>
      <c r="P31" s="25">
        <v>260</v>
      </c>
      <c r="Q31" s="25">
        <v>60</v>
      </c>
      <c r="R31" s="25"/>
      <c r="S31" s="27">
        <v>1</v>
      </c>
      <c r="T31" s="25">
        <v>90</v>
      </c>
      <c r="U31" s="25"/>
      <c r="V31" s="28">
        <v>1</v>
      </c>
      <c r="W31" s="25">
        <v>3</v>
      </c>
      <c r="X31" s="29">
        <v>9.8000000000000007</v>
      </c>
      <c r="Y31" s="1" t="s">
        <v>51</v>
      </c>
      <c r="Z31" s="1" t="s">
        <v>165</v>
      </c>
      <c r="AA31" s="1"/>
    </row>
    <row r="32" spans="1:27" ht="23.1" customHeight="1" x14ac:dyDescent="0.25">
      <c r="A32" s="20" t="s">
        <v>150</v>
      </c>
      <c r="B32" s="1" t="s">
        <v>110</v>
      </c>
      <c r="C32" s="3">
        <v>119</v>
      </c>
      <c r="D32" s="1" t="s">
        <v>129</v>
      </c>
      <c r="E32" s="1" t="s">
        <v>130</v>
      </c>
      <c r="F32" s="21" t="s">
        <v>2546</v>
      </c>
      <c r="G32" s="1" t="s">
        <v>102</v>
      </c>
      <c r="H32" s="1">
        <v>70</v>
      </c>
      <c r="I32" s="1" t="s">
        <v>1874</v>
      </c>
      <c r="J32" s="1"/>
      <c r="K32" s="1"/>
      <c r="L32" s="23"/>
      <c r="M32" s="23"/>
      <c r="N32" s="24" t="s">
        <v>131</v>
      </c>
      <c r="O32" s="25"/>
      <c r="P32" s="25">
        <v>2760</v>
      </c>
      <c r="Q32" s="25">
        <v>120</v>
      </c>
      <c r="R32" s="25"/>
      <c r="S32" s="27"/>
      <c r="T32" s="25">
        <v>180</v>
      </c>
      <c r="U32" s="25"/>
      <c r="V32" s="28"/>
      <c r="W32" s="25">
        <v>6.5</v>
      </c>
      <c r="X32" s="29">
        <v>6.5</v>
      </c>
      <c r="Y32" s="1" t="s">
        <v>51</v>
      </c>
      <c r="Z32" s="1" t="s">
        <v>166</v>
      </c>
      <c r="AA32" s="1"/>
    </row>
    <row r="33" spans="1:27" ht="23.1" customHeight="1" x14ac:dyDescent="0.25">
      <c r="A33" s="20" t="s">
        <v>150</v>
      </c>
      <c r="B33" s="1" t="s">
        <v>110</v>
      </c>
      <c r="C33" s="3">
        <v>69</v>
      </c>
      <c r="D33" s="1" t="s">
        <v>126</v>
      </c>
      <c r="E33" s="1" t="s">
        <v>127</v>
      </c>
      <c r="F33" s="21" t="s">
        <v>127</v>
      </c>
      <c r="G33" s="1" t="s">
        <v>102</v>
      </c>
      <c r="H33" s="1">
        <v>50</v>
      </c>
      <c r="I33" s="1" t="s">
        <v>1886</v>
      </c>
      <c r="J33" s="1"/>
      <c r="K33" s="1">
        <v>0.2</v>
      </c>
      <c r="L33" s="23"/>
      <c r="M33" s="23">
        <v>37</v>
      </c>
      <c r="N33" s="24" t="s">
        <v>128</v>
      </c>
      <c r="O33" s="25"/>
      <c r="P33" s="25">
        <v>6000</v>
      </c>
      <c r="Q33" s="25">
        <v>120</v>
      </c>
      <c r="R33" s="25"/>
      <c r="S33" s="27"/>
      <c r="T33" s="25">
        <v>240</v>
      </c>
      <c r="U33" s="25"/>
      <c r="V33" s="28"/>
      <c r="W33" s="25"/>
      <c r="X33" s="29">
        <v>20</v>
      </c>
      <c r="Y33" s="1" t="s">
        <v>51</v>
      </c>
      <c r="Z33" s="1"/>
      <c r="AA33" s="1"/>
    </row>
    <row r="34" spans="1:27" ht="23.1" customHeight="1" x14ac:dyDescent="0.25">
      <c r="A34" s="20" t="s">
        <v>150</v>
      </c>
      <c r="B34" s="1" t="s">
        <v>110</v>
      </c>
      <c r="C34" s="3">
        <v>69</v>
      </c>
      <c r="D34" s="1" t="s">
        <v>126</v>
      </c>
      <c r="E34" s="1" t="s">
        <v>127</v>
      </c>
      <c r="F34" s="21" t="s">
        <v>127</v>
      </c>
      <c r="G34" s="1" t="s">
        <v>102</v>
      </c>
      <c r="H34" s="1">
        <v>50</v>
      </c>
      <c r="I34" s="1" t="s">
        <v>1886</v>
      </c>
      <c r="J34" s="1"/>
      <c r="K34" s="1"/>
      <c r="L34" s="23"/>
      <c r="M34" s="23">
        <v>5</v>
      </c>
      <c r="N34" s="24" t="s">
        <v>128</v>
      </c>
      <c r="O34" s="25"/>
      <c r="P34" s="25">
        <v>6000</v>
      </c>
      <c r="Q34" s="25">
        <v>120</v>
      </c>
      <c r="R34" s="25"/>
      <c r="S34" s="27"/>
      <c r="T34" s="25">
        <v>240</v>
      </c>
      <c r="U34" s="25"/>
      <c r="V34" s="28"/>
      <c r="W34" s="25">
        <v>5</v>
      </c>
      <c r="X34" s="29">
        <v>5</v>
      </c>
      <c r="Y34" s="1" t="s">
        <v>51</v>
      </c>
      <c r="Z34" s="1" t="s">
        <v>167</v>
      </c>
      <c r="AA34" s="1"/>
    </row>
    <row r="35" spans="1:27" ht="23.1" customHeight="1" x14ac:dyDescent="0.25">
      <c r="A35" s="20" t="s">
        <v>150</v>
      </c>
      <c r="B35" s="1" t="s">
        <v>110</v>
      </c>
      <c r="C35" s="3">
        <v>91</v>
      </c>
      <c r="D35" s="1" t="s">
        <v>116</v>
      </c>
      <c r="E35" s="1" t="s">
        <v>117</v>
      </c>
      <c r="F35" s="21" t="s">
        <v>117</v>
      </c>
      <c r="G35" s="1" t="s">
        <v>118</v>
      </c>
      <c r="H35" s="1">
        <v>40</v>
      </c>
      <c r="I35" s="1" t="s">
        <v>1872</v>
      </c>
      <c r="J35" s="1"/>
      <c r="K35" s="1">
        <v>1</v>
      </c>
      <c r="L35" s="23"/>
      <c r="M35" s="23">
        <v>5</v>
      </c>
      <c r="N35" s="24" t="s">
        <v>168</v>
      </c>
      <c r="O35" s="25"/>
      <c r="P35" s="25">
        <v>450</v>
      </c>
      <c r="Q35" s="25">
        <v>60</v>
      </c>
      <c r="R35" s="25"/>
      <c r="S35" s="27">
        <v>1</v>
      </c>
      <c r="T35" s="25">
        <v>120</v>
      </c>
      <c r="U35" s="25"/>
      <c r="V35" s="28"/>
      <c r="W35" s="25"/>
      <c r="X35" s="29">
        <v>8.5</v>
      </c>
      <c r="Y35" s="1" t="s">
        <v>51</v>
      </c>
      <c r="Z35" s="1" t="s">
        <v>145</v>
      </c>
      <c r="AA35" s="1"/>
    </row>
    <row r="36" spans="1:27" ht="23.1" customHeight="1" x14ac:dyDescent="0.25">
      <c r="A36" s="20" t="s">
        <v>150</v>
      </c>
      <c r="B36" s="1" t="s">
        <v>110</v>
      </c>
      <c r="C36" s="3">
        <v>91</v>
      </c>
      <c r="D36" s="1" t="s">
        <v>169</v>
      </c>
      <c r="E36" s="1" t="s">
        <v>170</v>
      </c>
      <c r="F36" s="21" t="e">
        <v>#N/A</v>
      </c>
      <c r="G36" s="1" t="s">
        <v>118</v>
      </c>
      <c r="H36" s="1">
        <v>25</v>
      </c>
      <c r="I36" s="1" t="s">
        <v>2419</v>
      </c>
      <c r="J36" s="1"/>
      <c r="K36" s="1">
        <v>2</v>
      </c>
      <c r="L36" s="23">
        <v>5</v>
      </c>
      <c r="M36" s="23">
        <v>5</v>
      </c>
      <c r="N36" s="24" t="s">
        <v>171</v>
      </c>
      <c r="O36" s="25"/>
      <c r="P36" s="25">
        <v>630</v>
      </c>
      <c r="Q36" s="25">
        <v>90</v>
      </c>
      <c r="R36" s="25"/>
      <c r="S36" s="27">
        <v>1</v>
      </c>
      <c r="T36" s="25">
        <v>180</v>
      </c>
      <c r="U36" s="25"/>
      <c r="V36" s="28">
        <v>1</v>
      </c>
      <c r="W36" s="25">
        <v>5</v>
      </c>
      <c r="X36" s="29">
        <v>30.5</v>
      </c>
      <c r="Y36" s="1" t="s">
        <v>51</v>
      </c>
      <c r="Z36" s="1" t="s">
        <v>172</v>
      </c>
      <c r="AA36" s="1"/>
    </row>
    <row r="37" spans="1:27" ht="23.1" customHeight="1" x14ac:dyDescent="0.25">
      <c r="A37" s="20" t="s">
        <v>150</v>
      </c>
      <c r="B37" s="1" t="s">
        <v>110</v>
      </c>
      <c r="C37" s="3">
        <v>108</v>
      </c>
      <c r="D37" s="1" t="s">
        <v>173</v>
      </c>
      <c r="E37" s="1" t="s">
        <v>174</v>
      </c>
      <c r="F37" s="21" t="s">
        <v>1246</v>
      </c>
      <c r="G37" s="1" t="s">
        <v>154</v>
      </c>
      <c r="H37" s="1">
        <v>5</v>
      </c>
      <c r="I37" s="1" t="s">
        <v>1888</v>
      </c>
      <c r="J37" s="1"/>
      <c r="K37" s="1">
        <v>2</v>
      </c>
      <c r="L37" s="23">
        <v>5</v>
      </c>
      <c r="M37" s="23">
        <v>5</v>
      </c>
      <c r="N37" s="24" t="s">
        <v>175</v>
      </c>
      <c r="O37" s="25"/>
      <c r="P37" s="25">
        <v>600</v>
      </c>
      <c r="Q37" s="25">
        <v>120</v>
      </c>
      <c r="R37" s="25"/>
      <c r="S37" s="27">
        <v>2</v>
      </c>
      <c r="T37" s="25">
        <v>120</v>
      </c>
      <c r="U37" s="25"/>
      <c r="V37" s="28">
        <v>1</v>
      </c>
      <c r="W37" s="25"/>
      <c r="X37" s="29">
        <v>26</v>
      </c>
      <c r="Y37" s="1" t="s">
        <v>13</v>
      </c>
      <c r="Z37" s="1" t="s">
        <v>176</v>
      </c>
      <c r="AA37" s="1"/>
    </row>
    <row r="38" spans="1:27" ht="23.1" customHeight="1" x14ac:dyDescent="0.25">
      <c r="A38" s="20" t="s">
        <v>150</v>
      </c>
      <c r="B38" s="1" t="s">
        <v>110</v>
      </c>
      <c r="C38" s="3">
        <v>107</v>
      </c>
      <c r="D38" s="1" t="s">
        <v>177</v>
      </c>
      <c r="E38" s="1" t="s">
        <v>133</v>
      </c>
      <c r="F38" s="21" t="s">
        <v>133</v>
      </c>
      <c r="G38" s="1" t="s">
        <v>102</v>
      </c>
      <c r="H38" s="1">
        <v>95</v>
      </c>
      <c r="I38" s="1" t="s">
        <v>2374</v>
      </c>
      <c r="J38" s="1"/>
      <c r="K38" s="1">
        <v>0.5</v>
      </c>
      <c r="L38" s="23"/>
      <c r="M38" s="23">
        <v>5</v>
      </c>
      <c r="N38" s="24" t="s">
        <v>103</v>
      </c>
      <c r="O38" s="25"/>
      <c r="P38" s="25">
        <v>700</v>
      </c>
      <c r="Q38" s="25">
        <v>60</v>
      </c>
      <c r="R38" s="25"/>
      <c r="S38" s="27"/>
      <c r="T38" s="25">
        <v>120</v>
      </c>
      <c r="U38" s="25"/>
      <c r="V38" s="28"/>
      <c r="W38" s="25"/>
      <c r="X38" s="29">
        <v>5.8</v>
      </c>
      <c r="Y38" s="1" t="s">
        <v>13</v>
      </c>
      <c r="Z38" s="1" t="s">
        <v>151</v>
      </c>
      <c r="AA38" s="1"/>
    </row>
    <row r="39" spans="1:27" ht="23.1" customHeight="1" x14ac:dyDescent="0.25">
      <c r="A39" s="20" t="s">
        <v>150</v>
      </c>
      <c r="B39" s="1" t="s">
        <v>110</v>
      </c>
      <c r="C39" s="3">
        <v>107</v>
      </c>
      <c r="D39" s="1" t="s">
        <v>177</v>
      </c>
      <c r="E39" s="1" t="s">
        <v>133</v>
      </c>
      <c r="F39" s="21" t="s">
        <v>133</v>
      </c>
      <c r="G39" s="1" t="s">
        <v>102</v>
      </c>
      <c r="H39" s="1">
        <v>100</v>
      </c>
      <c r="I39" s="1" t="s">
        <v>1889</v>
      </c>
      <c r="J39" s="1"/>
      <c r="K39" s="1">
        <v>0.1</v>
      </c>
      <c r="L39" s="23"/>
      <c r="M39" s="23">
        <v>5</v>
      </c>
      <c r="N39" s="24" t="s">
        <v>103</v>
      </c>
      <c r="O39" s="25"/>
      <c r="P39" s="25">
        <v>720</v>
      </c>
      <c r="Q39" s="25">
        <v>60</v>
      </c>
      <c r="R39" s="25"/>
      <c r="S39" s="27">
        <v>1</v>
      </c>
      <c r="T39" s="25">
        <v>120</v>
      </c>
      <c r="U39" s="25"/>
      <c r="V39" s="28">
        <v>1</v>
      </c>
      <c r="W39" s="25"/>
      <c r="X39" s="29">
        <v>4.2</v>
      </c>
      <c r="Y39" s="1" t="s">
        <v>13</v>
      </c>
      <c r="Z39" s="1" t="s">
        <v>178</v>
      </c>
      <c r="AA39" s="1"/>
    </row>
    <row r="40" spans="1:27" ht="23.1" customHeight="1" x14ac:dyDescent="0.25">
      <c r="A40" s="20" t="s">
        <v>179</v>
      </c>
      <c r="B40" s="1" t="s">
        <v>99</v>
      </c>
      <c r="C40" s="3">
        <v>79</v>
      </c>
      <c r="D40" s="1" t="s">
        <v>152</v>
      </c>
      <c r="E40" s="1" t="s">
        <v>153</v>
      </c>
      <c r="F40" s="21" t="s">
        <v>1247</v>
      </c>
      <c r="G40" s="1" t="s">
        <v>154</v>
      </c>
      <c r="H40" s="1">
        <v>5</v>
      </c>
      <c r="I40" s="1" t="s">
        <v>2376</v>
      </c>
      <c r="J40" s="1"/>
      <c r="K40" s="1">
        <v>1</v>
      </c>
      <c r="L40" s="23"/>
      <c r="M40" s="23">
        <v>31</v>
      </c>
      <c r="N40" s="24" t="s">
        <v>180</v>
      </c>
      <c r="O40" s="25"/>
      <c r="P40" s="25">
        <v>770</v>
      </c>
      <c r="Q40" s="25">
        <v>120</v>
      </c>
      <c r="R40" s="25"/>
      <c r="S40" s="27">
        <v>1</v>
      </c>
      <c r="T40" s="25">
        <v>120</v>
      </c>
      <c r="U40" s="25"/>
      <c r="V40" s="28"/>
      <c r="W40" s="25"/>
      <c r="X40" s="29">
        <v>14.8</v>
      </c>
      <c r="Y40" s="1" t="s">
        <v>45</v>
      </c>
      <c r="Z40" s="1" t="s">
        <v>145</v>
      </c>
      <c r="AA40" s="1"/>
    </row>
    <row r="41" spans="1:27" ht="23.1" customHeight="1" x14ac:dyDescent="0.25">
      <c r="A41" s="20" t="s">
        <v>179</v>
      </c>
      <c r="B41" s="1" t="s">
        <v>99</v>
      </c>
      <c r="C41" s="3">
        <v>78</v>
      </c>
      <c r="D41" s="1" t="s">
        <v>132</v>
      </c>
      <c r="E41" s="1" t="s">
        <v>133</v>
      </c>
      <c r="F41" s="21" t="s">
        <v>133</v>
      </c>
      <c r="G41" s="1" t="s">
        <v>102</v>
      </c>
      <c r="H41" s="1">
        <v>65</v>
      </c>
      <c r="I41" s="1" t="s">
        <v>2373</v>
      </c>
      <c r="J41" s="1"/>
      <c r="K41" s="1">
        <v>0.2</v>
      </c>
      <c r="L41" s="23"/>
      <c r="M41" s="23">
        <v>28</v>
      </c>
      <c r="N41" s="24" t="s">
        <v>103</v>
      </c>
      <c r="O41" s="25"/>
      <c r="P41" s="25">
        <v>660</v>
      </c>
      <c r="Q41" s="25">
        <v>60</v>
      </c>
      <c r="R41" s="25"/>
      <c r="S41" s="27"/>
      <c r="T41" s="25">
        <v>120</v>
      </c>
      <c r="U41" s="25"/>
      <c r="V41" s="28"/>
      <c r="W41" s="25"/>
      <c r="X41" s="29">
        <v>2.2000000000000002</v>
      </c>
      <c r="Y41" s="1" t="s">
        <v>45</v>
      </c>
      <c r="Z41" s="1" t="s">
        <v>181</v>
      </c>
      <c r="AA41" s="1"/>
    </row>
    <row r="42" spans="1:27" ht="23.1" customHeight="1" x14ac:dyDescent="0.25">
      <c r="A42" s="20" t="s">
        <v>179</v>
      </c>
      <c r="B42" s="1" t="s">
        <v>110</v>
      </c>
      <c r="C42" s="3">
        <v>24</v>
      </c>
      <c r="D42" s="1" t="s">
        <v>182</v>
      </c>
      <c r="E42" s="1" t="s">
        <v>130</v>
      </c>
      <c r="F42" s="21" t="s">
        <v>2547</v>
      </c>
      <c r="G42" s="1" t="s">
        <v>102</v>
      </c>
      <c r="H42" s="1">
        <v>70</v>
      </c>
      <c r="I42" s="1" t="s">
        <v>2411</v>
      </c>
      <c r="J42" s="1"/>
      <c r="K42" s="1">
        <v>0.6</v>
      </c>
      <c r="L42" s="23"/>
      <c r="M42" s="23">
        <v>28</v>
      </c>
      <c r="N42" s="24" t="s">
        <v>131</v>
      </c>
      <c r="O42" s="25"/>
      <c r="P42" s="25">
        <v>2760</v>
      </c>
      <c r="Q42" s="25">
        <v>120</v>
      </c>
      <c r="R42" s="25"/>
      <c r="S42" s="27"/>
      <c r="T42" s="25">
        <v>180</v>
      </c>
      <c r="U42" s="25"/>
      <c r="V42" s="28">
        <v>1</v>
      </c>
      <c r="W42" s="25"/>
      <c r="X42" s="29">
        <v>30.6</v>
      </c>
      <c r="Y42" s="1" t="s">
        <v>51</v>
      </c>
      <c r="Z42" s="1" t="s">
        <v>183</v>
      </c>
      <c r="AA42" s="1"/>
    </row>
    <row r="43" spans="1:27" ht="23.1" customHeight="1" x14ac:dyDescent="0.25">
      <c r="A43" s="20" t="s">
        <v>179</v>
      </c>
      <c r="B43" s="1" t="s">
        <v>110</v>
      </c>
      <c r="C43" s="3">
        <v>84</v>
      </c>
      <c r="D43" s="1" t="s">
        <v>162</v>
      </c>
      <c r="E43" s="1" t="s">
        <v>163</v>
      </c>
      <c r="F43" s="21" t="s">
        <v>163</v>
      </c>
      <c r="G43" s="1" t="s">
        <v>123</v>
      </c>
      <c r="H43" s="1">
        <v>35</v>
      </c>
      <c r="I43" s="1" t="s">
        <v>1885</v>
      </c>
      <c r="J43" s="1"/>
      <c r="K43" s="1">
        <v>3</v>
      </c>
      <c r="L43" s="23">
        <v>5</v>
      </c>
      <c r="M43" s="23">
        <v>31</v>
      </c>
      <c r="N43" s="24" t="s">
        <v>164</v>
      </c>
      <c r="O43" s="25"/>
      <c r="P43" s="25">
        <v>260</v>
      </c>
      <c r="Q43" s="25">
        <v>60</v>
      </c>
      <c r="R43" s="25"/>
      <c r="S43" s="27">
        <v>3</v>
      </c>
      <c r="T43" s="25">
        <v>90</v>
      </c>
      <c r="U43" s="25"/>
      <c r="V43" s="28"/>
      <c r="W43" s="25"/>
      <c r="X43" s="29">
        <v>16</v>
      </c>
      <c r="Y43" s="1" t="s">
        <v>51</v>
      </c>
      <c r="Z43" s="1" t="s">
        <v>125</v>
      </c>
      <c r="AA43" s="1"/>
    </row>
    <row r="44" spans="1:27" ht="23.1" customHeight="1" x14ac:dyDescent="0.25">
      <c r="A44" s="20" t="s">
        <v>179</v>
      </c>
      <c r="B44" s="1" t="s">
        <v>110</v>
      </c>
      <c r="C44" s="3">
        <v>69</v>
      </c>
      <c r="D44" s="1" t="s">
        <v>126</v>
      </c>
      <c r="E44" s="1" t="s">
        <v>127</v>
      </c>
      <c r="F44" s="21" t="s">
        <v>127</v>
      </c>
      <c r="G44" s="1" t="s">
        <v>102</v>
      </c>
      <c r="H44" s="1">
        <v>50</v>
      </c>
      <c r="I44" s="1" t="s">
        <v>1835</v>
      </c>
      <c r="J44" s="1"/>
      <c r="K44" s="1">
        <v>0.3</v>
      </c>
      <c r="L44" s="23"/>
      <c r="M44" s="23">
        <v>37</v>
      </c>
      <c r="N44" s="24" t="s">
        <v>128</v>
      </c>
      <c r="O44" s="25"/>
      <c r="P44" s="25">
        <v>6000</v>
      </c>
      <c r="Q44" s="25">
        <v>120</v>
      </c>
      <c r="R44" s="25"/>
      <c r="S44" s="27"/>
      <c r="T44" s="25">
        <v>240</v>
      </c>
      <c r="U44" s="25"/>
      <c r="V44" s="28"/>
      <c r="W44" s="25"/>
      <c r="X44" s="29">
        <v>30</v>
      </c>
      <c r="Y44" s="1" t="s">
        <v>51</v>
      </c>
      <c r="Z44" s="1"/>
      <c r="AA44" s="1"/>
    </row>
    <row r="45" spans="1:27" ht="23.1" customHeight="1" x14ac:dyDescent="0.25">
      <c r="A45" s="20" t="s">
        <v>179</v>
      </c>
      <c r="B45" s="1" t="s">
        <v>110</v>
      </c>
      <c r="C45" s="3">
        <v>91</v>
      </c>
      <c r="D45" s="1" t="s">
        <v>169</v>
      </c>
      <c r="E45" s="1" t="s">
        <v>170</v>
      </c>
      <c r="F45" s="21" t="e">
        <v>#N/A</v>
      </c>
      <c r="G45" s="1" t="s">
        <v>118</v>
      </c>
      <c r="H45" s="1">
        <v>25</v>
      </c>
      <c r="I45" s="1" t="s">
        <v>1887</v>
      </c>
      <c r="J45" s="1"/>
      <c r="K45" s="1">
        <v>1.8</v>
      </c>
      <c r="L45" s="23">
        <v>5</v>
      </c>
      <c r="M45" s="23">
        <v>28</v>
      </c>
      <c r="N45" s="24" t="s">
        <v>184</v>
      </c>
      <c r="O45" s="25"/>
      <c r="P45" s="25">
        <v>630</v>
      </c>
      <c r="Q45" s="25">
        <v>90</v>
      </c>
      <c r="R45" s="25"/>
      <c r="S45" s="27"/>
      <c r="T45" s="25">
        <v>180</v>
      </c>
      <c r="U45" s="25"/>
      <c r="V45" s="28"/>
      <c r="W45" s="25"/>
      <c r="X45" s="29">
        <v>18.899999999999999</v>
      </c>
      <c r="Y45" s="1" t="s">
        <v>51</v>
      </c>
      <c r="Z45" s="1"/>
      <c r="AA45" s="1"/>
    </row>
    <row r="46" spans="1:27" ht="23.1" customHeight="1" x14ac:dyDescent="0.25">
      <c r="A46" s="20" t="s">
        <v>179</v>
      </c>
      <c r="B46" s="1" t="s">
        <v>110</v>
      </c>
      <c r="C46" s="3">
        <v>107</v>
      </c>
      <c r="D46" s="1" t="s">
        <v>177</v>
      </c>
      <c r="E46" s="1" t="s">
        <v>133</v>
      </c>
      <c r="F46" s="21" t="s">
        <v>133</v>
      </c>
      <c r="G46" s="1" t="s">
        <v>102</v>
      </c>
      <c r="H46" s="1">
        <v>100</v>
      </c>
      <c r="I46" s="1" t="s">
        <v>2420</v>
      </c>
      <c r="J46" s="1"/>
      <c r="K46" s="1">
        <v>0.9</v>
      </c>
      <c r="L46" s="23"/>
      <c r="M46" s="23">
        <v>5</v>
      </c>
      <c r="N46" s="24" t="s">
        <v>103</v>
      </c>
      <c r="O46" s="25"/>
      <c r="P46" s="25">
        <v>720</v>
      </c>
      <c r="Q46" s="25">
        <v>60</v>
      </c>
      <c r="R46" s="25"/>
      <c r="S46" s="27">
        <v>2</v>
      </c>
      <c r="T46" s="25">
        <v>120</v>
      </c>
      <c r="U46" s="25"/>
      <c r="V46" s="28"/>
      <c r="W46" s="25"/>
      <c r="X46" s="29">
        <v>12.8</v>
      </c>
      <c r="Y46" s="1" t="s">
        <v>13</v>
      </c>
      <c r="Z46" s="1" t="s">
        <v>185</v>
      </c>
      <c r="AA46" s="1"/>
    </row>
    <row r="47" spans="1:27" ht="23.1" customHeight="1" x14ac:dyDescent="0.25">
      <c r="A47" s="20" t="s">
        <v>179</v>
      </c>
      <c r="B47" s="1" t="s">
        <v>110</v>
      </c>
      <c r="C47" s="3">
        <v>108</v>
      </c>
      <c r="D47" s="1" t="s">
        <v>173</v>
      </c>
      <c r="E47" s="1" t="s">
        <v>174</v>
      </c>
      <c r="F47" s="21" t="s">
        <v>1246</v>
      </c>
      <c r="G47" s="1" t="s">
        <v>154</v>
      </c>
      <c r="H47" s="1">
        <v>5</v>
      </c>
      <c r="I47" s="1" t="s">
        <v>1888</v>
      </c>
      <c r="J47" s="1"/>
      <c r="K47" s="1">
        <v>2</v>
      </c>
      <c r="L47" s="23">
        <v>5</v>
      </c>
      <c r="M47" s="23">
        <v>5</v>
      </c>
      <c r="N47" s="24" t="s">
        <v>186</v>
      </c>
      <c r="O47" s="25"/>
      <c r="P47" s="25">
        <v>600</v>
      </c>
      <c r="Q47" s="25">
        <v>120</v>
      </c>
      <c r="R47" s="25"/>
      <c r="S47" s="27"/>
      <c r="T47" s="25">
        <v>120</v>
      </c>
      <c r="U47" s="25"/>
      <c r="V47" s="28"/>
      <c r="W47" s="25"/>
      <c r="X47" s="29">
        <v>20</v>
      </c>
      <c r="Y47" s="1" t="s">
        <v>13</v>
      </c>
      <c r="Z47" s="1" t="s">
        <v>187</v>
      </c>
      <c r="AA47" s="1"/>
    </row>
    <row r="48" spans="1:27" ht="23.1" customHeight="1" x14ac:dyDescent="0.25">
      <c r="A48" s="20" t="s">
        <v>188</v>
      </c>
      <c r="B48" s="1" t="s">
        <v>99</v>
      </c>
      <c r="C48" s="3">
        <v>107</v>
      </c>
      <c r="D48" s="1" t="s">
        <v>189</v>
      </c>
      <c r="E48" s="1" t="s">
        <v>190</v>
      </c>
      <c r="F48" s="21" t="e">
        <v>#N/A</v>
      </c>
      <c r="G48" s="1" t="s">
        <v>102</v>
      </c>
      <c r="H48" s="1">
        <v>30</v>
      </c>
      <c r="I48" s="1"/>
      <c r="J48" s="1"/>
      <c r="K48" s="1">
        <v>1</v>
      </c>
      <c r="L48" s="23">
        <v>37</v>
      </c>
      <c r="M48" s="23"/>
      <c r="N48" s="24" t="s">
        <v>191</v>
      </c>
      <c r="O48" s="25"/>
      <c r="P48" s="25"/>
      <c r="Q48" s="25"/>
      <c r="R48" s="25"/>
      <c r="S48" s="27"/>
      <c r="T48" s="25"/>
      <c r="U48" s="25"/>
      <c r="V48" s="28"/>
      <c r="W48" s="25">
        <v>2</v>
      </c>
      <c r="X48" s="29">
        <v>2</v>
      </c>
      <c r="Y48" s="1" t="s">
        <v>45</v>
      </c>
      <c r="Z48" s="1" t="s">
        <v>192</v>
      </c>
      <c r="AA48" s="1" t="s">
        <v>193</v>
      </c>
    </row>
    <row r="49" spans="1:27" ht="23.1" customHeight="1" x14ac:dyDescent="0.25">
      <c r="A49" s="20" t="s">
        <v>188</v>
      </c>
      <c r="B49" s="1" t="s">
        <v>99</v>
      </c>
      <c r="C49" s="3">
        <v>107</v>
      </c>
      <c r="D49" s="1" t="s">
        <v>194</v>
      </c>
      <c r="E49" s="1" t="s">
        <v>133</v>
      </c>
      <c r="F49" s="21" t="s">
        <v>133</v>
      </c>
      <c r="G49" s="1" t="s">
        <v>102</v>
      </c>
      <c r="H49" s="1">
        <v>105</v>
      </c>
      <c r="I49" s="1" t="s">
        <v>1890</v>
      </c>
      <c r="J49" s="1"/>
      <c r="K49" s="1">
        <v>0.3</v>
      </c>
      <c r="L49" s="23"/>
      <c r="M49" s="23"/>
      <c r="N49" s="24" t="s">
        <v>195</v>
      </c>
      <c r="O49" s="25"/>
      <c r="P49" s="25">
        <v>150</v>
      </c>
      <c r="Q49" s="25">
        <v>60</v>
      </c>
      <c r="R49" s="25"/>
      <c r="S49" s="27">
        <v>1</v>
      </c>
      <c r="T49" s="25">
        <v>120</v>
      </c>
      <c r="U49" s="25"/>
      <c r="V49" s="28">
        <v>1</v>
      </c>
      <c r="W49" s="25"/>
      <c r="X49" s="29">
        <v>3.8</v>
      </c>
      <c r="Y49" s="1" t="s">
        <v>45</v>
      </c>
      <c r="Z49" s="1" t="s">
        <v>196</v>
      </c>
      <c r="AA49" s="1" t="s">
        <v>193</v>
      </c>
    </row>
    <row r="50" spans="1:27" ht="23.1" customHeight="1" x14ac:dyDescent="0.25">
      <c r="A50" s="20" t="s">
        <v>188</v>
      </c>
      <c r="B50" s="1" t="s">
        <v>99</v>
      </c>
      <c r="C50" s="3">
        <v>17</v>
      </c>
      <c r="D50" s="1" t="s">
        <v>197</v>
      </c>
      <c r="E50" s="1" t="s">
        <v>198</v>
      </c>
      <c r="F50" s="21" t="e">
        <v>#N/A</v>
      </c>
      <c r="G50" s="1" t="s">
        <v>154</v>
      </c>
      <c r="H50" s="1">
        <v>25</v>
      </c>
      <c r="I50" s="1" t="s">
        <v>1849</v>
      </c>
      <c r="J50" s="1">
        <v>1</v>
      </c>
      <c r="K50" s="1">
        <v>2</v>
      </c>
      <c r="L50" s="23">
        <v>28</v>
      </c>
      <c r="M50" s="23">
        <v>28</v>
      </c>
      <c r="N50" s="24" t="s">
        <v>199</v>
      </c>
      <c r="O50" s="25"/>
      <c r="P50" s="25">
        <v>560</v>
      </c>
      <c r="Q50" s="25"/>
      <c r="R50" s="25"/>
      <c r="S50" s="27"/>
      <c r="T50" s="25">
        <v>60</v>
      </c>
      <c r="U50" s="25"/>
      <c r="V50" s="28"/>
      <c r="W50" s="25"/>
      <c r="X50" s="29">
        <v>18.7</v>
      </c>
      <c r="Y50" s="1" t="s">
        <v>43</v>
      </c>
      <c r="Z50" s="1"/>
      <c r="AA50" s="1"/>
    </row>
    <row r="51" spans="1:27" ht="23.1" customHeight="1" x14ac:dyDescent="0.25">
      <c r="A51" s="20" t="s">
        <v>188</v>
      </c>
      <c r="B51" s="1" t="s">
        <v>99</v>
      </c>
      <c r="C51" s="3">
        <v>11</v>
      </c>
      <c r="D51" s="1" t="s">
        <v>200</v>
      </c>
      <c r="E51" s="1" t="s">
        <v>201</v>
      </c>
      <c r="F51" s="21" t="s">
        <v>317</v>
      </c>
      <c r="G51" s="1" t="s">
        <v>154</v>
      </c>
      <c r="H51" s="1">
        <v>30</v>
      </c>
      <c r="I51" s="1" t="s">
        <v>1891</v>
      </c>
      <c r="J51" s="1"/>
      <c r="K51" s="1">
        <v>20</v>
      </c>
      <c r="L51" s="23">
        <v>28</v>
      </c>
      <c r="M51" s="23">
        <v>31</v>
      </c>
      <c r="N51" s="24" t="s">
        <v>202</v>
      </c>
      <c r="O51" s="25"/>
      <c r="P51" s="25">
        <v>25</v>
      </c>
      <c r="Q51" s="25"/>
      <c r="R51" s="25"/>
      <c r="S51" s="27"/>
      <c r="T51" s="25">
        <v>60</v>
      </c>
      <c r="U51" s="25"/>
      <c r="V51" s="28">
        <v>1</v>
      </c>
      <c r="W51" s="25"/>
      <c r="X51" s="29">
        <v>9.3000000000000007</v>
      </c>
      <c r="Y51" s="1" t="s">
        <v>38</v>
      </c>
      <c r="Z51" s="1" t="s">
        <v>92</v>
      </c>
      <c r="AA51" s="1"/>
    </row>
    <row r="52" spans="1:27" ht="23.1" customHeight="1" x14ac:dyDescent="0.25">
      <c r="A52" s="20" t="s">
        <v>188</v>
      </c>
      <c r="B52" s="1" t="s">
        <v>99</v>
      </c>
      <c r="C52" s="3">
        <v>11</v>
      </c>
      <c r="D52" s="1" t="s">
        <v>203</v>
      </c>
      <c r="E52" s="1" t="s">
        <v>204</v>
      </c>
      <c r="F52" s="21" t="s">
        <v>317</v>
      </c>
      <c r="G52" s="1" t="s">
        <v>154</v>
      </c>
      <c r="H52" s="1">
        <v>30</v>
      </c>
      <c r="I52" s="1" t="s">
        <v>2421</v>
      </c>
      <c r="J52" s="1"/>
      <c r="K52" s="1">
        <v>20</v>
      </c>
      <c r="L52" s="23">
        <v>31</v>
      </c>
      <c r="M52" s="23">
        <v>31</v>
      </c>
      <c r="N52" s="24" t="s">
        <v>202</v>
      </c>
      <c r="O52" s="25"/>
      <c r="P52" s="25">
        <v>25</v>
      </c>
      <c r="Q52" s="25"/>
      <c r="R52" s="25"/>
      <c r="S52" s="27"/>
      <c r="T52" s="25">
        <v>60</v>
      </c>
      <c r="U52" s="25"/>
      <c r="V52" s="28">
        <v>1</v>
      </c>
      <c r="W52" s="25"/>
      <c r="X52" s="29">
        <v>9.3000000000000007</v>
      </c>
      <c r="Y52" s="1" t="s">
        <v>38</v>
      </c>
      <c r="Z52" s="1" t="s">
        <v>92</v>
      </c>
      <c r="AA52" s="1"/>
    </row>
    <row r="53" spans="1:27" ht="23.1" customHeight="1" x14ac:dyDescent="0.25">
      <c r="A53" s="20" t="s">
        <v>188</v>
      </c>
      <c r="B53" s="1" t="s">
        <v>99</v>
      </c>
      <c r="C53" s="3">
        <v>18</v>
      </c>
      <c r="D53" s="1" t="s">
        <v>205</v>
      </c>
      <c r="E53" s="1" t="s">
        <v>206</v>
      </c>
      <c r="F53" s="21" t="s">
        <v>206</v>
      </c>
      <c r="G53" s="1" t="s">
        <v>123</v>
      </c>
      <c r="H53" s="1">
        <v>20</v>
      </c>
      <c r="I53" s="1" t="s">
        <v>1880</v>
      </c>
      <c r="J53" s="1">
        <v>2</v>
      </c>
      <c r="K53" s="1">
        <v>2</v>
      </c>
      <c r="L53" s="23">
        <v>28</v>
      </c>
      <c r="M53" s="23">
        <v>28</v>
      </c>
      <c r="N53" s="24" t="s">
        <v>207</v>
      </c>
      <c r="O53" s="25"/>
      <c r="P53" s="25">
        <v>120</v>
      </c>
      <c r="Q53" s="25"/>
      <c r="R53" s="25"/>
      <c r="S53" s="27"/>
      <c r="T53" s="25">
        <v>90</v>
      </c>
      <c r="U53" s="25"/>
      <c r="V53" s="28"/>
      <c r="W53" s="25">
        <v>2</v>
      </c>
      <c r="X53" s="29">
        <v>6</v>
      </c>
      <c r="Y53" s="1" t="s">
        <v>43</v>
      </c>
      <c r="Z53" s="1" t="s">
        <v>208</v>
      </c>
      <c r="AA53" s="30"/>
    </row>
    <row r="54" spans="1:27" ht="23.1" customHeight="1" x14ac:dyDescent="0.25">
      <c r="A54" s="20" t="s">
        <v>188</v>
      </c>
      <c r="B54" s="1" t="s">
        <v>99</v>
      </c>
      <c r="C54" s="3">
        <v>18</v>
      </c>
      <c r="D54" s="1" t="s">
        <v>205</v>
      </c>
      <c r="E54" s="1" t="s">
        <v>206</v>
      </c>
      <c r="F54" s="21" t="s">
        <v>206</v>
      </c>
      <c r="G54" s="1" t="s">
        <v>123</v>
      </c>
      <c r="H54" s="1">
        <v>25</v>
      </c>
      <c r="I54" s="1" t="s">
        <v>2422</v>
      </c>
      <c r="J54" s="1">
        <v>0.5</v>
      </c>
      <c r="K54" s="1">
        <v>0.5</v>
      </c>
      <c r="L54" s="23">
        <v>26</v>
      </c>
      <c r="M54" s="23"/>
      <c r="N54" s="24" t="s">
        <v>209</v>
      </c>
      <c r="O54" s="25"/>
      <c r="P54" s="25">
        <v>720</v>
      </c>
      <c r="Q54" s="25"/>
      <c r="R54" s="25"/>
      <c r="S54" s="27"/>
      <c r="T54" s="25">
        <v>90</v>
      </c>
      <c r="U54" s="25"/>
      <c r="V54" s="28">
        <v>1</v>
      </c>
      <c r="W54" s="25"/>
      <c r="X54" s="29">
        <v>7.5</v>
      </c>
      <c r="Y54" s="1" t="s">
        <v>43</v>
      </c>
      <c r="Z54" s="1" t="s">
        <v>210</v>
      </c>
      <c r="AA54" s="1"/>
    </row>
    <row r="55" spans="1:27" ht="23.1" customHeight="1" x14ac:dyDescent="0.25">
      <c r="A55" s="20" t="s">
        <v>188</v>
      </c>
      <c r="B55" s="1" t="s">
        <v>99</v>
      </c>
      <c r="C55" s="3">
        <v>77</v>
      </c>
      <c r="D55" s="1" t="s">
        <v>211</v>
      </c>
      <c r="E55" s="1" t="s">
        <v>212</v>
      </c>
      <c r="F55" s="21" t="s">
        <v>212</v>
      </c>
      <c r="G55" s="1" t="s">
        <v>123</v>
      </c>
      <c r="H55" s="1">
        <v>15</v>
      </c>
      <c r="I55" s="1" t="s">
        <v>1893</v>
      </c>
      <c r="J55" s="1">
        <v>8</v>
      </c>
      <c r="K55" s="1">
        <v>9</v>
      </c>
      <c r="L55" s="23">
        <v>31</v>
      </c>
      <c r="M55" s="23">
        <v>37</v>
      </c>
      <c r="N55" s="24" t="s">
        <v>213</v>
      </c>
      <c r="O55" s="25">
        <v>100</v>
      </c>
      <c r="P55" s="25">
        <v>60</v>
      </c>
      <c r="Q55" s="25"/>
      <c r="R55" s="25"/>
      <c r="S55" s="27"/>
      <c r="T55" s="25">
        <v>90</v>
      </c>
      <c r="U55" s="25"/>
      <c r="V55" s="28"/>
      <c r="W55" s="25"/>
      <c r="X55" s="32">
        <v>15</v>
      </c>
      <c r="Y55" s="1" t="s">
        <v>15</v>
      </c>
      <c r="Z55" s="1"/>
      <c r="AA55" s="1"/>
    </row>
    <row r="56" spans="1:27" ht="23.1" customHeight="1" x14ac:dyDescent="0.25">
      <c r="A56" s="20" t="s">
        <v>188</v>
      </c>
      <c r="B56" s="1" t="s">
        <v>99</v>
      </c>
      <c r="C56" s="3">
        <v>58</v>
      </c>
      <c r="D56" s="1" t="s">
        <v>214</v>
      </c>
      <c r="E56" s="1" t="s">
        <v>215</v>
      </c>
      <c r="F56" s="21" t="s">
        <v>215</v>
      </c>
      <c r="G56" s="1" t="s">
        <v>118</v>
      </c>
      <c r="H56" s="1">
        <v>25</v>
      </c>
      <c r="I56" s="1" t="s">
        <v>2423</v>
      </c>
      <c r="J56" s="1">
        <v>4</v>
      </c>
      <c r="K56" s="1">
        <v>1</v>
      </c>
      <c r="L56" s="23">
        <v>19</v>
      </c>
      <c r="M56" s="23"/>
      <c r="N56" s="24" t="s">
        <v>216</v>
      </c>
      <c r="O56" s="25"/>
      <c r="P56" s="25">
        <v>170</v>
      </c>
      <c r="Q56" s="25"/>
      <c r="R56" s="25"/>
      <c r="S56" s="27"/>
      <c r="T56" s="25">
        <v>60</v>
      </c>
      <c r="U56" s="25"/>
      <c r="V56" s="28"/>
      <c r="W56" s="25"/>
      <c r="X56" s="29">
        <v>2.8</v>
      </c>
      <c r="Y56" s="1" t="s">
        <v>15</v>
      </c>
      <c r="Z56" s="1"/>
      <c r="AA56" s="1"/>
    </row>
    <row r="57" spans="1:27" ht="23.1" customHeight="1" x14ac:dyDescent="0.25">
      <c r="A57" s="20" t="s">
        <v>188</v>
      </c>
      <c r="B57" s="1" t="s">
        <v>99</v>
      </c>
      <c r="C57" s="3">
        <v>15</v>
      </c>
      <c r="D57" s="1" t="s">
        <v>217</v>
      </c>
      <c r="E57" s="1" t="s">
        <v>218</v>
      </c>
      <c r="F57" s="21" t="s">
        <v>218</v>
      </c>
      <c r="G57" s="1" t="s">
        <v>107</v>
      </c>
      <c r="H57" s="1">
        <v>15</v>
      </c>
      <c r="I57" s="1" t="s">
        <v>1876</v>
      </c>
      <c r="J57" s="1">
        <v>3</v>
      </c>
      <c r="K57" s="1">
        <v>1</v>
      </c>
      <c r="L57" s="23">
        <v>28</v>
      </c>
      <c r="M57" s="23"/>
      <c r="N57" s="24" t="s">
        <v>219</v>
      </c>
      <c r="O57" s="25"/>
      <c r="P57" s="25">
        <v>90</v>
      </c>
      <c r="Q57" s="25"/>
      <c r="R57" s="25"/>
      <c r="S57" s="27"/>
      <c r="T57" s="25">
        <v>90</v>
      </c>
      <c r="U57" s="25"/>
      <c r="V57" s="28"/>
      <c r="W57" s="25">
        <v>1.5</v>
      </c>
      <c r="X57" s="29">
        <v>3</v>
      </c>
      <c r="Y57" s="1" t="s">
        <v>31</v>
      </c>
      <c r="Z57" s="1" t="s">
        <v>220</v>
      </c>
      <c r="AA57" s="30"/>
    </row>
    <row r="58" spans="1:27" ht="23.1" customHeight="1" x14ac:dyDescent="0.25">
      <c r="A58" s="20" t="s">
        <v>188</v>
      </c>
      <c r="B58" s="1" t="s">
        <v>99</v>
      </c>
      <c r="C58" s="3">
        <v>15</v>
      </c>
      <c r="D58" s="1" t="s">
        <v>217</v>
      </c>
      <c r="E58" s="1" t="s">
        <v>218</v>
      </c>
      <c r="F58" s="21" t="s">
        <v>218</v>
      </c>
      <c r="G58" s="1" t="s">
        <v>107</v>
      </c>
      <c r="H58" s="1">
        <v>20</v>
      </c>
      <c r="I58" s="1" t="s">
        <v>1896</v>
      </c>
      <c r="J58" s="1">
        <v>1</v>
      </c>
      <c r="K58" s="1">
        <v>1</v>
      </c>
      <c r="L58" s="23">
        <v>28</v>
      </c>
      <c r="M58" s="23"/>
      <c r="N58" s="24" t="s">
        <v>221</v>
      </c>
      <c r="O58" s="25"/>
      <c r="P58" s="25">
        <v>300</v>
      </c>
      <c r="Q58" s="25"/>
      <c r="R58" s="25"/>
      <c r="S58" s="27"/>
      <c r="T58" s="25">
        <v>90</v>
      </c>
      <c r="U58" s="25"/>
      <c r="V58" s="28"/>
      <c r="W58" s="25"/>
      <c r="X58" s="29">
        <v>5</v>
      </c>
      <c r="Y58" s="1" t="s">
        <v>31</v>
      </c>
      <c r="Z58" s="1"/>
      <c r="AA58" s="1"/>
    </row>
    <row r="59" spans="1:27" ht="23.1" customHeight="1" x14ac:dyDescent="0.25">
      <c r="A59" s="20" t="s">
        <v>188</v>
      </c>
      <c r="B59" s="1" t="s">
        <v>99</v>
      </c>
      <c r="C59" s="3">
        <v>16</v>
      </c>
      <c r="D59" s="1"/>
      <c r="E59" s="1" t="s">
        <v>212</v>
      </c>
      <c r="F59" s="21">
        <v>0</v>
      </c>
      <c r="G59" s="1" t="s">
        <v>191</v>
      </c>
      <c r="H59" s="1">
        <v>0</v>
      </c>
      <c r="I59" s="1"/>
      <c r="J59" s="1">
        <v>30</v>
      </c>
      <c r="K59" s="1">
        <v>30</v>
      </c>
      <c r="L59" s="23">
        <v>26</v>
      </c>
      <c r="M59" s="23"/>
      <c r="N59" s="24" t="s">
        <v>191</v>
      </c>
      <c r="O59" s="25"/>
      <c r="P59" s="25"/>
      <c r="Q59" s="25"/>
      <c r="R59" s="25"/>
      <c r="S59" s="27"/>
      <c r="T59" s="25"/>
      <c r="U59" s="25"/>
      <c r="V59" s="28"/>
      <c r="W59" s="25">
        <v>12</v>
      </c>
      <c r="X59" s="29">
        <v>12</v>
      </c>
      <c r="Y59" s="1" t="s">
        <v>38</v>
      </c>
      <c r="Z59" s="1"/>
      <c r="AA59" s="1"/>
    </row>
    <row r="60" spans="1:27" ht="23.1" customHeight="1" x14ac:dyDescent="0.25">
      <c r="A60" s="20" t="s">
        <v>188</v>
      </c>
      <c r="B60" s="1" t="s">
        <v>99</v>
      </c>
      <c r="C60" s="3">
        <v>78</v>
      </c>
      <c r="D60" s="1" t="s">
        <v>152</v>
      </c>
      <c r="E60" s="1" t="s">
        <v>153</v>
      </c>
      <c r="F60" s="21" t="s">
        <v>1247</v>
      </c>
      <c r="G60" s="1" t="s">
        <v>154</v>
      </c>
      <c r="H60" s="1">
        <v>5</v>
      </c>
      <c r="I60" s="1" t="s">
        <v>1882</v>
      </c>
      <c r="J60" s="1">
        <v>1</v>
      </c>
      <c r="K60" s="1">
        <v>2</v>
      </c>
      <c r="L60" s="23">
        <v>28</v>
      </c>
      <c r="M60" s="23">
        <v>5</v>
      </c>
      <c r="N60" s="24" t="s">
        <v>222</v>
      </c>
      <c r="O60" s="25"/>
      <c r="P60" s="25">
        <v>770</v>
      </c>
      <c r="Q60" s="25">
        <v>120</v>
      </c>
      <c r="R60" s="25"/>
      <c r="S60" s="27">
        <v>2</v>
      </c>
      <c r="T60" s="25">
        <v>120</v>
      </c>
      <c r="U60" s="25"/>
      <c r="V60" s="28"/>
      <c r="W60" s="25"/>
      <c r="X60" s="29">
        <v>29.7</v>
      </c>
      <c r="Y60" s="1" t="s">
        <v>19</v>
      </c>
      <c r="Z60" s="1" t="s">
        <v>147</v>
      </c>
      <c r="AA60" s="1"/>
    </row>
    <row r="61" spans="1:27" ht="23.1" customHeight="1" x14ac:dyDescent="0.25">
      <c r="A61" s="20" t="s">
        <v>188</v>
      </c>
      <c r="B61" s="1" t="s">
        <v>99</v>
      </c>
      <c r="C61" s="3">
        <v>59</v>
      </c>
      <c r="D61" s="1" t="s">
        <v>138</v>
      </c>
      <c r="E61" s="1" t="s">
        <v>139</v>
      </c>
      <c r="F61" s="21" t="s">
        <v>139</v>
      </c>
      <c r="G61" s="1" t="s">
        <v>102</v>
      </c>
      <c r="H61" s="1">
        <v>25</v>
      </c>
      <c r="I61" s="1" t="s">
        <v>1850</v>
      </c>
      <c r="J61" s="1">
        <v>2</v>
      </c>
      <c r="K61" s="1">
        <v>1</v>
      </c>
      <c r="L61" s="23">
        <v>19</v>
      </c>
      <c r="M61" s="23"/>
      <c r="N61" s="24" t="s">
        <v>140</v>
      </c>
      <c r="O61" s="25"/>
      <c r="P61" s="25">
        <v>30</v>
      </c>
      <c r="Q61" s="25"/>
      <c r="R61" s="25"/>
      <c r="S61" s="27"/>
      <c r="T61" s="25">
        <v>60</v>
      </c>
      <c r="U61" s="25"/>
      <c r="V61" s="28">
        <v>1</v>
      </c>
      <c r="W61" s="25"/>
      <c r="X61" s="29">
        <v>1.5</v>
      </c>
      <c r="Y61" s="1" t="s">
        <v>42</v>
      </c>
      <c r="Z61" s="1"/>
      <c r="AA61" s="1"/>
    </row>
    <row r="62" spans="1:27" ht="23.1" customHeight="1" x14ac:dyDescent="0.25">
      <c r="A62" s="20" t="s">
        <v>188</v>
      </c>
      <c r="B62" s="1" t="s">
        <v>99</v>
      </c>
      <c r="C62" s="3">
        <v>59</v>
      </c>
      <c r="D62" s="1" t="s">
        <v>138</v>
      </c>
      <c r="E62" s="1" t="s">
        <v>139</v>
      </c>
      <c r="F62" s="21" t="s">
        <v>139</v>
      </c>
      <c r="G62" s="1" t="s">
        <v>102</v>
      </c>
      <c r="H62" s="1">
        <v>10</v>
      </c>
      <c r="I62" s="1" t="s">
        <v>1897</v>
      </c>
      <c r="J62" s="1"/>
      <c r="K62" s="1">
        <v>0.3</v>
      </c>
      <c r="L62" s="23"/>
      <c r="M62" s="23">
        <v>26</v>
      </c>
      <c r="N62" s="24" t="s">
        <v>140</v>
      </c>
      <c r="O62" s="25"/>
      <c r="P62" s="25">
        <v>60</v>
      </c>
      <c r="Q62" s="25"/>
      <c r="R62" s="25"/>
      <c r="S62" s="27"/>
      <c r="T62" s="25">
        <v>60</v>
      </c>
      <c r="U62" s="25"/>
      <c r="V62" s="28">
        <v>1</v>
      </c>
      <c r="W62" s="25"/>
      <c r="X62" s="29">
        <v>1.3</v>
      </c>
      <c r="Y62" s="1" t="s">
        <v>42</v>
      </c>
      <c r="Z62" s="1"/>
      <c r="AA62" s="1"/>
    </row>
    <row r="63" spans="1:27" ht="23.1" customHeight="1" x14ac:dyDescent="0.25">
      <c r="A63" s="20" t="s">
        <v>188</v>
      </c>
      <c r="B63" s="1" t="s">
        <v>99</v>
      </c>
      <c r="C63" s="3">
        <v>91</v>
      </c>
      <c r="D63" s="1" t="s">
        <v>169</v>
      </c>
      <c r="E63" s="1" t="s">
        <v>170</v>
      </c>
      <c r="F63" s="21" t="e">
        <v>#N/A</v>
      </c>
      <c r="G63" s="1" t="s">
        <v>118</v>
      </c>
      <c r="H63" s="1">
        <v>25</v>
      </c>
      <c r="I63" s="1" t="s">
        <v>2424</v>
      </c>
      <c r="J63" s="1">
        <v>1.5</v>
      </c>
      <c r="K63" s="1">
        <v>0.2</v>
      </c>
      <c r="L63" s="23">
        <v>28</v>
      </c>
      <c r="M63" s="23">
        <v>28</v>
      </c>
      <c r="N63" s="24" t="s">
        <v>223</v>
      </c>
      <c r="O63" s="25"/>
      <c r="P63" s="25">
        <v>630</v>
      </c>
      <c r="Q63" s="25">
        <v>90</v>
      </c>
      <c r="R63" s="25"/>
      <c r="S63" s="27">
        <v>1</v>
      </c>
      <c r="T63" s="25">
        <v>180</v>
      </c>
      <c r="U63" s="25"/>
      <c r="V63" s="28"/>
      <c r="W63" s="25">
        <v>3</v>
      </c>
      <c r="X63" s="29">
        <v>6.6</v>
      </c>
      <c r="Y63" s="1" t="s">
        <v>3</v>
      </c>
      <c r="Z63" s="1" t="s">
        <v>224</v>
      </c>
      <c r="AA63" s="1"/>
    </row>
    <row r="64" spans="1:27" ht="23.1" customHeight="1" x14ac:dyDescent="0.25">
      <c r="A64" s="20" t="s">
        <v>188</v>
      </c>
      <c r="B64" s="1" t="s">
        <v>99</v>
      </c>
      <c r="C64" s="3">
        <v>84</v>
      </c>
      <c r="D64" s="1" t="s">
        <v>162</v>
      </c>
      <c r="E64" s="1" t="s">
        <v>163</v>
      </c>
      <c r="F64" s="21" t="s">
        <v>163</v>
      </c>
      <c r="G64" s="1" t="s">
        <v>123</v>
      </c>
      <c r="H64" s="1">
        <v>35</v>
      </c>
      <c r="I64" s="1" t="s">
        <v>1885</v>
      </c>
      <c r="J64" s="1">
        <v>2.5</v>
      </c>
      <c r="K64" s="1">
        <v>2</v>
      </c>
      <c r="L64" s="23">
        <v>28</v>
      </c>
      <c r="M64" s="23">
        <v>28</v>
      </c>
      <c r="N64" s="24" t="s">
        <v>164</v>
      </c>
      <c r="O64" s="25"/>
      <c r="P64" s="25">
        <v>260</v>
      </c>
      <c r="Q64" s="25">
        <v>60</v>
      </c>
      <c r="R64" s="25"/>
      <c r="S64" s="27">
        <v>2</v>
      </c>
      <c r="T64" s="25">
        <v>90</v>
      </c>
      <c r="U64" s="25"/>
      <c r="V64" s="28"/>
      <c r="W64" s="25"/>
      <c r="X64" s="29">
        <v>10.7</v>
      </c>
      <c r="Y64" s="1" t="s">
        <v>3</v>
      </c>
      <c r="Z64" s="1" t="s">
        <v>147</v>
      </c>
      <c r="AA64" s="1"/>
    </row>
    <row r="65" spans="1:27" ht="23.1" customHeight="1" x14ac:dyDescent="0.25">
      <c r="A65" s="20" t="s">
        <v>188</v>
      </c>
      <c r="B65" s="1" t="s">
        <v>99</v>
      </c>
      <c r="C65" s="3">
        <v>24</v>
      </c>
      <c r="D65" s="1" t="s">
        <v>182</v>
      </c>
      <c r="E65" s="1" t="s">
        <v>130</v>
      </c>
      <c r="F65" s="21" t="s">
        <v>2547</v>
      </c>
      <c r="G65" s="1" t="s">
        <v>102</v>
      </c>
      <c r="H65" s="1">
        <v>70</v>
      </c>
      <c r="I65" s="1" t="s">
        <v>1878</v>
      </c>
      <c r="J65" s="1">
        <v>0.4</v>
      </c>
      <c r="K65" s="1">
        <v>0.4</v>
      </c>
      <c r="L65" s="23"/>
      <c r="M65" s="23">
        <v>28</v>
      </c>
      <c r="N65" s="24" t="s">
        <v>131</v>
      </c>
      <c r="O65" s="25"/>
      <c r="P65" s="25">
        <v>2760</v>
      </c>
      <c r="Q65" s="25">
        <v>120</v>
      </c>
      <c r="R65" s="25"/>
      <c r="S65" s="27"/>
      <c r="T65" s="25">
        <v>180</v>
      </c>
      <c r="U65" s="25"/>
      <c r="V65" s="28"/>
      <c r="W65" s="25">
        <v>4</v>
      </c>
      <c r="X65" s="29">
        <v>22.4</v>
      </c>
      <c r="Y65" s="1" t="s">
        <v>3</v>
      </c>
      <c r="Z65" s="1" t="s">
        <v>225</v>
      </c>
      <c r="AA65" s="1"/>
    </row>
    <row r="66" spans="1:27" ht="23.1" customHeight="1" x14ac:dyDescent="0.25">
      <c r="A66" s="20" t="s">
        <v>188</v>
      </c>
      <c r="B66" s="1" t="s">
        <v>99</v>
      </c>
      <c r="C66" s="3">
        <v>69</v>
      </c>
      <c r="D66" s="1" t="s">
        <v>126</v>
      </c>
      <c r="E66" s="1" t="s">
        <v>127</v>
      </c>
      <c r="F66" s="21" t="s">
        <v>127</v>
      </c>
      <c r="G66" s="1" t="s">
        <v>102</v>
      </c>
      <c r="H66" s="1">
        <v>50</v>
      </c>
      <c r="I66" s="1" t="s">
        <v>1886</v>
      </c>
      <c r="J66" s="1">
        <v>0.2</v>
      </c>
      <c r="K66" s="1">
        <v>0.1</v>
      </c>
      <c r="L66" s="23"/>
      <c r="M66" s="23">
        <v>37</v>
      </c>
      <c r="N66" s="24" t="s">
        <v>128</v>
      </c>
      <c r="O66" s="25"/>
      <c r="P66" s="25">
        <v>6000</v>
      </c>
      <c r="Q66" s="25">
        <v>120</v>
      </c>
      <c r="R66" s="25"/>
      <c r="S66" s="27"/>
      <c r="T66" s="25">
        <v>240</v>
      </c>
      <c r="U66" s="25"/>
      <c r="V66" s="28"/>
      <c r="W66" s="25"/>
      <c r="X66" s="29">
        <v>10</v>
      </c>
      <c r="Y66" s="1" t="s">
        <v>3</v>
      </c>
      <c r="Z66" s="1"/>
      <c r="AA66" s="1"/>
    </row>
    <row r="67" spans="1:27" ht="23.1" customHeight="1" x14ac:dyDescent="0.25">
      <c r="A67" s="20" t="s">
        <v>188</v>
      </c>
      <c r="B67" s="1" t="s">
        <v>99</v>
      </c>
      <c r="C67" s="3">
        <v>56</v>
      </c>
      <c r="D67" s="1" t="s">
        <v>226</v>
      </c>
      <c r="E67" s="1" t="s">
        <v>139</v>
      </c>
      <c r="F67" s="21" t="s">
        <v>139</v>
      </c>
      <c r="G67" s="1" t="s">
        <v>154</v>
      </c>
      <c r="H67" s="1">
        <v>55</v>
      </c>
      <c r="I67" s="1" t="s">
        <v>1898</v>
      </c>
      <c r="J67" s="1"/>
      <c r="K67" s="1">
        <v>9</v>
      </c>
      <c r="L67" s="23">
        <v>28</v>
      </c>
      <c r="M67" s="23">
        <v>28</v>
      </c>
      <c r="N67" s="24" t="s">
        <v>227</v>
      </c>
      <c r="O67" s="25"/>
      <c r="P67" s="25">
        <v>30</v>
      </c>
      <c r="Q67" s="25"/>
      <c r="R67" s="25"/>
      <c r="S67" s="27"/>
      <c r="T67" s="25">
        <v>60</v>
      </c>
      <c r="U67" s="25"/>
      <c r="V67" s="28"/>
      <c r="W67" s="25"/>
      <c r="X67" s="29">
        <v>4.5</v>
      </c>
      <c r="Y67" s="1" t="s">
        <v>44</v>
      </c>
      <c r="Z67" s="1"/>
      <c r="AA67" s="1"/>
    </row>
    <row r="68" spans="1:27" ht="23.1" customHeight="1" x14ac:dyDescent="0.25">
      <c r="A68" s="20" t="s">
        <v>188</v>
      </c>
      <c r="B68" s="1" t="s">
        <v>99</v>
      </c>
      <c r="C68" s="3">
        <v>55</v>
      </c>
      <c r="D68" s="1" t="s">
        <v>228</v>
      </c>
      <c r="E68" s="1" t="s">
        <v>228</v>
      </c>
      <c r="F68" s="21" t="e">
        <v>#N/A</v>
      </c>
      <c r="G68" s="1"/>
      <c r="H68" s="1"/>
      <c r="I68" s="1"/>
      <c r="J68" s="1">
        <v>1</v>
      </c>
      <c r="K68" s="1">
        <v>1</v>
      </c>
      <c r="L68" s="23"/>
      <c r="M68" s="23">
        <v>26</v>
      </c>
      <c r="N68" s="24" t="s">
        <v>108</v>
      </c>
      <c r="O68" s="25"/>
      <c r="P68" s="25"/>
      <c r="Q68" s="25"/>
      <c r="R68" s="25"/>
      <c r="S68" s="27"/>
      <c r="T68" s="25"/>
      <c r="U68" s="25"/>
      <c r="V68" s="28"/>
      <c r="W68" s="25">
        <v>15</v>
      </c>
      <c r="X68" s="29">
        <v>15</v>
      </c>
      <c r="Y68" s="1" t="s">
        <v>44</v>
      </c>
      <c r="Z68" s="1"/>
      <c r="AA68" s="1" t="s">
        <v>193</v>
      </c>
    </row>
    <row r="69" spans="1:27" ht="23.1" customHeight="1" x14ac:dyDescent="0.25">
      <c r="A69" s="20" t="s">
        <v>188</v>
      </c>
      <c r="B69" s="1" t="s">
        <v>99</v>
      </c>
      <c r="C69" s="3">
        <v>9</v>
      </c>
      <c r="D69" s="1" t="s">
        <v>229</v>
      </c>
      <c r="E69" s="1" t="s">
        <v>230</v>
      </c>
      <c r="F69" s="21" t="s">
        <v>230</v>
      </c>
      <c r="G69" s="1" t="s">
        <v>154</v>
      </c>
      <c r="H69" s="1">
        <v>20</v>
      </c>
      <c r="I69" s="1" t="s">
        <v>1908</v>
      </c>
      <c r="J69" s="1">
        <v>3</v>
      </c>
      <c r="K69" s="1">
        <v>3.5</v>
      </c>
      <c r="L69" s="23">
        <v>28</v>
      </c>
      <c r="M69" s="23">
        <v>26</v>
      </c>
      <c r="N69" s="24" t="s">
        <v>231</v>
      </c>
      <c r="O69" s="25"/>
      <c r="P69" s="25">
        <v>190</v>
      </c>
      <c r="Q69" s="25"/>
      <c r="R69" s="25"/>
      <c r="S69" s="27"/>
      <c r="T69" s="25">
        <v>60</v>
      </c>
      <c r="U69" s="25"/>
      <c r="V69" s="28"/>
      <c r="W69" s="25"/>
      <c r="X69" s="29">
        <v>11.1</v>
      </c>
      <c r="Y69" s="1" t="s">
        <v>55</v>
      </c>
      <c r="Z69" s="1"/>
      <c r="AA69" s="1"/>
    </row>
    <row r="70" spans="1:27" ht="23.1" customHeight="1" x14ac:dyDescent="0.25">
      <c r="A70" s="20" t="s">
        <v>188</v>
      </c>
      <c r="B70" s="1" t="s">
        <v>99</v>
      </c>
      <c r="C70" s="3">
        <v>10</v>
      </c>
      <c r="D70" s="1" t="s">
        <v>232</v>
      </c>
      <c r="E70" s="1" t="s">
        <v>233</v>
      </c>
      <c r="F70" s="21" t="s">
        <v>233</v>
      </c>
      <c r="G70" s="1" t="s">
        <v>102</v>
      </c>
      <c r="H70" s="1">
        <v>70</v>
      </c>
      <c r="I70" s="1" t="s">
        <v>2425</v>
      </c>
      <c r="J70" s="1">
        <v>0.7</v>
      </c>
      <c r="K70" s="1">
        <v>0.5</v>
      </c>
      <c r="L70" s="23">
        <v>23</v>
      </c>
      <c r="M70" s="23"/>
      <c r="N70" s="24" t="s">
        <v>234</v>
      </c>
      <c r="O70" s="25"/>
      <c r="P70" s="25">
        <v>1320</v>
      </c>
      <c r="Q70" s="25"/>
      <c r="R70" s="25"/>
      <c r="S70" s="27"/>
      <c r="T70" s="25">
        <v>120</v>
      </c>
      <c r="U70" s="25"/>
      <c r="V70" s="28">
        <v>1</v>
      </c>
      <c r="W70" s="25"/>
      <c r="X70" s="29">
        <v>13</v>
      </c>
      <c r="Y70" s="1" t="s">
        <v>55</v>
      </c>
      <c r="Z70" s="1" t="s">
        <v>210</v>
      </c>
      <c r="AA70" s="1"/>
    </row>
    <row r="71" spans="1:27" ht="23.1" customHeight="1" x14ac:dyDescent="0.25">
      <c r="A71" s="20" t="s">
        <v>188</v>
      </c>
      <c r="B71" s="1" t="s">
        <v>99</v>
      </c>
      <c r="C71" s="3">
        <v>14</v>
      </c>
      <c r="D71" s="1" t="s">
        <v>235</v>
      </c>
      <c r="E71" s="1" t="s">
        <v>236</v>
      </c>
      <c r="F71" s="21" t="s">
        <v>236</v>
      </c>
      <c r="G71" s="1" t="s">
        <v>154</v>
      </c>
      <c r="H71" s="1">
        <v>50</v>
      </c>
      <c r="I71" s="1" t="s">
        <v>1899</v>
      </c>
      <c r="J71" s="1">
        <v>0.5</v>
      </c>
      <c r="K71" s="1">
        <v>0.3</v>
      </c>
      <c r="L71" s="23"/>
      <c r="M71" s="23">
        <v>28</v>
      </c>
      <c r="N71" s="24" t="s">
        <v>159</v>
      </c>
      <c r="O71" s="25"/>
      <c r="P71" s="25">
        <v>2640</v>
      </c>
      <c r="Q71" s="25"/>
      <c r="R71" s="25"/>
      <c r="S71" s="27"/>
      <c r="T71" s="25">
        <v>90</v>
      </c>
      <c r="U71" s="25"/>
      <c r="V71" s="28"/>
      <c r="W71" s="25">
        <v>3</v>
      </c>
      <c r="X71" s="29">
        <v>16.2</v>
      </c>
      <c r="Y71" s="1" t="s">
        <v>31</v>
      </c>
      <c r="Z71" s="1" t="s">
        <v>237</v>
      </c>
      <c r="AA71" s="1" t="s">
        <v>238</v>
      </c>
    </row>
    <row r="72" spans="1:27" ht="23.1" customHeight="1" x14ac:dyDescent="0.25">
      <c r="A72" s="20" t="s">
        <v>188</v>
      </c>
      <c r="B72" s="1" t="s">
        <v>99</v>
      </c>
      <c r="C72" s="3">
        <v>76</v>
      </c>
      <c r="D72" s="1" t="s">
        <v>239</v>
      </c>
      <c r="E72" s="1" t="s">
        <v>240</v>
      </c>
      <c r="F72" s="21" t="s">
        <v>240</v>
      </c>
      <c r="G72" s="1" t="s">
        <v>154</v>
      </c>
      <c r="H72" s="1">
        <v>20</v>
      </c>
      <c r="I72" s="1" t="s">
        <v>1900</v>
      </c>
      <c r="J72" s="1">
        <v>1</v>
      </c>
      <c r="K72" s="1">
        <v>2</v>
      </c>
      <c r="L72" s="23">
        <v>28</v>
      </c>
      <c r="M72" s="23">
        <v>28</v>
      </c>
      <c r="N72" s="24" t="s">
        <v>155</v>
      </c>
      <c r="O72" s="25"/>
      <c r="P72" s="25">
        <v>80</v>
      </c>
      <c r="Q72" s="25"/>
      <c r="R72" s="25"/>
      <c r="S72" s="27"/>
      <c r="T72" s="25">
        <v>60</v>
      </c>
      <c r="U72" s="25"/>
      <c r="V72" s="28">
        <v>1</v>
      </c>
      <c r="W72" s="25"/>
      <c r="X72" s="29">
        <v>3.7</v>
      </c>
      <c r="Y72" s="1" t="s">
        <v>46</v>
      </c>
      <c r="Z72" s="1" t="s">
        <v>241</v>
      </c>
      <c r="AA72" s="1"/>
    </row>
    <row r="73" spans="1:27" ht="23.1" customHeight="1" x14ac:dyDescent="0.25">
      <c r="A73" s="20" t="s">
        <v>188</v>
      </c>
      <c r="B73" s="1" t="s">
        <v>99</v>
      </c>
      <c r="C73" s="3">
        <v>76</v>
      </c>
      <c r="D73" s="1" t="s">
        <v>242</v>
      </c>
      <c r="E73" s="1" t="s">
        <v>243</v>
      </c>
      <c r="F73" s="21" t="s">
        <v>243</v>
      </c>
      <c r="G73" s="1" t="s">
        <v>123</v>
      </c>
      <c r="H73" s="1">
        <v>30</v>
      </c>
      <c r="I73" s="1" t="s">
        <v>1901</v>
      </c>
      <c r="J73" s="1">
        <v>3</v>
      </c>
      <c r="K73" s="1">
        <v>10</v>
      </c>
      <c r="L73" s="23">
        <v>9</v>
      </c>
      <c r="M73" s="23">
        <v>37</v>
      </c>
      <c r="N73" s="24" t="s">
        <v>131</v>
      </c>
      <c r="O73" s="25"/>
      <c r="P73" s="25">
        <v>30</v>
      </c>
      <c r="Q73" s="25"/>
      <c r="R73" s="25"/>
      <c r="S73" s="27"/>
      <c r="T73" s="25">
        <v>60</v>
      </c>
      <c r="U73" s="25"/>
      <c r="V73" s="28">
        <v>1</v>
      </c>
      <c r="W73" s="25"/>
      <c r="X73" s="29">
        <v>6</v>
      </c>
      <c r="Y73" s="1" t="s">
        <v>46</v>
      </c>
      <c r="Z73" s="1" t="s">
        <v>244</v>
      </c>
      <c r="AA73" s="1"/>
    </row>
    <row r="74" spans="1:27" ht="23.1" customHeight="1" x14ac:dyDescent="0.25">
      <c r="A74" s="20" t="s">
        <v>188</v>
      </c>
      <c r="B74" s="1" t="s">
        <v>99</v>
      </c>
      <c r="C74" s="3">
        <v>13</v>
      </c>
      <c r="D74" s="1" t="s">
        <v>245</v>
      </c>
      <c r="E74" s="1" t="s">
        <v>246</v>
      </c>
      <c r="F74" s="21" t="s">
        <v>246</v>
      </c>
      <c r="G74" s="1" t="s">
        <v>123</v>
      </c>
      <c r="H74" s="1">
        <v>40</v>
      </c>
      <c r="I74" s="1" t="s">
        <v>1902</v>
      </c>
      <c r="J74" s="1">
        <v>3</v>
      </c>
      <c r="K74" s="1">
        <v>4</v>
      </c>
      <c r="L74" s="23">
        <v>28</v>
      </c>
      <c r="M74" s="23">
        <v>26</v>
      </c>
      <c r="N74" s="24" t="s">
        <v>247</v>
      </c>
      <c r="O74" s="25"/>
      <c r="P74" s="25">
        <v>230</v>
      </c>
      <c r="Q74" s="25"/>
      <c r="R74" s="25"/>
      <c r="S74" s="27"/>
      <c r="T74" s="25">
        <v>120</v>
      </c>
      <c r="U74" s="25"/>
      <c r="V74" s="28"/>
      <c r="W74" s="25"/>
      <c r="X74" s="29">
        <v>15.3</v>
      </c>
      <c r="Y74" s="1" t="s">
        <v>72</v>
      </c>
      <c r="Z74" s="1"/>
      <c r="AA74" s="1"/>
    </row>
    <row r="75" spans="1:27" ht="23.1" customHeight="1" x14ac:dyDescent="0.25">
      <c r="A75" s="20" t="s">
        <v>188</v>
      </c>
      <c r="B75" s="1" t="s">
        <v>99</v>
      </c>
      <c r="C75" s="3">
        <v>12</v>
      </c>
      <c r="D75" s="1" t="s">
        <v>248</v>
      </c>
      <c r="E75" s="1" t="s">
        <v>249</v>
      </c>
      <c r="F75" s="21" t="s">
        <v>249</v>
      </c>
      <c r="G75" s="1" t="s">
        <v>250</v>
      </c>
      <c r="H75" s="1">
        <v>15</v>
      </c>
      <c r="I75" s="1" t="s">
        <v>1903</v>
      </c>
      <c r="J75" s="1">
        <v>1</v>
      </c>
      <c r="K75" s="1">
        <v>1</v>
      </c>
      <c r="L75" s="23"/>
      <c r="M75" s="23">
        <v>31</v>
      </c>
      <c r="N75" s="24" t="s">
        <v>251</v>
      </c>
      <c r="O75" s="25"/>
      <c r="P75" s="25">
        <v>600</v>
      </c>
      <c r="Q75" s="25"/>
      <c r="R75" s="25"/>
      <c r="S75" s="27"/>
      <c r="T75" s="25">
        <v>120</v>
      </c>
      <c r="U75" s="25"/>
      <c r="V75" s="28"/>
      <c r="W75" s="25"/>
      <c r="X75" s="29">
        <v>10</v>
      </c>
      <c r="Y75" s="1" t="s">
        <v>72</v>
      </c>
      <c r="Z75" s="1"/>
      <c r="AA75" s="1"/>
    </row>
    <row r="76" spans="1:27" ht="23.1" customHeight="1" x14ac:dyDescent="0.25">
      <c r="A76" s="20" t="s">
        <v>188</v>
      </c>
      <c r="B76" s="1" t="s">
        <v>99</v>
      </c>
      <c r="C76" s="3">
        <v>76</v>
      </c>
      <c r="D76" s="1" t="s">
        <v>239</v>
      </c>
      <c r="E76" s="1" t="s">
        <v>240</v>
      </c>
      <c r="F76" s="21" t="s">
        <v>240</v>
      </c>
      <c r="G76" s="1" t="s">
        <v>154</v>
      </c>
      <c r="H76" s="1">
        <v>25</v>
      </c>
      <c r="I76" s="1" t="s">
        <v>1904</v>
      </c>
      <c r="J76" s="1">
        <v>1</v>
      </c>
      <c r="K76" s="1">
        <v>3</v>
      </c>
      <c r="L76" s="23">
        <v>28</v>
      </c>
      <c r="M76" s="23">
        <v>28</v>
      </c>
      <c r="N76" s="24" t="s">
        <v>155</v>
      </c>
      <c r="O76" s="25"/>
      <c r="P76" s="25">
        <v>40</v>
      </c>
      <c r="Q76" s="25"/>
      <c r="R76" s="25"/>
      <c r="S76" s="27"/>
      <c r="T76" s="25">
        <v>60</v>
      </c>
      <c r="U76" s="25"/>
      <c r="V76" s="28">
        <v>1</v>
      </c>
      <c r="W76" s="25"/>
      <c r="X76" s="29">
        <v>3</v>
      </c>
      <c r="Y76" s="1" t="s">
        <v>46</v>
      </c>
      <c r="Z76" s="1" t="s">
        <v>241</v>
      </c>
      <c r="AA76" s="1"/>
    </row>
    <row r="77" spans="1:27" ht="23.1" customHeight="1" x14ac:dyDescent="0.25">
      <c r="A77" s="20" t="s">
        <v>188</v>
      </c>
      <c r="B77" s="1" t="s">
        <v>99</v>
      </c>
      <c r="C77" s="3">
        <v>12</v>
      </c>
      <c r="D77" s="1" t="s">
        <v>248</v>
      </c>
      <c r="E77" s="1" t="s">
        <v>249</v>
      </c>
      <c r="F77" s="21" t="s">
        <v>249</v>
      </c>
      <c r="G77" s="1" t="s">
        <v>250</v>
      </c>
      <c r="H77" s="1">
        <v>20</v>
      </c>
      <c r="I77" s="1" t="s">
        <v>1905</v>
      </c>
      <c r="J77" s="1"/>
      <c r="K77" s="1">
        <v>4</v>
      </c>
      <c r="L77" s="23">
        <v>28</v>
      </c>
      <c r="M77" s="23">
        <v>28</v>
      </c>
      <c r="N77" s="24" t="s">
        <v>252</v>
      </c>
      <c r="O77" s="25"/>
      <c r="P77" s="25">
        <v>40</v>
      </c>
      <c r="Q77" s="25">
        <v>60</v>
      </c>
      <c r="R77" s="25"/>
      <c r="S77" s="27"/>
      <c r="T77" s="25">
        <v>90</v>
      </c>
      <c r="U77" s="25"/>
      <c r="V77" s="28"/>
      <c r="W77" s="25"/>
      <c r="X77" s="29">
        <v>2.7</v>
      </c>
      <c r="Y77" s="1" t="s">
        <v>72</v>
      </c>
      <c r="Z77" s="1" t="s">
        <v>253</v>
      </c>
      <c r="AA77" s="30"/>
    </row>
    <row r="78" spans="1:27" ht="23.1" customHeight="1" x14ac:dyDescent="0.25">
      <c r="A78" s="20" t="s">
        <v>188</v>
      </c>
      <c r="B78" s="1" t="s">
        <v>99</v>
      </c>
      <c r="C78" s="3">
        <v>23</v>
      </c>
      <c r="D78" s="1" t="s">
        <v>254</v>
      </c>
      <c r="E78" s="1" t="s">
        <v>255</v>
      </c>
      <c r="F78" s="21" t="s">
        <v>1016</v>
      </c>
      <c r="G78" s="3" t="s">
        <v>250</v>
      </c>
      <c r="H78" s="1">
        <v>37</v>
      </c>
      <c r="I78" s="1" t="s">
        <v>1906</v>
      </c>
      <c r="J78" s="1">
        <v>0.7</v>
      </c>
      <c r="K78" s="1">
        <v>0.2</v>
      </c>
      <c r="L78" s="23">
        <v>23</v>
      </c>
      <c r="M78" s="23"/>
      <c r="N78" s="24" t="s">
        <v>256</v>
      </c>
      <c r="O78" s="25">
        <v>660</v>
      </c>
      <c r="P78" s="25"/>
      <c r="Q78" s="25"/>
      <c r="R78" s="31">
        <v>90</v>
      </c>
      <c r="S78" s="23">
        <v>1</v>
      </c>
      <c r="T78" s="25"/>
      <c r="U78" s="25"/>
      <c r="V78" s="28"/>
      <c r="W78" s="25">
        <v>2</v>
      </c>
      <c r="X78" s="32">
        <v>5.7</v>
      </c>
      <c r="Y78" s="1" t="s">
        <v>33</v>
      </c>
      <c r="Z78" s="1" t="s">
        <v>257</v>
      </c>
      <c r="AA78" s="1"/>
    </row>
    <row r="79" spans="1:27" ht="23.1" customHeight="1" x14ac:dyDescent="0.25">
      <c r="A79" s="20" t="s">
        <v>188</v>
      </c>
      <c r="B79" s="1" t="s">
        <v>99</v>
      </c>
      <c r="C79" s="3">
        <v>47</v>
      </c>
      <c r="D79" s="1" t="s">
        <v>258</v>
      </c>
      <c r="E79" s="1" t="s">
        <v>259</v>
      </c>
      <c r="F79" s="21" t="s">
        <v>284</v>
      </c>
      <c r="G79" s="1" t="s">
        <v>154</v>
      </c>
      <c r="H79" s="1">
        <v>50</v>
      </c>
      <c r="I79" s="1" t="s">
        <v>2426</v>
      </c>
      <c r="J79" s="1">
        <v>1</v>
      </c>
      <c r="K79" s="1">
        <v>1</v>
      </c>
      <c r="L79" s="23"/>
      <c r="M79" s="23">
        <v>37</v>
      </c>
      <c r="N79" s="24" t="s">
        <v>260</v>
      </c>
      <c r="O79" s="25"/>
      <c r="P79" s="25">
        <v>630</v>
      </c>
      <c r="Q79" s="25">
        <v>120</v>
      </c>
      <c r="R79" s="25"/>
      <c r="S79" s="27">
        <v>1</v>
      </c>
      <c r="T79" s="25">
        <v>90</v>
      </c>
      <c r="U79" s="25"/>
      <c r="V79" s="28"/>
      <c r="W79" s="25"/>
      <c r="X79" s="29">
        <v>12.5</v>
      </c>
      <c r="Y79" s="1" t="s">
        <v>33</v>
      </c>
      <c r="Z79" s="1" t="s">
        <v>145</v>
      </c>
      <c r="AA79" s="1"/>
    </row>
    <row r="80" spans="1:27" ht="23.1" customHeight="1" x14ac:dyDescent="0.25">
      <c r="A80" s="20" t="s">
        <v>188</v>
      </c>
      <c r="B80" s="1" t="s">
        <v>99</v>
      </c>
      <c r="C80" s="3">
        <v>78</v>
      </c>
      <c r="D80" s="1" t="s">
        <v>261</v>
      </c>
      <c r="E80" s="1" t="s">
        <v>133</v>
      </c>
      <c r="F80" s="21" t="s">
        <v>133</v>
      </c>
      <c r="G80" s="1" t="s">
        <v>102</v>
      </c>
      <c r="H80" s="1">
        <v>65</v>
      </c>
      <c r="I80" s="1" t="s">
        <v>1879</v>
      </c>
      <c r="J80" s="1"/>
      <c r="K80" s="1">
        <v>0.4</v>
      </c>
      <c r="L80" s="23"/>
      <c r="M80" s="23">
        <v>28</v>
      </c>
      <c r="N80" s="24" t="s">
        <v>103</v>
      </c>
      <c r="O80" s="25"/>
      <c r="P80" s="25">
        <v>660</v>
      </c>
      <c r="Q80" s="25">
        <v>60</v>
      </c>
      <c r="R80" s="25"/>
      <c r="S80" s="27">
        <v>1</v>
      </c>
      <c r="T80" s="25">
        <v>120</v>
      </c>
      <c r="U80" s="25"/>
      <c r="V80" s="28"/>
      <c r="W80" s="25">
        <v>14.6</v>
      </c>
      <c r="X80" s="29">
        <v>20</v>
      </c>
      <c r="Y80" s="1" t="s">
        <v>19</v>
      </c>
      <c r="Z80" s="1" t="s">
        <v>262</v>
      </c>
      <c r="AA80" s="1" t="s">
        <v>193</v>
      </c>
    </row>
    <row r="81" spans="1:27" ht="23.1" customHeight="1" x14ac:dyDescent="0.25">
      <c r="A81" s="20" t="s">
        <v>188</v>
      </c>
      <c r="B81" s="1" t="s">
        <v>137</v>
      </c>
      <c r="C81" s="3">
        <v>18</v>
      </c>
      <c r="D81" s="1" t="s">
        <v>229</v>
      </c>
      <c r="E81" s="1" t="s">
        <v>230</v>
      </c>
      <c r="F81" s="21" t="s">
        <v>230</v>
      </c>
      <c r="G81" s="1" t="s">
        <v>154</v>
      </c>
      <c r="H81" s="1">
        <v>20</v>
      </c>
      <c r="I81" s="1" t="s">
        <v>1908</v>
      </c>
      <c r="J81" s="1">
        <v>3</v>
      </c>
      <c r="K81" s="1">
        <v>3.5</v>
      </c>
      <c r="L81" s="23">
        <v>26</v>
      </c>
      <c r="M81" s="23">
        <v>5</v>
      </c>
      <c r="N81" s="24" t="s">
        <v>263</v>
      </c>
      <c r="O81" s="25"/>
      <c r="P81" s="25">
        <v>190</v>
      </c>
      <c r="Q81" s="25"/>
      <c r="R81" s="25"/>
      <c r="S81" s="27"/>
      <c r="T81" s="25">
        <v>60</v>
      </c>
      <c r="U81" s="25"/>
      <c r="V81" s="28">
        <v>1</v>
      </c>
      <c r="W81" s="25"/>
      <c r="X81" s="29">
        <v>12.1</v>
      </c>
      <c r="Y81" s="1" t="s">
        <v>23</v>
      </c>
      <c r="Z81" s="1" t="s">
        <v>264</v>
      </c>
      <c r="AA81" s="1"/>
    </row>
    <row r="82" spans="1:27" ht="23.1" customHeight="1" x14ac:dyDescent="0.25">
      <c r="A82" s="20" t="s">
        <v>188</v>
      </c>
      <c r="B82" s="1" t="s">
        <v>137</v>
      </c>
      <c r="C82" s="3">
        <v>18</v>
      </c>
      <c r="D82" s="1" t="s">
        <v>205</v>
      </c>
      <c r="E82" s="1" t="s">
        <v>206</v>
      </c>
      <c r="F82" s="21" t="s">
        <v>206</v>
      </c>
      <c r="G82" s="1" t="s">
        <v>123</v>
      </c>
      <c r="H82" s="1">
        <v>25</v>
      </c>
      <c r="I82" s="1" t="s">
        <v>1892</v>
      </c>
      <c r="J82" s="1">
        <v>1</v>
      </c>
      <c r="K82" s="1">
        <v>1.3</v>
      </c>
      <c r="L82" s="23">
        <v>26</v>
      </c>
      <c r="M82" s="23">
        <v>5</v>
      </c>
      <c r="N82" s="24" t="s">
        <v>265</v>
      </c>
      <c r="O82" s="25"/>
      <c r="P82" s="25">
        <v>720</v>
      </c>
      <c r="Q82" s="25"/>
      <c r="R82" s="25"/>
      <c r="S82" s="27"/>
      <c r="T82" s="25">
        <v>90</v>
      </c>
      <c r="U82" s="25"/>
      <c r="V82" s="28"/>
      <c r="W82" s="25"/>
      <c r="X82" s="29">
        <v>15.6</v>
      </c>
      <c r="Y82" s="1" t="s">
        <v>14</v>
      </c>
      <c r="Z82" s="1"/>
      <c r="AA82" s="1"/>
    </row>
    <row r="83" spans="1:27" ht="23.1" customHeight="1" x14ac:dyDescent="0.25">
      <c r="A83" s="20" t="s">
        <v>188</v>
      </c>
      <c r="B83" s="1" t="s">
        <v>137</v>
      </c>
      <c r="C83" s="3">
        <v>69</v>
      </c>
      <c r="D83" s="1" t="s">
        <v>126</v>
      </c>
      <c r="E83" s="1" t="s">
        <v>127</v>
      </c>
      <c r="F83" s="21" t="s">
        <v>127</v>
      </c>
      <c r="G83" s="1" t="s">
        <v>102</v>
      </c>
      <c r="H83" s="1">
        <v>50</v>
      </c>
      <c r="I83" s="1" t="s">
        <v>1886</v>
      </c>
      <c r="J83" s="1">
        <v>0.1</v>
      </c>
      <c r="K83" s="1">
        <v>0.1</v>
      </c>
      <c r="L83" s="23">
        <v>37</v>
      </c>
      <c r="M83" s="23"/>
      <c r="N83" s="24" t="s">
        <v>128</v>
      </c>
      <c r="O83" s="25"/>
      <c r="P83" s="25">
        <v>6000</v>
      </c>
      <c r="Q83" s="25">
        <v>120</v>
      </c>
      <c r="R83" s="25"/>
      <c r="S83" s="27"/>
      <c r="T83" s="25">
        <v>240</v>
      </c>
      <c r="U83" s="25"/>
      <c r="V83" s="28"/>
      <c r="W83" s="25"/>
      <c r="X83" s="29">
        <v>10</v>
      </c>
      <c r="Y83" s="1" t="s">
        <v>50</v>
      </c>
      <c r="Z83" s="1"/>
      <c r="AA83" s="1"/>
    </row>
    <row r="84" spans="1:27" ht="23.1" customHeight="1" x14ac:dyDescent="0.25">
      <c r="A84" s="20" t="s">
        <v>188</v>
      </c>
      <c r="B84" s="1" t="s">
        <v>137</v>
      </c>
      <c r="C84" s="3">
        <v>69</v>
      </c>
      <c r="D84" s="1" t="s">
        <v>266</v>
      </c>
      <c r="E84" s="1" t="s">
        <v>267</v>
      </c>
      <c r="F84" s="21" t="s">
        <v>267</v>
      </c>
      <c r="G84" s="3" t="s">
        <v>118</v>
      </c>
      <c r="H84" s="1">
        <v>50</v>
      </c>
      <c r="I84" s="1" t="s">
        <v>1909</v>
      </c>
      <c r="J84" s="1">
        <v>1</v>
      </c>
      <c r="K84" s="1"/>
      <c r="L84" s="23"/>
      <c r="M84" s="23">
        <v>37</v>
      </c>
      <c r="N84" s="24" t="s">
        <v>108</v>
      </c>
      <c r="O84" s="25"/>
      <c r="P84" s="25">
        <v>240</v>
      </c>
      <c r="Q84" s="25">
        <v>90</v>
      </c>
      <c r="R84" s="25"/>
      <c r="S84" s="27"/>
      <c r="T84" s="25">
        <v>180</v>
      </c>
      <c r="U84" s="25"/>
      <c r="V84" s="28"/>
      <c r="W84" s="25">
        <v>4</v>
      </c>
      <c r="X84" s="29">
        <v>4</v>
      </c>
      <c r="Y84" s="1" t="s">
        <v>50</v>
      </c>
      <c r="Z84" s="1" t="s">
        <v>268</v>
      </c>
      <c r="AA84" s="1"/>
    </row>
    <row r="85" spans="1:27" ht="23.1" customHeight="1" x14ac:dyDescent="0.25">
      <c r="A85" s="20" t="s">
        <v>188</v>
      </c>
      <c r="B85" s="1" t="s">
        <v>137</v>
      </c>
      <c r="C85" s="3">
        <v>84</v>
      </c>
      <c r="D85" s="1" t="s">
        <v>162</v>
      </c>
      <c r="E85" s="1" t="s">
        <v>163</v>
      </c>
      <c r="F85" s="21" t="s">
        <v>163</v>
      </c>
      <c r="G85" s="1" t="s">
        <v>123</v>
      </c>
      <c r="H85" s="1">
        <v>30</v>
      </c>
      <c r="I85" s="1" t="s">
        <v>1910</v>
      </c>
      <c r="J85" s="1">
        <v>2.5</v>
      </c>
      <c r="K85" s="1">
        <v>2</v>
      </c>
      <c r="L85" s="23">
        <v>26</v>
      </c>
      <c r="M85" s="23">
        <v>23</v>
      </c>
      <c r="N85" s="24" t="s">
        <v>164</v>
      </c>
      <c r="O85" s="25"/>
      <c r="P85" s="25">
        <v>120</v>
      </c>
      <c r="Q85" s="25"/>
      <c r="R85" s="25"/>
      <c r="S85" s="27">
        <v>2</v>
      </c>
      <c r="T85" s="25">
        <v>90</v>
      </c>
      <c r="U85" s="25"/>
      <c r="V85" s="28"/>
      <c r="W85" s="25"/>
      <c r="X85" s="29">
        <v>4</v>
      </c>
      <c r="Y85" s="1" t="s">
        <v>50</v>
      </c>
      <c r="Z85" s="1" t="s">
        <v>147</v>
      </c>
      <c r="AA85" s="1"/>
    </row>
    <row r="86" spans="1:27" ht="23.1" customHeight="1" x14ac:dyDescent="0.25">
      <c r="A86" s="20" t="s">
        <v>188</v>
      </c>
      <c r="B86" s="1" t="s">
        <v>137</v>
      </c>
      <c r="C86" s="3">
        <v>119</v>
      </c>
      <c r="D86" s="1" t="s">
        <v>157</v>
      </c>
      <c r="E86" s="1" t="s">
        <v>158</v>
      </c>
      <c r="F86" s="21" t="s">
        <v>158</v>
      </c>
      <c r="G86" s="1" t="s">
        <v>154</v>
      </c>
      <c r="H86" s="1">
        <v>20</v>
      </c>
      <c r="I86" s="1" t="s">
        <v>1883</v>
      </c>
      <c r="J86" s="1">
        <v>1</v>
      </c>
      <c r="K86" s="1">
        <v>1</v>
      </c>
      <c r="L86" s="23"/>
      <c r="M86" s="23">
        <v>26</v>
      </c>
      <c r="N86" s="24" t="s">
        <v>159</v>
      </c>
      <c r="O86" s="25"/>
      <c r="P86" s="25">
        <v>420</v>
      </c>
      <c r="Q86" s="25">
        <v>60</v>
      </c>
      <c r="R86" s="25"/>
      <c r="S86" s="27">
        <v>1</v>
      </c>
      <c r="T86" s="25">
        <v>120</v>
      </c>
      <c r="U86" s="25"/>
      <c r="V86" s="28">
        <v>1</v>
      </c>
      <c r="W86" s="25"/>
      <c r="X86" s="29">
        <v>10</v>
      </c>
      <c r="Y86" s="1" t="s">
        <v>50</v>
      </c>
      <c r="Z86" s="1" t="s">
        <v>269</v>
      </c>
      <c r="AA86" s="1"/>
    </row>
    <row r="87" spans="1:27" ht="23.1" customHeight="1" x14ac:dyDescent="0.25">
      <c r="A87" s="20" t="s">
        <v>188</v>
      </c>
      <c r="B87" s="1" t="s">
        <v>137</v>
      </c>
      <c r="C87" s="3">
        <v>119</v>
      </c>
      <c r="D87" s="1" t="s">
        <v>129</v>
      </c>
      <c r="E87" s="1" t="s">
        <v>130</v>
      </c>
      <c r="F87" s="21" t="s">
        <v>2546</v>
      </c>
      <c r="G87" s="1" t="s">
        <v>102</v>
      </c>
      <c r="H87" s="1"/>
      <c r="I87" s="1"/>
      <c r="J87" s="1"/>
      <c r="K87" s="1">
        <v>1</v>
      </c>
      <c r="L87" s="23"/>
      <c r="M87" s="23"/>
      <c r="N87" s="24" t="s">
        <v>131</v>
      </c>
      <c r="O87" s="25">
        <v>360</v>
      </c>
      <c r="P87" s="25"/>
      <c r="Q87" s="25"/>
      <c r="R87" s="25"/>
      <c r="S87" s="27"/>
      <c r="T87" s="25"/>
      <c r="U87" s="25"/>
      <c r="V87" s="28"/>
      <c r="W87" s="25">
        <v>6</v>
      </c>
      <c r="X87" s="29">
        <v>6</v>
      </c>
      <c r="Y87" s="1" t="s">
        <v>50</v>
      </c>
      <c r="Z87" s="1" t="s">
        <v>270</v>
      </c>
      <c r="AA87" s="1"/>
    </row>
    <row r="88" spans="1:27" ht="23.1" customHeight="1" x14ac:dyDescent="0.25">
      <c r="A88" s="20" t="s">
        <v>188</v>
      </c>
      <c r="B88" s="1" t="s">
        <v>137</v>
      </c>
      <c r="C88" s="3">
        <v>17</v>
      </c>
      <c r="D88" s="1" t="s">
        <v>1845</v>
      </c>
      <c r="E88" s="1" t="s">
        <v>272</v>
      </c>
      <c r="F88" s="21" t="s">
        <v>310</v>
      </c>
      <c r="G88" s="1" t="s">
        <v>1846</v>
      </c>
      <c r="H88" s="1">
        <v>40</v>
      </c>
      <c r="I88" s="1" t="s">
        <v>1911</v>
      </c>
      <c r="J88" s="1">
        <v>8</v>
      </c>
      <c r="K88" s="1">
        <v>9</v>
      </c>
      <c r="L88" s="23">
        <v>26</v>
      </c>
      <c r="M88" s="23">
        <v>5</v>
      </c>
      <c r="N88" s="24" t="s">
        <v>186</v>
      </c>
      <c r="O88" s="25"/>
      <c r="P88" s="25">
        <v>30</v>
      </c>
      <c r="Q88" s="25">
        <v>60</v>
      </c>
      <c r="R88" s="25"/>
      <c r="S88" s="27">
        <v>9</v>
      </c>
      <c r="T88" s="25">
        <v>60</v>
      </c>
      <c r="U88" s="25"/>
      <c r="V88" s="28"/>
      <c r="W88" s="25"/>
      <c r="X88" s="29">
        <v>13.5</v>
      </c>
      <c r="Y88" s="1" t="s">
        <v>14</v>
      </c>
      <c r="Z88" s="1"/>
      <c r="AA88" s="1"/>
    </row>
    <row r="89" spans="1:27" ht="23.1" customHeight="1" x14ac:dyDescent="0.25">
      <c r="A89" s="20" t="s">
        <v>188</v>
      </c>
      <c r="B89" s="1" t="s">
        <v>137</v>
      </c>
      <c r="C89" s="3">
        <v>10</v>
      </c>
      <c r="D89" s="1" t="s">
        <v>232</v>
      </c>
      <c r="E89" s="1" t="s">
        <v>233</v>
      </c>
      <c r="F89" s="21" t="s">
        <v>233</v>
      </c>
      <c r="G89" s="1" t="s">
        <v>102</v>
      </c>
      <c r="H89" s="1">
        <v>70</v>
      </c>
      <c r="I89" s="1" t="s">
        <v>1851</v>
      </c>
      <c r="J89" s="1">
        <v>0.4</v>
      </c>
      <c r="K89" s="1">
        <v>0.5</v>
      </c>
      <c r="L89" s="23">
        <v>23</v>
      </c>
      <c r="M89" s="23"/>
      <c r="N89" s="24" t="s">
        <v>234</v>
      </c>
      <c r="O89" s="25"/>
      <c r="P89" s="25">
        <v>1320</v>
      </c>
      <c r="Q89" s="25"/>
      <c r="R89" s="25"/>
      <c r="S89" s="27"/>
      <c r="T89" s="25">
        <v>120</v>
      </c>
      <c r="U89" s="25"/>
      <c r="V89" s="28"/>
      <c r="W89" s="25"/>
      <c r="X89" s="29">
        <v>11</v>
      </c>
      <c r="Y89" s="1" t="s">
        <v>23</v>
      </c>
      <c r="Z89" s="1"/>
      <c r="AA89" s="1"/>
    </row>
    <row r="90" spans="1:27" ht="23.1" customHeight="1" x14ac:dyDescent="0.25">
      <c r="A90" s="20" t="s">
        <v>188</v>
      </c>
      <c r="B90" s="1" t="s">
        <v>137</v>
      </c>
      <c r="C90" s="3">
        <v>58</v>
      </c>
      <c r="D90" s="1" t="s">
        <v>214</v>
      </c>
      <c r="E90" s="1" t="s">
        <v>215</v>
      </c>
      <c r="F90" s="21" t="s">
        <v>215</v>
      </c>
      <c r="G90" s="1" t="s">
        <v>118</v>
      </c>
      <c r="H90" s="1">
        <v>25</v>
      </c>
      <c r="I90" s="1" t="s">
        <v>1894</v>
      </c>
      <c r="J90" s="1">
        <v>5</v>
      </c>
      <c r="K90" s="1">
        <v>5</v>
      </c>
      <c r="L90" s="23">
        <v>37</v>
      </c>
      <c r="M90" s="23">
        <v>37</v>
      </c>
      <c r="N90" s="24" t="s">
        <v>216</v>
      </c>
      <c r="O90" s="25"/>
      <c r="P90" s="25">
        <v>170</v>
      </c>
      <c r="Q90" s="25"/>
      <c r="R90" s="25"/>
      <c r="S90" s="27"/>
      <c r="T90" s="25">
        <v>60</v>
      </c>
      <c r="U90" s="25"/>
      <c r="V90" s="28"/>
      <c r="W90" s="25"/>
      <c r="X90" s="29">
        <v>14.2</v>
      </c>
      <c r="Y90" s="1" t="s">
        <v>57</v>
      </c>
      <c r="Z90" s="1"/>
      <c r="AA90" s="1"/>
    </row>
    <row r="91" spans="1:27" ht="23.1" customHeight="1" x14ac:dyDescent="0.25">
      <c r="A91" s="20" t="s">
        <v>188</v>
      </c>
      <c r="B91" s="1" t="s">
        <v>99</v>
      </c>
      <c r="C91" s="3">
        <v>12</v>
      </c>
      <c r="D91" s="1" t="s">
        <v>248</v>
      </c>
      <c r="E91" s="1" t="s">
        <v>249</v>
      </c>
      <c r="F91" s="21" t="s">
        <v>249</v>
      </c>
      <c r="G91" s="1" t="s">
        <v>250</v>
      </c>
      <c r="H91" s="1">
        <v>23</v>
      </c>
      <c r="I91" s="1"/>
      <c r="J91" s="1"/>
      <c r="K91" s="1">
        <v>4</v>
      </c>
      <c r="L91" s="23">
        <v>28</v>
      </c>
      <c r="M91" s="23">
        <v>28</v>
      </c>
      <c r="N91" s="24" t="s">
        <v>252</v>
      </c>
      <c r="O91" s="25">
        <v>15</v>
      </c>
      <c r="P91" s="25"/>
      <c r="Q91" s="25"/>
      <c r="R91" s="25">
        <v>60</v>
      </c>
      <c r="S91" s="27"/>
      <c r="T91" s="25"/>
      <c r="U91" s="25"/>
      <c r="V91" s="28"/>
      <c r="W91" s="25"/>
      <c r="X91" s="32">
        <v>1</v>
      </c>
      <c r="Y91" s="1" t="s">
        <v>72</v>
      </c>
      <c r="Z91" s="1" t="s">
        <v>253</v>
      </c>
      <c r="AA91" s="30"/>
    </row>
    <row r="92" spans="1:27" ht="23.1" customHeight="1" x14ac:dyDescent="0.25">
      <c r="A92" s="20" t="s">
        <v>188</v>
      </c>
      <c r="B92" s="1" t="s">
        <v>137</v>
      </c>
      <c r="C92" s="3">
        <v>59</v>
      </c>
      <c r="D92" s="1" t="s">
        <v>138</v>
      </c>
      <c r="E92" s="1" t="s">
        <v>139</v>
      </c>
      <c r="F92" s="21" t="s">
        <v>139</v>
      </c>
      <c r="G92" s="1" t="s">
        <v>102</v>
      </c>
      <c r="H92" s="1">
        <v>15</v>
      </c>
      <c r="I92" s="1" t="s">
        <v>1852</v>
      </c>
      <c r="J92" s="1">
        <v>1</v>
      </c>
      <c r="K92" s="1">
        <v>0.7</v>
      </c>
      <c r="L92" s="23">
        <v>26</v>
      </c>
      <c r="M92" s="23">
        <v>5</v>
      </c>
      <c r="N92" s="24" t="s">
        <v>140</v>
      </c>
      <c r="O92" s="25"/>
      <c r="P92" s="25">
        <v>20</v>
      </c>
      <c r="Q92" s="25"/>
      <c r="R92" s="25"/>
      <c r="S92" s="27"/>
      <c r="T92" s="25">
        <v>60</v>
      </c>
      <c r="U92" s="25"/>
      <c r="V92" s="28">
        <v>1</v>
      </c>
      <c r="W92" s="25"/>
      <c r="X92" s="29">
        <v>1.2</v>
      </c>
      <c r="Y92" s="1" t="s">
        <v>6</v>
      </c>
      <c r="Z92" s="1"/>
      <c r="AA92" s="1"/>
    </row>
    <row r="93" spans="1:27" ht="23.1" customHeight="1" x14ac:dyDescent="0.25">
      <c r="A93" s="20" t="s">
        <v>188</v>
      </c>
      <c r="B93" s="1" t="s">
        <v>113</v>
      </c>
      <c r="C93" s="3">
        <v>22</v>
      </c>
      <c r="D93" s="1" t="s">
        <v>111</v>
      </c>
      <c r="E93" s="1" t="s">
        <v>101</v>
      </c>
      <c r="F93" s="21" t="s">
        <v>101</v>
      </c>
      <c r="G93" s="1" t="s">
        <v>102</v>
      </c>
      <c r="H93" s="1">
        <v>30</v>
      </c>
      <c r="I93" s="1" t="s">
        <v>1873</v>
      </c>
      <c r="J93" s="1">
        <v>0.15</v>
      </c>
      <c r="K93" s="1">
        <v>0.15</v>
      </c>
      <c r="L93" s="23"/>
      <c r="M93" s="23">
        <v>26</v>
      </c>
      <c r="N93" s="24" t="s">
        <v>195</v>
      </c>
      <c r="O93" s="25"/>
      <c r="P93" s="25">
        <v>6000</v>
      </c>
      <c r="Q93" s="25">
        <v>180</v>
      </c>
      <c r="R93" s="25"/>
      <c r="S93" s="27"/>
      <c r="T93" s="25">
        <v>180</v>
      </c>
      <c r="U93" s="31"/>
      <c r="V93" s="28"/>
      <c r="W93" s="25"/>
      <c r="X93" s="29">
        <v>15</v>
      </c>
      <c r="Y93" s="1" t="s">
        <v>49</v>
      </c>
      <c r="Z93" s="1"/>
      <c r="AA93" s="1"/>
    </row>
    <row r="94" spans="1:27" ht="23.1" customHeight="1" x14ac:dyDescent="0.25">
      <c r="A94" s="20" t="s">
        <v>188</v>
      </c>
      <c r="B94" s="1" t="s">
        <v>113</v>
      </c>
      <c r="C94" s="3">
        <v>56</v>
      </c>
      <c r="D94" s="1" t="s">
        <v>273</v>
      </c>
      <c r="E94" s="1" t="s">
        <v>274</v>
      </c>
      <c r="F94" s="21" t="s">
        <v>274</v>
      </c>
      <c r="G94" s="1" t="s">
        <v>123</v>
      </c>
      <c r="H94" s="1">
        <v>25</v>
      </c>
      <c r="I94" s="1" t="s">
        <v>1981</v>
      </c>
      <c r="J94" s="1">
        <v>9</v>
      </c>
      <c r="K94" s="1">
        <v>8</v>
      </c>
      <c r="L94" s="23">
        <v>31</v>
      </c>
      <c r="M94" s="23">
        <v>26</v>
      </c>
      <c r="N94" s="24" t="s">
        <v>275</v>
      </c>
      <c r="O94" s="25"/>
      <c r="P94" s="25">
        <v>45</v>
      </c>
      <c r="Q94" s="25"/>
      <c r="R94" s="25"/>
      <c r="S94" s="27"/>
      <c r="T94" s="25">
        <v>60</v>
      </c>
      <c r="U94" s="25"/>
      <c r="V94" s="28"/>
      <c r="W94" s="25"/>
      <c r="X94" s="29">
        <v>6</v>
      </c>
      <c r="Y94" s="1" t="s">
        <v>44</v>
      </c>
      <c r="Z94" s="1"/>
      <c r="AA94" s="1"/>
    </row>
    <row r="95" spans="1:27" ht="23.1" customHeight="1" x14ac:dyDescent="0.25">
      <c r="A95" s="20" t="s">
        <v>188</v>
      </c>
      <c r="B95" s="1" t="s">
        <v>113</v>
      </c>
      <c r="C95" s="3">
        <v>14</v>
      </c>
      <c r="D95" s="1" t="s">
        <v>276</v>
      </c>
      <c r="E95" s="1" t="s">
        <v>277</v>
      </c>
      <c r="F95" s="21" t="s">
        <v>277</v>
      </c>
      <c r="G95" s="1" t="s">
        <v>154</v>
      </c>
      <c r="H95" s="1">
        <v>50</v>
      </c>
      <c r="I95" s="1" t="s">
        <v>1899</v>
      </c>
      <c r="J95" s="1">
        <v>0.5</v>
      </c>
      <c r="K95" s="1">
        <v>0.4</v>
      </c>
      <c r="L95" s="23"/>
      <c r="M95" s="23">
        <v>28</v>
      </c>
      <c r="N95" s="24" t="s">
        <v>159</v>
      </c>
      <c r="O95" s="25"/>
      <c r="P95" s="25">
        <v>2640</v>
      </c>
      <c r="Q95" s="25"/>
      <c r="R95" s="25"/>
      <c r="S95" s="27"/>
      <c r="T95" s="25">
        <v>90</v>
      </c>
      <c r="U95" s="25"/>
      <c r="V95" s="28"/>
      <c r="W95" s="25"/>
      <c r="X95" s="29">
        <v>17.600000000000001</v>
      </c>
      <c r="Y95" s="1" t="s">
        <v>60</v>
      </c>
      <c r="Z95" s="1"/>
      <c r="AA95" s="1"/>
    </row>
    <row r="96" spans="1:27" ht="23.1" customHeight="1" x14ac:dyDescent="0.25">
      <c r="A96" s="20" t="s">
        <v>188</v>
      </c>
      <c r="B96" s="1" t="s">
        <v>137</v>
      </c>
      <c r="C96" s="3">
        <v>59</v>
      </c>
      <c r="D96" s="1" t="s">
        <v>138</v>
      </c>
      <c r="E96" s="1" t="s">
        <v>139</v>
      </c>
      <c r="F96" s="21" t="s">
        <v>139</v>
      </c>
      <c r="G96" s="1" t="s">
        <v>102</v>
      </c>
      <c r="H96" s="1">
        <v>20</v>
      </c>
      <c r="I96" s="1" t="s">
        <v>1880</v>
      </c>
      <c r="J96" s="1">
        <v>1</v>
      </c>
      <c r="K96" s="1">
        <v>1</v>
      </c>
      <c r="L96" s="23">
        <v>26</v>
      </c>
      <c r="M96" s="23">
        <v>5</v>
      </c>
      <c r="N96" s="24" t="s">
        <v>140</v>
      </c>
      <c r="O96" s="25"/>
      <c r="P96" s="25">
        <v>60</v>
      </c>
      <c r="Q96" s="25"/>
      <c r="R96" s="25"/>
      <c r="S96" s="27"/>
      <c r="T96" s="25">
        <v>120</v>
      </c>
      <c r="U96" s="25"/>
      <c r="V96" s="28">
        <v>1</v>
      </c>
      <c r="W96" s="25"/>
      <c r="X96" s="29">
        <v>3</v>
      </c>
      <c r="Y96" s="1" t="s">
        <v>6</v>
      </c>
      <c r="Z96" s="1"/>
      <c r="AA96" s="1"/>
    </row>
    <row r="97" spans="1:27" ht="23.1" customHeight="1" x14ac:dyDescent="0.25">
      <c r="A97" s="20" t="s">
        <v>188</v>
      </c>
      <c r="B97" s="1" t="s">
        <v>137</v>
      </c>
      <c r="C97" s="3">
        <v>59</v>
      </c>
      <c r="D97" s="1" t="s">
        <v>138</v>
      </c>
      <c r="E97" s="1" t="s">
        <v>139</v>
      </c>
      <c r="F97" s="21" t="s">
        <v>139</v>
      </c>
      <c r="G97" s="1" t="s">
        <v>102</v>
      </c>
      <c r="H97" s="1">
        <v>10</v>
      </c>
      <c r="I97" s="1" t="s">
        <v>1897</v>
      </c>
      <c r="J97" s="1">
        <v>1</v>
      </c>
      <c r="K97" s="1">
        <v>1</v>
      </c>
      <c r="L97" s="23">
        <v>26</v>
      </c>
      <c r="M97" s="23">
        <v>5</v>
      </c>
      <c r="N97" s="24" t="s">
        <v>140</v>
      </c>
      <c r="O97" s="25"/>
      <c r="P97" s="25">
        <v>60</v>
      </c>
      <c r="Q97" s="25"/>
      <c r="R97" s="25"/>
      <c r="S97" s="27"/>
      <c r="T97" s="25">
        <v>60</v>
      </c>
      <c r="U97" s="25"/>
      <c r="V97" s="28">
        <v>1</v>
      </c>
      <c r="W97" s="25"/>
      <c r="X97" s="29">
        <v>2</v>
      </c>
      <c r="Y97" s="1" t="s">
        <v>6</v>
      </c>
      <c r="Z97" s="1"/>
      <c r="AA97" s="1"/>
    </row>
    <row r="98" spans="1:27" ht="23.1" customHeight="1" x14ac:dyDescent="0.25">
      <c r="A98" s="20" t="s">
        <v>188</v>
      </c>
      <c r="B98" s="1" t="s">
        <v>137</v>
      </c>
      <c r="C98" s="3">
        <v>59</v>
      </c>
      <c r="D98" s="1" t="s">
        <v>138</v>
      </c>
      <c r="E98" s="1" t="s">
        <v>139</v>
      </c>
      <c r="F98" s="21" t="s">
        <v>139</v>
      </c>
      <c r="G98" s="1" t="s">
        <v>102</v>
      </c>
      <c r="H98" s="1">
        <v>25</v>
      </c>
      <c r="I98" s="1" t="s">
        <v>1850</v>
      </c>
      <c r="J98" s="1">
        <v>1</v>
      </c>
      <c r="K98" s="1">
        <v>1</v>
      </c>
      <c r="L98" s="23">
        <v>26</v>
      </c>
      <c r="M98" s="23">
        <v>5</v>
      </c>
      <c r="N98" s="24" t="s">
        <v>140</v>
      </c>
      <c r="O98" s="25"/>
      <c r="P98" s="25">
        <v>30</v>
      </c>
      <c r="Q98" s="25"/>
      <c r="R98" s="25"/>
      <c r="S98" s="27"/>
      <c r="T98" s="25">
        <v>60</v>
      </c>
      <c r="U98" s="25"/>
      <c r="V98" s="28">
        <v>1</v>
      </c>
      <c r="W98" s="25"/>
      <c r="X98" s="29">
        <v>1.5</v>
      </c>
      <c r="Y98" s="1" t="s">
        <v>6</v>
      </c>
      <c r="Z98" s="1"/>
      <c r="AA98" s="1"/>
    </row>
    <row r="99" spans="1:27" ht="23.1" customHeight="1" x14ac:dyDescent="0.25">
      <c r="A99" s="20" t="s">
        <v>188</v>
      </c>
      <c r="B99" s="1" t="s">
        <v>113</v>
      </c>
      <c r="C99" s="3">
        <v>59</v>
      </c>
      <c r="D99" s="1" t="s">
        <v>138</v>
      </c>
      <c r="E99" s="1" t="s">
        <v>139</v>
      </c>
      <c r="F99" s="21" t="s">
        <v>139</v>
      </c>
      <c r="G99" s="1" t="s">
        <v>102</v>
      </c>
      <c r="H99" s="1">
        <v>30</v>
      </c>
      <c r="I99" s="1" t="s">
        <v>1912</v>
      </c>
      <c r="J99" s="1">
        <v>1</v>
      </c>
      <c r="K99" s="1">
        <v>1</v>
      </c>
      <c r="L99" s="23">
        <v>5</v>
      </c>
      <c r="M99" s="23">
        <v>5</v>
      </c>
      <c r="N99" s="24" t="s">
        <v>140</v>
      </c>
      <c r="O99" s="25"/>
      <c r="P99" s="25">
        <v>70</v>
      </c>
      <c r="Q99" s="25"/>
      <c r="R99" s="25"/>
      <c r="S99" s="27"/>
      <c r="T99" s="25">
        <v>120</v>
      </c>
      <c r="U99" s="25"/>
      <c r="V99" s="28">
        <v>1</v>
      </c>
      <c r="W99" s="25"/>
      <c r="X99" s="29">
        <v>3.2</v>
      </c>
      <c r="Y99" s="64" t="s">
        <v>1847</v>
      </c>
      <c r="Z99" s="1" t="s">
        <v>278</v>
      </c>
      <c r="AA99" s="1"/>
    </row>
    <row r="100" spans="1:27" ht="23.1" customHeight="1" x14ac:dyDescent="0.25">
      <c r="A100" s="20" t="s">
        <v>188</v>
      </c>
      <c r="B100" s="1" t="s">
        <v>113</v>
      </c>
      <c r="C100" s="3">
        <v>59</v>
      </c>
      <c r="D100" s="1" t="s">
        <v>138</v>
      </c>
      <c r="E100" s="1" t="s">
        <v>139</v>
      </c>
      <c r="F100" s="21" t="s">
        <v>139</v>
      </c>
      <c r="G100" s="1" t="s">
        <v>102</v>
      </c>
      <c r="H100" s="1">
        <v>40</v>
      </c>
      <c r="I100" s="1" t="s">
        <v>1913</v>
      </c>
      <c r="J100" s="1">
        <v>2</v>
      </c>
      <c r="K100" s="1">
        <v>1</v>
      </c>
      <c r="L100" s="23">
        <v>9</v>
      </c>
      <c r="M100" s="23">
        <v>9</v>
      </c>
      <c r="N100" s="24" t="s">
        <v>140</v>
      </c>
      <c r="O100" s="25"/>
      <c r="P100" s="25">
        <v>90</v>
      </c>
      <c r="Q100" s="25"/>
      <c r="R100" s="25"/>
      <c r="S100" s="27"/>
      <c r="T100" s="25">
        <v>120</v>
      </c>
      <c r="U100" s="25"/>
      <c r="V100" s="28"/>
      <c r="W100" s="25"/>
      <c r="X100" s="29">
        <v>1.5</v>
      </c>
      <c r="Y100" s="64" t="s">
        <v>1847</v>
      </c>
      <c r="Z100" s="1" t="s">
        <v>279</v>
      </c>
      <c r="AA100" s="30"/>
    </row>
    <row r="101" spans="1:27" ht="23.1" customHeight="1" x14ac:dyDescent="0.25">
      <c r="A101" s="20" t="s">
        <v>188</v>
      </c>
      <c r="B101" s="1" t="s">
        <v>113</v>
      </c>
      <c r="C101" s="3">
        <v>15</v>
      </c>
      <c r="D101" s="1" t="s">
        <v>217</v>
      </c>
      <c r="E101" s="1" t="s">
        <v>218</v>
      </c>
      <c r="F101" s="21" t="s">
        <v>218</v>
      </c>
      <c r="G101" s="1" t="s">
        <v>107</v>
      </c>
      <c r="H101" s="1">
        <v>25</v>
      </c>
      <c r="I101" s="1" t="s">
        <v>1914</v>
      </c>
      <c r="J101" s="1">
        <v>1</v>
      </c>
      <c r="K101" s="1">
        <v>1</v>
      </c>
      <c r="L101" s="23"/>
      <c r="M101" s="23">
        <v>37</v>
      </c>
      <c r="N101" s="24" t="s">
        <v>221</v>
      </c>
      <c r="O101" s="25"/>
      <c r="P101" s="25">
        <v>210</v>
      </c>
      <c r="Q101" s="25"/>
      <c r="R101" s="25"/>
      <c r="S101" s="27"/>
      <c r="T101" s="25">
        <v>60</v>
      </c>
      <c r="U101" s="25"/>
      <c r="V101" s="28">
        <v>1</v>
      </c>
      <c r="W101" s="25"/>
      <c r="X101" s="29">
        <v>4.5</v>
      </c>
      <c r="Y101" s="1" t="s">
        <v>60</v>
      </c>
      <c r="Z101" s="1" t="s">
        <v>92</v>
      </c>
      <c r="AA101" s="1"/>
    </row>
    <row r="102" spans="1:27" ht="23.1" customHeight="1" x14ac:dyDescent="0.25">
      <c r="A102" s="20" t="s">
        <v>188</v>
      </c>
      <c r="B102" s="1" t="s">
        <v>113</v>
      </c>
      <c r="C102" s="3">
        <v>15</v>
      </c>
      <c r="D102" s="1" t="s">
        <v>217</v>
      </c>
      <c r="E102" s="1" t="s">
        <v>218</v>
      </c>
      <c r="F102" s="21" t="s">
        <v>218</v>
      </c>
      <c r="G102" s="1" t="s">
        <v>107</v>
      </c>
      <c r="H102" s="1">
        <v>40</v>
      </c>
      <c r="I102" s="1" t="s">
        <v>2427</v>
      </c>
      <c r="J102" s="1">
        <v>4</v>
      </c>
      <c r="K102" s="1">
        <v>6</v>
      </c>
      <c r="L102" s="23">
        <v>5</v>
      </c>
      <c r="M102" s="23">
        <v>5</v>
      </c>
      <c r="N102" s="24" t="s">
        <v>219</v>
      </c>
      <c r="O102" s="25"/>
      <c r="P102" s="25">
        <v>150</v>
      </c>
      <c r="Q102" s="25"/>
      <c r="R102" s="25"/>
      <c r="S102" s="27"/>
      <c r="T102" s="25">
        <v>90</v>
      </c>
      <c r="U102" s="25"/>
      <c r="V102" s="28">
        <v>1</v>
      </c>
      <c r="W102" s="25"/>
      <c r="X102" s="29">
        <v>16.5</v>
      </c>
      <c r="Y102" s="1" t="s">
        <v>60</v>
      </c>
      <c r="Z102" s="1" t="s">
        <v>92</v>
      </c>
      <c r="AA102" s="1"/>
    </row>
    <row r="103" spans="1:27" ht="23.1" customHeight="1" x14ac:dyDescent="0.25">
      <c r="A103" s="20" t="s">
        <v>188</v>
      </c>
      <c r="B103" s="1" t="s">
        <v>113</v>
      </c>
      <c r="C103" s="3">
        <v>76</v>
      </c>
      <c r="D103" s="1" t="s">
        <v>242</v>
      </c>
      <c r="E103" s="1" t="s">
        <v>243</v>
      </c>
      <c r="F103" s="21" t="s">
        <v>243</v>
      </c>
      <c r="G103" s="1" t="s">
        <v>123</v>
      </c>
      <c r="H103" s="1">
        <v>30</v>
      </c>
      <c r="I103" s="1" t="s">
        <v>1901</v>
      </c>
      <c r="J103" s="1">
        <v>10</v>
      </c>
      <c r="K103" s="1">
        <v>10</v>
      </c>
      <c r="L103" s="23">
        <v>26</v>
      </c>
      <c r="M103" s="23">
        <v>26</v>
      </c>
      <c r="N103" s="24" t="s">
        <v>131</v>
      </c>
      <c r="O103" s="25"/>
      <c r="P103" s="25">
        <v>30</v>
      </c>
      <c r="Q103" s="25"/>
      <c r="R103" s="25"/>
      <c r="S103" s="27"/>
      <c r="T103" s="25">
        <v>60</v>
      </c>
      <c r="U103" s="25"/>
      <c r="V103" s="28"/>
      <c r="W103" s="25"/>
      <c r="X103" s="29">
        <v>5</v>
      </c>
      <c r="Y103" s="1" t="s">
        <v>12</v>
      </c>
      <c r="Z103" s="1"/>
      <c r="AA103" s="1"/>
    </row>
    <row r="104" spans="1:27" ht="23.1" customHeight="1" x14ac:dyDescent="0.25">
      <c r="A104" s="20" t="s">
        <v>188</v>
      </c>
      <c r="B104" s="1" t="s">
        <v>113</v>
      </c>
      <c r="C104" s="3">
        <v>76</v>
      </c>
      <c r="D104" s="1" t="s">
        <v>280</v>
      </c>
      <c r="E104" s="1" t="s">
        <v>281</v>
      </c>
      <c r="F104" s="21" t="s">
        <v>281</v>
      </c>
      <c r="G104" s="1" t="s">
        <v>154</v>
      </c>
      <c r="H104" s="1">
        <v>10</v>
      </c>
      <c r="I104" s="1" t="s">
        <v>1916</v>
      </c>
      <c r="J104" s="1">
        <v>24</v>
      </c>
      <c r="K104" s="1">
        <v>24</v>
      </c>
      <c r="L104" s="23">
        <v>5</v>
      </c>
      <c r="M104" s="23">
        <v>5</v>
      </c>
      <c r="N104" s="24" t="s">
        <v>282</v>
      </c>
      <c r="O104" s="25"/>
      <c r="P104" s="25">
        <v>30</v>
      </c>
      <c r="Q104" s="25"/>
      <c r="R104" s="25"/>
      <c r="S104" s="27"/>
      <c r="T104" s="25">
        <v>60</v>
      </c>
      <c r="U104" s="25"/>
      <c r="V104" s="28">
        <v>1</v>
      </c>
      <c r="W104" s="25"/>
      <c r="X104" s="29">
        <v>13</v>
      </c>
      <c r="Y104" s="1" t="s">
        <v>12</v>
      </c>
      <c r="Z104" s="1" t="s">
        <v>283</v>
      </c>
      <c r="AA104" s="1"/>
    </row>
    <row r="105" spans="1:27" ht="23.1" customHeight="1" x14ac:dyDescent="0.25">
      <c r="A105" s="20" t="s">
        <v>188</v>
      </c>
      <c r="B105" s="1" t="s">
        <v>113</v>
      </c>
      <c r="C105" s="3">
        <v>47</v>
      </c>
      <c r="D105" s="1" t="s">
        <v>258</v>
      </c>
      <c r="E105" s="1" t="s">
        <v>284</v>
      </c>
      <c r="F105" s="21" t="s">
        <v>284</v>
      </c>
      <c r="G105" s="1" t="s">
        <v>154</v>
      </c>
      <c r="H105" s="1">
        <v>50</v>
      </c>
      <c r="I105" s="1" t="s">
        <v>1907</v>
      </c>
      <c r="J105" s="1">
        <v>0.7</v>
      </c>
      <c r="K105" s="1">
        <v>0.7</v>
      </c>
      <c r="L105" s="23"/>
      <c r="M105" s="23">
        <v>28</v>
      </c>
      <c r="N105" s="24" t="s">
        <v>285</v>
      </c>
      <c r="O105" s="25"/>
      <c r="P105" s="25">
        <v>630</v>
      </c>
      <c r="Q105" s="25">
        <v>120</v>
      </c>
      <c r="R105" s="25"/>
      <c r="S105" s="27">
        <v>1</v>
      </c>
      <c r="T105" s="25">
        <v>90</v>
      </c>
      <c r="U105" s="25"/>
      <c r="V105" s="28">
        <v>1</v>
      </c>
      <c r="W105" s="25"/>
      <c r="X105" s="29">
        <v>10.9</v>
      </c>
      <c r="Y105" s="1" t="s">
        <v>22</v>
      </c>
      <c r="Z105" s="1" t="s">
        <v>286</v>
      </c>
      <c r="AA105" s="1"/>
    </row>
    <row r="106" spans="1:27" ht="23.1" customHeight="1" x14ac:dyDescent="0.25">
      <c r="A106" s="20" t="s">
        <v>188</v>
      </c>
      <c r="B106" s="1" t="s">
        <v>113</v>
      </c>
      <c r="C106" s="3">
        <v>47</v>
      </c>
      <c r="D106" s="1" t="s">
        <v>182</v>
      </c>
      <c r="E106" s="1" t="s">
        <v>130</v>
      </c>
      <c r="F106" s="21" t="s">
        <v>2547</v>
      </c>
      <c r="G106" s="1" t="s">
        <v>102</v>
      </c>
      <c r="H106" s="1">
        <v>90</v>
      </c>
      <c r="I106" s="1" t="s">
        <v>1917</v>
      </c>
      <c r="J106" s="1">
        <v>1</v>
      </c>
      <c r="K106" s="1">
        <v>1</v>
      </c>
      <c r="L106" s="23">
        <v>5</v>
      </c>
      <c r="M106" s="23"/>
      <c r="N106" s="24" t="s">
        <v>287</v>
      </c>
      <c r="O106" s="25"/>
      <c r="P106" s="25">
        <v>300</v>
      </c>
      <c r="Q106" s="25">
        <v>90</v>
      </c>
      <c r="R106" s="25"/>
      <c r="S106" s="27">
        <v>1</v>
      </c>
      <c r="T106" s="25">
        <v>120</v>
      </c>
      <c r="U106" s="25"/>
      <c r="V106" s="28">
        <v>1</v>
      </c>
      <c r="W106" s="25"/>
      <c r="X106" s="29">
        <v>8.5</v>
      </c>
      <c r="Y106" s="1" t="s">
        <v>22</v>
      </c>
      <c r="Z106" s="1" t="s">
        <v>286</v>
      </c>
      <c r="AA106" s="1"/>
    </row>
    <row r="107" spans="1:27" ht="23.1" customHeight="1" x14ac:dyDescent="0.25">
      <c r="A107" s="20" t="s">
        <v>188</v>
      </c>
      <c r="B107" s="1" t="s">
        <v>113</v>
      </c>
      <c r="C107" s="3">
        <v>47</v>
      </c>
      <c r="D107" s="1" t="s">
        <v>182</v>
      </c>
      <c r="E107" s="1" t="s">
        <v>130</v>
      </c>
      <c r="F107" s="21" t="s">
        <v>2547</v>
      </c>
      <c r="G107" s="1" t="s">
        <v>102</v>
      </c>
      <c r="H107" s="1">
        <v>95</v>
      </c>
      <c r="I107" s="1" t="s">
        <v>1918</v>
      </c>
      <c r="J107" s="1">
        <v>1</v>
      </c>
      <c r="K107" s="1">
        <v>1</v>
      </c>
      <c r="L107" s="23">
        <v>23</v>
      </c>
      <c r="M107" s="23"/>
      <c r="N107" s="24" t="s">
        <v>287</v>
      </c>
      <c r="O107" s="25"/>
      <c r="P107" s="25">
        <v>60</v>
      </c>
      <c r="Q107" s="25">
        <v>90</v>
      </c>
      <c r="R107" s="25"/>
      <c r="S107" s="27">
        <v>1</v>
      </c>
      <c r="T107" s="25">
        <v>90</v>
      </c>
      <c r="U107" s="25"/>
      <c r="V107" s="28">
        <v>1</v>
      </c>
      <c r="W107" s="25"/>
      <c r="X107" s="29">
        <v>4</v>
      </c>
      <c r="Y107" s="1" t="s">
        <v>22</v>
      </c>
      <c r="Z107" s="1" t="s">
        <v>286</v>
      </c>
      <c r="AA107" s="1"/>
    </row>
    <row r="108" spans="1:27" ht="23.1" customHeight="1" x14ac:dyDescent="0.25">
      <c r="A108" s="20" t="s">
        <v>188</v>
      </c>
      <c r="B108" s="1" t="s">
        <v>113</v>
      </c>
      <c r="C108" s="3">
        <v>23</v>
      </c>
      <c r="D108" s="1" t="s">
        <v>288</v>
      </c>
      <c r="E108" s="1" t="s">
        <v>255</v>
      </c>
      <c r="F108" s="21" t="s">
        <v>1532</v>
      </c>
      <c r="G108" s="1" t="s">
        <v>250</v>
      </c>
      <c r="H108" s="1">
        <v>45</v>
      </c>
      <c r="I108" s="1" t="s">
        <v>1919</v>
      </c>
      <c r="J108" s="1">
        <v>0.7</v>
      </c>
      <c r="K108" s="1">
        <v>1</v>
      </c>
      <c r="L108" s="23">
        <v>23</v>
      </c>
      <c r="M108" s="23"/>
      <c r="N108" s="24" t="s">
        <v>289</v>
      </c>
      <c r="O108" s="25"/>
      <c r="P108" s="25">
        <v>660</v>
      </c>
      <c r="Q108" s="25">
        <v>90</v>
      </c>
      <c r="R108" s="25"/>
      <c r="S108" s="27">
        <v>1</v>
      </c>
      <c r="T108" s="25">
        <v>120</v>
      </c>
      <c r="U108" s="25"/>
      <c r="V108" s="28"/>
      <c r="W108" s="25"/>
      <c r="X108" s="29">
        <v>12.5</v>
      </c>
      <c r="Y108" s="1" t="s">
        <v>22</v>
      </c>
      <c r="Z108" s="1" t="s">
        <v>145</v>
      </c>
      <c r="AA108" s="1"/>
    </row>
    <row r="109" spans="1:27" ht="23.1" customHeight="1" x14ac:dyDescent="0.25">
      <c r="A109" s="20" t="s">
        <v>188</v>
      </c>
      <c r="B109" s="1" t="s">
        <v>113</v>
      </c>
      <c r="C109" s="3">
        <v>23</v>
      </c>
      <c r="D109" s="1" t="s">
        <v>129</v>
      </c>
      <c r="E109" s="1" t="s">
        <v>130</v>
      </c>
      <c r="F109" s="21" t="s">
        <v>2546</v>
      </c>
      <c r="G109" s="1" t="s">
        <v>102</v>
      </c>
      <c r="H109" s="1">
        <v>90</v>
      </c>
      <c r="I109" s="1" t="s">
        <v>1917</v>
      </c>
      <c r="J109" s="1">
        <v>0</v>
      </c>
      <c r="K109" s="1">
        <v>0</v>
      </c>
      <c r="L109" s="23">
        <v>23</v>
      </c>
      <c r="M109" s="23"/>
      <c r="N109" s="24" t="s">
        <v>287</v>
      </c>
      <c r="O109" s="25"/>
      <c r="P109" s="25">
        <v>300</v>
      </c>
      <c r="Q109" s="25">
        <v>90</v>
      </c>
      <c r="R109" s="25"/>
      <c r="S109" s="27">
        <v>1</v>
      </c>
      <c r="T109" s="25">
        <v>120</v>
      </c>
      <c r="U109" s="25"/>
      <c r="V109" s="28">
        <v>1</v>
      </c>
      <c r="W109" s="25"/>
      <c r="X109" s="29">
        <v>3.5</v>
      </c>
      <c r="Y109" s="1" t="s">
        <v>22</v>
      </c>
      <c r="Z109" s="1" t="s">
        <v>290</v>
      </c>
      <c r="AA109" s="1"/>
    </row>
    <row r="110" spans="1:27" ht="23.1" customHeight="1" x14ac:dyDescent="0.25">
      <c r="A110" s="20" t="s">
        <v>188</v>
      </c>
      <c r="B110" s="1" t="s">
        <v>113</v>
      </c>
      <c r="C110" s="3">
        <v>108</v>
      </c>
      <c r="D110" s="1" t="s">
        <v>291</v>
      </c>
      <c r="E110" s="1" t="s">
        <v>174</v>
      </c>
      <c r="F110" s="21" t="s">
        <v>1246</v>
      </c>
      <c r="G110" s="1" t="s">
        <v>154</v>
      </c>
      <c r="H110" s="1">
        <v>5</v>
      </c>
      <c r="I110" s="1" t="s">
        <v>2428</v>
      </c>
      <c r="J110" s="1">
        <v>2</v>
      </c>
      <c r="K110" s="1">
        <v>3</v>
      </c>
      <c r="L110" s="23">
        <v>5</v>
      </c>
      <c r="M110" s="23">
        <v>5</v>
      </c>
      <c r="N110" s="24" t="s">
        <v>292</v>
      </c>
      <c r="O110" s="25"/>
      <c r="P110" s="25">
        <v>600</v>
      </c>
      <c r="Q110" s="25">
        <v>120</v>
      </c>
      <c r="R110" s="25"/>
      <c r="S110" s="27">
        <v>3</v>
      </c>
      <c r="T110" s="25">
        <v>120</v>
      </c>
      <c r="U110" s="25"/>
      <c r="V110" s="28">
        <v>1</v>
      </c>
      <c r="W110" s="25"/>
      <c r="X110" s="29">
        <v>38</v>
      </c>
      <c r="Y110" s="1" t="s">
        <v>13</v>
      </c>
      <c r="Z110" s="1" t="s">
        <v>293</v>
      </c>
      <c r="AA110" s="1"/>
    </row>
    <row r="111" spans="1:27" ht="23.1" customHeight="1" x14ac:dyDescent="0.25">
      <c r="A111" s="20" t="s">
        <v>188</v>
      </c>
      <c r="B111" s="1" t="s">
        <v>113</v>
      </c>
      <c r="C111" s="3">
        <v>24</v>
      </c>
      <c r="D111" s="1" t="s">
        <v>294</v>
      </c>
      <c r="E111" s="1" t="s">
        <v>259</v>
      </c>
      <c r="F111" s="21" t="s">
        <v>284</v>
      </c>
      <c r="G111" s="1" t="s">
        <v>118</v>
      </c>
      <c r="H111" s="1">
        <v>45</v>
      </c>
      <c r="I111" s="1" t="s">
        <v>1920</v>
      </c>
      <c r="J111" s="1">
        <v>8</v>
      </c>
      <c r="K111" s="1">
        <v>1</v>
      </c>
      <c r="L111" s="23"/>
      <c r="M111" s="23">
        <v>28</v>
      </c>
      <c r="N111" s="24" t="s">
        <v>295</v>
      </c>
      <c r="O111" s="25"/>
      <c r="P111" s="25">
        <v>300</v>
      </c>
      <c r="Q111" s="25">
        <v>120</v>
      </c>
      <c r="R111" s="25"/>
      <c r="S111" s="27">
        <v>1</v>
      </c>
      <c r="T111" s="25">
        <v>120</v>
      </c>
      <c r="U111" s="25"/>
      <c r="V111" s="28"/>
      <c r="W111" s="25">
        <v>3</v>
      </c>
      <c r="X111" s="29">
        <v>10</v>
      </c>
      <c r="Y111" s="1" t="s">
        <v>69</v>
      </c>
      <c r="Z111" s="1" t="s">
        <v>296</v>
      </c>
      <c r="AA111" s="1"/>
    </row>
    <row r="112" spans="1:27" ht="23.1" customHeight="1" x14ac:dyDescent="0.25">
      <c r="A112" s="20" t="s">
        <v>188</v>
      </c>
      <c r="B112" s="1" t="s">
        <v>113</v>
      </c>
      <c r="C112" s="3">
        <v>69</v>
      </c>
      <c r="D112" s="1" t="s">
        <v>266</v>
      </c>
      <c r="E112" s="1" t="s">
        <v>267</v>
      </c>
      <c r="F112" s="21" t="s">
        <v>267</v>
      </c>
      <c r="G112" s="3" t="s">
        <v>118</v>
      </c>
      <c r="H112" s="1">
        <v>50</v>
      </c>
      <c r="I112" s="1" t="s">
        <v>1909</v>
      </c>
      <c r="J112" s="1">
        <v>1.3</v>
      </c>
      <c r="K112" s="1">
        <v>0</v>
      </c>
      <c r="L112" s="23"/>
      <c r="M112" s="23">
        <v>5</v>
      </c>
      <c r="N112" s="24" t="s">
        <v>108</v>
      </c>
      <c r="O112" s="25"/>
      <c r="P112" s="25">
        <v>240</v>
      </c>
      <c r="Q112" s="25">
        <v>90</v>
      </c>
      <c r="R112" s="25"/>
      <c r="S112" s="27">
        <v>1</v>
      </c>
      <c r="T112" s="25">
        <v>180</v>
      </c>
      <c r="U112" s="25"/>
      <c r="V112" s="28">
        <v>1</v>
      </c>
      <c r="W112" s="25">
        <v>10.4</v>
      </c>
      <c r="X112" s="29">
        <v>14.9</v>
      </c>
      <c r="Y112" s="1" t="s">
        <v>69</v>
      </c>
      <c r="Z112" s="1" t="s">
        <v>297</v>
      </c>
      <c r="AA112" s="1"/>
    </row>
    <row r="113" spans="1:27" ht="23.1" customHeight="1" x14ac:dyDescent="0.25">
      <c r="A113" s="20" t="s">
        <v>188</v>
      </c>
      <c r="B113" s="1" t="s">
        <v>113</v>
      </c>
      <c r="C113" s="3">
        <v>91</v>
      </c>
      <c r="D113" s="1" t="s">
        <v>298</v>
      </c>
      <c r="E113" s="1" t="s">
        <v>299</v>
      </c>
      <c r="F113" s="21" t="s">
        <v>299</v>
      </c>
      <c r="G113" s="1" t="s">
        <v>300</v>
      </c>
      <c r="H113" s="1">
        <v>30</v>
      </c>
      <c r="I113" s="1" t="s">
        <v>1921</v>
      </c>
      <c r="J113" s="1">
        <v>1</v>
      </c>
      <c r="K113" s="1">
        <v>0.6</v>
      </c>
      <c r="L113" s="23"/>
      <c r="M113" s="23">
        <v>28</v>
      </c>
      <c r="N113" s="24" t="s">
        <v>301</v>
      </c>
      <c r="O113" s="25"/>
      <c r="P113" s="25">
        <v>960</v>
      </c>
      <c r="Q113" s="25">
        <v>120</v>
      </c>
      <c r="R113" s="25"/>
      <c r="S113" s="27">
        <v>1</v>
      </c>
      <c r="T113" s="25">
        <v>180</v>
      </c>
      <c r="U113" s="25"/>
      <c r="V113" s="28">
        <v>1</v>
      </c>
      <c r="W113" s="25">
        <v>5</v>
      </c>
      <c r="X113" s="29">
        <v>19.600000000000001</v>
      </c>
      <c r="Y113" s="1" t="s">
        <v>69</v>
      </c>
      <c r="Z113" s="1" t="s">
        <v>302</v>
      </c>
      <c r="AA113" s="1"/>
    </row>
    <row r="114" spans="1:27" ht="23.1" customHeight="1" x14ac:dyDescent="0.25">
      <c r="A114" s="20" t="s">
        <v>188</v>
      </c>
      <c r="B114" s="1" t="s">
        <v>113</v>
      </c>
      <c r="C114" s="3">
        <v>84</v>
      </c>
      <c r="D114" s="1" t="s">
        <v>162</v>
      </c>
      <c r="E114" s="1" t="s">
        <v>163</v>
      </c>
      <c r="F114" s="21" t="s">
        <v>163</v>
      </c>
      <c r="G114" s="1" t="s">
        <v>123</v>
      </c>
      <c r="H114" s="1">
        <v>35</v>
      </c>
      <c r="I114" s="1" t="s">
        <v>1885</v>
      </c>
      <c r="J114" s="1">
        <v>2.5</v>
      </c>
      <c r="K114" s="1">
        <v>1</v>
      </c>
      <c r="L114" s="23">
        <v>23</v>
      </c>
      <c r="M114" s="23"/>
      <c r="N114" s="24" t="s">
        <v>164</v>
      </c>
      <c r="O114" s="25"/>
      <c r="P114" s="25">
        <v>260</v>
      </c>
      <c r="Q114" s="25">
        <v>60</v>
      </c>
      <c r="R114" s="25"/>
      <c r="S114" s="27">
        <v>1</v>
      </c>
      <c r="T114" s="25">
        <v>90</v>
      </c>
      <c r="U114" s="25"/>
      <c r="V114" s="28"/>
      <c r="W114" s="25">
        <v>3</v>
      </c>
      <c r="X114" s="29">
        <v>8.3000000000000007</v>
      </c>
      <c r="Y114" s="1" t="s">
        <v>69</v>
      </c>
      <c r="Z114" s="1" t="s">
        <v>303</v>
      </c>
      <c r="AA114" s="1"/>
    </row>
    <row r="115" spans="1:27" ht="23.1" customHeight="1" x14ac:dyDescent="0.25">
      <c r="A115" s="20" t="s">
        <v>188</v>
      </c>
      <c r="B115" s="1" t="s">
        <v>113</v>
      </c>
      <c r="C115" s="3">
        <v>119</v>
      </c>
      <c r="D115" s="1" t="s">
        <v>157</v>
      </c>
      <c r="E115" s="1" t="s">
        <v>158</v>
      </c>
      <c r="F115" s="21" t="s">
        <v>158</v>
      </c>
      <c r="G115" s="1" t="s">
        <v>154</v>
      </c>
      <c r="H115" s="1">
        <v>20</v>
      </c>
      <c r="I115" s="1" t="s">
        <v>1883</v>
      </c>
      <c r="J115" s="1">
        <v>1</v>
      </c>
      <c r="K115" s="1">
        <v>1</v>
      </c>
      <c r="L115" s="23">
        <v>23</v>
      </c>
      <c r="M115" s="23"/>
      <c r="N115" s="24" t="s">
        <v>234</v>
      </c>
      <c r="O115" s="25"/>
      <c r="P115" s="25">
        <v>420</v>
      </c>
      <c r="Q115" s="25">
        <v>60</v>
      </c>
      <c r="R115" s="25"/>
      <c r="S115" s="27">
        <v>1</v>
      </c>
      <c r="T115" s="25">
        <v>120</v>
      </c>
      <c r="U115" s="25"/>
      <c r="V115" s="28"/>
      <c r="W115" s="25"/>
      <c r="X115" s="29">
        <v>8</v>
      </c>
      <c r="Y115" s="1" t="s">
        <v>69</v>
      </c>
      <c r="Z115" s="1" t="s">
        <v>145</v>
      </c>
      <c r="AA115" s="1"/>
    </row>
    <row r="116" spans="1:27" ht="23.1" customHeight="1" x14ac:dyDescent="0.25">
      <c r="A116" s="20" t="s">
        <v>188</v>
      </c>
      <c r="B116" s="1" t="s">
        <v>113</v>
      </c>
      <c r="C116" s="3">
        <v>78</v>
      </c>
      <c r="D116" s="1" t="s">
        <v>261</v>
      </c>
      <c r="E116" s="1" t="s">
        <v>133</v>
      </c>
      <c r="F116" s="21" t="s">
        <v>133</v>
      </c>
      <c r="G116" s="1" t="s">
        <v>102</v>
      </c>
      <c r="H116" s="1">
        <v>65</v>
      </c>
      <c r="I116" s="1" t="s">
        <v>1879</v>
      </c>
      <c r="J116" s="1">
        <v>0.5</v>
      </c>
      <c r="K116" s="1">
        <v>0.5</v>
      </c>
      <c r="L116" s="23"/>
      <c r="M116" s="23">
        <v>28</v>
      </c>
      <c r="N116" s="24" t="s">
        <v>103</v>
      </c>
      <c r="O116" s="25"/>
      <c r="P116" s="25">
        <v>660</v>
      </c>
      <c r="Q116" s="25">
        <v>60</v>
      </c>
      <c r="R116" s="25"/>
      <c r="S116" s="27"/>
      <c r="T116" s="25">
        <v>120</v>
      </c>
      <c r="U116" s="25"/>
      <c r="V116" s="28"/>
      <c r="W116" s="25">
        <v>14.5</v>
      </c>
      <c r="X116" s="29">
        <v>20</v>
      </c>
      <c r="Y116" s="1" t="s">
        <v>5</v>
      </c>
      <c r="Z116" s="1" t="s">
        <v>304</v>
      </c>
      <c r="AA116" s="1" t="s">
        <v>193</v>
      </c>
    </row>
    <row r="117" spans="1:27" ht="23.1" customHeight="1" x14ac:dyDescent="0.25">
      <c r="A117" s="20" t="s">
        <v>188</v>
      </c>
      <c r="B117" s="1" t="s">
        <v>113</v>
      </c>
      <c r="C117" s="3">
        <v>107</v>
      </c>
      <c r="D117" s="1" t="s">
        <v>194</v>
      </c>
      <c r="E117" s="1" t="s">
        <v>133</v>
      </c>
      <c r="F117" s="21" t="s">
        <v>133</v>
      </c>
      <c r="G117" s="1" t="s">
        <v>102</v>
      </c>
      <c r="H117" s="1">
        <v>105</v>
      </c>
      <c r="I117" s="1" t="s">
        <v>1890</v>
      </c>
      <c r="J117" s="1"/>
      <c r="K117" s="1">
        <v>0.5</v>
      </c>
      <c r="L117" s="23"/>
      <c r="M117" s="23">
        <v>19</v>
      </c>
      <c r="N117" s="24" t="s">
        <v>103</v>
      </c>
      <c r="O117" s="25"/>
      <c r="P117" s="25">
        <v>150</v>
      </c>
      <c r="Q117" s="25">
        <v>60</v>
      </c>
      <c r="R117" s="25"/>
      <c r="S117" s="27"/>
      <c r="T117" s="25">
        <v>120</v>
      </c>
      <c r="U117" s="25"/>
      <c r="V117" s="28"/>
      <c r="W117" s="25"/>
      <c r="X117" s="29">
        <v>1.3</v>
      </c>
      <c r="Y117" s="1" t="s">
        <v>13</v>
      </c>
      <c r="Z117" s="1"/>
      <c r="AA117" s="1"/>
    </row>
    <row r="118" spans="1:27" ht="23.1" customHeight="1" x14ac:dyDescent="0.25">
      <c r="A118" s="20" t="s">
        <v>188</v>
      </c>
      <c r="B118" s="1" t="s">
        <v>113</v>
      </c>
      <c r="C118" s="3">
        <v>79</v>
      </c>
      <c r="D118" s="1" t="s">
        <v>152</v>
      </c>
      <c r="E118" s="1" t="s">
        <v>153</v>
      </c>
      <c r="F118" s="21" t="s">
        <v>1247</v>
      </c>
      <c r="G118" s="1" t="s">
        <v>154</v>
      </c>
      <c r="H118" s="1">
        <v>5</v>
      </c>
      <c r="I118" s="1" t="s">
        <v>1882</v>
      </c>
      <c r="J118" s="1">
        <v>1</v>
      </c>
      <c r="K118" s="1">
        <v>2</v>
      </c>
      <c r="L118" s="23">
        <v>5</v>
      </c>
      <c r="M118" s="23">
        <v>5</v>
      </c>
      <c r="N118" s="24" t="s">
        <v>305</v>
      </c>
      <c r="O118" s="25"/>
      <c r="P118" s="25">
        <v>770</v>
      </c>
      <c r="Q118" s="25">
        <v>120</v>
      </c>
      <c r="R118" s="25"/>
      <c r="S118" s="27">
        <v>2</v>
      </c>
      <c r="T118" s="25">
        <v>120</v>
      </c>
      <c r="U118" s="25"/>
      <c r="V118" s="28"/>
      <c r="W118" s="25"/>
      <c r="X118" s="29">
        <v>29.7</v>
      </c>
      <c r="Y118" s="1" t="s">
        <v>5</v>
      </c>
      <c r="Z118" s="1" t="s">
        <v>147</v>
      </c>
      <c r="AA118" s="1"/>
    </row>
    <row r="119" spans="1:27" ht="23.1" customHeight="1" x14ac:dyDescent="0.25">
      <c r="A119" s="20" t="s">
        <v>188</v>
      </c>
      <c r="B119" s="1" t="s">
        <v>113</v>
      </c>
      <c r="C119" s="3">
        <v>16</v>
      </c>
      <c r="D119" s="1" t="s">
        <v>108</v>
      </c>
      <c r="E119" s="1" t="s">
        <v>212</v>
      </c>
      <c r="F119" s="21" t="e">
        <v>#N/A</v>
      </c>
      <c r="G119" s="1" t="s">
        <v>108</v>
      </c>
      <c r="H119" s="1">
        <v>0</v>
      </c>
      <c r="I119" s="1"/>
      <c r="J119" s="1">
        <v>30</v>
      </c>
      <c r="K119" s="1">
        <v>40</v>
      </c>
      <c r="L119" s="23">
        <v>26</v>
      </c>
      <c r="M119" s="23"/>
      <c r="N119" s="24" t="s">
        <v>108</v>
      </c>
      <c r="O119" s="25"/>
      <c r="P119" s="25"/>
      <c r="Q119" s="25"/>
      <c r="R119" s="25"/>
      <c r="S119" s="27"/>
      <c r="T119" s="25"/>
      <c r="U119" s="25"/>
      <c r="V119" s="28"/>
      <c r="W119" s="25">
        <v>2</v>
      </c>
      <c r="X119" s="29">
        <v>2</v>
      </c>
      <c r="Y119" s="1" t="s">
        <v>63</v>
      </c>
      <c r="Z119" s="1" t="s">
        <v>136</v>
      </c>
      <c r="AA119" s="1"/>
    </row>
    <row r="120" spans="1:27" ht="23.1" customHeight="1" x14ac:dyDescent="0.25">
      <c r="A120" s="20" t="s">
        <v>188</v>
      </c>
      <c r="B120" s="1" t="s">
        <v>113</v>
      </c>
      <c r="C120" s="3">
        <v>56</v>
      </c>
      <c r="D120" s="1" t="s">
        <v>273</v>
      </c>
      <c r="E120" s="1" t="s">
        <v>274</v>
      </c>
      <c r="F120" s="21" t="s">
        <v>274</v>
      </c>
      <c r="G120" s="3" t="s">
        <v>123</v>
      </c>
      <c r="H120" s="1">
        <v>10</v>
      </c>
      <c r="I120" s="1" t="s">
        <v>1916</v>
      </c>
      <c r="J120" s="1">
        <v>20</v>
      </c>
      <c r="K120" s="1">
        <v>20</v>
      </c>
      <c r="L120" s="23">
        <v>28</v>
      </c>
      <c r="M120" s="23">
        <v>28</v>
      </c>
      <c r="N120" s="24" t="s">
        <v>108</v>
      </c>
      <c r="O120" s="25"/>
      <c r="P120" s="25">
        <v>25</v>
      </c>
      <c r="Q120" s="25"/>
      <c r="R120" s="25"/>
      <c r="S120" s="27"/>
      <c r="T120" s="25">
        <v>60</v>
      </c>
      <c r="U120" s="25"/>
      <c r="V120" s="28"/>
      <c r="W120" s="25"/>
      <c r="X120" s="29">
        <v>8.3000000000000007</v>
      </c>
      <c r="Y120" s="1" t="s">
        <v>18</v>
      </c>
      <c r="Z120" s="1"/>
      <c r="AA120" s="1"/>
    </row>
    <row r="121" spans="1:27" ht="23.1" customHeight="1" x14ac:dyDescent="0.25">
      <c r="A121" s="20" t="s">
        <v>188</v>
      </c>
      <c r="B121" s="1" t="s">
        <v>113</v>
      </c>
      <c r="C121" s="3">
        <v>18</v>
      </c>
      <c r="D121" s="1" t="s">
        <v>205</v>
      </c>
      <c r="E121" s="1" t="s">
        <v>206</v>
      </c>
      <c r="F121" s="21" t="s">
        <v>206</v>
      </c>
      <c r="G121" s="1" t="s">
        <v>154</v>
      </c>
      <c r="H121" s="1">
        <v>25</v>
      </c>
      <c r="I121" s="1" t="s">
        <v>1892</v>
      </c>
      <c r="J121" s="1">
        <v>1</v>
      </c>
      <c r="K121" s="1">
        <v>1.7</v>
      </c>
      <c r="L121" s="23">
        <v>5</v>
      </c>
      <c r="M121" s="23">
        <v>28</v>
      </c>
      <c r="N121" s="24" t="s">
        <v>306</v>
      </c>
      <c r="O121" s="25"/>
      <c r="P121" s="25">
        <v>720</v>
      </c>
      <c r="Q121" s="25"/>
      <c r="R121" s="25"/>
      <c r="S121" s="27"/>
      <c r="T121" s="25">
        <v>90</v>
      </c>
      <c r="U121" s="25"/>
      <c r="V121" s="28"/>
      <c r="W121" s="25"/>
      <c r="X121" s="29">
        <v>20.399999999999999</v>
      </c>
      <c r="Y121" s="1" t="s">
        <v>16</v>
      </c>
      <c r="Z121" s="1"/>
      <c r="AA121" s="1"/>
    </row>
    <row r="122" spans="1:27" ht="23.1" customHeight="1" x14ac:dyDescent="0.25">
      <c r="A122" s="20" t="s">
        <v>188</v>
      </c>
      <c r="B122" s="1" t="s">
        <v>113</v>
      </c>
      <c r="C122" s="3">
        <v>9</v>
      </c>
      <c r="D122" s="1" t="s">
        <v>229</v>
      </c>
      <c r="E122" s="1" t="s">
        <v>230</v>
      </c>
      <c r="F122" s="21" t="s">
        <v>230</v>
      </c>
      <c r="G122" s="1" t="s">
        <v>154</v>
      </c>
      <c r="H122" s="1">
        <v>20</v>
      </c>
      <c r="I122" s="1" t="s">
        <v>1908</v>
      </c>
      <c r="J122" s="1">
        <v>3</v>
      </c>
      <c r="K122" s="1">
        <v>4</v>
      </c>
      <c r="L122" s="23">
        <v>31</v>
      </c>
      <c r="M122" s="23">
        <v>31</v>
      </c>
      <c r="N122" s="24" t="s">
        <v>307</v>
      </c>
      <c r="O122" s="25"/>
      <c r="P122" s="25">
        <v>190</v>
      </c>
      <c r="Q122" s="25"/>
      <c r="R122" s="25"/>
      <c r="S122" s="27"/>
      <c r="T122" s="25">
        <v>60</v>
      </c>
      <c r="U122" s="25"/>
      <c r="V122" s="28"/>
      <c r="W122" s="25"/>
      <c r="X122" s="29">
        <v>12.7</v>
      </c>
      <c r="Y122" s="1" t="s">
        <v>30</v>
      </c>
      <c r="Z122" s="1"/>
      <c r="AA122" s="1"/>
    </row>
    <row r="123" spans="1:27" ht="23.1" customHeight="1" x14ac:dyDescent="0.25">
      <c r="A123" s="20" t="s">
        <v>188</v>
      </c>
      <c r="B123" s="1" t="s">
        <v>113</v>
      </c>
      <c r="C123" s="3">
        <v>10</v>
      </c>
      <c r="D123" s="1" t="s">
        <v>308</v>
      </c>
      <c r="E123" s="1" t="s">
        <v>309</v>
      </c>
      <c r="F123" s="21" t="s">
        <v>309</v>
      </c>
      <c r="G123" s="1" t="s">
        <v>102</v>
      </c>
      <c r="H123" s="1">
        <v>70</v>
      </c>
      <c r="I123" s="1" t="s">
        <v>1851</v>
      </c>
      <c r="J123" s="1">
        <v>0.6</v>
      </c>
      <c r="K123" s="1">
        <v>0.8</v>
      </c>
      <c r="L123" s="23"/>
      <c r="M123" s="23">
        <v>28</v>
      </c>
      <c r="N123" s="24" t="s">
        <v>234</v>
      </c>
      <c r="O123" s="25"/>
      <c r="P123" s="25">
        <v>1320</v>
      </c>
      <c r="Q123" s="25"/>
      <c r="R123" s="25"/>
      <c r="S123" s="27"/>
      <c r="T123" s="25">
        <v>120</v>
      </c>
      <c r="U123" s="25"/>
      <c r="V123" s="28"/>
      <c r="W123" s="25"/>
      <c r="X123" s="29">
        <v>17.600000000000001</v>
      </c>
      <c r="Y123" s="1" t="s">
        <v>30</v>
      </c>
      <c r="Z123" s="1"/>
      <c r="AA123" s="1"/>
    </row>
    <row r="124" spans="1:27" ht="23.1" customHeight="1" x14ac:dyDescent="0.25">
      <c r="A124" s="20" t="s">
        <v>188</v>
      </c>
      <c r="B124" s="1" t="s">
        <v>113</v>
      </c>
      <c r="C124" s="3">
        <v>17</v>
      </c>
      <c r="D124" s="1" t="s">
        <v>271</v>
      </c>
      <c r="E124" s="1" t="s">
        <v>310</v>
      </c>
      <c r="F124" s="21" t="s">
        <v>310</v>
      </c>
      <c r="G124" s="1" t="s">
        <v>250</v>
      </c>
      <c r="H124" s="1">
        <v>40</v>
      </c>
      <c r="I124" s="1" t="s">
        <v>1911</v>
      </c>
      <c r="J124" s="1">
        <v>2</v>
      </c>
      <c r="K124" s="1">
        <v>2</v>
      </c>
      <c r="L124" s="23">
        <v>5</v>
      </c>
      <c r="M124" s="23">
        <v>5</v>
      </c>
      <c r="N124" s="24" t="s">
        <v>292</v>
      </c>
      <c r="O124" s="25"/>
      <c r="P124" s="25">
        <v>30</v>
      </c>
      <c r="Q124" s="25">
        <v>60</v>
      </c>
      <c r="R124" s="25"/>
      <c r="S124" s="27">
        <v>2</v>
      </c>
      <c r="T124" s="25">
        <v>60</v>
      </c>
      <c r="U124" s="25"/>
      <c r="V124" s="28"/>
      <c r="W124" s="25"/>
      <c r="X124" s="29">
        <v>3</v>
      </c>
      <c r="Y124" s="1" t="s">
        <v>16</v>
      </c>
      <c r="Z124" s="1" t="s">
        <v>147</v>
      </c>
      <c r="AA124" s="1"/>
    </row>
    <row r="125" spans="1:27" ht="23.1" customHeight="1" x14ac:dyDescent="0.25">
      <c r="A125" s="20" t="s">
        <v>188</v>
      </c>
      <c r="B125" s="1" t="s">
        <v>113</v>
      </c>
      <c r="C125" s="3">
        <v>17</v>
      </c>
      <c r="D125" s="1" t="s">
        <v>311</v>
      </c>
      <c r="E125" s="1" t="s">
        <v>312</v>
      </c>
      <c r="F125" s="21" t="s">
        <v>310</v>
      </c>
      <c r="G125" s="1" t="s">
        <v>300</v>
      </c>
      <c r="H125" s="1">
        <v>40</v>
      </c>
      <c r="I125" s="1" t="s">
        <v>1911</v>
      </c>
      <c r="J125" s="1">
        <v>6</v>
      </c>
      <c r="K125" s="1">
        <v>6</v>
      </c>
      <c r="L125" s="23">
        <v>5</v>
      </c>
      <c r="M125" s="23">
        <v>5</v>
      </c>
      <c r="N125" s="24" t="s">
        <v>292</v>
      </c>
      <c r="O125" s="25"/>
      <c r="P125" s="25">
        <v>30</v>
      </c>
      <c r="Q125" s="25">
        <v>60</v>
      </c>
      <c r="R125" s="25"/>
      <c r="S125" s="27">
        <v>6</v>
      </c>
      <c r="T125" s="25">
        <v>60</v>
      </c>
      <c r="U125" s="25"/>
      <c r="V125" s="28"/>
      <c r="W125" s="25"/>
      <c r="X125" s="29">
        <v>9</v>
      </c>
      <c r="Y125" s="1" t="s">
        <v>16</v>
      </c>
      <c r="Z125" s="1" t="s">
        <v>313</v>
      </c>
      <c r="AA125" s="1"/>
    </row>
    <row r="126" spans="1:27" ht="23.1" customHeight="1" x14ac:dyDescent="0.25">
      <c r="A126" s="20" t="s">
        <v>188</v>
      </c>
      <c r="B126" s="1" t="s">
        <v>113</v>
      </c>
      <c r="C126" s="3">
        <v>17</v>
      </c>
      <c r="D126" s="1" t="s">
        <v>314</v>
      </c>
      <c r="E126" s="1" t="s">
        <v>315</v>
      </c>
      <c r="F126" s="21" t="s">
        <v>315</v>
      </c>
      <c r="G126" s="1" t="s">
        <v>250</v>
      </c>
      <c r="H126" s="1">
        <v>45</v>
      </c>
      <c r="I126" s="1" t="s">
        <v>1922</v>
      </c>
      <c r="J126" s="1">
        <v>2</v>
      </c>
      <c r="K126" s="1">
        <v>8</v>
      </c>
      <c r="L126" s="23">
        <v>5</v>
      </c>
      <c r="M126" s="23">
        <v>28</v>
      </c>
      <c r="N126" s="24" t="s">
        <v>216</v>
      </c>
      <c r="O126" s="25"/>
      <c r="P126" s="25">
        <v>60</v>
      </c>
      <c r="Q126" s="25"/>
      <c r="R126" s="25"/>
      <c r="S126" s="27"/>
      <c r="T126" s="25">
        <v>60</v>
      </c>
      <c r="U126" s="25"/>
      <c r="V126" s="28">
        <v>1</v>
      </c>
      <c r="W126" s="25"/>
      <c r="X126" s="29">
        <v>9</v>
      </c>
      <c r="Y126" s="1" t="s">
        <v>16</v>
      </c>
      <c r="Z126" s="1" t="s">
        <v>92</v>
      </c>
      <c r="AA126" s="1"/>
    </row>
    <row r="127" spans="1:27" ht="23.1" customHeight="1" x14ac:dyDescent="0.25">
      <c r="A127" s="20" t="s">
        <v>188</v>
      </c>
      <c r="B127" s="1" t="s">
        <v>113</v>
      </c>
      <c r="C127" s="3">
        <v>12</v>
      </c>
      <c r="D127" s="1" t="s">
        <v>248</v>
      </c>
      <c r="E127" s="1" t="s">
        <v>249</v>
      </c>
      <c r="F127" s="21" t="s">
        <v>249</v>
      </c>
      <c r="G127" s="1" t="s">
        <v>250</v>
      </c>
      <c r="H127" s="1">
        <v>25</v>
      </c>
      <c r="I127" s="1" t="s">
        <v>1923</v>
      </c>
      <c r="J127" s="1">
        <v>0.8</v>
      </c>
      <c r="K127" s="1">
        <v>1</v>
      </c>
      <c r="L127" s="23"/>
      <c r="M127" s="23">
        <v>28</v>
      </c>
      <c r="N127" s="24" t="s">
        <v>316</v>
      </c>
      <c r="O127" s="25"/>
      <c r="P127" s="25">
        <v>1080</v>
      </c>
      <c r="Q127" s="25"/>
      <c r="R127" s="25"/>
      <c r="S127" s="27"/>
      <c r="T127" s="25">
        <v>120</v>
      </c>
      <c r="U127" s="25"/>
      <c r="V127" s="28">
        <v>1</v>
      </c>
      <c r="W127" s="25"/>
      <c r="X127" s="29">
        <v>20</v>
      </c>
      <c r="Y127" s="1" t="s">
        <v>10</v>
      </c>
      <c r="Z127" s="1" t="s">
        <v>92</v>
      </c>
      <c r="AA127" s="1"/>
    </row>
    <row r="128" spans="1:27" ht="23.1" customHeight="1" x14ac:dyDescent="0.25">
      <c r="A128" s="20" t="s">
        <v>188</v>
      </c>
      <c r="B128" s="1" t="s">
        <v>113</v>
      </c>
      <c r="C128" s="3">
        <v>11</v>
      </c>
      <c r="D128" s="1" t="s">
        <v>200</v>
      </c>
      <c r="E128" s="1" t="s">
        <v>317</v>
      </c>
      <c r="F128" s="21" t="s">
        <v>317</v>
      </c>
      <c r="G128" s="1" t="s">
        <v>154</v>
      </c>
      <c r="H128" s="1">
        <v>35</v>
      </c>
      <c r="I128" s="1" t="s">
        <v>1855</v>
      </c>
      <c r="J128" s="1"/>
      <c r="K128" s="1">
        <v>5</v>
      </c>
      <c r="L128" s="23">
        <v>5</v>
      </c>
      <c r="M128" s="23">
        <v>5</v>
      </c>
      <c r="N128" s="24" t="s">
        <v>318</v>
      </c>
      <c r="O128" s="25"/>
      <c r="P128" s="25">
        <v>60</v>
      </c>
      <c r="Q128" s="25"/>
      <c r="R128" s="25"/>
      <c r="S128" s="27"/>
      <c r="T128" s="25">
        <v>60</v>
      </c>
      <c r="U128" s="25"/>
      <c r="V128" s="28"/>
      <c r="W128" s="25"/>
      <c r="X128" s="29">
        <v>5</v>
      </c>
      <c r="Y128" s="1" t="s">
        <v>63</v>
      </c>
      <c r="Z128" s="1"/>
      <c r="AA128" s="1"/>
    </row>
    <row r="129" spans="1:27" ht="23.1" customHeight="1" x14ac:dyDescent="0.25">
      <c r="A129" s="20" t="s">
        <v>188</v>
      </c>
      <c r="B129" s="1" t="s">
        <v>113</v>
      </c>
      <c r="C129" s="3">
        <v>11</v>
      </c>
      <c r="D129" s="1" t="s">
        <v>203</v>
      </c>
      <c r="E129" s="1" t="s">
        <v>317</v>
      </c>
      <c r="F129" s="21" t="s">
        <v>317</v>
      </c>
      <c r="G129" s="1" t="s">
        <v>154</v>
      </c>
      <c r="H129" s="1">
        <v>35</v>
      </c>
      <c r="I129" s="1" t="s">
        <v>1924</v>
      </c>
      <c r="J129" s="1"/>
      <c r="K129" s="1">
        <v>4</v>
      </c>
      <c r="L129" s="23">
        <v>5</v>
      </c>
      <c r="M129" s="23">
        <v>9</v>
      </c>
      <c r="N129" s="24" t="s">
        <v>319</v>
      </c>
      <c r="O129" s="25"/>
      <c r="P129" s="25">
        <v>60</v>
      </c>
      <c r="Q129" s="25"/>
      <c r="R129" s="25"/>
      <c r="S129" s="27"/>
      <c r="T129" s="25">
        <v>60</v>
      </c>
      <c r="U129" s="25"/>
      <c r="V129" s="28"/>
      <c r="W129" s="25"/>
      <c r="X129" s="29">
        <v>4</v>
      </c>
      <c r="Y129" s="1" t="s">
        <v>63</v>
      </c>
      <c r="Z129" s="1"/>
      <c r="AA129" s="1"/>
    </row>
    <row r="130" spans="1:27" ht="23.1" customHeight="1" x14ac:dyDescent="0.25">
      <c r="A130" s="20" t="s">
        <v>188</v>
      </c>
      <c r="B130" s="1" t="s">
        <v>113</v>
      </c>
      <c r="C130" s="3">
        <v>13</v>
      </c>
      <c r="D130" s="1" t="s">
        <v>245</v>
      </c>
      <c r="E130" s="1" t="s">
        <v>246</v>
      </c>
      <c r="F130" s="21" t="s">
        <v>246</v>
      </c>
      <c r="G130" s="1" t="s">
        <v>123</v>
      </c>
      <c r="H130" s="1">
        <v>40</v>
      </c>
      <c r="I130" s="1" t="s">
        <v>2429</v>
      </c>
      <c r="J130" s="1">
        <v>3.5</v>
      </c>
      <c r="K130" s="1">
        <v>4</v>
      </c>
      <c r="L130" s="23">
        <v>26</v>
      </c>
      <c r="M130" s="23">
        <v>28</v>
      </c>
      <c r="N130" s="24" t="s">
        <v>247</v>
      </c>
      <c r="O130" s="25"/>
      <c r="P130" s="25">
        <v>230</v>
      </c>
      <c r="Q130" s="25"/>
      <c r="R130" s="25"/>
      <c r="S130" s="27"/>
      <c r="T130" s="25">
        <v>120</v>
      </c>
      <c r="U130" s="25"/>
      <c r="V130" s="28"/>
      <c r="W130" s="25"/>
      <c r="X130" s="29">
        <v>15.3</v>
      </c>
      <c r="Y130" s="1" t="s">
        <v>10</v>
      </c>
      <c r="Z130" s="1"/>
      <c r="AA130" s="1"/>
    </row>
    <row r="131" spans="1:27" ht="23.1" customHeight="1" x14ac:dyDescent="0.25">
      <c r="A131" s="20" t="s">
        <v>188</v>
      </c>
      <c r="B131" s="1" t="s">
        <v>113</v>
      </c>
      <c r="C131" s="3">
        <v>58</v>
      </c>
      <c r="D131" s="1" t="s">
        <v>214</v>
      </c>
      <c r="E131" s="1" t="s">
        <v>215</v>
      </c>
      <c r="F131" s="21" t="s">
        <v>215</v>
      </c>
      <c r="G131" s="1" t="s">
        <v>118</v>
      </c>
      <c r="H131" s="1">
        <v>25</v>
      </c>
      <c r="I131" s="1" t="s">
        <v>1894</v>
      </c>
      <c r="J131" s="1">
        <v>3</v>
      </c>
      <c r="K131" s="1">
        <v>3</v>
      </c>
      <c r="L131" s="23">
        <v>23</v>
      </c>
      <c r="M131" s="23">
        <v>5</v>
      </c>
      <c r="N131" s="24" t="s">
        <v>320</v>
      </c>
      <c r="O131" s="25"/>
      <c r="P131" s="25">
        <v>170</v>
      </c>
      <c r="Q131" s="25"/>
      <c r="R131" s="25"/>
      <c r="S131" s="27"/>
      <c r="T131" s="25">
        <v>60</v>
      </c>
      <c r="U131" s="25"/>
      <c r="V131" s="28"/>
      <c r="W131" s="25"/>
      <c r="X131" s="29">
        <v>8.5</v>
      </c>
      <c r="Y131" s="1" t="s">
        <v>7</v>
      </c>
      <c r="Z131" s="1"/>
      <c r="AA131" s="1"/>
    </row>
    <row r="132" spans="1:27" ht="23.1" customHeight="1" x14ac:dyDescent="0.25">
      <c r="A132" s="20" t="s">
        <v>188</v>
      </c>
      <c r="B132" s="1" t="s">
        <v>113</v>
      </c>
      <c r="C132" s="3">
        <v>21</v>
      </c>
      <c r="D132" s="1" t="s">
        <v>321</v>
      </c>
      <c r="E132" s="1" t="s">
        <v>322</v>
      </c>
      <c r="F132" s="21" t="s">
        <v>322</v>
      </c>
      <c r="G132" s="1" t="s">
        <v>323</v>
      </c>
      <c r="H132" s="1">
        <v>35</v>
      </c>
      <c r="I132" s="1" t="s">
        <v>1925</v>
      </c>
      <c r="J132" s="1">
        <v>1.5</v>
      </c>
      <c r="K132" s="1">
        <v>2</v>
      </c>
      <c r="L132" s="23">
        <v>26</v>
      </c>
      <c r="M132" s="23">
        <v>5</v>
      </c>
      <c r="N132" s="24" t="s">
        <v>324</v>
      </c>
      <c r="O132" s="25"/>
      <c r="P132" s="25">
        <v>480</v>
      </c>
      <c r="Q132" s="25">
        <v>120</v>
      </c>
      <c r="R132" s="25"/>
      <c r="S132" s="27">
        <v>2</v>
      </c>
      <c r="T132" s="25">
        <v>180</v>
      </c>
      <c r="U132" s="31"/>
      <c r="V132" s="28">
        <v>1</v>
      </c>
      <c r="W132" s="25"/>
      <c r="X132" s="29">
        <v>23</v>
      </c>
      <c r="Y132" s="1" t="s">
        <v>49</v>
      </c>
      <c r="Z132" s="1" t="s">
        <v>325</v>
      </c>
      <c r="AA132" s="1"/>
    </row>
    <row r="133" spans="1:27" ht="23.1" customHeight="1" x14ac:dyDescent="0.25">
      <c r="A133" s="20" t="s">
        <v>188</v>
      </c>
      <c r="B133" s="1" t="s">
        <v>113</v>
      </c>
      <c r="C133" s="3">
        <v>77</v>
      </c>
      <c r="D133" s="1" t="s">
        <v>211</v>
      </c>
      <c r="E133" s="1" t="s">
        <v>212</v>
      </c>
      <c r="F133" s="21" t="s">
        <v>212</v>
      </c>
      <c r="G133" s="1" t="s">
        <v>123</v>
      </c>
      <c r="H133" s="1">
        <v>15</v>
      </c>
      <c r="I133" s="1" t="s">
        <v>1893</v>
      </c>
      <c r="J133" s="1">
        <v>8</v>
      </c>
      <c r="K133" s="1">
        <v>9</v>
      </c>
      <c r="L133" s="23">
        <v>26</v>
      </c>
      <c r="M133" s="23">
        <v>23</v>
      </c>
      <c r="N133" s="24" t="s">
        <v>213</v>
      </c>
      <c r="O133" s="25">
        <v>100</v>
      </c>
      <c r="P133" s="25">
        <v>60</v>
      </c>
      <c r="Q133" s="25"/>
      <c r="R133" s="25"/>
      <c r="S133" s="27"/>
      <c r="T133" s="25">
        <v>90</v>
      </c>
      <c r="U133" s="25"/>
      <c r="V133" s="28"/>
      <c r="W133" s="25"/>
      <c r="X133" s="32">
        <v>15</v>
      </c>
      <c r="Y133" s="1" t="s">
        <v>24</v>
      </c>
      <c r="Z133" s="1" t="s">
        <v>326</v>
      </c>
      <c r="AA133" s="1"/>
    </row>
    <row r="134" spans="1:27" ht="23.1" customHeight="1" x14ac:dyDescent="0.25">
      <c r="A134" s="20" t="s">
        <v>188</v>
      </c>
      <c r="B134" s="1" t="s">
        <v>113</v>
      </c>
      <c r="C134" s="3">
        <v>11</v>
      </c>
      <c r="D134" s="1" t="s">
        <v>200</v>
      </c>
      <c r="E134" s="1" t="s">
        <v>317</v>
      </c>
      <c r="F134" s="21" t="s">
        <v>317</v>
      </c>
      <c r="G134" s="1" t="s">
        <v>154</v>
      </c>
      <c r="H134" s="1">
        <v>35</v>
      </c>
      <c r="I134" s="1" t="s">
        <v>1924</v>
      </c>
      <c r="J134" s="1">
        <v>10</v>
      </c>
      <c r="K134" s="1">
        <v>15</v>
      </c>
      <c r="L134" s="23">
        <v>26</v>
      </c>
      <c r="M134" s="23">
        <v>5</v>
      </c>
      <c r="N134" s="24" t="s">
        <v>327</v>
      </c>
      <c r="O134" s="25"/>
      <c r="P134" s="25">
        <v>60</v>
      </c>
      <c r="Q134" s="25"/>
      <c r="R134" s="25"/>
      <c r="S134" s="27"/>
      <c r="T134" s="25">
        <v>60</v>
      </c>
      <c r="U134" s="25"/>
      <c r="V134" s="28"/>
      <c r="W134" s="25"/>
      <c r="X134" s="29">
        <v>15</v>
      </c>
      <c r="Y134" s="1" t="s">
        <v>63</v>
      </c>
      <c r="Z134" s="1"/>
      <c r="AA134" s="1"/>
    </row>
    <row r="135" spans="1:27" ht="23.1" customHeight="1" x14ac:dyDescent="0.25">
      <c r="A135" s="20" t="s">
        <v>188</v>
      </c>
      <c r="B135" s="1" t="s">
        <v>113</v>
      </c>
      <c r="C135" s="3">
        <v>47</v>
      </c>
      <c r="D135" s="1" t="s">
        <v>129</v>
      </c>
      <c r="E135" s="1" t="s">
        <v>130</v>
      </c>
      <c r="F135" s="21" t="s">
        <v>2546</v>
      </c>
      <c r="G135" s="1" t="s">
        <v>102</v>
      </c>
      <c r="H135" s="1">
        <v>90</v>
      </c>
      <c r="I135" s="1" t="s">
        <v>1917</v>
      </c>
      <c r="J135" s="1">
        <v>1</v>
      </c>
      <c r="K135" s="1">
        <v>1</v>
      </c>
      <c r="L135" s="23"/>
      <c r="M135" s="23">
        <v>28</v>
      </c>
      <c r="N135" s="24" t="s">
        <v>287</v>
      </c>
      <c r="O135" s="25"/>
      <c r="P135" s="25">
        <v>300</v>
      </c>
      <c r="Q135" s="25">
        <v>90</v>
      </c>
      <c r="R135" s="25"/>
      <c r="S135" s="27">
        <v>1</v>
      </c>
      <c r="T135" s="25">
        <v>120</v>
      </c>
      <c r="U135" s="25"/>
      <c r="V135" s="28">
        <v>1</v>
      </c>
      <c r="W135" s="25"/>
      <c r="X135" s="29">
        <v>8.5</v>
      </c>
      <c r="Y135" s="1" t="s">
        <v>33</v>
      </c>
      <c r="Z135" s="1" t="s">
        <v>328</v>
      </c>
      <c r="AA135" s="1"/>
    </row>
    <row r="136" spans="1:27" ht="23.1" customHeight="1" x14ac:dyDescent="0.25">
      <c r="A136" s="20" t="s">
        <v>329</v>
      </c>
      <c r="B136" s="1" t="s">
        <v>99</v>
      </c>
      <c r="C136" s="3">
        <v>77</v>
      </c>
      <c r="D136" s="1" t="s">
        <v>280</v>
      </c>
      <c r="E136" s="1" t="s">
        <v>281</v>
      </c>
      <c r="F136" s="21" t="s">
        <v>281</v>
      </c>
      <c r="G136" s="1" t="s">
        <v>154</v>
      </c>
      <c r="H136" s="1">
        <v>15</v>
      </c>
      <c r="I136" s="1" t="s">
        <v>1926</v>
      </c>
      <c r="J136" s="1"/>
      <c r="K136" s="1">
        <v>6</v>
      </c>
      <c r="L136" s="23">
        <v>31</v>
      </c>
      <c r="M136" s="23">
        <v>37</v>
      </c>
      <c r="N136" s="24" t="s">
        <v>330</v>
      </c>
      <c r="O136" s="25"/>
      <c r="P136" s="25">
        <v>90</v>
      </c>
      <c r="Q136" s="25"/>
      <c r="R136" s="25"/>
      <c r="S136" s="27"/>
      <c r="T136" s="25">
        <v>90</v>
      </c>
      <c r="U136" s="25"/>
      <c r="V136" s="28">
        <v>1</v>
      </c>
      <c r="W136" s="25"/>
      <c r="X136" s="29">
        <v>10.5</v>
      </c>
      <c r="Y136" s="1" t="s">
        <v>46</v>
      </c>
      <c r="Z136" s="1" t="s">
        <v>331</v>
      </c>
      <c r="AA136" s="1"/>
    </row>
    <row r="137" spans="1:27" ht="23.1" customHeight="1" x14ac:dyDescent="0.25">
      <c r="A137" s="20" t="s">
        <v>329</v>
      </c>
      <c r="B137" s="1" t="s">
        <v>99</v>
      </c>
      <c r="C137" s="3">
        <v>47</v>
      </c>
      <c r="D137" s="1" t="s">
        <v>332</v>
      </c>
      <c r="E137" s="1" t="s">
        <v>333</v>
      </c>
      <c r="F137" s="21" t="s">
        <v>2548</v>
      </c>
      <c r="G137" s="1" t="s">
        <v>334</v>
      </c>
      <c r="H137" s="1">
        <v>10</v>
      </c>
      <c r="I137" s="1" t="s">
        <v>1916</v>
      </c>
      <c r="J137" s="1">
        <v>2</v>
      </c>
      <c r="K137" s="1">
        <v>2</v>
      </c>
      <c r="L137" s="23">
        <v>26</v>
      </c>
      <c r="M137" s="23">
        <v>23</v>
      </c>
      <c r="N137" s="24" t="s">
        <v>335</v>
      </c>
      <c r="O137" s="25"/>
      <c r="P137" s="25">
        <v>120</v>
      </c>
      <c r="Q137" s="25">
        <v>60</v>
      </c>
      <c r="R137" s="25"/>
      <c r="S137" s="27">
        <v>2</v>
      </c>
      <c r="T137" s="25">
        <v>120</v>
      </c>
      <c r="U137" s="25"/>
      <c r="V137" s="28">
        <v>1</v>
      </c>
      <c r="W137" s="25"/>
      <c r="X137" s="29">
        <v>8</v>
      </c>
      <c r="Y137" s="1" t="s">
        <v>33</v>
      </c>
      <c r="Z137" s="1" t="s">
        <v>336</v>
      </c>
      <c r="AA137" s="1"/>
    </row>
    <row r="138" spans="1:27" ht="23.1" customHeight="1" x14ac:dyDescent="0.25">
      <c r="A138" s="20" t="s">
        <v>329</v>
      </c>
      <c r="B138" s="1" t="s">
        <v>99</v>
      </c>
      <c r="C138" s="3">
        <v>107</v>
      </c>
      <c r="D138" s="1" t="s">
        <v>194</v>
      </c>
      <c r="E138" s="1" t="s">
        <v>133</v>
      </c>
      <c r="F138" s="21" t="s">
        <v>133</v>
      </c>
      <c r="G138" s="1" t="s">
        <v>102</v>
      </c>
      <c r="H138" s="1">
        <v>105</v>
      </c>
      <c r="I138" s="1" t="s">
        <v>1890</v>
      </c>
      <c r="J138" s="1"/>
      <c r="K138" s="1">
        <v>0.2</v>
      </c>
      <c r="L138" s="23"/>
      <c r="M138" s="23">
        <v>19</v>
      </c>
      <c r="N138" s="24" t="s">
        <v>103</v>
      </c>
      <c r="O138" s="25"/>
      <c r="P138" s="25">
        <v>150</v>
      </c>
      <c r="Q138" s="25">
        <v>60</v>
      </c>
      <c r="R138" s="25"/>
      <c r="S138" s="27"/>
      <c r="T138" s="25">
        <v>120</v>
      </c>
      <c r="U138" s="25"/>
      <c r="V138" s="28"/>
      <c r="W138" s="25"/>
      <c r="X138" s="29">
        <v>0.5</v>
      </c>
      <c r="Y138" s="1" t="s">
        <v>45</v>
      </c>
      <c r="Z138" s="1" t="s">
        <v>151</v>
      </c>
      <c r="AA138" s="1"/>
    </row>
    <row r="139" spans="1:27" ht="23.1" customHeight="1" x14ac:dyDescent="0.25">
      <c r="A139" s="20" t="s">
        <v>329</v>
      </c>
      <c r="B139" s="1" t="s">
        <v>99</v>
      </c>
      <c r="C139" s="3">
        <v>107</v>
      </c>
      <c r="D139" s="1" t="s">
        <v>177</v>
      </c>
      <c r="E139" s="1" t="s">
        <v>133</v>
      </c>
      <c r="F139" s="21" t="s">
        <v>133</v>
      </c>
      <c r="G139" s="1" t="s">
        <v>102</v>
      </c>
      <c r="H139" s="1">
        <v>105</v>
      </c>
      <c r="I139" s="1" t="s">
        <v>1890</v>
      </c>
      <c r="J139" s="1"/>
      <c r="K139" s="1">
        <v>0.4</v>
      </c>
      <c r="L139" s="23"/>
      <c r="M139" s="23">
        <v>5</v>
      </c>
      <c r="N139" s="24" t="s">
        <v>103</v>
      </c>
      <c r="O139" s="25"/>
      <c r="P139" s="25">
        <v>150</v>
      </c>
      <c r="Q139" s="25">
        <v>60</v>
      </c>
      <c r="R139" s="25"/>
      <c r="S139" s="27"/>
      <c r="T139" s="25">
        <v>120</v>
      </c>
      <c r="U139" s="25"/>
      <c r="V139" s="28"/>
      <c r="W139" s="25"/>
      <c r="X139" s="29">
        <v>1</v>
      </c>
      <c r="Y139" s="1" t="s">
        <v>45</v>
      </c>
      <c r="Z139" s="1" t="s">
        <v>151</v>
      </c>
      <c r="AA139" s="1"/>
    </row>
    <row r="140" spans="1:27" ht="23.1" customHeight="1" x14ac:dyDescent="0.25">
      <c r="A140" s="20" t="s">
        <v>329</v>
      </c>
      <c r="B140" s="1" t="s">
        <v>110</v>
      </c>
      <c r="C140" s="3">
        <v>14</v>
      </c>
      <c r="D140" s="1" t="s">
        <v>337</v>
      </c>
      <c r="E140" s="1" t="s">
        <v>236</v>
      </c>
      <c r="F140" s="21" t="s">
        <v>236</v>
      </c>
      <c r="G140" s="1" t="s">
        <v>154</v>
      </c>
      <c r="H140" s="1">
        <v>50</v>
      </c>
      <c r="I140" s="1" t="s">
        <v>1899</v>
      </c>
      <c r="J140" s="1">
        <v>0.5</v>
      </c>
      <c r="K140" s="1">
        <v>0.3</v>
      </c>
      <c r="L140" s="23"/>
      <c r="M140" s="23">
        <v>28</v>
      </c>
      <c r="N140" s="24" t="s">
        <v>338</v>
      </c>
      <c r="O140" s="25"/>
      <c r="P140" s="25">
        <v>2640</v>
      </c>
      <c r="Q140" s="25"/>
      <c r="R140" s="25"/>
      <c r="S140" s="27"/>
      <c r="T140" s="25">
        <v>90</v>
      </c>
      <c r="U140" s="25"/>
      <c r="V140" s="28"/>
      <c r="W140" s="25"/>
      <c r="X140" s="29">
        <v>13.2</v>
      </c>
      <c r="Y140" s="1" t="s">
        <v>31</v>
      </c>
      <c r="Z140" s="1"/>
      <c r="AA140" s="1"/>
    </row>
    <row r="141" spans="1:27" ht="23.1" customHeight="1" x14ac:dyDescent="0.25">
      <c r="A141" s="20" t="s">
        <v>329</v>
      </c>
      <c r="B141" s="1" t="s">
        <v>110</v>
      </c>
      <c r="C141" s="3">
        <v>14</v>
      </c>
      <c r="D141" s="1" t="s">
        <v>276</v>
      </c>
      <c r="E141" s="1" t="s">
        <v>277</v>
      </c>
      <c r="F141" s="21" t="s">
        <v>277</v>
      </c>
      <c r="G141" s="1" t="s">
        <v>154</v>
      </c>
      <c r="H141" s="1">
        <v>50</v>
      </c>
      <c r="I141" s="1" t="s">
        <v>1899</v>
      </c>
      <c r="J141" s="1">
        <v>0</v>
      </c>
      <c r="K141" s="1">
        <v>0.1</v>
      </c>
      <c r="L141" s="23"/>
      <c r="M141" s="23">
        <v>37</v>
      </c>
      <c r="N141" s="24" t="s">
        <v>339</v>
      </c>
      <c r="O141" s="25"/>
      <c r="P141" s="25">
        <v>2640</v>
      </c>
      <c r="Q141" s="25"/>
      <c r="R141" s="25"/>
      <c r="S141" s="27"/>
      <c r="T141" s="25">
        <v>90</v>
      </c>
      <c r="U141" s="25"/>
      <c r="V141" s="28"/>
      <c r="W141" s="25"/>
      <c r="X141" s="29">
        <v>4.4000000000000004</v>
      </c>
      <c r="Y141" s="1" t="s">
        <v>31</v>
      </c>
      <c r="Z141" s="1"/>
      <c r="AA141" s="1"/>
    </row>
    <row r="142" spans="1:27" ht="23.1" customHeight="1" x14ac:dyDescent="0.25">
      <c r="A142" s="20" t="s">
        <v>329</v>
      </c>
      <c r="B142" s="1" t="s">
        <v>110</v>
      </c>
      <c r="C142" s="3">
        <v>13</v>
      </c>
      <c r="D142" s="1" t="s">
        <v>245</v>
      </c>
      <c r="E142" s="1" t="s">
        <v>246</v>
      </c>
      <c r="F142" s="21" t="s">
        <v>246</v>
      </c>
      <c r="G142" s="1" t="s">
        <v>123</v>
      </c>
      <c r="H142" s="1">
        <v>40</v>
      </c>
      <c r="I142" s="1" t="s">
        <v>1902</v>
      </c>
      <c r="J142" s="1">
        <v>3.5</v>
      </c>
      <c r="K142" s="1">
        <v>4</v>
      </c>
      <c r="L142" s="23">
        <v>31</v>
      </c>
      <c r="M142" s="23">
        <v>5</v>
      </c>
      <c r="N142" s="24" t="s">
        <v>340</v>
      </c>
      <c r="O142" s="25"/>
      <c r="P142" s="25">
        <v>230</v>
      </c>
      <c r="Q142" s="25"/>
      <c r="R142" s="25"/>
      <c r="S142" s="27"/>
      <c r="T142" s="25">
        <v>120</v>
      </c>
      <c r="U142" s="25"/>
      <c r="V142" s="28"/>
      <c r="W142" s="25"/>
      <c r="X142" s="29">
        <v>15.3</v>
      </c>
      <c r="Y142" s="1" t="s">
        <v>72</v>
      </c>
      <c r="Z142" s="1"/>
      <c r="AA142" s="1"/>
    </row>
    <row r="143" spans="1:27" ht="23.1" customHeight="1" x14ac:dyDescent="0.25">
      <c r="A143" s="20" t="s">
        <v>329</v>
      </c>
      <c r="B143" s="1" t="s">
        <v>110</v>
      </c>
      <c r="C143" s="3">
        <v>15</v>
      </c>
      <c r="D143" s="1" t="s">
        <v>217</v>
      </c>
      <c r="E143" s="1" t="s">
        <v>218</v>
      </c>
      <c r="F143" s="21" t="s">
        <v>218</v>
      </c>
      <c r="G143" s="1" t="s">
        <v>107</v>
      </c>
      <c r="H143" s="1">
        <v>40</v>
      </c>
      <c r="I143" s="1" t="s">
        <v>1853</v>
      </c>
      <c r="J143" s="1">
        <v>6</v>
      </c>
      <c r="K143" s="1">
        <v>4</v>
      </c>
      <c r="L143" s="23">
        <v>28</v>
      </c>
      <c r="M143" s="23">
        <v>28</v>
      </c>
      <c r="N143" s="24" t="s">
        <v>341</v>
      </c>
      <c r="O143" s="25"/>
      <c r="P143" s="25">
        <v>150</v>
      </c>
      <c r="Q143" s="25"/>
      <c r="R143" s="25"/>
      <c r="S143" s="27"/>
      <c r="T143" s="25">
        <v>90</v>
      </c>
      <c r="U143" s="25"/>
      <c r="V143" s="28"/>
      <c r="W143" s="25"/>
      <c r="X143" s="29">
        <v>10</v>
      </c>
      <c r="Y143" s="1" t="s">
        <v>31</v>
      </c>
      <c r="Z143" s="1"/>
      <c r="AA143" s="1"/>
    </row>
    <row r="144" spans="1:27" ht="23.1" customHeight="1" x14ac:dyDescent="0.25">
      <c r="A144" s="20" t="s">
        <v>329</v>
      </c>
      <c r="B144" s="1" t="s">
        <v>110</v>
      </c>
      <c r="C144" s="3">
        <v>15</v>
      </c>
      <c r="D144" s="1" t="s">
        <v>217</v>
      </c>
      <c r="E144" s="1" t="s">
        <v>218</v>
      </c>
      <c r="F144" s="21" t="s">
        <v>218</v>
      </c>
      <c r="G144" s="1" t="s">
        <v>107</v>
      </c>
      <c r="H144" s="1">
        <v>45</v>
      </c>
      <c r="I144" s="1" t="s">
        <v>1927</v>
      </c>
      <c r="J144" s="1">
        <v>0</v>
      </c>
      <c r="K144" s="1">
        <v>0.3</v>
      </c>
      <c r="L144" s="23"/>
      <c r="M144" s="23">
        <v>26</v>
      </c>
      <c r="N144" s="24" t="s">
        <v>342</v>
      </c>
      <c r="O144" s="25"/>
      <c r="P144" s="25">
        <v>420</v>
      </c>
      <c r="Q144" s="25"/>
      <c r="R144" s="25"/>
      <c r="S144" s="27"/>
      <c r="T144" s="25">
        <v>90</v>
      </c>
      <c r="U144" s="25"/>
      <c r="V144" s="28"/>
      <c r="W144" s="25"/>
      <c r="X144" s="29">
        <v>2.1</v>
      </c>
      <c r="Y144" s="1" t="s">
        <v>31</v>
      </c>
      <c r="Z144" s="1"/>
      <c r="AA144" s="1"/>
    </row>
    <row r="145" spans="1:27" ht="23.1" customHeight="1" x14ac:dyDescent="0.25">
      <c r="A145" s="20" t="s">
        <v>329</v>
      </c>
      <c r="B145" s="1" t="s">
        <v>110</v>
      </c>
      <c r="C145" s="3">
        <v>12</v>
      </c>
      <c r="D145" s="1" t="s">
        <v>343</v>
      </c>
      <c r="E145" s="1" t="s">
        <v>249</v>
      </c>
      <c r="F145" s="21" t="s">
        <v>249</v>
      </c>
      <c r="G145" s="1" t="s">
        <v>250</v>
      </c>
      <c r="H145" s="1">
        <v>25</v>
      </c>
      <c r="I145" s="1" t="s">
        <v>1923</v>
      </c>
      <c r="J145" s="1">
        <v>0.8</v>
      </c>
      <c r="K145" s="1">
        <v>1</v>
      </c>
      <c r="L145" s="23"/>
      <c r="M145" s="23">
        <v>26</v>
      </c>
      <c r="N145" s="24" t="s">
        <v>344</v>
      </c>
      <c r="O145" s="25"/>
      <c r="P145" s="25">
        <v>1080</v>
      </c>
      <c r="Q145" s="25"/>
      <c r="R145" s="25"/>
      <c r="S145" s="27"/>
      <c r="T145" s="25">
        <v>120</v>
      </c>
      <c r="U145" s="25"/>
      <c r="V145" s="28"/>
      <c r="W145" s="25"/>
      <c r="X145" s="29">
        <v>18</v>
      </c>
      <c r="Y145" s="1" t="s">
        <v>72</v>
      </c>
      <c r="Z145" s="1"/>
      <c r="AA145" s="1"/>
    </row>
    <row r="146" spans="1:27" ht="23.1" customHeight="1" x14ac:dyDescent="0.25">
      <c r="A146" s="20" t="s">
        <v>329</v>
      </c>
      <c r="B146" s="1" t="s">
        <v>110</v>
      </c>
      <c r="C146" s="3">
        <v>9</v>
      </c>
      <c r="D146" s="1" t="s">
        <v>229</v>
      </c>
      <c r="E146" s="1" t="s">
        <v>230</v>
      </c>
      <c r="F146" s="21" t="s">
        <v>230</v>
      </c>
      <c r="G146" s="1" t="s">
        <v>154</v>
      </c>
      <c r="H146" s="1">
        <v>20</v>
      </c>
      <c r="I146" s="1" t="s">
        <v>1908</v>
      </c>
      <c r="J146" s="1">
        <v>3</v>
      </c>
      <c r="K146" s="1">
        <v>4</v>
      </c>
      <c r="L146" s="23">
        <v>31</v>
      </c>
      <c r="M146" s="23">
        <v>31</v>
      </c>
      <c r="N146" s="24" t="s">
        <v>345</v>
      </c>
      <c r="O146" s="25"/>
      <c r="P146" s="25">
        <v>190</v>
      </c>
      <c r="Q146" s="25"/>
      <c r="R146" s="25"/>
      <c r="S146" s="27"/>
      <c r="T146" s="25">
        <v>60</v>
      </c>
      <c r="U146" s="25"/>
      <c r="V146" s="28"/>
      <c r="W146" s="25"/>
      <c r="X146" s="29">
        <v>12.7</v>
      </c>
      <c r="Y146" s="1" t="s">
        <v>55</v>
      </c>
      <c r="Z146" s="1"/>
      <c r="AA146" s="1"/>
    </row>
    <row r="147" spans="1:27" ht="23.1" customHeight="1" x14ac:dyDescent="0.25">
      <c r="A147" s="20" t="s">
        <v>329</v>
      </c>
      <c r="B147" s="1" t="s">
        <v>110</v>
      </c>
      <c r="C147" s="3">
        <v>10</v>
      </c>
      <c r="D147" s="1" t="s">
        <v>232</v>
      </c>
      <c r="E147" s="1" t="s">
        <v>233</v>
      </c>
      <c r="F147" s="21" t="s">
        <v>233</v>
      </c>
      <c r="G147" s="1" t="s">
        <v>102</v>
      </c>
      <c r="H147" s="1">
        <v>75</v>
      </c>
      <c r="I147" s="1" t="s">
        <v>1928</v>
      </c>
      <c r="J147" s="1">
        <v>1</v>
      </c>
      <c r="K147" s="1">
        <v>1</v>
      </c>
      <c r="L147" s="23">
        <v>19</v>
      </c>
      <c r="M147" s="23"/>
      <c r="N147" s="24" t="s">
        <v>234</v>
      </c>
      <c r="O147" s="25"/>
      <c r="P147" s="25">
        <v>300</v>
      </c>
      <c r="Q147" s="25"/>
      <c r="R147" s="25"/>
      <c r="S147" s="27"/>
      <c r="T147" s="25">
        <v>120</v>
      </c>
      <c r="U147" s="25"/>
      <c r="V147" s="28">
        <v>1</v>
      </c>
      <c r="W147" s="25">
        <v>3</v>
      </c>
      <c r="X147" s="29">
        <v>10</v>
      </c>
      <c r="Y147" s="1" t="s">
        <v>55</v>
      </c>
      <c r="Z147" s="1" t="s">
        <v>346</v>
      </c>
      <c r="AA147" s="30"/>
    </row>
    <row r="148" spans="1:27" ht="23.1" customHeight="1" x14ac:dyDescent="0.25">
      <c r="A148" s="20" t="s">
        <v>329</v>
      </c>
      <c r="B148" s="1" t="s">
        <v>110</v>
      </c>
      <c r="C148" s="3">
        <v>10</v>
      </c>
      <c r="D148" s="1" t="s">
        <v>308</v>
      </c>
      <c r="E148" s="1" t="s">
        <v>309</v>
      </c>
      <c r="F148" s="21" t="s">
        <v>309</v>
      </c>
      <c r="G148" s="1" t="s">
        <v>102</v>
      </c>
      <c r="H148" s="1">
        <v>70</v>
      </c>
      <c r="I148" s="1" t="s">
        <v>1851</v>
      </c>
      <c r="J148" s="1">
        <v>0.2</v>
      </c>
      <c r="K148" s="1">
        <v>0.2</v>
      </c>
      <c r="L148" s="23"/>
      <c r="M148" s="23">
        <v>28</v>
      </c>
      <c r="N148" s="24" t="s">
        <v>234</v>
      </c>
      <c r="O148" s="25"/>
      <c r="P148" s="25">
        <v>1320</v>
      </c>
      <c r="Q148" s="25"/>
      <c r="R148" s="25"/>
      <c r="S148" s="27"/>
      <c r="T148" s="25">
        <v>120</v>
      </c>
      <c r="U148" s="25"/>
      <c r="V148" s="28"/>
      <c r="W148" s="25"/>
      <c r="X148" s="29">
        <v>4.4000000000000004</v>
      </c>
      <c r="Y148" s="1" t="s">
        <v>55</v>
      </c>
      <c r="Z148" s="1"/>
      <c r="AA148" s="1"/>
    </row>
    <row r="149" spans="1:27" ht="23.1" customHeight="1" x14ac:dyDescent="0.25">
      <c r="A149" s="20" t="s">
        <v>329</v>
      </c>
      <c r="B149" s="1" t="s">
        <v>110</v>
      </c>
      <c r="C149" s="3">
        <v>10</v>
      </c>
      <c r="D149" s="1" t="s">
        <v>308</v>
      </c>
      <c r="E149" s="1" t="s">
        <v>309</v>
      </c>
      <c r="F149" s="21" t="s">
        <v>309</v>
      </c>
      <c r="G149" s="1" t="s">
        <v>102</v>
      </c>
      <c r="H149" s="1">
        <v>75</v>
      </c>
      <c r="I149" s="1" t="s">
        <v>2430</v>
      </c>
      <c r="J149" s="1">
        <v>1</v>
      </c>
      <c r="K149" s="1">
        <v>1</v>
      </c>
      <c r="L149" s="23">
        <v>19</v>
      </c>
      <c r="M149" s="23"/>
      <c r="N149" s="24" t="s">
        <v>234</v>
      </c>
      <c r="O149" s="25"/>
      <c r="P149" s="25">
        <v>300</v>
      </c>
      <c r="Q149" s="25"/>
      <c r="R149" s="25"/>
      <c r="S149" s="27"/>
      <c r="T149" s="25">
        <v>120</v>
      </c>
      <c r="U149" s="25"/>
      <c r="V149" s="28">
        <v>1</v>
      </c>
      <c r="W149" s="25">
        <v>2</v>
      </c>
      <c r="X149" s="29">
        <v>9</v>
      </c>
      <c r="Y149" s="1" t="s">
        <v>55</v>
      </c>
      <c r="Z149" s="1" t="s">
        <v>347</v>
      </c>
      <c r="AA149" s="30"/>
    </row>
    <row r="150" spans="1:27" ht="23.1" customHeight="1" x14ac:dyDescent="0.25">
      <c r="A150" s="20" t="s">
        <v>329</v>
      </c>
      <c r="B150" s="1" t="s">
        <v>110</v>
      </c>
      <c r="C150" s="3">
        <v>18</v>
      </c>
      <c r="D150" s="1" t="s">
        <v>205</v>
      </c>
      <c r="E150" s="1" t="s">
        <v>206</v>
      </c>
      <c r="F150" s="21" t="s">
        <v>206</v>
      </c>
      <c r="G150" s="1" t="s">
        <v>123</v>
      </c>
      <c r="H150" s="1">
        <v>25</v>
      </c>
      <c r="I150" s="1" t="s">
        <v>1892</v>
      </c>
      <c r="J150" s="1">
        <v>1.5</v>
      </c>
      <c r="K150" s="1">
        <v>1.3</v>
      </c>
      <c r="L150" s="23">
        <v>28</v>
      </c>
      <c r="M150" s="23">
        <v>26</v>
      </c>
      <c r="N150" s="24" t="s">
        <v>348</v>
      </c>
      <c r="O150" s="25"/>
      <c r="P150" s="25">
        <v>720</v>
      </c>
      <c r="Q150" s="25"/>
      <c r="R150" s="25"/>
      <c r="S150" s="27"/>
      <c r="T150" s="25">
        <v>90</v>
      </c>
      <c r="U150" s="25"/>
      <c r="V150" s="28"/>
      <c r="W150" s="25"/>
      <c r="X150" s="29">
        <v>15.6</v>
      </c>
      <c r="Y150" s="1" t="s">
        <v>55</v>
      </c>
      <c r="Z150" s="1"/>
      <c r="AA150" s="1"/>
    </row>
    <row r="151" spans="1:27" ht="23.1" customHeight="1" x14ac:dyDescent="0.25">
      <c r="A151" s="20" t="s">
        <v>329</v>
      </c>
      <c r="B151" s="1" t="s">
        <v>110</v>
      </c>
      <c r="C151" s="3">
        <v>76</v>
      </c>
      <c r="D151" s="1" t="s">
        <v>349</v>
      </c>
      <c r="E151" s="1" t="s">
        <v>350</v>
      </c>
      <c r="F151" s="21" t="s">
        <v>350</v>
      </c>
      <c r="G151" s="1" t="s">
        <v>154</v>
      </c>
      <c r="H151" s="1">
        <v>10</v>
      </c>
      <c r="I151" s="1" t="s">
        <v>1916</v>
      </c>
      <c r="J151" s="1">
        <v>20</v>
      </c>
      <c r="K151" s="1">
        <v>20</v>
      </c>
      <c r="L151" s="23">
        <v>31</v>
      </c>
      <c r="M151" s="23">
        <v>31</v>
      </c>
      <c r="N151" s="24" t="s">
        <v>351</v>
      </c>
      <c r="O151" s="25"/>
      <c r="P151" s="25">
        <v>30</v>
      </c>
      <c r="Q151" s="25"/>
      <c r="R151" s="25"/>
      <c r="S151" s="27"/>
      <c r="T151" s="25">
        <v>60</v>
      </c>
      <c r="U151" s="25"/>
      <c r="V151" s="28">
        <v>1</v>
      </c>
      <c r="W151" s="25"/>
      <c r="X151" s="29">
        <v>11</v>
      </c>
      <c r="Y151" s="1" t="s">
        <v>46</v>
      </c>
      <c r="Z151" s="1" t="s">
        <v>331</v>
      </c>
      <c r="AA151" s="1"/>
    </row>
    <row r="152" spans="1:27" ht="23.1" customHeight="1" x14ac:dyDescent="0.25">
      <c r="A152" s="20" t="s">
        <v>329</v>
      </c>
      <c r="B152" s="1" t="s">
        <v>110</v>
      </c>
      <c r="C152" s="3">
        <v>56</v>
      </c>
      <c r="D152" s="1" t="s">
        <v>273</v>
      </c>
      <c r="E152" s="1" t="s">
        <v>274</v>
      </c>
      <c r="F152" s="21" t="s">
        <v>274</v>
      </c>
      <c r="G152" s="1" t="s">
        <v>123</v>
      </c>
      <c r="H152" s="1">
        <v>10</v>
      </c>
      <c r="I152" s="1" t="s">
        <v>1916</v>
      </c>
      <c r="J152" s="1">
        <v>20</v>
      </c>
      <c r="K152" s="1">
        <v>20</v>
      </c>
      <c r="L152" s="23">
        <v>28</v>
      </c>
      <c r="M152" s="23">
        <v>28</v>
      </c>
      <c r="N152" s="24" t="s">
        <v>231</v>
      </c>
      <c r="O152" s="25"/>
      <c r="P152" s="25">
        <v>25</v>
      </c>
      <c r="Q152" s="25"/>
      <c r="R152" s="25"/>
      <c r="S152" s="27"/>
      <c r="T152" s="25">
        <v>60</v>
      </c>
      <c r="U152" s="25"/>
      <c r="V152" s="28"/>
      <c r="W152" s="25"/>
      <c r="X152" s="29">
        <v>8.3000000000000007</v>
      </c>
      <c r="Y152" s="1" t="s">
        <v>46</v>
      </c>
      <c r="Z152" s="1"/>
      <c r="AA152" s="1"/>
    </row>
    <row r="153" spans="1:27" ht="23.1" customHeight="1" x14ac:dyDescent="0.25">
      <c r="A153" s="20" t="s">
        <v>188</v>
      </c>
      <c r="B153" s="1" t="s">
        <v>113</v>
      </c>
      <c r="C153" s="3">
        <v>59</v>
      </c>
      <c r="D153" s="1" t="s">
        <v>138</v>
      </c>
      <c r="E153" s="1" t="s">
        <v>139</v>
      </c>
      <c r="F153" s="21" t="s">
        <v>139</v>
      </c>
      <c r="G153" s="1" t="s">
        <v>102</v>
      </c>
      <c r="H153" s="1">
        <v>35</v>
      </c>
      <c r="I153" s="1" t="s">
        <v>2431</v>
      </c>
      <c r="J153" s="1">
        <v>1</v>
      </c>
      <c r="K153" s="1">
        <v>1</v>
      </c>
      <c r="L153" s="23">
        <v>5</v>
      </c>
      <c r="M153" s="23">
        <v>5</v>
      </c>
      <c r="N153" s="24" t="s">
        <v>140</v>
      </c>
      <c r="O153" s="25"/>
      <c r="P153" s="25">
        <v>30</v>
      </c>
      <c r="Q153" s="25"/>
      <c r="R153" s="25"/>
      <c r="S153" s="27"/>
      <c r="T153" s="25">
        <v>60</v>
      </c>
      <c r="U153" s="25"/>
      <c r="V153" s="28">
        <v>1</v>
      </c>
      <c r="W153" s="25"/>
      <c r="X153" s="29">
        <v>1.5</v>
      </c>
      <c r="Y153" s="64" t="s">
        <v>1847</v>
      </c>
      <c r="Z153" s="1" t="s">
        <v>278</v>
      </c>
      <c r="AA153" s="1"/>
    </row>
    <row r="154" spans="1:27" ht="23.1" customHeight="1" x14ac:dyDescent="0.25">
      <c r="A154" s="20" t="s">
        <v>329</v>
      </c>
      <c r="B154" s="1" t="s">
        <v>110</v>
      </c>
      <c r="C154" s="3">
        <v>17</v>
      </c>
      <c r="D154" s="3" t="s">
        <v>352</v>
      </c>
      <c r="E154" s="1" t="s">
        <v>353</v>
      </c>
      <c r="F154" s="21" t="e">
        <v>#N/A</v>
      </c>
      <c r="G154" s="1" t="s">
        <v>300</v>
      </c>
      <c r="H154" s="1" t="s">
        <v>354</v>
      </c>
      <c r="I154" s="1" t="s">
        <v>1930</v>
      </c>
      <c r="J154" s="1"/>
      <c r="K154" s="1">
        <v>1</v>
      </c>
      <c r="L154" s="23">
        <v>28</v>
      </c>
      <c r="M154" s="23">
        <v>28</v>
      </c>
      <c r="N154" s="24" t="s">
        <v>355</v>
      </c>
      <c r="O154" s="25"/>
      <c r="P154" s="25">
        <v>40</v>
      </c>
      <c r="Q154" s="25"/>
      <c r="R154" s="25"/>
      <c r="S154" s="27"/>
      <c r="T154" s="25">
        <v>60</v>
      </c>
      <c r="U154" s="25"/>
      <c r="V154" s="28">
        <v>1</v>
      </c>
      <c r="W154" s="25"/>
      <c r="X154" s="29">
        <v>1.7</v>
      </c>
      <c r="Y154" s="1" t="s">
        <v>0</v>
      </c>
      <c r="Z154" s="1" t="s">
        <v>356</v>
      </c>
      <c r="AA154" s="1"/>
    </row>
    <row r="155" spans="1:27" ht="23.1" customHeight="1" x14ac:dyDescent="0.25">
      <c r="A155" s="20" t="s">
        <v>329</v>
      </c>
      <c r="B155" s="1" t="s">
        <v>110</v>
      </c>
      <c r="C155" s="3">
        <v>47</v>
      </c>
      <c r="D155" s="1" t="s">
        <v>258</v>
      </c>
      <c r="E155" s="1" t="s">
        <v>259</v>
      </c>
      <c r="F155" s="21" t="s">
        <v>284</v>
      </c>
      <c r="G155" s="1" t="s">
        <v>154</v>
      </c>
      <c r="H155" s="1">
        <v>50</v>
      </c>
      <c r="I155" s="1" t="s">
        <v>1907</v>
      </c>
      <c r="J155" s="1">
        <v>1</v>
      </c>
      <c r="K155" s="1">
        <v>0.3</v>
      </c>
      <c r="L155" s="23"/>
      <c r="M155" s="23">
        <v>28</v>
      </c>
      <c r="N155" s="24" t="s">
        <v>285</v>
      </c>
      <c r="O155" s="25"/>
      <c r="P155" s="25">
        <v>630</v>
      </c>
      <c r="Q155" s="25">
        <v>120</v>
      </c>
      <c r="R155" s="25"/>
      <c r="S155" s="27"/>
      <c r="T155" s="25">
        <v>90</v>
      </c>
      <c r="U155" s="25"/>
      <c r="V155" s="28"/>
      <c r="W155" s="25"/>
      <c r="X155" s="29">
        <v>3.2</v>
      </c>
      <c r="Y155" s="1" t="s">
        <v>33</v>
      </c>
      <c r="Z155" s="1"/>
      <c r="AA155" s="1"/>
    </row>
    <row r="156" spans="1:27" ht="23.1" customHeight="1" x14ac:dyDescent="0.25">
      <c r="A156" s="20" t="s">
        <v>329</v>
      </c>
      <c r="B156" s="1" t="s">
        <v>110</v>
      </c>
      <c r="C156" s="3">
        <v>23</v>
      </c>
      <c r="D156" s="1" t="s">
        <v>288</v>
      </c>
      <c r="E156" s="1" t="s">
        <v>255</v>
      </c>
      <c r="F156" s="21" t="s">
        <v>1532</v>
      </c>
      <c r="G156" s="1" t="s">
        <v>250</v>
      </c>
      <c r="H156" s="1">
        <v>45</v>
      </c>
      <c r="I156" s="1" t="s">
        <v>1919</v>
      </c>
      <c r="J156" s="1">
        <v>0.7</v>
      </c>
      <c r="K156" s="1">
        <v>0.8</v>
      </c>
      <c r="L156" s="23"/>
      <c r="M156" s="23">
        <v>26</v>
      </c>
      <c r="N156" s="24" t="s">
        <v>357</v>
      </c>
      <c r="O156" s="25"/>
      <c r="P156" s="25">
        <v>660</v>
      </c>
      <c r="Q156" s="25">
        <v>90</v>
      </c>
      <c r="R156" s="25"/>
      <c r="S156" s="27"/>
      <c r="T156" s="25">
        <v>120</v>
      </c>
      <c r="U156" s="25"/>
      <c r="V156" s="28"/>
      <c r="W156" s="25"/>
      <c r="X156" s="29">
        <v>8.8000000000000007</v>
      </c>
      <c r="Y156" s="1" t="s">
        <v>33</v>
      </c>
      <c r="Z156" s="1"/>
      <c r="AA156" s="1"/>
    </row>
    <row r="157" spans="1:27" ht="23.1" customHeight="1" x14ac:dyDescent="0.25">
      <c r="A157" s="20" t="s">
        <v>329</v>
      </c>
      <c r="B157" s="1" t="s">
        <v>110</v>
      </c>
      <c r="C157" s="3">
        <v>23</v>
      </c>
      <c r="D157" s="1" t="s">
        <v>288</v>
      </c>
      <c r="E157" s="1" t="s">
        <v>255</v>
      </c>
      <c r="F157" s="21" t="s">
        <v>1532</v>
      </c>
      <c r="G157" s="1" t="s">
        <v>250</v>
      </c>
      <c r="H157" s="1">
        <v>45</v>
      </c>
      <c r="I157" s="1" t="s">
        <v>1919</v>
      </c>
      <c r="J157" s="1">
        <v>0.2</v>
      </c>
      <c r="K157" s="1">
        <v>0.2</v>
      </c>
      <c r="L157" s="23">
        <v>23</v>
      </c>
      <c r="M157" s="23"/>
      <c r="N157" s="24" t="s">
        <v>155</v>
      </c>
      <c r="O157" s="25"/>
      <c r="P157" s="25">
        <v>660</v>
      </c>
      <c r="Q157" s="25">
        <v>90</v>
      </c>
      <c r="R157" s="25"/>
      <c r="S157" s="27">
        <v>1</v>
      </c>
      <c r="T157" s="25">
        <v>120</v>
      </c>
      <c r="U157" s="25"/>
      <c r="V157" s="28"/>
      <c r="W157" s="25"/>
      <c r="X157" s="29">
        <v>3.7</v>
      </c>
      <c r="Y157" s="1" t="s">
        <v>33</v>
      </c>
      <c r="Z157" s="1" t="s">
        <v>145</v>
      </c>
      <c r="AA157" s="1"/>
    </row>
    <row r="158" spans="1:27" ht="23.1" customHeight="1" x14ac:dyDescent="0.25">
      <c r="A158" s="20" t="s">
        <v>329</v>
      </c>
      <c r="B158" s="1" t="s">
        <v>110</v>
      </c>
      <c r="C158" s="3">
        <v>58</v>
      </c>
      <c r="D158" s="1" t="s">
        <v>214</v>
      </c>
      <c r="E158" s="1" t="s">
        <v>215</v>
      </c>
      <c r="F158" s="21" t="s">
        <v>215</v>
      </c>
      <c r="G158" s="1" t="s">
        <v>118</v>
      </c>
      <c r="H158" s="1">
        <v>25</v>
      </c>
      <c r="I158" s="1" t="s">
        <v>1894</v>
      </c>
      <c r="J158" s="1"/>
      <c r="K158" s="1">
        <v>6</v>
      </c>
      <c r="L158" s="23">
        <v>28</v>
      </c>
      <c r="M158" s="23">
        <v>37</v>
      </c>
      <c r="N158" s="24" t="s">
        <v>164</v>
      </c>
      <c r="O158" s="25"/>
      <c r="P158" s="25">
        <v>170</v>
      </c>
      <c r="Q158" s="25"/>
      <c r="R158" s="25"/>
      <c r="S158" s="27"/>
      <c r="T158" s="25">
        <v>60</v>
      </c>
      <c r="U158" s="25"/>
      <c r="V158" s="28"/>
      <c r="W158" s="25"/>
      <c r="X158" s="29">
        <v>17</v>
      </c>
      <c r="Y158" s="1" t="s">
        <v>0</v>
      </c>
      <c r="Z158" s="1"/>
      <c r="AA158" s="1"/>
    </row>
    <row r="159" spans="1:27" ht="23.1" customHeight="1" x14ac:dyDescent="0.25">
      <c r="A159" s="20" t="s">
        <v>329</v>
      </c>
      <c r="B159" s="1" t="s">
        <v>110</v>
      </c>
      <c r="C159" s="3">
        <v>21</v>
      </c>
      <c r="D159" s="1" t="s">
        <v>321</v>
      </c>
      <c r="E159" s="1" t="s">
        <v>322</v>
      </c>
      <c r="F159" s="21" t="s">
        <v>322</v>
      </c>
      <c r="G159" s="1" t="s">
        <v>323</v>
      </c>
      <c r="H159" s="1">
        <v>35</v>
      </c>
      <c r="I159" s="1" t="s">
        <v>1925</v>
      </c>
      <c r="J159" s="1">
        <v>1.5</v>
      </c>
      <c r="K159" s="1">
        <v>2</v>
      </c>
      <c r="L159" s="23">
        <v>28</v>
      </c>
      <c r="M159" s="23">
        <v>26</v>
      </c>
      <c r="N159" s="24" t="s">
        <v>324</v>
      </c>
      <c r="O159" s="25"/>
      <c r="P159" s="25">
        <v>480</v>
      </c>
      <c r="Q159" s="25">
        <v>120</v>
      </c>
      <c r="R159" s="25"/>
      <c r="S159" s="27">
        <v>2</v>
      </c>
      <c r="T159" s="25">
        <v>180</v>
      </c>
      <c r="U159" s="25"/>
      <c r="V159" s="28">
        <v>1</v>
      </c>
      <c r="W159" s="25"/>
      <c r="X159" s="29">
        <v>23</v>
      </c>
      <c r="Y159" s="1" t="s">
        <v>58</v>
      </c>
      <c r="Z159" s="1" t="s">
        <v>358</v>
      </c>
      <c r="AA159" s="1"/>
    </row>
    <row r="160" spans="1:27" ht="23.1" customHeight="1" x14ac:dyDescent="0.25">
      <c r="A160" s="20" t="s">
        <v>329</v>
      </c>
      <c r="B160" s="1" t="s">
        <v>110</v>
      </c>
      <c r="C160" s="3">
        <v>22</v>
      </c>
      <c r="D160" s="1" t="s">
        <v>111</v>
      </c>
      <c r="E160" s="1" t="s">
        <v>101</v>
      </c>
      <c r="F160" s="21" t="s">
        <v>101</v>
      </c>
      <c r="G160" s="1" t="s">
        <v>102</v>
      </c>
      <c r="H160" s="1">
        <v>30</v>
      </c>
      <c r="I160" s="1" t="s">
        <v>1877</v>
      </c>
      <c r="J160" s="1">
        <v>0.15</v>
      </c>
      <c r="K160" s="1">
        <v>0.15</v>
      </c>
      <c r="L160" s="23"/>
      <c r="M160" s="23">
        <v>26</v>
      </c>
      <c r="N160" s="24" t="s">
        <v>103</v>
      </c>
      <c r="O160" s="25"/>
      <c r="P160" s="25">
        <v>6000</v>
      </c>
      <c r="Q160" s="25">
        <v>180</v>
      </c>
      <c r="R160" s="25"/>
      <c r="S160" s="27"/>
      <c r="T160" s="25">
        <v>180</v>
      </c>
      <c r="U160" s="30"/>
      <c r="V160" s="28"/>
      <c r="W160" s="25"/>
      <c r="X160" s="29">
        <v>15</v>
      </c>
      <c r="Y160" s="1" t="s">
        <v>58</v>
      </c>
      <c r="Z160" s="1"/>
      <c r="AA160" s="1"/>
    </row>
    <row r="161" spans="1:27" ht="23.1" customHeight="1" x14ac:dyDescent="0.25">
      <c r="A161" s="20" t="s">
        <v>329</v>
      </c>
      <c r="B161" s="1" t="s">
        <v>110</v>
      </c>
      <c r="C161" s="3">
        <v>108</v>
      </c>
      <c r="D161" s="1" t="s">
        <v>291</v>
      </c>
      <c r="E161" s="1" t="s">
        <v>174</v>
      </c>
      <c r="F161" s="21" t="s">
        <v>1246</v>
      </c>
      <c r="G161" s="1" t="s">
        <v>154</v>
      </c>
      <c r="H161" s="1">
        <v>5</v>
      </c>
      <c r="I161" s="1" t="s">
        <v>1888</v>
      </c>
      <c r="J161" s="1">
        <v>2</v>
      </c>
      <c r="K161" s="1">
        <v>1</v>
      </c>
      <c r="L161" s="23"/>
      <c r="M161" s="23">
        <v>26</v>
      </c>
      <c r="N161" s="24" t="s">
        <v>216</v>
      </c>
      <c r="O161" s="25"/>
      <c r="P161" s="25">
        <v>600</v>
      </c>
      <c r="Q161" s="25">
        <v>120</v>
      </c>
      <c r="R161" s="25"/>
      <c r="S161" s="27">
        <v>1</v>
      </c>
      <c r="T161" s="25">
        <v>120</v>
      </c>
      <c r="U161" s="25"/>
      <c r="V161" s="28"/>
      <c r="W161" s="25"/>
      <c r="X161" s="29">
        <v>12</v>
      </c>
      <c r="Y161" s="1" t="s">
        <v>45</v>
      </c>
      <c r="Z161" s="1" t="s">
        <v>145</v>
      </c>
      <c r="AA161" s="1"/>
    </row>
    <row r="162" spans="1:27" ht="23.1" customHeight="1" x14ac:dyDescent="0.25">
      <c r="A162" s="20" t="s">
        <v>329</v>
      </c>
      <c r="B162" s="1" t="s">
        <v>110</v>
      </c>
      <c r="C162" s="3">
        <v>77</v>
      </c>
      <c r="D162" s="1" t="s">
        <v>211</v>
      </c>
      <c r="E162" s="1" t="s">
        <v>212</v>
      </c>
      <c r="F162" s="21" t="s">
        <v>212</v>
      </c>
      <c r="G162" s="1" t="s">
        <v>1838</v>
      </c>
      <c r="H162" s="1">
        <v>15</v>
      </c>
      <c r="I162" s="1" t="s">
        <v>1893</v>
      </c>
      <c r="J162" s="1">
        <v>8</v>
      </c>
      <c r="K162" s="1">
        <v>9</v>
      </c>
      <c r="L162" s="23">
        <v>19</v>
      </c>
      <c r="M162" s="23">
        <v>37</v>
      </c>
      <c r="N162" s="24" t="s">
        <v>213</v>
      </c>
      <c r="O162" s="25">
        <v>100</v>
      </c>
      <c r="P162" s="25">
        <v>60</v>
      </c>
      <c r="Q162" s="25"/>
      <c r="R162" s="25"/>
      <c r="S162" s="27"/>
      <c r="T162" s="25">
        <v>90</v>
      </c>
      <c r="U162" s="25"/>
      <c r="V162" s="28"/>
      <c r="W162" s="25"/>
      <c r="X162" s="32">
        <v>15</v>
      </c>
      <c r="Y162" s="1" t="s">
        <v>15</v>
      </c>
      <c r="Z162" s="30"/>
      <c r="AA162" s="1"/>
    </row>
    <row r="163" spans="1:27" ht="23.1" customHeight="1" x14ac:dyDescent="0.25">
      <c r="A163" s="20" t="s">
        <v>329</v>
      </c>
      <c r="B163" s="1" t="s">
        <v>110</v>
      </c>
      <c r="C163" s="3">
        <v>79</v>
      </c>
      <c r="D163" s="1" t="s">
        <v>152</v>
      </c>
      <c r="E163" s="1" t="s">
        <v>153</v>
      </c>
      <c r="F163" s="21" t="s">
        <v>1247</v>
      </c>
      <c r="G163" s="1" t="s">
        <v>154</v>
      </c>
      <c r="H163" s="1">
        <v>5</v>
      </c>
      <c r="I163" s="1" t="s">
        <v>1882</v>
      </c>
      <c r="J163" s="1">
        <v>1</v>
      </c>
      <c r="K163" s="1">
        <v>2</v>
      </c>
      <c r="L163" s="23">
        <v>28</v>
      </c>
      <c r="M163" s="23">
        <v>26</v>
      </c>
      <c r="N163" s="24" t="s">
        <v>359</v>
      </c>
      <c r="O163" s="25"/>
      <c r="P163" s="25">
        <v>770</v>
      </c>
      <c r="Q163" s="25">
        <v>120</v>
      </c>
      <c r="R163" s="25"/>
      <c r="S163" s="27">
        <v>2</v>
      </c>
      <c r="T163" s="25">
        <v>120</v>
      </c>
      <c r="U163" s="25"/>
      <c r="V163" s="28"/>
      <c r="W163" s="25"/>
      <c r="X163" s="29">
        <v>29.7</v>
      </c>
      <c r="Y163" s="1" t="s">
        <v>19</v>
      </c>
      <c r="Z163" s="1" t="s">
        <v>147</v>
      </c>
      <c r="AA163" s="1"/>
    </row>
    <row r="164" spans="1:27" ht="23.1" customHeight="1" x14ac:dyDescent="0.25">
      <c r="A164" s="20" t="s">
        <v>329</v>
      </c>
      <c r="B164" s="1" t="s">
        <v>110</v>
      </c>
      <c r="C164" s="3">
        <v>78</v>
      </c>
      <c r="D164" s="1" t="s">
        <v>261</v>
      </c>
      <c r="E164" s="1" t="s">
        <v>133</v>
      </c>
      <c r="F164" s="21" t="s">
        <v>133</v>
      </c>
      <c r="G164" s="1" t="s">
        <v>102</v>
      </c>
      <c r="H164" s="1">
        <v>65</v>
      </c>
      <c r="I164" s="1" t="s">
        <v>1879</v>
      </c>
      <c r="J164" s="1">
        <v>1</v>
      </c>
      <c r="K164" s="1">
        <v>0.1</v>
      </c>
      <c r="L164" s="23"/>
      <c r="M164" s="23">
        <v>28</v>
      </c>
      <c r="N164" s="24" t="s">
        <v>103</v>
      </c>
      <c r="O164" s="25"/>
      <c r="P164" s="25">
        <v>660</v>
      </c>
      <c r="Q164" s="25">
        <v>60</v>
      </c>
      <c r="R164" s="25"/>
      <c r="S164" s="27"/>
      <c r="T164" s="25">
        <v>120</v>
      </c>
      <c r="U164" s="25"/>
      <c r="V164" s="28"/>
      <c r="W164" s="25">
        <v>18.899999999999999</v>
      </c>
      <c r="X164" s="29">
        <v>20</v>
      </c>
      <c r="Y164" s="1" t="s">
        <v>19</v>
      </c>
      <c r="Z164" s="1" t="s">
        <v>360</v>
      </c>
      <c r="AA164" s="1"/>
    </row>
    <row r="165" spans="1:27" ht="23.1" customHeight="1" x14ac:dyDescent="0.25">
      <c r="A165" s="20" t="s">
        <v>329</v>
      </c>
      <c r="B165" s="1" t="s">
        <v>110</v>
      </c>
      <c r="C165" s="3">
        <v>17</v>
      </c>
      <c r="D165" s="3" t="s">
        <v>352</v>
      </c>
      <c r="E165" s="1" t="s">
        <v>353</v>
      </c>
      <c r="F165" s="21" t="e">
        <v>#N/A</v>
      </c>
      <c r="G165" s="1" t="s">
        <v>300</v>
      </c>
      <c r="H165" s="1" t="s">
        <v>361</v>
      </c>
      <c r="I165" s="1" t="s">
        <v>1916</v>
      </c>
      <c r="J165" s="1"/>
      <c r="K165" s="1">
        <v>1</v>
      </c>
      <c r="L165" s="23">
        <v>28</v>
      </c>
      <c r="M165" s="23">
        <v>28</v>
      </c>
      <c r="N165" s="24" t="s">
        <v>355</v>
      </c>
      <c r="O165" s="25"/>
      <c r="P165" s="25">
        <v>40</v>
      </c>
      <c r="Q165" s="25"/>
      <c r="R165" s="25"/>
      <c r="S165" s="27"/>
      <c r="T165" s="25">
        <v>60</v>
      </c>
      <c r="U165" s="25"/>
      <c r="V165" s="28"/>
      <c r="W165" s="25"/>
      <c r="X165" s="29">
        <v>0.7</v>
      </c>
      <c r="Y165" s="1" t="s">
        <v>0</v>
      </c>
      <c r="Z165" s="1" t="s">
        <v>356</v>
      </c>
      <c r="AA165" s="1"/>
    </row>
    <row r="166" spans="1:27" ht="23.1" customHeight="1" x14ac:dyDescent="0.25">
      <c r="A166" s="20" t="s">
        <v>329</v>
      </c>
      <c r="B166" s="1" t="s">
        <v>110</v>
      </c>
      <c r="C166" s="3">
        <v>17</v>
      </c>
      <c r="D166" s="3" t="s">
        <v>352</v>
      </c>
      <c r="E166" s="1" t="s">
        <v>353</v>
      </c>
      <c r="F166" s="21" t="e">
        <v>#N/A</v>
      </c>
      <c r="G166" s="1" t="s">
        <v>300</v>
      </c>
      <c r="H166" s="1" t="s">
        <v>362</v>
      </c>
      <c r="I166" s="1" t="s">
        <v>1931</v>
      </c>
      <c r="J166" s="1"/>
      <c r="K166" s="1">
        <v>1</v>
      </c>
      <c r="L166" s="23">
        <v>28</v>
      </c>
      <c r="M166" s="23">
        <v>28</v>
      </c>
      <c r="N166" s="24" t="s">
        <v>355</v>
      </c>
      <c r="O166" s="25"/>
      <c r="P166" s="25">
        <v>90</v>
      </c>
      <c r="Q166" s="25"/>
      <c r="R166" s="25"/>
      <c r="S166" s="27"/>
      <c r="T166" s="25">
        <v>60</v>
      </c>
      <c r="U166" s="25"/>
      <c r="V166" s="28">
        <v>1</v>
      </c>
      <c r="W166" s="25"/>
      <c r="X166" s="29">
        <v>2.5</v>
      </c>
      <c r="Y166" s="1" t="s">
        <v>0</v>
      </c>
      <c r="Z166" s="1" t="s">
        <v>356</v>
      </c>
      <c r="AA166" s="1"/>
    </row>
    <row r="167" spans="1:27" ht="23.1" customHeight="1" x14ac:dyDescent="0.25">
      <c r="A167" s="20" t="s">
        <v>329</v>
      </c>
      <c r="B167" s="1" t="s">
        <v>110</v>
      </c>
      <c r="C167" s="3">
        <v>59</v>
      </c>
      <c r="D167" s="1" t="s">
        <v>138</v>
      </c>
      <c r="E167" s="1" t="s">
        <v>139</v>
      </c>
      <c r="F167" s="21" t="s">
        <v>139</v>
      </c>
      <c r="G167" s="1" t="s">
        <v>102</v>
      </c>
      <c r="H167" s="1">
        <v>45</v>
      </c>
      <c r="I167" s="1" t="s">
        <v>1932</v>
      </c>
      <c r="J167" s="1">
        <v>2</v>
      </c>
      <c r="K167" s="1">
        <v>2</v>
      </c>
      <c r="L167" s="23">
        <v>19</v>
      </c>
      <c r="M167" s="23">
        <v>31</v>
      </c>
      <c r="N167" s="24" t="s">
        <v>140</v>
      </c>
      <c r="O167" s="25"/>
      <c r="P167" s="25">
        <v>120</v>
      </c>
      <c r="Q167" s="25"/>
      <c r="R167" s="25"/>
      <c r="S167" s="27"/>
      <c r="T167" s="25">
        <v>90</v>
      </c>
      <c r="U167" s="25"/>
      <c r="V167" s="28"/>
      <c r="W167" s="25"/>
      <c r="X167" s="29">
        <v>4</v>
      </c>
      <c r="Y167" s="1" t="s">
        <v>42</v>
      </c>
      <c r="Z167" s="1" t="s">
        <v>363</v>
      </c>
      <c r="AA167" s="1"/>
    </row>
    <row r="168" spans="1:27" ht="23.1" customHeight="1" x14ac:dyDescent="0.25">
      <c r="A168" s="20" t="s">
        <v>329</v>
      </c>
      <c r="B168" s="1" t="s">
        <v>110</v>
      </c>
      <c r="C168" s="3">
        <v>16</v>
      </c>
      <c r="D168" s="1" t="s">
        <v>364</v>
      </c>
      <c r="E168" s="1" t="s">
        <v>365</v>
      </c>
      <c r="F168" s="21" t="s">
        <v>365</v>
      </c>
      <c r="G168" s="1" t="s">
        <v>154</v>
      </c>
      <c r="H168" s="1">
        <v>10</v>
      </c>
      <c r="I168" s="30" t="s">
        <v>1916</v>
      </c>
      <c r="J168" s="1">
        <v>10</v>
      </c>
      <c r="K168" s="1">
        <v>43</v>
      </c>
      <c r="L168" s="23">
        <v>9</v>
      </c>
      <c r="M168" s="23">
        <v>31</v>
      </c>
      <c r="N168" s="24" t="s">
        <v>221</v>
      </c>
      <c r="O168" s="25"/>
      <c r="P168" s="25">
        <v>15</v>
      </c>
      <c r="Q168" s="25"/>
      <c r="R168" s="25"/>
      <c r="S168" s="27"/>
      <c r="T168" s="25">
        <v>60</v>
      </c>
      <c r="U168" s="25"/>
      <c r="V168" s="28">
        <v>1</v>
      </c>
      <c r="W168" s="25"/>
      <c r="X168" s="29">
        <v>11.8</v>
      </c>
      <c r="Y168" s="1" t="s">
        <v>38</v>
      </c>
      <c r="Z168" s="1" t="s">
        <v>264</v>
      </c>
      <c r="AA168" s="1"/>
    </row>
    <row r="169" spans="1:27" ht="23.1" customHeight="1" x14ac:dyDescent="0.25">
      <c r="A169" s="20" t="s">
        <v>329</v>
      </c>
      <c r="B169" s="1" t="s">
        <v>110</v>
      </c>
      <c r="C169" s="3">
        <v>16</v>
      </c>
      <c r="D169" s="1" t="s">
        <v>364</v>
      </c>
      <c r="E169" s="1" t="s">
        <v>365</v>
      </c>
      <c r="F169" s="21" t="s">
        <v>365</v>
      </c>
      <c r="G169" s="1" t="s">
        <v>154</v>
      </c>
      <c r="H169" s="1">
        <v>15</v>
      </c>
      <c r="I169" s="30" t="s">
        <v>1931</v>
      </c>
      <c r="J169" s="1">
        <v>20</v>
      </c>
      <c r="K169" s="1">
        <v>17</v>
      </c>
      <c r="L169" s="23">
        <v>31</v>
      </c>
      <c r="M169" s="23">
        <v>28</v>
      </c>
      <c r="N169" s="24" t="s">
        <v>221</v>
      </c>
      <c r="O169" s="25"/>
      <c r="P169" s="25">
        <v>20</v>
      </c>
      <c r="Q169" s="25"/>
      <c r="R169" s="25"/>
      <c r="S169" s="27"/>
      <c r="T169" s="25">
        <v>90</v>
      </c>
      <c r="U169" s="25"/>
      <c r="V169" s="28">
        <v>1</v>
      </c>
      <c r="W169" s="25"/>
      <c r="X169" s="29">
        <v>7.2</v>
      </c>
      <c r="Y169" s="1" t="s">
        <v>38</v>
      </c>
      <c r="Z169" s="1" t="s">
        <v>264</v>
      </c>
      <c r="AA169" s="1"/>
    </row>
    <row r="170" spans="1:27" ht="23.1" customHeight="1" x14ac:dyDescent="0.25">
      <c r="A170" s="20" t="s">
        <v>329</v>
      </c>
      <c r="B170" s="1" t="s">
        <v>110</v>
      </c>
      <c r="C170" s="3">
        <v>11</v>
      </c>
      <c r="D170" s="1" t="s">
        <v>203</v>
      </c>
      <c r="E170" s="1" t="s">
        <v>317</v>
      </c>
      <c r="F170" s="21" t="s">
        <v>317</v>
      </c>
      <c r="G170" s="1" t="s">
        <v>154</v>
      </c>
      <c r="H170" s="1">
        <v>35</v>
      </c>
      <c r="I170" s="1" t="s">
        <v>1924</v>
      </c>
      <c r="J170" s="1">
        <v>10</v>
      </c>
      <c r="K170" s="1">
        <v>16</v>
      </c>
      <c r="L170" s="23">
        <v>9</v>
      </c>
      <c r="M170" s="23">
        <v>19</v>
      </c>
      <c r="N170" s="24" t="s">
        <v>366</v>
      </c>
      <c r="O170" s="25"/>
      <c r="P170" s="25">
        <v>60</v>
      </c>
      <c r="Q170" s="25"/>
      <c r="R170" s="25"/>
      <c r="S170" s="27"/>
      <c r="T170" s="25">
        <v>60</v>
      </c>
      <c r="U170" s="25"/>
      <c r="V170" s="28"/>
      <c r="W170" s="25"/>
      <c r="X170" s="29">
        <v>16</v>
      </c>
      <c r="Y170" s="1" t="s">
        <v>38</v>
      </c>
      <c r="Z170" s="1"/>
      <c r="AA170" s="1"/>
    </row>
    <row r="171" spans="1:27" ht="23.1" customHeight="1" x14ac:dyDescent="0.25">
      <c r="A171" s="20" t="s">
        <v>329</v>
      </c>
      <c r="B171" s="1" t="s">
        <v>110</v>
      </c>
      <c r="C171" s="3">
        <v>17</v>
      </c>
      <c r="D171" s="1" t="s">
        <v>367</v>
      </c>
      <c r="E171" s="1" t="s">
        <v>368</v>
      </c>
      <c r="F171" s="21" t="s">
        <v>368</v>
      </c>
      <c r="G171" s="1" t="s">
        <v>154</v>
      </c>
      <c r="H171" s="1">
        <v>47</v>
      </c>
      <c r="I171" s="1"/>
      <c r="J171" s="1">
        <v>2</v>
      </c>
      <c r="K171" s="1">
        <v>5</v>
      </c>
      <c r="L171" s="23">
        <v>28</v>
      </c>
      <c r="M171" s="23">
        <v>28</v>
      </c>
      <c r="N171" s="24" t="s">
        <v>369</v>
      </c>
      <c r="O171" s="25">
        <v>30</v>
      </c>
      <c r="P171" s="25"/>
      <c r="Q171" s="25"/>
      <c r="R171" s="25"/>
      <c r="S171" s="27"/>
      <c r="T171" s="25"/>
      <c r="U171" s="25">
        <v>60</v>
      </c>
      <c r="V171" s="28">
        <v>1</v>
      </c>
      <c r="W171" s="25"/>
      <c r="X171" s="32">
        <v>3.5</v>
      </c>
      <c r="Y171" s="1" t="s">
        <v>0</v>
      </c>
      <c r="Z171" s="1" t="s">
        <v>210</v>
      </c>
      <c r="AA171" s="1"/>
    </row>
    <row r="172" spans="1:27" ht="23.1" customHeight="1" x14ac:dyDescent="0.25">
      <c r="A172" s="20" t="s">
        <v>329</v>
      </c>
      <c r="B172" s="1" t="s">
        <v>110</v>
      </c>
      <c r="C172" s="3">
        <v>58</v>
      </c>
      <c r="D172" s="1" t="s">
        <v>214</v>
      </c>
      <c r="E172" s="1" t="s">
        <v>215</v>
      </c>
      <c r="F172" s="21" t="s">
        <v>215</v>
      </c>
      <c r="G172" s="1" t="s">
        <v>118</v>
      </c>
      <c r="H172" s="1">
        <v>25</v>
      </c>
      <c r="I172" s="1" t="s">
        <v>1894</v>
      </c>
      <c r="J172" s="1">
        <v>1</v>
      </c>
      <c r="K172" s="1">
        <v>1</v>
      </c>
      <c r="L172" s="23"/>
      <c r="M172" s="23">
        <v>28</v>
      </c>
      <c r="N172" s="24" t="s">
        <v>216</v>
      </c>
      <c r="O172" s="25"/>
      <c r="P172" s="25">
        <v>170</v>
      </c>
      <c r="Q172" s="25"/>
      <c r="R172" s="25"/>
      <c r="S172" s="27"/>
      <c r="T172" s="25">
        <v>60</v>
      </c>
      <c r="U172" s="25"/>
      <c r="V172" s="28"/>
      <c r="W172" s="25">
        <v>2</v>
      </c>
      <c r="X172" s="29">
        <v>4.8</v>
      </c>
      <c r="Y172" s="1" t="s">
        <v>7</v>
      </c>
      <c r="Z172" s="1" t="s">
        <v>370</v>
      </c>
      <c r="AA172" s="1" t="s">
        <v>238</v>
      </c>
    </row>
    <row r="173" spans="1:27" ht="23.1" customHeight="1" x14ac:dyDescent="0.25">
      <c r="A173" s="20" t="s">
        <v>329</v>
      </c>
      <c r="B173" s="1" t="s">
        <v>110</v>
      </c>
      <c r="C173" s="3">
        <v>24</v>
      </c>
      <c r="D173" s="1" t="s">
        <v>294</v>
      </c>
      <c r="E173" s="1" t="s">
        <v>259</v>
      </c>
      <c r="F173" s="21" t="s">
        <v>284</v>
      </c>
      <c r="G173" s="1" t="s">
        <v>118</v>
      </c>
      <c r="H173" s="1">
        <v>45</v>
      </c>
      <c r="I173" s="1" t="s">
        <v>1920</v>
      </c>
      <c r="J173" s="1">
        <v>0.5</v>
      </c>
      <c r="K173" s="1">
        <v>3.4</v>
      </c>
      <c r="L173" s="23">
        <v>28</v>
      </c>
      <c r="M173" s="23">
        <v>26</v>
      </c>
      <c r="N173" s="24" t="s">
        <v>371</v>
      </c>
      <c r="O173" s="25"/>
      <c r="P173" s="25">
        <v>300</v>
      </c>
      <c r="Q173" s="25">
        <v>120</v>
      </c>
      <c r="R173" s="25"/>
      <c r="S173" s="27">
        <v>4</v>
      </c>
      <c r="T173" s="25">
        <v>120</v>
      </c>
      <c r="U173" s="25"/>
      <c r="V173" s="28"/>
      <c r="W173" s="25"/>
      <c r="X173" s="29">
        <v>25</v>
      </c>
      <c r="Y173" s="1" t="s">
        <v>3</v>
      </c>
      <c r="Z173" s="1" t="s">
        <v>372</v>
      </c>
      <c r="AA173" s="1"/>
    </row>
    <row r="174" spans="1:27" ht="23.1" customHeight="1" x14ac:dyDescent="0.25">
      <c r="A174" s="20" t="s">
        <v>329</v>
      </c>
      <c r="B174" s="1" t="s">
        <v>110</v>
      </c>
      <c r="C174" s="3">
        <v>69</v>
      </c>
      <c r="D174" s="1" t="s">
        <v>169</v>
      </c>
      <c r="E174" s="1" t="s">
        <v>170</v>
      </c>
      <c r="F174" s="21" t="e">
        <v>#N/A</v>
      </c>
      <c r="G174" s="1" t="s">
        <v>118</v>
      </c>
      <c r="H174" s="1">
        <v>25</v>
      </c>
      <c r="I174" s="1" t="s">
        <v>1887</v>
      </c>
      <c r="J174" s="1"/>
      <c r="K174" s="1">
        <v>1</v>
      </c>
      <c r="L174" s="23"/>
      <c r="M174" s="23">
        <v>28</v>
      </c>
      <c r="N174" s="24" t="s">
        <v>301</v>
      </c>
      <c r="O174" s="25"/>
      <c r="P174" s="25">
        <v>630</v>
      </c>
      <c r="Q174" s="25">
        <v>90</v>
      </c>
      <c r="R174" s="25"/>
      <c r="S174" s="27"/>
      <c r="T174" s="25">
        <v>180</v>
      </c>
      <c r="U174" s="25"/>
      <c r="V174" s="28">
        <v>1</v>
      </c>
      <c r="W174" s="25">
        <v>1</v>
      </c>
      <c r="X174" s="29">
        <v>14.5</v>
      </c>
      <c r="Y174" s="1" t="s">
        <v>3</v>
      </c>
      <c r="Z174" s="1" t="s">
        <v>373</v>
      </c>
      <c r="AA174" s="1"/>
    </row>
    <row r="175" spans="1:27" ht="23.1" customHeight="1" x14ac:dyDescent="0.25">
      <c r="A175" s="20" t="s">
        <v>329</v>
      </c>
      <c r="B175" s="1" t="s">
        <v>110</v>
      </c>
      <c r="C175" s="3">
        <v>91</v>
      </c>
      <c r="D175" s="1" t="s">
        <v>298</v>
      </c>
      <c r="E175" s="1" t="s">
        <v>299</v>
      </c>
      <c r="F175" s="21" t="s">
        <v>299</v>
      </c>
      <c r="G175" s="3" t="s">
        <v>300</v>
      </c>
      <c r="H175" s="1">
        <v>30</v>
      </c>
      <c r="I175" s="1" t="s">
        <v>1921</v>
      </c>
      <c r="J175" s="1">
        <v>1.5</v>
      </c>
      <c r="K175" s="1">
        <v>0.4</v>
      </c>
      <c r="L175" s="23">
        <v>28</v>
      </c>
      <c r="M175" s="23"/>
      <c r="N175" s="24" t="s">
        <v>301</v>
      </c>
      <c r="O175" s="25"/>
      <c r="P175" s="25">
        <v>960</v>
      </c>
      <c r="Q175" s="25">
        <v>120</v>
      </c>
      <c r="R175" s="25"/>
      <c r="S175" s="27"/>
      <c r="T175" s="25">
        <v>180</v>
      </c>
      <c r="U175" s="25"/>
      <c r="V175" s="28"/>
      <c r="W175" s="25"/>
      <c r="X175" s="29">
        <v>6.4</v>
      </c>
      <c r="Y175" s="1" t="s">
        <v>3</v>
      </c>
      <c r="Z175" s="1"/>
      <c r="AA175" s="1"/>
    </row>
    <row r="176" spans="1:27" ht="23.1" customHeight="1" x14ac:dyDescent="0.25">
      <c r="A176" s="20" t="s">
        <v>329</v>
      </c>
      <c r="B176" s="1" t="s">
        <v>110</v>
      </c>
      <c r="C176" s="3">
        <v>91</v>
      </c>
      <c r="D176" s="1" t="s">
        <v>298</v>
      </c>
      <c r="E176" s="1" t="s">
        <v>299</v>
      </c>
      <c r="F176" s="21" t="s">
        <v>299</v>
      </c>
      <c r="G176" s="3" t="s">
        <v>300</v>
      </c>
      <c r="H176" s="1">
        <v>32</v>
      </c>
      <c r="I176" s="1"/>
      <c r="J176" s="1"/>
      <c r="K176" s="1">
        <v>1</v>
      </c>
      <c r="L176" s="23">
        <v>28</v>
      </c>
      <c r="M176" s="23"/>
      <c r="N176" s="24" t="s">
        <v>301</v>
      </c>
      <c r="O176" s="25">
        <v>150</v>
      </c>
      <c r="P176" s="25"/>
      <c r="Q176" s="25"/>
      <c r="R176" s="25">
        <v>120</v>
      </c>
      <c r="S176" s="27">
        <v>1</v>
      </c>
      <c r="T176" s="25"/>
      <c r="U176" s="25"/>
      <c r="V176" s="28"/>
      <c r="W176" s="25"/>
      <c r="X176" s="32">
        <v>4.5</v>
      </c>
      <c r="Y176" s="1" t="s">
        <v>3</v>
      </c>
      <c r="Z176" s="1"/>
      <c r="AA176" s="1"/>
    </row>
    <row r="177" spans="1:27" ht="23.1" customHeight="1" x14ac:dyDescent="0.25">
      <c r="A177" s="20" t="s">
        <v>329</v>
      </c>
      <c r="B177" s="1" t="s">
        <v>110</v>
      </c>
      <c r="C177" s="3">
        <v>84</v>
      </c>
      <c r="D177" s="3" t="s">
        <v>142</v>
      </c>
      <c r="E177" s="1" t="s">
        <v>133</v>
      </c>
      <c r="F177" s="21" t="s">
        <v>133</v>
      </c>
      <c r="G177" s="3" t="s">
        <v>102</v>
      </c>
      <c r="H177" s="3">
        <v>25</v>
      </c>
      <c r="I177" s="2" t="s">
        <v>1933</v>
      </c>
      <c r="J177" s="3">
        <v>2</v>
      </c>
      <c r="K177" s="3">
        <v>2</v>
      </c>
      <c r="L177" s="33">
        <v>28</v>
      </c>
      <c r="M177" s="23">
        <v>28</v>
      </c>
      <c r="N177" s="24" t="s">
        <v>140</v>
      </c>
      <c r="O177" s="25"/>
      <c r="P177" s="31">
        <v>70</v>
      </c>
      <c r="Q177" s="31">
        <v>60</v>
      </c>
      <c r="R177" s="31"/>
      <c r="S177" s="23"/>
      <c r="T177" s="31">
        <v>90</v>
      </c>
      <c r="U177" s="31"/>
      <c r="V177" s="36">
        <v>1</v>
      </c>
      <c r="W177" s="37">
        <v>4</v>
      </c>
      <c r="X177" s="29">
        <v>7.8</v>
      </c>
      <c r="Y177" s="3" t="s">
        <v>3</v>
      </c>
      <c r="Z177" s="2" t="s">
        <v>374</v>
      </c>
      <c r="AA177" s="2"/>
    </row>
    <row r="178" spans="1:27" ht="23.1" customHeight="1" x14ac:dyDescent="0.25">
      <c r="A178" s="20" t="s">
        <v>329</v>
      </c>
      <c r="B178" s="3" t="s">
        <v>110</v>
      </c>
      <c r="C178" s="3">
        <v>119</v>
      </c>
      <c r="D178" s="3" t="s">
        <v>254</v>
      </c>
      <c r="E178" s="1" t="s">
        <v>255</v>
      </c>
      <c r="F178" s="21" t="s">
        <v>1016</v>
      </c>
      <c r="G178" s="3" t="s">
        <v>375</v>
      </c>
      <c r="H178" s="3">
        <v>35</v>
      </c>
      <c r="I178" s="3" t="s">
        <v>1934</v>
      </c>
      <c r="J178" s="3">
        <v>5</v>
      </c>
      <c r="K178" s="3">
        <v>4</v>
      </c>
      <c r="L178" s="23">
        <v>28</v>
      </c>
      <c r="M178" s="23">
        <v>28</v>
      </c>
      <c r="N178" s="24" t="s">
        <v>376</v>
      </c>
      <c r="O178" s="31"/>
      <c r="P178" s="34">
        <v>120</v>
      </c>
      <c r="Q178" s="31">
        <v>90</v>
      </c>
      <c r="R178" s="31"/>
      <c r="S178" s="23">
        <v>4</v>
      </c>
      <c r="T178" s="31">
        <v>180</v>
      </c>
      <c r="U178" s="31"/>
      <c r="V178" s="38">
        <v>1</v>
      </c>
      <c r="W178" s="37"/>
      <c r="X178" s="29">
        <v>17</v>
      </c>
      <c r="Y178" s="3" t="s">
        <v>3</v>
      </c>
      <c r="Z178" s="2" t="s">
        <v>377</v>
      </c>
      <c r="AA178" s="2"/>
    </row>
    <row r="179" spans="1:27" ht="23.1" customHeight="1" x14ac:dyDescent="0.25">
      <c r="A179" s="20" t="s">
        <v>329</v>
      </c>
      <c r="B179" s="3" t="s">
        <v>110</v>
      </c>
      <c r="C179" s="3">
        <v>59</v>
      </c>
      <c r="D179" s="3" t="s">
        <v>138</v>
      </c>
      <c r="E179" s="1" t="s">
        <v>139</v>
      </c>
      <c r="F179" s="21" t="s">
        <v>139</v>
      </c>
      <c r="G179" s="3" t="s">
        <v>102</v>
      </c>
      <c r="H179" s="3">
        <v>40</v>
      </c>
      <c r="I179" s="3" t="s">
        <v>1913</v>
      </c>
      <c r="J179" s="3">
        <v>2</v>
      </c>
      <c r="K179" s="3">
        <v>1</v>
      </c>
      <c r="L179" s="23">
        <v>19</v>
      </c>
      <c r="M179" s="23">
        <v>31</v>
      </c>
      <c r="N179" s="24" t="s">
        <v>140</v>
      </c>
      <c r="O179" s="31"/>
      <c r="P179" s="34">
        <v>90</v>
      </c>
      <c r="Q179" s="31"/>
      <c r="R179" s="31"/>
      <c r="S179" s="23"/>
      <c r="T179" s="31">
        <v>120</v>
      </c>
      <c r="U179" s="31"/>
      <c r="V179" s="38">
        <v>1</v>
      </c>
      <c r="W179" s="37"/>
      <c r="X179" s="29">
        <v>3.5</v>
      </c>
      <c r="Y179" s="3" t="s">
        <v>42</v>
      </c>
      <c r="Z179" s="2" t="s">
        <v>363</v>
      </c>
      <c r="AA179" s="2"/>
    </row>
    <row r="180" spans="1:27" ht="23.1" customHeight="1" x14ac:dyDescent="0.25">
      <c r="A180" s="20" t="s">
        <v>329</v>
      </c>
      <c r="B180" s="3" t="s">
        <v>137</v>
      </c>
      <c r="C180" s="3">
        <v>59</v>
      </c>
      <c r="D180" s="3" t="s">
        <v>138</v>
      </c>
      <c r="E180" s="1" t="s">
        <v>139</v>
      </c>
      <c r="F180" s="21" t="s">
        <v>139</v>
      </c>
      <c r="G180" s="3" t="s">
        <v>102</v>
      </c>
      <c r="H180" s="3">
        <v>10</v>
      </c>
      <c r="I180" s="3" t="s">
        <v>1897</v>
      </c>
      <c r="J180" s="3">
        <v>1</v>
      </c>
      <c r="K180" s="3">
        <v>1</v>
      </c>
      <c r="L180" s="23">
        <v>37</v>
      </c>
      <c r="M180" s="23"/>
      <c r="N180" s="24" t="s">
        <v>140</v>
      </c>
      <c r="O180" s="31"/>
      <c r="P180" s="34">
        <v>60</v>
      </c>
      <c r="Q180" s="31"/>
      <c r="R180" s="31"/>
      <c r="S180" s="23"/>
      <c r="T180" s="31">
        <v>60</v>
      </c>
      <c r="U180" s="31"/>
      <c r="V180" s="38">
        <v>1</v>
      </c>
      <c r="W180" s="37"/>
      <c r="X180" s="29">
        <v>2</v>
      </c>
      <c r="Y180" s="3" t="s">
        <v>6</v>
      </c>
      <c r="Z180" s="2"/>
      <c r="AA180" s="2"/>
    </row>
    <row r="181" spans="1:27" ht="23.1" customHeight="1" x14ac:dyDescent="0.25">
      <c r="A181" s="20" t="s">
        <v>329</v>
      </c>
      <c r="B181" s="3" t="s">
        <v>137</v>
      </c>
      <c r="C181" s="3">
        <v>58</v>
      </c>
      <c r="D181" s="3" t="s">
        <v>378</v>
      </c>
      <c r="E181" s="1" t="s">
        <v>379</v>
      </c>
      <c r="F181" s="21" t="e">
        <v>#N/A</v>
      </c>
      <c r="G181" s="3" t="s">
        <v>108</v>
      </c>
      <c r="H181" s="3">
        <v>10</v>
      </c>
      <c r="I181" s="3"/>
      <c r="J181" s="3">
        <v>1</v>
      </c>
      <c r="K181" s="3">
        <v>1</v>
      </c>
      <c r="L181" s="23"/>
      <c r="M181" s="23">
        <v>37</v>
      </c>
      <c r="N181" s="24" t="s">
        <v>108</v>
      </c>
      <c r="O181" s="31">
        <v>300</v>
      </c>
      <c r="P181" s="34"/>
      <c r="Q181" s="31"/>
      <c r="R181" s="31"/>
      <c r="S181" s="23"/>
      <c r="T181" s="31"/>
      <c r="U181" s="31"/>
      <c r="V181" s="38"/>
      <c r="W181" s="37"/>
      <c r="X181" s="32">
        <v>5</v>
      </c>
      <c r="Y181" s="3" t="s">
        <v>57</v>
      </c>
      <c r="Z181" s="2" t="s">
        <v>380</v>
      </c>
      <c r="AA181" s="2"/>
    </row>
    <row r="182" spans="1:27" ht="23.1" customHeight="1" x14ac:dyDescent="0.25">
      <c r="A182" s="20" t="s">
        <v>329</v>
      </c>
      <c r="B182" s="3" t="s">
        <v>137</v>
      </c>
      <c r="C182" s="3">
        <v>58</v>
      </c>
      <c r="D182" s="3" t="s">
        <v>381</v>
      </c>
      <c r="E182" s="1" t="s">
        <v>382</v>
      </c>
      <c r="F182" s="21" t="e">
        <v>#N/A</v>
      </c>
      <c r="G182" s="3" t="s">
        <v>108</v>
      </c>
      <c r="H182" s="3">
        <v>10</v>
      </c>
      <c r="I182" s="3"/>
      <c r="J182" s="3">
        <v>1</v>
      </c>
      <c r="K182" s="3">
        <v>1</v>
      </c>
      <c r="L182" s="23"/>
      <c r="M182" s="23">
        <v>37</v>
      </c>
      <c r="N182" s="24" t="s">
        <v>108</v>
      </c>
      <c r="O182" s="31">
        <v>360</v>
      </c>
      <c r="P182" s="34"/>
      <c r="Q182" s="31"/>
      <c r="R182" s="31"/>
      <c r="S182" s="23"/>
      <c r="T182" s="31"/>
      <c r="U182" s="31"/>
      <c r="V182" s="38"/>
      <c r="W182" s="37"/>
      <c r="X182" s="32">
        <v>6</v>
      </c>
      <c r="Y182" s="3" t="s">
        <v>57</v>
      </c>
      <c r="Z182" s="2"/>
      <c r="AA182" s="2"/>
    </row>
    <row r="183" spans="1:27" ht="23.1" customHeight="1" x14ac:dyDescent="0.25">
      <c r="A183" s="20" t="s">
        <v>329</v>
      </c>
      <c r="B183" s="3" t="s">
        <v>137</v>
      </c>
      <c r="C183" s="3">
        <v>9</v>
      </c>
      <c r="D183" s="3" t="s">
        <v>229</v>
      </c>
      <c r="E183" s="1" t="s">
        <v>230</v>
      </c>
      <c r="F183" s="21" t="s">
        <v>230</v>
      </c>
      <c r="G183" s="3" t="s">
        <v>154</v>
      </c>
      <c r="H183" s="3">
        <v>20</v>
      </c>
      <c r="I183" s="3" t="s">
        <v>1908</v>
      </c>
      <c r="J183" s="3">
        <v>1</v>
      </c>
      <c r="K183" s="3">
        <v>1</v>
      </c>
      <c r="L183" s="23">
        <v>26</v>
      </c>
      <c r="M183" s="23"/>
      <c r="N183" s="24" t="s">
        <v>307</v>
      </c>
      <c r="O183" s="31"/>
      <c r="P183" s="34">
        <v>190</v>
      </c>
      <c r="Q183" s="31"/>
      <c r="R183" s="31"/>
      <c r="S183" s="23"/>
      <c r="T183" s="31">
        <v>60</v>
      </c>
      <c r="U183" s="31"/>
      <c r="V183" s="38"/>
      <c r="W183" s="37"/>
      <c r="X183" s="29">
        <v>3.2</v>
      </c>
      <c r="Y183" s="3" t="s">
        <v>23</v>
      </c>
      <c r="Z183" s="2"/>
      <c r="AA183" s="2"/>
    </row>
    <row r="184" spans="1:27" ht="23.1" customHeight="1" x14ac:dyDescent="0.25">
      <c r="A184" s="20" t="s">
        <v>329</v>
      </c>
      <c r="B184" s="3" t="s">
        <v>137</v>
      </c>
      <c r="C184" s="3">
        <v>9</v>
      </c>
      <c r="D184" s="3" t="s">
        <v>229</v>
      </c>
      <c r="E184" s="1" t="s">
        <v>230</v>
      </c>
      <c r="F184" s="21" t="s">
        <v>230</v>
      </c>
      <c r="G184" s="3" t="s">
        <v>154</v>
      </c>
      <c r="H184" s="3">
        <v>25</v>
      </c>
      <c r="I184" s="3" t="s">
        <v>1894</v>
      </c>
      <c r="J184" s="3">
        <v>2</v>
      </c>
      <c r="K184" s="3">
        <v>2</v>
      </c>
      <c r="L184" s="23">
        <v>26</v>
      </c>
      <c r="M184" s="23">
        <v>28</v>
      </c>
      <c r="N184" s="24" t="s">
        <v>275</v>
      </c>
      <c r="O184" s="31"/>
      <c r="P184" s="34">
        <v>140</v>
      </c>
      <c r="Q184" s="31"/>
      <c r="R184" s="31"/>
      <c r="S184" s="23"/>
      <c r="T184" s="31">
        <v>60</v>
      </c>
      <c r="U184" s="31"/>
      <c r="V184" s="38">
        <v>1</v>
      </c>
      <c r="W184" s="37">
        <v>2</v>
      </c>
      <c r="X184" s="29">
        <v>7.7</v>
      </c>
      <c r="Y184" s="3" t="s">
        <v>23</v>
      </c>
      <c r="Z184" s="2" t="s">
        <v>383</v>
      </c>
      <c r="AA184" s="1" t="s">
        <v>238</v>
      </c>
    </row>
    <row r="185" spans="1:27" ht="23.1" customHeight="1" x14ac:dyDescent="0.25">
      <c r="A185" s="20" t="s">
        <v>329</v>
      </c>
      <c r="B185" s="3" t="s">
        <v>137</v>
      </c>
      <c r="C185" s="3">
        <v>58</v>
      </c>
      <c r="D185" s="3" t="s">
        <v>214</v>
      </c>
      <c r="E185" s="1" t="s">
        <v>215</v>
      </c>
      <c r="F185" s="21" t="s">
        <v>215</v>
      </c>
      <c r="G185" s="3" t="s">
        <v>118</v>
      </c>
      <c r="H185" s="3">
        <v>25</v>
      </c>
      <c r="I185" s="3" t="s">
        <v>1894</v>
      </c>
      <c r="J185" s="3">
        <v>1</v>
      </c>
      <c r="K185" s="3">
        <v>1</v>
      </c>
      <c r="L185" s="23">
        <v>37</v>
      </c>
      <c r="M185" s="23"/>
      <c r="N185" s="24" t="s">
        <v>164</v>
      </c>
      <c r="O185" s="31"/>
      <c r="P185" s="34">
        <v>170</v>
      </c>
      <c r="Q185" s="31"/>
      <c r="R185" s="31"/>
      <c r="S185" s="23"/>
      <c r="T185" s="31">
        <v>60</v>
      </c>
      <c r="U185" s="31"/>
      <c r="V185" s="38"/>
      <c r="W185" s="37"/>
      <c r="X185" s="29">
        <v>2.8</v>
      </c>
      <c r="Y185" s="3" t="s">
        <v>57</v>
      </c>
      <c r="Z185" s="2"/>
      <c r="AA185" s="2"/>
    </row>
    <row r="186" spans="1:27" ht="23.1" customHeight="1" x14ac:dyDescent="0.25">
      <c r="A186" s="20" t="s">
        <v>329</v>
      </c>
      <c r="B186" s="3" t="s">
        <v>137</v>
      </c>
      <c r="C186" s="3">
        <v>17</v>
      </c>
      <c r="D186" s="3" t="s">
        <v>352</v>
      </c>
      <c r="E186" s="1" t="s">
        <v>353</v>
      </c>
      <c r="F186" s="21" t="e">
        <v>#N/A</v>
      </c>
      <c r="G186" s="3" t="s">
        <v>300</v>
      </c>
      <c r="H186" s="3">
        <v>5</v>
      </c>
      <c r="I186" s="3" t="s">
        <v>1930</v>
      </c>
      <c r="J186" s="3">
        <v>8</v>
      </c>
      <c r="K186" s="3">
        <v>9</v>
      </c>
      <c r="L186" s="23">
        <v>26</v>
      </c>
      <c r="M186" s="23">
        <v>26</v>
      </c>
      <c r="N186" s="24" t="s">
        <v>384</v>
      </c>
      <c r="O186" s="31"/>
      <c r="P186" s="34">
        <v>40</v>
      </c>
      <c r="Q186" s="31"/>
      <c r="R186" s="31"/>
      <c r="S186" s="23"/>
      <c r="T186" s="31">
        <v>60</v>
      </c>
      <c r="U186" s="31"/>
      <c r="V186" s="38"/>
      <c r="W186" s="37"/>
      <c r="X186" s="29">
        <v>6</v>
      </c>
      <c r="Y186" s="3" t="s">
        <v>14</v>
      </c>
      <c r="Z186" s="2"/>
      <c r="AA186" s="2"/>
    </row>
    <row r="187" spans="1:27" ht="23.1" customHeight="1" x14ac:dyDescent="0.25">
      <c r="A187" s="20" t="s">
        <v>329</v>
      </c>
      <c r="B187" s="3" t="s">
        <v>137</v>
      </c>
      <c r="C187" s="3">
        <v>11</v>
      </c>
      <c r="D187" s="3" t="s">
        <v>200</v>
      </c>
      <c r="E187" s="1" t="s">
        <v>317</v>
      </c>
      <c r="F187" s="21" t="s">
        <v>317</v>
      </c>
      <c r="G187" s="3" t="s">
        <v>154</v>
      </c>
      <c r="H187" s="3">
        <v>40</v>
      </c>
      <c r="I187" s="3" t="s">
        <v>1857</v>
      </c>
      <c r="J187" s="3">
        <v>3</v>
      </c>
      <c r="K187" s="3">
        <v>2</v>
      </c>
      <c r="L187" s="23">
        <v>26</v>
      </c>
      <c r="M187" s="23">
        <v>5</v>
      </c>
      <c r="N187" s="24" t="s">
        <v>219</v>
      </c>
      <c r="O187" s="31"/>
      <c r="P187" s="34">
        <v>260</v>
      </c>
      <c r="Q187" s="31"/>
      <c r="R187" s="31"/>
      <c r="S187" s="23"/>
      <c r="T187" s="31">
        <v>90</v>
      </c>
      <c r="U187" s="31"/>
      <c r="V187" s="38">
        <v>1</v>
      </c>
      <c r="W187" s="37"/>
      <c r="X187" s="29">
        <v>10.199999999999999</v>
      </c>
      <c r="Y187" s="3" t="s">
        <v>71</v>
      </c>
      <c r="Z187" s="2" t="s">
        <v>385</v>
      </c>
      <c r="AA187" s="2"/>
    </row>
    <row r="188" spans="1:27" ht="23.1" customHeight="1" x14ac:dyDescent="0.25">
      <c r="A188" s="20" t="s">
        <v>329</v>
      </c>
      <c r="B188" s="3" t="s">
        <v>137</v>
      </c>
      <c r="C188" s="3">
        <v>16</v>
      </c>
      <c r="D188" s="3" t="s">
        <v>364</v>
      </c>
      <c r="E188" s="1" t="s">
        <v>365</v>
      </c>
      <c r="F188" s="21" t="s">
        <v>365</v>
      </c>
      <c r="G188" s="3" t="s">
        <v>154</v>
      </c>
      <c r="H188" s="3">
        <v>15</v>
      </c>
      <c r="I188" s="35" t="s">
        <v>1931</v>
      </c>
      <c r="J188" s="3">
        <v>25</v>
      </c>
      <c r="K188" s="3">
        <v>26</v>
      </c>
      <c r="L188" s="23">
        <v>37</v>
      </c>
      <c r="M188" s="23">
        <v>37</v>
      </c>
      <c r="N188" s="24" t="s">
        <v>221</v>
      </c>
      <c r="O188" s="31"/>
      <c r="P188" s="34">
        <v>20</v>
      </c>
      <c r="Q188" s="31"/>
      <c r="R188" s="31"/>
      <c r="S188" s="23"/>
      <c r="T188" s="31">
        <v>90</v>
      </c>
      <c r="U188" s="31"/>
      <c r="V188" s="38"/>
      <c r="W188" s="37"/>
      <c r="X188" s="29">
        <v>8.6999999999999993</v>
      </c>
      <c r="Y188" s="3" t="s">
        <v>71</v>
      </c>
      <c r="Z188" s="2"/>
      <c r="AA188" s="2"/>
    </row>
    <row r="189" spans="1:27" ht="23.1" customHeight="1" x14ac:dyDescent="0.25">
      <c r="A189" s="20" t="s">
        <v>329</v>
      </c>
      <c r="B189" s="3" t="s">
        <v>137</v>
      </c>
      <c r="C189" s="3">
        <v>16</v>
      </c>
      <c r="D189" s="3" t="s">
        <v>364</v>
      </c>
      <c r="E189" s="1" t="s">
        <v>365</v>
      </c>
      <c r="F189" s="21" t="s">
        <v>365</v>
      </c>
      <c r="G189" s="3" t="s">
        <v>154</v>
      </c>
      <c r="H189" s="3">
        <v>20</v>
      </c>
      <c r="I189" s="35" t="s">
        <v>1936</v>
      </c>
      <c r="J189" s="3">
        <v>10</v>
      </c>
      <c r="K189" s="3">
        <v>35</v>
      </c>
      <c r="L189" s="23">
        <v>37</v>
      </c>
      <c r="M189" s="23">
        <v>26</v>
      </c>
      <c r="N189" s="24" t="s">
        <v>221</v>
      </c>
      <c r="O189" s="31"/>
      <c r="P189" s="34">
        <v>20</v>
      </c>
      <c r="Q189" s="31"/>
      <c r="R189" s="31"/>
      <c r="S189" s="23"/>
      <c r="T189" s="31">
        <v>60</v>
      </c>
      <c r="U189" s="31"/>
      <c r="V189" s="38">
        <v>1</v>
      </c>
      <c r="W189" s="37"/>
      <c r="X189" s="29">
        <v>12.7</v>
      </c>
      <c r="Y189" s="3" t="s">
        <v>71</v>
      </c>
      <c r="Z189" s="2" t="s">
        <v>386</v>
      </c>
      <c r="AA189" s="2"/>
    </row>
    <row r="190" spans="1:27" ht="23.1" customHeight="1" x14ac:dyDescent="0.25">
      <c r="A190" s="20" t="s">
        <v>329</v>
      </c>
      <c r="B190" s="3" t="s">
        <v>137</v>
      </c>
      <c r="C190" s="3">
        <v>18</v>
      </c>
      <c r="D190" s="3" t="s">
        <v>205</v>
      </c>
      <c r="E190" s="1" t="s">
        <v>206</v>
      </c>
      <c r="F190" s="21" t="s">
        <v>206</v>
      </c>
      <c r="G190" s="3" t="s">
        <v>123</v>
      </c>
      <c r="H190" s="3">
        <v>25</v>
      </c>
      <c r="I190" s="3" t="s">
        <v>1892</v>
      </c>
      <c r="J190" s="3">
        <v>1</v>
      </c>
      <c r="K190" s="3">
        <v>1.2</v>
      </c>
      <c r="L190" s="23">
        <v>26</v>
      </c>
      <c r="M190" s="23">
        <v>26</v>
      </c>
      <c r="N190" s="24" t="s">
        <v>387</v>
      </c>
      <c r="O190" s="31"/>
      <c r="P190" s="34">
        <v>720</v>
      </c>
      <c r="Q190" s="31"/>
      <c r="R190" s="31"/>
      <c r="S190" s="23"/>
      <c r="T190" s="31">
        <v>90</v>
      </c>
      <c r="U190" s="31"/>
      <c r="V190" s="38"/>
      <c r="W190" s="37"/>
      <c r="X190" s="29">
        <v>14.4</v>
      </c>
      <c r="Y190" s="3" t="s">
        <v>14</v>
      </c>
      <c r="Z190" s="2"/>
      <c r="AA190" s="2"/>
    </row>
    <row r="191" spans="1:27" ht="23.1" customHeight="1" x14ac:dyDescent="0.25">
      <c r="A191" s="20" t="s">
        <v>329</v>
      </c>
      <c r="B191" s="3" t="s">
        <v>137</v>
      </c>
      <c r="C191" s="3">
        <v>10</v>
      </c>
      <c r="D191" s="3" t="s">
        <v>388</v>
      </c>
      <c r="E191" s="1" t="s">
        <v>389</v>
      </c>
      <c r="F191" s="21" t="s">
        <v>389</v>
      </c>
      <c r="G191" s="3" t="s">
        <v>300</v>
      </c>
      <c r="H191" s="3">
        <v>8</v>
      </c>
      <c r="I191" s="3"/>
      <c r="J191" s="3">
        <v>15</v>
      </c>
      <c r="K191" s="3">
        <v>20</v>
      </c>
      <c r="L191" s="23">
        <v>37</v>
      </c>
      <c r="M191" s="23">
        <v>23</v>
      </c>
      <c r="N191" s="24" t="s">
        <v>390</v>
      </c>
      <c r="O191" s="31">
        <v>40</v>
      </c>
      <c r="P191" s="34"/>
      <c r="Q191" s="31"/>
      <c r="R191" s="31"/>
      <c r="S191" s="23"/>
      <c r="T191" s="31"/>
      <c r="U191" s="31">
        <v>60</v>
      </c>
      <c r="V191" s="38">
        <v>1</v>
      </c>
      <c r="W191" s="37"/>
      <c r="X191" s="32">
        <v>14.3</v>
      </c>
      <c r="Y191" s="3" t="s">
        <v>23</v>
      </c>
      <c r="Z191" s="2" t="s">
        <v>264</v>
      </c>
      <c r="AA191" s="2"/>
    </row>
    <row r="192" spans="1:27" ht="23.1" customHeight="1" x14ac:dyDescent="0.25">
      <c r="A192" s="20" t="s">
        <v>329</v>
      </c>
      <c r="B192" s="1" t="s">
        <v>137</v>
      </c>
      <c r="C192" s="3">
        <v>24</v>
      </c>
      <c r="D192" s="3" t="s">
        <v>294</v>
      </c>
      <c r="E192" s="1" t="s">
        <v>259</v>
      </c>
      <c r="F192" s="21" t="s">
        <v>284</v>
      </c>
      <c r="G192" s="3" t="s">
        <v>118</v>
      </c>
      <c r="H192" s="3">
        <v>45</v>
      </c>
      <c r="I192" s="2" t="s">
        <v>1920</v>
      </c>
      <c r="J192" s="3">
        <v>4</v>
      </c>
      <c r="K192" s="3">
        <v>3.6</v>
      </c>
      <c r="L192" s="33">
        <v>37</v>
      </c>
      <c r="M192" s="23">
        <v>26</v>
      </c>
      <c r="N192" s="24" t="s">
        <v>391</v>
      </c>
      <c r="O192" s="25"/>
      <c r="P192" s="31">
        <v>300</v>
      </c>
      <c r="Q192" s="31">
        <v>120</v>
      </c>
      <c r="R192" s="31"/>
      <c r="S192" s="23">
        <v>3</v>
      </c>
      <c r="T192" s="31">
        <v>120</v>
      </c>
      <c r="U192" s="31"/>
      <c r="V192" s="36"/>
      <c r="W192" s="37"/>
      <c r="X192" s="29">
        <v>24</v>
      </c>
      <c r="Y192" s="3" t="s">
        <v>52</v>
      </c>
      <c r="Z192" s="2" t="s">
        <v>125</v>
      </c>
      <c r="AA192" s="2"/>
    </row>
    <row r="193" spans="1:27" ht="23.1" customHeight="1" x14ac:dyDescent="0.25">
      <c r="A193" s="20" t="s">
        <v>329</v>
      </c>
      <c r="B193" s="1" t="s">
        <v>137</v>
      </c>
      <c r="C193" s="3">
        <v>24</v>
      </c>
      <c r="D193" s="3" t="s">
        <v>392</v>
      </c>
      <c r="E193" s="1" t="s">
        <v>259</v>
      </c>
      <c r="F193" s="21" t="s">
        <v>979</v>
      </c>
      <c r="G193" s="3" t="s">
        <v>118</v>
      </c>
      <c r="H193" s="3">
        <v>45</v>
      </c>
      <c r="I193" s="2" t="s">
        <v>1920</v>
      </c>
      <c r="J193" s="3"/>
      <c r="K193" s="3">
        <v>0.4</v>
      </c>
      <c r="L193" s="33"/>
      <c r="M193" s="23">
        <v>5</v>
      </c>
      <c r="N193" s="24" t="s">
        <v>393</v>
      </c>
      <c r="O193" s="25"/>
      <c r="P193" s="31">
        <v>300</v>
      </c>
      <c r="Q193" s="31">
        <v>120</v>
      </c>
      <c r="R193" s="31"/>
      <c r="S193" s="23">
        <v>1</v>
      </c>
      <c r="T193" s="31">
        <v>120</v>
      </c>
      <c r="U193" s="31"/>
      <c r="V193" s="36">
        <v>1</v>
      </c>
      <c r="W193" s="37"/>
      <c r="X193" s="29">
        <v>6</v>
      </c>
      <c r="Y193" s="3" t="s">
        <v>52</v>
      </c>
      <c r="Z193" s="2" t="s">
        <v>394</v>
      </c>
      <c r="AA193" s="2"/>
    </row>
    <row r="194" spans="1:27" ht="23.1" customHeight="1" x14ac:dyDescent="0.25">
      <c r="A194" s="20" t="s">
        <v>329</v>
      </c>
      <c r="B194" s="1" t="s">
        <v>137</v>
      </c>
      <c r="C194" s="3">
        <v>69</v>
      </c>
      <c r="D194" s="3" t="s">
        <v>395</v>
      </c>
      <c r="E194" s="1" t="s">
        <v>396</v>
      </c>
      <c r="F194" s="21" t="e">
        <v>#N/A</v>
      </c>
      <c r="G194" s="3" t="s">
        <v>300</v>
      </c>
      <c r="H194" s="3">
        <v>25</v>
      </c>
      <c r="I194" s="2" t="s">
        <v>1937</v>
      </c>
      <c r="J194" s="3">
        <v>2</v>
      </c>
      <c r="K194" s="3">
        <v>2</v>
      </c>
      <c r="L194" s="33">
        <v>26</v>
      </c>
      <c r="M194" s="23">
        <v>37</v>
      </c>
      <c r="N194" s="24" t="s">
        <v>397</v>
      </c>
      <c r="O194" s="25"/>
      <c r="P194" s="31">
        <v>370</v>
      </c>
      <c r="Q194" s="31">
        <v>90</v>
      </c>
      <c r="R194" s="31"/>
      <c r="S194" s="23">
        <v>1</v>
      </c>
      <c r="T194" s="31">
        <v>60</v>
      </c>
      <c r="U194" s="31"/>
      <c r="V194" s="36">
        <v>1</v>
      </c>
      <c r="W194" s="37">
        <v>4</v>
      </c>
      <c r="X194" s="29">
        <v>18.8</v>
      </c>
      <c r="Y194" s="3" t="s">
        <v>52</v>
      </c>
      <c r="Z194" s="2" t="s">
        <v>398</v>
      </c>
      <c r="AA194" s="2"/>
    </row>
    <row r="195" spans="1:27" ht="23.1" customHeight="1" x14ac:dyDescent="0.25">
      <c r="A195" s="20" t="s">
        <v>329</v>
      </c>
      <c r="B195" s="1" t="s">
        <v>137</v>
      </c>
      <c r="C195" s="3">
        <v>91</v>
      </c>
      <c r="D195" s="3" t="s">
        <v>298</v>
      </c>
      <c r="E195" s="1" t="s">
        <v>299</v>
      </c>
      <c r="F195" s="21" t="s">
        <v>299</v>
      </c>
      <c r="G195" s="3" t="s">
        <v>300</v>
      </c>
      <c r="H195" s="3">
        <v>30</v>
      </c>
      <c r="I195" s="2" t="s">
        <v>1921</v>
      </c>
      <c r="J195" s="3">
        <v>1</v>
      </c>
      <c r="K195" s="3">
        <v>0.8</v>
      </c>
      <c r="L195" s="33"/>
      <c r="M195" s="23">
        <v>23</v>
      </c>
      <c r="N195" s="24" t="s">
        <v>399</v>
      </c>
      <c r="O195" s="25"/>
      <c r="P195" s="31">
        <v>960</v>
      </c>
      <c r="Q195" s="31">
        <v>120</v>
      </c>
      <c r="R195" s="31"/>
      <c r="S195" s="23">
        <v>1</v>
      </c>
      <c r="T195" s="31">
        <v>180</v>
      </c>
      <c r="U195" s="31"/>
      <c r="V195" s="36"/>
      <c r="W195" s="37"/>
      <c r="X195" s="29">
        <v>14.8</v>
      </c>
      <c r="Y195" s="3" t="s">
        <v>52</v>
      </c>
      <c r="Z195" s="2" t="s">
        <v>400</v>
      </c>
      <c r="AA195" s="2"/>
    </row>
    <row r="196" spans="1:27" ht="23.1" customHeight="1" x14ac:dyDescent="0.25">
      <c r="A196" s="20" t="s">
        <v>329</v>
      </c>
      <c r="B196" s="3" t="s">
        <v>137</v>
      </c>
      <c r="C196" s="3">
        <v>84</v>
      </c>
      <c r="D196" s="3" t="s">
        <v>401</v>
      </c>
      <c r="E196" s="1" t="s">
        <v>402</v>
      </c>
      <c r="F196" s="21" t="s">
        <v>2549</v>
      </c>
      <c r="G196" s="3" t="s">
        <v>154</v>
      </c>
      <c r="H196" s="3">
        <v>25</v>
      </c>
      <c r="I196" s="3" t="s">
        <v>1938</v>
      </c>
      <c r="J196" s="3">
        <v>11</v>
      </c>
      <c r="K196" s="3">
        <v>8</v>
      </c>
      <c r="L196" s="23">
        <v>26</v>
      </c>
      <c r="M196" s="23">
        <v>5</v>
      </c>
      <c r="N196" s="24" t="s">
        <v>247</v>
      </c>
      <c r="O196" s="31"/>
      <c r="P196" s="34">
        <v>60</v>
      </c>
      <c r="Q196" s="31">
        <v>60</v>
      </c>
      <c r="R196" s="31"/>
      <c r="S196" s="23">
        <v>1</v>
      </c>
      <c r="T196" s="31">
        <v>120</v>
      </c>
      <c r="U196" s="31"/>
      <c r="V196" s="38">
        <v>1</v>
      </c>
      <c r="W196" s="37">
        <v>4</v>
      </c>
      <c r="X196" s="29">
        <v>15</v>
      </c>
      <c r="Y196" s="3" t="s">
        <v>52</v>
      </c>
      <c r="Z196" s="2" t="s">
        <v>403</v>
      </c>
      <c r="AA196" s="2"/>
    </row>
    <row r="197" spans="1:27" ht="23.1" customHeight="1" x14ac:dyDescent="0.25">
      <c r="A197" s="20" t="s">
        <v>329</v>
      </c>
      <c r="B197" s="3" t="s">
        <v>137</v>
      </c>
      <c r="C197" s="3">
        <v>119</v>
      </c>
      <c r="D197" s="3" t="s">
        <v>254</v>
      </c>
      <c r="E197" s="1" t="s">
        <v>255</v>
      </c>
      <c r="F197" s="21" t="s">
        <v>1016</v>
      </c>
      <c r="G197" s="3" t="s">
        <v>375</v>
      </c>
      <c r="H197" s="3">
        <v>35</v>
      </c>
      <c r="I197" s="3" t="s">
        <v>1934</v>
      </c>
      <c r="J197" s="3">
        <v>2</v>
      </c>
      <c r="K197" s="3">
        <v>1</v>
      </c>
      <c r="L197" s="23"/>
      <c r="M197" s="23">
        <v>26</v>
      </c>
      <c r="N197" s="24" t="s">
        <v>256</v>
      </c>
      <c r="O197" s="31"/>
      <c r="P197" s="34">
        <v>120</v>
      </c>
      <c r="Q197" s="31">
        <v>90</v>
      </c>
      <c r="R197" s="31"/>
      <c r="S197" s="23"/>
      <c r="T197" s="31">
        <v>180</v>
      </c>
      <c r="U197" s="31"/>
      <c r="V197" s="38"/>
      <c r="W197" s="37"/>
      <c r="X197" s="29">
        <v>2</v>
      </c>
      <c r="Y197" s="3" t="s">
        <v>52</v>
      </c>
      <c r="Z197" s="2"/>
      <c r="AA197" s="2"/>
    </row>
    <row r="198" spans="1:27" ht="23.1" customHeight="1" x14ac:dyDescent="0.25">
      <c r="A198" s="20" t="s">
        <v>329</v>
      </c>
      <c r="B198" s="3" t="s">
        <v>137</v>
      </c>
      <c r="C198" s="3">
        <v>59</v>
      </c>
      <c r="D198" s="3" t="s">
        <v>138</v>
      </c>
      <c r="E198" s="1" t="s">
        <v>139</v>
      </c>
      <c r="F198" s="21" t="s">
        <v>139</v>
      </c>
      <c r="G198" s="3" t="s">
        <v>102</v>
      </c>
      <c r="H198" s="3">
        <v>15</v>
      </c>
      <c r="I198" s="3" t="s">
        <v>1852</v>
      </c>
      <c r="J198" s="3">
        <v>1</v>
      </c>
      <c r="K198" s="3">
        <v>1</v>
      </c>
      <c r="L198" s="23">
        <v>26</v>
      </c>
      <c r="M198" s="23"/>
      <c r="N198" s="24" t="s">
        <v>140</v>
      </c>
      <c r="O198" s="31"/>
      <c r="P198" s="34">
        <v>20</v>
      </c>
      <c r="Q198" s="31"/>
      <c r="R198" s="31"/>
      <c r="S198" s="23"/>
      <c r="T198" s="31">
        <v>60</v>
      </c>
      <c r="U198" s="31"/>
      <c r="V198" s="38">
        <v>1</v>
      </c>
      <c r="W198" s="37"/>
      <c r="X198" s="29">
        <v>1.3</v>
      </c>
      <c r="Y198" s="3" t="s">
        <v>6</v>
      </c>
      <c r="Z198" s="2"/>
      <c r="AA198" s="2"/>
    </row>
    <row r="199" spans="1:27" ht="23.1" customHeight="1" x14ac:dyDescent="0.25">
      <c r="A199" s="20" t="s">
        <v>329</v>
      </c>
      <c r="B199" s="3" t="s">
        <v>137</v>
      </c>
      <c r="C199" s="3">
        <v>59</v>
      </c>
      <c r="D199" s="3" t="s">
        <v>138</v>
      </c>
      <c r="E199" s="1" t="s">
        <v>139</v>
      </c>
      <c r="F199" s="21" t="s">
        <v>139</v>
      </c>
      <c r="G199" s="3" t="s">
        <v>102</v>
      </c>
      <c r="H199" s="3">
        <v>20</v>
      </c>
      <c r="I199" s="3" t="s">
        <v>1880</v>
      </c>
      <c r="J199" s="3">
        <v>1</v>
      </c>
      <c r="K199" s="3">
        <v>1</v>
      </c>
      <c r="L199" s="23"/>
      <c r="M199" s="23">
        <v>5</v>
      </c>
      <c r="N199" s="24" t="s">
        <v>140</v>
      </c>
      <c r="O199" s="31"/>
      <c r="P199" s="34">
        <v>60</v>
      </c>
      <c r="Q199" s="31"/>
      <c r="R199" s="31"/>
      <c r="S199" s="23"/>
      <c r="T199" s="31">
        <v>120</v>
      </c>
      <c r="U199" s="31"/>
      <c r="V199" s="38">
        <v>1</v>
      </c>
      <c r="W199" s="37"/>
      <c r="X199" s="29">
        <v>3</v>
      </c>
      <c r="Y199" s="3" t="s">
        <v>6</v>
      </c>
      <c r="Z199" s="2"/>
      <c r="AA199" s="2"/>
    </row>
    <row r="200" spans="1:27" ht="23.1" customHeight="1" x14ac:dyDescent="0.25">
      <c r="A200" s="20" t="s">
        <v>329</v>
      </c>
      <c r="B200" s="3" t="s">
        <v>137</v>
      </c>
      <c r="C200" s="3">
        <v>59</v>
      </c>
      <c r="D200" s="3" t="s">
        <v>138</v>
      </c>
      <c r="E200" s="1" t="s">
        <v>139</v>
      </c>
      <c r="F200" s="21" t="s">
        <v>139</v>
      </c>
      <c r="G200" s="3" t="s">
        <v>102</v>
      </c>
      <c r="H200" s="3">
        <v>25</v>
      </c>
      <c r="I200" s="3" t="s">
        <v>1850</v>
      </c>
      <c r="J200" s="3">
        <v>1</v>
      </c>
      <c r="K200" s="3">
        <v>1</v>
      </c>
      <c r="L200" s="23"/>
      <c r="M200" s="23">
        <v>5</v>
      </c>
      <c r="N200" s="24" t="s">
        <v>140</v>
      </c>
      <c r="O200" s="31"/>
      <c r="P200" s="34">
        <v>30</v>
      </c>
      <c r="Q200" s="31"/>
      <c r="R200" s="31"/>
      <c r="S200" s="23"/>
      <c r="T200" s="31">
        <v>60</v>
      </c>
      <c r="U200" s="31"/>
      <c r="V200" s="38">
        <v>1</v>
      </c>
      <c r="W200" s="37">
        <v>4</v>
      </c>
      <c r="X200" s="29">
        <v>5.5</v>
      </c>
      <c r="Y200" s="3" t="s">
        <v>6</v>
      </c>
      <c r="Z200" s="2"/>
      <c r="AA200" s="2"/>
    </row>
    <row r="201" spans="1:27" ht="23.1" customHeight="1" x14ac:dyDescent="0.25">
      <c r="A201" s="20" t="s">
        <v>329</v>
      </c>
      <c r="B201" s="3" t="s">
        <v>137</v>
      </c>
      <c r="C201" s="3">
        <v>119</v>
      </c>
      <c r="D201" s="3" t="s">
        <v>404</v>
      </c>
      <c r="E201" s="1" t="s">
        <v>405</v>
      </c>
      <c r="F201" s="21" t="s">
        <v>405</v>
      </c>
      <c r="G201" s="3" t="s">
        <v>118</v>
      </c>
      <c r="H201" s="3">
        <v>40</v>
      </c>
      <c r="I201" s="3" t="s">
        <v>1939</v>
      </c>
      <c r="J201" s="3">
        <v>1</v>
      </c>
      <c r="K201" s="3">
        <v>1</v>
      </c>
      <c r="L201" s="23"/>
      <c r="M201" s="23">
        <v>37</v>
      </c>
      <c r="N201" s="24" t="s">
        <v>247</v>
      </c>
      <c r="O201" s="31"/>
      <c r="P201" s="34">
        <v>150</v>
      </c>
      <c r="Q201" s="31">
        <v>75</v>
      </c>
      <c r="R201" s="31"/>
      <c r="S201" s="23"/>
      <c r="T201" s="31">
        <v>150</v>
      </c>
      <c r="U201" s="31"/>
      <c r="V201" s="38">
        <v>1</v>
      </c>
      <c r="W201" s="37">
        <v>4</v>
      </c>
      <c r="X201" s="29">
        <v>9</v>
      </c>
      <c r="Y201" s="3" t="s">
        <v>52</v>
      </c>
      <c r="Z201" s="2" t="s">
        <v>406</v>
      </c>
      <c r="AA201" s="2"/>
    </row>
    <row r="202" spans="1:27" ht="23.1" customHeight="1" x14ac:dyDescent="0.25">
      <c r="A202" s="20" t="s">
        <v>329</v>
      </c>
      <c r="B202" s="3" t="s">
        <v>113</v>
      </c>
      <c r="C202" s="3">
        <v>77</v>
      </c>
      <c r="D202" s="3" t="s">
        <v>280</v>
      </c>
      <c r="E202" s="1" t="s">
        <v>281</v>
      </c>
      <c r="F202" s="21" t="s">
        <v>281</v>
      </c>
      <c r="G202" s="3" t="s">
        <v>154</v>
      </c>
      <c r="H202" s="3">
        <v>15</v>
      </c>
      <c r="I202" s="3" t="s">
        <v>1856</v>
      </c>
      <c r="J202" s="3">
        <v>4</v>
      </c>
      <c r="K202" s="3">
        <v>4</v>
      </c>
      <c r="L202" s="23">
        <v>31</v>
      </c>
      <c r="M202" s="23">
        <v>31</v>
      </c>
      <c r="N202" s="24" t="s">
        <v>351</v>
      </c>
      <c r="O202" s="31"/>
      <c r="P202" s="34">
        <v>90</v>
      </c>
      <c r="Q202" s="31"/>
      <c r="R202" s="31"/>
      <c r="S202" s="23"/>
      <c r="T202" s="31">
        <v>90</v>
      </c>
      <c r="U202" s="31"/>
      <c r="V202" s="38"/>
      <c r="W202" s="37"/>
      <c r="X202" s="29">
        <v>6</v>
      </c>
      <c r="Y202" s="3" t="s">
        <v>12</v>
      </c>
      <c r="Z202" s="2"/>
      <c r="AA202" s="2"/>
    </row>
    <row r="203" spans="1:27" ht="23.1" customHeight="1" x14ac:dyDescent="0.25">
      <c r="A203" s="20" t="s">
        <v>329</v>
      </c>
      <c r="B203" s="3" t="s">
        <v>113</v>
      </c>
      <c r="C203" s="3">
        <v>22</v>
      </c>
      <c r="D203" s="3" t="s">
        <v>111</v>
      </c>
      <c r="E203" s="1" t="s">
        <v>101</v>
      </c>
      <c r="F203" s="21" t="s">
        <v>101</v>
      </c>
      <c r="G203" s="3" t="s">
        <v>102</v>
      </c>
      <c r="H203" s="3">
        <v>35</v>
      </c>
      <c r="I203" s="3" t="s">
        <v>1940</v>
      </c>
      <c r="J203" s="3">
        <v>0.7</v>
      </c>
      <c r="K203" s="3">
        <v>0.5</v>
      </c>
      <c r="L203" s="23"/>
      <c r="M203" s="23">
        <v>37</v>
      </c>
      <c r="N203" s="24" t="s">
        <v>103</v>
      </c>
      <c r="O203" s="31"/>
      <c r="P203" s="34">
        <v>2100</v>
      </c>
      <c r="Q203" s="31">
        <v>180</v>
      </c>
      <c r="R203" s="31"/>
      <c r="S203" s="23">
        <v>1</v>
      </c>
      <c r="T203" s="31">
        <v>180</v>
      </c>
      <c r="U203" s="31"/>
      <c r="V203" s="38">
        <v>1</v>
      </c>
      <c r="W203" s="37"/>
      <c r="X203" s="29">
        <v>23.5</v>
      </c>
      <c r="Y203" s="3" t="s">
        <v>49</v>
      </c>
      <c r="Z203" s="2" t="s">
        <v>407</v>
      </c>
      <c r="AA203" s="2"/>
    </row>
    <row r="204" spans="1:27" ht="23.1" customHeight="1" x14ac:dyDescent="0.25">
      <c r="A204" s="20" t="s">
        <v>329</v>
      </c>
      <c r="B204" s="3" t="s">
        <v>113</v>
      </c>
      <c r="C204" s="3">
        <v>9</v>
      </c>
      <c r="D204" s="3" t="s">
        <v>229</v>
      </c>
      <c r="E204" s="1" t="s">
        <v>230</v>
      </c>
      <c r="F204" s="21" t="s">
        <v>230</v>
      </c>
      <c r="G204" s="3" t="s">
        <v>154</v>
      </c>
      <c r="H204" s="3">
        <v>25</v>
      </c>
      <c r="I204" s="3" t="s">
        <v>1894</v>
      </c>
      <c r="J204" s="3">
        <v>4</v>
      </c>
      <c r="K204" s="3">
        <v>5</v>
      </c>
      <c r="L204" s="23">
        <v>28</v>
      </c>
      <c r="M204" s="23">
        <v>28</v>
      </c>
      <c r="N204" s="24" t="s">
        <v>275</v>
      </c>
      <c r="O204" s="31"/>
      <c r="P204" s="34">
        <v>140</v>
      </c>
      <c r="Q204" s="31"/>
      <c r="R204" s="31"/>
      <c r="S204" s="23"/>
      <c r="T204" s="31">
        <v>60</v>
      </c>
      <c r="U204" s="31"/>
      <c r="V204" s="38"/>
      <c r="W204" s="37"/>
      <c r="X204" s="29">
        <v>11.7</v>
      </c>
      <c r="Y204" s="3" t="s">
        <v>30</v>
      </c>
      <c r="Z204" s="2"/>
      <c r="AA204" s="2"/>
    </row>
    <row r="205" spans="1:27" ht="23.1" customHeight="1" x14ac:dyDescent="0.25">
      <c r="A205" s="20" t="s">
        <v>329</v>
      </c>
      <c r="B205" s="3" t="s">
        <v>113</v>
      </c>
      <c r="C205" s="3">
        <v>10</v>
      </c>
      <c r="D205" s="3" t="s">
        <v>388</v>
      </c>
      <c r="E205" s="1" t="s">
        <v>389</v>
      </c>
      <c r="F205" s="21" t="s">
        <v>389</v>
      </c>
      <c r="G205" s="3" t="s">
        <v>300</v>
      </c>
      <c r="H205" s="3">
        <v>10</v>
      </c>
      <c r="I205" s="3" t="s">
        <v>1941</v>
      </c>
      <c r="J205" s="3">
        <v>5</v>
      </c>
      <c r="K205" s="3">
        <v>10</v>
      </c>
      <c r="L205" s="23">
        <v>23</v>
      </c>
      <c r="M205" s="23">
        <v>19</v>
      </c>
      <c r="N205" s="24" t="s">
        <v>282</v>
      </c>
      <c r="O205" s="31"/>
      <c r="P205" s="34">
        <v>60</v>
      </c>
      <c r="Q205" s="31"/>
      <c r="R205" s="31"/>
      <c r="S205" s="23"/>
      <c r="T205" s="31">
        <v>120</v>
      </c>
      <c r="U205" s="31"/>
      <c r="V205" s="38"/>
      <c r="W205" s="37"/>
      <c r="X205" s="29">
        <v>10</v>
      </c>
      <c r="Y205" s="3" t="s">
        <v>30</v>
      </c>
      <c r="Z205" s="2"/>
      <c r="AA205" s="2"/>
    </row>
    <row r="206" spans="1:27" ht="23.1" customHeight="1" x14ac:dyDescent="0.25">
      <c r="A206" s="20" t="s">
        <v>329</v>
      </c>
      <c r="B206" s="3" t="s">
        <v>113</v>
      </c>
      <c r="C206" s="3">
        <v>57</v>
      </c>
      <c r="D206" s="3" t="s">
        <v>408</v>
      </c>
      <c r="E206" s="1" t="s">
        <v>409</v>
      </c>
      <c r="F206" s="21" t="s">
        <v>409</v>
      </c>
      <c r="G206" s="3" t="s">
        <v>107</v>
      </c>
      <c r="H206" s="3">
        <v>10</v>
      </c>
      <c r="I206" s="3" t="s">
        <v>1942</v>
      </c>
      <c r="J206" s="3"/>
      <c r="K206" s="3">
        <v>15</v>
      </c>
      <c r="L206" s="23">
        <v>28</v>
      </c>
      <c r="M206" s="23">
        <v>28</v>
      </c>
      <c r="N206" s="24" t="s">
        <v>410</v>
      </c>
      <c r="O206" s="31"/>
      <c r="P206" s="34">
        <v>30</v>
      </c>
      <c r="Q206" s="31"/>
      <c r="R206" s="31"/>
      <c r="S206" s="23"/>
      <c r="T206" s="31">
        <v>60</v>
      </c>
      <c r="U206" s="31"/>
      <c r="V206" s="38"/>
      <c r="W206" s="37"/>
      <c r="X206" s="29">
        <v>7.5</v>
      </c>
      <c r="Y206" s="64" t="s">
        <v>1847</v>
      </c>
      <c r="Z206" s="2"/>
      <c r="AA206" s="2"/>
    </row>
    <row r="207" spans="1:27" ht="23.1" customHeight="1" x14ac:dyDescent="0.25">
      <c r="A207" s="20" t="s">
        <v>329</v>
      </c>
      <c r="B207" s="3" t="s">
        <v>137</v>
      </c>
      <c r="C207" s="3">
        <v>119</v>
      </c>
      <c r="D207" s="3" t="s">
        <v>404</v>
      </c>
      <c r="E207" s="1" t="s">
        <v>405</v>
      </c>
      <c r="F207" s="21" t="s">
        <v>405</v>
      </c>
      <c r="G207" s="3" t="s">
        <v>118</v>
      </c>
      <c r="H207" s="3">
        <v>45</v>
      </c>
      <c r="I207" s="3" t="s">
        <v>1943</v>
      </c>
      <c r="J207" s="3">
        <v>1</v>
      </c>
      <c r="K207" s="3">
        <v>1</v>
      </c>
      <c r="L207" s="23"/>
      <c r="M207" s="23">
        <v>37</v>
      </c>
      <c r="N207" s="24" t="s">
        <v>247</v>
      </c>
      <c r="O207" s="31"/>
      <c r="P207" s="34">
        <v>60</v>
      </c>
      <c r="Q207" s="31">
        <v>75</v>
      </c>
      <c r="R207" s="31"/>
      <c r="S207" s="23"/>
      <c r="T207" s="31">
        <v>150</v>
      </c>
      <c r="U207" s="31"/>
      <c r="V207" s="38">
        <v>1</v>
      </c>
      <c r="W207" s="37">
        <v>4</v>
      </c>
      <c r="X207" s="29">
        <v>7.5</v>
      </c>
      <c r="Y207" s="3" t="s">
        <v>52</v>
      </c>
      <c r="Z207" s="2" t="s">
        <v>406</v>
      </c>
      <c r="AA207" s="2"/>
    </row>
    <row r="208" spans="1:27" ht="23.1" customHeight="1" x14ac:dyDescent="0.25">
      <c r="A208" s="20" t="s">
        <v>329</v>
      </c>
      <c r="B208" s="3" t="s">
        <v>137</v>
      </c>
      <c r="C208" s="3">
        <v>119</v>
      </c>
      <c r="D208" s="3" t="s">
        <v>404</v>
      </c>
      <c r="E208" s="1" t="s">
        <v>405</v>
      </c>
      <c r="F208" s="21" t="s">
        <v>405</v>
      </c>
      <c r="G208" s="3" t="s">
        <v>118</v>
      </c>
      <c r="H208" s="3">
        <v>50</v>
      </c>
      <c r="I208" s="3" t="s">
        <v>1944</v>
      </c>
      <c r="J208" s="3">
        <v>1</v>
      </c>
      <c r="K208" s="3">
        <v>1</v>
      </c>
      <c r="L208" s="23"/>
      <c r="M208" s="23">
        <v>37</v>
      </c>
      <c r="N208" s="24" t="s">
        <v>247</v>
      </c>
      <c r="O208" s="31"/>
      <c r="P208" s="34">
        <v>120</v>
      </c>
      <c r="Q208" s="31">
        <v>75</v>
      </c>
      <c r="R208" s="31"/>
      <c r="S208" s="23"/>
      <c r="T208" s="31">
        <v>150</v>
      </c>
      <c r="U208" s="31"/>
      <c r="V208" s="38">
        <v>1</v>
      </c>
      <c r="W208" s="37">
        <v>4</v>
      </c>
      <c r="X208" s="29">
        <v>8.5</v>
      </c>
      <c r="Y208" s="3" t="s">
        <v>52</v>
      </c>
      <c r="Z208" s="2" t="s">
        <v>406</v>
      </c>
      <c r="AA208" s="2"/>
    </row>
    <row r="209" spans="1:27" ht="23.1" customHeight="1" x14ac:dyDescent="0.25">
      <c r="A209" s="20" t="s">
        <v>329</v>
      </c>
      <c r="B209" s="3" t="s">
        <v>113</v>
      </c>
      <c r="C209" s="3">
        <v>59</v>
      </c>
      <c r="D209" s="3" t="s">
        <v>138</v>
      </c>
      <c r="E209" s="1" t="s">
        <v>139</v>
      </c>
      <c r="F209" s="21" t="s">
        <v>139</v>
      </c>
      <c r="G209" s="3" t="s">
        <v>102</v>
      </c>
      <c r="H209" s="3">
        <v>30</v>
      </c>
      <c r="I209" s="3" t="s">
        <v>1912</v>
      </c>
      <c r="J209" s="3">
        <v>1</v>
      </c>
      <c r="K209" s="3">
        <v>1</v>
      </c>
      <c r="L209" s="23">
        <v>5</v>
      </c>
      <c r="M209" s="23">
        <v>31</v>
      </c>
      <c r="N209" s="24" t="s">
        <v>140</v>
      </c>
      <c r="O209" s="31"/>
      <c r="P209" s="34">
        <v>70</v>
      </c>
      <c r="Q209" s="31"/>
      <c r="R209" s="31"/>
      <c r="S209" s="23"/>
      <c r="T209" s="31">
        <v>120</v>
      </c>
      <c r="U209" s="31"/>
      <c r="V209" s="38">
        <v>1</v>
      </c>
      <c r="W209" s="37"/>
      <c r="X209" s="29">
        <v>3.2</v>
      </c>
      <c r="Y209" s="64" t="s">
        <v>1847</v>
      </c>
      <c r="Z209" s="2" t="s">
        <v>411</v>
      </c>
      <c r="AA209" s="39"/>
    </row>
    <row r="210" spans="1:27" ht="23.1" customHeight="1" x14ac:dyDescent="0.25">
      <c r="A210" s="20" t="s">
        <v>329</v>
      </c>
      <c r="B210" s="3" t="s">
        <v>113</v>
      </c>
      <c r="C210" s="3">
        <v>15</v>
      </c>
      <c r="D210" s="3" t="s">
        <v>217</v>
      </c>
      <c r="E210" s="1" t="s">
        <v>218</v>
      </c>
      <c r="F210" s="21" t="s">
        <v>218</v>
      </c>
      <c r="G210" s="3" t="s">
        <v>107</v>
      </c>
      <c r="H210" s="3">
        <v>45</v>
      </c>
      <c r="I210" s="3" t="s">
        <v>1927</v>
      </c>
      <c r="J210" s="3">
        <v>1.5</v>
      </c>
      <c r="K210" s="3">
        <v>3.5</v>
      </c>
      <c r="L210" s="23">
        <v>26</v>
      </c>
      <c r="M210" s="23">
        <v>19</v>
      </c>
      <c r="N210" s="24" t="s">
        <v>219</v>
      </c>
      <c r="O210" s="31"/>
      <c r="P210" s="34">
        <v>420</v>
      </c>
      <c r="Q210" s="31"/>
      <c r="R210" s="31"/>
      <c r="S210" s="23"/>
      <c r="T210" s="31">
        <v>90</v>
      </c>
      <c r="U210" s="31"/>
      <c r="V210" s="38"/>
      <c r="W210" s="37"/>
      <c r="X210" s="29">
        <v>24.5</v>
      </c>
      <c r="Y210" s="3" t="s">
        <v>60</v>
      </c>
      <c r="Z210" s="2"/>
      <c r="AA210" s="2"/>
    </row>
    <row r="211" spans="1:27" ht="23.1" customHeight="1" x14ac:dyDescent="0.25">
      <c r="A211" s="20" t="s">
        <v>329</v>
      </c>
      <c r="B211" s="3" t="s">
        <v>113</v>
      </c>
      <c r="C211" s="3">
        <v>76</v>
      </c>
      <c r="D211" s="3" t="s">
        <v>280</v>
      </c>
      <c r="E211" s="1" t="s">
        <v>281</v>
      </c>
      <c r="F211" s="21" t="s">
        <v>281</v>
      </c>
      <c r="G211" s="3" t="s">
        <v>154</v>
      </c>
      <c r="H211" s="3">
        <v>15</v>
      </c>
      <c r="I211" s="3" t="s">
        <v>1926</v>
      </c>
      <c r="J211" s="3">
        <v>7</v>
      </c>
      <c r="K211" s="3">
        <v>7</v>
      </c>
      <c r="L211" s="23">
        <v>5</v>
      </c>
      <c r="M211" s="23">
        <v>31</v>
      </c>
      <c r="N211" s="24" t="s">
        <v>412</v>
      </c>
      <c r="O211" s="31"/>
      <c r="P211" s="34">
        <v>90</v>
      </c>
      <c r="Q211" s="31"/>
      <c r="R211" s="31"/>
      <c r="S211" s="23"/>
      <c r="T211" s="31">
        <v>90</v>
      </c>
      <c r="U211" s="31"/>
      <c r="V211" s="38"/>
      <c r="W211" s="37"/>
      <c r="X211" s="29">
        <v>10.5</v>
      </c>
      <c r="Y211" s="3" t="s">
        <v>12</v>
      </c>
      <c r="Z211" s="2"/>
      <c r="AA211" s="2"/>
    </row>
    <row r="212" spans="1:27" ht="23.1" customHeight="1" x14ac:dyDescent="0.25">
      <c r="A212" s="20" t="s">
        <v>329</v>
      </c>
      <c r="B212" s="1" t="s">
        <v>113</v>
      </c>
      <c r="C212" s="3">
        <v>21</v>
      </c>
      <c r="D212" s="3" t="s">
        <v>321</v>
      </c>
      <c r="E212" s="1" t="s">
        <v>322</v>
      </c>
      <c r="F212" s="21" t="s">
        <v>322</v>
      </c>
      <c r="G212" s="3" t="s">
        <v>323</v>
      </c>
      <c r="H212" s="3">
        <v>5</v>
      </c>
      <c r="I212" s="2" t="s">
        <v>1945</v>
      </c>
      <c r="J212" s="3">
        <v>2</v>
      </c>
      <c r="K212" s="3">
        <v>2</v>
      </c>
      <c r="L212" s="23">
        <v>5</v>
      </c>
      <c r="M212" s="23">
        <v>5</v>
      </c>
      <c r="N212" s="24" t="s">
        <v>413</v>
      </c>
      <c r="O212" s="25"/>
      <c r="P212" s="31">
        <v>540</v>
      </c>
      <c r="Q212" s="31">
        <v>120</v>
      </c>
      <c r="R212" s="31"/>
      <c r="S212" s="23">
        <v>2</v>
      </c>
      <c r="T212" s="31">
        <v>180</v>
      </c>
      <c r="U212" s="31"/>
      <c r="V212" s="36">
        <v>1</v>
      </c>
      <c r="W212" s="37"/>
      <c r="X212" s="29">
        <v>25</v>
      </c>
      <c r="Y212" s="3" t="s">
        <v>49</v>
      </c>
      <c r="Z212" s="2" t="s">
        <v>325</v>
      </c>
      <c r="AA212" s="2"/>
    </row>
    <row r="213" spans="1:27" ht="23.1" customHeight="1" x14ac:dyDescent="0.25">
      <c r="A213" s="20" t="s">
        <v>329</v>
      </c>
      <c r="B213" s="1" t="s">
        <v>113</v>
      </c>
      <c r="C213" s="3">
        <v>14</v>
      </c>
      <c r="D213" s="3" t="s">
        <v>276</v>
      </c>
      <c r="E213" s="1" t="s">
        <v>277</v>
      </c>
      <c r="F213" s="21" t="s">
        <v>277</v>
      </c>
      <c r="G213" s="3" t="s">
        <v>154</v>
      </c>
      <c r="H213" s="3">
        <v>50</v>
      </c>
      <c r="I213" s="2" t="s">
        <v>1899</v>
      </c>
      <c r="J213" s="3">
        <v>0.4</v>
      </c>
      <c r="K213" s="3">
        <v>0.4</v>
      </c>
      <c r="L213" s="23"/>
      <c r="M213" s="23">
        <v>37</v>
      </c>
      <c r="N213" s="24" t="s">
        <v>234</v>
      </c>
      <c r="O213" s="25"/>
      <c r="P213" s="31">
        <v>2640</v>
      </c>
      <c r="Q213" s="31"/>
      <c r="R213" s="31"/>
      <c r="S213" s="23"/>
      <c r="T213" s="31">
        <v>90</v>
      </c>
      <c r="U213" s="31"/>
      <c r="V213" s="36"/>
      <c r="W213" s="37"/>
      <c r="X213" s="29">
        <v>17.600000000000001</v>
      </c>
      <c r="Y213" s="3" t="s">
        <v>60</v>
      </c>
      <c r="Z213" s="2"/>
      <c r="AA213" s="2"/>
    </row>
    <row r="214" spans="1:27" ht="23.1" customHeight="1" x14ac:dyDescent="0.25">
      <c r="A214" s="20" t="s">
        <v>329</v>
      </c>
      <c r="B214" s="1" t="s">
        <v>113</v>
      </c>
      <c r="C214" s="3">
        <v>107</v>
      </c>
      <c r="D214" s="3" t="s">
        <v>177</v>
      </c>
      <c r="E214" s="1" t="s">
        <v>133</v>
      </c>
      <c r="F214" s="21" t="s">
        <v>133</v>
      </c>
      <c r="G214" s="3" t="s">
        <v>102</v>
      </c>
      <c r="H214" s="3">
        <v>105</v>
      </c>
      <c r="I214" s="2" t="s">
        <v>1890</v>
      </c>
      <c r="J214" s="3">
        <v>0.6</v>
      </c>
      <c r="K214" s="3">
        <v>0.6</v>
      </c>
      <c r="L214" s="23"/>
      <c r="M214" s="23">
        <v>5</v>
      </c>
      <c r="N214" s="24" t="s">
        <v>103</v>
      </c>
      <c r="O214" s="25"/>
      <c r="P214" s="31">
        <v>150</v>
      </c>
      <c r="Q214" s="31">
        <v>60</v>
      </c>
      <c r="R214" s="31"/>
      <c r="S214" s="23"/>
      <c r="T214" s="31">
        <v>120</v>
      </c>
      <c r="U214" s="31"/>
      <c r="V214" s="36"/>
      <c r="W214" s="37"/>
      <c r="X214" s="29">
        <v>1.5</v>
      </c>
      <c r="Y214" s="3" t="s">
        <v>13</v>
      </c>
      <c r="Z214" s="2" t="s">
        <v>414</v>
      </c>
      <c r="AA214" s="2" t="s">
        <v>193</v>
      </c>
    </row>
    <row r="215" spans="1:27" ht="23.1" customHeight="1" x14ac:dyDescent="0.25">
      <c r="A215" s="20" t="s">
        <v>329</v>
      </c>
      <c r="B215" s="1" t="s">
        <v>113</v>
      </c>
      <c r="C215" s="3">
        <v>55</v>
      </c>
      <c r="D215" s="3" t="s">
        <v>415</v>
      </c>
      <c r="E215" s="1" t="s">
        <v>416</v>
      </c>
      <c r="F215" s="21" t="s">
        <v>416</v>
      </c>
      <c r="G215" s="3" t="s">
        <v>154</v>
      </c>
      <c r="H215" s="3">
        <v>15</v>
      </c>
      <c r="I215" s="2" t="s">
        <v>1946</v>
      </c>
      <c r="J215" s="3">
        <v>14</v>
      </c>
      <c r="K215" s="3">
        <v>18</v>
      </c>
      <c r="L215" s="23" t="s">
        <v>417</v>
      </c>
      <c r="M215" s="23">
        <v>5</v>
      </c>
      <c r="N215" s="24" t="s">
        <v>418</v>
      </c>
      <c r="O215" s="25"/>
      <c r="P215" s="31">
        <v>45</v>
      </c>
      <c r="Q215" s="31"/>
      <c r="R215" s="31"/>
      <c r="S215" s="23"/>
      <c r="T215" s="31">
        <v>60</v>
      </c>
      <c r="U215" s="31"/>
      <c r="V215" s="36"/>
      <c r="W215" s="37"/>
      <c r="X215" s="29">
        <v>13.5</v>
      </c>
      <c r="Y215" s="3" t="s">
        <v>18</v>
      </c>
      <c r="Z215" s="2"/>
      <c r="AA215" s="2"/>
    </row>
    <row r="216" spans="1:27" ht="23.1" customHeight="1" x14ac:dyDescent="0.25">
      <c r="A216" s="20" t="s">
        <v>329</v>
      </c>
      <c r="B216" s="1" t="s">
        <v>113</v>
      </c>
      <c r="C216" s="3">
        <v>56</v>
      </c>
      <c r="D216" s="3" t="s">
        <v>273</v>
      </c>
      <c r="E216" s="1" t="s">
        <v>274</v>
      </c>
      <c r="F216" s="21" t="s">
        <v>274</v>
      </c>
      <c r="G216" s="3" t="s">
        <v>123</v>
      </c>
      <c r="H216" s="3">
        <v>15</v>
      </c>
      <c r="I216" s="2" t="s">
        <v>1947</v>
      </c>
      <c r="J216" s="3">
        <v>8</v>
      </c>
      <c r="K216" s="3">
        <v>12</v>
      </c>
      <c r="L216" s="23">
        <v>37</v>
      </c>
      <c r="M216" s="23">
        <v>37</v>
      </c>
      <c r="N216" s="24" t="s">
        <v>231</v>
      </c>
      <c r="O216" s="25"/>
      <c r="P216" s="31">
        <v>60</v>
      </c>
      <c r="Q216" s="31"/>
      <c r="R216" s="31"/>
      <c r="S216" s="23"/>
      <c r="T216" s="31">
        <v>60</v>
      </c>
      <c r="U216" s="31"/>
      <c r="V216" s="36"/>
      <c r="W216" s="37"/>
      <c r="X216" s="29">
        <v>12</v>
      </c>
      <c r="Y216" s="3" t="s">
        <v>18</v>
      </c>
      <c r="Z216" s="2"/>
      <c r="AA216" s="2"/>
    </row>
    <row r="217" spans="1:27" ht="23.1" customHeight="1" x14ac:dyDescent="0.25">
      <c r="A217" s="20" t="s">
        <v>329</v>
      </c>
      <c r="B217" s="1" t="s">
        <v>113</v>
      </c>
      <c r="C217" s="3">
        <v>79</v>
      </c>
      <c r="D217" s="3" t="s">
        <v>152</v>
      </c>
      <c r="E217" s="1" t="s">
        <v>153</v>
      </c>
      <c r="F217" s="21" t="s">
        <v>1247</v>
      </c>
      <c r="G217" s="3" t="s">
        <v>154</v>
      </c>
      <c r="H217" s="3">
        <v>5</v>
      </c>
      <c r="I217" s="2" t="s">
        <v>1882</v>
      </c>
      <c r="J217" s="3">
        <v>1</v>
      </c>
      <c r="K217" s="3">
        <v>1</v>
      </c>
      <c r="L217" s="23"/>
      <c r="M217" s="23">
        <v>26</v>
      </c>
      <c r="N217" s="24" t="s">
        <v>419</v>
      </c>
      <c r="O217" s="25"/>
      <c r="P217" s="31">
        <v>770</v>
      </c>
      <c r="Q217" s="31">
        <v>120</v>
      </c>
      <c r="R217" s="31"/>
      <c r="S217" s="23">
        <v>1</v>
      </c>
      <c r="T217" s="31">
        <v>120</v>
      </c>
      <c r="U217" s="31"/>
      <c r="V217" s="36"/>
      <c r="W217" s="37"/>
      <c r="X217" s="29">
        <v>14.8</v>
      </c>
      <c r="Y217" s="3" t="s">
        <v>5</v>
      </c>
      <c r="Z217" s="2" t="s">
        <v>145</v>
      </c>
      <c r="AA217" s="2"/>
    </row>
    <row r="218" spans="1:27" ht="23.1" customHeight="1" x14ac:dyDescent="0.25">
      <c r="A218" s="20" t="s">
        <v>329</v>
      </c>
      <c r="B218" s="1" t="s">
        <v>113</v>
      </c>
      <c r="C218" s="3">
        <v>79</v>
      </c>
      <c r="D218" s="3" t="s">
        <v>420</v>
      </c>
      <c r="E218" s="1" t="s">
        <v>153</v>
      </c>
      <c r="F218" s="21" t="s">
        <v>1247</v>
      </c>
      <c r="G218" s="3" t="s">
        <v>154</v>
      </c>
      <c r="H218" s="3">
        <v>20</v>
      </c>
      <c r="I218" s="2" t="s">
        <v>1860</v>
      </c>
      <c r="J218" s="3">
        <v>0.5</v>
      </c>
      <c r="K218" s="3">
        <v>0.8</v>
      </c>
      <c r="L218" s="23"/>
      <c r="M218" s="23">
        <v>28</v>
      </c>
      <c r="N218" s="24" t="s">
        <v>421</v>
      </c>
      <c r="O218" s="25"/>
      <c r="P218" s="31">
        <v>660</v>
      </c>
      <c r="Q218" s="31">
        <v>90</v>
      </c>
      <c r="R218" s="31"/>
      <c r="S218" s="23">
        <v>1</v>
      </c>
      <c r="T218" s="31">
        <v>120</v>
      </c>
      <c r="U218" s="31"/>
      <c r="V218" s="36">
        <v>1</v>
      </c>
      <c r="W218" s="37"/>
      <c r="X218" s="29">
        <v>12.3</v>
      </c>
      <c r="Y218" s="3" t="s">
        <v>5</v>
      </c>
      <c r="Z218" s="2" t="s">
        <v>422</v>
      </c>
      <c r="AA218" s="2"/>
    </row>
    <row r="219" spans="1:27" ht="23.1" customHeight="1" x14ac:dyDescent="0.25">
      <c r="A219" s="20" t="s">
        <v>329</v>
      </c>
      <c r="B219" s="1" t="s">
        <v>113</v>
      </c>
      <c r="C219" s="3">
        <v>58</v>
      </c>
      <c r="D219" s="3" t="s">
        <v>423</v>
      </c>
      <c r="E219" s="1" t="s">
        <v>424</v>
      </c>
      <c r="F219" s="21" t="s">
        <v>424</v>
      </c>
      <c r="G219" s="3" t="s">
        <v>107</v>
      </c>
      <c r="H219" s="3">
        <v>5</v>
      </c>
      <c r="I219" s="2" t="s">
        <v>1930</v>
      </c>
      <c r="J219" s="3">
        <v>4</v>
      </c>
      <c r="K219" s="3">
        <v>4</v>
      </c>
      <c r="L219" s="23">
        <v>5</v>
      </c>
      <c r="M219" s="23">
        <v>5</v>
      </c>
      <c r="N219" s="24" t="s">
        <v>295</v>
      </c>
      <c r="O219" s="25"/>
      <c r="P219" s="31">
        <v>60</v>
      </c>
      <c r="Q219" s="31"/>
      <c r="R219" s="31"/>
      <c r="S219" s="23"/>
      <c r="T219" s="31">
        <v>60</v>
      </c>
      <c r="U219" s="31"/>
      <c r="V219" s="36"/>
      <c r="W219" s="37"/>
      <c r="X219" s="29">
        <v>4</v>
      </c>
      <c r="Y219" s="3" t="s">
        <v>7</v>
      </c>
      <c r="Z219" s="2"/>
      <c r="AA219" s="2"/>
    </row>
    <row r="220" spans="1:27" ht="23.1" customHeight="1" x14ac:dyDescent="0.25">
      <c r="A220" s="20" t="s">
        <v>329</v>
      </c>
      <c r="B220" s="1" t="s">
        <v>113</v>
      </c>
      <c r="C220" s="3">
        <v>58</v>
      </c>
      <c r="D220" s="3" t="s">
        <v>423</v>
      </c>
      <c r="E220" s="1" t="s">
        <v>424</v>
      </c>
      <c r="F220" s="21" t="s">
        <v>424</v>
      </c>
      <c r="G220" s="3" t="s">
        <v>107</v>
      </c>
      <c r="H220" s="3">
        <v>10</v>
      </c>
      <c r="I220" s="2" t="s">
        <v>1949</v>
      </c>
      <c r="J220" s="3">
        <v>4</v>
      </c>
      <c r="K220" s="3">
        <v>4</v>
      </c>
      <c r="L220" s="23">
        <v>5</v>
      </c>
      <c r="M220" s="23">
        <v>31</v>
      </c>
      <c r="N220" s="24" t="s">
        <v>295</v>
      </c>
      <c r="O220" s="25"/>
      <c r="P220" s="31">
        <v>60</v>
      </c>
      <c r="Q220" s="31"/>
      <c r="R220" s="31"/>
      <c r="S220" s="23"/>
      <c r="T220" s="31">
        <v>100</v>
      </c>
      <c r="U220" s="31"/>
      <c r="V220" s="36"/>
      <c r="W220" s="37"/>
      <c r="X220" s="29">
        <v>4</v>
      </c>
      <c r="Y220" s="3" t="s">
        <v>7</v>
      </c>
      <c r="Z220" s="2"/>
      <c r="AA220" s="2"/>
    </row>
    <row r="221" spans="1:27" ht="23.1" customHeight="1" x14ac:dyDescent="0.25">
      <c r="A221" s="20" t="s">
        <v>329</v>
      </c>
      <c r="B221" s="1" t="s">
        <v>113</v>
      </c>
      <c r="C221" s="3">
        <v>12</v>
      </c>
      <c r="D221" s="3" t="s">
        <v>248</v>
      </c>
      <c r="E221" s="1" t="s">
        <v>249</v>
      </c>
      <c r="F221" s="21" t="s">
        <v>249</v>
      </c>
      <c r="G221" s="3" t="s">
        <v>250</v>
      </c>
      <c r="H221" s="3">
        <v>25</v>
      </c>
      <c r="I221" s="2" t="s">
        <v>1923</v>
      </c>
      <c r="J221" s="3">
        <v>0.8</v>
      </c>
      <c r="K221" s="3">
        <v>1</v>
      </c>
      <c r="L221" s="23"/>
      <c r="M221" s="23">
        <v>28</v>
      </c>
      <c r="N221" s="24" t="s">
        <v>282</v>
      </c>
      <c r="O221" s="25"/>
      <c r="P221" s="31">
        <v>1080</v>
      </c>
      <c r="Q221" s="31"/>
      <c r="R221" s="31"/>
      <c r="S221" s="23"/>
      <c r="T221" s="31">
        <v>120</v>
      </c>
      <c r="U221" s="31"/>
      <c r="V221" s="36"/>
      <c r="W221" s="37"/>
      <c r="X221" s="29">
        <v>18</v>
      </c>
      <c r="Y221" s="3" t="s">
        <v>10</v>
      </c>
      <c r="Z221" s="2"/>
      <c r="AA221" s="2"/>
    </row>
    <row r="222" spans="1:27" ht="23.1" customHeight="1" x14ac:dyDescent="0.25">
      <c r="A222" s="20" t="s">
        <v>329</v>
      </c>
      <c r="B222" s="1" t="s">
        <v>113</v>
      </c>
      <c r="C222" s="3">
        <v>108</v>
      </c>
      <c r="D222" s="3" t="s">
        <v>173</v>
      </c>
      <c r="E222" s="1" t="s">
        <v>174</v>
      </c>
      <c r="F222" s="21" t="s">
        <v>1246</v>
      </c>
      <c r="G222" s="3" t="s">
        <v>154</v>
      </c>
      <c r="H222" s="3">
        <v>20</v>
      </c>
      <c r="I222" s="2" t="s">
        <v>1950</v>
      </c>
      <c r="J222" s="3">
        <v>1.5</v>
      </c>
      <c r="K222" s="3">
        <v>1</v>
      </c>
      <c r="L222" s="23"/>
      <c r="M222" s="23">
        <v>28</v>
      </c>
      <c r="N222" s="24" t="s">
        <v>425</v>
      </c>
      <c r="O222" s="25"/>
      <c r="P222" s="31">
        <v>510</v>
      </c>
      <c r="Q222" s="31">
        <v>90</v>
      </c>
      <c r="R222" s="31"/>
      <c r="S222" s="23">
        <v>1</v>
      </c>
      <c r="T222" s="31">
        <v>120</v>
      </c>
      <c r="U222" s="31"/>
      <c r="V222" s="36">
        <v>1</v>
      </c>
      <c r="W222" s="37"/>
      <c r="X222" s="29">
        <v>12</v>
      </c>
      <c r="Y222" s="3" t="s">
        <v>13</v>
      </c>
      <c r="Z222" s="2" t="s">
        <v>426</v>
      </c>
      <c r="AA222" s="2"/>
    </row>
    <row r="223" spans="1:27" ht="23.1" customHeight="1" x14ac:dyDescent="0.25">
      <c r="A223" s="20" t="s">
        <v>329</v>
      </c>
      <c r="B223" s="1" t="s">
        <v>113</v>
      </c>
      <c r="C223" s="3">
        <v>24</v>
      </c>
      <c r="D223" s="3" t="s">
        <v>392</v>
      </c>
      <c r="E223" s="1" t="s">
        <v>259</v>
      </c>
      <c r="F223" s="21" t="s">
        <v>979</v>
      </c>
      <c r="G223" s="3" t="s">
        <v>118</v>
      </c>
      <c r="H223" s="3">
        <v>45</v>
      </c>
      <c r="I223" s="2" t="s">
        <v>1920</v>
      </c>
      <c r="J223" s="3">
        <v>4</v>
      </c>
      <c r="K223" s="3">
        <v>3.6</v>
      </c>
      <c r="L223" s="23">
        <v>5</v>
      </c>
      <c r="M223" s="23">
        <v>28</v>
      </c>
      <c r="N223" s="24" t="s">
        <v>427</v>
      </c>
      <c r="O223" s="25"/>
      <c r="P223" s="31">
        <v>300</v>
      </c>
      <c r="Q223" s="31">
        <v>120</v>
      </c>
      <c r="R223" s="31"/>
      <c r="S223" s="23">
        <v>3</v>
      </c>
      <c r="T223" s="31">
        <v>120</v>
      </c>
      <c r="U223" s="31"/>
      <c r="V223" s="36"/>
      <c r="W223" s="37">
        <v>3</v>
      </c>
      <c r="X223" s="29">
        <v>27</v>
      </c>
      <c r="Y223" s="3" t="s">
        <v>69</v>
      </c>
      <c r="Z223" s="2" t="s">
        <v>428</v>
      </c>
      <c r="AA223" s="2"/>
    </row>
    <row r="224" spans="1:27" ht="23.1" customHeight="1" x14ac:dyDescent="0.25">
      <c r="A224" s="20" t="s">
        <v>329</v>
      </c>
      <c r="B224" s="1" t="s">
        <v>113</v>
      </c>
      <c r="C224" s="3">
        <v>69</v>
      </c>
      <c r="D224" s="3" t="s">
        <v>266</v>
      </c>
      <c r="E224" s="1" t="s">
        <v>267</v>
      </c>
      <c r="F224" s="21" t="s">
        <v>267</v>
      </c>
      <c r="G224" s="3" t="s">
        <v>118</v>
      </c>
      <c r="H224" s="3">
        <v>50</v>
      </c>
      <c r="I224" s="2" t="s">
        <v>1909</v>
      </c>
      <c r="J224" s="3">
        <v>2</v>
      </c>
      <c r="K224" s="3">
        <v>1</v>
      </c>
      <c r="L224" s="23"/>
      <c r="M224" s="23">
        <v>28</v>
      </c>
      <c r="N224" s="24" t="s">
        <v>429</v>
      </c>
      <c r="O224" s="25"/>
      <c r="P224" s="31">
        <v>240</v>
      </c>
      <c r="Q224" s="31">
        <v>90</v>
      </c>
      <c r="R224" s="31"/>
      <c r="S224" s="23">
        <v>1</v>
      </c>
      <c r="T224" s="31">
        <v>180</v>
      </c>
      <c r="U224" s="31"/>
      <c r="V224" s="36"/>
      <c r="W224" s="37">
        <v>3</v>
      </c>
      <c r="X224" s="29">
        <v>8.5</v>
      </c>
      <c r="Y224" s="3" t="s">
        <v>69</v>
      </c>
      <c r="Z224" s="2" t="s">
        <v>430</v>
      </c>
      <c r="AA224" s="2"/>
    </row>
    <row r="225" spans="1:27" ht="23.1" customHeight="1" x14ac:dyDescent="0.25">
      <c r="A225" s="20" t="s">
        <v>329</v>
      </c>
      <c r="B225" s="1" t="s">
        <v>113</v>
      </c>
      <c r="C225" s="3">
        <v>91</v>
      </c>
      <c r="D225" s="3" t="s">
        <v>298</v>
      </c>
      <c r="E225" s="1" t="s">
        <v>299</v>
      </c>
      <c r="F225" s="21" t="s">
        <v>299</v>
      </c>
      <c r="G225" s="3" t="s">
        <v>300</v>
      </c>
      <c r="H225" s="3">
        <v>32</v>
      </c>
      <c r="I225" s="2"/>
      <c r="J225" s="3">
        <v>1</v>
      </c>
      <c r="K225" s="3">
        <v>1</v>
      </c>
      <c r="L225" s="23">
        <v>23</v>
      </c>
      <c r="M225" s="23">
        <v>23</v>
      </c>
      <c r="N225" s="24" t="s">
        <v>399</v>
      </c>
      <c r="O225" s="25">
        <v>150</v>
      </c>
      <c r="P225" s="31"/>
      <c r="Q225" s="31"/>
      <c r="R225" s="25">
        <v>120</v>
      </c>
      <c r="S225" s="23">
        <v>1</v>
      </c>
      <c r="T225" s="31"/>
      <c r="U225" s="31"/>
      <c r="V225" s="36"/>
      <c r="W225" s="37"/>
      <c r="X225" s="32">
        <v>4.5</v>
      </c>
      <c r="Y225" s="3" t="s">
        <v>69</v>
      </c>
      <c r="Z225" s="2" t="s">
        <v>145</v>
      </c>
      <c r="AA225" s="2"/>
    </row>
    <row r="226" spans="1:27" ht="23.1" customHeight="1" x14ac:dyDescent="0.25">
      <c r="A226" s="20" t="s">
        <v>329</v>
      </c>
      <c r="B226" s="1" t="s">
        <v>113</v>
      </c>
      <c r="C226" s="3">
        <v>91</v>
      </c>
      <c r="D226" s="3" t="s">
        <v>298</v>
      </c>
      <c r="E226" s="1" t="s">
        <v>299</v>
      </c>
      <c r="F226" s="21" t="s">
        <v>299</v>
      </c>
      <c r="G226" s="3" t="s">
        <v>300</v>
      </c>
      <c r="H226" s="3">
        <v>30</v>
      </c>
      <c r="I226" s="2" t="s">
        <v>1921</v>
      </c>
      <c r="J226" s="3">
        <v>0.6</v>
      </c>
      <c r="K226" s="3">
        <v>0.9</v>
      </c>
      <c r="L226" s="23">
        <v>23</v>
      </c>
      <c r="M226" s="23">
        <v>28</v>
      </c>
      <c r="N226" s="24" t="s">
        <v>431</v>
      </c>
      <c r="O226" s="25"/>
      <c r="P226" s="31">
        <v>960</v>
      </c>
      <c r="Q226" s="31">
        <v>120</v>
      </c>
      <c r="R226" s="31"/>
      <c r="S226" s="23">
        <v>1</v>
      </c>
      <c r="T226" s="31">
        <v>180</v>
      </c>
      <c r="U226" s="31"/>
      <c r="V226" s="36"/>
      <c r="W226" s="37"/>
      <c r="X226" s="29">
        <v>16.399999999999999</v>
      </c>
      <c r="Y226" s="3" t="s">
        <v>69</v>
      </c>
      <c r="Z226" s="2" t="s">
        <v>145</v>
      </c>
      <c r="AA226" s="2"/>
    </row>
    <row r="227" spans="1:27" ht="23.1" customHeight="1" x14ac:dyDescent="0.25">
      <c r="A227" s="20" t="s">
        <v>329</v>
      </c>
      <c r="B227" s="3" t="s">
        <v>113</v>
      </c>
      <c r="C227" s="3">
        <v>84</v>
      </c>
      <c r="D227" s="3" t="s">
        <v>401</v>
      </c>
      <c r="E227" s="1" t="s">
        <v>402</v>
      </c>
      <c r="F227" s="21" t="s">
        <v>2549</v>
      </c>
      <c r="G227" s="3" t="s">
        <v>154</v>
      </c>
      <c r="H227" s="3">
        <v>25</v>
      </c>
      <c r="I227" s="3" t="s">
        <v>1938</v>
      </c>
      <c r="J227" s="3">
        <v>12</v>
      </c>
      <c r="K227" s="3">
        <v>12</v>
      </c>
      <c r="L227" s="23">
        <v>5</v>
      </c>
      <c r="M227" s="23">
        <v>28</v>
      </c>
      <c r="N227" s="24" t="s">
        <v>247</v>
      </c>
      <c r="O227" s="31"/>
      <c r="P227" s="34">
        <v>60</v>
      </c>
      <c r="Q227" s="31">
        <v>60</v>
      </c>
      <c r="R227" s="31"/>
      <c r="S227" s="23">
        <v>12</v>
      </c>
      <c r="T227" s="31">
        <v>120</v>
      </c>
      <c r="U227" s="31"/>
      <c r="V227" s="38"/>
      <c r="W227" s="37"/>
      <c r="X227" s="29">
        <v>24</v>
      </c>
      <c r="Y227" s="3" t="s">
        <v>69</v>
      </c>
      <c r="Z227" s="2" t="s">
        <v>432</v>
      </c>
      <c r="AA227" s="2"/>
    </row>
    <row r="228" spans="1:27" ht="23.1" customHeight="1" x14ac:dyDescent="0.25">
      <c r="A228" s="20" t="s">
        <v>329</v>
      </c>
      <c r="B228" s="3" t="s">
        <v>113</v>
      </c>
      <c r="C228" s="3">
        <v>59</v>
      </c>
      <c r="D228" s="3" t="s">
        <v>138</v>
      </c>
      <c r="E228" s="1" t="s">
        <v>139</v>
      </c>
      <c r="F228" s="21" t="s">
        <v>139</v>
      </c>
      <c r="G228" s="3" t="s">
        <v>102</v>
      </c>
      <c r="H228" s="3">
        <v>35</v>
      </c>
      <c r="I228" s="3" t="s">
        <v>1929</v>
      </c>
      <c r="J228" s="3">
        <v>1</v>
      </c>
      <c r="K228" s="3">
        <v>1</v>
      </c>
      <c r="L228" s="23">
        <v>5</v>
      </c>
      <c r="M228" s="23">
        <v>31</v>
      </c>
      <c r="N228" s="24" t="s">
        <v>140</v>
      </c>
      <c r="O228" s="31"/>
      <c r="P228" s="34">
        <v>30</v>
      </c>
      <c r="Q228" s="31"/>
      <c r="R228" s="31"/>
      <c r="S228" s="23"/>
      <c r="T228" s="31">
        <v>60</v>
      </c>
      <c r="U228" s="31"/>
      <c r="V228" s="38">
        <v>1</v>
      </c>
      <c r="W228" s="37"/>
      <c r="X228" s="29">
        <v>1.5</v>
      </c>
      <c r="Y228" s="64" t="s">
        <v>1847</v>
      </c>
      <c r="Z228" s="2" t="s">
        <v>411</v>
      </c>
      <c r="AA228" s="39"/>
    </row>
    <row r="229" spans="1:27" ht="23.1" customHeight="1" x14ac:dyDescent="0.25">
      <c r="A229" s="20" t="s">
        <v>329</v>
      </c>
      <c r="B229" s="3" t="s">
        <v>113</v>
      </c>
      <c r="C229" s="3">
        <v>59</v>
      </c>
      <c r="D229" s="3" t="s">
        <v>138</v>
      </c>
      <c r="E229" s="1" t="s">
        <v>139</v>
      </c>
      <c r="F229" s="21" t="s">
        <v>139</v>
      </c>
      <c r="G229" s="3" t="s">
        <v>102</v>
      </c>
      <c r="H229" s="3">
        <v>40</v>
      </c>
      <c r="I229" s="3" t="s">
        <v>1913</v>
      </c>
      <c r="J229" s="3">
        <v>1</v>
      </c>
      <c r="K229" s="3">
        <v>1</v>
      </c>
      <c r="L229" s="23">
        <v>5</v>
      </c>
      <c r="M229" s="23">
        <v>31</v>
      </c>
      <c r="N229" s="24" t="s">
        <v>140</v>
      </c>
      <c r="O229" s="31"/>
      <c r="P229" s="34">
        <v>90</v>
      </c>
      <c r="Q229" s="31"/>
      <c r="R229" s="31"/>
      <c r="S229" s="23"/>
      <c r="T229" s="31">
        <v>120</v>
      </c>
      <c r="U229" s="31"/>
      <c r="V229" s="38">
        <v>1</v>
      </c>
      <c r="W229" s="37"/>
      <c r="X229" s="29">
        <v>3.5</v>
      </c>
      <c r="Y229" s="64" t="s">
        <v>1847</v>
      </c>
      <c r="Z229" s="2" t="s">
        <v>411</v>
      </c>
      <c r="AA229" s="39"/>
    </row>
    <row r="230" spans="1:27" ht="23.1" customHeight="1" x14ac:dyDescent="0.25">
      <c r="A230" s="20" t="s">
        <v>329</v>
      </c>
      <c r="B230" s="3" t="s">
        <v>113</v>
      </c>
      <c r="C230" s="3">
        <v>59</v>
      </c>
      <c r="D230" s="3" t="s">
        <v>138</v>
      </c>
      <c r="E230" s="1" t="s">
        <v>139</v>
      </c>
      <c r="F230" s="21" t="s">
        <v>139</v>
      </c>
      <c r="G230" s="3" t="s">
        <v>102</v>
      </c>
      <c r="H230" s="3">
        <v>45</v>
      </c>
      <c r="I230" s="3" t="s">
        <v>1932</v>
      </c>
      <c r="J230" s="3">
        <v>1</v>
      </c>
      <c r="K230" s="3">
        <v>1</v>
      </c>
      <c r="L230" s="23">
        <v>5</v>
      </c>
      <c r="M230" s="23">
        <v>31</v>
      </c>
      <c r="N230" s="24" t="s">
        <v>140</v>
      </c>
      <c r="O230" s="31"/>
      <c r="P230" s="34">
        <v>120</v>
      </c>
      <c r="Q230" s="31"/>
      <c r="R230" s="31"/>
      <c r="S230" s="23"/>
      <c r="T230" s="31">
        <v>90</v>
      </c>
      <c r="U230" s="31"/>
      <c r="V230" s="38">
        <v>1</v>
      </c>
      <c r="W230" s="37"/>
      <c r="X230" s="29">
        <v>3.5</v>
      </c>
      <c r="Y230" s="64" t="s">
        <v>1847</v>
      </c>
      <c r="Z230" s="2" t="s">
        <v>411</v>
      </c>
      <c r="AA230" s="39"/>
    </row>
    <row r="231" spans="1:27" ht="23.1" customHeight="1" x14ac:dyDescent="0.25">
      <c r="A231" s="20" t="s">
        <v>329</v>
      </c>
      <c r="B231" s="3" t="s">
        <v>113</v>
      </c>
      <c r="C231" s="3">
        <v>119</v>
      </c>
      <c r="D231" s="3" t="s">
        <v>404</v>
      </c>
      <c r="E231" s="1" t="s">
        <v>405</v>
      </c>
      <c r="F231" s="21" t="s">
        <v>405</v>
      </c>
      <c r="G231" s="3" t="s">
        <v>118</v>
      </c>
      <c r="H231" s="3">
        <v>40</v>
      </c>
      <c r="I231" s="3" t="s">
        <v>1939</v>
      </c>
      <c r="J231" s="3">
        <v>3</v>
      </c>
      <c r="K231" s="3">
        <v>3</v>
      </c>
      <c r="L231" s="23">
        <v>23</v>
      </c>
      <c r="M231" s="23">
        <v>28</v>
      </c>
      <c r="N231" s="24" t="s">
        <v>433</v>
      </c>
      <c r="O231" s="31"/>
      <c r="P231" s="34">
        <v>150</v>
      </c>
      <c r="Q231" s="31">
        <v>75</v>
      </c>
      <c r="R231" s="31"/>
      <c r="S231" s="23">
        <v>3</v>
      </c>
      <c r="T231" s="31">
        <v>150</v>
      </c>
      <c r="U231" s="31"/>
      <c r="V231" s="38"/>
      <c r="W231" s="37"/>
      <c r="X231" s="29">
        <v>11.3</v>
      </c>
      <c r="Y231" s="3" t="s">
        <v>69</v>
      </c>
      <c r="Z231" s="2" t="s">
        <v>434</v>
      </c>
      <c r="AA231" s="2"/>
    </row>
    <row r="232" spans="1:27" ht="23.1" customHeight="1" x14ac:dyDescent="0.25">
      <c r="A232" s="20" t="s">
        <v>329</v>
      </c>
      <c r="B232" s="3" t="s">
        <v>113</v>
      </c>
      <c r="C232" s="3">
        <v>78</v>
      </c>
      <c r="D232" s="3" t="s">
        <v>261</v>
      </c>
      <c r="E232" s="1" t="s">
        <v>133</v>
      </c>
      <c r="F232" s="21" t="s">
        <v>133</v>
      </c>
      <c r="G232" s="3" t="s">
        <v>102</v>
      </c>
      <c r="H232" s="3">
        <v>70</v>
      </c>
      <c r="I232" s="3" t="s">
        <v>1951</v>
      </c>
      <c r="J232" s="3">
        <v>1</v>
      </c>
      <c r="K232" s="3">
        <v>0.8</v>
      </c>
      <c r="L232" s="23"/>
      <c r="M232" s="23">
        <v>28</v>
      </c>
      <c r="N232" s="24" t="s">
        <v>103</v>
      </c>
      <c r="O232" s="31"/>
      <c r="P232" s="34">
        <v>540</v>
      </c>
      <c r="Q232" s="31">
        <v>60</v>
      </c>
      <c r="R232" s="31"/>
      <c r="S232" s="23">
        <v>1</v>
      </c>
      <c r="T232" s="31">
        <v>120</v>
      </c>
      <c r="U232" s="31"/>
      <c r="V232" s="38">
        <v>1</v>
      </c>
      <c r="W232" s="37">
        <v>9.8000000000000007</v>
      </c>
      <c r="X232" s="29">
        <v>20</v>
      </c>
      <c r="Y232" s="3" t="s">
        <v>5</v>
      </c>
      <c r="Z232" s="2" t="s">
        <v>435</v>
      </c>
      <c r="AA232" s="2" t="s">
        <v>193</v>
      </c>
    </row>
    <row r="233" spans="1:27" ht="23.1" customHeight="1" x14ac:dyDescent="0.25">
      <c r="A233" s="20" t="s">
        <v>329</v>
      </c>
      <c r="B233" s="3" t="s">
        <v>113</v>
      </c>
      <c r="C233" s="3">
        <v>16</v>
      </c>
      <c r="D233" s="3" t="s">
        <v>364</v>
      </c>
      <c r="E233" s="1" t="s">
        <v>365</v>
      </c>
      <c r="F233" s="21" t="s">
        <v>365</v>
      </c>
      <c r="G233" s="3" t="s">
        <v>154</v>
      </c>
      <c r="H233" s="3">
        <v>20</v>
      </c>
      <c r="I233" s="35" t="s">
        <v>1936</v>
      </c>
      <c r="J233" s="3">
        <v>33</v>
      </c>
      <c r="K233" s="3">
        <v>5</v>
      </c>
      <c r="L233" s="23">
        <v>23</v>
      </c>
      <c r="M233" s="23">
        <v>23</v>
      </c>
      <c r="N233" s="24" t="s">
        <v>221</v>
      </c>
      <c r="O233" s="31"/>
      <c r="P233" s="34">
        <v>20</v>
      </c>
      <c r="Q233" s="31"/>
      <c r="R233" s="31"/>
      <c r="S233" s="23"/>
      <c r="T233" s="31">
        <v>60</v>
      </c>
      <c r="U233" s="31"/>
      <c r="V233" s="38"/>
      <c r="W233" s="37"/>
      <c r="X233" s="29">
        <v>1.7</v>
      </c>
      <c r="Y233" s="3" t="s">
        <v>63</v>
      </c>
      <c r="Z233" s="2"/>
      <c r="AA233" s="2"/>
    </row>
    <row r="234" spans="1:27" ht="23.1" customHeight="1" x14ac:dyDescent="0.25">
      <c r="A234" s="20" t="s">
        <v>329</v>
      </c>
      <c r="B234" s="1" t="s">
        <v>113</v>
      </c>
      <c r="C234" s="3">
        <v>16</v>
      </c>
      <c r="D234" s="3" t="s">
        <v>436</v>
      </c>
      <c r="E234" s="1" t="s">
        <v>437</v>
      </c>
      <c r="F234" s="21" t="s">
        <v>437</v>
      </c>
      <c r="G234" s="3" t="s">
        <v>154</v>
      </c>
      <c r="H234" s="3">
        <v>10</v>
      </c>
      <c r="I234" s="2" t="s">
        <v>1952</v>
      </c>
      <c r="J234" s="3">
        <v>2</v>
      </c>
      <c r="K234" s="3">
        <v>2</v>
      </c>
      <c r="L234" s="23">
        <v>5</v>
      </c>
      <c r="M234" s="23">
        <v>23</v>
      </c>
      <c r="N234" s="24" t="s">
        <v>438</v>
      </c>
      <c r="O234" s="25"/>
      <c r="P234" s="31">
        <v>60</v>
      </c>
      <c r="Q234" s="31"/>
      <c r="R234" s="31"/>
      <c r="S234" s="23"/>
      <c r="T234" s="31">
        <v>60</v>
      </c>
      <c r="U234" s="31"/>
      <c r="V234" s="36"/>
      <c r="W234" s="37"/>
      <c r="X234" s="29">
        <v>2</v>
      </c>
      <c r="Y234" s="3" t="s">
        <v>63</v>
      </c>
      <c r="Z234" s="2"/>
      <c r="AA234" s="2"/>
    </row>
    <row r="235" spans="1:27" ht="23.1" customHeight="1" x14ac:dyDescent="0.25">
      <c r="A235" s="20" t="s">
        <v>329</v>
      </c>
      <c r="B235" s="1" t="s">
        <v>113</v>
      </c>
      <c r="C235" s="3">
        <v>11</v>
      </c>
      <c r="D235" s="3" t="s">
        <v>203</v>
      </c>
      <c r="E235" s="1" t="s">
        <v>317</v>
      </c>
      <c r="F235" s="21" t="s">
        <v>317</v>
      </c>
      <c r="G235" s="3" t="s">
        <v>154</v>
      </c>
      <c r="H235" s="3">
        <v>40</v>
      </c>
      <c r="I235" s="2" t="s">
        <v>1935</v>
      </c>
      <c r="J235" s="3">
        <v>3</v>
      </c>
      <c r="K235" s="3">
        <v>4</v>
      </c>
      <c r="L235" s="23">
        <v>5</v>
      </c>
      <c r="M235" s="23">
        <v>23</v>
      </c>
      <c r="N235" s="24" t="s">
        <v>439</v>
      </c>
      <c r="O235" s="25"/>
      <c r="P235" s="31">
        <v>260</v>
      </c>
      <c r="Q235" s="31"/>
      <c r="R235" s="31"/>
      <c r="S235" s="23"/>
      <c r="T235" s="31">
        <v>90</v>
      </c>
      <c r="U235" s="31"/>
      <c r="V235" s="36"/>
      <c r="W235" s="37"/>
      <c r="X235" s="29">
        <v>17.3</v>
      </c>
      <c r="Y235" s="3" t="s">
        <v>63</v>
      </c>
      <c r="Z235" s="2"/>
      <c r="AA235" s="2"/>
    </row>
    <row r="236" spans="1:27" ht="23.1" customHeight="1" x14ac:dyDescent="0.25">
      <c r="A236" s="20" t="s">
        <v>329</v>
      </c>
      <c r="B236" s="1" t="s">
        <v>113</v>
      </c>
      <c r="C236" s="3">
        <v>18</v>
      </c>
      <c r="D236" s="3" t="s">
        <v>205</v>
      </c>
      <c r="E236" s="1" t="s">
        <v>206</v>
      </c>
      <c r="F236" s="21" t="s">
        <v>206</v>
      </c>
      <c r="G236" s="3" t="s">
        <v>123</v>
      </c>
      <c r="H236" s="3">
        <v>30</v>
      </c>
      <c r="I236" s="2" t="s">
        <v>1953</v>
      </c>
      <c r="J236" s="3">
        <v>3</v>
      </c>
      <c r="K236" s="3">
        <v>3</v>
      </c>
      <c r="L236" s="23">
        <v>28</v>
      </c>
      <c r="M236" s="23">
        <v>28</v>
      </c>
      <c r="N236" s="24" t="s">
        <v>440</v>
      </c>
      <c r="O236" s="25"/>
      <c r="P236" s="31">
        <v>180</v>
      </c>
      <c r="Q236" s="31"/>
      <c r="R236" s="31"/>
      <c r="S236" s="23"/>
      <c r="T236" s="31">
        <v>120</v>
      </c>
      <c r="U236" s="31"/>
      <c r="V236" s="36">
        <v>1</v>
      </c>
      <c r="W236" s="37"/>
      <c r="X236" s="29">
        <v>11</v>
      </c>
      <c r="Y236" s="3" t="s">
        <v>16</v>
      </c>
      <c r="Z236" s="2" t="s">
        <v>92</v>
      </c>
      <c r="AA236" s="2"/>
    </row>
    <row r="237" spans="1:27" ht="23.1" customHeight="1" x14ac:dyDescent="0.25">
      <c r="A237" s="20" t="s">
        <v>329</v>
      </c>
      <c r="B237" s="1" t="s">
        <v>113</v>
      </c>
      <c r="C237" s="3">
        <v>13</v>
      </c>
      <c r="D237" s="3" t="s">
        <v>245</v>
      </c>
      <c r="E237" s="1" t="s">
        <v>246</v>
      </c>
      <c r="F237" s="21" t="s">
        <v>246</v>
      </c>
      <c r="G237" s="3" t="s">
        <v>123</v>
      </c>
      <c r="H237" s="3">
        <v>40</v>
      </c>
      <c r="I237" s="2" t="s">
        <v>1902</v>
      </c>
      <c r="J237" s="3">
        <v>2</v>
      </c>
      <c r="K237" s="3">
        <v>2</v>
      </c>
      <c r="L237" s="23">
        <v>5</v>
      </c>
      <c r="M237" s="23">
        <v>5</v>
      </c>
      <c r="N237" s="24" t="s">
        <v>247</v>
      </c>
      <c r="O237" s="25"/>
      <c r="P237" s="31">
        <v>230</v>
      </c>
      <c r="Q237" s="31"/>
      <c r="R237" s="31"/>
      <c r="S237" s="23"/>
      <c r="T237" s="31">
        <v>120</v>
      </c>
      <c r="U237" s="31"/>
      <c r="V237" s="36"/>
      <c r="W237" s="37"/>
      <c r="X237" s="29">
        <v>7.7</v>
      </c>
      <c r="Y237" s="3" t="s">
        <v>10</v>
      </c>
      <c r="Z237" s="2"/>
      <c r="AA237" s="2"/>
    </row>
    <row r="238" spans="1:27" ht="23.1" customHeight="1" x14ac:dyDescent="0.25">
      <c r="A238" s="20" t="s">
        <v>329</v>
      </c>
      <c r="B238" s="1" t="s">
        <v>113</v>
      </c>
      <c r="C238" s="3">
        <v>13</v>
      </c>
      <c r="D238" s="3" t="s">
        <v>245</v>
      </c>
      <c r="E238" s="1" t="s">
        <v>246</v>
      </c>
      <c r="F238" s="21" t="s">
        <v>246</v>
      </c>
      <c r="G238" s="3" t="s">
        <v>123</v>
      </c>
      <c r="H238" s="3">
        <v>45</v>
      </c>
      <c r="I238" s="2" t="s">
        <v>1954</v>
      </c>
      <c r="J238" s="3">
        <v>1</v>
      </c>
      <c r="K238" s="3">
        <v>2</v>
      </c>
      <c r="L238" s="23">
        <v>5</v>
      </c>
      <c r="M238" s="23">
        <v>31</v>
      </c>
      <c r="N238" s="24" t="s">
        <v>247</v>
      </c>
      <c r="O238" s="25"/>
      <c r="P238" s="31">
        <v>250</v>
      </c>
      <c r="Q238" s="31"/>
      <c r="R238" s="31"/>
      <c r="S238" s="23"/>
      <c r="T238" s="31">
        <v>90</v>
      </c>
      <c r="U238" s="31"/>
      <c r="V238" s="36">
        <v>1</v>
      </c>
      <c r="W238" s="37"/>
      <c r="X238" s="29">
        <v>9.8000000000000007</v>
      </c>
      <c r="Y238" s="3" t="s">
        <v>10</v>
      </c>
      <c r="Z238" s="2" t="s">
        <v>92</v>
      </c>
      <c r="AA238" s="2"/>
    </row>
    <row r="239" spans="1:27" ht="23.1" customHeight="1" x14ac:dyDescent="0.25">
      <c r="A239" s="20" t="s">
        <v>329</v>
      </c>
      <c r="B239" s="1" t="s">
        <v>113</v>
      </c>
      <c r="C239" s="3">
        <v>77</v>
      </c>
      <c r="D239" s="3" t="s">
        <v>211</v>
      </c>
      <c r="E239" s="1" t="s">
        <v>212</v>
      </c>
      <c r="F239" s="21" t="s">
        <v>212</v>
      </c>
      <c r="G239" s="3" t="s">
        <v>123</v>
      </c>
      <c r="H239" s="3">
        <v>15</v>
      </c>
      <c r="I239" s="2" t="s">
        <v>1893</v>
      </c>
      <c r="J239" s="3">
        <v>8</v>
      </c>
      <c r="K239" s="3">
        <v>9</v>
      </c>
      <c r="L239" s="23">
        <v>37</v>
      </c>
      <c r="M239" s="23">
        <v>31</v>
      </c>
      <c r="N239" s="24" t="s">
        <v>213</v>
      </c>
      <c r="O239" s="25">
        <v>100</v>
      </c>
      <c r="P239" s="31">
        <v>60</v>
      </c>
      <c r="Q239" s="31"/>
      <c r="R239" s="31"/>
      <c r="S239" s="23"/>
      <c r="T239" s="31">
        <v>90</v>
      </c>
      <c r="U239" s="31"/>
      <c r="V239" s="36"/>
      <c r="W239" s="37"/>
      <c r="X239" s="32">
        <v>15</v>
      </c>
      <c r="Y239" s="3" t="s">
        <v>24</v>
      </c>
      <c r="Z239" s="2" t="s">
        <v>326</v>
      </c>
      <c r="AA239" s="2"/>
    </row>
    <row r="240" spans="1:27" ht="23.1" customHeight="1" x14ac:dyDescent="0.25">
      <c r="A240" s="20" t="s">
        <v>329</v>
      </c>
      <c r="B240" s="1" t="s">
        <v>113</v>
      </c>
      <c r="C240" s="3">
        <v>16</v>
      </c>
      <c r="D240" s="3" t="s">
        <v>441</v>
      </c>
      <c r="E240" s="1" t="s">
        <v>437</v>
      </c>
      <c r="F240" s="21" t="s">
        <v>437</v>
      </c>
      <c r="G240" s="3" t="s">
        <v>154</v>
      </c>
      <c r="H240" s="3">
        <v>10</v>
      </c>
      <c r="I240" s="2" t="s">
        <v>1952</v>
      </c>
      <c r="J240" s="3"/>
      <c r="K240" s="3">
        <v>2</v>
      </c>
      <c r="L240" s="23">
        <v>5</v>
      </c>
      <c r="M240" s="23">
        <v>23</v>
      </c>
      <c r="N240" s="24" t="s">
        <v>438</v>
      </c>
      <c r="O240" s="25"/>
      <c r="P240" s="31">
        <v>60</v>
      </c>
      <c r="Q240" s="31"/>
      <c r="R240" s="31"/>
      <c r="S240" s="23"/>
      <c r="T240" s="31">
        <v>60</v>
      </c>
      <c r="U240" s="31"/>
      <c r="V240" s="36"/>
      <c r="W240" s="37"/>
      <c r="X240" s="29">
        <v>2</v>
      </c>
      <c r="Y240" s="3" t="s">
        <v>63</v>
      </c>
      <c r="Z240" s="2"/>
      <c r="AA240" s="2"/>
    </row>
    <row r="241" spans="1:27" ht="23.1" customHeight="1" x14ac:dyDescent="0.25">
      <c r="A241" s="20" t="s">
        <v>329</v>
      </c>
      <c r="B241" s="1" t="s">
        <v>113</v>
      </c>
      <c r="C241" s="3">
        <v>16</v>
      </c>
      <c r="D241" s="3" t="s">
        <v>441</v>
      </c>
      <c r="E241" s="1" t="s">
        <v>437</v>
      </c>
      <c r="F241" s="21" t="s">
        <v>437</v>
      </c>
      <c r="G241" s="3" t="s">
        <v>154</v>
      </c>
      <c r="H241" s="3">
        <v>20</v>
      </c>
      <c r="I241" s="2" t="s">
        <v>1955</v>
      </c>
      <c r="J241" s="3"/>
      <c r="K241" s="3">
        <v>1</v>
      </c>
      <c r="L241" s="23"/>
      <c r="M241" s="23">
        <v>28</v>
      </c>
      <c r="N241" s="24" t="s">
        <v>159</v>
      </c>
      <c r="O241" s="25"/>
      <c r="P241" s="31">
        <v>150</v>
      </c>
      <c r="Q241" s="31"/>
      <c r="R241" s="31"/>
      <c r="S241" s="23"/>
      <c r="T241" s="31">
        <v>90</v>
      </c>
      <c r="U241" s="31"/>
      <c r="V241" s="36"/>
      <c r="W241" s="37"/>
      <c r="X241" s="29">
        <v>2.5</v>
      </c>
      <c r="Y241" s="3" t="s">
        <v>63</v>
      </c>
      <c r="Z241" s="2"/>
      <c r="AA241" s="2"/>
    </row>
    <row r="242" spans="1:27" ht="23.1" customHeight="1" x14ac:dyDescent="0.25">
      <c r="A242" s="20" t="s">
        <v>329</v>
      </c>
      <c r="B242" s="1" t="s">
        <v>113</v>
      </c>
      <c r="C242" s="3">
        <v>17</v>
      </c>
      <c r="D242" s="3" t="s">
        <v>205</v>
      </c>
      <c r="E242" s="1" t="s">
        <v>206</v>
      </c>
      <c r="F242" s="21" t="s">
        <v>206</v>
      </c>
      <c r="G242" s="3" t="s">
        <v>123</v>
      </c>
      <c r="H242" s="3">
        <v>30</v>
      </c>
      <c r="I242" s="2" t="s">
        <v>1953</v>
      </c>
      <c r="J242" s="3">
        <v>3</v>
      </c>
      <c r="K242" s="3">
        <v>3</v>
      </c>
      <c r="L242" s="23">
        <v>28</v>
      </c>
      <c r="M242" s="23">
        <v>28</v>
      </c>
      <c r="N242" s="24" t="s">
        <v>348</v>
      </c>
      <c r="O242" s="25"/>
      <c r="P242" s="31">
        <v>180</v>
      </c>
      <c r="Q242" s="31"/>
      <c r="R242" s="31"/>
      <c r="S242" s="23"/>
      <c r="T242" s="31">
        <v>120</v>
      </c>
      <c r="U242" s="31"/>
      <c r="V242" s="36"/>
      <c r="W242" s="37"/>
      <c r="X242" s="29">
        <v>9</v>
      </c>
      <c r="Y242" s="3" t="s">
        <v>16</v>
      </c>
      <c r="Z242" s="2"/>
      <c r="AA242" s="2"/>
    </row>
    <row r="243" spans="1:27" ht="23.1" customHeight="1" x14ac:dyDescent="0.25">
      <c r="A243" s="20" t="s">
        <v>329</v>
      </c>
      <c r="B243" s="1" t="s">
        <v>113</v>
      </c>
      <c r="C243" s="3">
        <v>47</v>
      </c>
      <c r="D243" s="3" t="s">
        <v>332</v>
      </c>
      <c r="E243" s="1" t="s">
        <v>333</v>
      </c>
      <c r="F243" s="21" t="s">
        <v>2548</v>
      </c>
      <c r="G243" s="3" t="s">
        <v>107</v>
      </c>
      <c r="H243" s="3">
        <v>15</v>
      </c>
      <c r="I243" s="2" t="s">
        <v>1956</v>
      </c>
      <c r="J243" s="3">
        <v>3</v>
      </c>
      <c r="K243" s="3">
        <v>3</v>
      </c>
      <c r="L243" s="23">
        <v>23</v>
      </c>
      <c r="M243" s="23">
        <v>5</v>
      </c>
      <c r="N243" s="24" t="s">
        <v>442</v>
      </c>
      <c r="O243" s="25"/>
      <c r="P243" s="31">
        <v>300</v>
      </c>
      <c r="Q243" s="31">
        <v>60</v>
      </c>
      <c r="R243" s="31"/>
      <c r="S243" s="23">
        <v>3</v>
      </c>
      <c r="T243" s="31">
        <v>120</v>
      </c>
      <c r="U243" s="31"/>
      <c r="V243" s="36"/>
      <c r="W243" s="37"/>
      <c r="X243" s="29">
        <v>18</v>
      </c>
      <c r="Y243" s="3" t="s">
        <v>22</v>
      </c>
      <c r="Z243" s="2" t="s">
        <v>125</v>
      </c>
      <c r="AA243" s="2"/>
    </row>
    <row r="244" spans="1:27" ht="23.1" customHeight="1" x14ac:dyDescent="0.25">
      <c r="A244" s="20" t="s">
        <v>329</v>
      </c>
      <c r="B244" s="1" t="s">
        <v>113</v>
      </c>
      <c r="C244" s="3">
        <v>47</v>
      </c>
      <c r="D244" s="3" t="s">
        <v>332</v>
      </c>
      <c r="E244" s="1" t="s">
        <v>333</v>
      </c>
      <c r="F244" s="21" t="s">
        <v>2548</v>
      </c>
      <c r="G244" s="3" t="s">
        <v>107</v>
      </c>
      <c r="H244" s="3">
        <v>10</v>
      </c>
      <c r="I244" s="2" t="s">
        <v>1916</v>
      </c>
      <c r="J244" s="3">
        <v>3</v>
      </c>
      <c r="K244" s="3">
        <v>3</v>
      </c>
      <c r="L244" s="23">
        <v>23</v>
      </c>
      <c r="M244" s="23">
        <v>23</v>
      </c>
      <c r="N244" s="24" t="s">
        <v>443</v>
      </c>
      <c r="O244" s="25"/>
      <c r="P244" s="31">
        <v>120</v>
      </c>
      <c r="Q244" s="31">
        <v>60</v>
      </c>
      <c r="R244" s="31"/>
      <c r="S244" s="23">
        <v>3</v>
      </c>
      <c r="T244" s="31">
        <v>120</v>
      </c>
      <c r="U244" s="31"/>
      <c r="V244" s="36"/>
      <c r="W244" s="37"/>
      <c r="X244" s="29">
        <v>9</v>
      </c>
      <c r="Y244" s="3" t="s">
        <v>22</v>
      </c>
      <c r="Z244" s="2" t="s">
        <v>125</v>
      </c>
      <c r="AA244" s="2"/>
    </row>
    <row r="245" spans="1:27" ht="23.1" customHeight="1" x14ac:dyDescent="0.25">
      <c r="A245" s="20" t="s">
        <v>329</v>
      </c>
      <c r="B245" s="1" t="s">
        <v>113</v>
      </c>
      <c r="C245" s="3">
        <v>23</v>
      </c>
      <c r="D245" s="3" t="s">
        <v>288</v>
      </c>
      <c r="E245" s="1" t="s">
        <v>255</v>
      </c>
      <c r="F245" s="21" t="s">
        <v>1532</v>
      </c>
      <c r="G245" s="3" t="s">
        <v>250</v>
      </c>
      <c r="H245" s="3">
        <v>45</v>
      </c>
      <c r="I245" s="2" t="s">
        <v>1919</v>
      </c>
      <c r="J245" s="3">
        <v>0.8</v>
      </c>
      <c r="K245" s="3">
        <v>1.2</v>
      </c>
      <c r="L245" s="23">
        <v>23</v>
      </c>
      <c r="M245" s="23">
        <v>28</v>
      </c>
      <c r="N245" s="24" t="s">
        <v>444</v>
      </c>
      <c r="O245" s="25"/>
      <c r="P245" s="31">
        <v>660</v>
      </c>
      <c r="Q245" s="31">
        <v>90</v>
      </c>
      <c r="R245" s="31"/>
      <c r="S245" s="23">
        <v>1</v>
      </c>
      <c r="T245" s="31">
        <v>120</v>
      </c>
      <c r="U245" s="31"/>
      <c r="V245" s="36"/>
      <c r="W245" s="37"/>
      <c r="X245" s="29">
        <v>14.7</v>
      </c>
      <c r="Y245" s="3" t="s">
        <v>22</v>
      </c>
      <c r="Z245" s="2" t="s">
        <v>145</v>
      </c>
      <c r="AA245" s="2"/>
    </row>
    <row r="246" spans="1:27" ht="23.1" customHeight="1" x14ac:dyDescent="0.25">
      <c r="A246" s="20" t="s">
        <v>329</v>
      </c>
      <c r="B246" s="1" t="s">
        <v>113</v>
      </c>
      <c r="C246" s="3">
        <v>23</v>
      </c>
      <c r="D246" s="3" t="s">
        <v>332</v>
      </c>
      <c r="E246" s="1" t="s">
        <v>333</v>
      </c>
      <c r="F246" s="21" t="s">
        <v>2548</v>
      </c>
      <c r="G246" s="3" t="s">
        <v>107</v>
      </c>
      <c r="H246" s="3">
        <v>15</v>
      </c>
      <c r="I246" s="2" t="s">
        <v>1956</v>
      </c>
      <c r="J246" s="3">
        <v>2</v>
      </c>
      <c r="K246" s="3">
        <v>2</v>
      </c>
      <c r="L246" s="23">
        <v>5</v>
      </c>
      <c r="M246" s="23">
        <v>5</v>
      </c>
      <c r="N246" s="24" t="s">
        <v>445</v>
      </c>
      <c r="O246" s="25"/>
      <c r="P246" s="31">
        <v>300</v>
      </c>
      <c r="Q246" s="31">
        <v>60</v>
      </c>
      <c r="R246" s="31"/>
      <c r="S246" s="23">
        <v>2</v>
      </c>
      <c r="T246" s="31">
        <v>120</v>
      </c>
      <c r="U246" s="31"/>
      <c r="V246" s="36">
        <v>1</v>
      </c>
      <c r="W246" s="37"/>
      <c r="X246" s="29">
        <v>14</v>
      </c>
      <c r="Y246" s="3" t="s">
        <v>22</v>
      </c>
      <c r="Z246" s="2" t="s">
        <v>446</v>
      </c>
      <c r="AA246" s="2"/>
    </row>
    <row r="247" spans="1:27" ht="23.1" customHeight="1" x14ac:dyDescent="0.25">
      <c r="A247" s="20" t="s">
        <v>329</v>
      </c>
      <c r="B247" s="1" t="s">
        <v>113</v>
      </c>
      <c r="C247" s="3">
        <v>58</v>
      </c>
      <c r="D247" s="3" t="s">
        <v>423</v>
      </c>
      <c r="E247" s="1" t="s">
        <v>424</v>
      </c>
      <c r="F247" s="21" t="s">
        <v>424</v>
      </c>
      <c r="G247" s="3" t="s">
        <v>107</v>
      </c>
      <c r="H247" s="3">
        <v>10</v>
      </c>
      <c r="I247" s="2" t="s">
        <v>1949</v>
      </c>
      <c r="J247" s="3">
        <v>1</v>
      </c>
      <c r="K247" s="3">
        <v>1</v>
      </c>
      <c r="L247" s="23"/>
      <c r="M247" s="23">
        <v>28</v>
      </c>
      <c r="N247" s="24" t="s">
        <v>295</v>
      </c>
      <c r="O247" s="25"/>
      <c r="P247" s="31">
        <v>60</v>
      </c>
      <c r="Q247" s="31"/>
      <c r="R247" s="31"/>
      <c r="S247" s="23"/>
      <c r="T247" s="31">
        <v>100</v>
      </c>
      <c r="U247" s="31"/>
      <c r="V247" s="36"/>
      <c r="W247" s="37">
        <v>2</v>
      </c>
      <c r="X247" s="29">
        <v>3</v>
      </c>
      <c r="Y247" s="3" t="s">
        <v>7</v>
      </c>
      <c r="Z247" s="2" t="s">
        <v>447</v>
      </c>
      <c r="AA247" s="2"/>
    </row>
    <row r="248" spans="1:27" ht="23.1" customHeight="1" x14ac:dyDescent="0.25">
      <c r="A248" s="20" t="s">
        <v>329</v>
      </c>
      <c r="B248" s="1" t="s">
        <v>113</v>
      </c>
      <c r="C248" s="3">
        <v>16</v>
      </c>
      <c r="D248" s="3" t="s">
        <v>441</v>
      </c>
      <c r="E248" s="1" t="s">
        <v>437</v>
      </c>
      <c r="F248" s="21" t="s">
        <v>437</v>
      </c>
      <c r="G248" s="3" t="s">
        <v>154</v>
      </c>
      <c r="H248" s="3">
        <v>20</v>
      </c>
      <c r="I248" s="2" t="s">
        <v>1955</v>
      </c>
      <c r="J248" s="3"/>
      <c r="K248" s="3"/>
      <c r="L248" s="23">
        <v>9</v>
      </c>
      <c r="M248" s="23"/>
      <c r="N248" s="24" t="s">
        <v>159</v>
      </c>
      <c r="O248" s="25"/>
      <c r="P248" s="31">
        <v>150</v>
      </c>
      <c r="Q248" s="31"/>
      <c r="R248" s="31"/>
      <c r="S248" s="23"/>
      <c r="T248" s="31">
        <v>90</v>
      </c>
      <c r="U248" s="31"/>
      <c r="V248" s="36"/>
      <c r="W248" s="37">
        <v>2</v>
      </c>
      <c r="X248" s="29">
        <v>2</v>
      </c>
      <c r="Y248" s="3" t="s">
        <v>63</v>
      </c>
      <c r="Z248" s="2" t="s">
        <v>448</v>
      </c>
      <c r="AA248" s="1" t="s">
        <v>238</v>
      </c>
    </row>
    <row r="249" spans="1:27" ht="23.1" customHeight="1" x14ac:dyDescent="0.25">
      <c r="A249" s="20" t="s">
        <v>329</v>
      </c>
      <c r="B249" s="1" t="s">
        <v>113</v>
      </c>
      <c r="C249" s="3">
        <v>16</v>
      </c>
      <c r="D249" s="3" t="s">
        <v>449</v>
      </c>
      <c r="E249" s="1" t="s">
        <v>317</v>
      </c>
      <c r="F249" s="21" t="s">
        <v>317</v>
      </c>
      <c r="G249" s="3" t="s">
        <v>154</v>
      </c>
      <c r="H249" s="3">
        <v>5</v>
      </c>
      <c r="I249" s="2" t="s">
        <v>1957</v>
      </c>
      <c r="J249" s="3"/>
      <c r="K249" s="3"/>
      <c r="L249" s="23">
        <v>9</v>
      </c>
      <c r="M249" s="23"/>
      <c r="N249" s="24" t="s">
        <v>159</v>
      </c>
      <c r="O249" s="25"/>
      <c r="P249" s="31">
        <v>90</v>
      </c>
      <c r="Q249" s="31"/>
      <c r="R249" s="31"/>
      <c r="S249" s="23"/>
      <c r="T249" s="31">
        <v>60</v>
      </c>
      <c r="U249" s="31"/>
      <c r="V249" s="36"/>
      <c r="W249" s="37">
        <v>3</v>
      </c>
      <c r="X249" s="29">
        <v>3</v>
      </c>
      <c r="Y249" s="3" t="s">
        <v>63</v>
      </c>
      <c r="Z249" s="2" t="s">
        <v>450</v>
      </c>
      <c r="AA249" s="1" t="s">
        <v>238</v>
      </c>
    </row>
    <row r="250" spans="1:27" ht="23.1" customHeight="1" x14ac:dyDescent="0.25">
      <c r="A250" s="20" t="s">
        <v>329</v>
      </c>
      <c r="B250" s="3" t="s">
        <v>113</v>
      </c>
      <c r="C250" s="3">
        <v>10</v>
      </c>
      <c r="D250" s="3" t="s">
        <v>108</v>
      </c>
      <c r="E250" s="1" t="s">
        <v>108</v>
      </c>
      <c r="F250" s="21" t="e">
        <v>#N/A</v>
      </c>
      <c r="G250" s="3" t="s">
        <v>108</v>
      </c>
      <c r="H250" s="3" t="s">
        <v>108</v>
      </c>
      <c r="I250" s="2"/>
      <c r="J250" s="3" t="s">
        <v>108</v>
      </c>
      <c r="K250" s="3">
        <v>0</v>
      </c>
      <c r="L250" s="23" t="s">
        <v>108</v>
      </c>
      <c r="M250" s="23" t="s">
        <v>108</v>
      </c>
      <c r="N250" s="24" t="s">
        <v>108</v>
      </c>
      <c r="O250" s="34"/>
      <c r="P250" s="31"/>
      <c r="Q250" s="31"/>
      <c r="R250" s="31"/>
      <c r="S250" s="23"/>
      <c r="T250" s="31"/>
      <c r="U250" s="31"/>
      <c r="V250" s="36"/>
      <c r="W250" s="37">
        <v>4</v>
      </c>
      <c r="X250" s="29">
        <v>4</v>
      </c>
      <c r="Y250" s="3" t="s">
        <v>30</v>
      </c>
      <c r="Z250" s="2" t="s">
        <v>451</v>
      </c>
      <c r="AA250" s="1" t="s">
        <v>238</v>
      </c>
    </row>
    <row r="251" spans="1:27" ht="23.1" customHeight="1" x14ac:dyDescent="0.25">
      <c r="A251" s="20" t="s">
        <v>452</v>
      </c>
      <c r="B251" s="1" t="s">
        <v>99</v>
      </c>
      <c r="C251" s="3">
        <v>16</v>
      </c>
      <c r="D251" s="3" t="s">
        <v>441</v>
      </c>
      <c r="E251" s="1" t="s">
        <v>453</v>
      </c>
      <c r="F251" s="21" t="s">
        <v>437</v>
      </c>
      <c r="G251" s="3" t="s">
        <v>154</v>
      </c>
      <c r="H251" s="3">
        <v>20</v>
      </c>
      <c r="I251" s="2" t="s">
        <v>1955</v>
      </c>
      <c r="J251" s="3">
        <v>1</v>
      </c>
      <c r="K251" s="3">
        <v>1</v>
      </c>
      <c r="L251" s="23">
        <v>31</v>
      </c>
      <c r="M251" s="23">
        <v>31</v>
      </c>
      <c r="N251" s="24" t="s">
        <v>234</v>
      </c>
      <c r="O251" s="25"/>
      <c r="P251" s="31">
        <v>150</v>
      </c>
      <c r="Q251" s="31"/>
      <c r="R251" s="31"/>
      <c r="S251" s="23"/>
      <c r="T251" s="31">
        <v>90</v>
      </c>
      <c r="U251" s="31"/>
      <c r="V251" s="36"/>
      <c r="W251" s="37"/>
      <c r="X251" s="29">
        <v>2.5</v>
      </c>
      <c r="Y251" s="3" t="s">
        <v>38</v>
      </c>
      <c r="Z251" s="2"/>
      <c r="AA251" s="2"/>
    </row>
    <row r="252" spans="1:27" ht="23.1" customHeight="1" x14ac:dyDescent="0.25">
      <c r="A252" s="20" t="s">
        <v>452</v>
      </c>
      <c r="B252" s="1" t="s">
        <v>99</v>
      </c>
      <c r="C252" s="3">
        <v>16</v>
      </c>
      <c r="D252" s="3" t="s">
        <v>436</v>
      </c>
      <c r="E252" s="1" t="s">
        <v>454</v>
      </c>
      <c r="F252" s="21" t="s">
        <v>437</v>
      </c>
      <c r="G252" s="3" t="s">
        <v>154</v>
      </c>
      <c r="H252" s="3">
        <v>20</v>
      </c>
      <c r="I252" s="2" t="s">
        <v>1955</v>
      </c>
      <c r="J252" s="3"/>
      <c r="K252" s="3">
        <v>2</v>
      </c>
      <c r="L252" s="23">
        <v>28</v>
      </c>
      <c r="M252" s="23">
        <v>28</v>
      </c>
      <c r="N252" s="24" t="s">
        <v>438</v>
      </c>
      <c r="O252" s="25"/>
      <c r="P252" s="31">
        <v>150</v>
      </c>
      <c r="Q252" s="31"/>
      <c r="R252" s="31"/>
      <c r="S252" s="23"/>
      <c r="T252" s="31">
        <v>90</v>
      </c>
      <c r="U252" s="31"/>
      <c r="V252" s="36">
        <v>1</v>
      </c>
      <c r="W252" s="37"/>
      <c r="X252" s="29">
        <v>6.5</v>
      </c>
      <c r="Y252" s="3" t="s">
        <v>38</v>
      </c>
      <c r="Z252" s="2" t="s">
        <v>92</v>
      </c>
      <c r="AA252" s="2"/>
    </row>
    <row r="253" spans="1:27" ht="23.1" customHeight="1" x14ac:dyDescent="0.25">
      <c r="A253" s="20" t="s">
        <v>452</v>
      </c>
      <c r="B253" s="1" t="s">
        <v>99</v>
      </c>
      <c r="C253" s="3">
        <v>59</v>
      </c>
      <c r="D253" s="3" t="s">
        <v>408</v>
      </c>
      <c r="E253" s="1" t="s">
        <v>409</v>
      </c>
      <c r="F253" s="21" t="s">
        <v>409</v>
      </c>
      <c r="G253" s="3" t="s">
        <v>107</v>
      </c>
      <c r="H253" s="3">
        <v>5</v>
      </c>
      <c r="I253" s="2" t="s">
        <v>1958</v>
      </c>
      <c r="J253" s="3"/>
      <c r="K253" s="3"/>
      <c r="L253" s="23"/>
      <c r="M253" s="23">
        <v>28</v>
      </c>
      <c r="N253" s="24" t="s">
        <v>410</v>
      </c>
      <c r="O253" s="25"/>
      <c r="P253" s="31">
        <v>60</v>
      </c>
      <c r="Q253" s="31"/>
      <c r="R253" s="31"/>
      <c r="S253" s="23"/>
      <c r="T253" s="31">
        <v>60</v>
      </c>
      <c r="U253" s="31"/>
      <c r="V253" s="36">
        <v>1</v>
      </c>
      <c r="W253" s="37">
        <v>2</v>
      </c>
      <c r="X253" s="29">
        <v>3</v>
      </c>
      <c r="Y253" s="3" t="s">
        <v>42</v>
      </c>
      <c r="Z253" s="2" t="s">
        <v>455</v>
      </c>
      <c r="AA253" s="1" t="s">
        <v>238</v>
      </c>
    </row>
    <row r="254" spans="1:27" ht="23.1" customHeight="1" x14ac:dyDescent="0.25">
      <c r="A254" s="20" t="s">
        <v>452</v>
      </c>
      <c r="B254" s="1" t="s">
        <v>99</v>
      </c>
      <c r="C254" s="3">
        <v>55</v>
      </c>
      <c r="D254" s="3" t="s">
        <v>415</v>
      </c>
      <c r="E254" s="1" t="s">
        <v>416</v>
      </c>
      <c r="F254" s="21" t="s">
        <v>416</v>
      </c>
      <c r="G254" s="3" t="s">
        <v>154</v>
      </c>
      <c r="H254" s="3">
        <v>15</v>
      </c>
      <c r="I254" s="2" t="s">
        <v>1946</v>
      </c>
      <c r="J254" s="3"/>
      <c r="K254" s="3">
        <v>20</v>
      </c>
      <c r="L254" s="23">
        <v>5</v>
      </c>
      <c r="M254" s="23">
        <v>5</v>
      </c>
      <c r="N254" s="24" t="s">
        <v>456</v>
      </c>
      <c r="O254" s="25"/>
      <c r="P254" s="31">
        <v>45</v>
      </c>
      <c r="Q254" s="31"/>
      <c r="R254" s="31"/>
      <c r="S254" s="23"/>
      <c r="T254" s="31">
        <v>60</v>
      </c>
      <c r="U254" s="31"/>
      <c r="V254" s="36"/>
      <c r="W254" s="37"/>
      <c r="X254" s="29">
        <v>15</v>
      </c>
      <c r="Y254" s="3" t="s">
        <v>44</v>
      </c>
      <c r="Z254" s="2"/>
      <c r="AA254" s="2"/>
    </row>
    <row r="255" spans="1:27" ht="23.1" customHeight="1" x14ac:dyDescent="0.25">
      <c r="A255" s="20" t="s">
        <v>452</v>
      </c>
      <c r="B255" s="1" t="s">
        <v>99</v>
      </c>
      <c r="C255" s="3">
        <v>47</v>
      </c>
      <c r="D255" s="3" t="s">
        <v>129</v>
      </c>
      <c r="E255" s="1" t="s">
        <v>130</v>
      </c>
      <c r="F255" s="21" t="s">
        <v>2546</v>
      </c>
      <c r="G255" s="3" t="s">
        <v>102</v>
      </c>
      <c r="H255" s="3">
        <v>90</v>
      </c>
      <c r="I255" s="2" t="s">
        <v>1917</v>
      </c>
      <c r="J255" s="3">
        <v>1</v>
      </c>
      <c r="K255" s="3">
        <v>1</v>
      </c>
      <c r="L255" s="23">
        <v>28</v>
      </c>
      <c r="M255" s="23">
        <v>28</v>
      </c>
      <c r="N255" s="24" t="s">
        <v>131</v>
      </c>
      <c r="O255" s="25"/>
      <c r="P255" s="31">
        <v>300</v>
      </c>
      <c r="Q255" s="31">
        <v>90</v>
      </c>
      <c r="R255" s="31"/>
      <c r="S255" s="23">
        <v>1</v>
      </c>
      <c r="T255" s="31">
        <v>120</v>
      </c>
      <c r="U255" s="31"/>
      <c r="V255" s="36">
        <v>1</v>
      </c>
      <c r="W255" s="37"/>
      <c r="X255" s="29">
        <v>8.5</v>
      </c>
      <c r="Y255" s="3" t="s">
        <v>33</v>
      </c>
      <c r="Z255" s="2" t="s">
        <v>328</v>
      </c>
      <c r="AA255" s="2"/>
    </row>
    <row r="256" spans="1:27" ht="23.1" customHeight="1" x14ac:dyDescent="0.25">
      <c r="A256" s="20" t="s">
        <v>452</v>
      </c>
      <c r="B256" s="1" t="s">
        <v>99</v>
      </c>
      <c r="C256" s="3">
        <v>47</v>
      </c>
      <c r="D256" s="3" t="s">
        <v>129</v>
      </c>
      <c r="E256" s="1" t="s">
        <v>130</v>
      </c>
      <c r="F256" s="21" t="s">
        <v>2546</v>
      </c>
      <c r="G256" s="3" t="s">
        <v>102</v>
      </c>
      <c r="H256" s="3">
        <v>95</v>
      </c>
      <c r="I256" s="2" t="s">
        <v>1918</v>
      </c>
      <c r="J256" s="3">
        <v>1</v>
      </c>
      <c r="K256" s="3">
        <v>1</v>
      </c>
      <c r="L256" s="33"/>
      <c r="M256" s="23">
        <v>28</v>
      </c>
      <c r="N256" s="24" t="s">
        <v>131</v>
      </c>
      <c r="O256" s="25"/>
      <c r="P256" s="31">
        <v>60</v>
      </c>
      <c r="Q256" s="31">
        <v>90</v>
      </c>
      <c r="R256" s="31"/>
      <c r="S256" s="23">
        <v>1</v>
      </c>
      <c r="T256" s="31">
        <v>90</v>
      </c>
      <c r="U256" s="31"/>
      <c r="V256" s="36">
        <v>1</v>
      </c>
      <c r="W256" s="37"/>
      <c r="X256" s="29">
        <v>4</v>
      </c>
      <c r="Y256" s="3" t="s">
        <v>33</v>
      </c>
      <c r="Z256" s="2" t="s">
        <v>328</v>
      </c>
      <c r="AA256" s="2"/>
    </row>
    <row r="257" spans="1:27" ht="23.1" customHeight="1" x14ac:dyDescent="0.25">
      <c r="A257" s="20" t="s">
        <v>452</v>
      </c>
      <c r="B257" s="1" t="s">
        <v>99</v>
      </c>
      <c r="C257" s="3">
        <v>47</v>
      </c>
      <c r="D257" s="3" t="s">
        <v>182</v>
      </c>
      <c r="E257" s="1" t="s">
        <v>130</v>
      </c>
      <c r="F257" s="21" t="s">
        <v>2547</v>
      </c>
      <c r="G257" s="3" t="s">
        <v>102</v>
      </c>
      <c r="H257" s="3">
        <v>90</v>
      </c>
      <c r="I257" s="2" t="s">
        <v>1917</v>
      </c>
      <c r="J257" s="3">
        <v>1</v>
      </c>
      <c r="K257" s="3">
        <v>1</v>
      </c>
      <c r="L257" s="33"/>
      <c r="M257" s="23">
        <v>28</v>
      </c>
      <c r="N257" s="24" t="s">
        <v>131</v>
      </c>
      <c r="O257" s="25"/>
      <c r="P257" s="31">
        <v>300</v>
      </c>
      <c r="Q257" s="31">
        <v>90</v>
      </c>
      <c r="R257" s="31"/>
      <c r="S257" s="23">
        <v>1</v>
      </c>
      <c r="T257" s="31">
        <v>120</v>
      </c>
      <c r="U257" s="31"/>
      <c r="V257" s="36">
        <v>1</v>
      </c>
      <c r="W257" s="37"/>
      <c r="X257" s="29">
        <v>8.5</v>
      </c>
      <c r="Y257" s="3" t="s">
        <v>33</v>
      </c>
      <c r="Z257" s="2" t="s">
        <v>328</v>
      </c>
      <c r="AA257" s="2"/>
    </row>
    <row r="258" spans="1:27" ht="23.1" customHeight="1" x14ac:dyDescent="0.25">
      <c r="A258" s="20" t="s">
        <v>452</v>
      </c>
      <c r="B258" s="1" t="s">
        <v>99</v>
      </c>
      <c r="C258" s="3">
        <v>47</v>
      </c>
      <c r="D258" s="3" t="s">
        <v>182</v>
      </c>
      <c r="E258" s="1" t="s">
        <v>130</v>
      </c>
      <c r="F258" s="21" t="s">
        <v>2547</v>
      </c>
      <c r="G258" s="3" t="s">
        <v>102</v>
      </c>
      <c r="H258" s="3">
        <v>95</v>
      </c>
      <c r="I258" s="2" t="s">
        <v>1918</v>
      </c>
      <c r="J258" s="3">
        <v>1</v>
      </c>
      <c r="K258" s="3">
        <v>1</v>
      </c>
      <c r="L258" s="33"/>
      <c r="M258" s="23">
        <v>28</v>
      </c>
      <c r="N258" s="24" t="s">
        <v>131</v>
      </c>
      <c r="O258" s="25"/>
      <c r="P258" s="31">
        <v>60</v>
      </c>
      <c r="Q258" s="31">
        <v>90</v>
      </c>
      <c r="R258" s="31"/>
      <c r="S258" s="23">
        <v>1</v>
      </c>
      <c r="T258" s="31">
        <v>90</v>
      </c>
      <c r="U258" s="31"/>
      <c r="V258" s="36">
        <v>1</v>
      </c>
      <c r="W258" s="37"/>
      <c r="X258" s="29">
        <v>4</v>
      </c>
      <c r="Y258" s="3" t="s">
        <v>33</v>
      </c>
      <c r="Z258" s="2" t="s">
        <v>328</v>
      </c>
      <c r="AA258" s="2"/>
    </row>
    <row r="259" spans="1:27" ht="23.1" customHeight="1" x14ac:dyDescent="0.25">
      <c r="A259" s="20" t="s">
        <v>452</v>
      </c>
      <c r="B259" s="1" t="s">
        <v>99</v>
      </c>
      <c r="C259" s="3">
        <v>47</v>
      </c>
      <c r="D259" s="3" t="s">
        <v>332</v>
      </c>
      <c r="E259" s="1" t="s">
        <v>333</v>
      </c>
      <c r="F259" s="21" t="s">
        <v>2548</v>
      </c>
      <c r="G259" s="3" t="s">
        <v>107</v>
      </c>
      <c r="H259" s="3">
        <v>20</v>
      </c>
      <c r="I259" s="2" t="s">
        <v>1959</v>
      </c>
      <c r="J259" s="3"/>
      <c r="K259" s="3">
        <v>0.35</v>
      </c>
      <c r="L259" s="33"/>
      <c r="M259" s="23">
        <v>5</v>
      </c>
      <c r="N259" s="24" t="s">
        <v>457</v>
      </c>
      <c r="O259" s="25"/>
      <c r="P259" s="31">
        <v>720</v>
      </c>
      <c r="Q259" s="31">
        <v>90</v>
      </c>
      <c r="R259" s="31"/>
      <c r="S259" s="23">
        <v>1</v>
      </c>
      <c r="T259" s="31">
        <v>120</v>
      </c>
      <c r="U259" s="31"/>
      <c r="V259" s="36">
        <v>1</v>
      </c>
      <c r="W259" s="37">
        <v>2</v>
      </c>
      <c r="X259" s="29">
        <v>9.6999999999999993</v>
      </c>
      <c r="Y259" s="3" t="s">
        <v>33</v>
      </c>
      <c r="Z259" s="2" t="s">
        <v>458</v>
      </c>
      <c r="AA259" s="2"/>
    </row>
    <row r="260" spans="1:27" ht="23.1" customHeight="1" x14ac:dyDescent="0.25">
      <c r="A260" s="20" t="s">
        <v>452</v>
      </c>
      <c r="B260" s="1" t="s">
        <v>110</v>
      </c>
      <c r="C260" s="3">
        <v>15</v>
      </c>
      <c r="D260" s="3" t="s">
        <v>217</v>
      </c>
      <c r="E260" s="1" t="s">
        <v>218</v>
      </c>
      <c r="F260" s="21" t="s">
        <v>218</v>
      </c>
      <c r="G260" s="3" t="s">
        <v>107</v>
      </c>
      <c r="H260" s="3">
        <v>45</v>
      </c>
      <c r="I260" s="2" t="s">
        <v>1927</v>
      </c>
      <c r="J260" s="3">
        <v>1.5</v>
      </c>
      <c r="K260" s="3">
        <v>3.2</v>
      </c>
      <c r="L260" s="33">
        <v>19</v>
      </c>
      <c r="M260" s="23">
        <v>5</v>
      </c>
      <c r="N260" s="24" t="s">
        <v>219</v>
      </c>
      <c r="O260" s="25"/>
      <c r="P260" s="31">
        <v>420</v>
      </c>
      <c r="Q260" s="31"/>
      <c r="R260" s="31"/>
      <c r="S260" s="23"/>
      <c r="T260" s="31">
        <v>90</v>
      </c>
      <c r="U260" s="31"/>
      <c r="V260" s="36"/>
      <c r="W260" s="37"/>
      <c r="X260" s="29">
        <v>22.4</v>
      </c>
      <c r="Y260" s="3" t="s">
        <v>31</v>
      </c>
      <c r="Z260" s="2"/>
      <c r="AA260" s="2"/>
    </row>
    <row r="261" spans="1:27" ht="23.1" customHeight="1" x14ac:dyDescent="0.25">
      <c r="A261" s="20" t="s">
        <v>452</v>
      </c>
      <c r="B261" s="1" t="s">
        <v>110</v>
      </c>
      <c r="C261" s="3">
        <v>76</v>
      </c>
      <c r="D261" s="3" t="s">
        <v>280</v>
      </c>
      <c r="E261" s="1" t="s">
        <v>281</v>
      </c>
      <c r="F261" s="21" t="s">
        <v>281</v>
      </c>
      <c r="G261" s="3" t="s">
        <v>154</v>
      </c>
      <c r="H261" s="3">
        <v>15</v>
      </c>
      <c r="I261" s="2" t="s">
        <v>1926</v>
      </c>
      <c r="J261" s="3">
        <v>7</v>
      </c>
      <c r="K261" s="3">
        <v>7</v>
      </c>
      <c r="L261" s="33">
        <v>31</v>
      </c>
      <c r="M261" s="23">
        <v>31</v>
      </c>
      <c r="N261" s="24" t="s">
        <v>351</v>
      </c>
      <c r="O261" s="25"/>
      <c r="P261" s="31">
        <v>90</v>
      </c>
      <c r="Q261" s="31"/>
      <c r="R261" s="31"/>
      <c r="S261" s="23"/>
      <c r="T261" s="31">
        <v>90</v>
      </c>
      <c r="U261" s="31"/>
      <c r="V261" s="36"/>
      <c r="W261" s="37"/>
      <c r="X261" s="29">
        <v>10.5</v>
      </c>
      <c r="Y261" s="3" t="s">
        <v>46</v>
      </c>
      <c r="Z261" s="2"/>
      <c r="AA261" s="2"/>
    </row>
    <row r="262" spans="1:27" ht="23.1" customHeight="1" x14ac:dyDescent="0.25">
      <c r="A262" s="20" t="s">
        <v>452</v>
      </c>
      <c r="B262" s="1" t="s">
        <v>110</v>
      </c>
      <c r="C262" s="3">
        <v>57</v>
      </c>
      <c r="D262" s="3" t="s">
        <v>459</v>
      </c>
      <c r="E262" s="1" t="s">
        <v>460</v>
      </c>
      <c r="F262" s="21" t="e">
        <v>#N/A</v>
      </c>
      <c r="G262" s="3" t="s">
        <v>123</v>
      </c>
      <c r="H262" s="3">
        <v>20</v>
      </c>
      <c r="I262" s="2" t="s">
        <v>1960</v>
      </c>
      <c r="J262" s="3">
        <v>4</v>
      </c>
      <c r="K262" s="3">
        <v>2</v>
      </c>
      <c r="L262" s="33">
        <v>28</v>
      </c>
      <c r="M262" s="23">
        <v>26</v>
      </c>
      <c r="N262" s="24" t="s">
        <v>247</v>
      </c>
      <c r="O262" s="25"/>
      <c r="P262" s="31">
        <v>120</v>
      </c>
      <c r="Q262" s="31"/>
      <c r="R262" s="31"/>
      <c r="S262" s="23"/>
      <c r="T262" s="31">
        <v>60</v>
      </c>
      <c r="U262" s="31"/>
      <c r="V262" s="36">
        <v>1</v>
      </c>
      <c r="W262" s="37">
        <v>3</v>
      </c>
      <c r="X262" s="29">
        <v>8</v>
      </c>
      <c r="Y262" s="3" t="s">
        <v>0</v>
      </c>
      <c r="Z262" s="2" t="s">
        <v>461</v>
      </c>
      <c r="AA262" s="1" t="s">
        <v>238</v>
      </c>
    </row>
    <row r="263" spans="1:27" ht="23.1" customHeight="1" x14ac:dyDescent="0.25">
      <c r="A263" s="20" t="s">
        <v>452</v>
      </c>
      <c r="B263" s="1" t="s">
        <v>110</v>
      </c>
      <c r="C263" s="3">
        <v>77</v>
      </c>
      <c r="D263" s="3" t="s">
        <v>349</v>
      </c>
      <c r="E263" s="1" t="s">
        <v>350</v>
      </c>
      <c r="F263" s="21" t="s">
        <v>350</v>
      </c>
      <c r="G263" s="3" t="s">
        <v>154</v>
      </c>
      <c r="H263" s="3">
        <v>15</v>
      </c>
      <c r="I263" s="2" t="s">
        <v>1926</v>
      </c>
      <c r="J263" s="3"/>
      <c r="K263" s="3">
        <v>3</v>
      </c>
      <c r="L263" s="33">
        <v>31</v>
      </c>
      <c r="M263" s="23">
        <v>26</v>
      </c>
      <c r="N263" s="24" t="s">
        <v>330</v>
      </c>
      <c r="O263" s="25"/>
      <c r="P263" s="31">
        <v>90</v>
      </c>
      <c r="Q263" s="31"/>
      <c r="R263" s="31"/>
      <c r="S263" s="23"/>
      <c r="T263" s="31">
        <v>90</v>
      </c>
      <c r="U263" s="31"/>
      <c r="V263" s="36">
        <v>1</v>
      </c>
      <c r="W263" s="37"/>
      <c r="X263" s="29">
        <v>6</v>
      </c>
      <c r="Y263" s="3" t="s">
        <v>46</v>
      </c>
      <c r="Z263" s="2" t="s">
        <v>331</v>
      </c>
      <c r="AA263" s="2"/>
    </row>
    <row r="264" spans="1:27" ht="23.1" customHeight="1" x14ac:dyDescent="0.25">
      <c r="A264" s="20" t="s">
        <v>452</v>
      </c>
      <c r="B264" s="1" t="s">
        <v>110</v>
      </c>
      <c r="C264" s="3">
        <v>14</v>
      </c>
      <c r="D264" s="3" t="s">
        <v>276</v>
      </c>
      <c r="E264" s="1" t="s">
        <v>277</v>
      </c>
      <c r="F264" s="21" t="s">
        <v>277</v>
      </c>
      <c r="G264" s="3" t="s">
        <v>154</v>
      </c>
      <c r="H264" s="3">
        <v>50</v>
      </c>
      <c r="I264" s="2" t="s">
        <v>1899</v>
      </c>
      <c r="J264" s="3">
        <v>0.4</v>
      </c>
      <c r="K264" s="3">
        <v>0.4</v>
      </c>
      <c r="L264" s="33"/>
      <c r="M264" s="23">
        <v>37</v>
      </c>
      <c r="N264" s="24" t="s">
        <v>234</v>
      </c>
      <c r="O264" s="25"/>
      <c r="P264" s="31">
        <v>2640</v>
      </c>
      <c r="Q264" s="31"/>
      <c r="R264" s="31"/>
      <c r="S264" s="23"/>
      <c r="T264" s="31">
        <v>90</v>
      </c>
      <c r="U264" s="31"/>
      <c r="V264" s="36"/>
      <c r="W264" s="37"/>
      <c r="X264" s="29">
        <v>17.600000000000001</v>
      </c>
      <c r="Y264" s="3" t="s">
        <v>31</v>
      </c>
      <c r="Z264" s="2"/>
      <c r="AA264" s="2"/>
    </row>
    <row r="265" spans="1:27" ht="23.1" customHeight="1" x14ac:dyDescent="0.25">
      <c r="A265" s="20" t="s">
        <v>452</v>
      </c>
      <c r="B265" s="1" t="s">
        <v>110</v>
      </c>
      <c r="C265" s="3">
        <v>13</v>
      </c>
      <c r="D265" s="3" t="s">
        <v>245</v>
      </c>
      <c r="E265" s="1" t="s">
        <v>246</v>
      </c>
      <c r="F265" s="21" t="s">
        <v>246</v>
      </c>
      <c r="G265" s="3" t="s">
        <v>123</v>
      </c>
      <c r="H265" s="3">
        <v>45</v>
      </c>
      <c r="I265" s="2" t="s">
        <v>1954</v>
      </c>
      <c r="J265" s="3">
        <v>3</v>
      </c>
      <c r="K265" s="3">
        <v>3</v>
      </c>
      <c r="L265" s="33">
        <v>28</v>
      </c>
      <c r="M265" s="23">
        <v>26</v>
      </c>
      <c r="N265" s="24" t="s">
        <v>247</v>
      </c>
      <c r="O265" s="25"/>
      <c r="P265" s="31">
        <v>250</v>
      </c>
      <c r="Q265" s="31"/>
      <c r="R265" s="31"/>
      <c r="S265" s="23"/>
      <c r="T265" s="31">
        <v>90</v>
      </c>
      <c r="U265" s="31"/>
      <c r="V265" s="36"/>
      <c r="W265" s="37"/>
      <c r="X265" s="29">
        <v>12.5</v>
      </c>
      <c r="Y265" s="3" t="s">
        <v>72</v>
      </c>
      <c r="Z265" s="2"/>
      <c r="AA265" s="2"/>
    </row>
    <row r="266" spans="1:27" ht="23.1" customHeight="1" x14ac:dyDescent="0.25">
      <c r="A266" s="20" t="s">
        <v>452</v>
      </c>
      <c r="B266" s="1" t="s">
        <v>110</v>
      </c>
      <c r="C266" s="3">
        <v>77</v>
      </c>
      <c r="D266" s="3" t="s">
        <v>211</v>
      </c>
      <c r="E266" s="1" t="s">
        <v>212</v>
      </c>
      <c r="F266" s="21" t="s">
        <v>212</v>
      </c>
      <c r="G266" s="3" t="s">
        <v>123</v>
      </c>
      <c r="H266" s="3">
        <v>15</v>
      </c>
      <c r="I266" s="2" t="s">
        <v>1893</v>
      </c>
      <c r="J266" s="3">
        <v>8</v>
      </c>
      <c r="K266" s="3">
        <v>9</v>
      </c>
      <c r="L266" s="33">
        <v>31</v>
      </c>
      <c r="M266" s="23">
        <v>37</v>
      </c>
      <c r="N266" s="24" t="s">
        <v>213</v>
      </c>
      <c r="O266" s="25">
        <v>100</v>
      </c>
      <c r="P266" s="31">
        <v>60</v>
      </c>
      <c r="Q266" s="31"/>
      <c r="R266" s="31"/>
      <c r="S266" s="23"/>
      <c r="T266" s="31">
        <v>90</v>
      </c>
      <c r="U266" s="31"/>
      <c r="V266" s="36"/>
      <c r="W266" s="37"/>
      <c r="X266" s="32">
        <v>15</v>
      </c>
      <c r="Y266" s="3" t="s">
        <v>15</v>
      </c>
      <c r="Z266" s="2"/>
      <c r="AA266" s="2"/>
    </row>
    <row r="267" spans="1:27" ht="23.1" customHeight="1" x14ac:dyDescent="0.25">
      <c r="A267" s="20" t="s">
        <v>452</v>
      </c>
      <c r="B267" s="1" t="s">
        <v>110</v>
      </c>
      <c r="C267" s="3">
        <v>58</v>
      </c>
      <c r="D267" s="3" t="s">
        <v>423</v>
      </c>
      <c r="E267" s="1" t="s">
        <v>424</v>
      </c>
      <c r="F267" s="21" t="s">
        <v>424</v>
      </c>
      <c r="G267" s="3" t="s">
        <v>107</v>
      </c>
      <c r="H267" s="3">
        <v>15</v>
      </c>
      <c r="I267" s="2" t="s">
        <v>1961</v>
      </c>
      <c r="J267" s="3">
        <v>1.5</v>
      </c>
      <c r="K267" s="3">
        <v>4</v>
      </c>
      <c r="L267" s="33">
        <v>31</v>
      </c>
      <c r="M267" s="23">
        <v>28</v>
      </c>
      <c r="N267" s="24" t="s">
        <v>295</v>
      </c>
      <c r="O267" s="25"/>
      <c r="P267" s="31">
        <v>150</v>
      </c>
      <c r="Q267" s="31"/>
      <c r="R267" s="31"/>
      <c r="S267" s="23"/>
      <c r="T267" s="31">
        <v>100</v>
      </c>
      <c r="U267" s="31"/>
      <c r="V267" s="36">
        <v>1</v>
      </c>
      <c r="W267" s="37">
        <v>2</v>
      </c>
      <c r="X267" s="29">
        <v>13.7</v>
      </c>
      <c r="Y267" s="3" t="s">
        <v>0</v>
      </c>
      <c r="Z267" s="2" t="s">
        <v>462</v>
      </c>
      <c r="AA267" s="1" t="s">
        <v>238</v>
      </c>
    </row>
    <row r="268" spans="1:27" ht="23.1" customHeight="1" x14ac:dyDescent="0.25">
      <c r="A268" s="20" t="s">
        <v>452</v>
      </c>
      <c r="B268" s="1" t="s">
        <v>110</v>
      </c>
      <c r="C268" s="3">
        <v>12</v>
      </c>
      <c r="D268" s="3" t="s">
        <v>248</v>
      </c>
      <c r="E268" s="1" t="s">
        <v>249</v>
      </c>
      <c r="F268" s="21" t="s">
        <v>249</v>
      </c>
      <c r="G268" s="3" t="s">
        <v>250</v>
      </c>
      <c r="H268" s="3">
        <v>25</v>
      </c>
      <c r="I268" s="2" t="s">
        <v>1854</v>
      </c>
      <c r="J268" s="3">
        <v>0.8</v>
      </c>
      <c r="K268" s="3">
        <v>0.4</v>
      </c>
      <c r="L268" s="33"/>
      <c r="M268" s="23">
        <v>5</v>
      </c>
      <c r="N268" s="24" t="s">
        <v>463</v>
      </c>
      <c r="O268" s="25"/>
      <c r="P268" s="31">
        <v>1080</v>
      </c>
      <c r="Q268" s="31"/>
      <c r="R268" s="31"/>
      <c r="S268" s="23"/>
      <c r="T268" s="31">
        <v>120</v>
      </c>
      <c r="U268" s="31"/>
      <c r="V268" s="36"/>
      <c r="W268" s="37"/>
      <c r="X268" s="29">
        <v>7.2</v>
      </c>
      <c r="Y268" s="3" t="s">
        <v>72</v>
      </c>
      <c r="Z268" s="2"/>
      <c r="AA268" s="2"/>
    </row>
    <row r="269" spans="1:27" ht="23.1" customHeight="1" x14ac:dyDescent="0.25">
      <c r="A269" s="20" t="s">
        <v>452</v>
      </c>
      <c r="B269" s="1" t="s">
        <v>110</v>
      </c>
      <c r="C269" s="3">
        <v>9</v>
      </c>
      <c r="D269" s="3" t="s">
        <v>229</v>
      </c>
      <c r="E269" s="1" t="s">
        <v>230</v>
      </c>
      <c r="F269" s="21" t="s">
        <v>230</v>
      </c>
      <c r="G269" s="3" t="s">
        <v>154</v>
      </c>
      <c r="H269" s="3">
        <v>25</v>
      </c>
      <c r="I269" s="2" t="s">
        <v>1894</v>
      </c>
      <c r="J269" s="3">
        <v>4</v>
      </c>
      <c r="K269" s="3">
        <v>6</v>
      </c>
      <c r="L269" s="33">
        <v>28</v>
      </c>
      <c r="M269" s="23">
        <v>28</v>
      </c>
      <c r="N269" s="24" t="s">
        <v>464</v>
      </c>
      <c r="O269" s="25"/>
      <c r="P269" s="31">
        <v>140</v>
      </c>
      <c r="Q269" s="31"/>
      <c r="R269" s="31"/>
      <c r="S269" s="23"/>
      <c r="T269" s="31">
        <v>60</v>
      </c>
      <c r="U269" s="31"/>
      <c r="V269" s="36"/>
      <c r="W269" s="37"/>
      <c r="X269" s="29">
        <v>14</v>
      </c>
      <c r="Y269" s="3" t="s">
        <v>55</v>
      </c>
      <c r="Z269" s="2"/>
      <c r="AA269" s="2"/>
    </row>
    <row r="270" spans="1:27" ht="23.1" customHeight="1" x14ac:dyDescent="0.25">
      <c r="A270" s="20" t="s">
        <v>452</v>
      </c>
      <c r="B270" s="1" t="s">
        <v>110</v>
      </c>
      <c r="C270" s="3">
        <v>10</v>
      </c>
      <c r="D270" s="3" t="s">
        <v>388</v>
      </c>
      <c r="E270" s="1" t="s">
        <v>389</v>
      </c>
      <c r="F270" s="21" t="s">
        <v>389</v>
      </c>
      <c r="G270" s="3" t="s">
        <v>300</v>
      </c>
      <c r="H270" s="3">
        <v>10</v>
      </c>
      <c r="I270" s="2" t="s">
        <v>1941</v>
      </c>
      <c r="J270" s="3">
        <v>10</v>
      </c>
      <c r="K270" s="3">
        <v>10</v>
      </c>
      <c r="L270" s="33">
        <v>28</v>
      </c>
      <c r="M270" s="23">
        <v>28</v>
      </c>
      <c r="N270" s="24" t="s">
        <v>463</v>
      </c>
      <c r="O270" s="25"/>
      <c r="P270" s="31">
        <v>60</v>
      </c>
      <c r="Q270" s="31"/>
      <c r="R270" s="31"/>
      <c r="S270" s="23"/>
      <c r="T270" s="31">
        <v>120</v>
      </c>
      <c r="U270" s="31"/>
      <c r="V270" s="36"/>
      <c r="W270" s="37"/>
      <c r="X270" s="29">
        <v>10</v>
      </c>
      <c r="Y270" s="3" t="s">
        <v>55</v>
      </c>
      <c r="Z270" s="2"/>
      <c r="AA270" s="2"/>
    </row>
    <row r="271" spans="1:27" ht="23.1" customHeight="1" x14ac:dyDescent="0.25">
      <c r="A271" s="20" t="s">
        <v>452</v>
      </c>
      <c r="B271" s="1" t="s">
        <v>110</v>
      </c>
      <c r="C271" s="3">
        <v>78</v>
      </c>
      <c r="D271" s="3" t="s">
        <v>261</v>
      </c>
      <c r="E271" s="1" t="s">
        <v>133</v>
      </c>
      <c r="F271" s="21" t="s">
        <v>133</v>
      </c>
      <c r="G271" s="3" t="s">
        <v>102</v>
      </c>
      <c r="H271" s="3">
        <v>70</v>
      </c>
      <c r="I271" s="2" t="s">
        <v>1951</v>
      </c>
      <c r="J271" s="3">
        <v>1</v>
      </c>
      <c r="K271" s="3">
        <v>0.2</v>
      </c>
      <c r="L271" s="33">
        <v>28</v>
      </c>
      <c r="M271" s="23"/>
      <c r="N271" s="24" t="s">
        <v>103</v>
      </c>
      <c r="O271" s="25"/>
      <c r="P271" s="31">
        <v>540</v>
      </c>
      <c r="Q271" s="31">
        <v>60</v>
      </c>
      <c r="R271" s="31"/>
      <c r="S271" s="23"/>
      <c r="T271" s="31">
        <v>120</v>
      </c>
      <c r="U271" s="31"/>
      <c r="V271" s="36"/>
      <c r="W271" s="37"/>
      <c r="X271" s="29">
        <v>1.8</v>
      </c>
      <c r="Y271" s="3" t="s">
        <v>19</v>
      </c>
      <c r="Z271" s="2"/>
      <c r="AA271" s="2"/>
    </row>
    <row r="272" spans="1:27" ht="23.1" customHeight="1" x14ac:dyDescent="0.25">
      <c r="A272" s="20" t="s">
        <v>452</v>
      </c>
      <c r="B272" s="1" t="s">
        <v>110</v>
      </c>
      <c r="C272" s="3">
        <v>78</v>
      </c>
      <c r="D272" s="3" t="s">
        <v>261</v>
      </c>
      <c r="E272" s="1" t="s">
        <v>133</v>
      </c>
      <c r="F272" s="21" t="s">
        <v>133</v>
      </c>
      <c r="G272" s="3" t="s">
        <v>102</v>
      </c>
      <c r="H272" s="3">
        <v>70</v>
      </c>
      <c r="I272" s="2" t="s">
        <v>1951</v>
      </c>
      <c r="J272" s="3"/>
      <c r="K272" s="3">
        <v>0.5</v>
      </c>
      <c r="L272" s="33"/>
      <c r="M272" s="23">
        <v>5</v>
      </c>
      <c r="N272" s="24" t="s">
        <v>103</v>
      </c>
      <c r="O272" s="25"/>
      <c r="P272" s="31">
        <v>540</v>
      </c>
      <c r="Q272" s="31">
        <v>60</v>
      </c>
      <c r="R272" s="31"/>
      <c r="S272" s="23">
        <v>1</v>
      </c>
      <c r="T272" s="31">
        <v>120</v>
      </c>
      <c r="U272" s="31"/>
      <c r="V272" s="36">
        <v>1</v>
      </c>
      <c r="W272" s="37">
        <v>10.7</v>
      </c>
      <c r="X272" s="29">
        <v>18.2</v>
      </c>
      <c r="Y272" s="3" t="s">
        <v>19</v>
      </c>
      <c r="Z272" s="2" t="s">
        <v>465</v>
      </c>
      <c r="AA272" s="2"/>
    </row>
    <row r="273" spans="1:27" ht="23.1" customHeight="1" x14ac:dyDescent="0.25">
      <c r="A273" s="20" t="s">
        <v>452</v>
      </c>
      <c r="B273" s="1" t="s">
        <v>110</v>
      </c>
      <c r="C273" s="3">
        <v>59</v>
      </c>
      <c r="D273" s="3" t="s">
        <v>408</v>
      </c>
      <c r="E273" s="1" t="s">
        <v>409</v>
      </c>
      <c r="F273" s="21" t="s">
        <v>409</v>
      </c>
      <c r="G273" s="3" t="s">
        <v>107</v>
      </c>
      <c r="H273" s="3">
        <v>5</v>
      </c>
      <c r="I273" s="2" t="s">
        <v>1958</v>
      </c>
      <c r="J273" s="3"/>
      <c r="K273" s="3">
        <v>9</v>
      </c>
      <c r="L273" s="33">
        <v>28</v>
      </c>
      <c r="M273" s="23">
        <v>28</v>
      </c>
      <c r="N273" s="24" t="s">
        <v>410</v>
      </c>
      <c r="O273" s="25"/>
      <c r="P273" s="31">
        <v>60</v>
      </c>
      <c r="Q273" s="31"/>
      <c r="R273" s="31"/>
      <c r="S273" s="23"/>
      <c r="T273" s="31">
        <v>60</v>
      </c>
      <c r="U273" s="31"/>
      <c r="V273" s="36">
        <v>1</v>
      </c>
      <c r="W273" s="37"/>
      <c r="X273" s="29">
        <v>10</v>
      </c>
      <c r="Y273" s="3" t="s">
        <v>42</v>
      </c>
      <c r="Z273" s="2" t="s">
        <v>466</v>
      </c>
      <c r="AA273" s="2"/>
    </row>
    <row r="274" spans="1:27" ht="23.1" customHeight="1" x14ac:dyDescent="0.25">
      <c r="A274" s="20" t="s">
        <v>452</v>
      </c>
      <c r="B274" s="1" t="s">
        <v>110</v>
      </c>
      <c r="C274" s="3">
        <v>59</v>
      </c>
      <c r="D274" s="3" t="s">
        <v>408</v>
      </c>
      <c r="E274" s="1" t="s">
        <v>409</v>
      </c>
      <c r="F274" s="21" t="s">
        <v>409</v>
      </c>
      <c r="G274" s="3" t="s">
        <v>107</v>
      </c>
      <c r="H274" s="3">
        <v>5</v>
      </c>
      <c r="I274" s="2" t="s">
        <v>1958</v>
      </c>
      <c r="J274" s="3"/>
      <c r="K274" s="3">
        <v>10</v>
      </c>
      <c r="L274" s="33">
        <v>28</v>
      </c>
      <c r="M274" s="23">
        <v>28</v>
      </c>
      <c r="N274" s="24" t="s">
        <v>410</v>
      </c>
      <c r="O274" s="25"/>
      <c r="P274" s="31">
        <v>60</v>
      </c>
      <c r="Q274" s="31"/>
      <c r="R274" s="31"/>
      <c r="S274" s="23"/>
      <c r="T274" s="31">
        <v>60</v>
      </c>
      <c r="U274" s="31"/>
      <c r="V274" s="36">
        <v>1</v>
      </c>
      <c r="W274" s="37"/>
      <c r="X274" s="29">
        <v>11</v>
      </c>
      <c r="Y274" s="3" t="s">
        <v>42</v>
      </c>
      <c r="Z274" s="2" t="s">
        <v>466</v>
      </c>
      <c r="AA274" s="2"/>
    </row>
    <row r="275" spans="1:27" ht="23.1" customHeight="1" x14ac:dyDescent="0.25">
      <c r="A275" s="20" t="s">
        <v>452</v>
      </c>
      <c r="B275" s="1" t="s">
        <v>110</v>
      </c>
      <c r="C275" s="3">
        <v>59</v>
      </c>
      <c r="D275" s="3" t="s">
        <v>467</v>
      </c>
      <c r="E275" s="1" t="s">
        <v>382</v>
      </c>
      <c r="F275" s="21" t="e">
        <v>#N/A</v>
      </c>
      <c r="G275" s="3" t="s">
        <v>102</v>
      </c>
      <c r="H275" s="3">
        <v>15</v>
      </c>
      <c r="I275" s="2"/>
      <c r="J275" s="3"/>
      <c r="K275" s="3"/>
      <c r="L275" s="33"/>
      <c r="M275" s="23"/>
      <c r="N275" s="24" t="s">
        <v>108</v>
      </c>
      <c r="O275" s="25"/>
      <c r="P275" s="31"/>
      <c r="Q275" s="31"/>
      <c r="R275" s="31"/>
      <c r="S275" s="23"/>
      <c r="T275" s="31"/>
      <c r="U275" s="31"/>
      <c r="V275" s="36"/>
      <c r="W275" s="37">
        <v>2</v>
      </c>
      <c r="X275" s="29">
        <v>2</v>
      </c>
      <c r="Y275" s="3" t="s">
        <v>42</v>
      </c>
      <c r="Z275" s="2"/>
      <c r="AA275" s="39"/>
    </row>
    <row r="276" spans="1:27" ht="23.1" customHeight="1" x14ac:dyDescent="0.25">
      <c r="A276" s="20" t="s">
        <v>452</v>
      </c>
      <c r="B276" s="1" t="s">
        <v>110</v>
      </c>
      <c r="C276" s="3">
        <v>79</v>
      </c>
      <c r="D276" s="3" t="s">
        <v>420</v>
      </c>
      <c r="E276" s="1" t="s">
        <v>153</v>
      </c>
      <c r="F276" s="21" t="s">
        <v>1247</v>
      </c>
      <c r="G276" s="3" t="s">
        <v>154</v>
      </c>
      <c r="H276" s="3">
        <v>20</v>
      </c>
      <c r="I276" s="2" t="s">
        <v>1948</v>
      </c>
      <c r="J276" s="3">
        <v>1</v>
      </c>
      <c r="K276" s="3">
        <v>1.3</v>
      </c>
      <c r="L276" s="33">
        <v>28</v>
      </c>
      <c r="M276" s="23">
        <v>26</v>
      </c>
      <c r="N276" s="24" t="s">
        <v>468</v>
      </c>
      <c r="O276" s="25"/>
      <c r="P276" s="31">
        <v>660</v>
      </c>
      <c r="Q276" s="31">
        <v>90</v>
      </c>
      <c r="R276" s="31"/>
      <c r="S276" s="23">
        <v>2</v>
      </c>
      <c r="T276" s="31">
        <v>120</v>
      </c>
      <c r="U276" s="31"/>
      <c r="V276" s="36"/>
      <c r="W276" s="37"/>
      <c r="X276" s="29">
        <v>17.3</v>
      </c>
      <c r="Y276" s="3" t="s">
        <v>19</v>
      </c>
      <c r="Z276" s="2" t="s">
        <v>147</v>
      </c>
      <c r="AA276" s="2"/>
    </row>
    <row r="277" spans="1:27" ht="23.1" customHeight="1" x14ac:dyDescent="0.25">
      <c r="A277" s="20" t="s">
        <v>452</v>
      </c>
      <c r="B277" s="1" t="s">
        <v>110</v>
      </c>
      <c r="C277" s="3">
        <v>21</v>
      </c>
      <c r="D277" s="3" t="s">
        <v>321</v>
      </c>
      <c r="E277" s="1" t="s">
        <v>322</v>
      </c>
      <c r="F277" s="21" t="s">
        <v>322</v>
      </c>
      <c r="G277" s="3" t="s">
        <v>323</v>
      </c>
      <c r="H277" s="3">
        <v>5</v>
      </c>
      <c r="I277" s="2" t="s">
        <v>1945</v>
      </c>
      <c r="J277" s="3">
        <v>2</v>
      </c>
      <c r="K277" s="3">
        <v>2</v>
      </c>
      <c r="L277" s="33">
        <v>28</v>
      </c>
      <c r="M277" s="23">
        <v>37</v>
      </c>
      <c r="N277" s="24" t="s">
        <v>469</v>
      </c>
      <c r="O277" s="25"/>
      <c r="P277" s="31">
        <v>540</v>
      </c>
      <c r="Q277" s="31">
        <v>120</v>
      </c>
      <c r="R277" s="31"/>
      <c r="S277" s="23">
        <v>2</v>
      </c>
      <c r="T277" s="31">
        <v>180</v>
      </c>
      <c r="U277" s="31"/>
      <c r="V277" s="36"/>
      <c r="W277" s="37"/>
      <c r="X277" s="29">
        <v>22</v>
      </c>
      <c r="Y277" s="3" t="s">
        <v>58</v>
      </c>
      <c r="Z277" s="2" t="s">
        <v>147</v>
      </c>
      <c r="AA277" s="2"/>
    </row>
    <row r="278" spans="1:27" ht="23.1" customHeight="1" x14ac:dyDescent="0.25">
      <c r="A278" s="20" t="s">
        <v>452</v>
      </c>
      <c r="B278" s="1" t="s">
        <v>110</v>
      </c>
      <c r="C278" s="3">
        <v>22</v>
      </c>
      <c r="D278" s="3" t="s">
        <v>111</v>
      </c>
      <c r="E278" s="1" t="s">
        <v>101</v>
      </c>
      <c r="F278" s="21" t="s">
        <v>101</v>
      </c>
      <c r="G278" s="3" t="s">
        <v>102</v>
      </c>
      <c r="H278" s="3">
        <v>35</v>
      </c>
      <c r="I278" s="2" t="s">
        <v>1940</v>
      </c>
      <c r="J278" s="3">
        <v>0.3</v>
      </c>
      <c r="K278" s="3">
        <v>0.5</v>
      </c>
      <c r="L278" s="33"/>
      <c r="M278" s="23">
        <v>37</v>
      </c>
      <c r="N278" s="24" t="s">
        <v>103</v>
      </c>
      <c r="O278" s="25"/>
      <c r="P278" s="31">
        <v>2100</v>
      </c>
      <c r="Q278" s="31">
        <v>180</v>
      </c>
      <c r="R278" s="31"/>
      <c r="S278" s="23"/>
      <c r="T278" s="31">
        <v>180</v>
      </c>
      <c r="U278" s="35"/>
      <c r="V278" s="36"/>
      <c r="W278" s="37"/>
      <c r="X278" s="29">
        <v>17.5</v>
      </c>
      <c r="Y278" s="3" t="s">
        <v>58</v>
      </c>
      <c r="Z278" s="2"/>
      <c r="AA278" s="2"/>
    </row>
    <row r="279" spans="1:27" ht="23.1" customHeight="1" x14ac:dyDescent="0.25">
      <c r="A279" s="20" t="s">
        <v>452</v>
      </c>
      <c r="B279" s="1" t="s">
        <v>110</v>
      </c>
      <c r="C279" s="3">
        <v>108</v>
      </c>
      <c r="D279" s="3" t="s">
        <v>173</v>
      </c>
      <c r="E279" s="1" t="s">
        <v>174</v>
      </c>
      <c r="F279" s="21" t="s">
        <v>1246</v>
      </c>
      <c r="G279" s="3" t="s">
        <v>154</v>
      </c>
      <c r="H279" s="3">
        <v>20</v>
      </c>
      <c r="I279" s="2" t="s">
        <v>1950</v>
      </c>
      <c r="J279" s="3">
        <v>1.5</v>
      </c>
      <c r="K279" s="3">
        <v>1</v>
      </c>
      <c r="L279" s="33">
        <v>26</v>
      </c>
      <c r="M279" s="23"/>
      <c r="N279" s="24" t="s">
        <v>470</v>
      </c>
      <c r="O279" s="25"/>
      <c r="P279" s="31">
        <v>510</v>
      </c>
      <c r="Q279" s="31">
        <v>90</v>
      </c>
      <c r="R279" s="31"/>
      <c r="S279" s="23">
        <v>1</v>
      </c>
      <c r="T279" s="31">
        <v>120</v>
      </c>
      <c r="U279" s="31"/>
      <c r="V279" s="36"/>
      <c r="W279" s="37"/>
      <c r="X279" s="29">
        <v>10</v>
      </c>
      <c r="Y279" s="3" t="s">
        <v>45</v>
      </c>
      <c r="Z279" s="2" t="s">
        <v>145</v>
      </c>
      <c r="AA279" s="2"/>
    </row>
    <row r="280" spans="1:27" ht="23.1" customHeight="1" x14ac:dyDescent="0.25">
      <c r="A280" s="20" t="s">
        <v>452</v>
      </c>
      <c r="B280" s="1" t="s">
        <v>110</v>
      </c>
      <c r="C280" s="3">
        <v>11</v>
      </c>
      <c r="D280" s="3" t="s">
        <v>200</v>
      </c>
      <c r="E280" s="1" t="s">
        <v>317</v>
      </c>
      <c r="F280" s="21" t="s">
        <v>317</v>
      </c>
      <c r="G280" s="3" t="s">
        <v>154</v>
      </c>
      <c r="H280" s="3">
        <v>40</v>
      </c>
      <c r="I280" s="2" t="s">
        <v>1935</v>
      </c>
      <c r="J280" s="3">
        <v>3</v>
      </c>
      <c r="K280" s="3">
        <v>4</v>
      </c>
      <c r="L280" s="33">
        <v>28</v>
      </c>
      <c r="M280" s="23">
        <v>31</v>
      </c>
      <c r="N280" s="24" t="s">
        <v>471</v>
      </c>
      <c r="O280" s="25"/>
      <c r="P280" s="31">
        <v>260</v>
      </c>
      <c r="Q280" s="31"/>
      <c r="R280" s="31"/>
      <c r="S280" s="23"/>
      <c r="T280" s="31">
        <v>90</v>
      </c>
      <c r="U280" s="31"/>
      <c r="V280" s="36"/>
      <c r="W280" s="37"/>
      <c r="X280" s="29">
        <v>17.3</v>
      </c>
      <c r="Y280" s="3" t="s">
        <v>38</v>
      </c>
      <c r="Z280" s="2"/>
      <c r="AA280" s="2"/>
    </row>
    <row r="281" spans="1:27" ht="23.1" customHeight="1" x14ac:dyDescent="0.25">
      <c r="A281" s="20" t="s">
        <v>452</v>
      </c>
      <c r="B281" s="1" t="s">
        <v>110</v>
      </c>
      <c r="C281" s="3">
        <v>17</v>
      </c>
      <c r="D281" s="3" t="s">
        <v>352</v>
      </c>
      <c r="E281" s="1" t="s">
        <v>353</v>
      </c>
      <c r="F281" s="21" t="e">
        <v>#N/A</v>
      </c>
      <c r="G281" s="3" t="s">
        <v>300</v>
      </c>
      <c r="H281" s="3">
        <v>20</v>
      </c>
      <c r="I281" s="2" t="s">
        <v>2432</v>
      </c>
      <c r="J281" s="3"/>
      <c r="K281" s="3">
        <v>8</v>
      </c>
      <c r="L281" s="33">
        <v>28</v>
      </c>
      <c r="M281" s="23">
        <v>26</v>
      </c>
      <c r="N281" s="24" t="s">
        <v>472</v>
      </c>
      <c r="O281" s="25"/>
      <c r="P281" s="31">
        <v>60</v>
      </c>
      <c r="Q281" s="31"/>
      <c r="R281" s="31"/>
      <c r="S281" s="23">
        <v>1</v>
      </c>
      <c r="T281" s="31">
        <v>60</v>
      </c>
      <c r="U281" s="31"/>
      <c r="V281" s="36"/>
      <c r="W281" s="37">
        <v>2</v>
      </c>
      <c r="X281" s="29">
        <v>10</v>
      </c>
      <c r="Y281" s="3" t="s">
        <v>43</v>
      </c>
      <c r="Z281" s="2" t="s">
        <v>473</v>
      </c>
      <c r="AA281" s="1" t="s">
        <v>238</v>
      </c>
    </row>
    <row r="282" spans="1:27" ht="23.1" customHeight="1" x14ac:dyDescent="0.25">
      <c r="A282" s="20" t="s">
        <v>452</v>
      </c>
      <c r="B282" s="1" t="s">
        <v>110</v>
      </c>
      <c r="C282" s="3">
        <v>18</v>
      </c>
      <c r="D282" s="3" t="s">
        <v>205</v>
      </c>
      <c r="E282" s="1" t="s">
        <v>206</v>
      </c>
      <c r="F282" s="21" t="s">
        <v>206</v>
      </c>
      <c r="G282" s="3" t="s">
        <v>123</v>
      </c>
      <c r="H282" s="3">
        <v>35</v>
      </c>
      <c r="I282" s="2" t="s">
        <v>1963</v>
      </c>
      <c r="J282" s="3"/>
      <c r="K282" s="3">
        <v>3</v>
      </c>
      <c r="L282" s="33">
        <v>28</v>
      </c>
      <c r="M282" s="23">
        <v>26</v>
      </c>
      <c r="N282" s="24" t="s">
        <v>474</v>
      </c>
      <c r="O282" s="25"/>
      <c r="P282" s="31">
        <v>360</v>
      </c>
      <c r="Q282" s="31"/>
      <c r="R282" s="31"/>
      <c r="S282" s="23">
        <v>1</v>
      </c>
      <c r="T282" s="31">
        <v>90</v>
      </c>
      <c r="U282" s="31"/>
      <c r="V282" s="36"/>
      <c r="W282" s="37"/>
      <c r="X282" s="29">
        <v>18</v>
      </c>
      <c r="Y282" s="3" t="s">
        <v>43</v>
      </c>
      <c r="Z282" s="2" t="s">
        <v>210</v>
      </c>
      <c r="AA282" s="2"/>
    </row>
    <row r="283" spans="1:27" ht="23.1" customHeight="1" x14ac:dyDescent="0.25">
      <c r="A283" s="20" t="s">
        <v>452</v>
      </c>
      <c r="B283" s="1" t="s">
        <v>110</v>
      </c>
      <c r="C283" s="3">
        <v>56</v>
      </c>
      <c r="D283" s="3" t="s">
        <v>273</v>
      </c>
      <c r="E283" s="1" t="s">
        <v>274</v>
      </c>
      <c r="F283" s="21" t="s">
        <v>274</v>
      </c>
      <c r="G283" s="3" t="s">
        <v>123</v>
      </c>
      <c r="H283" s="3">
        <v>15</v>
      </c>
      <c r="I283" s="2" t="s">
        <v>1859</v>
      </c>
      <c r="J283" s="3">
        <v>8</v>
      </c>
      <c r="K283" s="3">
        <v>16</v>
      </c>
      <c r="L283" s="33">
        <v>19</v>
      </c>
      <c r="M283" s="23">
        <v>37</v>
      </c>
      <c r="N283" s="24" t="s">
        <v>263</v>
      </c>
      <c r="O283" s="25"/>
      <c r="P283" s="31">
        <v>60</v>
      </c>
      <c r="Q283" s="31"/>
      <c r="R283" s="31"/>
      <c r="S283" s="23"/>
      <c r="T283" s="31">
        <v>60</v>
      </c>
      <c r="U283" s="31"/>
      <c r="V283" s="36"/>
      <c r="W283" s="37"/>
      <c r="X283" s="29">
        <v>16</v>
      </c>
      <c r="Y283" s="3" t="s">
        <v>44</v>
      </c>
      <c r="Z283" s="2"/>
      <c r="AA283" s="2"/>
    </row>
    <row r="284" spans="1:27" ht="23.1" customHeight="1" x14ac:dyDescent="0.25">
      <c r="A284" s="20" t="s">
        <v>452</v>
      </c>
      <c r="B284" s="1" t="s">
        <v>110</v>
      </c>
      <c r="C284" s="3">
        <v>23</v>
      </c>
      <c r="D284" s="3" t="s">
        <v>288</v>
      </c>
      <c r="E284" s="1" t="s">
        <v>255</v>
      </c>
      <c r="F284" s="21" t="s">
        <v>1532</v>
      </c>
      <c r="G284" s="3" t="s">
        <v>250</v>
      </c>
      <c r="H284" s="3">
        <v>45</v>
      </c>
      <c r="I284" s="2" t="s">
        <v>1919</v>
      </c>
      <c r="J284" s="3">
        <v>0.8</v>
      </c>
      <c r="K284" s="3">
        <v>0.6</v>
      </c>
      <c r="L284" s="33"/>
      <c r="M284" s="23">
        <v>28</v>
      </c>
      <c r="N284" s="24" t="s">
        <v>475</v>
      </c>
      <c r="O284" s="25"/>
      <c r="P284" s="31">
        <v>660</v>
      </c>
      <c r="Q284" s="31">
        <v>90</v>
      </c>
      <c r="R284" s="31"/>
      <c r="S284" s="23"/>
      <c r="T284" s="31">
        <v>120</v>
      </c>
      <c r="U284" s="31"/>
      <c r="V284" s="36"/>
      <c r="W284" s="37"/>
      <c r="X284" s="29">
        <v>6.6</v>
      </c>
      <c r="Y284" s="3" t="s">
        <v>33</v>
      </c>
      <c r="Z284" s="2"/>
      <c r="AA284" s="2"/>
    </row>
    <row r="285" spans="1:27" ht="23.1" customHeight="1" x14ac:dyDescent="0.25">
      <c r="A285" s="20" t="s">
        <v>452</v>
      </c>
      <c r="B285" s="1" t="s">
        <v>110</v>
      </c>
      <c r="C285" s="3">
        <v>23</v>
      </c>
      <c r="D285" s="3" t="s">
        <v>288</v>
      </c>
      <c r="E285" s="1" t="s">
        <v>255</v>
      </c>
      <c r="F285" s="21" t="s">
        <v>1532</v>
      </c>
      <c r="G285" s="3" t="s">
        <v>250</v>
      </c>
      <c r="H285" s="3">
        <v>45</v>
      </c>
      <c r="I285" s="2" t="s">
        <v>1919</v>
      </c>
      <c r="J285" s="3"/>
      <c r="K285" s="3">
        <v>0.6</v>
      </c>
      <c r="L285" s="33"/>
      <c r="M285" s="23">
        <v>5</v>
      </c>
      <c r="N285" s="24" t="s">
        <v>476</v>
      </c>
      <c r="O285" s="25"/>
      <c r="P285" s="31">
        <v>660</v>
      </c>
      <c r="Q285" s="31">
        <v>90</v>
      </c>
      <c r="R285" s="31"/>
      <c r="S285" s="23">
        <v>1</v>
      </c>
      <c r="T285" s="31">
        <v>120</v>
      </c>
      <c r="U285" s="31"/>
      <c r="V285" s="36"/>
      <c r="W285" s="37"/>
      <c r="X285" s="29">
        <v>8.1</v>
      </c>
      <c r="Y285" s="3" t="s">
        <v>33</v>
      </c>
      <c r="Z285" s="2" t="s">
        <v>145</v>
      </c>
      <c r="AA285" s="2"/>
    </row>
    <row r="286" spans="1:27" ht="23.1" customHeight="1" x14ac:dyDescent="0.25">
      <c r="A286" s="20" t="s">
        <v>452</v>
      </c>
      <c r="B286" s="1" t="s">
        <v>110</v>
      </c>
      <c r="C286" s="3">
        <v>107</v>
      </c>
      <c r="D286" s="3" t="s">
        <v>232</v>
      </c>
      <c r="E286" s="1" t="s">
        <v>233</v>
      </c>
      <c r="F286" s="21" t="s">
        <v>233</v>
      </c>
      <c r="G286" s="3" t="s">
        <v>102</v>
      </c>
      <c r="H286" s="3">
        <v>80</v>
      </c>
      <c r="I286" s="2" t="s">
        <v>1964</v>
      </c>
      <c r="J286" s="3"/>
      <c r="K286" s="3">
        <v>1</v>
      </c>
      <c r="L286" s="33"/>
      <c r="M286" s="23">
        <v>26</v>
      </c>
      <c r="N286" s="24" t="s">
        <v>159</v>
      </c>
      <c r="O286" s="25"/>
      <c r="P286" s="31">
        <v>360</v>
      </c>
      <c r="Q286" s="31"/>
      <c r="R286" s="31"/>
      <c r="S286" s="23"/>
      <c r="T286" s="31">
        <v>120</v>
      </c>
      <c r="U286" s="31"/>
      <c r="V286" s="36">
        <v>1</v>
      </c>
      <c r="W286" s="37">
        <v>2</v>
      </c>
      <c r="X286" s="29">
        <v>10</v>
      </c>
      <c r="Y286" s="3" t="s">
        <v>45</v>
      </c>
      <c r="Z286" s="2" t="s">
        <v>477</v>
      </c>
      <c r="AA286" s="1" t="s">
        <v>238</v>
      </c>
    </row>
    <row r="287" spans="1:27" ht="23.1" customHeight="1" x14ac:dyDescent="0.25">
      <c r="A287" s="20" t="s">
        <v>452</v>
      </c>
      <c r="B287" s="1" t="s">
        <v>110</v>
      </c>
      <c r="C287" s="3">
        <v>84</v>
      </c>
      <c r="D287" s="3" t="s">
        <v>478</v>
      </c>
      <c r="E287" s="1" t="s">
        <v>479</v>
      </c>
      <c r="F287" s="21" t="s">
        <v>2550</v>
      </c>
      <c r="G287" s="3" t="s">
        <v>154</v>
      </c>
      <c r="H287" s="3">
        <v>25</v>
      </c>
      <c r="I287" s="2" t="s">
        <v>1938</v>
      </c>
      <c r="J287" s="3">
        <v>10</v>
      </c>
      <c r="K287" s="3">
        <v>3</v>
      </c>
      <c r="L287" s="33">
        <v>28</v>
      </c>
      <c r="M287" s="23">
        <v>28</v>
      </c>
      <c r="N287" s="24" t="s">
        <v>247</v>
      </c>
      <c r="O287" s="25"/>
      <c r="P287" s="31">
        <v>60</v>
      </c>
      <c r="Q287" s="31">
        <v>60</v>
      </c>
      <c r="R287" s="31"/>
      <c r="S287" s="23"/>
      <c r="T287" s="31">
        <v>120</v>
      </c>
      <c r="U287" s="31"/>
      <c r="V287" s="36"/>
      <c r="W287" s="37"/>
      <c r="X287" s="29">
        <v>3</v>
      </c>
      <c r="Y287" s="3" t="s">
        <v>3</v>
      </c>
      <c r="Z287" s="2"/>
      <c r="AA287" s="2"/>
    </row>
    <row r="288" spans="1:27" ht="23.1" customHeight="1" x14ac:dyDescent="0.25">
      <c r="A288" s="20" t="s">
        <v>452</v>
      </c>
      <c r="B288" s="3" t="s">
        <v>110</v>
      </c>
      <c r="C288" s="3">
        <v>84</v>
      </c>
      <c r="D288" s="3" t="s">
        <v>401</v>
      </c>
      <c r="E288" s="1" t="s">
        <v>402</v>
      </c>
      <c r="F288" s="21" t="s">
        <v>2549</v>
      </c>
      <c r="G288" s="3" t="s">
        <v>154</v>
      </c>
      <c r="H288" s="3">
        <v>25</v>
      </c>
      <c r="I288" s="3" t="s">
        <v>1938</v>
      </c>
      <c r="J288" s="3"/>
      <c r="K288" s="3">
        <v>6</v>
      </c>
      <c r="L288" s="23">
        <v>28</v>
      </c>
      <c r="M288" s="23">
        <v>37</v>
      </c>
      <c r="N288" s="24" t="s">
        <v>247</v>
      </c>
      <c r="O288" s="31"/>
      <c r="P288" s="34">
        <v>60</v>
      </c>
      <c r="Q288" s="31">
        <v>60</v>
      </c>
      <c r="R288" s="31"/>
      <c r="S288" s="23"/>
      <c r="T288" s="31">
        <v>120</v>
      </c>
      <c r="U288" s="31"/>
      <c r="V288" s="38">
        <v>1</v>
      </c>
      <c r="W288" s="37"/>
      <c r="X288" s="29">
        <v>8</v>
      </c>
      <c r="Y288" s="3" t="s">
        <v>3</v>
      </c>
      <c r="Z288" s="2" t="s">
        <v>480</v>
      </c>
      <c r="AA288" s="2"/>
    </row>
    <row r="289" spans="1:27" ht="23.1" customHeight="1" x14ac:dyDescent="0.25">
      <c r="A289" s="20" t="s">
        <v>329</v>
      </c>
      <c r="B289" s="3" t="s">
        <v>113</v>
      </c>
      <c r="C289" s="3">
        <v>119</v>
      </c>
      <c r="D289" s="3" t="s">
        <v>404</v>
      </c>
      <c r="E289" s="1" t="s">
        <v>405</v>
      </c>
      <c r="F289" s="21" t="s">
        <v>405</v>
      </c>
      <c r="G289" s="3" t="s">
        <v>118</v>
      </c>
      <c r="H289" s="3">
        <v>45</v>
      </c>
      <c r="I289" s="3" t="s">
        <v>1943</v>
      </c>
      <c r="J289" s="3">
        <v>3</v>
      </c>
      <c r="K289" s="3">
        <v>3</v>
      </c>
      <c r="L289" s="23">
        <v>23</v>
      </c>
      <c r="M289" s="23">
        <v>28</v>
      </c>
      <c r="N289" s="24" t="s">
        <v>433</v>
      </c>
      <c r="O289" s="31"/>
      <c r="P289" s="34">
        <v>60</v>
      </c>
      <c r="Q289" s="31">
        <v>75</v>
      </c>
      <c r="R289" s="31"/>
      <c r="S289" s="23">
        <v>3</v>
      </c>
      <c r="T289" s="31">
        <v>150</v>
      </c>
      <c r="U289" s="31"/>
      <c r="V289" s="38"/>
      <c r="W289" s="37"/>
      <c r="X289" s="29">
        <v>6.8</v>
      </c>
      <c r="Y289" s="3" t="s">
        <v>69</v>
      </c>
      <c r="Z289" s="2" t="s">
        <v>434</v>
      </c>
      <c r="AA289" s="2"/>
    </row>
    <row r="290" spans="1:27" ht="23.1" customHeight="1" x14ac:dyDescent="0.25">
      <c r="A290" s="20" t="s">
        <v>329</v>
      </c>
      <c r="B290" s="3" t="s">
        <v>113</v>
      </c>
      <c r="C290" s="3">
        <v>119</v>
      </c>
      <c r="D290" s="3" t="s">
        <v>404</v>
      </c>
      <c r="E290" s="1" t="s">
        <v>405</v>
      </c>
      <c r="F290" s="21" t="s">
        <v>405</v>
      </c>
      <c r="G290" s="3" t="s">
        <v>118</v>
      </c>
      <c r="H290" s="3">
        <v>50</v>
      </c>
      <c r="I290" s="3" t="s">
        <v>1944</v>
      </c>
      <c r="J290" s="3">
        <v>3</v>
      </c>
      <c r="K290" s="3">
        <v>3</v>
      </c>
      <c r="L290" s="23">
        <v>23</v>
      </c>
      <c r="M290" s="23">
        <v>28</v>
      </c>
      <c r="N290" s="24" t="s">
        <v>433</v>
      </c>
      <c r="O290" s="31"/>
      <c r="P290" s="34">
        <v>120</v>
      </c>
      <c r="Q290" s="31">
        <v>75</v>
      </c>
      <c r="R290" s="31"/>
      <c r="S290" s="23">
        <v>3</v>
      </c>
      <c r="T290" s="31">
        <v>150</v>
      </c>
      <c r="U290" s="31"/>
      <c r="V290" s="38"/>
      <c r="W290" s="37"/>
      <c r="X290" s="29">
        <v>9.8000000000000007</v>
      </c>
      <c r="Y290" s="3" t="s">
        <v>69</v>
      </c>
      <c r="Z290" s="2" t="s">
        <v>434</v>
      </c>
      <c r="AA290" s="2"/>
    </row>
    <row r="291" spans="1:27" ht="23.1" customHeight="1" x14ac:dyDescent="0.25">
      <c r="A291" s="20" t="s">
        <v>452</v>
      </c>
      <c r="B291" s="3" t="s">
        <v>110</v>
      </c>
      <c r="C291" s="3">
        <v>119</v>
      </c>
      <c r="D291" s="3" t="s">
        <v>481</v>
      </c>
      <c r="E291" s="1" t="s">
        <v>482</v>
      </c>
      <c r="F291" s="21" t="s">
        <v>482</v>
      </c>
      <c r="G291" s="3" t="s">
        <v>118</v>
      </c>
      <c r="H291" s="3">
        <v>40</v>
      </c>
      <c r="I291" s="3" t="s">
        <v>1939</v>
      </c>
      <c r="J291" s="3">
        <v>3</v>
      </c>
      <c r="K291" s="3">
        <v>3</v>
      </c>
      <c r="L291" s="23">
        <v>28</v>
      </c>
      <c r="M291" s="23">
        <v>28</v>
      </c>
      <c r="N291" s="24" t="s">
        <v>319</v>
      </c>
      <c r="O291" s="31"/>
      <c r="P291" s="34">
        <v>150</v>
      </c>
      <c r="Q291" s="31">
        <v>75</v>
      </c>
      <c r="R291" s="31"/>
      <c r="S291" s="23"/>
      <c r="T291" s="31">
        <v>150</v>
      </c>
      <c r="U291" s="31"/>
      <c r="V291" s="38">
        <v>1</v>
      </c>
      <c r="W291" s="37">
        <v>2</v>
      </c>
      <c r="X291" s="29">
        <v>12</v>
      </c>
      <c r="Y291" s="3" t="s">
        <v>3</v>
      </c>
      <c r="Z291" s="2" t="s">
        <v>483</v>
      </c>
      <c r="AA291" s="2"/>
    </row>
    <row r="292" spans="1:27" ht="23.1" customHeight="1" x14ac:dyDescent="0.25">
      <c r="A292" s="20" t="s">
        <v>452</v>
      </c>
      <c r="B292" s="3" t="s">
        <v>110</v>
      </c>
      <c r="C292" s="3">
        <v>119</v>
      </c>
      <c r="D292" s="3" t="s">
        <v>481</v>
      </c>
      <c r="E292" s="1" t="s">
        <v>482</v>
      </c>
      <c r="F292" s="21" t="s">
        <v>482</v>
      </c>
      <c r="G292" s="3" t="s">
        <v>118</v>
      </c>
      <c r="H292" s="3">
        <v>45</v>
      </c>
      <c r="I292" s="3" t="s">
        <v>1858</v>
      </c>
      <c r="J292" s="3">
        <v>3</v>
      </c>
      <c r="K292" s="3">
        <v>3</v>
      </c>
      <c r="L292" s="23">
        <v>28</v>
      </c>
      <c r="M292" s="23">
        <v>28</v>
      </c>
      <c r="N292" s="24" t="s">
        <v>319</v>
      </c>
      <c r="O292" s="31"/>
      <c r="P292" s="34">
        <v>60</v>
      </c>
      <c r="Q292" s="31">
        <v>75</v>
      </c>
      <c r="R292" s="31"/>
      <c r="S292" s="23"/>
      <c r="T292" s="31">
        <v>150</v>
      </c>
      <c r="U292" s="31"/>
      <c r="V292" s="38">
        <v>1</v>
      </c>
      <c r="W292" s="37"/>
      <c r="X292" s="29">
        <v>5.5</v>
      </c>
      <c r="Y292" s="3" t="s">
        <v>3</v>
      </c>
      <c r="Z292" s="2" t="s">
        <v>483</v>
      </c>
      <c r="AA292" s="2"/>
    </row>
    <row r="293" spans="1:27" ht="23.1" customHeight="1" x14ac:dyDescent="0.25">
      <c r="A293" s="20" t="s">
        <v>452</v>
      </c>
      <c r="B293" s="3" t="s">
        <v>110</v>
      </c>
      <c r="C293" s="3">
        <v>119</v>
      </c>
      <c r="D293" s="3" t="s">
        <v>481</v>
      </c>
      <c r="E293" s="1" t="s">
        <v>482</v>
      </c>
      <c r="F293" s="21" t="s">
        <v>482</v>
      </c>
      <c r="G293" s="3" t="s">
        <v>118</v>
      </c>
      <c r="H293" s="3">
        <v>50</v>
      </c>
      <c r="I293" s="3" t="s">
        <v>1944</v>
      </c>
      <c r="J293" s="3">
        <v>3</v>
      </c>
      <c r="K293" s="3">
        <v>3</v>
      </c>
      <c r="L293" s="23">
        <v>28</v>
      </c>
      <c r="M293" s="23">
        <v>28</v>
      </c>
      <c r="N293" s="24" t="s">
        <v>319</v>
      </c>
      <c r="O293" s="31"/>
      <c r="P293" s="34">
        <v>110</v>
      </c>
      <c r="Q293" s="31">
        <v>75</v>
      </c>
      <c r="R293" s="31"/>
      <c r="S293" s="23"/>
      <c r="T293" s="31">
        <v>150</v>
      </c>
      <c r="U293" s="31"/>
      <c r="V293" s="38">
        <v>1</v>
      </c>
      <c r="W293" s="37"/>
      <c r="X293" s="29">
        <v>8</v>
      </c>
      <c r="Y293" s="3" t="s">
        <v>3</v>
      </c>
      <c r="Z293" s="2" t="s">
        <v>483</v>
      </c>
      <c r="AA293" s="2"/>
    </row>
    <row r="294" spans="1:27" ht="23.1" customHeight="1" x14ac:dyDescent="0.25">
      <c r="A294" s="20" t="s">
        <v>452</v>
      </c>
      <c r="B294" s="3" t="s">
        <v>110</v>
      </c>
      <c r="C294" s="3">
        <v>91</v>
      </c>
      <c r="D294" s="3" t="s">
        <v>298</v>
      </c>
      <c r="E294" s="1" t="s">
        <v>299</v>
      </c>
      <c r="F294" s="21" t="s">
        <v>299</v>
      </c>
      <c r="G294" s="3" t="s">
        <v>300</v>
      </c>
      <c r="H294" s="3">
        <v>30</v>
      </c>
      <c r="I294" s="3" t="s">
        <v>1921</v>
      </c>
      <c r="J294" s="3">
        <v>0.4</v>
      </c>
      <c r="K294" s="3">
        <v>0.3</v>
      </c>
      <c r="L294" s="23">
        <v>28</v>
      </c>
      <c r="M294" s="23">
        <v>28</v>
      </c>
      <c r="N294" s="24" t="s">
        <v>419</v>
      </c>
      <c r="O294" s="31"/>
      <c r="P294" s="34">
        <v>960</v>
      </c>
      <c r="Q294" s="31">
        <v>120</v>
      </c>
      <c r="R294" s="31"/>
      <c r="S294" s="23"/>
      <c r="T294" s="31">
        <v>180</v>
      </c>
      <c r="U294" s="31"/>
      <c r="V294" s="38"/>
      <c r="W294" s="37"/>
      <c r="X294" s="29">
        <v>4.8</v>
      </c>
      <c r="Y294" s="3" t="s">
        <v>3</v>
      </c>
      <c r="Z294" s="2"/>
      <c r="AA294" s="2"/>
    </row>
    <row r="295" spans="1:27" ht="23.1" customHeight="1" x14ac:dyDescent="0.25">
      <c r="A295" s="20" t="s">
        <v>452</v>
      </c>
      <c r="B295" s="3" t="s">
        <v>110</v>
      </c>
      <c r="C295" s="3">
        <v>91</v>
      </c>
      <c r="D295" s="3" t="s">
        <v>484</v>
      </c>
      <c r="E295" s="1" t="s">
        <v>485</v>
      </c>
      <c r="F295" s="21" t="s">
        <v>485</v>
      </c>
      <c r="G295" s="3" t="s">
        <v>300</v>
      </c>
      <c r="H295" s="3">
        <v>30</v>
      </c>
      <c r="I295" s="3" t="s">
        <v>1921</v>
      </c>
      <c r="J295" s="3"/>
      <c r="K295" s="3">
        <v>0.3</v>
      </c>
      <c r="L295" s="23"/>
      <c r="M295" s="23">
        <v>5</v>
      </c>
      <c r="N295" s="24" t="s">
        <v>399</v>
      </c>
      <c r="O295" s="31"/>
      <c r="P295" s="34">
        <v>960</v>
      </c>
      <c r="Q295" s="31">
        <v>120</v>
      </c>
      <c r="R295" s="31"/>
      <c r="S295" s="23"/>
      <c r="T295" s="31">
        <v>180</v>
      </c>
      <c r="U295" s="31"/>
      <c r="V295" s="38"/>
      <c r="W295" s="37">
        <v>5</v>
      </c>
      <c r="X295" s="29">
        <v>9.8000000000000007</v>
      </c>
      <c r="Y295" s="3" t="s">
        <v>3</v>
      </c>
      <c r="Z295" s="2" t="s">
        <v>486</v>
      </c>
      <c r="AA295" s="2"/>
    </row>
    <row r="296" spans="1:27" ht="23.1" customHeight="1" x14ac:dyDescent="0.25">
      <c r="A296" s="20" t="s">
        <v>452</v>
      </c>
      <c r="B296" s="3" t="s">
        <v>110</v>
      </c>
      <c r="C296" s="3">
        <v>69</v>
      </c>
      <c r="D296" s="3" t="s">
        <v>266</v>
      </c>
      <c r="E296" s="1" t="s">
        <v>267</v>
      </c>
      <c r="F296" s="21" t="s">
        <v>267</v>
      </c>
      <c r="G296" s="3" t="s">
        <v>118</v>
      </c>
      <c r="H296" s="3">
        <v>50</v>
      </c>
      <c r="I296" s="3" t="s">
        <v>1909</v>
      </c>
      <c r="J296" s="3">
        <v>3</v>
      </c>
      <c r="K296" s="3">
        <v>4</v>
      </c>
      <c r="L296" s="23">
        <v>28</v>
      </c>
      <c r="M296" s="23">
        <v>37</v>
      </c>
      <c r="N296" s="24" t="s">
        <v>429</v>
      </c>
      <c r="O296" s="31"/>
      <c r="P296" s="34">
        <v>240</v>
      </c>
      <c r="Q296" s="31">
        <v>90</v>
      </c>
      <c r="R296" s="31"/>
      <c r="S296" s="23">
        <v>4</v>
      </c>
      <c r="T296" s="31">
        <v>180</v>
      </c>
      <c r="U296" s="31"/>
      <c r="V296" s="38"/>
      <c r="W296" s="37"/>
      <c r="X296" s="29">
        <v>22</v>
      </c>
      <c r="Y296" s="3" t="s">
        <v>3</v>
      </c>
      <c r="Z296" s="2" t="s">
        <v>372</v>
      </c>
      <c r="AA296" s="2"/>
    </row>
    <row r="297" spans="1:27" ht="23.1" customHeight="1" x14ac:dyDescent="0.25">
      <c r="A297" s="20" t="s">
        <v>452</v>
      </c>
      <c r="B297" s="1" t="s">
        <v>110</v>
      </c>
      <c r="C297" s="3">
        <v>24</v>
      </c>
      <c r="D297" s="3" t="s">
        <v>392</v>
      </c>
      <c r="E297" s="1" t="s">
        <v>259</v>
      </c>
      <c r="F297" s="21" t="s">
        <v>979</v>
      </c>
      <c r="G297" s="3" t="s">
        <v>118</v>
      </c>
      <c r="H297" s="3">
        <v>50</v>
      </c>
      <c r="I297" s="2" t="s">
        <v>1965</v>
      </c>
      <c r="J297" s="3">
        <v>0.4</v>
      </c>
      <c r="K297" s="3">
        <v>0.3</v>
      </c>
      <c r="L297" s="33">
        <v>23</v>
      </c>
      <c r="M297" s="23"/>
      <c r="N297" s="24" t="s">
        <v>487</v>
      </c>
      <c r="O297" s="25"/>
      <c r="P297" s="31">
        <v>1960</v>
      </c>
      <c r="Q297" s="31">
        <v>120</v>
      </c>
      <c r="R297" s="31"/>
      <c r="S297" s="23"/>
      <c r="T297" s="31">
        <v>180</v>
      </c>
      <c r="U297" s="31"/>
      <c r="V297" s="36">
        <v>1</v>
      </c>
      <c r="W297" s="37"/>
      <c r="X297" s="29">
        <v>12.8</v>
      </c>
      <c r="Y297" s="3" t="s">
        <v>3</v>
      </c>
      <c r="Z297" s="2" t="s">
        <v>488</v>
      </c>
      <c r="AA297" s="2"/>
    </row>
    <row r="298" spans="1:27" ht="23.1" customHeight="1" x14ac:dyDescent="0.25">
      <c r="A298" s="20" t="s">
        <v>452</v>
      </c>
      <c r="B298" s="1" t="s">
        <v>137</v>
      </c>
      <c r="C298" s="3">
        <v>59</v>
      </c>
      <c r="D298" s="3" t="s">
        <v>408</v>
      </c>
      <c r="E298" s="1" t="s">
        <v>409</v>
      </c>
      <c r="F298" s="21" t="s">
        <v>409</v>
      </c>
      <c r="G298" s="3" t="s">
        <v>107</v>
      </c>
      <c r="H298" s="3">
        <v>5</v>
      </c>
      <c r="I298" s="2" t="s">
        <v>1958</v>
      </c>
      <c r="J298" s="3">
        <v>8</v>
      </c>
      <c r="K298" s="3">
        <v>17</v>
      </c>
      <c r="L298" s="33">
        <v>26</v>
      </c>
      <c r="M298" s="23">
        <v>26</v>
      </c>
      <c r="N298" s="24" t="s">
        <v>393</v>
      </c>
      <c r="O298" s="25"/>
      <c r="P298" s="31">
        <v>60</v>
      </c>
      <c r="Q298" s="31"/>
      <c r="R298" s="31"/>
      <c r="S298" s="23"/>
      <c r="T298" s="31">
        <v>60</v>
      </c>
      <c r="U298" s="31"/>
      <c r="V298" s="36"/>
      <c r="W298" s="37"/>
      <c r="X298" s="29">
        <v>17</v>
      </c>
      <c r="Y298" s="3" t="s">
        <v>6</v>
      </c>
      <c r="Z298" s="2" t="s">
        <v>489</v>
      </c>
      <c r="AA298" s="2"/>
    </row>
    <row r="299" spans="1:27" ht="23.1" customHeight="1" x14ac:dyDescent="0.25">
      <c r="A299" s="20" t="s">
        <v>452</v>
      </c>
      <c r="B299" s="1" t="s">
        <v>137</v>
      </c>
      <c r="C299" s="3">
        <v>58</v>
      </c>
      <c r="D299" s="3" t="s">
        <v>423</v>
      </c>
      <c r="E299" s="1" t="s">
        <v>424</v>
      </c>
      <c r="F299" s="21" t="s">
        <v>424</v>
      </c>
      <c r="G299" s="3" t="s">
        <v>107</v>
      </c>
      <c r="H299" s="3">
        <v>5</v>
      </c>
      <c r="I299" s="2" t="s">
        <v>1930</v>
      </c>
      <c r="J299" s="3">
        <v>7</v>
      </c>
      <c r="K299" s="3">
        <v>7</v>
      </c>
      <c r="L299" s="33">
        <v>37</v>
      </c>
      <c r="M299" s="23">
        <v>37</v>
      </c>
      <c r="N299" s="24" t="s">
        <v>490</v>
      </c>
      <c r="O299" s="25"/>
      <c r="P299" s="31">
        <v>60</v>
      </c>
      <c r="Q299" s="31"/>
      <c r="R299" s="31"/>
      <c r="S299" s="23"/>
      <c r="T299" s="31">
        <v>60</v>
      </c>
      <c r="U299" s="31"/>
      <c r="V299" s="36"/>
      <c r="W299" s="37"/>
      <c r="X299" s="29">
        <v>7</v>
      </c>
      <c r="Y299" s="3" t="s">
        <v>57</v>
      </c>
      <c r="Z299" s="2"/>
      <c r="AA299" s="2"/>
    </row>
    <row r="300" spans="1:27" ht="23.1" customHeight="1" x14ac:dyDescent="0.25">
      <c r="A300" s="20" t="s">
        <v>452</v>
      </c>
      <c r="B300" s="1" t="s">
        <v>137</v>
      </c>
      <c r="C300" s="3">
        <v>58</v>
      </c>
      <c r="D300" s="3" t="s">
        <v>423</v>
      </c>
      <c r="E300" s="1" t="s">
        <v>424</v>
      </c>
      <c r="F300" s="21" t="s">
        <v>424</v>
      </c>
      <c r="G300" s="3" t="s">
        <v>107</v>
      </c>
      <c r="H300" s="3">
        <v>10</v>
      </c>
      <c r="I300" s="2" t="s">
        <v>1949</v>
      </c>
      <c r="J300" s="3">
        <v>2</v>
      </c>
      <c r="K300" s="3">
        <v>7</v>
      </c>
      <c r="L300" s="33">
        <v>37</v>
      </c>
      <c r="M300" s="23">
        <v>37</v>
      </c>
      <c r="N300" s="24" t="s">
        <v>490</v>
      </c>
      <c r="O300" s="25"/>
      <c r="P300" s="31">
        <v>60</v>
      </c>
      <c r="Q300" s="31"/>
      <c r="R300" s="31"/>
      <c r="S300" s="23"/>
      <c r="T300" s="31">
        <v>100</v>
      </c>
      <c r="U300" s="31"/>
      <c r="V300" s="36">
        <v>1</v>
      </c>
      <c r="W300" s="37"/>
      <c r="X300" s="29">
        <v>8.6999999999999993</v>
      </c>
      <c r="Y300" s="3" t="s">
        <v>57</v>
      </c>
      <c r="Z300" s="2"/>
      <c r="AA300" s="2"/>
    </row>
    <row r="301" spans="1:27" ht="23.1" customHeight="1" x14ac:dyDescent="0.25">
      <c r="A301" s="20" t="s">
        <v>452</v>
      </c>
      <c r="B301" s="1" t="s">
        <v>137</v>
      </c>
      <c r="C301" s="3">
        <v>57</v>
      </c>
      <c r="D301" s="3" t="s">
        <v>459</v>
      </c>
      <c r="E301" s="1" t="s">
        <v>460</v>
      </c>
      <c r="F301" s="21" t="e">
        <v>#N/A</v>
      </c>
      <c r="G301" s="3" t="s">
        <v>123</v>
      </c>
      <c r="H301" s="3">
        <v>20</v>
      </c>
      <c r="I301" s="2" t="s">
        <v>1960</v>
      </c>
      <c r="J301" s="3">
        <v>4</v>
      </c>
      <c r="K301" s="3">
        <v>5</v>
      </c>
      <c r="L301" s="33">
        <v>26</v>
      </c>
      <c r="M301" s="23">
        <v>26</v>
      </c>
      <c r="N301" s="24" t="s">
        <v>491</v>
      </c>
      <c r="O301" s="25"/>
      <c r="P301" s="31">
        <v>120</v>
      </c>
      <c r="Q301" s="31"/>
      <c r="R301" s="31"/>
      <c r="S301" s="23"/>
      <c r="T301" s="31">
        <v>60</v>
      </c>
      <c r="U301" s="31"/>
      <c r="V301" s="36">
        <v>1</v>
      </c>
      <c r="W301" s="37">
        <v>2</v>
      </c>
      <c r="X301" s="29">
        <v>13</v>
      </c>
      <c r="Y301" s="3" t="s">
        <v>57</v>
      </c>
      <c r="Z301" t="s">
        <v>492</v>
      </c>
      <c r="AA301" s="2"/>
    </row>
    <row r="302" spans="1:27" ht="23.1" customHeight="1" x14ac:dyDescent="0.25">
      <c r="A302" s="20" t="s">
        <v>452</v>
      </c>
      <c r="B302" s="1" t="s">
        <v>137</v>
      </c>
      <c r="C302" s="3">
        <v>24</v>
      </c>
      <c r="D302" s="3" t="s">
        <v>392</v>
      </c>
      <c r="E302" s="1" t="s">
        <v>259</v>
      </c>
      <c r="F302" s="21" t="s">
        <v>979</v>
      </c>
      <c r="G302" s="3" t="s">
        <v>118</v>
      </c>
      <c r="H302" s="3">
        <v>50</v>
      </c>
      <c r="I302" s="2" t="s">
        <v>1965</v>
      </c>
      <c r="J302" s="3">
        <v>0.4</v>
      </c>
      <c r="K302" s="3">
        <v>0.4</v>
      </c>
      <c r="L302" s="33"/>
      <c r="M302" s="23">
        <v>23</v>
      </c>
      <c r="N302" s="24" t="s">
        <v>487</v>
      </c>
      <c r="O302" s="25"/>
      <c r="P302" s="31">
        <v>1960</v>
      </c>
      <c r="Q302" s="31">
        <v>120</v>
      </c>
      <c r="R302" s="31"/>
      <c r="S302" s="23"/>
      <c r="T302" s="31">
        <v>180</v>
      </c>
      <c r="U302" s="31"/>
      <c r="V302" s="36"/>
      <c r="W302" s="37"/>
      <c r="X302" s="29">
        <v>13.1</v>
      </c>
      <c r="Y302" s="3" t="s">
        <v>52</v>
      </c>
      <c r="Z302" s="2" t="s">
        <v>493</v>
      </c>
      <c r="AA302" s="2"/>
    </row>
    <row r="303" spans="1:27" ht="23.1" customHeight="1" x14ac:dyDescent="0.25">
      <c r="A303" s="20" t="s">
        <v>452</v>
      </c>
      <c r="B303" s="1" t="s">
        <v>137</v>
      </c>
      <c r="C303" s="3">
        <v>69</v>
      </c>
      <c r="D303" s="3" t="s">
        <v>266</v>
      </c>
      <c r="E303" s="1" t="s">
        <v>267</v>
      </c>
      <c r="F303" s="21" t="s">
        <v>267</v>
      </c>
      <c r="G303" s="3" t="s">
        <v>118</v>
      </c>
      <c r="H303" s="3">
        <v>50</v>
      </c>
      <c r="I303" s="2" t="s">
        <v>1909</v>
      </c>
      <c r="J303" s="3">
        <v>1</v>
      </c>
      <c r="K303" s="3">
        <v>3</v>
      </c>
      <c r="L303" s="33">
        <v>5</v>
      </c>
      <c r="M303" s="23">
        <v>5</v>
      </c>
      <c r="N303" s="24" t="s">
        <v>429</v>
      </c>
      <c r="O303" s="25"/>
      <c r="P303" s="31">
        <v>240</v>
      </c>
      <c r="Q303" s="31">
        <v>90</v>
      </c>
      <c r="R303" s="31"/>
      <c r="S303" s="23">
        <v>1</v>
      </c>
      <c r="T303" s="31">
        <v>180</v>
      </c>
      <c r="U303" s="31"/>
      <c r="V303" s="36">
        <v>1</v>
      </c>
      <c r="W303" s="37"/>
      <c r="X303" s="29">
        <v>16.5</v>
      </c>
      <c r="Y303" s="3" t="s">
        <v>52</v>
      </c>
      <c r="Z303" s="2" t="s">
        <v>494</v>
      </c>
      <c r="AA303" s="2"/>
    </row>
    <row r="304" spans="1:27" ht="23.1" customHeight="1" x14ac:dyDescent="0.25">
      <c r="A304" s="20" t="s">
        <v>452</v>
      </c>
      <c r="B304" s="1" t="s">
        <v>137</v>
      </c>
      <c r="C304" s="3">
        <v>69</v>
      </c>
      <c r="D304" s="3" t="s">
        <v>495</v>
      </c>
      <c r="E304" s="1" t="s">
        <v>267</v>
      </c>
      <c r="F304" s="21" t="s">
        <v>267</v>
      </c>
      <c r="G304" s="3" t="s">
        <v>118</v>
      </c>
      <c r="H304" s="3">
        <v>50</v>
      </c>
      <c r="I304" s="2" t="s">
        <v>1909</v>
      </c>
      <c r="J304" s="3">
        <v>2</v>
      </c>
      <c r="K304" s="3">
        <v>1</v>
      </c>
      <c r="L304" s="33"/>
      <c r="M304" s="23">
        <v>37</v>
      </c>
      <c r="N304" s="24" t="s">
        <v>429</v>
      </c>
      <c r="O304" s="25"/>
      <c r="P304" s="31">
        <v>240</v>
      </c>
      <c r="Q304" s="31">
        <v>90</v>
      </c>
      <c r="R304" s="31"/>
      <c r="S304" s="23"/>
      <c r="T304" s="31">
        <v>180</v>
      </c>
      <c r="U304" s="31"/>
      <c r="V304" s="36"/>
      <c r="W304" s="37"/>
      <c r="X304" s="29">
        <v>4</v>
      </c>
      <c r="Y304" s="3" t="s">
        <v>52</v>
      </c>
      <c r="Z304" s="2"/>
      <c r="AA304" s="2"/>
    </row>
    <row r="305" spans="1:27" ht="23.1" customHeight="1" x14ac:dyDescent="0.25">
      <c r="A305" s="20" t="s">
        <v>452</v>
      </c>
      <c r="B305" s="1" t="s">
        <v>137</v>
      </c>
      <c r="C305" s="3">
        <v>91</v>
      </c>
      <c r="D305" s="3" t="s">
        <v>484</v>
      </c>
      <c r="E305" s="1" t="s">
        <v>485</v>
      </c>
      <c r="F305" s="21" t="s">
        <v>485</v>
      </c>
      <c r="G305" s="3" t="s">
        <v>300</v>
      </c>
      <c r="H305" s="3">
        <v>30</v>
      </c>
      <c r="I305" s="2" t="s">
        <v>1921</v>
      </c>
      <c r="J305" s="3"/>
      <c r="K305" s="3">
        <v>0.7</v>
      </c>
      <c r="L305" s="33"/>
      <c r="M305" s="23">
        <v>5</v>
      </c>
      <c r="N305" s="24" t="s">
        <v>399</v>
      </c>
      <c r="O305" s="25"/>
      <c r="P305" s="31">
        <v>960</v>
      </c>
      <c r="Q305" s="31">
        <v>120</v>
      </c>
      <c r="R305" s="31"/>
      <c r="S305" s="23"/>
      <c r="T305" s="31">
        <v>180</v>
      </c>
      <c r="U305" s="31"/>
      <c r="V305" s="36"/>
      <c r="W305" s="37"/>
      <c r="X305" s="29">
        <v>11.2</v>
      </c>
      <c r="Y305" s="3" t="s">
        <v>52</v>
      </c>
      <c r="Z305" s="2"/>
      <c r="AA305" s="2"/>
    </row>
    <row r="306" spans="1:27" ht="23.1" customHeight="1" x14ac:dyDescent="0.25">
      <c r="A306" s="20" t="s">
        <v>452</v>
      </c>
      <c r="B306" s="1" t="s">
        <v>137</v>
      </c>
      <c r="C306" s="3">
        <v>91</v>
      </c>
      <c r="D306" s="3" t="s">
        <v>484</v>
      </c>
      <c r="E306" s="1" t="s">
        <v>485</v>
      </c>
      <c r="F306" s="21" t="s">
        <v>485</v>
      </c>
      <c r="G306" s="3" t="s">
        <v>300</v>
      </c>
      <c r="H306" s="3">
        <v>32</v>
      </c>
      <c r="I306" s="2"/>
      <c r="J306" s="3">
        <v>1</v>
      </c>
      <c r="K306" s="3">
        <v>1</v>
      </c>
      <c r="L306" s="33"/>
      <c r="M306" s="23">
        <v>5</v>
      </c>
      <c r="N306" s="24" t="s">
        <v>399</v>
      </c>
      <c r="O306" s="25">
        <v>150</v>
      </c>
      <c r="P306" s="31"/>
      <c r="Q306" s="31"/>
      <c r="R306" s="25">
        <v>120</v>
      </c>
      <c r="S306" s="23">
        <v>1</v>
      </c>
      <c r="T306" s="31"/>
      <c r="U306" s="31">
        <v>180</v>
      </c>
      <c r="V306" s="36">
        <v>1</v>
      </c>
      <c r="W306" s="37"/>
      <c r="X306" s="32">
        <v>7.5</v>
      </c>
      <c r="Y306" s="3" t="s">
        <v>52</v>
      </c>
      <c r="Z306" s="2" t="s">
        <v>269</v>
      </c>
      <c r="AA306" s="2"/>
    </row>
    <row r="307" spans="1:27" ht="23.1" customHeight="1" x14ac:dyDescent="0.25">
      <c r="A307" s="20" t="s">
        <v>452</v>
      </c>
      <c r="B307" s="3" t="s">
        <v>137</v>
      </c>
      <c r="C307" s="3">
        <v>84</v>
      </c>
      <c r="D307" s="3" t="s">
        <v>478</v>
      </c>
      <c r="E307" s="1" t="s">
        <v>479</v>
      </c>
      <c r="F307" s="21" t="s">
        <v>2550</v>
      </c>
      <c r="G307" s="3" t="s">
        <v>154</v>
      </c>
      <c r="H307" s="3">
        <v>25</v>
      </c>
      <c r="I307" s="3" t="s">
        <v>1938</v>
      </c>
      <c r="J307" s="3">
        <v>10</v>
      </c>
      <c r="K307" s="3">
        <v>10</v>
      </c>
      <c r="L307" s="23">
        <v>37</v>
      </c>
      <c r="M307" s="23">
        <v>37</v>
      </c>
      <c r="N307" s="24" t="s">
        <v>247</v>
      </c>
      <c r="O307" s="31"/>
      <c r="P307" s="34">
        <v>60</v>
      </c>
      <c r="Q307" s="31">
        <v>60</v>
      </c>
      <c r="R307" s="31"/>
      <c r="S307" s="23">
        <v>10</v>
      </c>
      <c r="T307" s="31">
        <v>120</v>
      </c>
      <c r="U307" s="31"/>
      <c r="V307" s="38"/>
      <c r="W307" s="37"/>
      <c r="X307" s="29">
        <v>20</v>
      </c>
      <c r="Y307" s="3" t="s">
        <v>52</v>
      </c>
      <c r="Z307" s="2" t="s">
        <v>496</v>
      </c>
      <c r="AA307" s="2"/>
    </row>
    <row r="308" spans="1:27" ht="23.1" customHeight="1" x14ac:dyDescent="0.25">
      <c r="A308" s="20" t="s">
        <v>452</v>
      </c>
      <c r="B308" s="3" t="s">
        <v>110</v>
      </c>
      <c r="C308" s="3">
        <v>91</v>
      </c>
      <c r="D308" s="3" t="s">
        <v>298</v>
      </c>
      <c r="E308" s="1" t="s">
        <v>299</v>
      </c>
      <c r="F308" s="21" t="s">
        <v>299</v>
      </c>
      <c r="G308" s="3" t="s">
        <v>300</v>
      </c>
      <c r="H308" s="3">
        <v>32</v>
      </c>
      <c r="I308" s="3"/>
      <c r="J308" s="3">
        <v>1</v>
      </c>
      <c r="K308" s="3">
        <v>1</v>
      </c>
      <c r="L308" s="23">
        <v>28</v>
      </c>
      <c r="M308" s="23">
        <v>28</v>
      </c>
      <c r="N308" s="24" t="s">
        <v>419</v>
      </c>
      <c r="O308" s="25">
        <v>150</v>
      </c>
      <c r="P308" s="34"/>
      <c r="Q308" s="31"/>
      <c r="R308" s="25">
        <v>120</v>
      </c>
      <c r="S308" s="23">
        <v>1</v>
      </c>
      <c r="T308" s="31"/>
      <c r="U308" s="31"/>
      <c r="V308" s="38"/>
      <c r="W308" s="37"/>
      <c r="X308" s="32">
        <v>4.5</v>
      </c>
      <c r="Y308" s="3" t="s">
        <v>3</v>
      </c>
      <c r="Z308" s="2"/>
      <c r="AA308" s="2"/>
    </row>
    <row r="309" spans="1:27" ht="23.1" customHeight="1" x14ac:dyDescent="0.25">
      <c r="A309" s="20" t="s">
        <v>452</v>
      </c>
      <c r="B309" s="3" t="s">
        <v>137</v>
      </c>
      <c r="C309" s="3">
        <v>119</v>
      </c>
      <c r="D309" s="3" t="s">
        <v>481</v>
      </c>
      <c r="E309" s="1" t="s">
        <v>482</v>
      </c>
      <c r="F309" s="21" t="s">
        <v>482</v>
      </c>
      <c r="G309" s="3" t="s">
        <v>118</v>
      </c>
      <c r="H309" s="3">
        <v>40</v>
      </c>
      <c r="I309" s="3" t="s">
        <v>1939</v>
      </c>
      <c r="J309" s="3">
        <v>2</v>
      </c>
      <c r="K309" s="3">
        <v>2</v>
      </c>
      <c r="L309" s="23"/>
      <c r="M309" s="23">
        <v>37</v>
      </c>
      <c r="N309" s="24" t="s">
        <v>497</v>
      </c>
      <c r="O309" s="31"/>
      <c r="P309" s="34">
        <v>150</v>
      </c>
      <c r="Q309" s="31">
        <v>75</v>
      </c>
      <c r="R309" s="31"/>
      <c r="S309" s="23">
        <v>2</v>
      </c>
      <c r="T309" s="31">
        <v>150</v>
      </c>
      <c r="U309" s="31"/>
      <c r="V309" s="38"/>
      <c r="W309" s="37"/>
      <c r="X309" s="29">
        <v>7.5</v>
      </c>
      <c r="Y309" s="3" t="s">
        <v>52</v>
      </c>
      <c r="Z309" s="2" t="s">
        <v>313</v>
      </c>
      <c r="AA309" s="2"/>
    </row>
    <row r="310" spans="1:27" ht="23.1" customHeight="1" x14ac:dyDescent="0.25">
      <c r="A310" s="20" t="s">
        <v>452</v>
      </c>
      <c r="B310" s="3" t="s">
        <v>137</v>
      </c>
      <c r="C310" s="3">
        <v>10</v>
      </c>
      <c r="D310" s="3" t="s">
        <v>500</v>
      </c>
      <c r="E310" s="1" t="s">
        <v>389</v>
      </c>
      <c r="F310" s="21" t="s">
        <v>389</v>
      </c>
      <c r="G310" s="3" t="s">
        <v>300</v>
      </c>
      <c r="H310" s="3">
        <v>10</v>
      </c>
      <c r="I310" s="3" t="s">
        <v>1941</v>
      </c>
      <c r="J310" s="3">
        <v>20</v>
      </c>
      <c r="K310" s="3">
        <v>20</v>
      </c>
      <c r="L310" s="23">
        <v>37</v>
      </c>
      <c r="M310" s="23">
        <v>37</v>
      </c>
      <c r="N310" s="24" t="s">
        <v>501</v>
      </c>
      <c r="O310" s="31"/>
      <c r="P310" s="34">
        <v>60</v>
      </c>
      <c r="Q310" s="31"/>
      <c r="R310" s="31"/>
      <c r="S310" s="23"/>
      <c r="T310" s="31">
        <v>120</v>
      </c>
      <c r="U310" s="31"/>
      <c r="V310" s="38">
        <v>1</v>
      </c>
      <c r="W310" s="37"/>
      <c r="X310" s="29">
        <v>22</v>
      </c>
      <c r="Y310" s="3" t="s">
        <v>23</v>
      </c>
      <c r="Z310" s="2" t="s">
        <v>92</v>
      </c>
      <c r="AA310" s="2"/>
    </row>
    <row r="311" spans="1:27" ht="23.1" customHeight="1" x14ac:dyDescent="0.25">
      <c r="A311" s="20" t="s">
        <v>452</v>
      </c>
      <c r="B311" s="3" t="s">
        <v>137</v>
      </c>
      <c r="C311" s="3">
        <v>10</v>
      </c>
      <c r="D311" s="3" t="s">
        <v>388</v>
      </c>
      <c r="E311" s="1" t="s">
        <v>389</v>
      </c>
      <c r="F311" s="21" t="s">
        <v>389</v>
      </c>
      <c r="G311" s="3" t="s">
        <v>300</v>
      </c>
      <c r="H311" s="3">
        <v>8</v>
      </c>
      <c r="I311" s="3"/>
      <c r="J311" s="3"/>
      <c r="K311" s="3">
        <v>4</v>
      </c>
      <c r="L311" s="23">
        <v>37</v>
      </c>
      <c r="M311" s="23">
        <v>37</v>
      </c>
      <c r="N311" s="24" t="s">
        <v>351</v>
      </c>
      <c r="O311" s="31">
        <v>40</v>
      </c>
      <c r="P311" s="34"/>
      <c r="Q311" s="31"/>
      <c r="R311" s="31"/>
      <c r="S311" s="23"/>
      <c r="T311" s="31"/>
      <c r="U311" s="31"/>
      <c r="V311" s="38"/>
      <c r="W311" s="37"/>
      <c r="X311" s="32">
        <v>2.7</v>
      </c>
      <c r="Y311" s="3" t="s">
        <v>23</v>
      </c>
      <c r="Z311" s="2"/>
      <c r="AA311" s="2"/>
    </row>
    <row r="312" spans="1:27" ht="23.1" customHeight="1" x14ac:dyDescent="0.25">
      <c r="A312" s="20" t="s">
        <v>452</v>
      </c>
      <c r="B312" s="3" t="s">
        <v>137</v>
      </c>
      <c r="C312" s="3">
        <v>119</v>
      </c>
      <c r="D312" s="3" t="s">
        <v>481</v>
      </c>
      <c r="E312" s="1" t="s">
        <v>482</v>
      </c>
      <c r="F312" s="21" t="s">
        <v>482</v>
      </c>
      <c r="G312" s="3" t="s">
        <v>118</v>
      </c>
      <c r="H312" s="3">
        <v>45</v>
      </c>
      <c r="I312" s="3" t="s">
        <v>1943</v>
      </c>
      <c r="J312" s="3">
        <v>2</v>
      </c>
      <c r="K312" s="3">
        <v>2</v>
      </c>
      <c r="L312" s="23"/>
      <c r="M312" s="23">
        <v>37</v>
      </c>
      <c r="N312" s="24" t="s">
        <v>497</v>
      </c>
      <c r="O312" s="31"/>
      <c r="P312" s="34">
        <v>60</v>
      </c>
      <c r="Q312" s="31">
        <v>75</v>
      </c>
      <c r="R312" s="31"/>
      <c r="S312" s="23">
        <v>2</v>
      </c>
      <c r="T312" s="31">
        <v>150</v>
      </c>
      <c r="U312" s="31"/>
      <c r="V312" s="38"/>
      <c r="W312" s="37"/>
      <c r="X312" s="29">
        <v>4.5</v>
      </c>
      <c r="Y312" s="3" t="s">
        <v>52</v>
      </c>
      <c r="Z312" s="2" t="s">
        <v>313</v>
      </c>
      <c r="AA312" s="2"/>
    </row>
    <row r="313" spans="1:27" ht="23.1" customHeight="1" x14ac:dyDescent="0.25">
      <c r="A313" s="20" t="s">
        <v>452</v>
      </c>
      <c r="B313" s="3" t="s">
        <v>137</v>
      </c>
      <c r="C313" s="3">
        <v>119</v>
      </c>
      <c r="D313" s="3" t="s">
        <v>481</v>
      </c>
      <c r="E313" s="1" t="s">
        <v>482</v>
      </c>
      <c r="F313" s="21" t="s">
        <v>482</v>
      </c>
      <c r="G313" s="3" t="s">
        <v>118</v>
      </c>
      <c r="H313" s="3">
        <v>50</v>
      </c>
      <c r="I313" s="3" t="s">
        <v>1944</v>
      </c>
      <c r="J313" s="3">
        <v>2</v>
      </c>
      <c r="K313" s="3">
        <v>2</v>
      </c>
      <c r="L313" s="23"/>
      <c r="M313" s="23">
        <v>37</v>
      </c>
      <c r="N313" s="24" t="s">
        <v>497</v>
      </c>
      <c r="O313" s="31"/>
      <c r="P313" s="34">
        <v>110</v>
      </c>
      <c r="Q313" s="31">
        <v>75</v>
      </c>
      <c r="R313" s="31"/>
      <c r="S313" s="23">
        <v>2</v>
      </c>
      <c r="T313" s="31">
        <v>150</v>
      </c>
      <c r="U313" s="31"/>
      <c r="V313" s="38"/>
      <c r="W313" s="37"/>
      <c r="X313" s="29">
        <v>6.2</v>
      </c>
      <c r="Y313" s="3" t="s">
        <v>52</v>
      </c>
      <c r="Z313" s="2" t="s">
        <v>313</v>
      </c>
      <c r="AA313" s="2"/>
    </row>
    <row r="314" spans="1:27" ht="23.1" customHeight="1" x14ac:dyDescent="0.25">
      <c r="A314" s="20" t="s">
        <v>452</v>
      </c>
      <c r="B314" s="3" t="s">
        <v>137</v>
      </c>
      <c r="C314" s="3">
        <v>16</v>
      </c>
      <c r="D314" s="3" t="s">
        <v>502</v>
      </c>
      <c r="E314" s="1" t="s">
        <v>503</v>
      </c>
      <c r="F314" s="21" t="e">
        <v>#N/A</v>
      </c>
      <c r="G314" s="3" t="s">
        <v>102</v>
      </c>
      <c r="H314" s="3">
        <v>5</v>
      </c>
      <c r="I314" s="3"/>
      <c r="J314" s="3">
        <v>1</v>
      </c>
      <c r="K314" s="3">
        <v>1</v>
      </c>
      <c r="L314" s="23">
        <v>26</v>
      </c>
      <c r="M314" s="23">
        <v>37</v>
      </c>
      <c r="N314" s="24" t="s">
        <v>108</v>
      </c>
      <c r="O314" s="31"/>
      <c r="P314" s="34"/>
      <c r="Q314" s="31"/>
      <c r="R314" s="31"/>
      <c r="S314" s="23"/>
      <c r="T314" s="31"/>
      <c r="U314" s="31"/>
      <c r="V314" s="38"/>
      <c r="W314" s="37">
        <v>4</v>
      </c>
      <c r="X314" s="29">
        <v>4</v>
      </c>
      <c r="Y314" s="3" t="s">
        <v>71</v>
      </c>
      <c r="Z314" s="2" t="s">
        <v>504</v>
      </c>
      <c r="AA314" s="2" t="s">
        <v>193</v>
      </c>
    </row>
    <row r="315" spans="1:27" ht="23.1" customHeight="1" x14ac:dyDescent="0.25">
      <c r="A315" s="20" t="s">
        <v>452</v>
      </c>
      <c r="B315" s="1" t="s">
        <v>137</v>
      </c>
      <c r="C315" s="3">
        <v>9</v>
      </c>
      <c r="D315" s="3" t="s">
        <v>229</v>
      </c>
      <c r="E315" s="1" t="s">
        <v>230</v>
      </c>
      <c r="F315" s="21" t="s">
        <v>230</v>
      </c>
      <c r="G315" s="3" t="s">
        <v>154</v>
      </c>
      <c r="H315" s="3">
        <v>25</v>
      </c>
      <c r="I315" s="2" t="s">
        <v>1894</v>
      </c>
      <c r="J315" s="3">
        <v>4</v>
      </c>
      <c r="K315" s="3">
        <v>5</v>
      </c>
      <c r="L315" s="33">
        <v>26</v>
      </c>
      <c r="M315" s="23">
        <v>5</v>
      </c>
      <c r="N315" s="24" t="s">
        <v>231</v>
      </c>
      <c r="O315" s="25"/>
      <c r="P315" s="31">
        <v>140</v>
      </c>
      <c r="Q315" s="31"/>
      <c r="R315" s="31"/>
      <c r="S315" s="23"/>
      <c r="T315" s="31">
        <v>60</v>
      </c>
      <c r="U315" s="31"/>
      <c r="V315" s="36"/>
      <c r="W315" s="37"/>
      <c r="X315" s="29">
        <v>11.7</v>
      </c>
      <c r="Y315" s="3" t="s">
        <v>23</v>
      </c>
      <c r="Z315" s="2"/>
      <c r="AA315" s="2"/>
    </row>
    <row r="316" spans="1:27" ht="23.1" customHeight="1" x14ac:dyDescent="0.25">
      <c r="A316" s="20" t="s">
        <v>452</v>
      </c>
      <c r="B316" s="1" t="s">
        <v>137</v>
      </c>
      <c r="C316" s="3">
        <v>17</v>
      </c>
      <c r="D316" s="3" t="s">
        <v>352</v>
      </c>
      <c r="E316" s="1" t="s">
        <v>353</v>
      </c>
      <c r="F316" s="21" t="e">
        <v>#N/A</v>
      </c>
      <c r="G316" s="3" t="s">
        <v>300</v>
      </c>
      <c r="H316" s="3">
        <v>20</v>
      </c>
      <c r="I316" s="2" t="s">
        <v>1962</v>
      </c>
      <c r="J316" s="3">
        <v>1</v>
      </c>
      <c r="K316" s="3">
        <v>2</v>
      </c>
      <c r="L316" s="33">
        <v>26</v>
      </c>
      <c r="M316" s="23">
        <v>26</v>
      </c>
      <c r="N316" s="24" t="s">
        <v>505</v>
      </c>
      <c r="O316" s="25"/>
      <c r="P316" s="31">
        <v>60</v>
      </c>
      <c r="Q316" s="31"/>
      <c r="R316" s="31"/>
      <c r="S316" s="23"/>
      <c r="T316" s="31">
        <v>60</v>
      </c>
      <c r="U316" s="31"/>
      <c r="V316" s="36"/>
      <c r="W316" s="37"/>
      <c r="X316" s="29">
        <v>2</v>
      </c>
      <c r="Y316" s="3" t="s">
        <v>14</v>
      </c>
      <c r="Z316" s="2"/>
      <c r="AA316" s="2"/>
    </row>
    <row r="317" spans="1:27" ht="23.1" customHeight="1" x14ac:dyDescent="0.25">
      <c r="A317" s="20" t="s">
        <v>452</v>
      </c>
      <c r="B317" s="1" t="s">
        <v>137</v>
      </c>
      <c r="C317" s="3">
        <v>17</v>
      </c>
      <c r="D317" s="3" t="s">
        <v>352</v>
      </c>
      <c r="E317" s="1" t="s">
        <v>353</v>
      </c>
      <c r="F317" s="21" t="e">
        <v>#N/A</v>
      </c>
      <c r="G317" s="3" t="s">
        <v>300</v>
      </c>
      <c r="H317" s="3">
        <v>25</v>
      </c>
      <c r="I317" s="2" t="s">
        <v>1967</v>
      </c>
      <c r="J317" s="3">
        <v>2</v>
      </c>
      <c r="K317" s="3">
        <v>3</v>
      </c>
      <c r="L317" s="33">
        <v>26</v>
      </c>
      <c r="M317" s="23">
        <v>5</v>
      </c>
      <c r="N317" s="24" t="s">
        <v>355</v>
      </c>
      <c r="O317" s="25"/>
      <c r="P317" s="31">
        <v>290</v>
      </c>
      <c r="Q317" s="31"/>
      <c r="R317" s="31"/>
      <c r="S317" s="23"/>
      <c r="T317" s="31">
        <v>90</v>
      </c>
      <c r="U317" s="31"/>
      <c r="V317" s="36"/>
      <c r="W317" s="37"/>
      <c r="X317" s="29">
        <v>14.5</v>
      </c>
      <c r="Y317" s="3" t="s">
        <v>14</v>
      </c>
      <c r="Z317" s="2"/>
      <c r="AA317" s="2"/>
    </row>
    <row r="318" spans="1:27" ht="23.1" customHeight="1" x14ac:dyDescent="0.25">
      <c r="A318" s="20" t="s">
        <v>452</v>
      </c>
      <c r="B318" s="1" t="s">
        <v>137</v>
      </c>
      <c r="C318" s="3">
        <v>11</v>
      </c>
      <c r="D318" s="3" t="s">
        <v>203</v>
      </c>
      <c r="E318" s="1" t="s">
        <v>317</v>
      </c>
      <c r="F318" s="21" t="s">
        <v>317</v>
      </c>
      <c r="G318" s="3" t="s">
        <v>154</v>
      </c>
      <c r="H318" s="3">
        <v>40</v>
      </c>
      <c r="I318" s="2" t="s">
        <v>1935</v>
      </c>
      <c r="J318" s="3">
        <v>3</v>
      </c>
      <c r="K318" s="3">
        <v>4.5</v>
      </c>
      <c r="L318" s="33">
        <v>26</v>
      </c>
      <c r="M318" s="23">
        <v>23</v>
      </c>
      <c r="N318" s="24" t="s">
        <v>506</v>
      </c>
      <c r="O318" s="25"/>
      <c r="P318" s="31">
        <v>260</v>
      </c>
      <c r="Q318" s="31"/>
      <c r="R318" s="31"/>
      <c r="S318" s="23"/>
      <c r="T318" s="31">
        <v>90</v>
      </c>
      <c r="U318" s="31"/>
      <c r="V318" s="36"/>
      <c r="W318" s="37"/>
      <c r="X318" s="29">
        <v>19.5</v>
      </c>
      <c r="Y318" s="3" t="s">
        <v>71</v>
      </c>
      <c r="Z318" s="2"/>
      <c r="AA318" s="2"/>
    </row>
    <row r="319" spans="1:27" ht="23.1" customHeight="1" x14ac:dyDescent="0.25">
      <c r="A319" s="20" t="s">
        <v>452</v>
      </c>
      <c r="B319" s="1" t="s">
        <v>137</v>
      </c>
      <c r="C319" s="3">
        <v>18</v>
      </c>
      <c r="D319" s="3" t="s">
        <v>205</v>
      </c>
      <c r="E319" s="1" t="s">
        <v>206</v>
      </c>
      <c r="F319" s="21" t="s">
        <v>206</v>
      </c>
      <c r="G319" s="3" t="s">
        <v>123</v>
      </c>
      <c r="H319" s="3">
        <v>35</v>
      </c>
      <c r="I319" s="2" t="s">
        <v>1963</v>
      </c>
      <c r="J319" s="3">
        <v>2</v>
      </c>
      <c r="K319" s="3">
        <v>3</v>
      </c>
      <c r="L319" s="33">
        <v>26</v>
      </c>
      <c r="M319" s="23">
        <v>26</v>
      </c>
      <c r="N319" s="24" t="s">
        <v>507</v>
      </c>
      <c r="O319" s="25"/>
      <c r="P319" s="31">
        <v>360</v>
      </c>
      <c r="Q319" s="31"/>
      <c r="R319" s="31"/>
      <c r="S319" s="23"/>
      <c r="T319" s="31">
        <v>90</v>
      </c>
      <c r="U319" s="31"/>
      <c r="V319" s="36"/>
      <c r="W319" s="37"/>
      <c r="X319" s="29">
        <v>18</v>
      </c>
      <c r="Y319" s="3" t="s">
        <v>14</v>
      </c>
      <c r="Z319" s="2"/>
      <c r="AA319" s="2"/>
    </row>
    <row r="320" spans="1:27" ht="23.1" customHeight="1" x14ac:dyDescent="0.25">
      <c r="A320" s="20" t="s">
        <v>452</v>
      </c>
      <c r="B320" s="1" t="s">
        <v>113</v>
      </c>
      <c r="C320" s="3">
        <v>76</v>
      </c>
      <c r="D320" s="3" t="s">
        <v>349</v>
      </c>
      <c r="E320" s="1" t="s">
        <v>350</v>
      </c>
      <c r="F320" s="21" t="s">
        <v>350</v>
      </c>
      <c r="G320" s="3" t="s">
        <v>154</v>
      </c>
      <c r="H320" s="3">
        <v>15</v>
      </c>
      <c r="I320" s="2" t="s">
        <v>1926</v>
      </c>
      <c r="J320" s="3">
        <v>3</v>
      </c>
      <c r="K320" s="3">
        <v>3</v>
      </c>
      <c r="L320" s="33">
        <v>5</v>
      </c>
      <c r="M320" s="23">
        <v>37</v>
      </c>
      <c r="N320" s="24" t="s">
        <v>412</v>
      </c>
      <c r="O320" s="25"/>
      <c r="P320" s="31">
        <v>90</v>
      </c>
      <c r="Q320" s="31"/>
      <c r="R320" s="31"/>
      <c r="S320" s="23"/>
      <c r="T320" s="31">
        <v>90</v>
      </c>
      <c r="U320" s="31"/>
      <c r="V320" s="36"/>
      <c r="W320" s="37"/>
      <c r="X320" s="29">
        <v>4.5</v>
      </c>
      <c r="Y320" s="3" t="s">
        <v>12</v>
      </c>
      <c r="Z320" s="2"/>
      <c r="AA320" s="2"/>
    </row>
    <row r="321" spans="1:27" ht="23.1" customHeight="1" x14ac:dyDescent="0.25">
      <c r="A321" s="20" t="s">
        <v>452</v>
      </c>
      <c r="B321" s="1" t="s">
        <v>113</v>
      </c>
      <c r="C321" s="3">
        <v>58</v>
      </c>
      <c r="D321" s="3" t="s">
        <v>423</v>
      </c>
      <c r="E321" s="1" t="s">
        <v>424</v>
      </c>
      <c r="F321" s="21" t="s">
        <v>424</v>
      </c>
      <c r="G321" s="3" t="s">
        <v>107</v>
      </c>
      <c r="H321" s="3">
        <v>15</v>
      </c>
      <c r="I321" s="2" t="s">
        <v>1961</v>
      </c>
      <c r="J321" s="3">
        <v>2</v>
      </c>
      <c r="K321" s="3">
        <v>6</v>
      </c>
      <c r="L321" s="33">
        <v>5</v>
      </c>
      <c r="M321" s="23">
        <v>23</v>
      </c>
      <c r="N321" s="24" t="s">
        <v>508</v>
      </c>
      <c r="O321" s="25"/>
      <c r="P321" s="31">
        <v>150</v>
      </c>
      <c r="Q321" s="31"/>
      <c r="R321" s="31"/>
      <c r="S321" s="23"/>
      <c r="T321" s="31">
        <v>100</v>
      </c>
      <c r="U321" s="31"/>
      <c r="V321" s="36"/>
      <c r="W321" s="37"/>
      <c r="X321" s="29">
        <v>15</v>
      </c>
      <c r="Y321" s="3" t="s">
        <v>7</v>
      </c>
      <c r="Z321" s="2"/>
      <c r="AA321" s="2"/>
    </row>
    <row r="322" spans="1:27" ht="23.1" customHeight="1" x14ac:dyDescent="0.25">
      <c r="A322" s="20" t="s">
        <v>452</v>
      </c>
      <c r="B322" s="1" t="s">
        <v>113</v>
      </c>
      <c r="C322" s="3">
        <v>57</v>
      </c>
      <c r="D322" s="3" t="s">
        <v>459</v>
      </c>
      <c r="E322" s="1" t="s">
        <v>460</v>
      </c>
      <c r="F322" s="21" t="e">
        <v>#N/A</v>
      </c>
      <c r="G322" s="3" t="s">
        <v>123</v>
      </c>
      <c r="H322" s="3">
        <v>20</v>
      </c>
      <c r="I322" s="2" t="s">
        <v>1960</v>
      </c>
      <c r="J322" s="3">
        <v>4</v>
      </c>
      <c r="K322" s="3">
        <v>5</v>
      </c>
      <c r="L322" s="33">
        <v>23</v>
      </c>
      <c r="M322" s="23">
        <v>23</v>
      </c>
      <c r="N322" s="24" t="s">
        <v>509</v>
      </c>
      <c r="O322" s="25"/>
      <c r="P322" s="31">
        <v>120</v>
      </c>
      <c r="Q322" s="31"/>
      <c r="R322" s="31"/>
      <c r="S322" s="23"/>
      <c r="T322" s="31">
        <v>60</v>
      </c>
      <c r="U322" s="31"/>
      <c r="V322" s="36"/>
      <c r="W322" s="37"/>
      <c r="X322" s="29">
        <v>10</v>
      </c>
      <c r="Y322" s="3" t="s">
        <v>7</v>
      </c>
      <c r="Z322" s="2"/>
      <c r="AA322" s="2"/>
    </row>
    <row r="323" spans="1:27" ht="23.1" customHeight="1" x14ac:dyDescent="0.25">
      <c r="A323" s="20" t="s">
        <v>452</v>
      </c>
      <c r="B323" s="1" t="s">
        <v>113</v>
      </c>
      <c r="C323" s="3">
        <v>76</v>
      </c>
      <c r="D323" s="3" t="s">
        <v>349</v>
      </c>
      <c r="E323" s="1" t="s">
        <v>350</v>
      </c>
      <c r="F323" s="21" t="s">
        <v>350</v>
      </c>
      <c r="G323" s="3" t="s">
        <v>154</v>
      </c>
      <c r="H323" s="3">
        <v>15</v>
      </c>
      <c r="I323" s="2" t="s">
        <v>1926</v>
      </c>
      <c r="J323" s="3">
        <v>7</v>
      </c>
      <c r="K323" s="3">
        <v>7</v>
      </c>
      <c r="L323" s="33">
        <v>26</v>
      </c>
      <c r="M323" s="23">
        <v>5</v>
      </c>
      <c r="N323" s="24" t="s">
        <v>330</v>
      </c>
      <c r="O323" s="25"/>
      <c r="P323" s="31">
        <v>90</v>
      </c>
      <c r="Q323" s="31"/>
      <c r="R323" s="31"/>
      <c r="S323" s="23"/>
      <c r="T323" s="31">
        <v>90</v>
      </c>
      <c r="U323" s="31"/>
      <c r="V323" s="36"/>
      <c r="W323" s="37"/>
      <c r="X323" s="29">
        <v>10.5</v>
      </c>
      <c r="Y323" s="3" t="s">
        <v>12</v>
      </c>
      <c r="Z323" s="2"/>
      <c r="AA323" s="2"/>
    </row>
    <row r="324" spans="1:27" ht="23.1" customHeight="1" x14ac:dyDescent="0.25">
      <c r="A324" s="20" t="s">
        <v>452</v>
      </c>
      <c r="B324" s="1" t="s">
        <v>113</v>
      </c>
      <c r="C324" s="3">
        <v>14</v>
      </c>
      <c r="D324" s="3" t="s">
        <v>276</v>
      </c>
      <c r="E324" s="1" t="s">
        <v>277</v>
      </c>
      <c r="F324" s="21" t="s">
        <v>277</v>
      </c>
      <c r="G324" s="3" t="s">
        <v>154</v>
      </c>
      <c r="H324" s="3">
        <v>50</v>
      </c>
      <c r="I324" s="2" t="s">
        <v>1899</v>
      </c>
      <c r="J324" s="3">
        <v>0.2</v>
      </c>
      <c r="K324" s="3">
        <v>0.1</v>
      </c>
      <c r="L324" s="33"/>
      <c r="M324" s="23">
        <v>37</v>
      </c>
      <c r="N324" s="24" t="s">
        <v>234</v>
      </c>
      <c r="O324" s="25"/>
      <c r="P324" s="31">
        <v>2640</v>
      </c>
      <c r="Q324" s="31"/>
      <c r="R324" s="31"/>
      <c r="S324" s="23"/>
      <c r="T324" s="31">
        <v>90</v>
      </c>
      <c r="U324" s="31"/>
      <c r="V324" s="36"/>
      <c r="W324" s="37"/>
      <c r="X324" s="29">
        <v>4.4000000000000004</v>
      </c>
      <c r="Y324" s="3" t="s">
        <v>60</v>
      </c>
      <c r="Z324" s="2"/>
      <c r="AA324" s="2"/>
    </row>
    <row r="325" spans="1:27" ht="23.1" customHeight="1" x14ac:dyDescent="0.25">
      <c r="A325" s="20" t="s">
        <v>452</v>
      </c>
      <c r="B325" s="1" t="s">
        <v>113</v>
      </c>
      <c r="C325" s="3">
        <v>14</v>
      </c>
      <c r="D325" s="3" t="s">
        <v>235</v>
      </c>
      <c r="E325" s="1" t="s">
        <v>236</v>
      </c>
      <c r="F325" s="21" t="s">
        <v>236</v>
      </c>
      <c r="G325" s="3" t="s">
        <v>154</v>
      </c>
      <c r="H325" s="3">
        <v>60</v>
      </c>
      <c r="I325" s="2" t="s">
        <v>1968</v>
      </c>
      <c r="J325" s="3">
        <v>1</v>
      </c>
      <c r="K325" s="3">
        <v>1</v>
      </c>
      <c r="L325" s="33"/>
      <c r="M325" s="23">
        <v>37</v>
      </c>
      <c r="N325" s="24" t="s">
        <v>159</v>
      </c>
      <c r="O325" s="25"/>
      <c r="P325" s="31">
        <v>660</v>
      </c>
      <c r="Q325" s="31"/>
      <c r="R325" s="31"/>
      <c r="S325" s="23"/>
      <c r="T325" s="31">
        <v>90</v>
      </c>
      <c r="U325" s="31"/>
      <c r="V325" s="36">
        <v>1</v>
      </c>
      <c r="W325" s="37"/>
      <c r="X325" s="29">
        <v>12.5</v>
      </c>
      <c r="Y325" s="3" t="s">
        <v>60</v>
      </c>
      <c r="Z325" s="2" t="s">
        <v>92</v>
      </c>
      <c r="AA325" s="2"/>
    </row>
    <row r="326" spans="1:27" ht="23.1" customHeight="1" x14ac:dyDescent="0.25">
      <c r="A326" s="20" t="s">
        <v>452</v>
      </c>
      <c r="B326" s="1" t="s">
        <v>113</v>
      </c>
      <c r="C326" s="3">
        <v>14</v>
      </c>
      <c r="D326" s="3" t="s">
        <v>276</v>
      </c>
      <c r="E326" s="1" t="s">
        <v>277</v>
      </c>
      <c r="F326" s="21" t="s">
        <v>277</v>
      </c>
      <c r="G326" s="3" t="s">
        <v>154</v>
      </c>
      <c r="H326" s="3">
        <v>60</v>
      </c>
      <c r="I326" s="2" t="s">
        <v>1968</v>
      </c>
      <c r="J326" s="3">
        <v>1</v>
      </c>
      <c r="K326" s="3">
        <v>1</v>
      </c>
      <c r="L326" s="33"/>
      <c r="M326" s="23">
        <v>5</v>
      </c>
      <c r="N326" s="24" t="s">
        <v>234</v>
      </c>
      <c r="O326" s="25"/>
      <c r="P326" s="31">
        <v>660</v>
      </c>
      <c r="Q326" s="31"/>
      <c r="R326" s="31"/>
      <c r="S326" s="23"/>
      <c r="T326" s="31">
        <v>90</v>
      </c>
      <c r="U326" s="31"/>
      <c r="V326" s="36">
        <v>1</v>
      </c>
      <c r="W326" s="37"/>
      <c r="X326" s="29">
        <v>12.5</v>
      </c>
      <c r="Y326" s="3" t="s">
        <v>60</v>
      </c>
      <c r="Z326" s="2" t="s">
        <v>92</v>
      </c>
      <c r="AA326" s="2"/>
    </row>
    <row r="327" spans="1:27" ht="23.1" customHeight="1" x14ac:dyDescent="0.25">
      <c r="A327" s="20" t="s">
        <v>452</v>
      </c>
      <c r="B327" s="1" t="s">
        <v>113</v>
      </c>
      <c r="C327" s="3">
        <v>15</v>
      </c>
      <c r="D327" s="3" t="s">
        <v>217</v>
      </c>
      <c r="E327" s="1" t="s">
        <v>218</v>
      </c>
      <c r="F327" s="21" t="s">
        <v>218</v>
      </c>
      <c r="G327" s="3" t="s">
        <v>107</v>
      </c>
      <c r="H327" s="3">
        <v>45</v>
      </c>
      <c r="I327" s="2" t="s">
        <v>1927</v>
      </c>
      <c r="J327" s="3">
        <v>2</v>
      </c>
      <c r="K327" s="3">
        <v>3</v>
      </c>
      <c r="L327" s="33">
        <v>5</v>
      </c>
      <c r="M327" s="23">
        <v>5</v>
      </c>
      <c r="N327" s="24" t="s">
        <v>219</v>
      </c>
      <c r="O327" s="25"/>
      <c r="P327" s="31">
        <v>420</v>
      </c>
      <c r="Q327" s="31"/>
      <c r="R327" s="31"/>
      <c r="S327" s="23"/>
      <c r="T327" s="31">
        <v>90</v>
      </c>
      <c r="U327" s="31"/>
      <c r="V327" s="36"/>
      <c r="W327" s="37"/>
      <c r="X327" s="29">
        <v>21</v>
      </c>
      <c r="Y327" s="3" t="s">
        <v>60</v>
      </c>
      <c r="Z327" s="2"/>
      <c r="AA327" s="2"/>
    </row>
    <row r="328" spans="1:27" ht="23.1" customHeight="1" x14ac:dyDescent="0.25">
      <c r="A328" s="20" t="s">
        <v>452</v>
      </c>
      <c r="B328" s="1" t="s">
        <v>113</v>
      </c>
      <c r="C328" s="3">
        <v>21</v>
      </c>
      <c r="D328" s="3" t="s">
        <v>321</v>
      </c>
      <c r="E328" s="1" t="s">
        <v>322</v>
      </c>
      <c r="F328" s="21" t="s">
        <v>322</v>
      </c>
      <c r="G328" s="3" t="s">
        <v>323</v>
      </c>
      <c r="H328" s="3">
        <v>5</v>
      </c>
      <c r="I328" s="2" t="s">
        <v>1945</v>
      </c>
      <c r="J328" s="3">
        <v>2</v>
      </c>
      <c r="K328" s="3">
        <v>2</v>
      </c>
      <c r="L328" s="33">
        <v>5</v>
      </c>
      <c r="M328" s="23">
        <v>5</v>
      </c>
      <c r="N328" s="24" t="s">
        <v>510</v>
      </c>
      <c r="O328" s="25"/>
      <c r="P328" s="31">
        <v>540</v>
      </c>
      <c r="Q328" s="31">
        <v>120</v>
      </c>
      <c r="R328" s="31"/>
      <c r="S328" s="23">
        <v>2</v>
      </c>
      <c r="T328" s="31">
        <v>180</v>
      </c>
      <c r="U328" s="31"/>
      <c r="V328" s="36"/>
      <c r="W328" s="37"/>
      <c r="X328" s="29">
        <v>22</v>
      </c>
      <c r="Y328" s="3" t="s">
        <v>49</v>
      </c>
      <c r="Z328" s="2" t="s">
        <v>147</v>
      </c>
      <c r="AA328" s="2"/>
    </row>
    <row r="329" spans="1:27" ht="23.1" customHeight="1" x14ac:dyDescent="0.25">
      <c r="A329" s="20" t="s">
        <v>452</v>
      </c>
      <c r="B329" s="1" t="s">
        <v>113</v>
      </c>
      <c r="C329" s="3">
        <v>22</v>
      </c>
      <c r="D329" s="3" t="s">
        <v>111</v>
      </c>
      <c r="E329" s="1" t="s">
        <v>101</v>
      </c>
      <c r="F329" s="21" t="s">
        <v>101</v>
      </c>
      <c r="G329" s="3" t="s">
        <v>102</v>
      </c>
      <c r="H329" s="3">
        <v>40</v>
      </c>
      <c r="I329" s="2" t="s">
        <v>1969</v>
      </c>
      <c r="J329" s="3">
        <v>1</v>
      </c>
      <c r="K329" s="3">
        <v>1</v>
      </c>
      <c r="L329" s="33"/>
      <c r="M329" s="23">
        <v>37</v>
      </c>
      <c r="N329" s="24" t="s">
        <v>103</v>
      </c>
      <c r="O329" s="25"/>
      <c r="P329" s="31">
        <v>960</v>
      </c>
      <c r="Q329" s="31">
        <v>180</v>
      </c>
      <c r="R329" s="31"/>
      <c r="S329" s="23">
        <v>1</v>
      </c>
      <c r="T329" s="31">
        <v>180</v>
      </c>
      <c r="U329" s="31"/>
      <c r="V329" s="36">
        <v>1</v>
      </c>
      <c r="W329" s="37"/>
      <c r="X329" s="29">
        <v>22</v>
      </c>
      <c r="Y329" s="3" t="s">
        <v>49</v>
      </c>
      <c r="Z329" s="2" t="s">
        <v>407</v>
      </c>
      <c r="AA329" s="2"/>
    </row>
    <row r="330" spans="1:27" ht="23.1" customHeight="1" x14ac:dyDescent="0.25">
      <c r="A330" s="20" t="s">
        <v>452</v>
      </c>
      <c r="B330" s="1" t="s">
        <v>113</v>
      </c>
      <c r="C330" s="3">
        <v>59</v>
      </c>
      <c r="D330" s="3" t="s">
        <v>408</v>
      </c>
      <c r="E330" s="1" t="s">
        <v>409</v>
      </c>
      <c r="F330" s="21" t="s">
        <v>409</v>
      </c>
      <c r="G330" s="3" t="s">
        <v>107</v>
      </c>
      <c r="H330" s="3">
        <v>10</v>
      </c>
      <c r="I330" s="2" t="s">
        <v>1942</v>
      </c>
      <c r="J330" s="3"/>
      <c r="K330" s="3">
        <v>16</v>
      </c>
      <c r="L330" s="33">
        <v>28</v>
      </c>
      <c r="M330" s="23">
        <v>28</v>
      </c>
      <c r="N330" s="24" t="s">
        <v>393</v>
      </c>
      <c r="O330" s="25"/>
      <c r="P330" s="31">
        <v>30</v>
      </c>
      <c r="Q330" s="31"/>
      <c r="R330" s="31"/>
      <c r="S330" s="23"/>
      <c r="T330" s="31">
        <v>60</v>
      </c>
      <c r="U330" s="31"/>
      <c r="V330" s="36"/>
      <c r="W330" s="37"/>
      <c r="X330" s="29">
        <v>8</v>
      </c>
      <c r="Y330" s="64" t="s">
        <v>1847</v>
      </c>
      <c r="Z330" s="2"/>
      <c r="AA330" s="2"/>
    </row>
    <row r="331" spans="1:27" ht="23.1" customHeight="1" x14ac:dyDescent="0.25">
      <c r="A331" s="20" t="s">
        <v>452</v>
      </c>
      <c r="B331" s="1" t="s">
        <v>113</v>
      </c>
      <c r="C331" s="3">
        <v>59</v>
      </c>
      <c r="D331" s="3" t="s">
        <v>408</v>
      </c>
      <c r="E331" s="1" t="s">
        <v>511</v>
      </c>
      <c r="F331" s="21" t="s">
        <v>409</v>
      </c>
      <c r="G331" s="3" t="s">
        <v>108</v>
      </c>
      <c r="H331" s="3">
        <v>10</v>
      </c>
      <c r="I331" s="2"/>
      <c r="J331" s="3">
        <v>1</v>
      </c>
      <c r="K331" s="3">
        <v>1</v>
      </c>
      <c r="L331" s="33"/>
      <c r="M331" s="23"/>
      <c r="N331" s="24" t="s">
        <v>108</v>
      </c>
      <c r="O331" s="25">
        <v>60</v>
      </c>
      <c r="P331" s="31"/>
      <c r="Q331" s="31"/>
      <c r="R331" s="31"/>
      <c r="S331" s="23"/>
      <c r="T331" s="31"/>
      <c r="U331" s="31"/>
      <c r="V331" s="36"/>
      <c r="W331" s="37">
        <v>2</v>
      </c>
      <c r="X331" s="32">
        <v>3</v>
      </c>
      <c r="Y331" s="64" t="s">
        <v>1847</v>
      </c>
      <c r="Z331" s="2" t="s">
        <v>512</v>
      </c>
      <c r="AA331" s="1" t="s">
        <v>238</v>
      </c>
    </row>
    <row r="332" spans="1:27" ht="23.1" customHeight="1" x14ac:dyDescent="0.25">
      <c r="A332" s="20" t="s">
        <v>452</v>
      </c>
      <c r="B332" s="1" t="s">
        <v>113</v>
      </c>
      <c r="C332" s="3">
        <v>9</v>
      </c>
      <c r="D332" s="3" t="s">
        <v>229</v>
      </c>
      <c r="E332" s="1" t="s">
        <v>230</v>
      </c>
      <c r="F332" s="21" t="s">
        <v>230</v>
      </c>
      <c r="G332" s="3" t="s">
        <v>154</v>
      </c>
      <c r="H332" s="3">
        <v>25</v>
      </c>
      <c r="I332" s="2" t="s">
        <v>1894</v>
      </c>
      <c r="J332" s="3">
        <v>4</v>
      </c>
      <c r="K332" s="3">
        <v>6</v>
      </c>
      <c r="L332" s="33">
        <v>5</v>
      </c>
      <c r="M332" s="23">
        <v>26</v>
      </c>
      <c r="N332" s="24" t="s">
        <v>263</v>
      </c>
      <c r="O332" s="25"/>
      <c r="P332" s="31">
        <v>140</v>
      </c>
      <c r="Q332" s="31"/>
      <c r="R332" s="31"/>
      <c r="S332" s="23"/>
      <c r="T332" s="31">
        <v>60</v>
      </c>
      <c r="U332" s="31"/>
      <c r="V332" s="36"/>
      <c r="W332" s="37"/>
      <c r="X332" s="29">
        <v>14</v>
      </c>
      <c r="Y332" s="3" t="s">
        <v>30</v>
      </c>
      <c r="Z332" s="2"/>
      <c r="AA332" s="2"/>
    </row>
    <row r="333" spans="1:27" ht="23.1" customHeight="1" x14ac:dyDescent="0.25">
      <c r="A333" s="20" t="s">
        <v>452</v>
      </c>
      <c r="B333" s="1" t="s">
        <v>113</v>
      </c>
      <c r="C333" s="3">
        <v>10</v>
      </c>
      <c r="D333" s="3" t="s">
        <v>513</v>
      </c>
      <c r="E333" s="1" t="s">
        <v>389</v>
      </c>
      <c r="F333" s="21" t="s">
        <v>389</v>
      </c>
      <c r="G333" s="3" t="s">
        <v>118</v>
      </c>
      <c r="H333" s="3">
        <v>8</v>
      </c>
      <c r="I333" s="2"/>
      <c r="J333" s="3">
        <v>20</v>
      </c>
      <c r="K333" s="3">
        <v>30</v>
      </c>
      <c r="L333" s="33">
        <v>37</v>
      </c>
      <c r="M333" s="23">
        <v>37</v>
      </c>
      <c r="N333" s="24" t="s">
        <v>514</v>
      </c>
      <c r="O333" s="25">
        <v>40</v>
      </c>
      <c r="P333" s="31"/>
      <c r="Q333" s="31"/>
      <c r="R333" s="31"/>
      <c r="S333" s="23"/>
      <c r="T333" s="31"/>
      <c r="U333" s="31"/>
      <c r="V333" s="36"/>
      <c r="W333" s="37"/>
      <c r="X333" s="32">
        <v>20</v>
      </c>
      <c r="Y333" s="3" t="s">
        <v>30</v>
      </c>
      <c r="Z333" s="2"/>
      <c r="AA333" s="2"/>
    </row>
    <row r="334" spans="1:27" ht="23.1" customHeight="1" x14ac:dyDescent="0.25">
      <c r="A334" s="20" t="s">
        <v>452</v>
      </c>
      <c r="B334" s="1" t="s">
        <v>113</v>
      </c>
      <c r="C334" s="3">
        <v>10</v>
      </c>
      <c r="D334" s="3" t="s">
        <v>388</v>
      </c>
      <c r="E334" s="1" t="s">
        <v>389</v>
      </c>
      <c r="F334" s="21" t="s">
        <v>389</v>
      </c>
      <c r="G334" s="3" t="s">
        <v>300</v>
      </c>
      <c r="H334" s="3">
        <v>8</v>
      </c>
      <c r="I334" s="2"/>
      <c r="J334" s="3"/>
      <c r="K334" s="3">
        <v>6</v>
      </c>
      <c r="L334" s="33">
        <v>37</v>
      </c>
      <c r="M334" s="23">
        <v>37</v>
      </c>
      <c r="N334" s="24" t="s">
        <v>351</v>
      </c>
      <c r="O334" s="25">
        <v>40</v>
      </c>
      <c r="P334" s="31"/>
      <c r="Q334" s="31"/>
      <c r="R334" s="31"/>
      <c r="S334" s="23"/>
      <c r="T334" s="31"/>
      <c r="U334" s="31"/>
      <c r="V334" s="36"/>
      <c r="W334" s="37"/>
      <c r="X334" s="32">
        <v>4</v>
      </c>
      <c r="Y334" s="3" t="s">
        <v>30</v>
      </c>
      <c r="Z334" s="2"/>
      <c r="AA334" s="2"/>
    </row>
    <row r="335" spans="1:27" ht="23.1" customHeight="1" x14ac:dyDescent="0.25">
      <c r="A335" s="20" t="s">
        <v>452</v>
      </c>
      <c r="B335" s="1" t="s">
        <v>113</v>
      </c>
      <c r="C335" s="3">
        <v>24</v>
      </c>
      <c r="D335" s="3" t="s">
        <v>392</v>
      </c>
      <c r="E335" s="1" t="s">
        <v>259</v>
      </c>
      <c r="F335" s="21" t="s">
        <v>979</v>
      </c>
      <c r="G335" s="3" t="s">
        <v>118</v>
      </c>
      <c r="H335" s="3">
        <v>50</v>
      </c>
      <c r="I335" s="2" t="s">
        <v>1965</v>
      </c>
      <c r="J335" s="3">
        <v>0.2</v>
      </c>
      <c r="K335" s="3">
        <v>0.3</v>
      </c>
      <c r="L335" s="33"/>
      <c r="M335" s="23">
        <v>0.3</v>
      </c>
      <c r="N335" s="24" t="s">
        <v>515</v>
      </c>
      <c r="O335" s="25"/>
      <c r="P335" s="31">
        <v>1960</v>
      </c>
      <c r="Q335" s="31">
        <v>120</v>
      </c>
      <c r="R335" s="31"/>
      <c r="S335" s="23">
        <v>1</v>
      </c>
      <c r="T335" s="31">
        <v>180</v>
      </c>
      <c r="U335" s="31"/>
      <c r="V335" s="36"/>
      <c r="W335" s="37"/>
      <c r="X335" s="29">
        <v>11.8</v>
      </c>
      <c r="Y335" s="3" t="s">
        <v>69</v>
      </c>
      <c r="Z335" s="2" t="s">
        <v>145</v>
      </c>
      <c r="AA335" s="2"/>
    </row>
    <row r="336" spans="1:27" ht="23.1" customHeight="1" x14ac:dyDescent="0.25">
      <c r="A336" s="20" t="s">
        <v>452</v>
      </c>
      <c r="B336" s="1" t="s">
        <v>113</v>
      </c>
      <c r="C336" s="3">
        <v>69</v>
      </c>
      <c r="D336" s="3" t="s">
        <v>495</v>
      </c>
      <c r="E336" s="1" t="s">
        <v>267</v>
      </c>
      <c r="F336" s="21" t="s">
        <v>267</v>
      </c>
      <c r="G336" s="3" t="s">
        <v>118</v>
      </c>
      <c r="H336" s="3">
        <v>50</v>
      </c>
      <c r="I336" s="2" t="s">
        <v>1909</v>
      </c>
      <c r="J336" s="3">
        <v>3</v>
      </c>
      <c r="K336" s="3">
        <v>3</v>
      </c>
      <c r="L336" s="33">
        <v>5</v>
      </c>
      <c r="M336" s="23">
        <v>5</v>
      </c>
      <c r="N336" s="24" t="s">
        <v>429</v>
      </c>
      <c r="O336" s="25"/>
      <c r="P336" s="31">
        <v>240</v>
      </c>
      <c r="Q336" s="31">
        <v>90</v>
      </c>
      <c r="R336" s="31"/>
      <c r="S336" s="23">
        <v>3</v>
      </c>
      <c r="T336" s="31">
        <v>180</v>
      </c>
      <c r="U336" s="31"/>
      <c r="V336" s="36"/>
      <c r="W336" s="37">
        <v>3</v>
      </c>
      <c r="X336" s="29">
        <v>19.5</v>
      </c>
      <c r="Y336" s="3" t="s">
        <v>69</v>
      </c>
      <c r="Z336" s="2" t="s">
        <v>428</v>
      </c>
      <c r="AA336" s="2"/>
    </row>
    <row r="337" spans="1:27" ht="23.1" customHeight="1" x14ac:dyDescent="0.25">
      <c r="A337" s="20" t="s">
        <v>452</v>
      </c>
      <c r="B337" s="1" t="s">
        <v>113</v>
      </c>
      <c r="C337" s="3">
        <v>91</v>
      </c>
      <c r="D337" s="3" t="s">
        <v>484</v>
      </c>
      <c r="E337" s="1" t="s">
        <v>485</v>
      </c>
      <c r="F337" s="21" t="s">
        <v>485</v>
      </c>
      <c r="G337" s="3" t="s">
        <v>300</v>
      </c>
      <c r="H337" s="3">
        <v>30</v>
      </c>
      <c r="I337" s="2" t="s">
        <v>1921</v>
      </c>
      <c r="J337" s="3">
        <v>1</v>
      </c>
      <c r="K337" s="3">
        <v>0.9</v>
      </c>
      <c r="L337" s="33"/>
      <c r="M337" s="23">
        <v>28</v>
      </c>
      <c r="N337" s="24" t="s">
        <v>222</v>
      </c>
      <c r="O337" s="25"/>
      <c r="P337" s="31">
        <v>960</v>
      </c>
      <c r="Q337" s="31">
        <v>120</v>
      </c>
      <c r="R337" s="31"/>
      <c r="S337" s="23">
        <v>1</v>
      </c>
      <c r="T337" s="31">
        <v>180</v>
      </c>
      <c r="U337" s="31"/>
      <c r="V337" s="36"/>
      <c r="W337" s="37"/>
      <c r="X337" s="29">
        <v>16.399999999999999</v>
      </c>
      <c r="Y337" s="3" t="s">
        <v>69</v>
      </c>
      <c r="Z337" s="2" t="s">
        <v>145</v>
      </c>
      <c r="AA337" s="2"/>
    </row>
    <row r="338" spans="1:27" ht="23.1" customHeight="1" x14ac:dyDescent="0.25">
      <c r="A338" s="20" t="s">
        <v>452</v>
      </c>
      <c r="B338" s="1" t="s">
        <v>113</v>
      </c>
      <c r="C338" s="3">
        <v>84</v>
      </c>
      <c r="D338" s="3" t="s">
        <v>478</v>
      </c>
      <c r="E338" s="1" t="s">
        <v>479</v>
      </c>
      <c r="F338" s="21" t="s">
        <v>2550</v>
      </c>
      <c r="G338" s="3" t="s">
        <v>154</v>
      </c>
      <c r="H338" s="3">
        <v>25</v>
      </c>
      <c r="I338" s="2" t="s">
        <v>1938</v>
      </c>
      <c r="J338" s="3">
        <v>7</v>
      </c>
      <c r="K338" s="3">
        <v>7</v>
      </c>
      <c r="L338" s="33">
        <v>5</v>
      </c>
      <c r="M338" s="23">
        <v>5</v>
      </c>
      <c r="N338" s="24" t="s">
        <v>247</v>
      </c>
      <c r="O338" s="25"/>
      <c r="P338" s="31">
        <v>60</v>
      </c>
      <c r="Q338" s="31">
        <v>60</v>
      </c>
      <c r="R338" s="31"/>
      <c r="S338" s="23">
        <v>7</v>
      </c>
      <c r="T338" s="31">
        <v>120</v>
      </c>
      <c r="U338" s="31"/>
      <c r="V338" s="36"/>
      <c r="W338" s="37">
        <v>3</v>
      </c>
      <c r="X338" s="29">
        <v>17</v>
      </c>
      <c r="Y338" s="3" t="s">
        <v>69</v>
      </c>
      <c r="Z338" s="2" t="s">
        <v>516</v>
      </c>
      <c r="AA338" s="2"/>
    </row>
    <row r="339" spans="1:27" ht="23.1" customHeight="1" x14ac:dyDescent="0.25">
      <c r="A339" s="20" t="s">
        <v>452</v>
      </c>
      <c r="B339" s="1" t="s">
        <v>113</v>
      </c>
      <c r="C339" s="3">
        <v>84</v>
      </c>
      <c r="D339" s="3" t="s">
        <v>517</v>
      </c>
      <c r="E339" s="1" t="s">
        <v>518</v>
      </c>
      <c r="F339" s="21" t="s">
        <v>518</v>
      </c>
      <c r="G339" s="3" t="s">
        <v>250</v>
      </c>
      <c r="H339" s="3">
        <v>25</v>
      </c>
      <c r="I339" s="2" t="s">
        <v>1970</v>
      </c>
      <c r="J339" s="3">
        <v>1</v>
      </c>
      <c r="K339" s="3">
        <v>1</v>
      </c>
      <c r="L339" s="33">
        <v>23</v>
      </c>
      <c r="M339" s="23"/>
      <c r="N339" s="24" t="s">
        <v>519</v>
      </c>
      <c r="O339" s="25"/>
      <c r="P339" s="31">
        <v>40</v>
      </c>
      <c r="Q339" s="31"/>
      <c r="R339" s="31"/>
      <c r="S339" s="23">
        <v>1</v>
      </c>
      <c r="T339" s="31">
        <v>90</v>
      </c>
      <c r="U339" s="31"/>
      <c r="V339" s="36">
        <v>1</v>
      </c>
      <c r="W339" s="37"/>
      <c r="X339" s="29">
        <v>2.2000000000000002</v>
      </c>
      <c r="Y339" s="3" t="s">
        <v>69</v>
      </c>
      <c r="Z339" s="2" t="s">
        <v>328</v>
      </c>
      <c r="AA339" s="2"/>
    </row>
    <row r="340" spans="1:27" ht="23.1" customHeight="1" x14ac:dyDescent="0.25">
      <c r="A340" s="20" t="s">
        <v>452</v>
      </c>
      <c r="B340" s="1" t="s">
        <v>113</v>
      </c>
      <c r="C340" s="3">
        <v>119</v>
      </c>
      <c r="D340" s="3" t="s">
        <v>498</v>
      </c>
      <c r="E340" s="1" t="s">
        <v>499</v>
      </c>
      <c r="F340" s="21" t="s">
        <v>499</v>
      </c>
      <c r="G340" s="3" t="s">
        <v>300</v>
      </c>
      <c r="H340" s="3">
        <v>70</v>
      </c>
      <c r="I340" s="2" t="s">
        <v>1966</v>
      </c>
      <c r="J340" s="3">
        <v>4</v>
      </c>
      <c r="K340" s="3">
        <v>4</v>
      </c>
      <c r="L340" s="33">
        <v>5</v>
      </c>
      <c r="M340" s="23">
        <v>5</v>
      </c>
      <c r="N340" s="24" t="s">
        <v>520</v>
      </c>
      <c r="O340" s="25"/>
      <c r="P340" s="31">
        <v>30</v>
      </c>
      <c r="Q340" s="31">
        <v>90</v>
      </c>
      <c r="R340" s="31"/>
      <c r="S340" s="23">
        <v>4</v>
      </c>
      <c r="T340" s="31">
        <v>180</v>
      </c>
      <c r="U340" s="31"/>
      <c r="V340" s="36">
        <v>1</v>
      </c>
      <c r="W340" s="37"/>
      <c r="X340" s="29">
        <v>11</v>
      </c>
      <c r="Y340" s="3" t="s">
        <v>69</v>
      </c>
      <c r="Z340" s="2" t="s">
        <v>521</v>
      </c>
      <c r="AA340" s="2"/>
    </row>
    <row r="341" spans="1:27" ht="23.1" customHeight="1" x14ac:dyDescent="0.25">
      <c r="A341" s="20" t="s">
        <v>452</v>
      </c>
      <c r="B341" s="1" t="s">
        <v>113</v>
      </c>
      <c r="C341" s="3">
        <v>23</v>
      </c>
      <c r="D341" s="3" t="s">
        <v>288</v>
      </c>
      <c r="E341" s="1" t="s">
        <v>255</v>
      </c>
      <c r="F341" s="21" t="s">
        <v>1532</v>
      </c>
      <c r="G341" s="3" t="s">
        <v>250</v>
      </c>
      <c r="H341" s="3">
        <v>45</v>
      </c>
      <c r="I341" s="2" t="s">
        <v>1919</v>
      </c>
      <c r="J341" s="3">
        <v>0.4</v>
      </c>
      <c r="K341" s="3">
        <v>0.4</v>
      </c>
      <c r="L341" s="33">
        <v>5</v>
      </c>
      <c r="M341" s="23">
        <v>5</v>
      </c>
      <c r="N341" s="24" t="s">
        <v>476</v>
      </c>
      <c r="O341" s="25"/>
      <c r="P341" s="31">
        <v>660</v>
      </c>
      <c r="Q341" s="31">
        <v>90</v>
      </c>
      <c r="R341" s="31"/>
      <c r="S341" s="23"/>
      <c r="T341" s="31">
        <v>120</v>
      </c>
      <c r="U341" s="31"/>
      <c r="V341" s="36"/>
      <c r="W341" s="37">
        <v>3</v>
      </c>
      <c r="X341" s="29">
        <v>7.4</v>
      </c>
      <c r="Y341" s="3" t="s">
        <v>22</v>
      </c>
      <c r="Z341" s="2" t="s">
        <v>522</v>
      </c>
      <c r="AA341" s="2"/>
    </row>
    <row r="342" spans="1:27" ht="23.1" customHeight="1" x14ac:dyDescent="0.25">
      <c r="A342" s="20" t="s">
        <v>452</v>
      </c>
      <c r="B342" s="1" t="s">
        <v>113</v>
      </c>
      <c r="C342" s="3">
        <v>23</v>
      </c>
      <c r="D342" s="3" t="s">
        <v>254</v>
      </c>
      <c r="E342" s="1" t="s">
        <v>255</v>
      </c>
      <c r="F342" s="21" t="s">
        <v>1016</v>
      </c>
      <c r="G342" s="3" t="s">
        <v>375</v>
      </c>
      <c r="H342" s="3">
        <v>37</v>
      </c>
      <c r="I342" s="2"/>
      <c r="J342" s="3">
        <v>0.5</v>
      </c>
      <c r="K342" s="3">
        <v>0.55000000000000004</v>
      </c>
      <c r="L342" s="33"/>
      <c r="M342" s="23">
        <v>31</v>
      </c>
      <c r="N342" s="24" t="s">
        <v>155</v>
      </c>
      <c r="O342" s="25">
        <v>660</v>
      </c>
      <c r="P342" s="31"/>
      <c r="Q342" s="31"/>
      <c r="R342" s="31">
        <v>90</v>
      </c>
      <c r="S342" s="23">
        <v>1</v>
      </c>
      <c r="T342" s="31"/>
      <c r="U342" s="31">
        <v>60</v>
      </c>
      <c r="V342" s="36">
        <v>1</v>
      </c>
      <c r="W342" s="37">
        <v>3</v>
      </c>
      <c r="X342" s="32">
        <v>11.6</v>
      </c>
      <c r="Y342" s="3" t="s">
        <v>22</v>
      </c>
      <c r="Z342" s="2" t="s">
        <v>523</v>
      </c>
      <c r="AA342" s="2"/>
    </row>
    <row r="343" spans="1:27" ht="23.1" customHeight="1" x14ac:dyDescent="0.25">
      <c r="A343" s="20" t="s">
        <v>452</v>
      </c>
      <c r="B343" s="1" t="s">
        <v>113</v>
      </c>
      <c r="C343" s="3">
        <v>47</v>
      </c>
      <c r="D343" s="3" t="s">
        <v>332</v>
      </c>
      <c r="E343" s="1" t="s">
        <v>333</v>
      </c>
      <c r="F343" s="21" t="s">
        <v>2548</v>
      </c>
      <c r="G343" s="3" t="s">
        <v>334</v>
      </c>
      <c r="H343" s="3">
        <v>20</v>
      </c>
      <c r="I343" s="2" t="s">
        <v>1959</v>
      </c>
      <c r="J343" s="3">
        <v>1.2</v>
      </c>
      <c r="K343" s="3">
        <v>1.35</v>
      </c>
      <c r="L343" s="33">
        <v>5</v>
      </c>
      <c r="M343" s="23">
        <v>23</v>
      </c>
      <c r="N343" s="24" t="s">
        <v>335</v>
      </c>
      <c r="O343" s="25"/>
      <c r="P343" s="31">
        <v>720</v>
      </c>
      <c r="Q343" s="31">
        <v>90</v>
      </c>
      <c r="R343" s="31"/>
      <c r="S343" s="23">
        <v>1</v>
      </c>
      <c r="T343" s="31">
        <v>120</v>
      </c>
      <c r="U343" s="31"/>
      <c r="V343" s="36"/>
      <c r="W343" s="37"/>
      <c r="X343" s="29">
        <v>17.7</v>
      </c>
      <c r="Y343" s="3" t="s">
        <v>22</v>
      </c>
      <c r="Z343" s="2" t="s">
        <v>145</v>
      </c>
      <c r="AA343" s="2"/>
    </row>
    <row r="344" spans="1:27" ht="23.1" customHeight="1" x14ac:dyDescent="0.25">
      <c r="A344" s="20" t="s">
        <v>452</v>
      </c>
      <c r="B344" s="1" t="s">
        <v>113</v>
      </c>
      <c r="C344" s="3">
        <v>79</v>
      </c>
      <c r="D344" s="3" t="s">
        <v>152</v>
      </c>
      <c r="E344" s="1" t="s">
        <v>153</v>
      </c>
      <c r="F344" s="21" t="s">
        <v>1247</v>
      </c>
      <c r="G344" s="3" t="s">
        <v>154</v>
      </c>
      <c r="H344" s="3">
        <v>20</v>
      </c>
      <c r="I344" s="2" t="s">
        <v>1948</v>
      </c>
      <c r="J344" s="3"/>
      <c r="K344" s="3">
        <v>0.3</v>
      </c>
      <c r="L344" s="33">
        <v>5</v>
      </c>
      <c r="M344" s="23"/>
      <c r="N344" s="24" t="s">
        <v>470</v>
      </c>
      <c r="O344" s="25"/>
      <c r="P344" s="31">
        <v>660</v>
      </c>
      <c r="Q344" s="31">
        <v>90</v>
      </c>
      <c r="R344" s="31"/>
      <c r="S344" s="23">
        <v>1</v>
      </c>
      <c r="T344" s="31">
        <v>120</v>
      </c>
      <c r="U344" s="31"/>
      <c r="V344" s="36">
        <v>1</v>
      </c>
      <c r="W344" s="37">
        <v>2</v>
      </c>
      <c r="X344" s="29">
        <v>8.8000000000000007</v>
      </c>
      <c r="Y344" s="3" t="s">
        <v>5</v>
      </c>
      <c r="Z344" s="2" t="s">
        <v>524</v>
      </c>
      <c r="AA344" s="1" t="s">
        <v>238</v>
      </c>
    </row>
    <row r="345" spans="1:27" ht="23.1" customHeight="1" x14ac:dyDescent="0.25">
      <c r="A345" s="20" t="s">
        <v>452</v>
      </c>
      <c r="B345" s="1" t="s">
        <v>113</v>
      </c>
      <c r="C345" s="3">
        <v>107</v>
      </c>
      <c r="D345" s="3" t="s">
        <v>308</v>
      </c>
      <c r="E345" s="1" t="s">
        <v>309</v>
      </c>
      <c r="F345" s="21" t="s">
        <v>309</v>
      </c>
      <c r="G345" s="3" t="s">
        <v>102</v>
      </c>
      <c r="H345" s="3">
        <v>80</v>
      </c>
      <c r="I345" s="2" t="s">
        <v>1964</v>
      </c>
      <c r="J345" s="3"/>
      <c r="K345" s="3">
        <v>1</v>
      </c>
      <c r="L345" s="33">
        <v>26</v>
      </c>
      <c r="M345" s="23">
        <v>26</v>
      </c>
      <c r="N345" s="24" t="s">
        <v>234</v>
      </c>
      <c r="O345" s="25"/>
      <c r="P345" s="31">
        <v>360</v>
      </c>
      <c r="Q345" s="31"/>
      <c r="R345" s="31"/>
      <c r="S345" s="23">
        <v>1</v>
      </c>
      <c r="T345" s="31">
        <v>120</v>
      </c>
      <c r="U345" s="31"/>
      <c r="V345" s="36">
        <v>1</v>
      </c>
      <c r="W345" s="37"/>
      <c r="X345" s="29">
        <v>8</v>
      </c>
      <c r="Y345" s="3" t="s">
        <v>13</v>
      </c>
      <c r="Z345" s="2" t="s">
        <v>525</v>
      </c>
      <c r="AA345" s="2"/>
    </row>
    <row r="346" spans="1:27" ht="23.1" customHeight="1" x14ac:dyDescent="0.25">
      <c r="A346" s="20" t="s">
        <v>452</v>
      </c>
      <c r="B346" s="1" t="s">
        <v>113</v>
      </c>
      <c r="C346" s="3">
        <v>18</v>
      </c>
      <c r="D346" s="3" t="s">
        <v>205</v>
      </c>
      <c r="E346" s="1" t="s">
        <v>206</v>
      </c>
      <c r="F346" s="21" t="s">
        <v>206</v>
      </c>
      <c r="G346" s="3" t="s">
        <v>123</v>
      </c>
      <c r="H346" s="3">
        <v>40</v>
      </c>
      <c r="I346" s="2" t="s">
        <v>1971</v>
      </c>
      <c r="J346" s="3">
        <v>1</v>
      </c>
      <c r="K346" s="3">
        <v>3</v>
      </c>
      <c r="L346" s="33">
        <v>5</v>
      </c>
      <c r="M346" s="23"/>
      <c r="N346" s="24" t="s">
        <v>474</v>
      </c>
      <c r="O346" s="25"/>
      <c r="P346" s="31">
        <v>360</v>
      </c>
      <c r="Q346" s="31"/>
      <c r="R346" s="31"/>
      <c r="S346" s="23"/>
      <c r="T346" s="31">
        <v>120</v>
      </c>
      <c r="U346" s="31"/>
      <c r="V346" s="36"/>
      <c r="W346" s="37"/>
      <c r="X346" s="29">
        <v>18</v>
      </c>
      <c r="Y346" s="3" t="s">
        <v>16</v>
      </c>
      <c r="Z346" s="2"/>
      <c r="AA346" s="2"/>
    </row>
    <row r="347" spans="1:27" ht="23.1" customHeight="1" x14ac:dyDescent="0.25">
      <c r="A347" s="20" t="s">
        <v>452</v>
      </c>
      <c r="B347" s="1" t="s">
        <v>113</v>
      </c>
      <c r="C347" s="3">
        <v>11</v>
      </c>
      <c r="D347" s="3" t="s">
        <v>203</v>
      </c>
      <c r="E347" s="1" t="s">
        <v>317</v>
      </c>
      <c r="F347" s="21" t="s">
        <v>317</v>
      </c>
      <c r="G347" s="3" t="s">
        <v>154</v>
      </c>
      <c r="H347" s="3">
        <v>40</v>
      </c>
      <c r="I347" s="2" t="s">
        <v>1935</v>
      </c>
      <c r="J347" s="3">
        <v>3</v>
      </c>
      <c r="K347" s="3">
        <v>0.5</v>
      </c>
      <c r="L347" s="33"/>
      <c r="M347" s="23">
        <v>23</v>
      </c>
      <c r="N347" s="24" t="s">
        <v>168</v>
      </c>
      <c r="O347" s="34"/>
      <c r="P347" s="31">
        <v>260</v>
      </c>
      <c r="Q347" s="31"/>
      <c r="R347" s="31"/>
      <c r="S347" s="23"/>
      <c r="T347" s="31">
        <v>90</v>
      </c>
      <c r="U347" s="31"/>
      <c r="V347" s="36"/>
      <c r="W347" s="37"/>
      <c r="X347" s="29">
        <v>2.2000000000000002</v>
      </c>
      <c r="Y347" s="3" t="s">
        <v>63</v>
      </c>
      <c r="Z347" s="2"/>
      <c r="AA347" s="2"/>
    </row>
    <row r="348" spans="1:27" ht="23.1" customHeight="1" x14ac:dyDescent="0.25">
      <c r="A348" s="20" t="s">
        <v>452</v>
      </c>
      <c r="B348" s="1" t="s">
        <v>113</v>
      </c>
      <c r="C348" s="3">
        <v>11</v>
      </c>
      <c r="D348" s="3" t="s">
        <v>200</v>
      </c>
      <c r="E348" s="1" t="s">
        <v>317</v>
      </c>
      <c r="F348" s="21" t="s">
        <v>317</v>
      </c>
      <c r="G348" s="3" t="s">
        <v>154</v>
      </c>
      <c r="H348" s="3">
        <v>40</v>
      </c>
      <c r="I348" s="3" t="s">
        <v>1935</v>
      </c>
      <c r="J348" s="2"/>
      <c r="K348" s="3">
        <v>4</v>
      </c>
      <c r="L348" s="23">
        <v>5</v>
      </c>
      <c r="M348" s="23">
        <v>26</v>
      </c>
      <c r="N348" s="24" t="s">
        <v>526</v>
      </c>
      <c r="O348" s="34"/>
      <c r="P348" s="31">
        <v>260</v>
      </c>
      <c r="Q348" s="31"/>
      <c r="R348" s="31"/>
      <c r="S348" s="23"/>
      <c r="T348" s="31">
        <v>90</v>
      </c>
      <c r="U348" s="31"/>
      <c r="V348" s="36"/>
      <c r="W348" s="37"/>
      <c r="X348" s="29">
        <v>17.3</v>
      </c>
      <c r="Y348" s="3" t="s">
        <v>63</v>
      </c>
      <c r="Z348" s="2"/>
      <c r="AA348" s="2"/>
    </row>
    <row r="349" spans="1:27" ht="23.1" customHeight="1" x14ac:dyDescent="0.25">
      <c r="A349" s="20" t="s">
        <v>452</v>
      </c>
      <c r="B349" s="1" t="s">
        <v>113</v>
      </c>
      <c r="C349" s="3">
        <v>16</v>
      </c>
      <c r="D349" s="3" t="s">
        <v>449</v>
      </c>
      <c r="E349" s="1" t="s">
        <v>317</v>
      </c>
      <c r="F349" s="21" t="s">
        <v>317</v>
      </c>
      <c r="G349" s="3" t="s">
        <v>154</v>
      </c>
      <c r="H349" s="3">
        <v>5</v>
      </c>
      <c r="I349" s="2" t="s">
        <v>1957</v>
      </c>
      <c r="J349" s="3">
        <v>2</v>
      </c>
      <c r="K349" s="3">
        <v>2</v>
      </c>
      <c r="L349" s="33"/>
      <c r="M349" s="23">
        <v>23</v>
      </c>
      <c r="N349" s="24" t="s">
        <v>438</v>
      </c>
      <c r="O349" s="34"/>
      <c r="P349" s="31">
        <v>90</v>
      </c>
      <c r="Q349" s="31"/>
      <c r="R349" s="31"/>
      <c r="S349" s="23"/>
      <c r="T349" s="31">
        <v>60</v>
      </c>
      <c r="U349" s="31"/>
      <c r="V349" s="36"/>
      <c r="W349" s="37"/>
      <c r="X349" s="29">
        <v>3</v>
      </c>
      <c r="Y349" s="3" t="s">
        <v>63</v>
      </c>
      <c r="Z349" s="2"/>
      <c r="AA349" s="2"/>
    </row>
    <row r="350" spans="1:27" ht="23.1" customHeight="1" x14ac:dyDescent="0.25">
      <c r="A350" s="20" t="s">
        <v>452</v>
      </c>
      <c r="B350" s="1" t="s">
        <v>113</v>
      </c>
      <c r="C350" s="3">
        <v>16</v>
      </c>
      <c r="D350" s="3" t="s">
        <v>449</v>
      </c>
      <c r="E350" s="1" t="s">
        <v>317</v>
      </c>
      <c r="F350" s="21" t="s">
        <v>317</v>
      </c>
      <c r="G350" s="3" t="s">
        <v>154</v>
      </c>
      <c r="H350" s="3">
        <v>15</v>
      </c>
      <c r="I350" s="2" t="s">
        <v>1972</v>
      </c>
      <c r="J350" s="3">
        <v>2</v>
      </c>
      <c r="K350" s="3">
        <v>1.7</v>
      </c>
      <c r="L350" s="23">
        <v>26</v>
      </c>
      <c r="M350" s="23">
        <v>26</v>
      </c>
      <c r="N350" s="24" t="s">
        <v>438</v>
      </c>
      <c r="O350" s="34"/>
      <c r="P350" s="31">
        <v>240</v>
      </c>
      <c r="Q350" s="31"/>
      <c r="R350" s="31"/>
      <c r="S350" s="23"/>
      <c r="T350" s="31">
        <v>90</v>
      </c>
      <c r="U350" s="31"/>
      <c r="V350" s="36"/>
      <c r="W350" s="37"/>
      <c r="X350" s="29">
        <v>6.8</v>
      </c>
      <c r="Y350" s="3" t="s">
        <v>63</v>
      </c>
      <c r="Z350" s="2"/>
      <c r="AA350" s="2"/>
    </row>
    <row r="351" spans="1:27" ht="23.1" customHeight="1" x14ac:dyDescent="0.25">
      <c r="A351" s="20" t="s">
        <v>452</v>
      </c>
      <c r="B351" s="1" t="s">
        <v>113</v>
      </c>
      <c r="C351" s="3">
        <v>17</v>
      </c>
      <c r="D351" s="3" t="s">
        <v>352</v>
      </c>
      <c r="E351" s="1" t="s">
        <v>353</v>
      </c>
      <c r="F351" s="21" t="e">
        <v>#N/A</v>
      </c>
      <c r="G351" s="3" t="s">
        <v>300</v>
      </c>
      <c r="H351" s="3">
        <v>25</v>
      </c>
      <c r="I351" s="2" t="s">
        <v>1967</v>
      </c>
      <c r="J351" s="3">
        <v>3</v>
      </c>
      <c r="K351" s="3">
        <v>3</v>
      </c>
      <c r="L351" s="23">
        <v>5</v>
      </c>
      <c r="M351" s="23">
        <v>5</v>
      </c>
      <c r="N351" s="24" t="s">
        <v>527</v>
      </c>
      <c r="O351" s="34"/>
      <c r="P351" s="31">
        <v>290</v>
      </c>
      <c r="Q351" s="31"/>
      <c r="R351" s="31"/>
      <c r="S351" s="23"/>
      <c r="T351" s="31">
        <v>90</v>
      </c>
      <c r="U351" s="31"/>
      <c r="V351" s="36"/>
      <c r="W351" s="37"/>
      <c r="X351" s="29">
        <v>14.5</v>
      </c>
      <c r="Y351" s="3" t="s">
        <v>16</v>
      </c>
      <c r="Z351" s="2"/>
      <c r="AA351" s="2"/>
    </row>
    <row r="352" spans="1:27" ht="23.1" customHeight="1" x14ac:dyDescent="0.25">
      <c r="A352" s="20" t="s">
        <v>452</v>
      </c>
      <c r="B352" s="1" t="s">
        <v>113</v>
      </c>
      <c r="C352" s="3">
        <v>79</v>
      </c>
      <c r="D352" s="3" t="s">
        <v>420</v>
      </c>
      <c r="E352" s="1" t="s">
        <v>153</v>
      </c>
      <c r="F352" s="21" t="s">
        <v>1247</v>
      </c>
      <c r="G352" s="3" t="s">
        <v>154</v>
      </c>
      <c r="H352" s="3">
        <v>20</v>
      </c>
      <c r="I352" s="2" t="s">
        <v>1948</v>
      </c>
      <c r="J352" s="3">
        <v>1.5</v>
      </c>
      <c r="K352" s="3">
        <v>1.9</v>
      </c>
      <c r="L352" s="23">
        <v>26</v>
      </c>
      <c r="M352" s="23">
        <v>5</v>
      </c>
      <c r="N352" s="24" t="s">
        <v>528</v>
      </c>
      <c r="O352" s="34"/>
      <c r="P352" s="31">
        <v>660</v>
      </c>
      <c r="Q352" s="31">
        <v>90</v>
      </c>
      <c r="R352" s="31"/>
      <c r="S352" s="23">
        <v>1</v>
      </c>
      <c r="T352" s="31">
        <v>120</v>
      </c>
      <c r="U352" s="31"/>
      <c r="V352" s="36"/>
      <c r="W352" s="37"/>
      <c r="X352" s="29">
        <v>22.4</v>
      </c>
      <c r="Y352" s="3" t="s">
        <v>5</v>
      </c>
      <c r="Z352" s="2" t="s">
        <v>145</v>
      </c>
      <c r="AA352" s="2"/>
    </row>
    <row r="353" spans="1:27" ht="23.1" customHeight="1" x14ac:dyDescent="0.25">
      <c r="A353" s="20" t="s">
        <v>452</v>
      </c>
      <c r="B353" s="1" t="s">
        <v>113</v>
      </c>
      <c r="C353" s="3">
        <v>77</v>
      </c>
      <c r="D353" s="3" t="s">
        <v>211</v>
      </c>
      <c r="E353" s="1" t="s">
        <v>212</v>
      </c>
      <c r="F353" s="21" t="s">
        <v>212</v>
      </c>
      <c r="G353" s="3" t="s">
        <v>123</v>
      </c>
      <c r="H353" s="3">
        <v>15</v>
      </c>
      <c r="I353" s="2" t="s">
        <v>1893</v>
      </c>
      <c r="J353" s="3">
        <v>8</v>
      </c>
      <c r="K353" s="3">
        <v>9</v>
      </c>
      <c r="L353" s="33"/>
      <c r="M353" s="23">
        <v>23</v>
      </c>
      <c r="N353" s="24" t="s">
        <v>213</v>
      </c>
      <c r="O353" s="25">
        <v>100</v>
      </c>
      <c r="P353" s="31">
        <v>60</v>
      </c>
      <c r="Q353" s="31"/>
      <c r="R353" s="31"/>
      <c r="S353" s="23"/>
      <c r="T353" s="31">
        <v>90</v>
      </c>
      <c r="U353" s="31"/>
      <c r="V353" s="36"/>
      <c r="W353" s="37"/>
      <c r="X353" s="32">
        <v>15</v>
      </c>
      <c r="Y353" s="3" t="s">
        <v>24</v>
      </c>
      <c r="Z353" s="2" t="s">
        <v>529</v>
      </c>
      <c r="AA353" s="2"/>
    </row>
    <row r="354" spans="1:27" ht="23.1" customHeight="1" x14ac:dyDescent="0.25">
      <c r="A354" s="20" t="s">
        <v>452</v>
      </c>
      <c r="B354" s="1" t="s">
        <v>113</v>
      </c>
      <c r="C354" s="3">
        <v>55</v>
      </c>
      <c r="D354" s="3" t="s">
        <v>415</v>
      </c>
      <c r="E354" s="1" t="s">
        <v>416</v>
      </c>
      <c r="F354" s="21" t="s">
        <v>416</v>
      </c>
      <c r="G354" s="3" t="s">
        <v>154</v>
      </c>
      <c r="H354" s="3">
        <v>15</v>
      </c>
      <c r="I354" s="2" t="s">
        <v>1946</v>
      </c>
      <c r="J354" s="3">
        <v>18</v>
      </c>
      <c r="K354" s="3">
        <v>20</v>
      </c>
      <c r="L354" s="23">
        <v>5</v>
      </c>
      <c r="M354" s="23">
        <v>5</v>
      </c>
      <c r="N354" s="24" t="s">
        <v>530</v>
      </c>
      <c r="O354" s="34"/>
      <c r="P354" s="31">
        <v>45</v>
      </c>
      <c r="Q354" s="31"/>
      <c r="R354" s="31"/>
      <c r="S354" s="23"/>
      <c r="T354" s="31">
        <v>60</v>
      </c>
      <c r="U354" s="31"/>
      <c r="V354" s="36"/>
      <c r="W354" s="37"/>
      <c r="X354" s="29">
        <v>15</v>
      </c>
      <c r="Y354" s="3" t="s">
        <v>18</v>
      </c>
      <c r="Z354" s="2"/>
      <c r="AA354" s="2"/>
    </row>
    <row r="355" spans="1:27" ht="23.1" customHeight="1" x14ac:dyDescent="0.25">
      <c r="A355" s="20" t="s">
        <v>452</v>
      </c>
      <c r="B355" s="1" t="s">
        <v>113</v>
      </c>
      <c r="C355" s="3">
        <v>56</v>
      </c>
      <c r="D355" s="3" t="s">
        <v>273</v>
      </c>
      <c r="E355" s="1" t="s">
        <v>274</v>
      </c>
      <c r="F355" s="21" t="s">
        <v>274</v>
      </c>
      <c r="G355" s="3" t="s">
        <v>123</v>
      </c>
      <c r="H355" s="3">
        <v>15</v>
      </c>
      <c r="I355" s="2" t="s">
        <v>1947</v>
      </c>
      <c r="J355" s="3">
        <v>10</v>
      </c>
      <c r="K355" s="3">
        <v>12</v>
      </c>
      <c r="L355" s="23">
        <v>37</v>
      </c>
      <c r="M355" s="23">
        <v>37</v>
      </c>
      <c r="N355" s="24" t="s">
        <v>307</v>
      </c>
      <c r="O355" s="34"/>
      <c r="P355" s="31">
        <v>60</v>
      </c>
      <c r="Q355" s="31"/>
      <c r="R355" s="31"/>
      <c r="S355" s="23"/>
      <c r="T355" s="31">
        <v>60</v>
      </c>
      <c r="U355" s="31"/>
      <c r="V355" s="36"/>
      <c r="W355" s="37"/>
      <c r="X355" s="29">
        <v>12</v>
      </c>
      <c r="Y355" s="3" t="s">
        <v>18</v>
      </c>
      <c r="Z355" s="2"/>
      <c r="AA355" s="2"/>
    </row>
    <row r="356" spans="1:27" ht="23.1" customHeight="1" x14ac:dyDescent="0.25">
      <c r="A356" s="20" t="s">
        <v>452</v>
      </c>
      <c r="B356" s="1" t="s">
        <v>113</v>
      </c>
      <c r="C356" s="3">
        <v>107</v>
      </c>
      <c r="D356" s="3" t="s">
        <v>232</v>
      </c>
      <c r="E356" s="1" t="s">
        <v>233</v>
      </c>
      <c r="F356" s="21" t="s">
        <v>233</v>
      </c>
      <c r="G356" s="3" t="s">
        <v>102</v>
      </c>
      <c r="H356" s="3">
        <v>80</v>
      </c>
      <c r="I356" s="2" t="s">
        <v>1964</v>
      </c>
      <c r="J356" s="3">
        <v>1.5</v>
      </c>
      <c r="K356" s="3">
        <v>1</v>
      </c>
      <c r="L356" s="33"/>
      <c r="M356" s="23">
        <v>23</v>
      </c>
      <c r="N356" s="24" t="s">
        <v>234</v>
      </c>
      <c r="O356" s="34"/>
      <c r="P356" s="31">
        <v>360</v>
      </c>
      <c r="Q356" s="31"/>
      <c r="R356" s="31"/>
      <c r="S356" s="23">
        <v>1</v>
      </c>
      <c r="T356" s="31">
        <v>120</v>
      </c>
      <c r="U356" s="31"/>
      <c r="V356" s="36"/>
      <c r="W356" s="37"/>
      <c r="X356" s="29">
        <v>6</v>
      </c>
      <c r="Y356" s="3" t="s">
        <v>13</v>
      </c>
      <c r="Z356" s="2" t="s">
        <v>531</v>
      </c>
      <c r="AA356" s="2"/>
    </row>
    <row r="357" spans="1:27" ht="23.1" customHeight="1" x14ac:dyDescent="0.25">
      <c r="A357" s="20" t="s">
        <v>452</v>
      </c>
      <c r="B357" s="1" t="s">
        <v>113</v>
      </c>
      <c r="C357" s="3">
        <v>108</v>
      </c>
      <c r="D357" s="3" t="s">
        <v>173</v>
      </c>
      <c r="E357" s="1" t="s">
        <v>174</v>
      </c>
      <c r="F357" s="21" t="s">
        <v>1246</v>
      </c>
      <c r="G357" s="3" t="s">
        <v>154</v>
      </c>
      <c r="H357" s="3">
        <v>20</v>
      </c>
      <c r="I357" s="2" t="s">
        <v>1950</v>
      </c>
      <c r="J357" s="3">
        <v>1.5</v>
      </c>
      <c r="K357" s="3">
        <v>2</v>
      </c>
      <c r="L357" s="23">
        <v>5</v>
      </c>
      <c r="M357" s="23">
        <v>23</v>
      </c>
      <c r="N357" s="24" t="s">
        <v>532</v>
      </c>
      <c r="O357" s="34"/>
      <c r="P357" s="31">
        <v>510</v>
      </c>
      <c r="Q357" s="31">
        <v>90</v>
      </c>
      <c r="R357" s="31"/>
      <c r="S357" s="23">
        <v>2</v>
      </c>
      <c r="T357" s="31">
        <v>120</v>
      </c>
      <c r="U357" s="31"/>
      <c r="V357" s="36"/>
      <c r="W357" s="37"/>
      <c r="X357" s="29">
        <v>20</v>
      </c>
      <c r="Y357" s="3" t="s">
        <v>13</v>
      </c>
      <c r="Z357" s="2" t="s">
        <v>533</v>
      </c>
      <c r="AA357" s="2"/>
    </row>
    <row r="358" spans="1:27" ht="23.1" customHeight="1" x14ac:dyDescent="0.25">
      <c r="A358" s="20" t="s">
        <v>452</v>
      </c>
      <c r="B358" s="1" t="s">
        <v>113</v>
      </c>
      <c r="C358" s="3">
        <v>78</v>
      </c>
      <c r="D358" s="3" t="s">
        <v>132</v>
      </c>
      <c r="E358" s="1" t="s">
        <v>133</v>
      </c>
      <c r="F358" s="21" t="s">
        <v>133</v>
      </c>
      <c r="G358" s="3" t="s">
        <v>102</v>
      </c>
      <c r="H358" s="3">
        <v>70</v>
      </c>
      <c r="I358" s="2" t="s">
        <v>1951</v>
      </c>
      <c r="J358" s="3">
        <v>0.6</v>
      </c>
      <c r="K358" s="3">
        <v>0.5</v>
      </c>
      <c r="L358" s="33"/>
      <c r="M358" s="23">
        <v>5</v>
      </c>
      <c r="N358" s="24" t="s">
        <v>103</v>
      </c>
      <c r="O358" s="34"/>
      <c r="P358" s="31">
        <v>540</v>
      </c>
      <c r="Q358" s="31">
        <v>60</v>
      </c>
      <c r="R358" s="31"/>
      <c r="S358" s="23"/>
      <c r="T358" s="31">
        <v>120</v>
      </c>
      <c r="U358" s="31"/>
      <c r="V358" s="36"/>
      <c r="W358" s="37">
        <v>15.5</v>
      </c>
      <c r="X358" s="29">
        <v>20</v>
      </c>
      <c r="Y358" s="3" t="s">
        <v>5</v>
      </c>
      <c r="Z358" s="2" t="s">
        <v>534</v>
      </c>
      <c r="AA358" s="2" t="s">
        <v>193</v>
      </c>
    </row>
    <row r="359" spans="1:27" ht="23.1" customHeight="1" x14ac:dyDescent="0.25">
      <c r="A359" s="20" t="s">
        <v>452</v>
      </c>
      <c r="B359" s="1" t="s">
        <v>113</v>
      </c>
      <c r="C359" s="3">
        <v>13</v>
      </c>
      <c r="D359" s="3" t="s">
        <v>245</v>
      </c>
      <c r="E359" s="1" t="s">
        <v>246</v>
      </c>
      <c r="F359" s="21" t="s">
        <v>246</v>
      </c>
      <c r="G359" s="3" t="s">
        <v>123</v>
      </c>
      <c r="H359" s="3">
        <v>45</v>
      </c>
      <c r="I359" s="2" t="s">
        <v>1954</v>
      </c>
      <c r="J359" s="3">
        <v>3</v>
      </c>
      <c r="K359" s="3">
        <v>4</v>
      </c>
      <c r="L359" s="23">
        <v>26</v>
      </c>
      <c r="M359" s="23">
        <v>28</v>
      </c>
      <c r="N359" s="24" t="s">
        <v>247</v>
      </c>
      <c r="O359" s="34"/>
      <c r="P359" s="31">
        <v>250</v>
      </c>
      <c r="Q359" s="31"/>
      <c r="R359" s="31"/>
      <c r="S359" s="23"/>
      <c r="T359" s="31">
        <v>90</v>
      </c>
      <c r="U359" s="31"/>
      <c r="V359" s="36"/>
      <c r="W359" s="37"/>
      <c r="X359" s="29">
        <v>16.7</v>
      </c>
      <c r="Y359" s="3" t="s">
        <v>10</v>
      </c>
      <c r="Z359" s="2"/>
      <c r="AA359" s="2"/>
    </row>
    <row r="360" spans="1:27" ht="23.1" customHeight="1" x14ac:dyDescent="0.25">
      <c r="A360" s="20" t="s">
        <v>452</v>
      </c>
      <c r="B360" s="1" t="s">
        <v>113</v>
      </c>
      <c r="C360" s="3">
        <v>12</v>
      </c>
      <c r="D360" s="3" t="s">
        <v>248</v>
      </c>
      <c r="E360" s="1" t="s">
        <v>249</v>
      </c>
      <c r="F360" s="21" t="s">
        <v>249</v>
      </c>
      <c r="G360" s="3" t="s">
        <v>250</v>
      </c>
      <c r="H360" s="3">
        <v>25</v>
      </c>
      <c r="I360" s="2" t="s">
        <v>1923</v>
      </c>
      <c r="J360" s="3">
        <v>0.8</v>
      </c>
      <c r="K360" s="3">
        <v>1</v>
      </c>
      <c r="L360" s="23">
        <v>5</v>
      </c>
      <c r="M360" s="23">
        <v>28</v>
      </c>
      <c r="N360" s="24" t="s">
        <v>535</v>
      </c>
      <c r="O360" s="34"/>
      <c r="P360" s="31">
        <v>1080</v>
      </c>
      <c r="Q360" s="31"/>
      <c r="R360" s="31"/>
      <c r="S360" s="23"/>
      <c r="T360" s="31">
        <v>120</v>
      </c>
      <c r="U360" s="31"/>
      <c r="V360" s="36"/>
      <c r="W360" s="37"/>
      <c r="X360" s="29">
        <v>18</v>
      </c>
      <c r="Y360" s="3" t="s">
        <v>10</v>
      </c>
      <c r="Z360" s="2"/>
      <c r="AA360" s="2"/>
    </row>
    <row r="361" spans="1:27" ht="23.1" customHeight="1" x14ac:dyDescent="0.25">
      <c r="A361" s="20" t="s">
        <v>452</v>
      </c>
      <c r="B361" s="1" t="s">
        <v>113</v>
      </c>
      <c r="C361" s="3">
        <v>9</v>
      </c>
      <c r="D361" s="3" t="s">
        <v>500</v>
      </c>
      <c r="E361" s="1" t="s">
        <v>389</v>
      </c>
      <c r="F361" s="21" t="s">
        <v>389</v>
      </c>
      <c r="G361" s="3" t="s">
        <v>300</v>
      </c>
      <c r="H361" s="3">
        <v>5</v>
      </c>
      <c r="I361" s="3" t="s">
        <v>1973</v>
      </c>
      <c r="J361" s="2"/>
      <c r="K361" s="3">
        <v>60</v>
      </c>
      <c r="L361" s="23">
        <v>37</v>
      </c>
      <c r="M361" s="23">
        <v>37</v>
      </c>
      <c r="N361" s="24" t="s">
        <v>536</v>
      </c>
      <c r="O361" s="34"/>
      <c r="P361" s="31">
        <v>20</v>
      </c>
      <c r="Q361" s="31"/>
      <c r="R361" s="31"/>
      <c r="S361" s="23"/>
      <c r="T361" s="31"/>
      <c r="U361" s="31"/>
      <c r="V361" s="36"/>
      <c r="W361" s="37"/>
      <c r="X361" s="29">
        <v>20</v>
      </c>
      <c r="Y361" s="3" t="s">
        <v>30</v>
      </c>
      <c r="Z361" s="2" t="s">
        <v>537</v>
      </c>
      <c r="AA361" s="2"/>
    </row>
    <row r="362" spans="1:27" ht="23.1" customHeight="1" x14ac:dyDescent="0.25">
      <c r="A362" s="20" t="s">
        <v>452</v>
      </c>
      <c r="B362" s="1" t="s">
        <v>113</v>
      </c>
      <c r="C362" s="3">
        <v>8</v>
      </c>
      <c r="D362" s="3" t="s">
        <v>388</v>
      </c>
      <c r="E362" s="1" t="s">
        <v>389</v>
      </c>
      <c r="F362" s="21" t="s">
        <v>389</v>
      </c>
      <c r="G362" s="3" t="s">
        <v>118</v>
      </c>
      <c r="H362" s="3">
        <v>5</v>
      </c>
      <c r="I362" s="3" t="s">
        <v>1973</v>
      </c>
      <c r="J362" s="23"/>
      <c r="K362" s="23"/>
      <c r="L362" s="33"/>
      <c r="M362" s="33"/>
      <c r="N362" s="24" t="s">
        <v>536</v>
      </c>
      <c r="O362" s="34"/>
      <c r="P362" s="31">
        <v>20</v>
      </c>
      <c r="Q362" s="31"/>
      <c r="R362" s="31"/>
      <c r="S362" s="23"/>
      <c r="T362" s="31"/>
      <c r="U362" s="31"/>
      <c r="V362" s="36"/>
      <c r="W362" s="37"/>
      <c r="X362" s="29">
        <v>0</v>
      </c>
      <c r="Y362" s="3" t="s">
        <v>30</v>
      </c>
      <c r="Z362" s="2" t="s">
        <v>537</v>
      </c>
      <c r="AA362" s="2"/>
    </row>
    <row r="363" spans="1:27" ht="23.1" customHeight="1" x14ac:dyDescent="0.25">
      <c r="A363" s="20" t="s">
        <v>452</v>
      </c>
      <c r="B363" s="1" t="s">
        <v>113</v>
      </c>
      <c r="C363" s="3">
        <v>8</v>
      </c>
      <c r="D363" s="3" t="s">
        <v>513</v>
      </c>
      <c r="E363" s="1" t="s">
        <v>389</v>
      </c>
      <c r="F363" s="21" t="s">
        <v>389</v>
      </c>
      <c r="G363" s="3" t="s">
        <v>118</v>
      </c>
      <c r="H363" s="3">
        <v>5</v>
      </c>
      <c r="I363" s="3" t="s">
        <v>1973</v>
      </c>
      <c r="J363" s="2"/>
      <c r="K363" s="2"/>
      <c r="L363" s="23">
        <v>37</v>
      </c>
      <c r="M363" s="23">
        <v>37</v>
      </c>
      <c r="N363" s="24" t="s">
        <v>536</v>
      </c>
      <c r="O363" s="34"/>
      <c r="P363" s="31">
        <v>20</v>
      </c>
      <c r="Q363" s="31"/>
      <c r="R363" s="31"/>
      <c r="S363" s="23"/>
      <c r="T363" s="31"/>
      <c r="U363" s="31"/>
      <c r="V363" s="36"/>
      <c r="W363" s="37"/>
      <c r="X363" s="29">
        <v>0</v>
      </c>
      <c r="Y363" s="3" t="s">
        <v>30</v>
      </c>
      <c r="Z363" s="2" t="s">
        <v>537</v>
      </c>
      <c r="AA363" s="2"/>
    </row>
    <row r="364" spans="1:27" ht="23.1" customHeight="1" x14ac:dyDescent="0.25">
      <c r="A364" s="20" t="s">
        <v>452</v>
      </c>
      <c r="B364" s="1" t="s">
        <v>113</v>
      </c>
      <c r="C364" s="3">
        <v>10</v>
      </c>
      <c r="D364" s="3" t="s">
        <v>108</v>
      </c>
      <c r="E364" s="1" t="s">
        <v>108</v>
      </c>
      <c r="F364" s="21" t="e">
        <v>#N/A</v>
      </c>
      <c r="G364" s="3" t="s">
        <v>108</v>
      </c>
      <c r="H364" s="3" t="s">
        <v>108</v>
      </c>
      <c r="I364" s="3"/>
      <c r="J364" s="2"/>
      <c r="K364" s="2"/>
      <c r="L364" s="23" t="s">
        <v>108</v>
      </c>
      <c r="M364" s="23" t="s">
        <v>108</v>
      </c>
      <c r="N364" s="24" t="s">
        <v>108</v>
      </c>
      <c r="O364" s="34"/>
      <c r="P364" s="31"/>
      <c r="Q364" s="31"/>
      <c r="R364" s="31"/>
      <c r="S364" s="23"/>
      <c r="T364" s="31"/>
      <c r="U364" s="31"/>
      <c r="V364" s="36"/>
      <c r="W364" s="37">
        <v>2</v>
      </c>
      <c r="X364" s="29">
        <v>2</v>
      </c>
      <c r="Y364" s="3" t="s">
        <v>30</v>
      </c>
      <c r="Z364" s="2" t="s">
        <v>538</v>
      </c>
      <c r="AA364" s="1" t="s">
        <v>238</v>
      </c>
    </row>
    <row r="365" spans="1:27" ht="23.1" customHeight="1" x14ac:dyDescent="0.25">
      <c r="A365" s="20" t="s">
        <v>539</v>
      </c>
      <c r="B365" s="3" t="s">
        <v>99</v>
      </c>
      <c r="C365" s="3">
        <v>17</v>
      </c>
      <c r="D365" s="3" t="s">
        <v>352</v>
      </c>
      <c r="E365" s="1" t="s">
        <v>353</v>
      </c>
      <c r="F365" s="21" t="e">
        <v>#N/A</v>
      </c>
      <c r="G365" s="3" t="s">
        <v>300</v>
      </c>
      <c r="H365" s="3">
        <v>25</v>
      </c>
      <c r="I365" s="2" t="s">
        <v>1967</v>
      </c>
      <c r="J365" s="3">
        <v>2</v>
      </c>
      <c r="K365" s="3">
        <v>2</v>
      </c>
      <c r="L365" s="23">
        <v>5</v>
      </c>
      <c r="M365" s="23">
        <v>5</v>
      </c>
      <c r="N365" s="24" t="s">
        <v>509</v>
      </c>
      <c r="O365" s="34"/>
      <c r="P365" s="31">
        <v>290</v>
      </c>
      <c r="Q365" s="31"/>
      <c r="R365" s="31"/>
      <c r="S365" s="23"/>
      <c r="T365" s="31">
        <v>90</v>
      </c>
      <c r="U365" s="31"/>
      <c r="V365" s="36"/>
      <c r="W365" s="37"/>
      <c r="X365" s="29">
        <v>9.6999999999999993</v>
      </c>
      <c r="Y365" s="3" t="s">
        <v>16</v>
      </c>
      <c r="Z365" s="2"/>
      <c r="AA365" s="2"/>
    </row>
    <row r="366" spans="1:27" ht="23.1" customHeight="1" x14ac:dyDescent="0.25">
      <c r="A366" s="20" t="s">
        <v>539</v>
      </c>
      <c r="B366" s="3" t="s">
        <v>99</v>
      </c>
      <c r="C366" s="3">
        <v>17</v>
      </c>
      <c r="D366" s="3" t="s">
        <v>352</v>
      </c>
      <c r="E366" s="1" t="s">
        <v>353</v>
      </c>
      <c r="F366" s="21" t="e">
        <v>#N/A</v>
      </c>
      <c r="G366" s="3" t="s">
        <v>300</v>
      </c>
      <c r="H366" s="3">
        <v>25</v>
      </c>
      <c r="I366" s="2" t="s">
        <v>1967</v>
      </c>
      <c r="J366" s="3"/>
      <c r="K366" s="3">
        <v>2</v>
      </c>
      <c r="L366" s="23">
        <v>28</v>
      </c>
      <c r="M366" s="23">
        <v>28</v>
      </c>
      <c r="N366" s="24" t="s">
        <v>540</v>
      </c>
      <c r="O366" s="34"/>
      <c r="P366" s="31">
        <v>290</v>
      </c>
      <c r="Q366" s="31"/>
      <c r="R366" s="31"/>
      <c r="S366" s="23"/>
      <c r="T366" s="31">
        <v>90</v>
      </c>
      <c r="U366" s="31"/>
      <c r="V366" s="36"/>
      <c r="W366" s="37"/>
      <c r="X366" s="29">
        <v>9.6999999999999993</v>
      </c>
      <c r="Y366" s="3" t="s">
        <v>43</v>
      </c>
      <c r="Z366" s="2"/>
      <c r="AA366" s="2"/>
    </row>
    <row r="367" spans="1:27" ht="23.1" customHeight="1" x14ac:dyDescent="0.25">
      <c r="A367" s="20" t="s">
        <v>539</v>
      </c>
      <c r="B367" s="3" t="s">
        <v>110</v>
      </c>
      <c r="C367" s="3">
        <v>77</v>
      </c>
      <c r="D367" s="3" t="s">
        <v>541</v>
      </c>
      <c r="E367" s="1" t="s">
        <v>542</v>
      </c>
      <c r="F367" s="21" t="s">
        <v>542</v>
      </c>
      <c r="G367" s="3" t="s">
        <v>154</v>
      </c>
      <c r="H367" s="3">
        <v>10</v>
      </c>
      <c r="I367" s="3" t="s">
        <v>1916</v>
      </c>
      <c r="J367" s="2"/>
      <c r="K367" s="3">
        <v>21</v>
      </c>
      <c r="L367" s="23">
        <v>31</v>
      </c>
      <c r="M367" s="23">
        <v>31</v>
      </c>
      <c r="N367" s="24" t="s">
        <v>251</v>
      </c>
      <c r="O367" s="31"/>
      <c r="P367" s="31">
        <v>30</v>
      </c>
      <c r="Q367" s="31"/>
      <c r="R367" s="31"/>
      <c r="S367" s="23"/>
      <c r="T367" s="31">
        <v>60</v>
      </c>
      <c r="U367" s="31"/>
      <c r="V367" s="36">
        <v>1</v>
      </c>
      <c r="W367" s="37"/>
      <c r="X367" s="29">
        <v>11.5</v>
      </c>
      <c r="Y367" s="3" t="s">
        <v>46</v>
      </c>
      <c r="Z367" s="2" t="s">
        <v>331</v>
      </c>
      <c r="AA367" s="2"/>
    </row>
    <row r="368" spans="1:27" ht="23.1" customHeight="1" x14ac:dyDescent="0.25">
      <c r="A368" s="20" t="s">
        <v>539</v>
      </c>
      <c r="B368" s="3" t="s">
        <v>110</v>
      </c>
      <c r="C368" s="3">
        <v>76</v>
      </c>
      <c r="D368" s="3" t="s">
        <v>543</v>
      </c>
      <c r="E368" s="1" t="s">
        <v>544</v>
      </c>
      <c r="F368" s="21" t="s">
        <v>544</v>
      </c>
      <c r="G368" s="3" t="s">
        <v>154</v>
      </c>
      <c r="H368" s="3">
        <v>10</v>
      </c>
      <c r="I368" s="3" t="s">
        <v>1916</v>
      </c>
      <c r="J368" s="2"/>
      <c r="K368" s="3">
        <v>20</v>
      </c>
      <c r="L368" s="23">
        <v>9</v>
      </c>
      <c r="M368" s="23">
        <v>9</v>
      </c>
      <c r="N368" s="24" t="s">
        <v>463</v>
      </c>
      <c r="O368" s="31"/>
      <c r="P368" s="31">
        <v>30</v>
      </c>
      <c r="Q368" s="31"/>
      <c r="R368" s="31"/>
      <c r="S368" s="23"/>
      <c r="T368" s="31">
        <v>60</v>
      </c>
      <c r="U368" s="31"/>
      <c r="V368" s="36">
        <v>1</v>
      </c>
      <c r="W368" s="37"/>
      <c r="X368" s="29">
        <v>11</v>
      </c>
      <c r="Y368" s="3" t="s">
        <v>46</v>
      </c>
      <c r="Z368" s="2" t="s">
        <v>331</v>
      </c>
      <c r="AA368" s="2"/>
    </row>
    <row r="369" spans="1:27" ht="23.1" customHeight="1" x14ac:dyDescent="0.25">
      <c r="A369" s="20" t="s">
        <v>539</v>
      </c>
      <c r="B369" s="3" t="s">
        <v>137</v>
      </c>
      <c r="C369" s="3">
        <v>58</v>
      </c>
      <c r="D369" s="3" t="s">
        <v>423</v>
      </c>
      <c r="E369" s="1" t="s">
        <v>424</v>
      </c>
      <c r="F369" s="21" t="s">
        <v>424</v>
      </c>
      <c r="G369" s="3" t="s">
        <v>107</v>
      </c>
      <c r="H369" s="3">
        <v>15</v>
      </c>
      <c r="I369" s="2" t="s">
        <v>1961</v>
      </c>
      <c r="J369" s="3">
        <v>1</v>
      </c>
      <c r="K369" s="3">
        <v>1</v>
      </c>
      <c r="L369" s="33"/>
      <c r="M369" s="23">
        <v>37</v>
      </c>
      <c r="N369" s="24" t="s">
        <v>545</v>
      </c>
      <c r="O369" s="31"/>
      <c r="P369" s="31">
        <v>150</v>
      </c>
      <c r="Q369" s="31"/>
      <c r="R369" s="31"/>
      <c r="S369" s="23"/>
      <c r="T369" s="31">
        <v>100</v>
      </c>
      <c r="U369" s="31"/>
      <c r="V369" s="36"/>
      <c r="W369" s="37"/>
      <c r="X369" s="29">
        <v>2.5</v>
      </c>
      <c r="Y369" s="3" t="s">
        <v>57</v>
      </c>
      <c r="Z369" s="2"/>
      <c r="AA369" s="2"/>
    </row>
    <row r="370" spans="1:27" ht="23.1" customHeight="1" x14ac:dyDescent="0.25">
      <c r="A370" s="20" t="s">
        <v>539</v>
      </c>
      <c r="B370" s="3" t="s">
        <v>137</v>
      </c>
      <c r="C370" s="3">
        <v>58</v>
      </c>
      <c r="D370" s="3" t="s">
        <v>423</v>
      </c>
      <c r="E370" s="1" t="s">
        <v>424</v>
      </c>
      <c r="F370" s="21" t="s">
        <v>424</v>
      </c>
      <c r="G370" s="3" t="s">
        <v>107</v>
      </c>
      <c r="H370" s="3">
        <v>20</v>
      </c>
      <c r="I370" s="2" t="s">
        <v>1974</v>
      </c>
      <c r="J370" s="3">
        <v>1</v>
      </c>
      <c r="K370" s="3">
        <v>1</v>
      </c>
      <c r="L370" s="33"/>
      <c r="M370" s="23">
        <v>23</v>
      </c>
      <c r="N370" s="24" t="s">
        <v>545</v>
      </c>
      <c r="O370" s="34"/>
      <c r="P370" s="31">
        <v>90</v>
      </c>
      <c r="Q370" s="31"/>
      <c r="R370" s="31"/>
      <c r="S370" s="23"/>
      <c r="T370" s="31">
        <v>100</v>
      </c>
      <c r="U370" s="31"/>
      <c r="V370" s="36">
        <v>1</v>
      </c>
      <c r="W370" s="37">
        <v>2</v>
      </c>
      <c r="X370" s="29">
        <v>5.2</v>
      </c>
      <c r="Y370" s="3" t="s">
        <v>57</v>
      </c>
      <c r="Z370" s="2" t="s">
        <v>546</v>
      </c>
      <c r="AA370" s="1" t="s">
        <v>238</v>
      </c>
    </row>
    <row r="371" spans="1:27" ht="23.1" customHeight="1" x14ac:dyDescent="0.25">
      <c r="A371" s="20" t="s">
        <v>539</v>
      </c>
      <c r="B371" s="3" t="s">
        <v>137</v>
      </c>
      <c r="C371" s="3">
        <v>59</v>
      </c>
      <c r="D371" s="3" t="s">
        <v>408</v>
      </c>
      <c r="E371" s="1" t="s">
        <v>409</v>
      </c>
      <c r="F371" s="21" t="s">
        <v>409</v>
      </c>
      <c r="G371" s="3" t="s">
        <v>107</v>
      </c>
      <c r="H371" s="3">
        <v>10</v>
      </c>
      <c r="I371" s="3" t="s">
        <v>1942</v>
      </c>
      <c r="J371" s="2"/>
      <c r="K371" s="3">
        <v>4</v>
      </c>
      <c r="L371" s="23">
        <v>5</v>
      </c>
      <c r="M371" s="23">
        <v>5</v>
      </c>
      <c r="N371" s="24" t="s">
        <v>393</v>
      </c>
      <c r="O371" s="31">
        <v>90</v>
      </c>
      <c r="P371" s="31">
        <v>30</v>
      </c>
      <c r="Q371" s="31"/>
      <c r="R371" s="31"/>
      <c r="S371" s="23"/>
      <c r="T371" s="31">
        <v>60</v>
      </c>
      <c r="U371" s="31"/>
      <c r="V371" s="36"/>
      <c r="W371" s="37">
        <v>4</v>
      </c>
      <c r="X371" s="29">
        <v>6</v>
      </c>
      <c r="Y371" s="3" t="s">
        <v>6</v>
      </c>
      <c r="Z371" s="2"/>
      <c r="AA371" s="2"/>
    </row>
    <row r="372" spans="1:27" ht="23.1" customHeight="1" x14ac:dyDescent="0.25">
      <c r="A372" s="20" t="s">
        <v>539</v>
      </c>
      <c r="B372" s="3" t="s">
        <v>137</v>
      </c>
      <c r="C372" s="3">
        <v>10</v>
      </c>
      <c r="D372" s="3" t="s">
        <v>388</v>
      </c>
      <c r="E372" s="1" t="s">
        <v>389</v>
      </c>
      <c r="F372" s="21" t="s">
        <v>389</v>
      </c>
      <c r="G372" s="3" t="s">
        <v>300</v>
      </c>
      <c r="H372" s="3">
        <v>10</v>
      </c>
      <c r="I372" s="3" t="s">
        <v>1941</v>
      </c>
      <c r="J372" s="2"/>
      <c r="K372" s="3">
        <v>3</v>
      </c>
      <c r="L372" s="23">
        <v>26</v>
      </c>
      <c r="M372" s="23">
        <v>28</v>
      </c>
      <c r="N372" s="24" t="s">
        <v>351</v>
      </c>
      <c r="O372" s="34"/>
      <c r="P372" s="31">
        <v>60</v>
      </c>
      <c r="Q372" s="31"/>
      <c r="R372" s="31"/>
      <c r="S372" s="23"/>
      <c r="T372" s="31">
        <v>120</v>
      </c>
      <c r="U372" s="31"/>
      <c r="V372" s="36">
        <v>1</v>
      </c>
      <c r="W372" s="37"/>
      <c r="X372" s="29">
        <v>5</v>
      </c>
      <c r="Y372" s="3" t="s">
        <v>23</v>
      </c>
      <c r="Z372" s="2" t="s">
        <v>547</v>
      </c>
      <c r="AA372" s="2"/>
    </row>
    <row r="373" spans="1:27" ht="23.1" customHeight="1" x14ac:dyDescent="0.25">
      <c r="A373" s="20" t="s">
        <v>539</v>
      </c>
      <c r="B373" s="3" t="s">
        <v>137</v>
      </c>
      <c r="C373" s="3">
        <v>57</v>
      </c>
      <c r="D373" s="3" t="s">
        <v>459</v>
      </c>
      <c r="E373" s="1" t="s">
        <v>460</v>
      </c>
      <c r="F373" s="21" t="e">
        <v>#N/A</v>
      </c>
      <c r="G373" s="3" t="s">
        <v>123</v>
      </c>
      <c r="H373" s="3">
        <v>20</v>
      </c>
      <c r="I373" s="2" t="s">
        <v>1960</v>
      </c>
      <c r="J373" s="3">
        <v>3</v>
      </c>
      <c r="K373" s="3">
        <v>3</v>
      </c>
      <c r="L373" s="33"/>
      <c r="M373" s="23">
        <v>23</v>
      </c>
      <c r="N373" s="24" t="s">
        <v>548</v>
      </c>
      <c r="O373" s="31"/>
      <c r="P373" s="31">
        <v>120</v>
      </c>
      <c r="Q373" s="31"/>
      <c r="R373" s="31"/>
      <c r="S373" s="23"/>
      <c r="T373" s="31">
        <v>60</v>
      </c>
      <c r="U373" s="31"/>
      <c r="V373" s="36"/>
      <c r="W373" s="37"/>
      <c r="X373" s="29">
        <v>6</v>
      </c>
      <c r="Y373" s="3" t="s">
        <v>57</v>
      </c>
      <c r="Z373" s="40"/>
      <c r="AA373" s="2"/>
    </row>
    <row r="374" spans="1:27" ht="23.1" customHeight="1" x14ac:dyDescent="0.25">
      <c r="A374" s="20" t="s">
        <v>539</v>
      </c>
      <c r="B374" s="3" t="s">
        <v>137</v>
      </c>
      <c r="C374" s="3">
        <v>9</v>
      </c>
      <c r="D374" s="3" t="s">
        <v>229</v>
      </c>
      <c r="E374" s="1" t="s">
        <v>230</v>
      </c>
      <c r="F374" s="21" t="s">
        <v>230</v>
      </c>
      <c r="G374" s="3" t="s">
        <v>154</v>
      </c>
      <c r="H374" s="3">
        <v>25</v>
      </c>
      <c r="I374" s="3" t="s">
        <v>1894</v>
      </c>
      <c r="J374" s="2"/>
      <c r="K374" s="3">
        <v>2</v>
      </c>
      <c r="L374" s="33"/>
      <c r="M374" s="23">
        <v>23</v>
      </c>
      <c r="N374" s="24" t="s">
        <v>307</v>
      </c>
      <c r="O374" s="34"/>
      <c r="P374" s="31">
        <v>140</v>
      </c>
      <c r="Q374" s="31"/>
      <c r="R374" s="31"/>
      <c r="S374" s="23"/>
      <c r="T374" s="31">
        <v>60</v>
      </c>
      <c r="U374" s="31"/>
      <c r="V374" s="36"/>
      <c r="W374" s="37"/>
      <c r="X374" s="29">
        <v>4.7</v>
      </c>
      <c r="Y374" s="3" t="s">
        <v>23</v>
      </c>
      <c r="Z374" s="2"/>
      <c r="AA374" s="2"/>
    </row>
    <row r="375" spans="1:27" ht="23.1" customHeight="1" x14ac:dyDescent="0.25">
      <c r="A375" s="20" t="s">
        <v>539</v>
      </c>
      <c r="B375" s="3" t="s">
        <v>137</v>
      </c>
      <c r="C375" s="3">
        <v>17</v>
      </c>
      <c r="D375" s="3" t="s">
        <v>352</v>
      </c>
      <c r="E375" s="1" t="s">
        <v>353</v>
      </c>
      <c r="F375" s="21" t="e">
        <v>#N/A</v>
      </c>
      <c r="G375" s="3" t="s">
        <v>300</v>
      </c>
      <c r="H375" s="3">
        <v>25</v>
      </c>
      <c r="I375" s="3" t="s">
        <v>1967</v>
      </c>
      <c r="J375" s="2"/>
      <c r="K375" s="3">
        <v>2</v>
      </c>
      <c r="L375" s="23">
        <v>5</v>
      </c>
      <c r="M375" s="23">
        <v>5</v>
      </c>
      <c r="N375" s="24" t="s">
        <v>549</v>
      </c>
      <c r="O375" s="34"/>
      <c r="P375" s="31">
        <v>290</v>
      </c>
      <c r="Q375" s="31"/>
      <c r="R375" s="31"/>
      <c r="S375" s="23"/>
      <c r="T375" s="31">
        <v>90</v>
      </c>
      <c r="U375" s="31"/>
      <c r="V375" s="36"/>
      <c r="W375" s="37"/>
      <c r="X375" s="29">
        <v>9.6999999999999993</v>
      </c>
      <c r="Y375" s="3" t="s">
        <v>14</v>
      </c>
      <c r="Z375" s="2"/>
      <c r="AA375" s="2"/>
    </row>
    <row r="376" spans="1:27" ht="23.1" customHeight="1" x14ac:dyDescent="0.25">
      <c r="A376" s="20" t="s">
        <v>539</v>
      </c>
      <c r="B376" s="3" t="s">
        <v>137</v>
      </c>
      <c r="C376" s="3">
        <v>16</v>
      </c>
      <c r="D376" s="3" t="s">
        <v>449</v>
      </c>
      <c r="E376" s="1" t="s">
        <v>317</v>
      </c>
      <c r="F376" s="21" t="s">
        <v>317</v>
      </c>
      <c r="G376" s="3" t="s">
        <v>154</v>
      </c>
      <c r="H376" s="3">
        <v>15</v>
      </c>
      <c r="I376" s="3" t="s">
        <v>1972</v>
      </c>
      <c r="J376" s="2"/>
      <c r="K376" s="3">
        <v>1</v>
      </c>
      <c r="L376" s="33"/>
      <c r="M376" s="23">
        <v>26</v>
      </c>
      <c r="N376" s="24" t="s">
        <v>234</v>
      </c>
      <c r="O376" s="34"/>
      <c r="P376" s="31">
        <v>240</v>
      </c>
      <c r="Q376" s="31"/>
      <c r="R376" s="31"/>
      <c r="S376" s="23"/>
      <c r="T376" s="31">
        <v>90</v>
      </c>
      <c r="U376" s="31"/>
      <c r="V376" s="36"/>
      <c r="W376" s="37"/>
      <c r="X376" s="29">
        <v>4</v>
      </c>
      <c r="Y376" s="3" t="s">
        <v>71</v>
      </c>
      <c r="Z376" s="2"/>
      <c r="AA376" s="2"/>
    </row>
    <row r="377" spans="1:27" ht="23.1" customHeight="1" x14ac:dyDescent="0.25">
      <c r="A377" s="20" t="s">
        <v>539</v>
      </c>
      <c r="B377" s="3" t="s">
        <v>137</v>
      </c>
      <c r="C377" s="3">
        <v>11</v>
      </c>
      <c r="D377" s="3" t="s">
        <v>200</v>
      </c>
      <c r="E377" s="1" t="s">
        <v>317</v>
      </c>
      <c r="F377" s="21" t="s">
        <v>317</v>
      </c>
      <c r="G377" s="3" t="s">
        <v>154</v>
      </c>
      <c r="H377" s="3">
        <v>40</v>
      </c>
      <c r="I377" s="3" t="s">
        <v>1935</v>
      </c>
      <c r="J377" s="2"/>
      <c r="K377" s="3">
        <v>2</v>
      </c>
      <c r="L377" s="23">
        <v>26</v>
      </c>
      <c r="M377" s="23">
        <v>22</v>
      </c>
      <c r="N377" s="24" t="s">
        <v>497</v>
      </c>
      <c r="O377" s="34"/>
      <c r="P377" s="31">
        <v>260</v>
      </c>
      <c r="Q377" s="31"/>
      <c r="R377" s="31"/>
      <c r="S377" s="23"/>
      <c r="T377" s="31">
        <v>90</v>
      </c>
      <c r="U377" s="31"/>
      <c r="V377" s="36"/>
      <c r="W377" s="37"/>
      <c r="X377" s="29">
        <v>8.6999999999999993</v>
      </c>
      <c r="Y377" s="3" t="s">
        <v>71</v>
      </c>
      <c r="Z377" s="2"/>
      <c r="AA377" s="2"/>
    </row>
    <row r="378" spans="1:27" ht="23.1" customHeight="1" x14ac:dyDescent="0.25">
      <c r="A378" s="20" t="s">
        <v>539</v>
      </c>
      <c r="B378" s="3" t="s">
        <v>137</v>
      </c>
      <c r="C378" s="3">
        <v>18</v>
      </c>
      <c r="D378" s="3" t="s">
        <v>205</v>
      </c>
      <c r="E378" s="1" t="s">
        <v>206</v>
      </c>
      <c r="F378" s="21" t="s">
        <v>206</v>
      </c>
      <c r="G378" s="3" t="s">
        <v>123</v>
      </c>
      <c r="H378" s="3">
        <v>40</v>
      </c>
      <c r="I378" s="3" t="s">
        <v>1971</v>
      </c>
      <c r="J378" s="2"/>
      <c r="K378" s="3">
        <v>2</v>
      </c>
      <c r="L378" s="23">
        <v>5</v>
      </c>
      <c r="M378" s="23">
        <v>5</v>
      </c>
      <c r="N378" s="24" t="s">
        <v>550</v>
      </c>
      <c r="O378" s="34"/>
      <c r="P378" s="31">
        <v>360</v>
      </c>
      <c r="Q378" s="31"/>
      <c r="R378" s="31"/>
      <c r="S378" s="23"/>
      <c r="T378" s="31">
        <v>120</v>
      </c>
      <c r="U378" s="31"/>
      <c r="V378" s="36"/>
      <c r="W378" s="37"/>
      <c r="X378" s="29">
        <v>12</v>
      </c>
      <c r="Y378" s="3" t="s">
        <v>14</v>
      </c>
      <c r="Z378" s="2" t="s">
        <v>551</v>
      </c>
      <c r="AA378" s="2"/>
    </row>
    <row r="379" spans="1:27" ht="23.1" customHeight="1" x14ac:dyDescent="0.25">
      <c r="A379" s="20" t="s">
        <v>539</v>
      </c>
      <c r="B379" s="3" t="s">
        <v>113</v>
      </c>
      <c r="C379" s="3">
        <v>76</v>
      </c>
      <c r="D379" s="3" t="s">
        <v>349</v>
      </c>
      <c r="E379" s="1" t="s">
        <v>350</v>
      </c>
      <c r="F379" s="21" t="s">
        <v>350</v>
      </c>
      <c r="G379" s="3" t="s">
        <v>154</v>
      </c>
      <c r="H379" s="3">
        <v>15</v>
      </c>
      <c r="I379" s="2" t="s">
        <v>1926</v>
      </c>
      <c r="J379" s="3">
        <v>7</v>
      </c>
      <c r="K379" s="3">
        <v>7</v>
      </c>
      <c r="L379" s="23">
        <v>5</v>
      </c>
      <c r="M379" s="23">
        <v>37</v>
      </c>
      <c r="N379" s="24" t="s">
        <v>351</v>
      </c>
      <c r="O379" s="34"/>
      <c r="P379" s="31">
        <v>90</v>
      </c>
      <c r="Q379" s="31"/>
      <c r="R379" s="31"/>
      <c r="S379" s="23"/>
      <c r="T379" s="31">
        <v>90</v>
      </c>
      <c r="U379" s="31"/>
      <c r="V379" s="36"/>
      <c r="W379" s="37"/>
      <c r="X379" s="29">
        <v>10.5</v>
      </c>
      <c r="Y379" s="3" t="s">
        <v>12</v>
      </c>
      <c r="Z379" s="2"/>
      <c r="AA379" s="2"/>
    </row>
    <row r="380" spans="1:27" ht="23.1" customHeight="1" x14ac:dyDescent="0.25">
      <c r="A380" s="20" t="s">
        <v>539</v>
      </c>
      <c r="B380" s="3" t="s">
        <v>113</v>
      </c>
      <c r="C380" s="3">
        <v>10</v>
      </c>
      <c r="D380" s="3" t="s">
        <v>500</v>
      </c>
      <c r="E380" s="1" t="s">
        <v>389</v>
      </c>
      <c r="F380" s="21" t="s">
        <v>389</v>
      </c>
      <c r="G380" s="3" t="s">
        <v>300</v>
      </c>
      <c r="H380" s="3">
        <v>10</v>
      </c>
      <c r="I380" s="3" t="s">
        <v>1941</v>
      </c>
      <c r="J380" s="2"/>
      <c r="K380" s="3">
        <v>8</v>
      </c>
      <c r="L380" s="23">
        <v>5</v>
      </c>
      <c r="M380" s="23">
        <v>28</v>
      </c>
      <c r="N380" s="24" t="s">
        <v>282</v>
      </c>
      <c r="O380" s="31"/>
      <c r="P380" s="31">
        <v>60</v>
      </c>
      <c r="Q380" s="31"/>
      <c r="R380" s="31"/>
      <c r="S380" s="23"/>
      <c r="T380" s="31">
        <v>120</v>
      </c>
      <c r="U380" s="31"/>
      <c r="V380" s="36"/>
      <c r="W380" s="37"/>
      <c r="X380" s="29">
        <v>8</v>
      </c>
      <c r="Y380" s="3" t="s">
        <v>30</v>
      </c>
      <c r="Z380" s="2"/>
      <c r="AA380" s="2"/>
    </row>
    <row r="381" spans="1:27" ht="23.1" customHeight="1" x14ac:dyDescent="0.25">
      <c r="A381" s="20" t="s">
        <v>539</v>
      </c>
      <c r="B381" s="3" t="s">
        <v>113</v>
      </c>
      <c r="C381" s="3">
        <v>10</v>
      </c>
      <c r="D381" s="3" t="s">
        <v>388</v>
      </c>
      <c r="E381" s="1" t="s">
        <v>389</v>
      </c>
      <c r="F381" s="21" t="s">
        <v>389</v>
      </c>
      <c r="G381" s="3" t="s">
        <v>300</v>
      </c>
      <c r="H381" s="3">
        <v>10</v>
      </c>
      <c r="I381" s="3" t="s">
        <v>1941</v>
      </c>
      <c r="J381" s="2"/>
      <c r="K381" s="3">
        <v>7</v>
      </c>
      <c r="L381" s="23">
        <v>5</v>
      </c>
      <c r="M381" s="23">
        <v>5</v>
      </c>
      <c r="N381" s="24" t="s">
        <v>351</v>
      </c>
      <c r="O381" s="34"/>
      <c r="P381" s="31">
        <v>60</v>
      </c>
      <c r="Q381" s="31"/>
      <c r="R381" s="31"/>
      <c r="S381" s="23"/>
      <c r="T381" s="31">
        <v>120</v>
      </c>
      <c r="U381" s="31"/>
      <c r="V381" s="36"/>
      <c r="W381" s="37"/>
      <c r="X381" s="29">
        <v>7</v>
      </c>
      <c r="Y381" s="3" t="s">
        <v>30</v>
      </c>
      <c r="Z381" s="2"/>
      <c r="AA381" s="2"/>
    </row>
    <row r="382" spans="1:27" ht="23.1" customHeight="1" x14ac:dyDescent="0.25">
      <c r="A382" s="20" t="s">
        <v>539</v>
      </c>
      <c r="B382" s="3" t="s">
        <v>113</v>
      </c>
      <c r="C382" s="3">
        <v>9</v>
      </c>
      <c r="D382" s="3" t="s">
        <v>229</v>
      </c>
      <c r="E382" s="1" t="s">
        <v>230</v>
      </c>
      <c r="F382" s="21" t="s">
        <v>230</v>
      </c>
      <c r="G382" s="3" t="s">
        <v>154</v>
      </c>
      <c r="H382" s="3">
        <v>25</v>
      </c>
      <c r="I382" s="3" t="s">
        <v>1894</v>
      </c>
      <c r="J382" s="2"/>
      <c r="K382" s="3">
        <v>5</v>
      </c>
      <c r="L382" s="23">
        <v>23</v>
      </c>
      <c r="M382" s="23">
        <v>28</v>
      </c>
      <c r="N382" s="24" t="s">
        <v>307</v>
      </c>
      <c r="O382" s="31"/>
      <c r="P382" s="31">
        <v>140</v>
      </c>
      <c r="Q382" s="31"/>
      <c r="R382" s="31"/>
      <c r="S382" s="23"/>
      <c r="T382" s="31">
        <v>60</v>
      </c>
      <c r="U382" s="31"/>
      <c r="V382" s="36"/>
      <c r="W382" s="37"/>
      <c r="X382" s="29">
        <v>11.7</v>
      </c>
      <c r="Y382" s="3" t="s">
        <v>30</v>
      </c>
      <c r="Z382" s="2"/>
      <c r="AA382" s="2"/>
    </row>
    <row r="383" spans="1:27" ht="23.1" customHeight="1" x14ac:dyDescent="0.25">
      <c r="A383" s="20" t="s">
        <v>539</v>
      </c>
      <c r="B383" s="3" t="s">
        <v>113</v>
      </c>
      <c r="C383" s="3">
        <v>59</v>
      </c>
      <c r="D383" s="3" t="s">
        <v>552</v>
      </c>
      <c r="E383" s="1" t="s">
        <v>553</v>
      </c>
      <c r="F383" s="21" t="s">
        <v>553</v>
      </c>
      <c r="G383" s="3" t="s">
        <v>154</v>
      </c>
      <c r="H383" s="3">
        <v>10</v>
      </c>
      <c r="I383" s="2" t="s">
        <v>1916</v>
      </c>
      <c r="J383" s="3">
        <v>1</v>
      </c>
      <c r="K383" s="3">
        <v>1</v>
      </c>
      <c r="L383" s="23">
        <v>5</v>
      </c>
      <c r="M383" s="23">
        <v>31</v>
      </c>
      <c r="N383" s="24" t="s">
        <v>554</v>
      </c>
      <c r="O383" s="34"/>
      <c r="P383" s="31">
        <v>60</v>
      </c>
      <c r="Q383" s="31"/>
      <c r="R383" s="31"/>
      <c r="S383" s="23"/>
      <c r="T383" s="31">
        <v>60</v>
      </c>
      <c r="U383" s="31"/>
      <c r="V383" s="36">
        <v>1</v>
      </c>
      <c r="W383" s="37">
        <v>2</v>
      </c>
      <c r="X383" s="29">
        <v>4</v>
      </c>
      <c r="Y383" s="64" t="s">
        <v>1847</v>
      </c>
      <c r="Z383" s="2" t="s">
        <v>555</v>
      </c>
      <c r="AA383" s="1" t="s">
        <v>238</v>
      </c>
    </row>
    <row r="384" spans="1:27" ht="23.1" customHeight="1" x14ac:dyDescent="0.25">
      <c r="A384" s="20" t="s">
        <v>539</v>
      </c>
      <c r="B384" s="3" t="s">
        <v>113</v>
      </c>
      <c r="C384" s="3">
        <v>12</v>
      </c>
      <c r="D384" s="3" t="s">
        <v>248</v>
      </c>
      <c r="E384" s="1" t="s">
        <v>249</v>
      </c>
      <c r="F384" s="21" t="s">
        <v>249</v>
      </c>
      <c r="G384" s="3" t="s">
        <v>250</v>
      </c>
      <c r="H384" s="3">
        <v>25</v>
      </c>
      <c r="I384" s="2" t="s">
        <v>1923</v>
      </c>
      <c r="J384" s="3">
        <v>0.6</v>
      </c>
      <c r="K384" s="3">
        <v>0.6</v>
      </c>
      <c r="L384" s="33"/>
      <c r="M384" s="23">
        <v>28</v>
      </c>
      <c r="N384" s="24" t="s">
        <v>556</v>
      </c>
      <c r="O384" s="34"/>
      <c r="P384" s="31">
        <v>1080</v>
      </c>
      <c r="Q384" s="31"/>
      <c r="R384" s="31"/>
      <c r="S384" s="23"/>
      <c r="T384" s="31">
        <v>120</v>
      </c>
      <c r="U384" s="31"/>
      <c r="V384" s="36"/>
      <c r="W384" s="37"/>
      <c r="X384" s="29">
        <v>10.8</v>
      </c>
      <c r="Y384" s="3" t="s">
        <v>10</v>
      </c>
      <c r="Z384" s="2" t="s">
        <v>557</v>
      </c>
      <c r="AA384" s="2"/>
    </row>
    <row r="385" spans="1:27" ht="23.1" customHeight="1" x14ac:dyDescent="0.25">
      <c r="A385" s="20" t="s">
        <v>539</v>
      </c>
      <c r="B385" s="3" t="s">
        <v>113</v>
      </c>
      <c r="C385" s="3">
        <v>108</v>
      </c>
      <c r="D385" s="3" t="s">
        <v>173</v>
      </c>
      <c r="E385" s="1" t="s">
        <v>174</v>
      </c>
      <c r="F385" s="21" t="s">
        <v>1246</v>
      </c>
      <c r="G385" s="3" t="s">
        <v>154</v>
      </c>
      <c r="H385" s="3">
        <v>20</v>
      </c>
      <c r="I385" s="3" t="s">
        <v>1950</v>
      </c>
      <c r="J385" s="2"/>
      <c r="K385" s="3">
        <v>2</v>
      </c>
      <c r="L385" s="33"/>
      <c r="M385" s="23">
        <v>23</v>
      </c>
      <c r="N385" s="24" t="s">
        <v>558</v>
      </c>
      <c r="O385" s="34"/>
      <c r="P385" s="31">
        <v>510</v>
      </c>
      <c r="Q385" s="31">
        <v>90</v>
      </c>
      <c r="R385" s="31"/>
      <c r="S385" s="23">
        <v>2</v>
      </c>
      <c r="T385" s="31">
        <v>120</v>
      </c>
      <c r="U385" s="31"/>
      <c r="V385" s="36"/>
      <c r="W385" s="37"/>
      <c r="X385" s="29">
        <v>20</v>
      </c>
      <c r="Y385" s="3" t="s">
        <v>13</v>
      </c>
      <c r="Z385" s="2" t="s">
        <v>533</v>
      </c>
      <c r="AA385" s="2"/>
    </row>
    <row r="386" spans="1:27" ht="23.1" customHeight="1" x14ac:dyDescent="0.25">
      <c r="A386" s="20" t="s">
        <v>539</v>
      </c>
      <c r="B386" s="3" t="s">
        <v>113</v>
      </c>
      <c r="C386" s="3">
        <v>107</v>
      </c>
      <c r="D386" s="3" t="s">
        <v>308</v>
      </c>
      <c r="E386" s="1" t="s">
        <v>309</v>
      </c>
      <c r="F386" s="21" t="s">
        <v>309</v>
      </c>
      <c r="G386" s="3" t="s">
        <v>102</v>
      </c>
      <c r="H386" s="3">
        <v>80</v>
      </c>
      <c r="I386" s="3" t="s">
        <v>1964</v>
      </c>
      <c r="J386" s="2"/>
      <c r="K386" s="3">
        <v>1</v>
      </c>
      <c r="L386" s="33"/>
      <c r="M386" s="23">
        <v>23</v>
      </c>
      <c r="N386" s="24" t="s">
        <v>159</v>
      </c>
      <c r="O386" s="34"/>
      <c r="P386" s="31">
        <v>360</v>
      </c>
      <c r="Q386" s="31"/>
      <c r="R386" s="31"/>
      <c r="S386" s="23">
        <v>1</v>
      </c>
      <c r="T386" s="31">
        <v>120</v>
      </c>
      <c r="U386" s="31"/>
      <c r="V386" s="36"/>
      <c r="W386" s="37">
        <v>2</v>
      </c>
      <c r="X386" s="29">
        <v>8</v>
      </c>
      <c r="Y386" s="3" t="s">
        <v>13</v>
      </c>
      <c r="Z386" s="2" t="s">
        <v>559</v>
      </c>
      <c r="AA386" s="2"/>
    </row>
    <row r="387" spans="1:27" ht="23.1" customHeight="1" x14ac:dyDescent="0.25">
      <c r="A387" s="20" t="s">
        <v>539</v>
      </c>
      <c r="B387" s="3" t="s">
        <v>113</v>
      </c>
      <c r="C387" s="3">
        <v>56</v>
      </c>
      <c r="D387" s="3" t="s">
        <v>273</v>
      </c>
      <c r="E387" s="1" t="s">
        <v>274</v>
      </c>
      <c r="F387" s="21" t="s">
        <v>274</v>
      </c>
      <c r="G387" s="3" t="s">
        <v>123</v>
      </c>
      <c r="H387" s="3">
        <v>20</v>
      </c>
      <c r="I387" s="3" t="s">
        <v>1936</v>
      </c>
      <c r="J387" s="2"/>
      <c r="K387" s="3">
        <v>20</v>
      </c>
      <c r="L387" s="23">
        <v>23</v>
      </c>
      <c r="M387" s="23">
        <v>23</v>
      </c>
      <c r="N387" s="24" t="s">
        <v>307</v>
      </c>
      <c r="O387" s="34"/>
      <c r="P387" s="31">
        <v>30</v>
      </c>
      <c r="Q387" s="31"/>
      <c r="R387" s="31"/>
      <c r="S387" s="23"/>
      <c r="T387" s="31">
        <v>60</v>
      </c>
      <c r="U387" s="31"/>
      <c r="V387" s="36"/>
      <c r="W387" s="37"/>
      <c r="X387" s="29">
        <v>10</v>
      </c>
      <c r="Y387" s="3" t="s">
        <v>18</v>
      </c>
      <c r="Z387" s="2"/>
      <c r="AA387" s="2"/>
    </row>
    <row r="388" spans="1:27" ht="23.1" customHeight="1" x14ac:dyDescent="0.25">
      <c r="A388" s="20" t="s">
        <v>539</v>
      </c>
      <c r="B388" s="3" t="s">
        <v>113</v>
      </c>
      <c r="C388" s="3">
        <v>55</v>
      </c>
      <c r="D388" s="3" t="s">
        <v>273</v>
      </c>
      <c r="E388" s="1" t="s">
        <v>274</v>
      </c>
      <c r="F388" s="21" t="s">
        <v>274</v>
      </c>
      <c r="G388" s="3" t="s">
        <v>123</v>
      </c>
      <c r="H388" s="3">
        <v>20</v>
      </c>
      <c r="I388" s="3" t="s">
        <v>1936</v>
      </c>
      <c r="J388" s="2"/>
      <c r="K388" s="3">
        <v>20</v>
      </c>
      <c r="L388" s="23">
        <v>23</v>
      </c>
      <c r="M388" s="23">
        <v>23</v>
      </c>
      <c r="N388" s="24" t="s">
        <v>231</v>
      </c>
      <c r="O388" s="34"/>
      <c r="P388" s="31">
        <v>30</v>
      </c>
      <c r="Q388" s="31"/>
      <c r="R388" s="31"/>
      <c r="S388" s="23"/>
      <c r="T388" s="31">
        <v>60</v>
      </c>
      <c r="U388" s="31"/>
      <c r="V388" s="36"/>
      <c r="W388" s="37"/>
      <c r="X388" s="29">
        <v>10</v>
      </c>
      <c r="Y388" s="3" t="s">
        <v>18</v>
      </c>
      <c r="Z388" s="2"/>
      <c r="AA388" s="2"/>
    </row>
    <row r="389" spans="1:27" ht="23.1" customHeight="1" x14ac:dyDescent="0.25">
      <c r="A389" s="20" t="s">
        <v>539</v>
      </c>
      <c r="B389" s="3" t="s">
        <v>113</v>
      </c>
      <c r="C389" s="3">
        <v>79</v>
      </c>
      <c r="D389" s="3" t="s">
        <v>152</v>
      </c>
      <c r="E389" s="1" t="s">
        <v>153</v>
      </c>
      <c r="F389" s="21" t="s">
        <v>1247</v>
      </c>
      <c r="G389" s="3" t="s">
        <v>154</v>
      </c>
      <c r="H389" s="3">
        <v>20</v>
      </c>
      <c r="I389" s="3" t="s">
        <v>1948</v>
      </c>
      <c r="J389" s="2"/>
      <c r="K389" s="3">
        <v>1.7</v>
      </c>
      <c r="L389" s="23">
        <v>5</v>
      </c>
      <c r="M389" s="23">
        <v>5</v>
      </c>
      <c r="N389" s="24" t="s">
        <v>560</v>
      </c>
      <c r="O389" s="34"/>
      <c r="P389" s="31">
        <v>660</v>
      </c>
      <c r="Q389" s="31">
        <v>90</v>
      </c>
      <c r="R389" s="31"/>
      <c r="S389" s="23"/>
      <c r="T389" s="31">
        <v>120</v>
      </c>
      <c r="U389" s="31"/>
      <c r="V389" s="36"/>
      <c r="W389" s="37"/>
      <c r="X389" s="29">
        <v>18.7</v>
      </c>
      <c r="Y389" s="3" t="s">
        <v>5</v>
      </c>
      <c r="Z389" s="2"/>
      <c r="AA389" s="2"/>
    </row>
    <row r="390" spans="1:27" ht="23.1" customHeight="1" x14ac:dyDescent="0.25">
      <c r="A390" s="20" t="s">
        <v>539</v>
      </c>
      <c r="B390" s="3" t="s">
        <v>113</v>
      </c>
      <c r="C390" s="3">
        <v>77</v>
      </c>
      <c r="D390" s="3" t="s">
        <v>211</v>
      </c>
      <c r="E390" s="1" t="s">
        <v>212</v>
      </c>
      <c r="F390" s="21" t="s">
        <v>212</v>
      </c>
      <c r="G390" s="3" t="s">
        <v>123</v>
      </c>
      <c r="H390" s="3">
        <v>15</v>
      </c>
      <c r="I390" s="3" t="s">
        <v>1893</v>
      </c>
      <c r="J390" s="2"/>
      <c r="K390" s="3">
        <v>5</v>
      </c>
      <c r="L390" s="33"/>
      <c r="M390" s="23">
        <v>23</v>
      </c>
      <c r="N390" s="24" t="s">
        <v>213</v>
      </c>
      <c r="O390" s="25">
        <v>100</v>
      </c>
      <c r="P390" s="31">
        <v>60</v>
      </c>
      <c r="Q390" s="31"/>
      <c r="R390" s="31"/>
      <c r="S390" s="23"/>
      <c r="T390" s="31">
        <v>90</v>
      </c>
      <c r="U390" s="31"/>
      <c r="V390" s="36"/>
      <c r="W390" s="37"/>
      <c r="X390" s="32">
        <v>8.3000000000000007</v>
      </c>
      <c r="Y390" s="3" t="s">
        <v>24</v>
      </c>
      <c r="Z390" s="2" t="s">
        <v>561</v>
      </c>
      <c r="AA390" s="2"/>
    </row>
    <row r="391" spans="1:27" ht="23.1" customHeight="1" x14ac:dyDescent="0.25">
      <c r="A391" s="20" t="s">
        <v>539</v>
      </c>
      <c r="B391" s="3" t="s">
        <v>113</v>
      </c>
      <c r="C391" s="3">
        <v>57</v>
      </c>
      <c r="D391" s="3" t="s">
        <v>459</v>
      </c>
      <c r="E391" s="1" t="s">
        <v>460</v>
      </c>
      <c r="F391" s="21" t="e">
        <v>#N/A</v>
      </c>
      <c r="G391" s="3" t="s">
        <v>123</v>
      </c>
      <c r="H391" s="3">
        <v>20</v>
      </c>
      <c r="I391" s="2" t="s">
        <v>1960</v>
      </c>
      <c r="J391" s="3">
        <v>5</v>
      </c>
      <c r="K391" s="3">
        <v>5</v>
      </c>
      <c r="L391" s="23">
        <v>5</v>
      </c>
      <c r="M391" s="23">
        <v>31</v>
      </c>
      <c r="N391" s="24" t="s">
        <v>506</v>
      </c>
      <c r="O391" s="34"/>
      <c r="P391" s="31">
        <v>120</v>
      </c>
      <c r="Q391" s="31"/>
      <c r="R391" s="31"/>
      <c r="S391" s="23"/>
      <c r="T391" s="31">
        <v>60</v>
      </c>
      <c r="U391" s="31"/>
      <c r="V391" s="36"/>
      <c r="W391" s="37"/>
      <c r="X391" s="29">
        <v>10</v>
      </c>
      <c r="Y391" s="3" t="s">
        <v>7</v>
      </c>
      <c r="Z391" s="2"/>
      <c r="AA391" s="2"/>
    </row>
    <row r="392" spans="1:27" ht="23.1" customHeight="1" x14ac:dyDescent="0.25">
      <c r="A392" s="20" t="s">
        <v>539</v>
      </c>
      <c r="B392" s="3" t="s">
        <v>113</v>
      </c>
      <c r="C392" s="3">
        <v>58</v>
      </c>
      <c r="D392" s="3" t="s">
        <v>423</v>
      </c>
      <c r="E392" s="1" t="s">
        <v>424</v>
      </c>
      <c r="F392" s="21" t="s">
        <v>424</v>
      </c>
      <c r="G392" s="3" t="s">
        <v>107</v>
      </c>
      <c r="H392" s="3">
        <v>20</v>
      </c>
      <c r="I392" s="2" t="s">
        <v>1974</v>
      </c>
      <c r="J392" s="3">
        <v>9</v>
      </c>
      <c r="K392" s="3">
        <v>9</v>
      </c>
      <c r="L392" s="23">
        <v>23</v>
      </c>
      <c r="M392" s="23">
        <v>28</v>
      </c>
      <c r="N392" s="24" t="s">
        <v>562</v>
      </c>
      <c r="O392" s="34"/>
      <c r="P392" s="31">
        <v>90</v>
      </c>
      <c r="Q392" s="31"/>
      <c r="R392" s="31"/>
      <c r="S392" s="23"/>
      <c r="T392" s="31">
        <v>100</v>
      </c>
      <c r="U392" s="31"/>
      <c r="V392" s="36"/>
      <c r="W392" s="37"/>
      <c r="X392" s="29">
        <v>13.5</v>
      </c>
      <c r="Y392" s="3" t="s">
        <v>7</v>
      </c>
      <c r="Z392" s="2"/>
      <c r="AA392" s="2"/>
    </row>
    <row r="393" spans="1:27" ht="23.1" customHeight="1" x14ac:dyDescent="0.25">
      <c r="A393" s="20" t="s">
        <v>539</v>
      </c>
      <c r="B393" s="3" t="s">
        <v>113</v>
      </c>
      <c r="C393" s="3">
        <v>13</v>
      </c>
      <c r="D393" s="3" t="s">
        <v>245</v>
      </c>
      <c r="E393" s="1" t="s">
        <v>246</v>
      </c>
      <c r="F393" s="21" t="s">
        <v>246</v>
      </c>
      <c r="G393" s="3" t="s">
        <v>123</v>
      </c>
      <c r="H393" s="3">
        <v>45</v>
      </c>
      <c r="I393" s="2" t="s">
        <v>1954</v>
      </c>
      <c r="J393" s="3">
        <v>3</v>
      </c>
      <c r="K393" s="3">
        <v>3</v>
      </c>
      <c r="L393" s="23">
        <v>28</v>
      </c>
      <c r="M393" s="23">
        <v>28</v>
      </c>
      <c r="N393" s="24" t="s">
        <v>247</v>
      </c>
      <c r="O393" s="34"/>
      <c r="P393" s="31">
        <v>250</v>
      </c>
      <c r="Q393" s="31"/>
      <c r="R393" s="31"/>
      <c r="S393" s="23"/>
      <c r="T393" s="31">
        <v>90</v>
      </c>
      <c r="U393" s="31"/>
      <c r="V393" s="36"/>
      <c r="W393" s="37"/>
      <c r="X393" s="29">
        <v>12.5</v>
      </c>
      <c r="Y393" s="3" t="s">
        <v>7</v>
      </c>
      <c r="Z393" s="2"/>
      <c r="AA393" s="2"/>
    </row>
    <row r="394" spans="1:27" ht="23.1" customHeight="1" x14ac:dyDescent="0.25">
      <c r="A394" s="20" t="s">
        <v>539</v>
      </c>
      <c r="B394" s="3" t="s">
        <v>113</v>
      </c>
      <c r="C394" s="3">
        <v>18</v>
      </c>
      <c r="D394" s="3" t="s">
        <v>205</v>
      </c>
      <c r="E394" s="1" t="s">
        <v>206</v>
      </c>
      <c r="F394" s="21" t="s">
        <v>206</v>
      </c>
      <c r="G394" s="3" t="s">
        <v>123</v>
      </c>
      <c r="H394" s="3">
        <v>40</v>
      </c>
      <c r="I394" s="2" t="s">
        <v>1971</v>
      </c>
      <c r="J394" s="3">
        <v>2</v>
      </c>
      <c r="K394" s="3">
        <v>2</v>
      </c>
      <c r="L394" s="23">
        <v>28</v>
      </c>
      <c r="M394" s="23">
        <v>28</v>
      </c>
      <c r="N394" s="24" t="s">
        <v>207</v>
      </c>
      <c r="O394" s="34"/>
      <c r="P394" s="31">
        <v>360</v>
      </c>
      <c r="Q394" s="31"/>
      <c r="R394" s="31"/>
      <c r="S394" s="23"/>
      <c r="T394" s="31">
        <v>120</v>
      </c>
      <c r="U394" s="31"/>
      <c r="V394" s="36"/>
      <c r="W394" s="37"/>
      <c r="X394" s="29">
        <v>12</v>
      </c>
      <c r="Y394" s="3" t="s">
        <v>16</v>
      </c>
      <c r="Z394" s="2"/>
      <c r="AA394" s="2"/>
    </row>
    <row r="395" spans="1:27" ht="23.1" customHeight="1" x14ac:dyDescent="0.25">
      <c r="A395" s="20" t="s">
        <v>539</v>
      </c>
      <c r="B395" s="3" t="s">
        <v>113</v>
      </c>
      <c r="C395" s="3">
        <v>11</v>
      </c>
      <c r="D395" s="3" t="s">
        <v>200</v>
      </c>
      <c r="E395" s="1" t="s">
        <v>317</v>
      </c>
      <c r="F395" s="21" t="s">
        <v>317</v>
      </c>
      <c r="G395" s="3" t="s">
        <v>154</v>
      </c>
      <c r="H395" s="3">
        <v>40</v>
      </c>
      <c r="I395" s="3" t="s">
        <v>1935</v>
      </c>
      <c r="J395" s="2"/>
      <c r="K395" s="3">
        <v>5</v>
      </c>
      <c r="L395" s="23">
        <v>23</v>
      </c>
      <c r="M395" s="23">
        <v>28</v>
      </c>
      <c r="N395" s="24" t="s">
        <v>563</v>
      </c>
      <c r="O395" s="34"/>
      <c r="P395" s="31">
        <v>260</v>
      </c>
      <c r="Q395" s="31"/>
      <c r="R395" s="31"/>
      <c r="S395" s="23"/>
      <c r="T395" s="31">
        <v>90</v>
      </c>
      <c r="U395" s="31"/>
      <c r="V395" s="36"/>
      <c r="W395" s="37"/>
      <c r="X395" s="29">
        <v>21.7</v>
      </c>
      <c r="Y395" s="3" t="s">
        <v>63</v>
      </c>
      <c r="Z395" s="2"/>
      <c r="AA395" s="2"/>
    </row>
    <row r="396" spans="1:27" ht="23.1" customHeight="1" x14ac:dyDescent="0.25">
      <c r="A396" s="20" t="s">
        <v>539</v>
      </c>
      <c r="B396" s="3" t="s">
        <v>113</v>
      </c>
      <c r="C396" s="3">
        <v>16</v>
      </c>
      <c r="D396" s="3" t="s">
        <v>449</v>
      </c>
      <c r="E396" s="1" t="s">
        <v>317</v>
      </c>
      <c r="F396" s="21" t="s">
        <v>317</v>
      </c>
      <c r="G396" s="3" t="s">
        <v>154</v>
      </c>
      <c r="H396" s="3">
        <v>20</v>
      </c>
      <c r="I396" s="3" t="s">
        <v>1975</v>
      </c>
      <c r="J396" s="2"/>
      <c r="K396" s="3">
        <v>2</v>
      </c>
      <c r="L396" s="23">
        <v>23</v>
      </c>
      <c r="M396" s="23">
        <v>28</v>
      </c>
      <c r="N396" s="24" t="s">
        <v>438</v>
      </c>
      <c r="O396" s="34"/>
      <c r="P396" s="31">
        <v>240</v>
      </c>
      <c r="Q396" s="31"/>
      <c r="R396" s="31"/>
      <c r="S396" s="23"/>
      <c r="T396" s="31">
        <v>120</v>
      </c>
      <c r="U396" s="31"/>
      <c r="V396" s="36"/>
      <c r="W396" s="37">
        <v>1</v>
      </c>
      <c r="X396" s="29">
        <v>9</v>
      </c>
      <c r="Y396" s="3" t="s">
        <v>63</v>
      </c>
      <c r="Z396" s="2" t="s">
        <v>564</v>
      </c>
      <c r="AA396" s="2"/>
    </row>
    <row r="397" spans="1:27" ht="23.1" customHeight="1" x14ac:dyDescent="0.25">
      <c r="A397" s="20" t="s">
        <v>539</v>
      </c>
      <c r="B397" s="3" t="s">
        <v>113</v>
      </c>
      <c r="C397" s="3">
        <v>16</v>
      </c>
      <c r="D397" s="3" t="s">
        <v>449</v>
      </c>
      <c r="E397" s="1" t="s">
        <v>317</v>
      </c>
      <c r="F397" s="21" t="s">
        <v>317</v>
      </c>
      <c r="G397" s="3" t="s">
        <v>154</v>
      </c>
      <c r="H397" s="3">
        <v>25</v>
      </c>
      <c r="I397" s="3" t="s">
        <v>1976</v>
      </c>
      <c r="J397" s="2"/>
      <c r="K397" s="3">
        <v>0.5</v>
      </c>
      <c r="L397" s="33"/>
      <c r="M397" s="23">
        <v>31</v>
      </c>
      <c r="N397" s="24" t="s">
        <v>159</v>
      </c>
      <c r="O397" s="34"/>
      <c r="P397" s="31">
        <v>360</v>
      </c>
      <c r="Q397" s="31"/>
      <c r="R397" s="31"/>
      <c r="S397" s="23"/>
      <c r="T397" s="31">
        <v>60</v>
      </c>
      <c r="U397" s="31"/>
      <c r="V397" s="36"/>
      <c r="W397" s="37"/>
      <c r="X397" s="29">
        <v>3</v>
      </c>
      <c r="Y397" s="3" t="s">
        <v>63</v>
      </c>
      <c r="Z397" s="2"/>
      <c r="AA397" s="2"/>
    </row>
    <row r="398" spans="1:27" ht="23.1" customHeight="1" x14ac:dyDescent="0.25">
      <c r="A398" s="20" t="s">
        <v>539</v>
      </c>
      <c r="B398" s="3" t="s">
        <v>113</v>
      </c>
      <c r="C398" s="3">
        <v>91</v>
      </c>
      <c r="D398" s="3" t="s">
        <v>484</v>
      </c>
      <c r="E398" s="1" t="s">
        <v>485</v>
      </c>
      <c r="F398" s="21" t="s">
        <v>485</v>
      </c>
      <c r="G398" s="3" t="s">
        <v>300</v>
      </c>
      <c r="H398" s="3">
        <v>30</v>
      </c>
      <c r="I398" s="3" t="s">
        <v>1921</v>
      </c>
      <c r="J398" s="23"/>
      <c r="K398" s="23"/>
      <c r="L398" s="33"/>
      <c r="M398" s="33"/>
      <c r="N398" s="24" t="s">
        <v>222</v>
      </c>
      <c r="O398" s="34"/>
      <c r="P398" s="31">
        <v>960</v>
      </c>
      <c r="Q398" s="31">
        <v>120</v>
      </c>
      <c r="R398" s="31"/>
      <c r="S398" s="23"/>
      <c r="T398" s="31">
        <v>180</v>
      </c>
      <c r="U398" s="31"/>
      <c r="V398" s="36"/>
      <c r="W398" s="37">
        <v>10.4</v>
      </c>
      <c r="X398" s="29">
        <v>10.4</v>
      </c>
      <c r="Y398" s="3" t="s">
        <v>69</v>
      </c>
      <c r="Z398" s="2" t="s">
        <v>565</v>
      </c>
      <c r="AA398" s="2"/>
    </row>
    <row r="399" spans="1:27" ht="23.1" customHeight="1" x14ac:dyDescent="0.25">
      <c r="A399" s="20" t="s">
        <v>539</v>
      </c>
      <c r="B399" s="3" t="s">
        <v>113</v>
      </c>
      <c r="C399" s="3">
        <v>119</v>
      </c>
      <c r="D399" s="3" t="s">
        <v>498</v>
      </c>
      <c r="E399" s="1" t="s">
        <v>499</v>
      </c>
      <c r="F399" s="21" t="s">
        <v>499</v>
      </c>
      <c r="G399" s="3" t="s">
        <v>300</v>
      </c>
      <c r="H399" s="3">
        <v>70</v>
      </c>
      <c r="I399" s="3" t="s">
        <v>1966</v>
      </c>
      <c r="J399" s="2"/>
      <c r="K399" s="3">
        <v>1</v>
      </c>
      <c r="L399" s="33"/>
      <c r="M399" s="23">
        <v>28</v>
      </c>
      <c r="N399" s="24" t="s">
        <v>357</v>
      </c>
      <c r="O399" s="34"/>
      <c r="P399" s="31">
        <v>30</v>
      </c>
      <c r="Q399" s="31">
        <v>90</v>
      </c>
      <c r="R399" s="31"/>
      <c r="S399" s="23"/>
      <c r="T399" s="31">
        <v>180</v>
      </c>
      <c r="U399" s="31"/>
      <c r="V399" s="36"/>
      <c r="W399" s="37">
        <v>9</v>
      </c>
      <c r="X399" s="29">
        <v>9.5</v>
      </c>
      <c r="Y399" s="3" t="s">
        <v>69</v>
      </c>
      <c r="Z399" s="2" t="s">
        <v>566</v>
      </c>
      <c r="AA399" s="2"/>
    </row>
    <row r="400" spans="1:27" ht="23.1" customHeight="1" x14ac:dyDescent="0.25">
      <c r="A400" s="20" t="s">
        <v>539</v>
      </c>
      <c r="B400" s="3" t="s">
        <v>113</v>
      </c>
      <c r="C400" s="3">
        <v>24</v>
      </c>
      <c r="D400" s="3" t="s">
        <v>392</v>
      </c>
      <c r="E400" s="1" t="s">
        <v>259</v>
      </c>
      <c r="F400" s="21" t="s">
        <v>979</v>
      </c>
      <c r="G400" s="3" t="s">
        <v>118</v>
      </c>
      <c r="H400" s="3">
        <v>50</v>
      </c>
      <c r="I400" s="2" t="s">
        <v>1965</v>
      </c>
      <c r="J400" s="3">
        <v>0.3</v>
      </c>
      <c r="K400" s="3">
        <v>0.3</v>
      </c>
      <c r="L400" s="33"/>
      <c r="M400" s="23">
        <v>26</v>
      </c>
      <c r="N400" s="24" t="s">
        <v>567</v>
      </c>
      <c r="O400" s="34"/>
      <c r="P400" s="31">
        <v>1960</v>
      </c>
      <c r="Q400" s="31">
        <v>120</v>
      </c>
      <c r="R400" s="31"/>
      <c r="S400" s="23"/>
      <c r="T400" s="31">
        <v>180</v>
      </c>
      <c r="U400" s="31"/>
      <c r="V400" s="36"/>
      <c r="W400" s="37">
        <v>5</v>
      </c>
      <c r="X400" s="29">
        <v>14.8</v>
      </c>
      <c r="Y400" s="3" t="s">
        <v>69</v>
      </c>
      <c r="Z400" s="2" t="s">
        <v>568</v>
      </c>
      <c r="AA400" s="2"/>
    </row>
    <row r="401" spans="1:27" ht="23.1" customHeight="1" x14ac:dyDescent="0.25">
      <c r="A401" s="20" t="s">
        <v>539</v>
      </c>
      <c r="B401" s="3" t="s">
        <v>113</v>
      </c>
      <c r="C401" s="3">
        <v>84</v>
      </c>
      <c r="D401" s="3" t="s">
        <v>517</v>
      </c>
      <c r="E401" s="1" t="s">
        <v>518</v>
      </c>
      <c r="F401" s="21" t="s">
        <v>518</v>
      </c>
      <c r="G401" s="3" t="s">
        <v>250</v>
      </c>
      <c r="H401" s="3">
        <v>25</v>
      </c>
      <c r="I401" s="2" t="s">
        <v>1970</v>
      </c>
      <c r="J401" s="3">
        <v>1</v>
      </c>
      <c r="K401" s="3">
        <v>1</v>
      </c>
      <c r="L401" s="33"/>
      <c r="M401" s="23">
        <v>28</v>
      </c>
      <c r="N401" s="24" t="s">
        <v>439</v>
      </c>
      <c r="O401" s="34"/>
      <c r="P401" s="31">
        <v>40</v>
      </c>
      <c r="Q401" s="31"/>
      <c r="R401" s="31"/>
      <c r="S401" s="23"/>
      <c r="T401" s="31">
        <v>90</v>
      </c>
      <c r="U401" s="31"/>
      <c r="V401" s="36"/>
      <c r="W401" s="37">
        <v>10.4</v>
      </c>
      <c r="X401" s="29">
        <v>11.1</v>
      </c>
      <c r="Y401" s="3" t="s">
        <v>69</v>
      </c>
      <c r="Z401" s="2" t="s">
        <v>569</v>
      </c>
      <c r="AA401" s="2"/>
    </row>
    <row r="402" spans="1:27" ht="23.1" customHeight="1" x14ac:dyDescent="0.25">
      <c r="A402" s="20" t="s">
        <v>539</v>
      </c>
      <c r="B402" s="3" t="s">
        <v>113</v>
      </c>
      <c r="C402" s="3">
        <v>69</v>
      </c>
      <c r="D402" s="3" t="s">
        <v>108</v>
      </c>
      <c r="E402" s="1" t="s">
        <v>108</v>
      </c>
      <c r="F402" s="21" t="e">
        <v>#N/A</v>
      </c>
      <c r="G402" s="3" t="s">
        <v>108</v>
      </c>
      <c r="H402" s="3" t="s">
        <v>108</v>
      </c>
      <c r="I402" s="2"/>
      <c r="J402" s="3" t="s">
        <v>108</v>
      </c>
      <c r="K402" s="3">
        <v>0</v>
      </c>
      <c r="L402" s="23" t="s">
        <v>108</v>
      </c>
      <c r="M402" s="23">
        <v>28</v>
      </c>
      <c r="N402" s="24" t="s">
        <v>108</v>
      </c>
      <c r="O402" s="34"/>
      <c r="P402" s="31"/>
      <c r="Q402" s="31"/>
      <c r="R402" s="31"/>
      <c r="S402" s="23"/>
      <c r="T402" s="31"/>
      <c r="U402" s="31"/>
      <c r="V402" s="36"/>
      <c r="W402" s="37">
        <v>10.4</v>
      </c>
      <c r="X402" s="29">
        <v>10.4</v>
      </c>
      <c r="Y402" s="3" t="s">
        <v>69</v>
      </c>
      <c r="Z402" s="2" t="s">
        <v>565</v>
      </c>
      <c r="AA402" s="2"/>
    </row>
    <row r="403" spans="1:27" ht="23.1" customHeight="1" x14ac:dyDescent="0.25">
      <c r="A403" s="20" t="s">
        <v>539</v>
      </c>
      <c r="B403" s="3" t="s">
        <v>113</v>
      </c>
      <c r="C403" s="3">
        <v>47</v>
      </c>
      <c r="D403" s="3" t="s">
        <v>332</v>
      </c>
      <c r="E403" s="1" t="s">
        <v>333</v>
      </c>
      <c r="F403" s="21" t="s">
        <v>2548</v>
      </c>
      <c r="G403" s="3" t="s">
        <v>334</v>
      </c>
      <c r="H403" s="3">
        <v>20</v>
      </c>
      <c r="I403" s="2" t="s">
        <v>1959</v>
      </c>
      <c r="J403" s="3">
        <v>0.95</v>
      </c>
      <c r="K403" s="3">
        <v>0.95</v>
      </c>
      <c r="L403" s="23">
        <v>23</v>
      </c>
      <c r="M403" s="23">
        <v>28</v>
      </c>
      <c r="N403" s="24" t="s">
        <v>570</v>
      </c>
      <c r="O403" s="31"/>
      <c r="P403" s="31">
        <v>720</v>
      </c>
      <c r="Q403" s="31">
        <v>90</v>
      </c>
      <c r="R403" s="31"/>
      <c r="S403" s="23">
        <v>1</v>
      </c>
      <c r="T403" s="31">
        <v>120</v>
      </c>
      <c r="U403" s="31"/>
      <c r="V403" s="36"/>
      <c r="W403" s="37">
        <v>3</v>
      </c>
      <c r="X403" s="29">
        <v>15.9</v>
      </c>
      <c r="Y403" s="3" t="s">
        <v>22</v>
      </c>
      <c r="Z403" s="2" t="s">
        <v>571</v>
      </c>
      <c r="AA403" s="2"/>
    </row>
    <row r="404" spans="1:27" ht="23.1" customHeight="1" x14ac:dyDescent="0.25">
      <c r="A404" s="20" t="s">
        <v>539</v>
      </c>
      <c r="B404" s="3" t="s">
        <v>113</v>
      </c>
      <c r="C404" s="3">
        <v>23</v>
      </c>
      <c r="D404" s="3" t="s">
        <v>254</v>
      </c>
      <c r="E404" s="1" t="s">
        <v>255</v>
      </c>
      <c r="F404" s="21" t="s">
        <v>1016</v>
      </c>
      <c r="G404" s="3" t="s">
        <v>375</v>
      </c>
      <c r="H404" s="3">
        <v>37</v>
      </c>
      <c r="I404" s="2"/>
      <c r="J404" s="3">
        <v>0.65</v>
      </c>
      <c r="K404" s="3">
        <v>0.65</v>
      </c>
      <c r="L404" s="23">
        <v>31</v>
      </c>
      <c r="M404" s="23">
        <v>31</v>
      </c>
      <c r="N404" s="24" t="s">
        <v>155</v>
      </c>
      <c r="O404" s="25">
        <v>660</v>
      </c>
      <c r="P404" s="31"/>
      <c r="Q404" s="31"/>
      <c r="R404" s="31">
        <v>90</v>
      </c>
      <c r="S404" s="23"/>
      <c r="T404" s="31"/>
      <c r="U404" s="31"/>
      <c r="V404" s="36"/>
      <c r="W404" s="37">
        <v>3</v>
      </c>
      <c r="X404" s="32">
        <v>10.199999999999999</v>
      </c>
      <c r="Y404" s="3" t="s">
        <v>22</v>
      </c>
      <c r="Z404" s="2" t="s">
        <v>572</v>
      </c>
      <c r="AA404" s="2"/>
    </row>
    <row r="405" spans="1:27" ht="23.1" customHeight="1" x14ac:dyDescent="0.25">
      <c r="A405" s="20" t="s">
        <v>539</v>
      </c>
      <c r="B405" s="3" t="s">
        <v>113</v>
      </c>
      <c r="C405" s="3">
        <v>107</v>
      </c>
      <c r="D405" s="3" t="s">
        <v>194</v>
      </c>
      <c r="E405" s="1" t="s">
        <v>133</v>
      </c>
      <c r="F405" s="21" t="s">
        <v>133</v>
      </c>
      <c r="G405" s="3" t="s">
        <v>102</v>
      </c>
      <c r="H405" s="3">
        <v>15</v>
      </c>
      <c r="I405" s="3" t="s">
        <v>1977</v>
      </c>
      <c r="J405" s="2"/>
      <c r="K405" s="3">
        <v>1</v>
      </c>
      <c r="L405" s="33"/>
      <c r="M405" s="23">
        <v>28</v>
      </c>
      <c r="N405" s="24" t="s">
        <v>234</v>
      </c>
      <c r="O405" s="34"/>
      <c r="P405" s="31">
        <v>690</v>
      </c>
      <c r="Q405" s="31">
        <v>60</v>
      </c>
      <c r="R405" s="31"/>
      <c r="S405" s="23">
        <v>1</v>
      </c>
      <c r="T405" s="31">
        <v>120</v>
      </c>
      <c r="U405" s="31"/>
      <c r="V405" s="36">
        <v>1</v>
      </c>
      <c r="W405" s="37"/>
      <c r="X405" s="29">
        <v>14.5</v>
      </c>
      <c r="Y405" s="3" t="s">
        <v>13</v>
      </c>
      <c r="Z405" s="2" t="s">
        <v>573</v>
      </c>
      <c r="AA405" s="2"/>
    </row>
    <row r="406" spans="1:27" ht="23.1" customHeight="1" x14ac:dyDescent="0.25">
      <c r="A406" s="20" t="s">
        <v>539</v>
      </c>
      <c r="B406" s="3" t="s">
        <v>113</v>
      </c>
      <c r="C406" s="3">
        <v>17</v>
      </c>
      <c r="D406" s="3" t="s">
        <v>352</v>
      </c>
      <c r="E406" s="1" t="s">
        <v>353</v>
      </c>
      <c r="F406" s="21" t="e">
        <v>#N/A</v>
      </c>
      <c r="G406" s="3" t="s">
        <v>300</v>
      </c>
      <c r="H406" s="3">
        <v>25</v>
      </c>
      <c r="I406" s="2" t="s">
        <v>1967</v>
      </c>
      <c r="J406" s="3">
        <v>3</v>
      </c>
      <c r="K406" s="3">
        <v>3</v>
      </c>
      <c r="L406" s="23">
        <v>26</v>
      </c>
      <c r="M406" s="23">
        <v>26</v>
      </c>
      <c r="N406" s="24" t="s">
        <v>574</v>
      </c>
      <c r="O406" s="34"/>
      <c r="P406" s="31">
        <v>290</v>
      </c>
      <c r="Q406" s="31"/>
      <c r="R406" s="31"/>
      <c r="S406" s="23"/>
      <c r="T406" s="31">
        <v>90</v>
      </c>
      <c r="U406" s="31"/>
      <c r="V406" s="36"/>
      <c r="W406" s="37"/>
      <c r="X406" s="29">
        <v>14.5</v>
      </c>
      <c r="Y406" s="3" t="s">
        <v>16</v>
      </c>
      <c r="Z406" s="2"/>
      <c r="AA406" s="2"/>
    </row>
    <row r="407" spans="1:27" ht="23.1" customHeight="1" x14ac:dyDescent="0.25">
      <c r="A407" s="20" t="s">
        <v>575</v>
      </c>
      <c r="B407" s="3" t="s">
        <v>99</v>
      </c>
      <c r="C407" s="3">
        <v>59</v>
      </c>
      <c r="D407" s="3" t="s">
        <v>552</v>
      </c>
      <c r="E407" s="1" t="s">
        <v>553</v>
      </c>
      <c r="F407" s="21" t="s">
        <v>553</v>
      </c>
      <c r="G407" s="3" t="s">
        <v>154</v>
      </c>
      <c r="H407" s="3">
        <v>20</v>
      </c>
      <c r="I407" s="3" t="s">
        <v>1978</v>
      </c>
      <c r="J407" s="2"/>
      <c r="K407" s="3">
        <v>1</v>
      </c>
      <c r="L407" s="33"/>
      <c r="M407" s="23">
        <v>28</v>
      </c>
      <c r="N407" s="24" t="s">
        <v>554</v>
      </c>
      <c r="O407" s="34"/>
      <c r="P407" s="31">
        <v>30</v>
      </c>
      <c r="Q407" s="31"/>
      <c r="R407" s="31"/>
      <c r="S407" s="23"/>
      <c r="T407" s="31">
        <v>60</v>
      </c>
      <c r="U407" s="31"/>
      <c r="V407" s="36">
        <v>1</v>
      </c>
      <c r="W407" s="37">
        <v>2</v>
      </c>
      <c r="X407" s="29">
        <v>3.5</v>
      </c>
      <c r="Y407" s="3" t="s">
        <v>42</v>
      </c>
      <c r="Z407" s="2" t="s">
        <v>576</v>
      </c>
      <c r="AA407" s="1" t="s">
        <v>238</v>
      </c>
    </row>
    <row r="408" spans="1:27" ht="23.1" customHeight="1" x14ac:dyDescent="0.25">
      <c r="A408" s="20" t="s">
        <v>575</v>
      </c>
      <c r="B408" s="3" t="s">
        <v>99</v>
      </c>
      <c r="C408" s="3">
        <v>59</v>
      </c>
      <c r="D408" s="3" t="s">
        <v>552</v>
      </c>
      <c r="E408" s="1" t="s">
        <v>553</v>
      </c>
      <c r="F408" s="21" t="s">
        <v>553</v>
      </c>
      <c r="G408" s="3" t="s">
        <v>154</v>
      </c>
      <c r="H408" s="3">
        <v>25</v>
      </c>
      <c r="I408" s="3" t="s">
        <v>1970</v>
      </c>
      <c r="J408" s="2"/>
      <c r="K408" s="3">
        <v>1</v>
      </c>
      <c r="L408" s="23">
        <v>19</v>
      </c>
      <c r="M408" s="33"/>
      <c r="N408" s="24" t="s">
        <v>554</v>
      </c>
      <c r="O408" s="34"/>
      <c r="P408" s="31">
        <v>15</v>
      </c>
      <c r="Q408" s="31"/>
      <c r="R408" s="31"/>
      <c r="S408" s="23"/>
      <c r="T408" s="31">
        <v>90</v>
      </c>
      <c r="U408" s="31"/>
      <c r="V408" s="36">
        <v>1</v>
      </c>
      <c r="W408" s="37">
        <v>3</v>
      </c>
      <c r="X408" s="29">
        <v>4.8</v>
      </c>
      <c r="Y408" s="3" t="s">
        <v>42</v>
      </c>
      <c r="Z408" s="2" t="s">
        <v>577</v>
      </c>
      <c r="AA408" s="1" t="s">
        <v>238</v>
      </c>
    </row>
    <row r="409" spans="1:27" ht="23.1" customHeight="1" x14ac:dyDescent="0.25">
      <c r="A409" s="20" t="s">
        <v>575</v>
      </c>
      <c r="B409" s="3" t="s">
        <v>99</v>
      </c>
      <c r="C409" s="3">
        <v>59</v>
      </c>
      <c r="D409" s="3" t="s">
        <v>552</v>
      </c>
      <c r="E409" s="1" t="s">
        <v>553</v>
      </c>
      <c r="F409" s="21" t="s">
        <v>553</v>
      </c>
      <c r="G409" s="3" t="s">
        <v>154</v>
      </c>
      <c r="H409" s="3">
        <v>30</v>
      </c>
      <c r="I409" s="3" t="s">
        <v>1979</v>
      </c>
      <c r="J409" s="2"/>
      <c r="K409" s="3">
        <v>1</v>
      </c>
      <c r="L409" s="23">
        <v>19</v>
      </c>
      <c r="M409" s="33"/>
      <c r="N409" s="24" t="s">
        <v>554</v>
      </c>
      <c r="O409" s="34"/>
      <c r="P409" s="31">
        <v>100</v>
      </c>
      <c r="Q409" s="31"/>
      <c r="R409" s="31"/>
      <c r="S409" s="23"/>
      <c r="T409" s="31">
        <v>90</v>
      </c>
      <c r="U409" s="31"/>
      <c r="V409" s="36">
        <v>1</v>
      </c>
      <c r="W409" s="37">
        <v>2</v>
      </c>
      <c r="X409" s="29">
        <v>5.2</v>
      </c>
      <c r="Y409" s="3" t="s">
        <v>42</v>
      </c>
      <c r="Z409" s="2" t="s">
        <v>578</v>
      </c>
      <c r="AA409" s="1" t="s">
        <v>238</v>
      </c>
    </row>
    <row r="410" spans="1:27" ht="23.1" customHeight="1" x14ac:dyDescent="0.25">
      <c r="A410" s="20" t="s">
        <v>575</v>
      </c>
      <c r="B410" s="3" t="s">
        <v>99</v>
      </c>
      <c r="C410" s="3">
        <v>12</v>
      </c>
      <c r="D410" s="3" t="s">
        <v>248</v>
      </c>
      <c r="E410" s="1" t="s">
        <v>249</v>
      </c>
      <c r="F410" s="21" t="s">
        <v>249</v>
      </c>
      <c r="G410" s="3" t="s">
        <v>250</v>
      </c>
      <c r="H410" s="3">
        <v>25</v>
      </c>
      <c r="I410" s="2" t="s">
        <v>1923</v>
      </c>
      <c r="J410" s="3">
        <v>1</v>
      </c>
      <c r="K410" s="3">
        <v>1</v>
      </c>
      <c r="L410" s="33"/>
      <c r="M410" s="23">
        <v>26</v>
      </c>
      <c r="N410" s="24" t="s">
        <v>412</v>
      </c>
      <c r="O410" s="34"/>
      <c r="P410" s="31">
        <v>1080</v>
      </c>
      <c r="Q410" s="31"/>
      <c r="R410" s="31"/>
      <c r="S410" s="23"/>
      <c r="T410" s="31">
        <v>120</v>
      </c>
      <c r="U410" s="31"/>
      <c r="V410" s="36"/>
      <c r="W410" s="37"/>
      <c r="X410" s="29">
        <v>18</v>
      </c>
      <c r="Y410" s="3" t="s">
        <v>72</v>
      </c>
      <c r="Z410" s="2"/>
      <c r="AA410" s="2"/>
    </row>
    <row r="411" spans="1:27" ht="23.1" customHeight="1" x14ac:dyDescent="0.25">
      <c r="A411" s="20" t="s">
        <v>575</v>
      </c>
      <c r="B411" s="3" t="s">
        <v>99</v>
      </c>
      <c r="C411" s="3">
        <v>13</v>
      </c>
      <c r="D411" s="3" t="s">
        <v>245</v>
      </c>
      <c r="E411" s="1" t="s">
        <v>246</v>
      </c>
      <c r="F411" s="21" t="s">
        <v>246</v>
      </c>
      <c r="G411" s="3" t="s">
        <v>123</v>
      </c>
      <c r="H411" s="3">
        <v>45</v>
      </c>
      <c r="I411" s="2" t="s">
        <v>1954</v>
      </c>
      <c r="J411" s="3">
        <v>4</v>
      </c>
      <c r="K411" s="3">
        <v>4</v>
      </c>
      <c r="L411" s="23">
        <v>28</v>
      </c>
      <c r="M411" s="23">
        <v>28</v>
      </c>
      <c r="N411" s="24" t="s">
        <v>247</v>
      </c>
      <c r="O411" s="34"/>
      <c r="P411" s="31">
        <v>250</v>
      </c>
      <c r="Q411" s="31"/>
      <c r="R411" s="31"/>
      <c r="S411" s="23"/>
      <c r="T411" s="31">
        <v>90</v>
      </c>
      <c r="U411" s="31"/>
      <c r="V411" s="36"/>
      <c r="W411" s="37"/>
      <c r="X411" s="29">
        <v>16.7</v>
      </c>
      <c r="Y411" s="3" t="s">
        <v>72</v>
      </c>
      <c r="Z411" s="2"/>
      <c r="AA411" s="2"/>
    </row>
    <row r="412" spans="1:27" ht="23.1" customHeight="1" x14ac:dyDescent="0.25">
      <c r="A412" s="20" t="s">
        <v>575</v>
      </c>
      <c r="B412" s="3" t="s">
        <v>99</v>
      </c>
      <c r="C412" s="3">
        <v>78</v>
      </c>
      <c r="D412" s="3" t="s">
        <v>579</v>
      </c>
      <c r="E412" s="1" t="s">
        <v>190</v>
      </c>
      <c r="F412" s="21" t="e">
        <v>#N/A</v>
      </c>
      <c r="G412" s="3" t="s">
        <v>102</v>
      </c>
      <c r="H412" s="3">
        <v>5</v>
      </c>
      <c r="I412" s="2"/>
      <c r="J412" s="3">
        <v>1</v>
      </c>
      <c r="K412" s="3">
        <v>1</v>
      </c>
      <c r="L412" s="33"/>
      <c r="M412" s="23">
        <v>37</v>
      </c>
      <c r="N412" s="24" t="s">
        <v>108</v>
      </c>
      <c r="O412" s="34"/>
      <c r="P412" s="31"/>
      <c r="Q412" s="31"/>
      <c r="R412" s="31"/>
      <c r="S412" s="23"/>
      <c r="T412" s="31"/>
      <c r="U412" s="31"/>
      <c r="V412" s="36"/>
      <c r="W412" s="37">
        <v>8</v>
      </c>
      <c r="X412" s="29">
        <v>8</v>
      </c>
      <c r="Y412" s="3" t="s">
        <v>19</v>
      </c>
      <c r="Z412" s="2" t="s">
        <v>580</v>
      </c>
      <c r="AA412" s="1" t="s">
        <v>238</v>
      </c>
    </row>
    <row r="413" spans="1:27" ht="23.1" customHeight="1" x14ac:dyDescent="0.25">
      <c r="A413" s="20" t="s">
        <v>575</v>
      </c>
      <c r="B413" s="3" t="s">
        <v>99</v>
      </c>
      <c r="C413" s="3">
        <v>78</v>
      </c>
      <c r="D413" s="3" t="s">
        <v>581</v>
      </c>
      <c r="E413" s="1" t="s">
        <v>190</v>
      </c>
      <c r="F413" s="21" t="e">
        <v>#N/A</v>
      </c>
      <c r="G413" s="3" t="s">
        <v>102</v>
      </c>
      <c r="H413" s="3">
        <v>20</v>
      </c>
      <c r="I413" s="2"/>
      <c r="J413" s="3">
        <v>0.4</v>
      </c>
      <c r="K413" s="3">
        <v>0.4</v>
      </c>
      <c r="L413" s="33"/>
      <c r="M413" s="23">
        <v>37</v>
      </c>
      <c r="N413" s="24" t="s">
        <v>108</v>
      </c>
      <c r="O413" s="31"/>
      <c r="P413" s="31"/>
      <c r="Q413" s="31"/>
      <c r="R413" s="31"/>
      <c r="S413" s="23">
        <v>1</v>
      </c>
      <c r="T413" s="31"/>
      <c r="U413" s="31"/>
      <c r="V413" s="36"/>
      <c r="W413" s="37">
        <v>7</v>
      </c>
      <c r="X413" s="29">
        <v>7</v>
      </c>
      <c r="Y413" s="3" t="s">
        <v>19</v>
      </c>
      <c r="Z413" s="2" t="s">
        <v>582</v>
      </c>
      <c r="AA413" s="2"/>
    </row>
    <row r="414" spans="1:27" ht="23.1" customHeight="1" x14ac:dyDescent="0.25">
      <c r="A414" s="20" t="s">
        <v>575</v>
      </c>
      <c r="B414" s="3" t="s">
        <v>99</v>
      </c>
      <c r="C414" s="3">
        <v>77</v>
      </c>
      <c r="D414" s="3" t="s">
        <v>211</v>
      </c>
      <c r="E414" s="1" t="s">
        <v>212</v>
      </c>
      <c r="F414" s="21" t="s">
        <v>212</v>
      </c>
      <c r="G414" s="3" t="s">
        <v>123</v>
      </c>
      <c r="H414" s="3">
        <v>15</v>
      </c>
      <c r="I414" s="3" t="s">
        <v>1893</v>
      </c>
      <c r="J414" s="2"/>
      <c r="K414" s="3">
        <v>9</v>
      </c>
      <c r="L414" s="23">
        <v>31</v>
      </c>
      <c r="M414" s="23">
        <v>37</v>
      </c>
      <c r="N414" s="24" t="s">
        <v>457</v>
      </c>
      <c r="O414" s="25">
        <v>100</v>
      </c>
      <c r="P414" s="31">
        <v>60</v>
      </c>
      <c r="Q414" s="31"/>
      <c r="R414" s="31"/>
      <c r="S414" s="23"/>
      <c r="T414" s="31">
        <v>90</v>
      </c>
      <c r="U414" s="31"/>
      <c r="V414" s="36"/>
      <c r="W414" s="37"/>
      <c r="X414" s="32">
        <v>15</v>
      </c>
      <c r="Y414" s="3" t="s">
        <v>15</v>
      </c>
      <c r="Z414" s="2"/>
      <c r="AA414" s="2"/>
    </row>
    <row r="415" spans="1:27" ht="23.1" customHeight="1" x14ac:dyDescent="0.25">
      <c r="A415" s="20" t="s">
        <v>575</v>
      </c>
      <c r="B415" s="3" t="s">
        <v>99</v>
      </c>
      <c r="C415" s="3">
        <v>18</v>
      </c>
      <c r="D415" s="3" t="s">
        <v>205</v>
      </c>
      <c r="E415" s="1" t="s">
        <v>206</v>
      </c>
      <c r="F415" s="21" t="s">
        <v>206</v>
      </c>
      <c r="G415" s="3" t="s">
        <v>123</v>
      </c>
      <c r="H415" s="3">
        <v>40</v>
      </c>
      <c r="I415" s="3" t="s">
        <v>1971</v>
      </c>
      <c r="J415" s="2"/>
      <c r="K415" s="3">
        <v>1</v>
      </c>
      <c r="L415" s="23">
        <v>28</v>
      </c>
      <c r="M415" s="33"/>
      <c r="N415" s="24" t="s">
        <v>583</v>
      </c>
      <c r="O415" s="34"/>
      <c r="P415" s="31">
        <v>360</v>
      </c>
      <c r="Q415" s="31"/>
      <c r="R415" s="31"/>
      <c r="S415" s="23"/>
      <c r="T415" s="31">
        <v>120</v>
      </c>
      <c r="U415" s="31"/>
      <c r="V415" s="36"/>
      <c r="W415" s="37"/>
      <c r="X415" s="29">
        <v>6</v>
      </c>
      <c r="Y415" s="3" t="s">
        <v>43</v>
      </c>
      <c r="Z415" s="2"/>
      <c r="AA415" s="2"/>
    </row>
    <row r="416" spans="1:27" ht="23.1" customHeight="1" x14ac:dyDescent="0.25">
      <c r="A416" s="20" t="s">
        <v>575</v>
      </c>
      <c r="B416" s="3" t="s">
        <v>99</v>
      </c>
      <c r="C416" s="3">
        <v>18</v>
      </c>
      <c r="D416" s="3" t="s">
        <v>205</v>
      </c>
      <c r="E416" s="1" t="s">
        <v>206</v>
      </c>
      <c r="F416" s="21" t="s">
        <v>206</v>
      </c>
      <c r="G416" s="3" t="s">
        <v>123</v>
      </c>
      <c r="H416" s="3">
        <v>45</v>
      </c>
      <c r="I416" s="3" t="s">
        <v>1980</v>
      </c>
      <c r="J416" s="2"/>
      <c r="K416" s="3">
        <v>1.5</v>
      </c>
      <c r="L416" s="23">
        <v>28</v>
      </c>
      <c r="M416" s="23">
        <v>26</v>
      </c>
      <c r="N416" s="24" t="s">
        <v>209</v>
      </c>
      <c r="O416" s="34"/>
      <c r="P416" s="31">
        <v>420</v>
      </c>
      <c r="Q416" s="31"/>
      <c r="R416" s="31"/>
      <c r="S416" s="23"/>
      <c r="T416" s="31">
        <v>90</v>
      </c>
      <c r="U416" s="31"/>
      <c r="V416" s="36">
        <v>1</v>
      </c>
      <c r="W416" s="37"/>
      <c r="X416" s="29">
        <v>12</v>
      </c>
      <c r="Y416" s="3" t="s">
        <v>43</v>
      </c>
      <c r="Z416" s="2" t="s">
        <v>584</v>
      </c>
      <c r="AA416" s="2"/>
    </row>
    <row r="417" spans="1:27" ht="23.1" customHeight="1" x14ac:dyDescent="0.25">
      <c r="A417" s="20" t="s">
        <v>575</v>
      </c>
      <c r="B417" s="3" t="s">
        <v>99</v>
      </c>
      <c r="C417" s="3">
        <v>11</v>
      </c>
      <c r="D417" s="3" t="s">
        <v>200</v>
      </c>
      <c r="E417" s="1" t="s">
        <v>317</v>
      </c>
      <c r="F417" s="21" t="s">
        <v>317</v>
      </c>
      <c r="G417" s="3" t="s">
        <v>154</v>
      </c>
      <c r="H417" s="3">
        <v>40</v>
      </c>
      <c r="I417" s="3" t="s">
        <v>1935</v>
      </c>
      <c r="J417" s="2"/>
      <c r="K417" s="3">
        <v>4</v>
      </c>
      <c r="L417" s="23">
        <v>31</v>
      </c>
      <c r="M417" s="23">
        <v>19</v>
      </c>
      <c r="N417" s="24" t="s">
        <v>585</v>
      </c>
      <c r="O417" s="34"/>
      <c r="P417" s="31">
        <v>260</v>
      </c>
      <c r="Q417" s="31"/>
      <c r="R417" s="31"/>
      <c r="S417" s="23"/>
      <c r="T417" s="31">
        <v>90</v>
      </c>
      <c r="U417" s="31"/>
      <c r="V417" s="36"/>
      <c r="W417" s="37"/>
      <c r="X417" s="29">
        <v>17.3</v>
      </c>
      <c r="Y417" s="3" t="s">
        <v>38</v>
      </c>
      <c r="Z417" s="2"/>
      <c r="AA417" s="2"/>
    </row>
    <row r="418" spans="1:27" ht="23.1" customHeight="1" x14ac:dyDescent="0.25">
      <c r="A418" s="20" t="s">
        <v>575</v>
      </c>
      <c r="B418" s="3" t="s">
        <v>99</v>
      </c>
      <c r="C418" s="3">
        <v>107</v>
      </c>
      <c r="D418" s="3" t="s">
        <v>194</v>
      </c>
      <c r="E418" s="1" t="s">
        <v>133</v>
      </c>
      <c r="F418" s="21" t="s">
        <v>133</v>
      </c>
      <c r="G418" s="3" t="s">
        <v>102</v>
      </c>
      <c r="H418" s="3">
        <v>15</v>
      </c>
      <c r="I418" s="3" t="s">
        <v>1977</v>
      </c>
      <c r="J418" s="2"/>
      <c r="K418" s="3">
        <v>1</v>
      </c>
      <c r="L418" s="33"/>
      <c r="M418" s="23">
        <v>26</v>
      </c>
      <c r="N418" s="24" t="s">
        <v>159</v>
      </c>
      <c r="O418" s="34"/>
      <c r="P418" s="31">
        <v>690</v>
      </c>
      <c r="Q418" s="31">
        <v>60</v>
      </c>
      <c r="R418" s="31"/>
      <c r="S418" s="23">
        <v>1</v>
      </c>
      <c r="T418" s="31">
        <v>120</v>
      </c>
      <c r="U418" s="31"/>
      <c r="V418" s="36"/>
      <c r="W418" s="37"/>
      <c r="X418" s="29">
        <v>12.5</v>
      </c>
      <c r="Y418" s="3" t="s">
        <v>45</v>
      </c>
      <c r="Z418" s="2" t="s">
        <v>145</v>
      </c>
      <c r="AA418" s="2"/>
    </row>
    <row r="419" spans="1:27" ht="23.1" customHeight="1" x14ac:dyDescent="0.25">
      <c r="A419" s="20" t="s">
        <v>575</v>
      </c>
      <c r="B419" s="3" t="s">
        <v>99</v>
      </c>
      <c r="C419" s="3">
        <v>16</v>
      </c>
      <c r="D419" s="3" t="s">
        <v>449</v>
      </c>
      <c r="E419" s="1" t="s">
        <v>317</v>
      </c>
      <c r="F419" s="21" t="s">
        <v>317</v>
      </c>
      <c r="G419" s="3" t="s">
        <v>154</v>
      </c>
      <c r="H419" s="3">
        <v>25</v>
      </c>
      <c r="I419" s="3" t="s">
        <v>1976</v>
      </c>
      <c r="J419" s="2"/>
      <c r="K419" s="3">
        <v>1.5</v>
      </c>
      <c r="L419" s="23">
        <v>31</v>
      </c>
      <c r="M419" s="23">
        <v>28</v>
      </c>
      <c r="N419" s="24" t="s">
        <v>438</v>
      </c>
      <c r="O419" s="34"/>
      <c r="P419" s="31">
        <v>360</v>
      </c>
      <c r="Q419" s="31"/>
      <c r="R419" s="31"/>
      <c r="S419" s="23"/>
      <c r="T419" s="31">
        <v>60</v>
      </c>
      <c r="U419" s="31"/>
      <c r="V419" s="36"/>
      <c r="W419" s="37"/>
      <c r="X419" s="29">
        <v>9</v>
      </c>
      <c r="Y419" s="3" t="s">
        <v>38</v>
      </c>
      <c r="Z419" s="2"/>
      <c r="AA419" s="2"/>
    </row>
    <row r="420" spans="1:27" ht="23.1" customHeight="1" x14ac:dyDescent="0.25">
      <c r="A420" s="20" t="s">
        <v>575</v>
      </c>
      <c r="B420" s="3" t="s">
        <v>99</v>
      </c>
      <c r="C420" s="3">
        <v>17</v>
      </c>
      <c r="D420" s="3" t="s">
        <v>352</v>
      </c>
      <c r="E420" s="1" t="s">
        <v>353</v>
      </c>
      <c r="F420" s="21" t="e">
        <v>#N/A</v>
      </c>
      <c r="G420" s="3" t="s">
        <v>300</v>
      </c>
      <c r="H420" s="3">
        <v>25</v>
      </c>
      <c r="I420" s="3" t="s">
        <v>1967</v>
      </c>
      <c r="J420" s="2"/>
      <c r="K420" s="3">
        <v>2</v>
      </c>
      <c r="L420" s="23">
        <v>28</v>
      </c>
      <c r="M420" s="23">
        <v>28</v>
      </c>
      <c r="N420" s="24" t="s">
        <v>540</v>
      </c>
      <c r="O420" s="34"/>
      <c r="P420" s="31">
        <v>290</v>
      </c>
      <c r="Q420" s="31"/>
      <c r="R420" s="31"/>
      <c r="S420" s="23"/>
      <c r="T420" s="31">
        <v>90</v>
      </c>
      <c r="U420" s="31"/>
      <c r="V420" s="36"/>
      <c r="W420" s="37"/>
      <c r="X420" s="29">
        <v>9.6999999999999993</v>
      </c>
      <c r="Y420" s="3" t="s">
        <v>43</v>
      </c>
      <c r="Z420" s="2"/>
      <c r="AA420" s="2"/>
    </row>
    <row r="421" spans="1:27" ht="23.1" customHeight="1" x14ac:dyDescent="0.25">
      <c r="A421" s="20" t="s">
        <v>575</v>
      </c>
      <c r="B421" s="3" t="s">
        <v>99</v>
      </c>
      <c r="C421" s="3">
        <v>108</v>
      </c>
      <c r="D421" s="3" t="s">
        <v>173</v>
      </c>
      <c r="E421" s="1" t="s">
        <v>174</v>
      </c>
      <c r="F421" s="21" t="s">
        <v>1246</v>
      </c>
      <c r="G421" s="3" t="s">
        <v>154</v>
      </c>
      <c r="H421" s="3">
        <v>20</v>
      </c>
      <c r="I421" s="3" t="s">
        <v>1950</v>
      </c>
      <c r="J421" s="2"/>
      <c r="K421" s="3">
        <v>2</v>
      </c>
      <c r="L421" s="23">
        <v>28</v>
      </c>
      <c r="M421" s="23">
        <v>26</v>
      </c>
      <c r="N421" s="24" t="s">
        <v>586</v>
      </c>
      <c r="O421" s="34"/>
      <c r="P421" s="31">
        <v>510</v>
      </c>
      <c r="Q421" s="31">
        <v>90</v>
      </c>
      <c r="R421" s="31"/>
      <c r="S421" s="23">
        <v>2</v>
      </c>
      <c r="T421" s="31">
        <v>120</v>
      </c>
      <c r="U421" s="31"/>
      <c r="V421" s="36"/>
      <c r="W421" s="37"/>
      <c r="X421" s="29">
        <v>20</v>
      </c>
      <c r="Y421" s="3" t="s">
        <v>45</v>
      </c>
      <c r="Z421" s="2" t="s">
        <v>147</v>
      </c>
      <c r="AA421" s="2"/>
    </row>
    <row r="422" spans="1:27" ht="23.1" customHeight="1" x14ac:dyDescent="0.25">
      <c r="A422" s="20" t="s">
        <v>575</v>
      </c>
      <c r="B422" s="3" t="s">
        <v>99</v>
      </c>
      <c r="C422" s="3">
        <v>79</v>
      </c>
      <c r="D422" s="3" t="s">
        <v>152</v>
      </c>
      <c r="E422" s="1" t="s">
        <v>153</v>
      </c>
      <c r="F422" s="21" t="s">
        <v>1247</v>
      </c>
      <c r="G422" s="3" t="s">
        <v>154</v>
      </c>
      <c r="H422" s="3">
        <v>20</v>
      </c>
      <c r="I422" s="2" t="s">
        <v>1948</v>
      </c>
      <c r="J422" s="3">
        <v>1</v>
      </c>
      <c r="K422" s="3">
        <v>2</v>
      </c>
      <c r="L422" s="23">
        <v>31</v>
      </c>
      <c r="M422" s="23">
        <v>26</v>
      </c>
      <c r="N422" s="24" t="s">
        <v>587</v>
      </c>
      <c r="O422" s="34"/>
      <c r="P422" s="31">
        <v>660</v>
      </c>
      <c r="Q422" s="31">
        <v>90</v>
      </c>
      <c r="R422" s="31"/>
      <c r="S422" s="23">
        <v>2</v>
      </c>
      <c r="T422" s="31">
        <v>120</v>
      </c>
      <c r="U422" s="31"/>
      <c r="V422" s="36"/>
      <c r="W422" s="37"/>
      <c r="X422" s="29">
        <v>25</v>
      </c>
      <c r="Y422" s="3" t="s">
        <v>19</v>
      </c>
      <c r="Z422" s="2" t="s">
        <v>147</v>
      </c>
      <c r="AA422" s="2"/>
    </row>
    <row r="423" spans="1:27" ht="23.1" customHeight="1" x14ac:dyDescent="0.25">
      <c r="A423" s="20" t="s">
        <v>575</v>
      </c>
      <c r="B423" s="3" t="s">
        <v>99</v>
      </c>
      <c r="C423" s="3">
        <v>56</v>
      </c>
      <c r="D423" s="3" t="s">
        <v>273</v>
      </c>
      <c r="E423" s="1" t="s">
        <v>274</v>
      </c>
      <c r="F423" s="21" t="s">
        <v>274</v>
      </c>
      <c r="G423" s="3" t="s">
        <v>123</v>
      </c>
      <c r="H423" s="3">
        <v>25</v>
      </c>
      <c r="I423" s="3" t="s">
        <v>1981</v>
      </c>
      <c r="J423" s="2"/>
      <c r="K423" s="3">
        <v>20</v>
      </c>
      <c r="L423" s="23">
        <v>3</v>
      </c>
      <c r="M423" s="23">
        <v>26</v>
      </c>
      <c r="N423" s="24" t="s">
        <v>307</v>
      </c>
      <c r="O423" s="34"/>
      <c r="P423" s="31">
        <v>45</v>
      </c>
      <c r="Q423" s="31"/>
      <c r="R423" s="31"/>
      <c r="S423" s="23"/>
      <c r="T423" s="31">
        <v>60</v>
      </c>
      <c r="U423" s="31"/>
      <c r="V423" s="36">
        <v>1</v>
      </c>
      <c r="W423" s="37">
        <v>2</v>
      </c>
      <c r="X423" s="29">
        <v>18</v>
      </c>
      <c r="Y423" s="3" t="s">
        <v>44</v>
      </c>
      <c r="Z423" s="2" t="s">
        <v>588</v>
      </c>
      <c r="AA423" s="1" t="s">
        <v>238</v>
      </c>
    </row>
    <row r="424" spans="1:27" ht="23.1" customHeight="1" x14ac:dyDescent="0.25">
      <c r="A424" s="20" t="s">
        <v>575</v>
      </c>
      <c r="B424" s="3" t="s">
        <v>99</v>
      </c>
      <c r="C424" s="3">
        <v>55</v>
      </c>
      <c r="D424" s="3" t="s">
        <v>589</v>
      </c>
      <c r="E424" s="1" t="s">
        <v>590</v>
      </c>
      <c r="F424" s="21" t="s">
        <v>590</v>
      </c>
      <c r="G424" s="3" t="s">
        <v>118</v>
      </c>
      <c r="H424" s="3">
        <v>58</v>
      </c>
      <c r="I424" s="3"/>
      <c r="J424" s="2"/>
      <c r="K424" s="3">
        <v>5</v>
      </c>
      <c r="L424" s="23">
        <v>28</v>
      </c>
      <c r="M424" s="23">
        <v>26</v>
      </c>
      <c r="N424" s="24" t="s">
        <v>567</v>
      </c>
      <c r="O424" s="34">
        <v>25</v>
      </c>
      <c r="P424" s="31"/>
      <c r="Q424" s="31"/>
      <c r="R424" s="31"/>
      <c r="S424" s="23"/>
      <c r="T424" s="31"/>
      <c r="U424" s="31">
        <v>90</v>
      </c>
      <c r="V424" s="36">
        <v>1</v>
      </c>
      <c r="W424" s="37">
        <v>4</v>
      </c>
      <c r="X424" s="32">
        <v>7.6</v>
      </c>
      <c r="Y424" s="3" t="s">
        <v>44</v>
      </c>
      <c r="Z424" s="2" t="s">
        <v>591</v>
      </c>
      <c r="AA424" s="1" t="s">
        <v>238</v>
      </c>
    </row>
    <row r="425" spans="1:27" ht="23.1" customHeight="1" x14ac:dyDescent="0.25">
      <c r="A425" s="20" t="s">
        <v>575</v>
      </c>
      <c r="B425" s="3" t="s">
        <v>110</v>
      </c>
      <c r="C425" s="3">
        <v>14</v>
      </c>
      <c r="D425" s="3" t="s">
        <v>235</v>
      </c>
      <c r="E425" s="1" t="s">
        <v>236</v>
      </c>
      <c r="F425" s="21" t="s">
        <v>236</v>
      </c>
      <c r="G425" s="3" t="s">
        <v>154</v>
      </c>
      <c r="H425" s="3">
        <v>65</v>
      </c>
      <c r="I425" s="3" t="s">
        <v>1982</v>
      </c>
      <c r="J425" s="2"/>
      <c r="K425" s="3">
        <v>1</v>
      </c>
      <c r="L425" s="33"/>
      <c r="M425" s="23">
        <v>28</v>
      </c>
      <c r="N425" s="24" t="s">
        <v>159</v>
      </c>
      <c r="O425" s="34"/>
      <c r="P425" s="31">
        <v>600</v>
      </c>
      <c r="Q425" s="31"/>
      <c r="R425" s="31"/>
      <c r="S425" s="23"/>
      <c r="T425" s="31">
        <v>120</v>
      </c>
      <c r="U425" s="31"/>
      <c r="V425" s="36"/>
      <c r="W425" s="37"/>
      <c r="X425" s="29">
        <v>10</v>
      </c>
      <c r="Y425" s="3" t="s">
        <v>31</v>
      </c>
      <c r="Z425" s="2"/>
      <c r="AA425" s="2"/>
    </row>
    <row r="426" spans="1:27" ht="23.1" customHeight="1" x14ac:dyDescent="0.25">
      <c r="A426" s="20" t="s">
        <v>575</v>
      </c>
      <c r="B426" s="3" t="s">
        <v>110</v>
      </c>
      <c r="C426" s="3">
        <v>14</v>
      </c>
      <c r="D426" s="3" t="s">
        <v>276</v>
      </c>
      <c r="E426" s="1" t="s">
        <v>277</v>
      </c>
      <c r="F426" s="21" t="s">
        <v>277</v>
      </c>
      <c r="G426" s="3" t="s">
        <v>154</v>
      </c>
      <c r="H426" s="3">
        <v>65</v>
      </c>
      <c r="I426" s="3" t="s">
        <v>1982</v>
      </c>
      <c r="J426" s="2"/>
      <c r="K426" s="3">
        <v>0.6</v>
      </c>
      <c r="L426" s="23">
        <v>37</v>
      </c>
      <c r="M426" s="23">
        <v>37</v>
      </c>
      <c r="N426" s="24" t="s">
        <v>234</v>
      </c>
      <c r="O426" s="34"/>
      <c r="P426" s="31">
        <v>600</v>
      </c>
      <c r="Q426" s="31"/>
      <c r="R426" s="31"/>
      <c r="S426" s="23"/>
      <c r="T426" s="31">
        <v>120</v>
      </c>
      <c r="U426" s="31"/>
      <c r="V426" s="36"/>
      <c r="W426" s="37"/>
      <c r="X426" s="29">
        <v>6</v>
      </c>
      <c r="Y426" s="3" t="s">
        <v>31</v>
      </c>
      <c r="Z426" s="2"/>
      <c r="AA426" s="2"/>
    </row>
    <row r="427" spans="1:27" ht="23.1" customHeight="1" x14ac:dyDescent="0.25">
      <c r="A427" s="20" t="s">
        <v>575</v>
      </c>
      <c r="B427" s="3" t="s">
        <v>110</v>
      </c>
      <c r="C427" s="3">
        <v>15</v>
      </c>
      <c r="D427" s="3" t="s">
        <v>592</v>
      </c>
      <c r="E427" s="1" t="s">
        <v>218</v>
      </c>
      <c r="F427" s="21" t="s">
        <v>218</v>
      </c>
      <c r="G427" s="3" t="s">
        <v>107</v>
      </c>
      <c r="H427" s="3">
        <v>15</v>
      </c>
      <c r="I427" s="3" t="s">
        <v>1895</v>
      </c>
      <c r="J427" s="2"/>
      <c r="K427" s="3">
        <v>6</v>
      </c>
      <c r="L427" s="23">
        <v>37</v>
      </c>
      <c r="M427" s="23">
        <v>28</v>
      </c>
      <c r="N427" s="24" t="s">
        <v>456</v>
      </c>
      <c r="O427" s="34"/>
      <c r="P427" s="31">
        <v>90</v>
      </c>
      <c r="Q427" s="31"/>
      <c r="R427" s="31"/>
      <c r="S427" s="23"/>
      <c r="T427" s="31">
        <v>90</v>
      </c>
      <c r="U427" s="31"/>
      <c r="V427" s="36"/>
      <c r="W427" s="37"/>
      <c r="X427" s="29">
        <v>9</v>
      </c>
      <c r="Y427" s="3" t="s">
        <v>31</v>
      </c>
      <c r="Z427" s="2"/>
      <c r="AA427" s="2"/>
    </row>
    <row r="428" spans="1:27" ht="23.1" customHeight="1" x14ac:dyDescent="0.25">
      <c r="A428" s="20" t="s">
        <v>575</v>
      </c>
      <c r="B428" s="3" t="s">
        <v>110</v>
      </c>
      <c r="C428" s="3">
        <v>15</v>
      </c>
      <c r="D428" s="3" t="s">
        <v>592</v>
      </c>
      <c r="E428" s="1" t="s">
        <v>218</v>
      </c>
      <c r="F428" s="21" t="s">
        <v>218</v>
      </c>
      <c r="G428" s="3" t="s">
        <v>118</v>
      </c>
      <c r="H428" s="3">
        <v>15</v>
      </c>
      <c r="I428" s="3" t="s">
        <v>1895</v>
      </c>
      <c r="J428" s="2"/>
      <c r="K428" s="3">
        <v>1</v>
      </c>
      <c r="L428" s="33"/>
      <c r="M428" s="23">
        <v>26</v>
      </c>
      <c r="N428" s="24" t="s">
        <v>247</v>
      </c>
      <c r="O428" s="34"/>
      <c r="P428" s="31">
        <v>90</v>
      </c>
      <c r="Q428" s="31"/>
      <c r="R428" s="31"/>
      <c r="S428" s="23"/>
      <c r="T428" s="31">
        <v>90</v>
      </c>
      <c r="U428" s="31"/>
      <c r="V428" s="36"/>
      <c r="W428" s="37"/>
      <c r="X428" s="29">
        <v>1.5</v>
      </c>
      <c r="Y428" s="3" t="s">
        <v>31</v>
      </c>
      <c r="Z428" s="2"/>
      <c r="AA428" s="2"/>
    </row>
    <row r="429" spans="1:27" ht="23.1" customHeight="1" x14ac:dyDescent="0.25">
      <c r="A429" s="20" t="s">
        <v>575</v>
      </c>
      <c r="B429" s="3" t="s">
        <v>110</v>
      </c>
      <c r="C429" s="3">
        <v>76</v>
      </c>
      <c r="D429" s="3" t="s">
        <v>541</v>
      </c>
      <c r="E429" s="1" t="s">
        <v>542</v>
      </c>
      <c r="F429" s="21" t="s">
        <v>542</v>
      </c>
      <c r="G429" s="3" t="s">
        <v>154</v>
      </c>
      <c r="H429" s="3">
        <v>15</v>
      </c>
      <c r="I429" s="3" t="s">
        <v>1926</v>
      </c>
      <c r="J429" s="2"/>
      <c r="K429" s="3">
        <v>6</v>
      </c>
      <c r="L429" s="23">
        <v>31</v>
      </c>
      <c r="M429" s="23">
        <v>37</v>
      </c>
      <c r="N429" s="24" t="s">
        <v>251</v>
      </c>
      <c r="O429" s="31"/>
      <c r="P429" s="31">
        <v>90</v>
      </c>
      <c r="Q429" s="31"/>
      <c r="R429" s="31"/>
      <c r="S429" s="23"/>
      <c r="T429" s="31">
        <v>90</v>
      </c>
      <c r="U429" s="31"/>
      <c r="V429" s="36">
        <v>1</v>
      </c>
      <c r="W429" s="37"/>
      <c r="X429" s="29">
        <v>10.5</v>
      </c>
      <c r="Y429" s="3" t="s">
        <v>46</v>
      </c>
      <c r="Z429" s="2" t="s">
        <v>331</v>
      </c>
      <c r="AA429" s="2"/>
    </row>
    <row r="430" spans="1:27" ht="23.1" customHeight="1" x14ac:dyDescent="0.25">
      <c r="A430" s="20" t="s">
        <v>575</v>
      </c>
      <c r="B430" s="3" t="s">
        <v>110</v>
      </c>
      <c r="C430" s="3">
        <v>57</v>
      </c>
      <c r="D430" s="3" t="s">
        <v>459</v>
      </c>
      <c r="E430" s="1" t="s">
        <v>460</v>
      </c>
      <c r="F430" s="21" t="e">
        <v>#N/A</v>
      </c>
      <c r="G430" s="3" t="s">
        <v>123</v>
      </c>
      <c r="H430" s="3">
        <v>20</v>
      </c>
      <c r="I430" s="3" t="s">
        <v>1960</v>
      </c>
      <c r="J430" s="2"/>
      <c r="K430" s="3">
        <v>2</v>
      </c>
      <c r="L430" s="23">
        <v>31</v>
      </c>
      <c r="M430" s="23">
        <v>28</v>
      </c>
      <c r="N430" s="24" t="s">
        <v>593</v>
      </c>
      <c r="O430" s="34"/>
      <c r="P430" s="31">
        <v>120</v>
      </c>
      <c r="Q430" s="31"/>
      <c r="R430" s="31"/>
      <c r="S430" s="23"/>
      <c r="T430" s="31">
        <v>60</v>
      </c>
      <c r="U430" s="31"/>
      <c r="V430" s="36"/>
      <c r="W430" s="37"/>
      <c r="X430" s="29">
        <v>4</v>
      </c>
      <c r="Y430" s="3" t="s">
        <v>0</v>
      </c>
      <c r="Z430" s="2"/>
      <c r="AA430" s="2"/>
    </row>
    <row r="431" spans="1:27" ht="23.1" customHeight="1" x14ac:dyDescent="0.25">
      <c r="A431" s="20" t="s">
        <v>575</v>
      </c>
      <c r="B431" s="3" t="s">
        <v>110</v>
      </c>
      <c r="C431" s="3">
        <v>57</v>
      </c>
      <c r="D431" s="3" t="s">
        <v>594</v>
      </c>
      <c r="E431" s="1" t="s">
        <v>595</v>
      </c>
      <c r="F431" s="21" t="s">
        <v>595</v>
      </c>
      <c r="G431" s="3" t="s">
        <v>102</v>
      </c>
      <c r="H431" s="3">
        <v>5</v>
      </c>
      <c r="I431" s="3" t="s">
        <v>1957</v>
      </c>
      <c r="J431" s="2"/>
      <c r="K431" s="3">
        <v>8</v>
      </c>
      <c r="L431" s="23">
        <v>28</v>
      </c>
      <c r="M431" s="23">
        <v>28</v>
      </c>
      <c r="N431" s="24" t="s">
        <v>596</v>
      </c>
      <c r="O431" s="34"/>
      <c r="P431" s="31">
        <v>40</v>
      </c>
      <c r="Q431" s="31"/>
      <c r="R431" s="31"/>
      <c r="S431" s="23"/>
      <c r="T431" s="31">
        <v>60</v>
      </c>
      <c r="U431" s="31"/>
      <c r="V431" s="36">
        <v>1</v>
      </c>
      <c r="W431" s="37"/>
      <c r="X431" s="29">
        <v>6.3</v>
      </c>
      <c r="Y431" s="3" t="s">
        <v>0</v>
      </c>
      <c r="Z431" s="2" t="s">
        <v>584</v>
      </c>
      <c r="AA431" s="2"/>
    </row>
    <row r="432" spans="1:27" ht="23.1" customHeight="1" x14ac:dyDescent="0.25">
      <c r="A432" s="20" t="s">
        <v>575</v>
      </c>
      <c r="B432" s="3" t="s">
        <v>110</v>
      </c>
      <c r="C432" s="3">
        <v>58</v>
      </c>
      <c r="D432" s="3" t="s">
        <v>423</v>
      </c>
      <c r="E432" s="1" t="s">
        <v>424</v>
      </c>
      <c r="F432" s="21" t="s">
        <v>424</v>
      </c>
      <c r="G432" s="3" t="s">
        <v>107</v>
      </c>
      <c r="H432" s="3">
        <v>20</v>
      </c>
      <c r="I432" s="3" t="s">
        <v>1974</v>
      </c>
      <c r="J432" s="2"/>
      <c r="K432" s="3">
        <v>1</v>
      </c>
      <c r="L432" s="23">
        <v>28</v>
      </c>
      <c r="M432" s="33"/>
      <c r="N432" s="24" t="s">
        <v>597</v>
      </c>
      <c r="O432" s="34"/>
      <c r="P432" s="31">
        <v>90</v>
      </c>
      <c r="Q432" s="31"/>
      <c r="R432" s="31"/>
      <c r="S432" s="23"/>
      <c r="T432" s="31">
        <v>100</v>
      </c>
      <c r="U432" s="31"/>
      <c r="V432" s="36"/>
      <c r="W432" s="37"/>
      <c r="X432" s="29">
        <v>1.5</v>
      </c>
      <c r="Y432" s="3" t="s">
        <v>0</v>
      </c>
      <c r="Z432" s="2"/>
      <c r="AA432" s="2"/>
    </row>
    <row r="433" spans="1:27" ht="23.1" customHeight="1" x14ac:dyDescent="0.25">
      <c r="A433" s="20" t="s">
        <v>575</v>
      </c>
      <c r="B433" s="3" t="s">
        <v>110</v>
      </c>
      <c r="C433" s="3">
        <v>58</v>
      </c>
      <c r="D433" s="3" t="s">
        <v>423</v>
      </c>
      <c r="E433" s="1" t="s">
        <v>424</v>
      </c>
      <c r="F433" s="21" t="s">
        <v>424</v>
      </c>
      <c r="G433" s="3" t="s">
        <v>107</v>
      </c>
      <c r="H433" s="3">
        <v>25</v>
      </c>
      <c r="I433" s="3" t="s">
        <v>1983</v>
      </c>
      <c r="J433" s="2"/>
      <c r="K433" s="3">
        <v>5</v>
      </c>
      <c r="L433" s="23">
        <v>28</v>
      </c>
      <c r="M433" s="23">
        <v>28</v>
      </c>
      <c r="N433" s="24" t="s">
        <v>508</v>
      </c>
      <c r="O433" s="34"/>
      <c r="P433" s="31">
        <v>85</v>
      </c>
      <c r="Q433" s="31"/>
      <c r="R433" s="31"/>
      <c r="S433" s="23"/>
      <c r="T433" s="31">
        <v>120</v>
      </c>
      <c r="U433" s="31"/>
      <c r="V433" s="36">
        <v>1</v>
      </c>
      <c r="W433" s="37"/>
      <c r="X433" s="29">
        <v>9.1</v>
      </c>
      <c r="Y433" s="3" t="s">
        <v>0</v>
      </c>
      <c r="Z433" s="2" t="s">
        <v>210</v>
      </c>
      <c r="AA433" s="2"/>
    </row>
    <row r="434" spans="1:27" ht="23.1" customHeight="1" x14ac:dyDescent="0.25">
      <c r="A434" s="20" t="s">
        <v>575</v>
      </c>
      <c r="B434" s="3" t="s">
        <v>110</v>
      </c>
      <c r="C434" s="3">
        <v>9</v>
      </c>
      <c r="D434" s="3" t="s">
        <v>598</v>
      </c>
      <c r="E434" s="1" t="s">
        <v>599</v>
      </c>
      <c r="F434" s="21" t="e">
        <v>#N/A</v>
      </c>
      <c r="G434" s="3" t="s">
        <v>102</v>
      </c>
      <c r="H434" s="3">
        <v>15</v>
      </c>
      <c r="I434" s="3"/>
      <c r="J434" s="2"/>
      <c r="K434" s="3">
        <v>4</v>
      </c>
      <c r="L434" s="23">
        <v>28</v>
      </c>
      <c r="M434" s="23">
        <v>28</v>
      </c>
      <c r="N434" s="24" t="s">
        <v>108</v>
      </c>
      <c r="O434" s="31"/>
      <c r="P434" s="31"/>
      <c r="Q434" s="31"/>
      <c r="R434" s="31"/>
      <c r="S434" s="23"/>
      <c r="T434" s="31"/>
      <c r="U434" s="31"/>
      <c r="V434" s="36">
        <v>1</v>
      </c>
      <c r="W434" s="37">
        <v>15</v>
      </c>
      <c r="X434" s="29">
        <v>15</v>
      </c>
      <c r="Y434" s="3" t="s">
        <v>55</v>
      </c>
      <c r="Z434" s="2" t="s">
        <v>547</v>
      </c>
      <c r="AA434" s="2" t="s">
        <v>193</v>
      </c>
    </row>
    <row r="435" spans="1:27" ht="23.1" customHeight="1" x14ac:dyDescent="0.25">
      <c r="A435" s="20" t="s">
        <v>575</v>
      </c>
      <c r="B435" s="3" t="s">
        <v>110</v>
      </c>
      <c r="C435" s="3">
        <v>10</v>
      </c>
      <c r="D435" s="3" t="s">
        <v>500</v>
      </c>
      <c r="E435" s="1" t="s">
        <v>389</v>
      </c>
      <c r="F435" s="21" t="s">
        <v>389</v>
      </c>
      <c r="G435" s="3" t="s">
        <v>300</v>
      </c>
      <c r="H435" s="3">
        <v>10</v>
      </c>
      <c r="I435" s="2" t="s">
        <v>1941</v>
      </c>
      <c r="J435" s="3">
        <v>12</v>
      </c>
      <c r="K435" s="3">
        <v>12</v>
      </c>
      <c r="L435" s="23">
        <v>28</v>
      </c>
      <c r="M435" s="23">
        <v>28</v>
      </c>
      <c r="N435" s="24" t="s">
        <v>390</v>
      </c>
      <c r="O435" s="31"/>
      <c r="P435" s="31">
        <v>60</v>
      </c>
      <c r="Q435" s="31"/>
      <c r="R435" s="31"/>
      <c r="S435" s="23"/>
      <c r="T435" s="31">
        <v>120</v>
      </c>
      <c r="U435" s="31"/>
      <c r="V435" s="36"/>
      <c r="W435" s="37"/>
      <c r="X435" s="29">
        <v>12</v>
      </c>
      <c r="Y435" s="3" t="s">
        <v>55</v>
      </c>
      <c r="Z435" s="2"/>
      <c r="AA435" s="2"/>
    </row>
    <row r="436" spans="1:27" ht="23.1" customHeight="1" x14ac:dyDescent="0.25">
      <c r="A436" s="20" t="s">
        <v>575</v>
      </c>
      <c r="B436" s="3" t="s">
        <v>110</v>
      </c>
      <c r="C436" s="3">
        <v>10</v>
      </c>
      <c r="D436" s="3" t="s">
        <v>513</v>
      </c>
      <c r="E436" s="1" t="s">
        <v>389</v>
      </c>
      <c r="F436" s="21" t="s">
        <v>389</v>
      </c>
      <c r="G436" s="3" t="s">
        <v>118</v>
      </c>
      <c r="H436" s="3">
        <v>10</v>
      </c>
      <c r="I436" s="2" t="s">
        <v>1916</v>
      </c>
      <c r="J436" s="3">
        <v>2</v>
      </c>
      <c r="K436" s="3">
        <v>2</v>
      </c>
      <c r="L436" s="23">
        <v>28</v>
      </c>
      <c r="M436" s="23">
        <v>28</v>
      </c>
      <c r="N436" s="24" t="s">
        <v>282</v>
      </c>
      <c r="O436" s="31"/>
      <c r="P436" s="31">
        <v>60</v>
      </c>
      <c r="Q436" s="31"/>
      <c r="R436" s="31"/>
      <c r="S436" s="23"/>
      <c r="T436" s="31">
        <v>120</v>
      </c>
      <c r="U436" s="31"/>
      <c r="V436" s="36">
        <v>1</v>
      </c>
      <c r="W436" s="37"/>
      <c r="X436" s="29">
        <v>4</v>
      </c>
      <c r="Y436" s="3" t="s">
        <v>55</v>
      </c>
      <c r="Z436" s="3" t="s">
        <v>547</v>
      </c>
      <c r="AA436" s="2"/>
    </row>
    <row r="437" spans="1:27" ht="23.1" customHeight="1" x14ac:dyDescent="0.25">
      <c r="A437" s="20" t="s">
        <v>575</v>
      </c>
      <c r="B437" s="3" t="s">
        <v>110</v>
      </c>
      <c r="C437" s="3">
        <v>15</v>
      </c>
      <c r="D437" s="3" t="s">
        <v>592</v>
      </c>
      <c r="E437" s="1" t="s">
        <v>218</v>
      </c>
      <c r="F437" s="21" t="s">
        <v>218</v>
      </c>
      <c r="G437" s="3" t="s">
        <v>107</v>
      </c>
      <c r="H437" s="3">
        <v>10</v>
      </c>
      <c r="I437" s="3" t="s">
        <v>1916</v>
      </c>
      <c r="J437" s="2"/>
      <c r="K437" s="3">
        <v>9</v>
      </c>
      <c r="L437" s="23">
        <v>28</v>
      </c>
      <c r="M437" s="23">
        <v>28</v>
      </c>
      <c r="N437" s="24" t="s">
        <v>456</v>
      </c>
      <c r="O437" s="34"/>
      <c r="P437" s="31">
        <v>60</v>
      </c>
      <c r="Q437" s="31"/>
      <c r="R437" s="31"/>
      <c r="S437" s="23"/>
      <c r="T437" s="31">
        <v>60</v>
      </c>
      <c r="U437" s="31"/>
      <c r="V437" s="36"/>
      <c r="W437" s="37"/>
      <c r="X437" s="29">
        <v>9</v>
      </c>
      <c r="Y437" s="3" t="s">
        <v>31</v>
      </c>
      <c r="Z437" s="2"/>
      <c r="AA437" s="2"/>
    </row>
    <row r="438" spans="1:27" ht="23.1" customHeight="1" x14ac:dyDescent="0.25">
      <c r="A438" s="20" t="s">
        <v>575</v>
      </c>
      <c r="B438" s="3" t="s">
        <v>110</v>
      </c>
      <c r="C438" s="3">
        <v>15</v>
      </c>
      <c r="D438" s="3" t="s">
        <v>592</v>
      </c>
      <c r="E438" s="1" t="s">
        <v>218</v>
      </c>
      <c r="F438" s="21" t="s">
        <v>218</v>
      </c>
      <c r="G438" s="3" t="s">
        <v>118</v>
      </c>
      <c r="H438" s="3">
        <v>10</v>
      </c>
      <c r="I438" s="3" t="s">
        <v>1916</v>
      </c>
      <c r="J438" s="2"/>
      <c r="K438" s="3">
        <v>1</v>
      </c>
      <c r="L438" s="33"/>
      <c r="M438" s="23">
        <v>28</v>
      </c>
      <c r="N438" s="24" t="s">
        <v>247</v>
      </c>
      <c r="O438" s="34"/>
      <c r="P438" s="31">
        <v>60</v>
      </c>
      <c r="Q438" s="31"/>
      <c r="R438" s="31"/>
      <c r="S438" s="23"/>
      <c r="T438" s="31">
        <v>60</v>
      </c>
      <c r="U438" s="31"/>
      <c r="V438" s="36"/>
      <c r="W438" s="37"/>
      <c r="X438" s="29">
        <v>1</v>
      </c>
      <c r="Y438" s="3" t="s">
        <v>31</v>
      </c>
      <c r="Z438" s="2"/>
      <c r="AA438" s="2"/>
    </row>
    <row r="439" spans="1:27" ht="23.1" customHeight="1" x14ac:dyDescent="0.25">
      <c r="A439" s="20" t="s">
        <v>575</v>
      </c>
      <c r="B439" s="3" t="s">
        <v>110</v>
      </c>
      <c r="C439" s="3">
        <v>24</v>
      </c>
      <c r="D439" s="3" t="s">
        <v>392</v>
      </c>
      <c r="E439" s="1" t="s">
        <v>259</v>
      </c>
      <c r="F439" s="21" t="s">
        <v>979</v>
      </c>
      <c r="G439" s="3" t="s">
        <v>118</v>
      </c>
      <c r="H439" s="3">
        <v>50</v>
      </c>
      <c r="I439" s="2" t="s">
        <v>1965</v>
      </c>
      <c r="J439" s="3">
        <v>0.5</v>
      </c>
      <c r="K439" s="3">
        <v>0.5</v>
      </c>
      <c r="L439" s="33"/>
      <c r="M439" s="23">
        <v>26</v>
      </c>
      <c r="N439" s="24" t="s">
        <v>487</v>
      </c>
      <c r="O439" s="34"/>
      <c r="P439" s="31">
        <v>1960</v>
      </c>
      <c r="Q439" s="31">
        <v>120</v>
      </c>
      <c r="R439" s="31"/>
      <c r="S439" s="23"/>
      <c r="T439" s="31">
        <v>180</v>
      </c>
      <c r="U439" s="31"/>
      <c r="V439" s="36"/>
      <c r="W439" s="37"/>
      <c r="X439" s="29">
        <v>16.3</v>
      </c>
      <c r="Y439" s="3" t="s">
        <v>3</v>
      </c>
      <c r="Z439" s="2"/>
      <c r="AA439" s="2"/>
    </row>
    <row r="440" spans="1:27" ht="23.1" customHeight="1" x14ac:dyDescent="0.25">
      <c r="A440" s="20" t="s">
        <v>575</v>
      </c>
      <c r="B440" s="3" t="s">
        <v>110</v>
      </c>
      <c r="C440" s="3">
        <v>69</v>
      </c>
      <c r="D440" s="3" t="s">
        <v>495</v>
      </c>
      <c r="E440" s="1" t="s">
        <v>267</v>
      </c>
      <c r="F440" s="21" t="s">
        <v>267</v>
      </c>
      <c r="G440" s="3" t="s">
        <v>118</v>
      </c>
      <c r="H440" s="3">
        <v>52</v>
      </c>
      <c r="I440" s="2"/>
      <c r="J440" s="3">
        <v>1</v>
      </c>
      <c r="K440" s="3">
        <v>1</v>
      </c>
      <c r="L440" s="33"/>
      <c r="M440" s="23">
        <v>37</v>
      </c>
      <c r="N440" s="24" t="s">
        <v>429</v>
      </c>
      <c r="O440" s="34">
        <v>180</v>
      </c>
      <c r="P440" s="31"/>
      <c r="Q440" s="31"/>
      <c r="R440" s="31">
        <v>90</v>
      </c>
      <c r="S440" s="23">
        <v>1</v>
      </c>
      <c r="T440" s="31"/>
      <c r="U440" s="31">
        <v>180</v>
      </c>
      <c r="V440" s="36">
        <v>1</v>
      </c>
      <c r="W440" s="37">
        <v>5</v>
      </c>
      <c r="X440" s="32">
        <v>12.5</v>
      </c>
      <c r="Y440" s="3" t="s">
        <v>3</v>
      </c>
      <c r="Z440" s="2" t="s">
        <v>600</v>
      </c>
      <c r="AA440" s="2"/>
    </row>
    <row r="441" spans="1:27" ht="23.1" customHeight="1" x14ac:dyDescent="0.25">
      <c r="A441" s="20" t="s">
        <v>575</v>
      </c>
      <c r="B441" s="3" t="s">
        <v>110</v>
      </c>
      <c r="C441" s="3">
        <v>91</v>
      </c>
      <c r="D441" s="3" t="s">
        <v>484</v>
      </c>
      <c r="E441" s="1" t="s">
        <v>485</v>
      </c>
      <c r="F441" s="21" t="s">
        <v>485</v>
      </c>
      <c r="G441" s="3" t="s">
        <v>300</v>
      </c>
      <c r="H441" s="3">
        <v>32</v>
      </c>
      <c r="I441" s="2"/>
      <c r="J441" s="3">
        <v>1</v>
      </c>
      <c r="K441" s="3">
        <v>1</v>
      </c>
      <c r="L441" s="33"/>
      <c r="M441" s="23">
        <v>28</v>
      </c>
      <c r="N441" s="24" t="s">
        <v>222</v>
      </c>
      <c r="O441" s="25">
        <v>150</v>
      </c>
      <c r="P441" s="31"/>
      <c r="Q441" s="31"/>
      <c r="R441" s="25">
        <v>120</v>
      </c>
      <c r="S441" s="23">
        <v>1</v>
      </c>
      <c r="T441" s="31"/>
      <c r="U441" s="31"/>
      <c r="V441" s="36"/>
      <c r="W441" s="37"/>
      <c r="X441" s="32">
        <v>4.5</v>
      </c>
      <c r="Y441" s="3" t="s">
        <v>3</v>
      </c>
      <c r="Z441" s="2"/>
      <c r="AA441" s="2"/>
    </row>
    <row r="442" spans="1:27" ht="23.1" customHeight="1" x14ac:dyDescent="0.25">
      <c r="A442" s="20" t="s">
        <v>575</v>
      </c>
      <c r="B442" s="3" t="s">
        <v>110</v>
      </c>
      <c r="C442" s="3">
        <v>91</v>
      </c>
      <c r="D442" s="3" t="s">
        <v>484</v>
      </c>
      <c r="E442" s="1" t="s">
        <v>485</v>
      </c>
      <c r="F442" s="21" t="s">
        <v>485</v>
      </c>
      <c r="G442" s="3" t="s">
        <v>300</v>
      </c>
      <c r="H442" s="3">
        <v>30</v>
      </c>
      <c r="I442" s="3" t="s">
        <v>1921</v>
      </c>
      <c r="J442" s="2"/>
      <c r="K442" s="3">
        <v>0.1</v>
      </c>
      <c r="L442" s="23">
        <v>28</v>
      </c>
      <c r="M442" s="33"/>
      <c r="N442" s="24" t="s">
        <v>222</v>
      </c>
      <c r="O442" s="34"/>
      <c r="P442" s="31">
        <v>960</v>
      </c>
      <c r="Q442" s="31">
        <v>120</v>
      </c>
      <c r="R442" s="31"/>
      <c r="S442" s="23"/>
      <c r="T442" s="31">
        <v>180</v>
      </c>
      <c r="U442" s="31"/>
      <c r="V442" s="36"/>
      <c r="W442" s="37"/>
      <c r="X442" s="29">
        <v>1.6</v>
      </c>
      <c r="Y442" s="3" t="s">
        <v>3</v>
      </c>
      <c r="Z442" s="2"/>
      <c r="AA442" s="2"/>
    </row>
    <row r="443" spans="1:27" ht="23.1" customHeight="1" x14ac:dyDescent="0.25">
      <c r="A443" s="20" t="s">
        <v>575</v>
      </c>
      <c r="B443" s="3" t="s">
        <v>110</v>
      </c>
      <c r="C443" s="3">
        <v>84</v>
      </c>
      <c r="D443" s="3" t="s">
        <v>517</v>
      </c>
      <c r="E443" s="1" t="s">
        <v>518</v>
      </c>
      <c r="F443" s="21" t="s">
        <v>518</v>
      </c>
      <c r="G443" s="3" t="s">
        <v>300</v>
      </c>
      <c r="H443" s="3">
        <v>25</v>
      </c>
      <c r="I443" s="2" t="s">
        <v>1984</v>
      </c>
      <c r="J443" s="3">
        <v>10</v>
      </c>
      <c r="K443" s="3">
        <v>14</v>
      </c>
      <c r="L443" s="23">
        <v>28</v>
      </c>
      <c r="M443" s="33"/>
      <c r="N443" s="24" t="s">
        <v>601</v>
      </c>
      <c r="O443" s="34"/>
      <c r="P443" s="31">
        <v>40</v>
      </c>
      <c r="Q443" s="31">
        <v>30</v>
      </c>
      <c r="R443" s="31"/>
      <c r="S443" s="23"/>
      <c r="T443" s="31">
        <v>90</v>
      </c>
      <c r="U443" s="31"/>
      <c r="V443" s="36"/>
      <c r="W443" s="37"/>
      <c r="X443" s="29">
        <v>9.3000000000000007</v>
      </c>
      <c r="Y443" s="3" t="s">
        <v>3</v>
      </c>
      <c r="Z443" s="2"/>
      <c r="AA443" s="2"/>
    </row>
    <row r="444" spans="1:27" ht="23.1" customHeight="1" x14ac:dyDescent="0.25">
      <c r="A444" s="20" t="s">
        <v>575</v>
      </c>
      <c r="B444" s="3" t="s">
        <v>110</v>
      </c>
      <c r="C444" s="3">
        <v>91</v>
      </c>
      <c r="D444" s="3" t="s">
        <v>484</v>
      </c>
      <c r="E444" s="1" t="s">
        <v>485</v>
      </c>
      <c r="F444" s="21" t="s">
        <v>485</v>
      </c>
      <c r="G444" s="3" t="s">
        <v>300</v>
      </c>
      <c r="H444" s="3">
        <v>30</v>
      </c>
      <c r="I444" s="3" t="s">
        <v>1921</v>
      </c>
      <c r="J444" s="2"/>
      <c r="K444" s="3">
        <v>0.4</v>
      </c>
      <c r="L444" s="33"/>
      <c r="M444" s="23">
        <v>5</v>
      </c>
      <c r="N444" s="24" t="s">
        <v>216</v>
      </c>
      <c r="O444" s="34"/>
      <c r="P444" s="31">
        <v>960</v>
      </c>
      <c r="Q444" s="31">
        <v>120</v>
      </c>
      <c r="R444" s="31"/>
      <c r="S444" s="23">
        <v>1</v>
      </c>
      <c r="T444" s="31">
        <v>180</v>
      </c>
      <c r="U444" s="31"/>
      <c r="V444" s="36"/>
      <c r="W444" s="37"/>
      <c r="X444" s="29">
        <v>8.4</v>
      </c>
      <c r="Y444" s="3" t="s">
        <v>3</v>
      </c>
      <c r="Z444" s="2" t="s">
        <v>145</v>
      </c>
      <c r="AA444" s="2"/>
    </row>
    <row r="445" spans="1:27" ht="23.1" customHeight="1" x14ac:dyDescent="0.25">
      <c r="A445" s="20" t="s">
        <v>575</v>
      </c>
      <c r="B445" s="3" t="s">
        <v>110</v>
      </c>
      <c r="C445" s="3">
        <v>23</v>
      </c>
      <c r="D445" s="3" t="s">
        <v>254</v>
      </c>
      <c r="E445" s="1" t="s">
        <v>255</v>
      </c>
      <c r="F445" s="21" t="s">
        <v>1016</v>
      </c>
      <c r="G445" s="3" t="s">
        <v>375</v>
      </c>
      <c r="H445" s="3">
        <v>37</v>
      </c>
      <c r="I445" s="2"/>
      <c r="J445" s="3">
        <v>1</v>
      </c>
      <c r="K445" s="3">
        <v>1.2</v>
      </c>
      <c r="L445" s="23">
        <v>26</v>
      </c>
      <c r="M445" s="23">
        <v>5</v>
      </c>
      <c r="N445" s="24" t="s">
        <v>602</v>
      </c>
      <c r="O445" s="25">
        <v>660</v>
      </c>
      <c r="P445" s="31"/>
      <c r="Q445" s="31"/>
      <c r="R445" s="31">
        <v>90</v>
      </c>
      <c r="S445" s="23">
        <v>2</v>
      </c>
      <c r="T445" s="31"/>
      <c r="U445" s="31"/>
      <c r="V445" s="36"/>
      <c r="W445" s="37"/>
      <c r="X445" s="32">
        <v>16.2</v>
      </c>
      <c r="Y445" s="3" t="s">
        <v>33</v>
      </c>
      <c r="Z445" s="2" t="s">
        <v>147</v>
      </c>
      <c r="AA445" s="2"/>
    </row>
    <row r="446" spans="1:27" ht="23.1" customHeight="1" x14ac:dyDescent="0.25">
      <c r="A446" s="20" t="s">
        <v>575</v>
      </c>
      <c r="B446" s="3" t="s">
        <v>110</v>
      </c>
      <c r="C446" s="3">
        <v>47</v>
      </c>
      <c r="D446" s="3" t="s">
        <v>332</v>
      </c>
      <c r="E446" s="1" t="s">
        <v>333</v>
      </c>
      <c r="F446" s="21" t="s">
        <v>2548</v>
      </c>
      <c r="G446" s="3" t="s">
        <v>334</v>
      </c>
      <c r="H446" s="3">
        <v>20</v>
      </c>
      <c r="I446" s="2" t="s">
        <v>1959</v>
      </c>
      <c r="J446" s="3">
        <v>1.2</v>
      </c>
      <c r="K446" s="3">
        <v>1</v>
      </c>
      <c r="L446" s="23">
        <v>28</v>
      </c>
      <c r="M446" s="23">
        <v>5</v>
      </c>
      <c r="N446" s="24" t="s">
        <v>603</v>
      </c>
      <c r="O446" s="34"/>
      <c r="P446" s="31">
        <v>720</v>
      </c>
      <c r="Q446" s="31">
        <v>90</v>
      </c>
      <c r="R446" s="31"/>
      <c r="S446" s="23">
        <v>1</v>
      </c>
      <c r="T446" s="31">
        <v>120</v>
      </c>
      <c r="U446" s="31"/>
      <c r="V446" s="36"/>
      <c r="W446" s="37"/>
      <c r="X446" s="29">
        <v>13.5</v>
      </c>
      <c r="Y446" s="3" t="s">
        <v>33</v>
      </c>
      <c r="Z446" s="2" t="s">
        <v>145</v>
      </c>
      <c r="AA446" s="2"/>
    </row>
    <row r="447" spans="1:27" ht="23.1" customHeight="1" x14ac:dyDescent="0.25">
      <c r="A447" s="20" t="s">
        <v>575</v>
      </c>
      <c r="B447" s="3" t="s">
        <v>110</v>
      </c>
      <c r="C447" s="3">
        <v>119</v>
      </c>
      <c r="D447" s="3" t="s">
        <v>604</v>
      </c>
      <c r="E447" s="1" t="s">
        <v>605</v>
      </c>
      <c r="F447" s="21" t="s">
        <v>605</v>
      </c>
      <c r="G447" s="3" t="s">
        <v>107</v>
      </c>
      <c r="H447" s="3">
        <v>50</v>
      </c>
      <c r="I447" s="2" t="s">
        <v>1985</v>
      </c>
      <c r="J447" s="3">
        <v>5</v>
      </c>
      <c r="K447" s="3">
        <v>2</v>
      </c>
      <c r="L447" s="23">
        <v>31</v>
      </c>
      <c r="M447" s="23">
        <v>5</v>
      </c>
      <c r="N447" s="24" t="s">
        <v>487</v>
      </c>
      <c r="O447" s="34"/>
      <c r="P447" s="31">
        <v>150</v>
      </c>
      <c r="Q447" s="31">
        <v>90</v>
      </c>
      <c r="R447" s="31"/>
      <c r="S447" s="23"/>
      <c r="T447" s="31">
        <v>150</v>
      </c>
      <c r="U447" s="31"/>
      <c r="V447" s="36"/>
      <c r="W447" s="37">
        <v>6</v>
      </c>
      <c r="X447" s="29">
        <v>11</v>
      </c>
      <c r="Y447" s="3" t="s">
        <v>3</v>
      </c>
      <c r="Z447" s="2" t="s">
        <v>606</v>
      </c>
      <c r="AA447" s="2"/>
    </row>
    <row r="448" spans="1:27" ht="23.1" customHeight="1" x14ac:dyDescent="0.25">
      <c r="A448" s="20" t="s">
        <v>575</v>
      </c>
      <c r="B448" s="3" t="s">
        <v>110</v>
      </c>
      <c r="C448" s="3">
        <v>21</v>
      </c>
      <c r="D448" s="3" t="s">
        <v>321</v>
      </c>
      <c r="E448" s="1" t="s">
        <v>322</v>
      </c>
      <c r="F448" s="21" t="s">
        <v>322</v>
      </c>
      <c r="G448" s="3" t="s">
        <v>323</v>
      </c>
      <c r="H448" s="3">
        <v>5</v>
      </c>
      <c r="I448" s="2" t="s">
        <v>1945</v>
      </c>
      <c r="J448" s="3">
        <v>1</v>
      </c>
      <c r="K448" s="3">
        <v>1</v>
      </c>
      <c r="L448" s="23">
        <v>28</v>
      </c>
      <c r="M448" s="33"/>
      <c r="N448" s="24" t="s">
        <v>607</v>
      </c>
      <c r="O448" s="34"/>
      <c r="P448" s="31">
        <v>540</v>
      </c>
      <c r="Q448" s="31">
        <v>120</v>
      </c>
      <c r="R448" s="31"/>
      <c r="S448" s="23">
        <v>1</v>
      </c>
      <c r="T448" s="31">
        <v>180</v>
      </c>
      <c r="U448" s="31"/>
      <c r="V448" s="36">
        <v>1</v>
      </c>
      <c r="W448" s="37"/>
      <c r="X448" s="29">
        <v>14</v>
      </c>
      <c r="Y448" s="3" t="s">
        <v>58</v>
      </c>
      <c r="Z448" s="2" t="s">
        <v>608</v>
      </c>
      <c r="AA448" s="2"/>
    </row>
    <row r="449" spans="1:27" ht="23.1" customHeight="1" x14ac:dyDescent="0.25">
      <c r="A449" s="20" t="s">
        <v>575</v>
      </c>
      <c r="B449" s="3" t="s">
        <v>110</v>
      </c>
      <c r="C449" s="3">
        <v>21</v>
      </c>
      <c r="D449" s="3" t="s">
        <v>321</v>
      </c>
      <c r="E449" s="1" t="s">
        <v>322</v>
      </c>
      <c r="F449" s="21" t="s">
        <v>322</v>
      </c>
      <c r="G449" s="3" t="s">
        <v>323</v>
      </c>
      <c r="H449" s="3">
        <v>50</v>
      </c>
      <c r="I449" s="2" t="s">
        <v>1986</v>
      </c>
      <c r="J449" s="3">
        <v>0.5</v>
      </c>
      <c r="K449" s="3">
        <v>0.5</v>
      </c>
      <c r="L449" s="33"/>
      <c r="M449" s="23">
        <v>26</v>
      </c>
      <c r="N449" s="24" t="s">
        <v>609</v>
      </c>
      <c r="O449" s="34"/>
      <c r="P449" s="31">
        <v>630</v>
      </c>
      <c r="Q449" s="31">
        <v>120</v>
      </c>
      <c r="R449" s="31"/>
      <c r="S449" s="23">
        <v>1</v>
      </c>
      <c r="T449" s="31">
        <v>180</v>
      </c>
      <c r="U449" s="31"/>
      <c r="V449" s="36">
        <v>1</v>
      </c>
      <c r="W449" s="37"/>
      <c r="X449" s="29">
        <v>10.3</v>
      </c>
      <c r="Y449" s="3" t="s">
        <v>58</v>
      </c>
      <c r="Z449" s="2" t="s">
        <v>610</v>
      </c>
      <c r="AA449" s="2"/>
    </row>
    <row r="450" spans="1:27" ht="23.1" customHeight="1" x14ac:dyDescent="0.25">
      <c r="A450" s="20" t="s">
        <v>575</v>
      </c>
      <c r="B450" s="3" t="s">
        <v>110</v>
      </c>
      <c r="C450" s="3">
        <v>22</v>
      </c>
      <c r="D450" s="3" t="s">
        <v>611</v>
      </c>
      <c r="E450" s="1" t="s">
        <v>612</v>
      </c>
      <c r="F450" s="21" t="s">
        <v>612</v>
      </c>
      <c r="G450" s="3" t="s">
        <v>102</v>
      </c>
      <c r="H450" s="3">
        <v>40</v>
      </c>
      <c r="I450" s="2" t="s">
        <v>1987</v>
      </c>
      <c r="J450" s="3">
        <v>0.9</v>
      </c>
      <c r="K450" s="3">
        <v>1</v>
      </c>
      <c r="L450" s="33"/>
      <c r="M450" s="23">
        <v>26</v>
      </c>
      <c r="N450" s="24" t="s">
        <v>613</v>
      </c>
      <c r="O450" s="34"/>
      <c r="P450" s="31">
        <v>510</v>
      </c>
      <c r="Q450" s="31">
        <v>180</v>
      </c>
      <c r="R450" s="31"/>
      <c r="S450" s="23">
        <v>1</v>
      </c>
      <c r="T450" s="31">
        <v>180</v>
      </c>
      <c r="U450" s="31"/>
      <c r="V450" s="36">
        <v>1</v>
      </c>
      <c r="W450" s="37"/>
      <c r="X450" s="29">
        <v>14.5</v>
      </c>
      <c r="Y450" s="3" t="s">
        <v>58</v>
      </c>
      <c r="Z450" s="2" t="s">
        <v>614</v>
      </c>
      <c r="AA450" s="2"/>
    </row>
    <row r="451" spans="1:27" ht="23.1" customHeight="1" x14ac:dyDescent="0.25">
      <c r="A451" s="20" t="s">
        <v>575</v>
      </c>
      <c r="B451" s="3" t="s">
        <v>137</v>
      </c>
      <c r="C451" s="3">
        <v>57</v>
      </c>
      <c r="D451" s="3" t="s">
        <v>594</v>
      </c>
      <c r="E451" s="1" t="s">
        <v>595</v>
      </c>
      <c r="F451" s="21" t="s">
        <v>595</v>
      </c>
      <c r="G451" s="3" t="s">
        <v>102</v>
      </c>
      <c r="H451" s="3">
        <v>10</v>
      </c>
      <c r="I451" s="2" t="s">
        <v>1988</v>
      </c>
      <c r="J451" s="3">
        <v>8</v>
      </c>
      <c r="K451" s="3">
        <v>8</v>
      </c>
      <c r="L451" s="23">
        <v>26</v>
      </c>
      <c r="M451" s="23">
        <v>26</v>
      </c>
      <c r="N451" s="24" t="s">
        <v>596</v>
      </c>
      <c r="O451" s="31"/>
      <c r="P451" s="31">
        <v>40</v>
      </c>
      <c r="Q451" s="31"/>
      <c r="R451" s="31"/>
      <c r="S451" s="23"/>
      <c r="T451" s="31">
        <v>90</v>
      </c>
      <c r="U451" s="31"/>
      <c r="V451" s="36">
        <v>1</v>
      </c>
      <c r="W451" s="37"/>
      <c r="X451" s="29">
        <v>6.8</v>
      </c>
      <c r="Y451" s="3" t="s">
        <v>57</v>
      </c>
      <c r="Z451" s="2"/>
      <c r="AA451" s="2"/>
    </row>
    <row r="452" spans="1:27" ht="23.1" customHeight="1" x14ac:dyDescent="0.25">
      <c r="A452" s="20" t="s">
        <v>575</v>
      </c>
      <c r="B452" s="3" t="s">
        <v>137</v>
      </c>
      <c r="C452" s="3">
        <v>57</v>
      </c>
      <c r="D452" s="3" t="s">
        <v>594</v>
      </c>
      <c r="E452" s="1" t="s">
        <v>595</v>
      </c>
      <c r="F452" s="21" t="s">
        <v>595</v>
      </c>
      <c r="G452" s="3" t="s">
        <v>102</v>
      </c>
      <c r="H452" s="3">
        <v>15</v>
      </c>
      <c r="I452" s="2" t="s">
        <v>1989</v>
      </c>
      <c r="J452" s="3">
        <v>2</v>
      </c>
      <c r="K452" s="3">
        <v>4</v>
      </c>
      <c r="L452" s="23">
        <v>37</v>
      </c>
      <c r="M452" s="23">
        <v>37</v>
      </c>
      <c r="N452" s="24" t="s">
        <v>596</v>
      </c>
      <c r="O452" s="31"/>
      <c r="P452" s="31">
        <v>80</v>
      </c>
      <c r="Q452" s="31"/>
      <c r="R452" s="31"/>
      <c r="S452" s="23"/>
      <c r="T452" s="31">
        <v>60</v>
      </c>
      <c r="U452" s="31"/>
      <c r="V452" s="36">
        <v>1</v>
      </c>
      <c r="W452" s="37">
        <v>2</v>
      </c>
      <c r="X452" s="29">
        <v>8.3000000000000007</v>
      </c>
      <c r="Y452" s="3" t="s">
        <v>57</v>
      </c>
      <c r="Z452" s="2" t="s">
        <v>546</v>
      </c>
      <c r="AA452" s="1" t="s">
        <v>238</v>
      </c>
    </row>
    <row r="453" spans="1:27" ht="23.1" customHeight="1" x14ac:dyDescent="0.25">
      <c r="A453" s="20" t="s">
        <v>575</v>
      </c>
      <c r="B453" s="3" t="s">
        <v>137</v>
      </c>
      <c r="C453" s="3">
        <v>58</v>
      </c>
      <c r="D453" s="3" t="s">
        <v>423</v>
      </c>
      <c r="E453" s="1" t="s">
        <v>424</v>
      </c>
      <c r="F453" s="21" t="s">
        <v>424</v>
      </c>
      <c r="G453" s="3" t="s">
        <v>107</v>
      </c>
      <c r="H453" s="3">
        <v>25</v>
      </c>
      <c r="I453" s="2" t="s">
        <v>1983</v>
      </c>
      <c r="J453" s="3">
        <v>6</v>
      </c>
      <c r="K453" s="3">
        <v>6</v>
      </c>
      <c r="L453" s="23">
        <v>26</v>
      </c>
      <c r="M453" s="23">
        <v>26</v>
      </c>
      <c r="N453" s="24" t="s">
        <v>615</v>
      </c>
      <c r="O453" s="31"/>
      <c r="P453" s="31">
        <v>85</v>
      </c>
      <c r="Q453" s="31"/>
      <c r="R453" s="31"/>
      <c r="S453" s="23"/>
      <c r="T453" s="31">
        <v>120</v>
      </c>
      <c r="U453" s="31"/>
      <c r="V453" s="36"/>
      <c r="W453" s="37"/>
      <c r="X453" s="29">
        <v>8.5</v>
      </c>
      <c r="Y453" s="3" t="s">
        <v>57</v>
      </c>
      <c r="Z453" s="2"/>
      <c r="AA453" s="2"/>
    </row>
    <row r="454" spans="1:27" ht="23.1" customHeight="1" x14ac:dyDescent="0.25">
      <c r="A454" s="20" t="s">
        <v>575</v>
      </c>
      <c r="B454" s="3" t="s">
        <v>137</v>
      </c>
      <c r="C454" s="3">
        <v>59</v>
      </c>
      <c r="D454" s="3" t="s">
        <v>142</v>
      </c>
      <c r="E454" s="1" t="s">
        <v>133</v>
      </c>
      <c r="F454" s="21" t="s">
        <v>133</v>
      </c>
      <c r="G454" s="3" t="s">
        <v>102</v>
      </c>
      <c r="H454" s="3">
        <v>30</v>
      </c>
      <c r="I454" s="2" t="s">
        <v>1990</v>
      </c>
      <c r="J454" s="3">
        <v>2</v>
      </c>
      <c r="K454" s="3">
        <v>2</v>
      </c>
      <c r="L454" s="23">
        <v>37</v>
      </c>
      <c r="M454" s="23">
        <v>37</v>
      </c>
      <c r="N454" s="24" t="s">
        <v>140</v>
      </c>
      <c r="O454" s="34"/>
      <c r="P454" s="31">
        <v>85</v>
      </c>
      <c r="Q454" s="31"/>
      <c r="R454" s="31"/>
      <c r="S454" s="23"/>
      <c r="T454" s="31">
        <v>60</v>
      </c>
      <c r="U454" s="31"/>
      <c r="V454" s="36">
        <v>1</v>
      </c>
      <c r="W454" s="37"/>
      <c r="X454" s="29">
        <v>3.8</v>
      </c>
      <c r="Y454" s="3" t="s">
        <v>6</v>
      </c>
      <c r="Z454" s="2"/>
      <c r="AA454" s="2"/>
    </row>
    <row r="455" spans="1:27" ht="23.1" customHeight="1" x14ac:dyDescent="0.25">
      <c r="A455" s="20" t="s">
        <v>575</v>
      </c>
      <c r="B455" s="3" t="s">
        <v>137</v>
      </c>
      <c r="C455" s="3">
        <v>59</v>
      </c>
      <c r="D455" s="3" t="s">
        <v>616</v>
      </c>
      <c r="E455" s="1" t="s">
        <v>617</v>
      </c>
      <c r="F455" s="21" t="s">
        <v>617</v>
      </c>
      <c r="G455" s="3" t="s">
        <v>102</v>
      </c>
      <c r="H455" s="3">
        <v>5</v>
      </c>
      <c r="I455" s="2" t="s">
        <v>1957</v>
      </c>
      <c r="J455" s="3">
        <v>8</v>
      </c>
      <c r="K455" s="3">
        <v>4</v>
      </c>
      <c r="L455" s="23">
        <v>5</v>
      </c>
      <c r="M455" s="23">
        <v>5</v>
      </c>
      <c r="N455" s="24" t="s">
        <v>596</v>
      </c>
      <c r="O455" s="34"/>
      <c r="P455" s="31">
        <v>60</v>
      </c>
      <c r="Q455" s="31"/>
      <c r="R455" s="31"/>
      <c r="S455" s="23"/>
      <c r="T455" s="31">
        <v>60</v>
      </c>
      <c r="U455" s="31"/>
      <c r="V455" s="36"/>
      <c r="W455" s="37"/>
      <c r="X455" s="29">
        <v>4</v>
      </c>
      <c r="Y455" s="3" t="s">
        <v>6</v>
      </c>
      <c r="Z455" s="2"/>
      <c r="AA455" s="2"/>
    </row>
    <row r="456" spans="1:27" ht="23.1" customHeight="1" x14ac:dyDescent="0.25">
      <c r="A456" s="20" t="s">
        <v>575</v>
      </c>
      <c r="B456" s="3" t="s">
        <v>137</v>
      </c>
      <c r="C456" s="3">
        <v>24</v>
      </c>
      <c r="D456" s="3" t="s">
        <v>392</v>
      </c>
      <c r="E456" s="1" t="s">
        <v>259</v>
      </c>
      <c r="F456" s="21" t="s">
        <v>979</v>
      </c>
      <c r="G456" s="3" t="s">
        <v>118</v>
      </c>
      <c r="H456" s="3">
        <v>50</v>
      </c>
      <c r="I456" s="2" t="s">
        <v>1965</v>
      </c>
      <c r="J456" s="3">
        <v>0.5</v>
      </c>
      <c r="K456" s="3">
        <v>0.4</v>
      </c>
      <c r="L456" s="23">
        <v>26</v>
      </c>
      <c r="M456" s="23">
        <v>28</v>
      </c>
      <c r="N456" s="24" t="s">
        <v>618</v>
      </c>
      <c r="O456" s="34"/>
      <c r="P456" s="31">
        <v>1960</v>
      </c>
      <c r="Q456" s="31">
        <v>120</v>
      </c>
      <c r="R456" s="31"/>
      <c r="S456" s="23">
        <v>1</v>
      </c>
      <c r="T456" s="31">
        <v>180</v>
      </c>
      <c r="U456" s="31"/>
      <c r="V456" s="36"/>
      <c r="W456" s="37"/>
      <c r="X456" s="29">
        <v>15.1</v>
      </c>
      <c r="Y456" s="3" t="s">
        <v>52</v>
      </c>
      <c r="Z456" s="2" t="s">
        <v>145</v>
      </c>
      <c r="AA456" s="2"/>
    </row>
    <row r="457" spans="1:27" ht="23.1" customHeight="1" x14ac:dyDescent="0.25">
      <c r="A457" s="20" t="s">
        <v>575</v>
      </c>
      <c r="B457" s="3" t="s">
        <v>137</v>
      </c>
      <c r="C457" s="3">
        <v>91</v>
      </c>
      <c r="D457" s="3" t="s">
        <v>484</v>
      </c>
      <c r="E457" s="1" t="s">
        <v>485</v>
      </c>
      <c r="F457" s="21" t="s">
        <v>485</v>
      </c>
      <c r="G457" s="3" t="s">
        <v>300</v>
      </c>
      <c r="H457" s="3">
        <v>30</v>
      </c>
      <c r="I457" s="3" t="s">
        <v>1921</v>
      </c>
      <c r="J457" s="23"/>
      <c r="K457" s="2"/>
      <c r="L457" s="33"/>
      <c r="M457" s="23">
        <v>9</v>
      </c>
      <c r="N457" s="24" t="s">
        <v>222</v>
      </c>
      <c r="O457" s="34"/>
      <c r="P457" s="31">
        <v>960</v>
      </c>
      <c r="Q457" s="31">
        <v>120</v>
      </c>
      <c r="R457" s="31"/>
      <c r="S457" s="23"/>
      <c r="T457" s="31">
        <v>180</v>
      </c>
      <c r="U457" s="31"/>
      <c r="V457" s="36"/>
      <c r="W457" s="37">
        <v>3</v>
      </c>
      <c r="X457" s="29">
        <v>3</v>
      </c>
      <c r="Y457" s="3" t="s">
        <v>52</v>
      </c>
      <c r="Z457" s="2" t="s">
        <v>619</v>
      </c>
      <c r="AA457" s="2"/>
    </row>
    <row r="458" spans="1:27" ht="23.1" customHeight="1" x14ac:dyDescent="0.25">
      <c r="A458" s="20" t="s">
        <v>575</v>
      </c>
      <c r="B458" s="3" t="s">
        <v>137</v>
      </c>
      <c r="C458" s="3">
        <v>69</v>
      </c>
      <c r="D458" s="3" t="s">
        <v>266</v>
      </c>
      <c r="E458" s="1" t="s">
        <v>267</v>
      </c>
      <c r="F458" s="21" t="s">
        <v>267</v>
      </c>
      <c r="G458" s="3" t="s">
        <v>118</v>
      </c>
      <c r="H458" s="3">
        <v>52</v>
      </c>
      <c r="I458" s="2"/>
      <c r="J458" s="3">
        <v>5</v>
      </c>
      <c r="K458" s="3">
        <v>5</v>
      </c>
      <c r="L458" s="23">
        <v>5</v>
      </c>
      <c r="M458" s="23">
        <v>5</v>
      </c>
      <c r="N458" s="24" t="s">
        <v>429</v>
      </c>
      <c r="O458" s="34">
        <v>180</v>
      </c>
      <c r="P458" s="31"/>
      <c r="Q458" s="31"/>
      <c r="R458" s="31">
        <v>90</v>
      </c>
      <c r="S458" s="23">
        <v>5</v>
      </c>
      <c r="T458" s="31"/>
      <c r="U458" s="31"/>
      <c r="V458" s="36"/>
      <c r="W458" s="37"/>
      <c r="X458" s="32">
        <v>22.5</v>
      </c>
      <c r="Y458" s="3" t="s">
        <v>52</v>
      </c>
      <c r="Z458" s="2" t="s">
        <v>620</v>
      </c>
      <c r="AA458" s="2"/>
    </row>
    <row r="459" spans="1:27" ht="23.1" customHeight="1" x14ac:dyDescent="0.25">
      <c r="A459" s="20" t="s">
        <v>575</v>
      </c>
      <c r="B459" s="3" t="s">
        <v>137</v>
      </c>
      <c r="C459" s="3">
        <v>91</v>
      </c>
      <c r="D459" s="3" t="s">
        <v>484</v>
      </c>
      <c r="E459" s="1" t="s">
        <v>485</v>
      </c>
      <c r="F459" s="21" t="s">
        <v>485</v>
      </c>
      <c r="G459" s="3" t="s">
        <v>300</v>
      </c>
      <c r="H459" s="3">
        <v>30</v>
      </c>
      <c r="I459" s="2" t="s">
        <v>1921</v>
      </c>
      <c r="J459" s="3">
        <v>0.6</v>
      </c>
      <c r="K459" s="3">
        <v>0.6</v>
      </c>
      <c r="L459" s="33"/>
      <c r="M459" s="23">
        <v>5</v>
      </c>
      <c r="N459" s="24" t="s">
        <v>216</v>
      </c>
      <c r="O459" s="34"/>
      <c r="P459" s="31">
        <v>960</v>
      </c>
      <c r="Q459" s="31">
        <v>120</v>
      </c>
      <c r="R459" s="31"/>
      <c r="S459" s="23"/>
      <c r="T459" s="31">
        <v>180</v>
      </c>
      <c r="U459" s="31"/>
      <c r="V459" s="36"/>
      <c r="W459" s="37"/>
      <c r="X459" s="29">
        <v>9.6</v>
      </c>
      <c r="Y459" s="3" t="s">
        <v>52</v>
      </c>
      <c r="Z459" s="2"/>
      <c r="AA459" s="2"/>
    </row>
    <row r="460" spans="1:27" ht="23.1" customHeight="1" x14ac:dyDescent="0.25">
      <c r="A460" s="20" t="s">
        <v>575</v>
      </c>
      <c r="B460" s="3" t="s">
        <v>137</v>
      </c>
      <c r="C460" s="3">
        <v>91</v>
      </c>
      <c r="D460" s="3" t="s">
        <v>484</v>
      </c>
      <c r="E460" s="1" t="s">
        <v>485</v>
      </c>
      <c r="F460" s="21" t="s">
        <v>485</v>
      </c>
      <c r="G460" s="3" t="s">
        <v>300</v>
      </c>
      <c r="H460" s="3">
        <v>32</v>
      </c>
      <c r="I460" s="3"/>
      <c r="J460" s="3">
        <v>1</v>
      </c>
      <c r="K460" s="3">
        <v>1</v>
      </c>
      <c r="L460" s="23"/>
      <c r="M460" s="23">
        <v>5</v>
      </c>
      <c r="N460" s="24" t="s">
        <v>216</v>
      </c>
      <c r="O460" s="25">
        <v>150</v>
      </c>
      <c r="P460" s="34"/>
      <c r="Q460" s="31"/>
      <c r="R460" s="25">
        <v>120</v>
      </c>
      <c r="S460" s="23">
        <v>1</v>
      </c>
      <c r="T460" s="31"/>
      <c r="U460" s="31"/>
      <c r="V460" s="38"/>
      <c r="W460" s="37"/>
      <c r="X460" s="32">
        <v>4.5</v>
      </c>
      <c r="Y460" s="3" t="s">
        <v>52</v>
      </c>
      <c r="Z460" s="2"/>
      <c r="AA460" s="2"/>
    </row>
    <row r="461" spans="1:27" ht="23.1" customHeight="1" x14ac:dyDescent="0.25">
      <c r="A461" s="20" t="s">
        <v>575</v>
      </c>
      <c r="B461" s="3" t="s">
        <v>137</v>
      </c>
      <c r="C461" s="3">
        <v>84</v>
      </c>
      <c r="D461" s="3" t="s">
        <v>517</v>
      </c>
      <c r="E461" s="1" t="s">
        <v>518</v>
      </c>
      <c r="F461" s="21" t="s">
        <v>518</v>
      </c>
      <c r="G461" s="3" t="s">
        <v>300</v>
      </c>
      <c r="H461" s="3">
        <v>25</v>
      </c>
      <c r="I461" s="3" t="s">
        <v>1984</v>
      </c>
      <c r="J461" s="3">
        <v>5</v>
      </c>
      <c r="K461" s="3">
        <v>5</v>
      </c>
      <c r="L461" s="23">
        <v>26</v>
      </c>
      <c r="M461" s="23"/>
      <c r="N461" s="24" t="s">
        <v>318</v>
      </c>
      <c r="O461" s="31"/>
      <c r="P461" s="34">
        <v>40</v>
      </c>
      <c r="Q461" s="31">
        <v>30</v>
      </c>
      <c r="R461" s="31"/>
      <c r="S461" s="23">
        <v>5</v>
      </c>
      <c r="T461" s="31">
        <v>90</v>
      </c>
      <c r="U461" s="31"/>
      <c r="V461" s="38"/>
      <c r="W461" s="37"/>
      <c r="X461" s="29">
        <v>5.8</v>
      </c>
      <c r="Y461" s="3" t="s">
        <v>52</v>
      </c>
      <c r="Z461" s="2" t="s">
        <v>620</v>
      </c>
      <c r="AA461" s="2"/>
    </row>
    <row r="462" spans="1:27" ht="23.1" customHeight="1" x14ac:dyDescent="0.25">
      <c r="A462" s="20" t="s">
        <v>575</v>
      </c>
      <c r="B462" s="3" t="s">
        <v>137</v>
      </c>
      <c r="C462" s="3">
        <v>84</v>
      </c>
      <c r="D462" s="3" t="s">
        <v>214</v>
      </c>
      <c r="E462" s="1" t="s">
        <v>215</v>
      </c>
      <c r="F462" s="21" t="s">
        <v>215</v>
      </c>
      <c r="G462" s="3" t="s">
        <v>118</v>
      </c>
      <c r="H462" s="3">
        <v>28</v>
      </c>
      <c r="I462" s="3"/>
      <c r="J462" s="3">
        <v>1</v>
      </c>
      <c r="K462" s="3"/>
      <c r="L462" s="23" t="s">
        <v>108</v>
      </c>
      <c r="M462" s="23">
        <v>26</v>
      </c>
      <c r="N462" s="24" t="s">
        <v>108</v>
      </c>
      <c r="O462" s="31">
        <v>100</v>
      </c>
      <c r="P462" s="34"/>
      <c r="Q462" s="31"/>
      <c r="R462" s="31"/>
      <c r="S462" s="23"/>
      <c r="T462" s="31"/>
      <c r="U462" s="31"/>
      <c r="V462" s="38"/>
      <c r="W462" s="37">
        <v>3</v>
      </c>
      <c r="X462" s="32">
        <v>3</v>
      </c>
      <c r="Y462" s="3" t="s">
        <v>52</v>
      </c>
      <c r="Z462" s="2" t="s">
        <v>621</v>
      </c>
      <c r="AA462" s="2"/>
    </row>
    <row r="463" spans="1:27" ht="23.1" customHeight="1" x14ac:dyDescent="0.25">
      <c r="A463" s="20" t="s">
        <v>575</v>
      </c>
      <c r="B463" s="3" t="s">
        <v>137</v>
      </c>
      <c r="C463" s="3">
        <v>119</v>
      </c>
      <c r="D463" s="3" t="s">
        <v>604</v>
      </c>
      <c r="E463" s="1" t="s">
        <v>605</v>
      </c>
      <c r="F463" s="21" t="s">
        <v>605</v>
      </c>
      <c r="G463" s="3" t="s">
        <v>107</v>
      </c>
      <c r="H463" s="3">
        <v>50</v>
      </c>
      <c r="I463" s="3" t="s">
        <v>1985</v>
      </c>
      <c r="J463" s="3">
        <v>4</v>
      </c>
      <c r="K463" s="3">
        <v>3</v>
      </c>
      <c r="L463" s="23">
        <v>5</v>
      </c>
      <c r="M463" s="23">
        <v>5</v>
      </c>
      <c r="N463" s="24" t="s">
        <v>622</v>
      </c>
      <c r="O463" s="31"/>
      <c r="P463" s="34">
        <v>150</v>
      </c>
      <c r="Q463" s="31">
        <v>90</v>
      </c>
      <c r="R463" s="31"/>
      <c r="S463" s="23"/>
      <c r="T463" s="31">
        <v>150</v>
      </c>
      <c r="U463" s="31"/>
      <c r="V463" s="38"/>
      <c r="W463" s="37">
        <v>3</v>
      </c>
      <c r="X463" s="29">
        <v>10.5</v>
      </c>
      <c r="Y463" s="3" t="s">
        <v>52</v>
      </c>
      <c r="Z463" s="2" t="s">
        <v>623</v>
      </c>
      <c r="AA463" s="2"/>
    </row>
    <row r="464" spans="1:27" ht="23.1" customHeight="1" x14ac:dyDescent="0.25">
      <c r="A464" s="20" t="s">
        <v>575</v>
      </c>
      <c r="B464" s="3" t="s">
        <v>137</v>
      </c>
      <c r="C464" s="3">
        <v>9</v>
      </c>
      <c r="D464" s="3" t="s">
        <v>624</v>
      </c>
      <c r="E464" s="1" t="s">
        <v>625</v>
      </c>
      <c r="F464" s="21" t="s">
        <v>625</v>
      </c>
      <c r="G464" s="3" t="s">
        <v>300</v>
      </c>
      <c r="H464" s="3">
        <v>45</v>
      </c>
      <c r="I464" s="3" t="s">
        <v>1991</v>
      </c>
      <c r="J464" s="3">
        <v>10</v>
      </c>
      <c r="K464" s="3">
        <v>2</v>
      </c>
      <c r="L464" s="23">
        <v>5</v>
      </c>
      <c r="M464" s="23">
        <v>28</v>
      </c>
      <c r="N464" s="24" t="s">
        <v>567</v>
      </c>
      <c r="O464" s="31"/>
      <c r="P464" s="34">
        <v>55</v>
      </c>
      <c r="Q464" s="31"/>
      <c r="R464" s="31"/>
      <c r="S464" s="23"/>
      <c r="T464" s="31">
        <v>60</v>
      </c>
      <c r="U464" s="31"/>
      <c r="V464" s="38">
        <v>1</v>
      </c>
      <c r="W464" s="37"/>
      <c r="X464" s="29">
        <v>2.8</v>
      </c>
      <c r="Y464" s="3" t="s">
        <v>23</v>
      </c>
      <c r="Z464" s="2" t="s">
        <v>547</v>
      </c>
      <c r="AA464" s="2"/>
    </row>
    <row r="465" spans="1:27" ht="23.1" customHeight="1" x14ac:dyDescent="0.25">
      <c r="A465" s="20" t="s">
        <v>575</v>
      </c>
      <c r="B465" s="3" t="s">
        <v>137</v>
      </c>
      <c r="C465" s="3">
        <v>16</v>
      </c>
      <c r="D465" s="3" t="s">
        <v>626</v>
      </c>
      <c r="E465" s="1" t="s">
        <v>627</v>
      </c>
      <c r="F465" s="21" t="s">
        <v>627</v>
      </c>
      <c r="G465" s="3" t="s">
        <v>102</v>
      </c>
      <c r="H465" s="3">
        <v>30</v>
      </c>
      <c r="I465" s="3" t="s">
        <v>1992</v>
      </c>
      <c r="J465" s="3" t="s">
        <v>108</v>
      </c>
      <c r="K465" s="3">
        <v>0</v>
      </c>
      <c r="L465" s="23" t="s">
        <v>108</v>
      </c>
      <c r="M465" s="23" t="s">
        <v>108</v>
      </c>
      <c r="N465" s="24" t="s">
        <v>140</v>
      </c>
      <c r="O465" s="31"/>
      <c r="P465" s="34">
        <v>60</v>
      </c>
      <c r="Q465" s="31"/>
      <c r="R465" s="31"/>
      <c r="S465" s="23"/>
      <c r="T465" s="31">
        <v>60</v>
      </c>
      <c r="U465" s="31"/>
      <c r="V465" s="38">
        <v>1</v>
      </c>
      <c r="W465" s="37">
        <v>2</v>
      </c>
      <c r="X465" s="29">
        <v>3</v>
      </c>
      <c r="Y465" s="3" t="s">
        <v>71</v>
      </c>
      <c r="Z465" s="2" t="s">
        <v>628</v>
      </c>
      <c r="AA465" s="39"/>
    </row>
    <row r="466" spans="1:27" ht="23.1" customHeight="1" x14ac:dyDescent="0.25">
      <c r="A466" s="20" t="s">
        <v>452</v>
      </c>
      <c r="B466" s="3" t="s">
        <v>137</v>
      </c>
      <c r="C466" s="3">
        <v>16</v>
      </c>
      <c r="D466" s="3" t="s">
        <v>502</v>
      </c>
      <c r="E466" s="1" t="s">
        <v>503</v>
      </c>
      <c r="F466" s="21" t="e">
        <v>#N/A</v>
      </c>
      <c r="G466" s="3" t="s">
        <v>102</v>
      </c>
      <c r="H466" s="3">
        <v>10</v>
      </c>
      <c r="I466" s="3"/>
      <c r="J466" s="3">
        <v>1</v>
      </c>
      <c r="K466" s="3">
        <v>1</v>
      </c>
      <c r="L466" s="23">
        <v>26</v>
      </c>
      <c r="M466" s="23">
        <v>37</v>
      </c>
      <c r="N466" s="24" t="s">
        <v>108</v>
      </c>
      <c r="O466" s="31"/>
      <c r="P466" s="34"/>
      <c r="Q466" s="31"/>
      <c r="R466" s="31"/>
      <c r="S466" s="23"/>
      <c r="T466" s="31"/>
      <c r="U466" s="31"/>
      <c r="V466" s="38"/>
      <c r="W466" s="37">
        <v>7</v>
      </c>
      <c r="X466" s="29">
        <v>7</v>
      </c>
      <c r="Y466" s="3" t="s">
        <v>71</v>
      </c>
      <c r="Z466" s="2" t="s">
        <v>504</v>
      </c>
      <c r="AA466" s="2" t="s">
        <v>193</v>
      </c>
    </row>
    <row r="467" spans="1:27" ht="23.1" customHeight="1" x14ac:dyDescent="0.25">
      <c r="A467" s="20" t="s">
        <v>452</v>
      </c>
      <c r="B467" s="3" t="s">
        <v>137</v>
      </c>
      <c r="C467" s="3">
        <v>16</v>
      </c>
      <c r="D467" s="3" t="s">
        <v>502</v>
      </c>
      <c r="E467" s="1" t="s">
        <v>503</v>
      </c>
      <c r="F467" s="21" t="e">
        <v>#N/A</v>
      </c>
      <c r="G467" s="3" t="s">
        <v>102</v>
      </c>
      <c r="H467" s="3">
        <v>15</v>
      </c>
      <c r="I467" s="3"/>
      <c r="J467" s="3">
        <v>1</v>
      </c>
      <c r="K467" s="3">
        <v>1</v>
      </c>
      <c r="L467" s="23">
        <v>26</v>
      </c>
      <c r="M467" s="23">
        <v>37</v>
      </c>
      <c r="N467" s="24" t="s">
        <v>108</v>
      </c>
      <c r="O467" s="31"/>
      <c r="P467" s="34"/>
      <c r="Q467" s="31"/>
      <c r="R467" s="31"/>
      <c r="S467" s="23"/>
      <c r="T467" s="31"/>
      <c r="U467" s="31"/>
      <c r="V467" s="38"/>
      <c r="W467" s="37">
        <v>6</v>
      </c>
      <c r="X467" s="29">
        <v>6</v>
      </c>
      <c r="Y467" s="3" t="s">
        <v>71</v>
      </c>
      <c r="Z467" s="2" t="s">
        <v>504</v>
      </c>
      <c r="AA467" s="2" t="s">
        <v>193</v>
      </c>
    </row>
    <row r="468" spans="1:27" ht="23.1" customHeight="1" x14ac:dyDescent="0.25">
      <c r="A468" s="20" t="s">
        <v>575</v>
      </c>
      <c r="B468" s="3" t="s">
        <v>137</v>
      </c>
      <c r="C468" s="3">
        <v>16</v>
      </c>
      <c r="D468" s="3" t="s">
        <v>626</v>
      </c>
      <c r="E468" s="1" t="s">
        <v>627</v>
      </c>
      <c r="F468" s="21" t="s">
        <v>627</v>
      </c>
      <c r="G468" s="3" t="s">
        <v>102</v>
      </c>
      <c r="H468" s="3">
        <v>25</v>
      </c>
      <c r="I468" s="3" t="s">
        <v>1993</v>
      </c>
      <c r="J468" s="3">
        <v>6</v>
      </c>
      <c r="K468" s="3">
        <v>6</v>
      </c>
      <c r="L468" s="23">
        <v>26</v>
      </c>
      <c r="M468" s="23">
        <v>26</v>
      </c>
      <c r="N468" s="24" t="s">
        <v>140</v>
      </c>
      <c r="O468" s="31"/>
      <c r="P468" s="34">
        <v>35</v>
      </c>
      <c r="Q468" s="31"/>
      <c r="R468" s="31"/>
      <c r="S468" s="23"/>
      <c r="T468" s="31">
        <v>60</v>
      </c>
      <c r="U468" s="31"/>
      <c r="V468" s="38">
        <v>1</v>
      </c>
      <c r="W468" s="37"/>
      <c r="X468" s="29">
        <v>4.5</v>
      </c>
      <c r="Y468" s="3" t="s">
        <v>71</v>
      </c>
      <c r="Z468" s="2" t="s">
        <v>629</v>
      </c>
      <c r="AA468" s="2"/>
    </row>
    <row r="469" spans="1:27" ht="23.1" customHeight="1" x14ac:dyDescent="0.25">
      <c r="A469" s="20" t="s">
        <v>575</v>
      </c>
      <c r="B469" s="3" t="s">
        <v>137</v>
      </c>
      <c r="C469" s="3">
        <v>11</v>
      </c>
      <c r="D469" s="3" t="s">
        <v>200</v>
      </c>
      <c r="E469" s="1" t="s">
        <v>317</v>
      </c>
      <c r="F469" s="21" t="s">
        <v>317</v>
      </c>
      <c r="G469" s="3" t="s">
        <v>154</v>
      </c>
      <c r="H469" s="3">
        <v>40</v>
      </c>
      <c r="I469" s="2" t="s">
        <v>1935</v>
      </c>
      <c r="J469" s="3">
        <v>3</v>
      </c>
      <c r="K469" s="3">
        <v>5</v>
      </c>
      <c r="L469" s="23">
        <v>37</v>
      </c>
      <c r="M469" s="23">
        <v>37</v>
      </c>
      <c r="N469" s="24" t="s">
        <v>630</v>
      </c>
      <c r="O469" s="34"/>
      <c r="P469" s="31">
        <v>260</v>
      </c>
      <c r="Q469" s="31"/>
      <c r="R469" s="31"/>
      <c r="S469" s="23"/>
      <c r="T469" s="31">
        <v>90</v>
      </c>
      <c r="U469" s="31"/>
      <c r="V469" s="36"/>
      <c r="W469" s="37"/>
      <c r="X469" s="29">
        <v>21.7</v>
      </c>
      <c r="Y469" s="3" t="s">
        <v>71</v>
      </c>
      <c r="Z469" s="2"/>
      <c r="AA469" s="2"/>
    </row>
    <row r="470" spans="1:27" ht="23.1" customHeight="1" x14ac:dyDescent="0.25">
      <c r="A470" s="20" t="s">
        <v>575</v>
      </c>
      <c r="B470" s="3" t="s">
        <v>137</v>
      </c>
      <c r="C470" s="3">
        <v>17</v>
      </c>
      <c r="D470" s="3" t="s">
        <v>352</v>
      </c>
      <c r="E470" s="1" t="s">
        <v>353</v>
      </c>
      <c r="F470" s="21" t="e">
        <v>#N/A</v>
      </c>
      <c r="G470" s="3" t="s">
        <v>300</v>
      </c>
      <c r="H470" s="3">
        <v>25</v>
      </c>
      <c r="I470" s="2" t="s">
        <v>1967</v>
      </c>
      <c r="J470" s="3">
        <v>2</v>
      </c>
      <c r="K470" s="3">
        <v>4</v>
      </c>
      <c r="L470" s="23">
        <v>26</v>
      </c>
      <c r="M470" s="23">
        <v>26</v>
      </c>
      <c r="N470" s="24" t="s">
        <v>119</v>
      </c>
      <c r="O470" s="34"/>
      <c r="P470" s="31">
        <v>290</v>
      </c>
      <c r="Q470" s="31"/>
      <c r="R470" s="31"/>
      <c r="S470" s="23"/>
      <c r="T470" s="31">
        <v>90</v>
      </c>
      <c r="U470" s="31"/>
      <c r="V470" s="36"/>
      <c r="W470" s="37"/>
      <c r="X470" s="29">
        <v>19.3</v>
      </c>
      <c r="Y470" s="3" t="s">
        <v>14</v>
      </c>
      <c r="Z470" s="2"/>
      <c r="AA470" s="2"/>
    </row>
    <row r="471" spans="1:27" ht="23.1" customHeight="1" x14ac:dyDescent="0.25">
      <c r="A471" s="20" t="s">
        <v>575</v>
      </c>
      <c r="B471" s="3" t="s">
        <v>137</v>
      </c>
      <c r="C471" s="3">
        <v>10</v>
      </c>
      <c r="D471" s="3" t="s">
        <v>513</v>
      </c>
      <c r="E471" s="1" t="s">
        <v>389</v>
      </c>
      <c r="F471" s="21" t="s">
        <v>389</v>
      </c>
      <c r="G471" s="3" t="s">
        <v>118</v>
      </c>
      <c r="H471" s="3">
        <v>10</v>
      </c>
      <c r="I471" s="2" t="s">
        <v>1916</v>
      </c>
      <c r="J471" s="3">
        <v>14</v>
      </c>
      <c r="K471" s="3">
        <v>12</v>
      </c>
      <c r="L471" s="23">
        <v>23</v>
      </c>
      <c r="M471" s="23">
        <v>23</v>
      </c>
      <c r="N471" s="24" t="s">
        <v>501</v>
      </c>
      <c r="O471" s="31"/>
      <c r="P471" s="31">
        <v>60</v>
      </c>
      <c r="Q471" s="31"/>
      <c r="R471" s="31"/>
      <c r="S471" s="23"/>
      <c r="T471" s="31">
        <v>120</v>
      </c>
      <c r="U471" s="31"/>
      <c r="V471" s="36">
        <v>1</v>
      </c>
      <c r="W471" s="37"/>
      <c r="X471" s="29">
        <v>14</v>
      </c>
      <c r="Y471" s="3" t="s">
        <v>23</v>
      </c>
      <c r="Z471" s="2" t="s">
        <v>547</v>
      </c>
      <c r="AA471" s="2"/>
    </row>
    <row r="472" spans="1:27" ht="23.1" customHeight="1" x14ac:dyDescent="0.25">
      <c r="A472" s="20" t="s">
        <v>575</v>
      </c>
      <c r="B472" s="3" t="s">
        <v>137</v>
      </c>
      <c r="C472" s="3">
        <v>18</v>
      </c>
      <c r="D472" s="3" t="s">
        <v>205</v>
      </c>
      <c r="E472" s="1" t="s">
        <v>206</v>
      </c>
      <c r="F472" s="21" t="s">
        <v>206</v>
      </c>
      <c r="G472" s="3" t="s">
        <v>123</v>
      </c>
      <c r="H472" s="3">
        <v>45</v>
      </c>
      <c r="I472" s="2" t="s">
        <v>1980</v>
      </c>
      <c r="J472" s="3">
        <v>2</v>
      </c>
      <c r="K472" s="3">
        <v>3.5</v>
      </c>
      <c r="L472" s="23">
        <v>26</v>
      </c>
      <c r="M472" s="23">
        <v>26</v>
      </c>
      <c r="N472" s="24" t="s">
        <v>631</v>
      </c>
      <c r="O472" s="34"/>
      <c r="P472" s="31">
        <v>420</v>
      </c>
      <c r="Q472" s="31"/>
      <c r="R472" s="31"/>
      <c r="S472" s="23"/>
      <c r="T472" s="31">
        <v>90</v>
      </c>
      <c r="U472" s="31"/>
      <c r="V472" s="36"/>
      <c r="W472" s="37"/>
      <c r="X472" s="29">
        <v>24.5</v>
      </c>
      <c r="Y472" s="3" t="s">
        <v>14</v>
      </c>
      <c r="Z472" s="2"/>
      <c r="AA472" s="2"/>
    </row>
    <row r="473" spans="1:27" ht="23.1" customHeight="1" x14ac:dyDescent="0.25">
      <c r="A473" s="20" t="s">
        <v>575</v>
      </c>
      <c r="B473" s="3" t="s">
        <v>113</v>
      </c>
      <c r="C473" s="3">
        <v>58</v>
      </c>
      <c r="D473" s="3" t="s">
        <v>423</v>
      </c>
      <c r="E473" s="1" t="s">
        <v>424</v>
      </c>
      <c r="F473" s="21" t="s">
        <v>424</v>
      </c>
      <c r="G473" s="3" t="s">
        <v>107</v>
      </c>
      <c r="H473" s="3">
        <v>30</v>
      </c>
      <c r="I473" s="2" t="s">
        <v>1994</v>
      </c>
      <c r="J473" s="3">
        <v>1</v>
      </c>
      <c r="K473" s="3">
        <v>1</v>
      </c>
      <c r="L473" s="33"/>
      <c r="M473" s="23">
        <v>28</v>
      </c>
      <c r="N473" s="24" t="s">
        <v>508</v>
      </c>
      <c r="O473" s="34"/>
      <c r="P473" s="31">
        <v>50</v>
      </c>
      <c r="Q473" s="31">
        <v>30</v>
      </c>
      <c r="R473" s="31"/>
      <c r="S473" s="23">
        <v>1</v>
      </c>
      <c r="T473" s="31">
        <v>60</v>
      </c>
      <c r="U473" s="31"/>
      <c r="V473" s="36"/>
      <c r="W473" s="37">
        <v>2</v>
      </c>
      <c r="X473" s="29">
        <v>3.3</v>
      </c>
      <c r="Y473" s="3" t="s">
        <v>7</v>
      </c>
      <c r="Z473" s="2" t="s">
        <v>370</v>
      </c>
      <c r="AA473" s="1" t="s">
        <v>238</v>
      </c>
    </row>
    <row r="474" spans="1:27" ht="23.1" customHeight="1" x14ac:dyDescent="0.25">
      <c r="A474" s="20" t="s">
        <v>575</v>
      </c>
      <c r="B474" s="3" t="s">
        <v>113</v>
      </c>
      <c r="C474" s="3">
        <v>59</v>
      </c>
      <c r="D474" s="3" t="s">
        <v>616</v>
      </c>
      <c r="E474" s="1" t="s">
        <v>617</v>
      </c>
      <c r="F474" s="21" t="s">
        <v>617</v>
      </c>
      <c r="G474" s="3" t="s">
        <v>102</v>
      </c>
      <c r="H474" s="3">
        <v>5</v>
      </c>
      <c r="I474" s="2" t="s">
        <v>1957</v>
      </c>
      <c r="J474" s="3">
        <v>8</v>
      </c>
      <c r="K474" s="3">
        <v>4</v>
      </c>
      <c r="L474" s="23">
        <v>5</v>
      </c>
      <c r="M474" s="23">
        <v>28</v>
      </c>
      <c r="N474" s="24" t="s">
        <v>596</v>
      </c>
      <c r="O474" s="34"/>
      <c r="P474" s="31">
        <v>60</v>
      </c>
      <c r="Q474" s="31"/>
      <c r="R474" s="31"/>
      <c r="S474" s="23"/>
      <c r="T474" s="31">
        <v>60</v>
      </c>
      <c r="U474" s="31"/>
      <c r="V474" s="36">
        <v>1</v>
      </c>
      <c r="W474" s="37">
        <v>2</v>
      </c>
      <c r="X474" s="29">
        <v>7</v>
      </c>
      <c r="Y474" s="64" t="s">
        <v>1847</v>
      </c>
      <c r="Z474" s="2" t="s">
        <v>632</v>
      </c>
      <c r="AA474" s="1" t="s">
        <v>238</v>
      </c>
    </row>
    <row r="475" spans="1:27" ht="23.1" customHeight="1" x14ac:dyDescent="0.25">
      <c r="A475" s="20" t="s">
        <v>575</v>
      </c>
      <c r="B475" s="3" t="s">
        <v>113</v>
      </c>
      <c r="C475" s="3">
        <v>76</v>
      </c>
      <c r="D475" s="3" t="s">
        <v>541</v>
      </c>
      <c r="E475" s="1" t="s">
        <v>542</v>
      </c>
      <c r="F475" s="21" t="s">
        <v>542</v>
      </c>
      <c r="G475" s="3" t="s">
        <v>154</v>
      </c>
      <c r="H475" s="3">
        <v>15</v>
      </c>
      <c r="I475" s="2" t="s">
        <v>1926</v>
      </c>
      <c r="J475" s="3">
        <v>7</v>
      </c>
      <c r="K475" s="3">
        <v>9</v>
      </c>
      <c r="L475" s="23">
        <v>37</v>
      </c>
      <c r="M475" s="23">
        <v>5</v>
      </c>
      <c r="N475" s="24" t="s">
        <v>330</v>
      </c>
      <c r="O475" s="31"/>
      <c r="P475" s="31">
        <v>90</v>
      </c>
      <c r="Q475" s="31"/>
      <c r="R475" s="31"/>
      <c r="S475" s="23"/>
      <c r="T475" s="31">
        <v>90</v>
      </c>
      <c r="U475" s="31"/>
      <c r="V475" s="36"/>
      <c r="W475" s="37"/>
      <c r="X475" s="29">
        <v>13.5</v>
      </c>
      <c r="Y475" s="3" t="s">
        <v>12</v>
      </c>
      <c r="Z475" s="2"/>
      <c r="AA475" s="2"/>
    </row>
    <row r="476" spans="1:27" ht="23.1" customHeight="1" x14ac:dyDescent="0.25">
      <c r="A476" s="20" t="s">
        <v>575</v>
      </c>
      <c r="B476" s="3" t="s">
        <v>113</v>
      </c>
      <c r="C476" s="3">
        <v>15</v>
      </c>
      <c r="D476" s="3" t="s">
        <v>592</v>
      </c>
      <c r="E476" s="1" t="s">
        <v>218</v>
      </c>
      <c r="F476" s="21" t="s">
        <v>218</v>
      </c>
      <c r="G476" s="3" t="s">
        <v>107</v>
      </c>
      <c r="H476" s="3">
        <v>15</v>
      </c>
      <c r="I476" s="2" t="s">
        <v>1895</v>
      </c>
      <c r="J476" s="3">
        <v>7</v>
      </c>
      <c r="K476" s="3">
        <v>3</v>
      </c>
      <c r="L476" s="23">
        <v>37</v>
      </c>
      <c r="M476" s="23">
        <v>37</v>
      </c>
      <c r="N476" s="24" t="s">
        <v>247</v>
      </c>
      <c r="O476" s="31"/>
      <c r="P476" s="31">
        <v>90</v>
      </c>
      <c r="Q476" s="31"/>
      <c r="R476" s="31"/>
      <c r="S476" s="23"/>
      <c r="T476" s="31">
        <v>90</v>
      </c>
      <c r="U476" s="31"/>
      <c r="V476" s="36"/>
      <c r="W476" s="37"/>
      <c r="X476" s="29">
        <v>4.5</v>
      </c>
      <c r="Y476" s="3" t="s">
        <v>60</v>
      </c>
      <c r="Z476" s="2"/>
      <c r="AA476" s="2"/>
    </row>
    <row r="477" spans="1:27" ht="23.1" customHeight="1" x14ac:dyDescent="0.25">
      <c r="A477" s="20" t="s">
        <v>575</v>
      </c>
      <c r="B477" s="3" t="s">
        <v>113</v>
      </c>
      <c r="C477" s="3">
        <v>15</v>
      </c>
      <c r="D477" s="3" t="s">
        <v>592</v>
      </c>
      <c r="E477" s="1" t="s">
        <v>218</v>
      </c>
      <c r="F477" s="21" t="s">
        <v>218</v>
      </c>
      <c r="G477" s="3" t="s">
        <v>107</v>
      </c>
      <c r="H477" s="3">
        <v>20</v>
      </c>
      <c r="I477" s="2" t="s">
        <v>1896</v>
      </c>
      <c r="J477" s="3">
        <v>0.2</v>
      </c>
      <c r="K477" s="3">
        <v>3</v>
      </c>
      <c r="L477" s="23">
        <v>5</v>
      </c>
      <c r="M477" s="23">
        <v>28</v>
      </c>
      <c r="N477" s="24" t="s">
        <v>247</v>
      </c>
      <c r="O477" s="31"/>
      <c r="P477" s="31">
        <v>300</v>
      </c>
      <c r="Q477" s="31"/>
      <c r="R477" s="31"/>
      <c r="S477" s="23"/>
      <c r="T477" s="31">
        <v>90</v>
      </c>
      <c r="U477" s="31"/>
      <c r="V477" s="36">
        <v>1</v>
      </c>
      <c r="W477" s="37"/>
      <c r="X477" s="29">
        <v>16.5</v>
      </c>
      <c r="Y477" s="3" t="s">
        <v>60</v>
      </c>
      <c r="Z477" s="2" t="s">
        <v>633</v>
      </c>
      <c r="AA477" s="2"/>
    </row>
    <row r="478" spans="1:27" ht="23.1" customHeight="1" x14ac:dyDescent="0.25">
      <c r="A478" s="20" t="s">
        <v>575</v>
      </c>
      <c r="B478" s="3" t="s">
        <v>113</v>
      </c>
      <c r="C478" s="3">
        <v>10</v>
      </c>
      <c r="D478" s="3" t="s">
        <v>513</v>
      </c>
      <c r="E478" s="1" t="s">
        <v>389</v>
      </c>
      <c r="F478" s="21" t="s">
        <v>389</v>
      </c>
      <c r="G478" s="3" t="s">
        <v>118</v>
      </c>
      <c r="H478" s="3">
        <v>10</v>
      </c>
      <c r="I478" s="2" t="s">
        <v>1916</v>
      </c>
      <c r="J478" s="3">
        <v>4</v>
      </c>
      <c r="K478" s="3">
        <v>6</v>
      </c>
      <c r="L478" s="33"/>
      <c r="M478" s="23">
        <v>23</v>
      </c>
      <c r="N478" s="24" t="s">
        <v>463</v>
      </c>
      <c r="O478" s="31"/>
      <c r="P478" s="31">
        <v>60</v>
      </c>
      <c r="Q478" s="31"/>
      <c r="R478" s="31"/>
      <c r="S478" s="23"/>
      <c r="T478" s="31">
        <v>120</v>
      </c>
      <c r="U478" s="31"/>
      <c r="V478" s="36"/>
      <c r="W478" s="37"/>
      <c r="X478" s="29">
        <v>6</v>
      </c>
      <c r="Y478" s="3" t="s">
        <v>30</v>
      </c>
      <c r="Z478" s="2"/>
      <c r="AA478" s="2"/>
    </row>
    <row r="479" spans="1:27" ht="23.1" customHeight="1" x14ac:dyDescent="0.25">
      <c r="A479" s="20" t="s">
        <v>575</v>
      </c>
      <c r="B479" s="3" t="s">
        <v>113</v>
      </c>
      <c r="C479" s="3">
        <v>10</v>
      </c>
      <c r="D479" s="3" t="s">
        <v>388</v>
      </c>
      <c r="E479" s="1" t="s">
        <v>389</v>
      </c>
      <c r="F479" s="21" t="s">
        <v>389</v>
      </c>
      <c r="G479" s="3" t="s">
        <v>300</v>
      </c>
      <c r="H479" s="3">
        <v>10</v>
      </c>
      <c r="I479" s="3" t="s">
        <v>1941</v>
      </c>
      <c r="J479" s="3">
        <v>8</v>
      </c>
      <c r="K479" s="3">
        <v>8</v>
      </c>
      <c r="L479" s="23">
        <v>23</v>
      </c>
      <c r="M479" s="23">
        <v>28</v>
      </c>
      <c r="N479" s="24" t="s">
        <v>412</v>
      </c>
      <c r="O479" s="31"/>
      <c r="P479" s="34">
        <v>60</v>
      </c>
      <c r="Q479" s="31"/>
      <c r="R479" s="31"/>
      <c r="S479" s="23"/>
      <c r="T479" s="31">
        <v>120</v>
      </c>
      <c r="U479" s="31"/>
      <c r="V479" s="38"/>
      <c r="W479" s="37"/>
      <c r="X479" s="29">
        <v>8</v>
      </c>
      <c r="Y479" s="3" t="s">
        <v>30</v>
      </c>
      <c r="Z479" s="2"/>
      <c r="AA479" s="2"/>
    </row>
    <row r="480" spans="1:27" ht="23.1" customHeight="1" x14ac:dyDescent="0.25">
      <c r="A480" s="20" t="s">
        <v>575</v>
      </c>
      <c r="B480" s="3" t="s">
        <v>113</v>
      </c>
      <c r="C480" s="3">
        <v>9</v>
      </c>
      <c r="D480" s="3" t="s">
        <v>624</v>
      </c>
      <c r="E480" s="1" t="s">
        <v>625</v>
      </c>
      <c r="F480" s="21" t="s">
        <v>625</v>
      </c>
      <c r="G480" s="3" t="s">
        <v>300</v>
      </c>
      <c r="H480" s="3">
        <v>45</v>
      </c>
      <c r="I480" s="3" t="s">
        <v>1991</v>
      </c>
      <c r="J480" s="3">
        <v>8</v>
      </c>
      <c r="K480" s="3">
        <v>8</v>
      </c>
      <c r="L480" s="23">
        <v>28</v>
      </c>
      <c r="M480" s="23">
        <v>28</v>
      </c>
      <c r="N480" s="24" t="s">
        <v>567</v>
      </c>
      <c r="O480" s="31"/>
      <c r="P480" s="34">
        <v>55</v>
      </c>
      <c r="Q480" s="31"/>
      <c r="R480" s="31"/>
      <c r="S480" s="23"/>
      <c r="T480" s="31">
        <v>60</v>
      </c>
      <c r="U480" s="31"/>
      <c r="V480" s="38"/>
      <c r="W480" s="37">
        <v>4</v>
      </c>
      <c r="X480" s="29">
        <v>11.3</v>
      </c>
      <c r="Y480" s="3" t="s">
        <v>30</v>
      </c>
      <c r="Z480" s="2" t="s">
        <v>634</v>
      </c>
      <c r="AA480" s="1" t="s">
        <v>238</v>
      </c>
    </row>
    <row r="481" spans="1:27" ht="23.1" customHeight="1" x14ac:dyDescent="0.25">
      <c r="A481" s="20" t="s">
        <v>575</v>
      </c>
      <c r="B481" s="3" t="s">
        <v>113</v>
      </c>
      <c r="C481" s="3">
        <v>22</v>
      </c>
      <c r="D481" s="3" t="s">
        <v>635</v>
      </c>
      <c r="E481" s="1" t="s">
        <v>612</v>
      </c>
      <c r="F481" s="21" t="s">
        <v>612</v>
      </c>
      <c r="G481" s="3" t="s">
        <v>102</v>
      </c>
      <c r="H481" s="3">
        <v>40</v>
      </c>
      <c r="I481" s="3" t="s">
        <v>1987</v>
      </c>
      <c r="J481" s="3">
        <v>1</v>
      </c>
      <c r="K481" s="3">
        <v>1</v>
      </c>
      <c r="L481" s="23"/>
      <c r="M481" s="23">
        <v>5</v>
      </c>
      <c r="N481" s="24" t="s">
        <v>613</v>
      </c>
      <c r="O481" s="31"/>
      <c r="P481" s="34">
        <v>510</v>
      </c>
      <c r="Q481" s="31">
        <v>180</v>
      </c>
      <c r="R481" s="31"/>
      <c r="S481" s="23">
        <v>1</v>
      </c>
      <c r="T481" s="31">
        <v>180</v>
      </c>
      <c r="U481" s="31"/>
      <c r="V481" s="38">
        <v>1</v>
      </c>
      <c r="W481" s="37"/>
      <c r="X481" s="29">
        <v>14.5</v>
      </c>
      <c r="Y481" s="3" t="s">
        <v>49</v>
      </c>
      <c r="Z481" s="2" t="s">
        <v>407</v>
      </c>
      <c r="AA481" s="2"/>
    </row>
    <row r="482" spans="1:27" ht="23.1" customHeight="1" x14ac:dyDescent="0.25">
      <c r="A482" s="20" t="s">
        <v>575</v>
      </c>
      <c r="B482" s="3" t="s">
        <v>113</v>
      </c>
      <c r="C482" s="3">
        <v>14</v>
      </c>
      <c r="D482" s="3" t="s">
        <v>276</v>
      </c>
      <c r="E482" s="1" t="s">
        <v>277</v>
      </c>
      <c r="F482" s="21" t="s">
        <v>277</v>
      </c>
      <c r="G482" s="3" t="s">
        <v>154</v>
      </c>
      <c r="H482" s="3">
        <v>65</v>
      </c>
      <c r="I482" s="3" t="s">
        <v>1982</v>
      </c>
      <c r="J482" s="3">
        <v>1</v>
      </c>
      <c r="K482" s="3">
        <v>0.4</v>
      </c>
      <c r="L482" s="23">
        <v>37</v>
      </c>
      <c r="M482" s="23">
        <v>37</v>
      </c>
      <c r="N482" s="24" t="s">
        <v>234</v>
      </c>
      <c r="O482" s="31"/>
      <c r="P482" s="34">
        <v>600</v>
      </c>
      <c r="Q482" s="31"/>
      <c r="R482" s="31"/>
      <c r="S482" s="23"/>
      <c r="T482" s="31">
        <v>120</v>
      </c>
      <c r="U482" s="31"/>
      <c r="V482" s="38"/>
      <c r="W482" s="37"/>
      <c r="X482" s="29">
        <v>4</v>
      </c>
      <c r="Y482" s="3" t="s">
        <v>60</v>
      </c>
      <c r="Z482" s="2" t="s">
        <v>253</v>
      </c>
      <c r="AA482" s="2"/>
    </row>
    <row r="483" spans="1:27" ht="23.1" customHeight="1" x14ac:dyDescent="0.25">
      <c r="A483" s="20" t="s">
        <v>575</v>
      </c>
      <c r="B483" s="3" t="s">
        <v>113</v>
      </c>
      <c r="C483" s="3">
        <v>14</v>
      </c>
      <c r="D483" s="3" t="s">
        <v>235</v>
      </c>
      <c r="E483" s="1" t="s">
        <v>236</v>
      </c>
      <c r="F483" s="21" t="s">
        <v>236</v>
      </c>
      <c r="G483" s="3" t="s">
        <v>154</v>
      </c>
      <c r="H483" s="3">
        <v>70</v>
      </c>
      <c r="I483" s="3" t="s">
        <v>1995</v>
      </c>
      <c r="J483" s="3"/>
      <c r="K483" s="3">
        <v>0.5</v>
      </c>
      <c r="L483" s="23">
        <v>19</v>
      </c>
      <c r="M483" s="23"/>
      <c r="N483" s="24" t="s">
        <v>159</v>
      </c>
      <c r="O483" s="31"/>
      <c r="P483" s="34">
        <v>1320</v>
      </c>
      <c r="Q483" s="31"/>
      <c r="R483" s="31"/>
      <c r="S483" s="23"/>
      <c r="T483" s="31">
        <v>120</v>
      </c>
      <c r="U483" s="31"/>
      <c r="V483" s="38"/>
      <c r="W483" s="37"/>
      <c r="X483" s="29">
        <v>11</v>
      </c>
      <c r="Y483" s="3" t="s">
        <v>60</v>
      </c>
      <c r="Z483" s="2"/>
      <c r="AA483" s="2"/>
    </row>
    <row r="484" spans="1:27" ht="23.1" customHeight="1" x14ac:dyDescent="0.25">
      <c r="A484" s="20" t="s">
        <v>575</v>
      </c>
      <c r="B484" s="3" t="s">
        <v>113</v>
      </c>
      <c r="C484" s="3">
        <v>16</v>
      </c>
      <c r="D484" s="3" t="s">
        <v>626</v>
      </c>
      <c r="E484" s="1" t="s">
        <v>627</v>
      </c>
      <c r="F484" s="21" t="s">
        <v>627</v>
      </c>
      <c r="G484" s="3" t="s">
        <v>102</v>
      </c>
      <c r="H484" s="3">
        <v>45</v>
      </c>
      <c r="I484" s="3" t="s">
        <v>1996</v>
      </c>
      <c r="J484" s="3" t="s">
        <v>108</v>
      </c>
      <c r="K484" s="3">
        <v>0</v>
      </c>
      <c r="L484" s="23">
        <v>9</v>
      </c>
      <c r="M484" s="23" t="s">
        <v>108</v>
      </c>
      <c r="N484" s="24" t="s">
        <v>140</v>
      </c>
      <c r="O484" s="31"/>
      <c r="P484" s="34">
        <v>30</v>
      </c>
      <c r="Q484" s="31"/>
      <c r="R484" s="31"/>
      <c r="S484" s="23"/>
      <c r="T484" s="31">
        <v>60</v>
      </c>
      <c r="U484" s="31"/>
      <c r="V484" s="38"/>
      <c r="W484" s="37">
        <v>2</v>
      </c>
      <c r="X484" s="29">
        <v>2</v>
      </c>
      <c r="Y484" s="3" t="s">
        <v>63</v>
      </c>
      <c r="Z484" s="2" t="s">
        <v>448</v>
      </c>
      <c r="AA484" s="1" t="s">
        <v>238</v>
      </c>
    </row>
    <row r="485" spans="1:27" ht="23.1" customHeight="1" x14ac:dyDescent="0.25">
      <c r="A485" s="20" t="s">
        <v>575</v>
      </c>
      <c r="B485" s="3" t="s">
        <v>137</v>
      </c>
      <c r="C485" s="3">
        <v>16</v>
      </c>
      <c r="D485" s="3" t="s">
        <v>626</v>
      </c>
      <c r="E485" s="1" t="s">
        <v>627</v>
      </c>
      <c r="F485" s="21" t="s">
        <v>627</v>
      </c>
      <c r="G485" s="3" t="s">
        <v>102</v>
      </c>
      <c r="H485" s="3">
        <v>30</v>
      </c>
      <c r="I485" s="3" t="s">
        <v>1992</v>
      </c>
      <c r="J485" s="3">
        <v>6</v>
      </c>
      <c r="K485" s="3">
        <v>6</v>
      </c>
      <c r="L485" s="23">
        <v>26</v>
      </c>
      <c r="M485" s="23">
        <v>26</v>
      </c>
      <c r="N485" s="24" t="s">
        <v>140</v>
      </c>
      <c r="O485" s="31"/>
      <c r="P485" s="34">
        <v>60</v>
      </c>
      <c r="Q485" s="31"/>
      <c r="R485" s="31"/>
      <c r="S485" s="23"/>
      <c r="T485" s="31">
        <v>60</v>
      </c>
      <c r="U485" s="31"/>
      <c r="V485" s="38"/>
      <c r="W485" s="37"/>
      <c r="X485" s="29">
        <v>6</v>
      </c>
      <c r="Y485" s="3" t="s">
        <v>71</v>
      </c>
      <c r="Z485" s="2" t="s">
        <v>629</v>
      </c>
      <c r="AA485" s="2"/>
    </row>
    <row r="486" spans="1:27" ht="23.1" customHeight="1" x14ac:dyDescent="0.25">
      <c r="A486" s="20" t="s">
        <v>575</v>
      </c>
      <c r="B486" s="3" t="s">
        <v>137</v>
      </c>
      <c r="C486" s="3">
        <v>16</v>
      </c>
      <c r="D486" s="3" t="s">
        <v>626</v>
      </c>
      <c r="E486" s="1" t="s">
        <v>627</v>
      </c>
      <c r="F486" s="21" t="s">
        <v>627</v>
      </c>
      <c r="G486" s="3" t="s">
        <v>102</v>
      </c>
      <c r="H486" s="3">
        <v>35</v>
      </c>
      <c r="I486" s="3" t="s">
        <v>1997</v>
      </c>
      <c r="J486" s="3">
        <v>6</v>
      </c>
      <c r="K486" s="3">
        <v>6</v>
      </c>
      <c r="L486" s="23">
        <v>26</v>
      </c>
      <c r="M486" s="23">
        <v>26</v>
      </c>
      <c r="N486" s="24" t="s">
        <v>140</v>
      </c>
      <c r="O486" s="31"/>
      <c r="P486" s="34">
        <v>20</v>
      </c>
      <c r="Q486" s="31"/>
      <c r="R486" s="31"/>
      <c r="S486" s="23"/>
      <c r="T486" s="31">
        <v>60</v>
      </c>
      <c r="U486" s="31"/>
      <c r="V486" s="38">
        <v>1</v>
      </c>
      <c r="W486" s="37"/>
      <c r="X486" s="29">
        <v>3</v>
      </c>
      <c r="Y486" s="3" t="s">
        <v>71</v>
      </c>
      <c r="Z486" s="2" t="s">
        <v>629</v>
      </c>
      <c r="AA486" s="2"/>
    </row>
    <row r="487" spans="1:27" ht="23.1" customHeight="1" x14ac:dyDescent="0.25">
      <c r="A487" s="20" t="s">
        <v>575</v>
      </c>
      <c r="B487" s="3" t="s">
        <v>113</v>
      </c>
      <c r="C487" s="3">
        <v>78</v>
      </c>
      <c r="D487" s="3" t="s">
        <v>636</v>
      </c>
      <c r="E487" s="1" t="s">
        <v>190</v>
      </c>
      <c r="F487" s="21" t="e">
        <v>#N/A</v>
      </c>
      <c r="G487" s="3" t="s">
        <v>102</v>
      </c>
      <c r="H487" s="3">
        <v>20</v>
      </c>
      <c r="I487" s="3"/>
      <c r="J487" s="3">
        <v>0.7</v>
      </c>
      <c r="K487" s="3">
        <v>0.7</v>
      </c>
      <c r="L487" s="23">
        <v>23</v>
      </c>
      <c r="M487" s="23"/>
      <c r="N487" s="24" t="s">
        <v>108</v>
      </c>
      <c r="O487" s="31"/>
      <c r="P487" s="34"/>
      <c r="Q487" s="31"/>
      <c r="R487" s="31"/>
      <c r="S487" s="23"/>
      <c r="T487" s="31"/>
      <c r="U487" s="31"/>
      <c r="V487" s="38"/>
      <c r="W487" s="37">
        <v>2</v>
      </c>
      <c r="X487" s="29">
        <v>2</v>
      </c>
      <c r="Y487" s="3" t="s">
        <v>5</v>
      </c>
      <c r="Z487" s="2" t="s">
        <v>637</v>
      </c>
      <c r="AA487" s="2"/>
    </row>
    <row r="488" spans="1:27" ht="23.1" customHeight="1" x14ac:dyDescent="0.25">
      <c r="A488" s="20" t="s">
        <v>575</v>
      </c>
      <c r="B488" s="3" t="s">
        <v>113</v>
      </c>
      <c r="C488" s="3">
        <v>78</v>
      </c>
      <c r="D488" s="3" t="s">
        <v>261</v>
      </c>
      <c r="E488" s="1" t="s">
        <v>133</v>
      </c>
      <c r="F488" s="21" t="s">
        <v>133</v>
      </c>
      <c r="G488" s="3" t="s">
        <v>102</v>
      </c>
      <c r="H488" s="3">
        <v>75</v>
      </c>
      <c r="I488" s="2" t="s">
        <v>1998</v>
      </c>
      <c r="J488" s="3">
        <v>1</v>
      </c>
      <c r="K488" s="3">
        <v>0.3</v>
      </c>
      <c r="L488" s="33"/>
      <c r="M488" s="23">
        <v>26</v>
      </c>
      <c r="N488" s="24" t="s">
        <v>103</v>
      </c>
      <c r="O488" s="34"/>
      <c r="P488" s="31">
        <v>240</v>
      </c>
      <c r="Q488" s="31">
        <v>60</v>
      </c>
      <c r="R488" s="31"/>
      <c r="S488" s="23">
        <v>1</v>
      </c>
      <c r="T488" s="31">
        <v>120</v>
      </c>
      <c r="U488" s="31"/>
      <c r="V488" s="36">
        <v>1</v>
      </c>
      <c r="W488" s="37">
        <v>13.8</v>
      </c>
      <c r="X488" s="29">
        <v>18</v>
      </c>
      <c r="Y488" s="3" t="s">
        <v>5</v>
      </c>
      <c r="Z488" s="2" t="s">
        <v>638</v>
      </c>
      <c r="AA488" s="1" t="s">
        <v>238</v>
      </c>
    </row>
    <row r="489" spans="1:27" ht="23.1" customHeight="1" x14ac:dyDescent="0.25">
      <c r="A489" s="20" t="s">
        <v>575</v>
      </c>
      <c r="B489" s="3" t="s">
        <v>113</v>
      </c>
      <c r="C489" s="3">
        <v>107</v>
      </c>
      <c r="D489" s="3" t="s">
        <v>273</v>
      </c>
      <c r="E489" s="1" t="s">
        <v>274</v>
      </c>
      <c r="F489" s="21" t="s">
        <v>274</v>
      </c>
      <c r="G489" s="3" t="s">
        <v>123</v>
      </c>
      <c r="H489" s="3">
        <v>35</v>
      </c>
      <c r="I489" s="2" t="s">
        <v>1999</v>
      </c>
      <c r="J489" s="3">
        <v>4</v>
      </c>
      <c r="K489" s="3">
        <v>4</v>
      </c>
      <c r="L489" s="23">
        <v>26</v>
      </c>
      <c r="M489" s="23">
        <v>26</v>
      </c>
      <c r="N489" s="24" t="s">
        <v>275</v>
      </c>
      <c r="O489" s="34"/>
      <c r="P489" s="31">
        <v>100</v>
      </c>
      <c r="Q489" s="31"/>
      <c r="R489" s="31"/>
      <c r="S489" s="23">
        <v>4</v>
      </c>
      <c r="T489" s="31">
        <v>60</v>
      </c>
      <c r="U489" s="31"/>
      <c r="V489" s="36">
        <v>1</v>
      </c>
      <c r="W489" s="37">
        <v>2</v>
      </c>
      <c r="X489" s="29">
        <v>9.6999999999999993</v>
      </c>
      <c r="Y489" s="3" t="s">
        <v>13</v>
      </c>
      <c r="Z489" s="2" t="s">
        <v>639</v>
      </c>
      <c r="AA489" s="1" t="s">
        <v>238</v>
      </c>
    </row>
    <row r="490" spans="1:27" ht="23.1" customHeight="1" x14ac:dyDescent="0.25">
      <c r="A490" s="20" t="s">
        <v>575</v>
      </c>
      <c r="B490" s="3" t="s">
        <v>113</v>
      </c>
      <c r="C490" s="3">
        <v>18</v>
      </c>
      <c r="D490" s="3" t="s">
        <v>205</v>
      </c>
      <c r="E490" s="1" t="s">
        <v>206</v>
      </c>
      <c r="F490" s="21" t="s">
        <v>206</v>
      </c>
      <c r="G490" s="3" t="s">
        <v>123</v>
      </c>
      <c r="H490" s="3">
        <v>45</v>
      </c>
      <c r="I490" s="2" t="s">
        <v>1980</v>
      </c>
      <c r="J490" s="3">
        <v>1.5</v>
      </c>
      <c r="K490" s="3">
        <v>1.5</v>
      </c>
      <c r="L490" s="23">
        <v>28</v>
      </c>
      <c r="M490" s="33"/>
      <c r="N490" s="24" t="s">
        <v>640</v>
      </c>
      <c r="O490" s="34"/>
      <c r="P490" s="31">
        <v>420</v>
      </c>
      <c r="Q490" s="31"/>
      <c r="R490" s="31"/>
      <c r="S490" s="23"/>
      <c r="T490" s="31">
        <v>90</v>
      </c>
      <c r="U490" s="31"/>
      <c r="V490" s="36"/>
      <c r="W490" s="37"/>
      <c r="X490" s="29">
        <v>10.5</v>
      </c>
      <c r="Y490" s="3" t="s">
        <v>16</v>
      </c>
      <c r="Z490" s="2"/>
      <c r="AA490" s="2"/>
    </row>
    <row r="491" spans="1:27" ht="23.1" customHeight="1" x14ac:dyDescent="0.25">
      <c r="A491" s="20" t="s">
        <v>575</v>
      </c>
      <c r="B491" s="3" t="s">
        <v>113</v>
      </c>
      <c r="C491" s="3">
        <v>18</v>
      </c>
      <c r="D491" s="3" t="s">
        <v>205</v>
      </c>
      <c r="E491" s="1" t="s">
        <v>206</v>
      </c>
      <c r="F491" s="21" t="s">
        <v>206</v>
      </c>
      <c r="G491" s="3" t="s">
        <v>123</v>
      </c>
      <c r="H491" s="3">
        <v>50</v>
      </c>
      <c r="I491" s="2" t="s">
        <v>2000</v>
      </c>
      <c r="J491" s="3">
        <v>0.5</v>
      </c>
      <c r="K491" s="3">
        <v>0.5</v>
      </c>
      <c r="L491" s="33"/>
      <c r="M491" s="23">
        <v>26</v>
      </c>
      <c r="N491" s="24" t="s">
        <v>550</v>
      </c>
      <c r="O491" s="34"/>
      <c r="P491" s="31">
        <v>240</v>
      </c>
      <c r="Q491" s="31"/>
      <c r="R491" s="31"/>
      <c r="S491" s="23"/>
      <c r="T491" s="31">
        <v>90</v>
      </c>
      <c r="U491" s="31"/>
      <c r="V491" s="36"/>
      <c r="W491" s="37"/>
      <c r="X491" s="29">
        <v>2</v>
      </c>
      <c r="Y491" s="3" t="s">
        <v>16</v>
      </c>
      <c r="Z491" s="2"/>
      <c r="AA491" s="2"/>
    </row>
    <row r="492" spans="1:27" ht="23.1" customHeight="1" x14ac:dyDescent="0.25">
      <c r="A492" s="20" t="s">
        <v>575</v>
      </c>
      <c r="B492" s="3" t="s">
        <v>113</v>
      </c>
      <c r="C492" s="3">
        <v>79</v>
      </c>
      <c r="D492" s="3" t="s">
        <v>152</v>
      </c>
      <c r="E492" s="1" t="s">
        <v>153</v>
      </c>
      <c r="F492" s="21" t="s">
        <v>1247</v>
      </c>
      <c r="G492" s="3" t="s">
        <v>154</v>
      </c>
      <c r="H492" s="3">
        <v>20</v>
      </c>
      <c r="I492" s="2" t="s">
        <v>1948</v>
      </c>
      <c r="J492" s="3">
        <v>1.5</v>
      </c>
      <c r="K492" s="3">
        <v>1.8</v>
      </c>
      <c r="L492" s="23">
        <v>23</v>
      </c>
      <c r="M492" s="23">
        <v>31</v>
      </c>
      <c r="N492" s="24" t="s">
        <v>641</v>
      </c>
      <c r="O492" s="34"/>
      <c r="P492" s="31">
        <v>660</v>
      </c>
      <c r="Q492" s="31">
        <v>90</v>
      </c>
      <c r="R492" s="31"/>
      <c r="S492" s="23">
        <v>2</v>
      </c>
      <c r="T492" s="31">
        <v>120</v>
      </c>
      <c r="U492" s="31"/>
      <c r="V492" s="36"/>
      <c r="W492" s="37"/>
      <c r="X492" s="29">
        <v>22.8</v>
      </c>
      <c r="Y492" s="3" t="s">
        <v>5</v>
      </c>
      <c r="Z492" s="2" t="s">
        <v>147</v>
      </c>
      <c r="AA492" s="2"/>
    </row>
    <row r="493" spans="1:27" ht="23.1" customHeight="1" x14ac:dyDescent="0.25">
      <c r="A493" s="20" t="s">
        <v>575</v>
      </c>
      <c r="B493" s="3" t="s">
        <v>113</v>
      </c>
      <c r="C493" s="3">
        <v>24</v>
      </c>
      <c r="D493" s="3" t="s">
        <v>392</v>
      </c>
      <c r="E493" s="1" t="s">
        <v>259</v>
      </c>
      <c r="F493" s="21" t="s">
        <v>979</v>
      </c>
      <c r="G493" s="3" t="s">
        <v>118</v>
      </c>
      <c r="H493" s="3">
        <v>50</v>
      </c>
      <c r="I493" s="2" t="s">
        <v>1965</v>
      </c>
      <c r="J493" s="3">
        <v>0.5</v>
      </c>
      <c r="K493" s="3">
        <v>0.5</v>
      </c>
      <c r="L493" s="33"/>
      <c r="M493" s="23">
        <v>28</v>
      </c>
      <c r="N493" s="24" t="s">
        <v>393</v>
      </c>
      <c r="O493" s="34"/>
      <c r="P493" s="31">
        <v>1960</v>
      </c>
      <c r="Q493" s="31">
        <v>120</v>
      </c>
      <c r="R493" s="31"/>
      <c r="S493" s="23"/>
      <c r="T493" s="31">
        <v>180</v>
      </c>
      <c r="U493" s="31"/>
      <c r="V493" s="36"/>
      <c r="W493" s="37"/>
      <c r="X493" s="29">
        <v>16.3</v>
      </c>
      <c r="Y493" s="3" t="s">
        <v>69</v>
      </c>
      <c r="Z493" s="2"/>
      <c r="AA493" s="2"/>
    </row>
    <row r="494" spans="1:27" ht="23.1" customHeight="1" x14ac:dyDescent="0.25">
      <c r="A494" s="20" t="s">
        <v>575</v>
      </c>
      <c r="B494" s="3" t="s">
        <v>113</v>
      </c>
      <c r="C494" s="3">
        <v>69</v>
      </c>
      <c r="D494" s="3" t="s">
        <v>495</v>
      </c>
      <c r="E494" s="1" t="s">
        <v>267</v>
      </c>
      <c r="F494" s="21" t="s">
        <v>267</v>
      </c>
      <c r="G494" s="3" t="s">
        <v>118</v>
      </c>
      <c r="H494" s="3">
        <v>52</v>
      </c>
      <c r="I494" s="2"/>
      <c r="J494" s="3">
        <v>5</v>
      </c>
      <c r="K494" s="3">
        <v>6</v>
      </c>
      <c r="L494" s="23">
        <v>5</v>
      </c>
      <c r="M494" s="23">
        <v>28</v>
      </c>
      <c r="N494" s="24" t="s">
        <v>429</v>
      </c>
      <c r="O494" s="34">
        <v>180</v>
      </c>
      <c r="P494" s="31"/>
      <c r="Q494" s="31"/>
      <c r="R494" s="31">
        <v>90</v>
      </c>
      <c r="S494" s="23">
        <v>6</v>
      </c>
      <c r="T494" s="31"/>
      <c r="U494" s="31"/>
      <c r="V494" s="36"/>
      <c r="W494" s="37"/>
      <c r="X494" s="32">
        <v>27</v>
      </c>
      <c r="Y494" s="3" t="s">
        <v>69</v>
      </c>
      <c r="Z494" s="2" t="s">
        <v>642</v>
      </c>
      <c r="AA494" s="2"/>
    </row>
    <row r="495" spans="1:27" ht="23.1" customHeight="1" x14ac:dyDescent="0.25">
      <c r="A495" s="20" t="s">
        <v>575</v>
      </c>
      <c r="B495" s="3" t="s">
        <v>113</v>
      </c>
      <c r="C495" s="3">
        <v>91</v>
      </c>
      <c r="D495" s="3" t="s">
        <v>643</v>
      </c>
      <c r="E495" s="1" t="s">
        <v>644</v>
      </c>
      <c r="F495" s="21" t="s">
        <v>644</v>
      </c>
      <c r="G495" s="3" t="s">
        <v>154</v>
      </c>
      <c r="H495" s="3">
        <v>45</v>
      </c>
      <c r="I495" s="2" t="s">
        <v>2001</v>
      </c>
      <c r="J495" s="3">
        <v>2</v>
      </c>
      <c r="K495" s="3">
        <v>2</v>
      </c>
      <c r="L495" s="23">
        <v>23</v>
      </c>
      <c r="M495" s="33"/>
      <c r="N495" s="24" t="s">
        <v>645</v>
      </c>
      <c r="O495" s="34"/>
      <c r="P495" s="31">
        <v>210</v>
      </c>
      <c r="Q495" s="31">
        <v>90</v>
      </c>
      <c r="R495" s="31"/>
      <c r="S495" s="23">
        <v>2</v>
      </c>
      <c r="T495" s="31">
        <v>120</v>
      </c>
      <c r="U495" s="31"/>
      <c r="V495" s="36">
        <v>1</v>
      </c>
      <c r="W495" s="37">
        <v>5</v>
      </c>
      <c r="X495" s="29">
        <v>17</v>
      </c>
      <c r="Y495" s="3" t="s">
        <v>69</v>
      </c>
      <c r="Z495" s="2" t="s">
        <v>646</v>
      </c>
      <c r="AA495" s="2"/>
    </row>
    <row r="496" spans="1:27" ht="23.1" customHeight="1" x14ac:dyDescent="0.25">
      <c r="A496" s="20" t="s">
        <v>575</v>
      </c>
      <c r="B496" s="3" t="s">
        <v>113</v>
      </c>
      <c r="C496" s="3">
        <v>84</v>
      </c>
      <c r="D496" s="3" t="s">
        <v>214</v>
      </c>
      <c r="E496" s="1" t="s">
        <v>215</v>
      </c>
      <c r="F496" s="21" t="s">
        <v>215</v>
      </c>
      <c r="G496" s="3" t="s">
        <v>118</v>
      </c>
      <c r="H496" s="3">
        <v>28</v>
      </c>
      <c r="I496" s="2"/>
      <c r="J496" s="3">
        <v>10</v>
      </c>
      <c r="K496" s="3">
        <v>6</v>
      </c>
      <c r="L496" s="23">
        <v>23</v>
      </c>
      <c r="M496" s="23">
        <v>28</v>
      </c>
      <c r="N496" s="24" t="s">
        <v>164</v>
      </c>
      <c r="O496" s="34">
        <v>100</v>
      </c>
      <c r="P496" s="31"/>
      <c r="Q496" s="31"/>
      <c r="R496" s="31"/>
      <c r="S496" s="23">
        <v>6</v>
      </c>
      <c r="T496" s="31"/>
      <c r="U496" s="31">
        <v>120</v>
      </c>
      <c r="V496" s="36">
        <v>1</v>
      </c>
      <c r="W496" s="37">
        <v>3</v>
      </c>
      <c r="X496" s="32">
        <v>15</v>
      </c>
      <c r="Y496" s="3" t="s">
        <v>69</v>
      </c>
      <c r="Z496" s="2" t="s">
        <v>647</v>
      </c>
      <c r="AA496" s="2"/>
    </row>
    <row r="497" spans="1:27" ht="23.1" customHeight="1" x14ac:dyDescent="0.25">
      <c r="A497" s="20" t="s">
        <v>575</v>
      </c>
      <c r="B497" s="3" t="s">
        <v>113</v>
      </c>
      <c r="C497" s="3">
        <v>84</v>
      </c>
      <c r="D497" s="3" t="s">
        <v>467</v>
      </c>
      <c r="E497" s="1" t="s">
        <v>382</v>
      </c>
      <c r="F497" s="21" t="e">
        <v>#N/A</v>
      </c>
      <c r="G497" s="3" t="s">
        <v>108</v>
      </c>
      <c r="H497" s="3">
        <v>15</v>
      </c>
      <c r="I497" s="2"/>
      <c r="J497" s="3">
        <v>1</v>
      </c>
      <c r="K497" s="3">
        <v>1</v>
      </c>
      <c r="L497" s="33"/>
      <c r="M497" s="23">
        <v>23</v>
      </c>
      <c r="N497" s="24" t="s">
        <v>108</v>
      </c>
      <c r="O497" s="34"/>
      <c r="P497" s="31"/>
      <c r="Q497" s="31"/>
      <c r="R497" s="31"/>
      <c r="S497" s="23">
        <v>1</v>
      </c>
      <c r="T497" s="31"/>
      <c r="U497" s="31"/>
      <c r="V497" s="36">
        <v>1</v>
      </c>
      <c r="W497" s="37">
        <v>3</v>
      </c>
      <c r="X497" s="29">
        <v>3</v>
      </c>
      <c r="Y497" s="3" t="s">
        <v>69</v>
      </c>
      <c r="Z497" s="2" t="s">
        <v>648</v>
      </c>
      <c r="AA497" s="2"/>
    </row>
    <row r="498" spans="1:27" ht="23.1" customHeight="1" x14ac:dyDescent="0.25">
      <c r="A498" s="20" t="s">
        <v>575</v>
      </c>
      <c r="B498" s="3" t="s">
        <v>113</v>
      </c>
      <c r="C498" s="3">
        <v>12</v>
      </c>
      <c r="D498" s="3" t="s">
        <v>248</v>
      </c>
      <c r="E498" s="1" t="s">
        <v>249</v>
      </c>
      <c r="F498" s="21" t="s">
        <v>249</v>
      </c>
      <c r="G498" s="3" t="s">
        <v>250</v>
      </c>
      <c r="H498" s="3">
        <v>25</v>
      </c>
      <c r="I498" s="2" t="s">
        <v>1923</v>
      </c>
      <c r="J498" s="3">
        <v>0.8</v>
      </c>
      <c r="K498" s="3">
        <v>1</v>
      </c>
      <c r="L498" s="33"/>
      <c r="M498" s="23">
        <v>28</v>
      </c>
      <c r="N498" s="24" t="s">
        <v>330</v>
      </c>
      <c r="O498" s="31"/>
      <c r="P498" s="31">
        <v>1080</v>
      </c>
      <c r="Q498" s="31"/>
      <c r="R498" s="31"/>
      <c r="S498" s="23"/>
      <c r="T498" s="31">
        <v>120</v>
      </c>
      <c r="U498" s="31"/>
      <c r="V498" s="36"/>
      <c r="W498" s="37"/>
      <c r="X498" s="29">
        <v>18</v>
      </c>
      <c r="Y498" s="3" t="s">
        <v>10</v>
      </c>
      <c r="Z498" s="2"/>
      <c r="AA498" s="2"/>
    </row>
    <row r="499" spans="1:27" ht="23.1" customHeight="1" x14ac:dyDescent="0.25">
      <c r="A499" s="20" t="s">
        <v>575</v>
      </c>
      <c r="B499" s="3" t="s">
        <v>113</v>
      </c>
      <c r="C499" s="3">
        <v>58</v>
      </c>
      <c r="D499" s="3" t="s">
        <v>423</v>
      </c>
      <c r="E499" s="1" t="s">
        <v>424</v>
      </c>
      <c r="F499" s="21" t="s">
        <v>424</v>
      </c>
      <c r="G499" s="3" t="s">
        <v>107</v>
      </c>
      <c r="H499" s="3">
        <v>30</v>
      </c>
      <c r="I499" s="2" t="s">
        <v>1994</v>
      </c>
      <c r="J499" s="3">
        <v>10</v>
      </c>
      <c r="K499" s="3">
        <v>10</v>
      </c>
      <c r="L499" s="23">
        <v>23</v>
      </c>
      <c r="M499" s="23">
        <v>9</v>
      </c>
      <c r="N499" s="24" t="s">
        <v>508</v>
      </c>
      <c r="O499" s="34"/>
      <c r="P499" s="31">
        <v>50</v>
      </c>
      <c r="Q499" s="31">
        <v>30</v>
      </c>
      <c r="R499" s="31"/>
      <c r="S499" s="23"/>
      <c r="T499" s="31">
        <v>60</v>
      </c>
      <c r="U499" s="31"/>
      <c r="V499" s="36">
        <v>1</v>
      </c>
      <c r="W499" s="37"/>
      <c r="X499" s="29">
        <v>9.3000000000000007</v>
      </c>
      <c r="Y499" s="3" t="s">
        <v>7</v>
      </c>
      <c r="Z499" s="2" t="s">
        <v>649</v>
      </c>
      <c r="AA499" s="2"/>
    </row>
    <row r="500" spans="1:27" ht="23.1" customHeight="1" x14ac:dyDescent="0.25">
      <c r="A500" s="20" t="s">
        <v>575</v>
      </c>
      <c r="B500" s="3" t="s">
        <v>113</v>
      </c>
      <c r="C500" s="3">
        <v>23</v>
      </c>
      <c r="D500" s="3" t="s">
        <v>254</v>
      </c>
      <c r="E500" s="1" t="s">
        <v>255</v>
      </c>
      <c r="F500" s="21" t="s">
        <v>1016</v>
      </c>
      <c r="G500" s="3" t="s">
        <v>375</v>
      </c>
      <c r="H500" s="3">
        <v>37</v>
      </c>
      <c r="I500" s="2"/>
      <c r="J500" s="3">
        <v>1</v>
      </c>
      <c r="K500" s="3">
        <v>1.3</v>
      </c>
      <c r="L500" s="23">
        <v>5</v>
      </c>
      <c r="M500" s="23">
        <v>28</v>
      </c>
      <c r="N500" s="24" t="s">
        <v>475</v>
      </c>
      <c r="O500" s="25">
        <v>660</v>
      </c>
      <c r="P500" s="31"/>
      <c r="Q500" s="31"/>
      <c r="R500" s="31">
        <v>90</v>
      </c>
      <c r="S500" s="23">
        <v>1</v>
      </c>
      <c r="T500" s="31"/>
      <c r="U500" s="31"/>
      <c r="V500" s="36"/>
      <c r="W500" s="37"/>
      <c r="X500" s="32">
        <v>15.8</v>
      </c>
      <c r="Y500" s="3" t="s">
        <v>22</v>
      </c>
      <c r="Z500" s="2" t="s">
        <v>145</v>
      </c>
      <c r="AA500" s="2"/>
    </row>
    <row r="501" spans="1:27" ht="23.1" customHeight="1" x14ac:dyDescent="0.25">
      <c r="A501" s="20" t="s">
        <v>575</v>
      </c>
      <c r="B501" s="3" t="s">
        <v>113</v>
      </c>
      <c r="C501" s="3">
        <v>47</v>
      </c>
      <c r="D501" s="3" t="s">
        <v>332</v>
      </c>
      <c r="E501" s="1" t="s">
        <v>333</v>
      </c>
      <c r="F501" s="21" t="s">
        <v>2548</v>
      </c>
      <c r="G501" s="3" t="s">
        <v>334</v>
      </c>
      <c r="H501" s="3">
        <v>20</v>
      </c>
      <c r="I501" s="2" t="s">
        <v>1959</v>
      </c>
      <c r="J501" s="3">
        <v>1</v>
      </c>
      <c r="K501" s="3">
        <v>1.2</v>
      </c>
      <c r="L501" s="23">
        <v>5</v>
      </c>
      <c r="M501" s="23">
        <v>28</v>
      </c>
      <c r="N501" s="24" t="s">
        <v>445</v>
      </c>
      <c r="O501" s="34"/>
      <c r="P501" s="31">
        <v>720</v>
      </c>
      <c r="Q501" s="31">
        <v>90</v>
      </c>
      <c r="R501" s="31"/>
      <c r="S501" s="23">
        <v>1</v>
      </c>
      <c r="T501" s="31">
        <v>120</v>
      </c>
      <c r="U501" s="31"/>
      <c r="V501" s="36"/>
      <c r="W501" s="37"/>
      <c r="X501" s="29">
        <v>15.9</v>
      </c>
      <c r="Y501" s="3" t="s">
        <v>22</v>
      </c>
      <c r="Z501" s="2" t="s">
        <v>145</v>
      </c>
      <c r="AA501" s="2"/>
    </row>
    <row r="502" spans="1:27" ht="23.1" customHeight="1" x14ac:dyDescent="0.25">
      <c r="A502" s="20" t="s">
        <v>575</v>
      </c>
      <c r="B502" s="3" t="s">
        <v>113</v>
      </c>
      <c r="C502" s="3">
        <v>57</v>
      </c>
      <c r="D502" s="3" t="s">
        <v>594</v>
      </c>
      <c r="E502" s="1" t="s">
        <v>595</v>
      </c>
      <c r="F502" s="21" t="s">
        <v>595</v>
      </c>
      <c r="G502" s="3" t="s">
        <v>102</v>
      </c>
      <c r="H502" s="3">
        <v>15</v>
      </c>
      <c r="I502" s="2" t="s">
        <v>1989</v>
      </c>
      <c r="J502" s="3">
        <v>6</v>
      </c>
      <c r="K502" s="3">
        <v>4</v>
      </c>
      <c r="L502" s="33"/>
      <c r="M502" s="23">
        <v>23</v>
      </c>
      <c r="N502" s="24" t="s">
        <v>596</v>
      </c>
      <c r="O502" s="31"/>
      <c r="P502" s="31">
        <v>80</v>
      </c>
      <c r="Q502" s="31"/>
      <c r="R502" s="31"/>
      <c r="S502" s="23"/>
      <c r="T502" s="31">
        <v>60</v>
      </c>
      <c r="U502" s="31"/>
      <c r="V502" s="36"/>
      <c r="W502" s="37"/>
      <c r="X502" s="29">
        <v>5.3</v>
      </c>
      <c r="Y502" s="3" t="s">
        <v>7</v>
      </c>
      <c r="Z502" s="2"/>
      <c r="AA502" s="2"/>
    </row>
    <row r="503" spans="1:27" ht="23.1" customHeight="1" x14ac:dyDescent="0.25">
      <c r="A503" s="20" t="s">
        <v>575</v>
      </c>
      <c r="B503" s="3" t="s">
        <v>113</v>
      </c>
      <c r="C503" s="3">
        <v>57</v>
      </c>
      <c r="D503" s="3" t="s">
        <v>594</v>
      </c>
      <c r="E503" s="1" t="s">
        <v>595</v>
      </c>
      <c r="F503" s="21" t="s">
        <v>595</v>
      </c>
      <c r="G503" s="3" t="s">
        <v>102</v>
      </c>
      <c r="H503" s="3">
        <v>20</v>
      </c>
      <c r="I503" s="3" t="s">
        <v>2002</v>
      </c>
      <c r="J503" s="2"/>
      <c r="K503" s="3">
        <v>2</v>
      </c>
      <c r="L503" s="23">
        <v>23</v>
      </c>
      <c r="M503" s="23">
        <v>28</v>
      </c>
      <c r="N503" s="24" t="s">
        <v>596</v>
      </c>
      <c r="O503" s="31"/>
      <c r="P503" s="31">
        <v>120</v>
      </c>
      <c r="Q503" s="31"/>
      <c r="R503" s="31"/>
      <c r="S503" s="23"/>
      <c r="T503" s="31">
        <v>60</v>
      </c>
      <c r="U503" s="31"/>
      <c r="V503" s="36"/>
      <c r="W503" s="37"/>
      <c r="X503" s="29">
        <v>4</v>
      </c>
      <c r="Y503" s="3" t="s">
        <v>7</v>
      </c>
      <c r="Z503" s="2"/>
      <c r="AA503" s="2"/>
    </row>
    <row r="504" spans="1:27" ht="23.1" customHeight="1" x14ac:dyDescent="0.25">
      <c r="A504" s="20" t="s">
        <v>575</v>
      </c>
      <c r="B504" s="3" t="s">
        <v>113</v>
      </c>
      <c r="C504" s="3">
        <v>16</v>
      </c>
      <c r="D504" s="3" t="s">
        <v>626</v>
      </c>
      <c r="E504" s="1" t="s">
        <v>627</v>
      </c>
      <c r="F504" s="21" t="s">
        <v>627</v>
      </c>
      <c r="G504" s="3" t="s">
        <v>102</v>
      </c>
      <c r="H504" s="3">
        <v>40</v>
      </c>
      <c r="I504" s="2" t="s">
        <v>2003</v>
      </c>
      <c r="J504" s="3">
        <v>6</v>
      </c>
      <c r="K504" s="3">
        <v>6</v>
      </c>
      <c r="L504" s="23">
        <v>23</v>
      </c>
      <c r="M504" s="33"/>
      <c r="N504" s="24" t="s">
        <v>140</v>
      </c>
      <c r="O504" s="34"/>
      <c r="P504" s="31">
        <v>25</v>
      </c>
      <c r="Q504" s="31"/>
      <c r="R504" s="31"/>
      <c r="S504" s="23"/>
      <c r="T504" s="31">
        <v>60</v>
      </c>
      <c r="U504" s="31"/>
      <c r="V504" s="36"/>
      <c r="W504" s="37"/>
      <c r="X504" s="29">
        <v>2.5</v>
      </c>
      <c r="Y504" s="3" t="s">
        <v>63</v>
      </c>
      <c r="Z504" s="2" t="s">
        <v>650</v>
      </c>
      <c r="AA504" s="2"/>
    </row>
    <row r="505" spans="1:27" ht="23.1" customHeight="1" x14ac:dyDescent="0.25">
      <c r="A505" s="20" t="s">
        <v>575</v>
      </c>
      <c r="B505" s="3" t="s">
        <v>113</v>
      </c>
      <c r="C505" s="3">
        <v>13</v>
      </c>
      <c r="D505" s="3" t="s">
        <v>245</v>
      </c>
      <c r="E505" s="1" t="s">
        <v>246</v>
      </c>
      <c r="F505" s="21" t="s">
        <v>246</v>
      </c>
      <c r="G505" s="3" t="s">
        <v>123</v>
      </c>
      <c r="H505" s="3">
        <v>45</v>
      </c>
      <c r="I505" s="2" t="s">
        <v>1954</v>
      </c>
      <c r="J505" s="3">
        <v>3</v>
      </c>
      <c r="K505" s="3">
        <v>4</v>
      </c>
      <c r="L505" s="23">
        <v>28</v>
      </c>
      <c r="M505" s="23">
        <v>28</v>
      </c>
      <c r="N505" s="24" t="s">
        <v>247</v>
      </c>
      <c r="O505" s="31"/>
      <c r="P505" s="31">
        <v>250</v>
      </c>
      <c r="Q505" s="31"/>
      <c r="R505" s="31"/>
      <c r="S505" s="23"/>
      <c r="T505" s="31">
        <v>90</v>
      </c>
      <c r="U505" s="31"/>
      <c r="V505" s="36"/>
      <c r="W505" s="37"/>
      <c r="X505" s="29">
        <v>16.7</v>
      </c>
      <c r="Y505" s="3" t="s">
        <v>10</v>
      </c>
      <c r="Z505" s="2"/>
      <c r="AA505" s="2"/>
    </row>
    <row r="506" spans="1:27" ht="23.1" customHeight="1" x14ac:dyDescent="0.25">
      <c r="A506" s="20" t="s">
        <v>575</v>
      </c>
      <c r="B506" s="3" t="s">
        <v>113</v>
      </c>
      <c r="C506" s="3">
        <v>21</v>
      </c>
      <c r="D506" s="3" t="s">
        <v>321</v>
      </c>
      <c r="E506" s="1" t="s">
        <v>322</v>
      </c>
      <c r="F506" s="21" t="s">
        <v>322</v>
      </c>
      <c r="G506" s="3" t="s">
        <v>323</v>
      </c>
      <c r="H506" s="3">
        <v>50</v>
      </c>
      <c r="I506" s="2" t="s">
        <v>1986</v>
      </c>
      <c r="J506" s="3">
        <v>0.2</v>
      </c>
      <c r="K506" s="3">
        <v>0.5</v>
      </c>
      <c r="L506" s="33"/>
      <c r="M506" s="23">
        <v>26</v>
      </c>
      <c r="N506" s="24" t="s">
        <v>609</v>
      </c>
      <c r="O506" s="34"/>
      <c r="P506" s="31">
        <v>630</v>
      </c>
      <c r="Q506" s="31">
        <v>120</v>
      </c>
      <c r="R506" s="31"/>
      <c r="S506" s="23"/>
      <c r="T506" s="31">
        <v>180</v>
      </c>
      <c r="U506" s="31"/>
      <c r="V506" s="36"/>
      <c r="W506" s="37"/>
      <c r="X506" s="29">
        <v>5.3</v>
      </c>
      <c r="Y506" s="3" t="s">
        <v>49</v>
      </c>
      <c r="Z506" s="2"/>
      <c r="AA506" s="2"/>
    </row>
    <row r="507" spans="1:27" ht="23.1" customHeight="1" x14ac:dyDescent="0.25">
      <c r="A507" s="20" t="s">
        <v>575</v>
      </c>
      <c r="B507" s="3" t="s">
        <v>113</v>
      </c>
      <c r="C507" s="3">
        <v>21</v>
      </c>
      <c r="D507" s="3" t="s">
        <v>321</v>
      </c>
      <c r="E507" s="1" t="s">
        <v>322</v>
      </c>
      <c r="F507" s="21" t="s">
        <v>322</v>
      </c>
      <c r="G507" s="3" t="s">
        <v>323</v>
      </c>
      <c r="H507" s="3">
        <v>55</v>
      </c>
      <c r="I507" s="2" t="s">
        <v>2004</v>
      </c>
      <c r="J507" s="3">
        <v>1</v>
      </c>
      <c r="K507" s="3">
        <v>0.8</v>
      </c>
      <c r="L507" s="33"/>
      <c r="M507" s="23">
        <v>28</v>
      </c>
      <c r="N507" s="24" t="s">
        <v>609</v>
      </c>
      <c r="O507" s="34"/>
      <c r="P507" s="31">
        <v>660</v>
      </c>
      <c r="Q507" s="31">
        <v>120</v>
      </c>
      <c r="R507" s="31"/>
      <c r="S507" s="23">
        <v>1</v>
      </c>
      <c r="T507" s="31">
        <v>180</v>
      </c>
      <c r="U507" s="31"/>
      <c r="V507" s="36">
        <v>1</v>
      </c>
      <c r="W507" s="37"/>
      <c r="X507" s="29">
        <v>13.8</v>
      </c>
      <c r="Y507" s="3" t="s">
        <v>49</v>
      </c>
      <c r="Z507" s="2" t="s">
        <v>407</v>
      </c>
      <c r="AA507" s="2"/>
    </row>
    <row r="508" spans="1:27" ht="23.1" customHeight="1" x14ac:dyDescent="0.25">
      <c r="A508" s="20" t="s">
        <v>575</v>
      </c>
      <c r="B508" s="3" t="s">
        <v>113</v>
      </c>
      <c r="C508" s="3">
        <v>17</v>
      </c>
      <c r="D508" s="3" t="s">
        <v>352</v>
      </c>
      <c r="E508" s="1" t="s">
        <v>353</v>
      </c>
      <c r="F508" s="21" t="e">
        <v>#N/A</v>
      </c>
      <c r="G508" s="3" t="s">
        <v>300</v>
      </c>
      <c r="H508" s="3">
        <v>30</v>
      </c>
      <c r="I508" s="2" t="s">
        <v>2005</v>
      </c>
      <c r="J508" s="3">
        <v>1</v>
      </c>
      <c r="K508" s="3">
        <v>2</v>
      </c>
      <c r="L508" s="23">
        <v>28</v>
      </c>
      <c r="M508" s="23">
        <v>28</v>
      </c>
      <c r="N508" s="24" t="s">
        <v>355</v>
      </c>
      <c r="O508" s="34"/>
      <c r="P508" s="31">
        <v>480</v>
      </c>
      <c r="Q508" s="31"/>
      <c r="R508" s="31"/>
      <c r="S508" s="23"/>
      <c r="T508" s="31">
        <v>120</v>
      </c>
      <c r="U508" s="31"/>
      <c r="V508" s="36"/>
      <c r="W508" s="37"/>
      <c r="X508" s="29">
        <v>16</v>
      </c>
      <c r="Y508" s="3" t="s">
        <v>16</v>
      </c>
      <c r="Z508" s="2"/>
      <c r="AA508" s="2"/>
    </row>
    <row r="509" spans="1:27" ht="23.1" customHeight="1" x14ac:dyDescent="0.25">
      <c r="A509" s="20" t="s">
        <v>575</v>
      </c>
      <c r="B509" s="3" t="s">
        <v>113</v>
      </c>
      <c r="C509" s="3">
        <v>108</v>
      </c>
      <c r="D509" s="3" t="s">
        <v>173</v>
      </c>
      <c r="E509" s="1" t="s">
        <v>174</v>
      </c>
      <c r="F509" s="21" t="s">
        <v>1246</v>
      </c>
      <c r="G509" s="3" t="s">
        <v>154</v>
      </c>
      <c r="H509" s="3">
        <v>25</v>
      </c>
      <c r="I509" s="2" t="s">
        <v>2006</v>
      </c>
      <c r="J509" s="3">
        <v>0.5</v>
      </c>
      <c r="K509" s="3">
        <v>1</v>
      </c>
      <c r="L509" s="23">
        <v>28</v>
      </c>
      <c r="M509" s="23">
        <v>28</v>
      </c>
      <c r="N509" s="24" t="s">
        <v>421</v>
      </c>
      <c r="O509" s="34"/>
      <c r="P509" s="31">
        <v>1050</v>
      </c>
      <c r="Q509" s="31">
        <v>90</v>
      </c>
      <c r="R509" s="31"/>
      <c r="S509" s="23"/>
      <c r="T509" s="31">
        <v>120</v>
      </c>
      <c r="U509" s="31"/>
      <c r="V509" s="36"/>
      <c r="W509" s="37">
        <v>2</v>
      </c>
      <c r="X509" s="29">
        <v>19.5</v>
      </c>
      <c r="Y509" s="3" t="s">
        <v>13</v>
      </c>
      <c r="Z509" s="2" t="s">
        <v>651</v>
      </c>
      <c r="AA509" s="1" t="s">
        <v>238</v>
      </c>
    </row>
    <row r="510" spans="1:27" ht="23.1" customHeight="1" x14ac:dyDescent="0.25">
      <c r="A510" s="20" t="s">
        <v>575</v>
      </c>
      <c r="B510" s="3" t="s">
        <v>113</v>
      </c>
      <c r="C510" s="3">
        <v>55</v>
      </c>
      <c r="D510" s="3" t="s">
        <v>589</v>
      </c>
      <c r="E510" s="1" t="s">
        <v>590</v>
      </c>
      <c r="F510" s="21" t="s">
        <v>590</v>
      </c>
      <c r="G510" s="3" t="s">
        <v>118</v>
      </c>
      <c r="H510" s="3">
        <v>58</v>
      </c>
      <c r="I510" s="2"/>
      <c r="J510" s="3">
        <v>6</v>
      </c>
      <c r="K510" s="3">
        <v>7</v>
      </c>
      <c r="L510" s="23">
        <v>37</v>
      </c>
      <c r="M510" s="23">
        <v>37</v>
      </c>
      <c r="N510" s="24" t="s">
        <v>567</v>
      </c>
      <c r="O510" s="34">
        <v>25</v>
      </c>
      <c r="P510" s="31"/>
      <c r="Q510" s="31"/>
      <c r="R510" s="31"/>
      <c r="S510" s="23"/>
      <c r="T510" s="31"/>
      <c r="U510" s="31"/>
      <c r="V510" s="36"/>
      <c r="W510" s="37"/>
      <c r="X510" s="32">
        <v>2.9</v>
      </c>
      <c r="Y510" s="3" t="s">
        <v>18</v>
      </c>
      <c r="Z510" s="2"/>
      <c r="AA510" s="2"/>
    </row>
    <row r="511" spans="1:27" ht="23.1" customHeight="1" x14ac:dyDescent="0.25">
      <c r="A511" s="20" t="s">
        <v>575</v>
      </c>
      <c r="B511" s="3" t="s">
        <v>113</v>
      </c>
      <c r="C511" s="3">
        <v>55</v>
      </c>
      <c r="D511" s="3" t="s">
        <v>589</v>
      </c>
      <c r="E511" s="1" t="s">
        <v>590</v>
      </c>
      <c r="F511" s="21" t="s">
        <v>590</v>
      </c>
      <c r="G511" s="3" t="s">
        <v>118</v>
      </c>
      <c r="H511" s="3">
        <v>60</v>
      </c>
      <c r="I511" s="2" t="s">
        <v>2007</v>
      </c>
      <c r="J511" s="3">
        <v>12</v>
      </c>
      <c r="K511" s="3">
        <v>12</v>
      </c>
      <c r="L511" s="23">
        <v>5</v>
      </c>
      <c r="M511" s="23">
        <v>5</v>
      </c>
      <c r="N511" s="24" t="s">
        <v>567</v>
      </c>
      <c r="O511" s="34"/>
      <c r="P511" s="31">
        <v>40</v>
      </c>
      <c r="Q511" s="31"/>
      <c r="R511" s="31"/>
      <c r="S511" s="23"/>
      <c r="T511" s="31">
        <v>120</v>
      </c>
      <c r="U511" s="31"/>
      <c r="V511" s="36"/>
      <c r="W511" s="37"/>
      <c r="X511" s="29">
        <v>8</v>
      </c>
      <c r="Y511" s="3" t="s">
        <v>18</v>
      </c>
      <c r="Z511" s="2"/>
      <c r="AA511" s="2"/>
    </row>
    <row r="512" spans="1:27" ht="23.1" customHeight="1" x14ac:dyDescent="0.25">
      <c r="A512" s="20" t="s">
        <v>575</v>
      </c>
      <c r="B512" s="3" t="s">
        <v>113</v>
      </c>
      <c r="C512" s="3">
        <v>11</v>
      </c>
      <c r="D512" s="3" t="s">
        <v>200</v>
      </c>
      <c r="E512" s="1" t="s">
        <v>317</v>
      </c>
      <c r="F512" s="21" t="s">
        <v>317</v>
      </c>
      <c r="G512" s="3" t="s">
        <v>154</v>
      </c>
      <c r="H512" s="3">
        <v>40</v>
      </c>
      <c r="I512" s="2" t="s">
        <v>1935</v>
      </c>
      <c r="J512" s="3">
        <v>3</v>
      </c>
      <c r="K512" s="3">
        <v>1</v>
      </c>
      <c r="L512" s="23">
        <v>23</v>
      </c>
      <c r="M512" s="23">
        <v>23</v>
      </c>
      <c r="N512" s="24" t="s">
        <v>168</v>
      </c>
      <c r="O512" s="34"/>
      <c r="P512" s="31">
        <v>260</v>
      </c>
      <c r="Q512" s="31"/>
      <c r="R512" s="31"/>
      <c r="S512" s="23"/>
      <c r="T512" s="31">
        <v>90</v>
      </c>
      <c r="U512" s="31"/>
      <c r="V512" s="36"/>
      <c r="W512" s="37"/>
      <c r="X512" s="29">
        <v>4.3</v>
      </c>
      <c r="Y512" s="3" t="s">
        <v>63</v>
      </c>
      <c r="Z512" s="2"/>
      <c r="AA512" s="2"/>
    </row>
    <row r="513" spans="1:27" ht="23.1" customHeight="1" x14ac:dyDescent="0.25">
      <c r="A513" s="20" t="s">
        <v>575</v>
      </c>
      <c r="B513" s="3" t="s">
        <v>113</v>
      </c>
      <c r="C513" s="3">
        <v>11</v>
      </c>
      <c r="D513" s="3" t="s">
        <v>203</v>
      </c>
      <c r="E513" s="1" t="s">
        <v>317</v>
      </c>
      <c r="F513" s="21" t="s">
        <v>317</v>
      </c>
      <c r="G513" s="3" t="s">
        <v>154</v>
      </c>
      <c r="H513" s="3">
        <v>40</v>
      </c>
      <c r="I513" s="3" t="s">
        <v>1935</v>
      </c>
      <c r="J513" s="2"/>
      <c r="K513" s="3">
        <v>4</v>
      </c>
      <c r="L513" s="23">
        <v>23</v>
      </c>
      <c r="M513" s="23">
        <v>28</v>
      </c>
      <c r="N513" s="24" t="s">
        <v>585</v>
      </c>
      <c r="O513" s="34"/>
      <c r="P513" s="31">
        <v>260</v>
      </c>
      <c r="Q513" s="31"/>
      <c r="R513" s="31"/>
      <c r="S513" s="23"/>
      <c r="T513" s="31">
        <v>90</v>
      </c>
      <c r="U513" s="31"/>
      <c r="V513" s="36"/>
      <c r="W513" s="37"/>
      <c r="X513" s="29">
        <v>17.3</v>
      </c>
      <c r="Y513" s="3" t="s">
        <v>63</v>
      </c>
      <c r="Z513" s="2"/>
      <c r="AA513" s="2"/>
    </row>
    <row r="514" spans="1:27" ht="23.1" customHeight="1" x14ac:dyDescent="0.25">
      <c r="A514" s="20" t="s">
        <v>575</v>
      </c>
      <c r="B514" s="3" t="s">
        <v>113</v>
      </c>
      <c r="C514" s="3">
        <v>77</v>
      </c>
      <c r="D514" s="3" t="s">
        <v>211</v>
      </c>
      <c r="E514" s="1" t="s">
        <v>212</v>
      </c>
      <c r="F514" s="21" t="s">
        <v>212</v>
      </c>
      <c r="G514" s="3" t="s">
        <v>123</v>
      </c>
      <c r="H514" s="3">
        <v>15</v>
      </c>
      <c r="I514" s="2" t="s">
        <v>1893</v>
      </c>
      <c r="J514" s="3">
        <v>8</v>
      </c>
      <c r="K514" s="3">
        <v>9</v>
      </c>
      <c r="L514" s="23">
        <v>37</v>
      </c>
      <c r="M514" s="23">
        <v>23</v>
      </c>
      <c r="N514" s="24" t="s">
        <v>652</v>
      </c>
      <c r="O514" s="25">
        <v>100</v>
      </c>
      <c r="P514" s="31">
        <v>60</v>
      </c>
      <c r="Q514" s="31"/>
      <c r="R514" s="31"/>
      <c r="S514" s="23"/>
      <c r="T514" s="31">
        <v>90</v>
      </c>
      <c r="U514" s="31"/>
      <c r="V514" s="36"/>
      <c r="W514" s="37"/>
      <c r="X514" s="32">
        <v>15</v>
      </c>
      <c r="Y514" s="3" t="s">
        <v>24</v>
      </c>
      <c r="Z514" s="2"/>
      <c r="AA514" s="2"/>
    </row>
    <row r="515" spans="1:27" ht="23.1" customHeight="1" x14ac:dyDescent="0.25">
      <c r="A515" s="20" t="s">
        <v>575</v>
      </c>
      <c r="B515" s="3" t="s">
        <v>113</v>
      </c>
      <c r="C515" s="3">
        <v>56</v>
      </c>
      <c r="D515" s="3" t="s">
        <v>273</v>
      </c>
      <c r="E515" s="1" t="s">
        <v>274</v>
      </c>
      <c r="F515" s="21" t="s">
        <v>274</v>
      </c>
      <c r="G515" s="3" t="s">
        <v>154</v>
      </c>
      <c r="H515" s="3">
        <v>25</v>
      </c>
      <c r="I515" s="2" t="s">
        <v>2008</v>
      </c>
      <c r="J515" s="3">
        <v>15</v>
      </c>
      <c r="K515" s="3">
        <v>20</v>
      </c>
      <c r="L515" s="23">
        <v>26</v>
      </c>
      <c r="M515" s="23">
        <v>23</v>
      </c>
      <c r="N515" s="24" t="s">
        <v>231</v>
      </c>
      <c r="O515" s="34"/>
      <c r="P515" s="31">
        <v>45</v>
      </c>
      <c r="Q515" s="31"/>
      <c r="R515" s="31"/>
      <c r="S515" s="23"/>
      <c r="T515" s="31">
        <v>60</v>
      </c>
      <c r="U515" s="31"/>
      <c r="V515" s="36"/>
      <c r="W515" s="37"/>
      <c r="X515" s="29">
        <v>15</v>
      </c>
      <c r="Y515" s="3" t="s">
        <v>18</v>
      </c>
      <c r="Z515" s="2"/>
      <c r="AA515" s="2"/>
    </row>
    <row r="516" spans="1:27" ht="23.1" customHeight="1" x14ac:dyDescent="0.25">
      <c r="A516" s="20" t="s">
        <v>653</v>
      </c>
      <c r="B516" s="3" t="s">
        <v>99</v>
      </c>
      <c r="C516" s="3">
        <v>13</v>
      </c>
      <c r="D516" s="3" t="s">
        <v>654</v>
      </c>
      <c r="E516" s="1" t="s">
        <v>246</v>
      </c>
      <c r="F516" s="21" t="s">
        <v>246</v>
      </c>
      <c r="G516" s="3" t="s">
        <v>154</v>
      </c>
      <c r="H516" s="3">
        <v>10</v>
      </c>
      <c r="I516" s="2" t="s">
        <v>1916</v>
      </c>
      <c r="J516" s="3">
        <v>14</v>
      </c>
      <c r="K516" s="3">
        <v>14</v>
      </c>
      <c r="L516" s="23">
        <v>28</v>
      </c>
      <c r="M516" s="23">
        <v>28</v>
      </c>
      <c r="N516" s="24" t="s">
        <v>247</v>
      </c>
      <c r="O516" s="34"/>
      <c r="P516" s="31">
        <v>60</v>
      </c>
      <c r="Q516" s="31"/>
      <c r="R516" s="31"/>
      <c r="S516" s="23"/>
      <c r="T516" s="31">
        <v>60</v>
      </c>
      <c r="U516" s="31"/>
      <c r="V516" s="36">
        <v>1</v>
      </c>
      <c r="W516" s="37"/>
      <c r="X516" s="29">
        <v>15</v>
      </c>
      <c r="Y516" s="3" t="s">
        <v>72</v>
      </c>
      <c r="Z516" s="2" t="s">
        <v>92</v>
      </c>
      <c r="AA516" s="2"/>
    </row>
    <row r="517" spans="1:27" ht="23.1" customHeight="1" x14ac:dyDescent="0.25">
      <c r="A517" s="20" t="s">
        <v>653</v>
      </c>
      <c r="B517" s="3" t="s">
        <v>99</v>
      </c>
      <c r="C517" s="3">
        <v>13</v>
      </c>
      <c r="D517" s="3" t="s">
        <v>654</v>
      </c>
      <c r="E517" s="1" t="s">
        <v>246</v>
      </c>
      <c r="F517" s="21" t="s">
        <v>246</v>
      </c>
      <c r="G517" s="3" t="s">
        <v>154</v>
      </c>
      <c r="H517" s="3">
        <v>15</v>
      </c>
      <c r="I517" s="2" t="s">
        <v>2433</v>
      </c>
      <c r="J517" s="3">
        <v>14</v>
      </c>
      <c r="K517" s="3">
        <v>14</v>
      </c>
      <c r="L517" s="23">
        <v>28</v>
      </c>
      <c r="M517" s="23">
        <v>28</v>
      </c>
      <c r="N517" s="24" t="s">
        <v>247</v>
      </c>
      <c r="O517" s="34"/>
      <c r="P517" s="31">
        <v>50</v>
      </c>
      <c r="Q517" s="31"/>
      <c r="R517" s="31"/>
      <c r="S517" s="23"/>
      <c r="T517" s="31">
        <v>60</v>
      </c>
      <c r="U517" s="31"/>
      <c r="V517" s="36"/>
      <c r="W517" s="37"/>
      <c r="X517" s="29">
        <v>11.7</v>
      </c>
      <c r="Y517" s="3" t="s">
        <v>72</v>
      </c>
      <c r="Z517" s="2"/>
      <c r="AA517" s="2"/>
    </row>
    <row r="518" spans="1:27" ht="23.1" customHeight="1" x14ac:dyDescent="0.25">
      <c r="A518" s="20" t="s">
        <v>653</v>
      </c>
      <c r="B518" s="3" t="s">
        <v>99</v>
      </c>
      <c r="C518" s="3">
        <v>108</v>
      </c>
      <c r="D518" s="3" t="s">
        <v>173</v>
      </c>
      <c r="E518" s="1" t="s">
        <v>174</v>
      </c>
      <c r="F518" s="21" t="s">
        <v>1246</v>
      </c>
      <c r="G518" s="3" t="s">
        <v>154</v>
      </c>
      <c r="H518" s="3">
        <v>25</v>
      </c>
      <c r="I518" s="3" t="s">
        <v>2006</v>
      </c>
      <c r="J518" s="2"/>
      <c r="K518" s="3">
        <v>1</v>
      </c>
      <c r="L518" s="23">
        <v>28</v>
      </c>
      <c r="M518" s="23">
        <v>28</v>
      </c>
      <c r="N518" s="24" t="s">
        <v>470</v>
      </c>
      <c r="O518" s="34"/>
      <c r="P518" s="31">
        <v>1050</v>
      </c>
      <c r="Q518" s="31">
        <v>90</v>
      </c>
      <c r="R518" s="31"/>
      <c r="S518" s="23">
        <v>1</v>
      </c>
      <c r="T518" s="31">
        <v>120</v>
      </c>
      <c r="U518" s="31"/>
      <c r="V518" s="36"/>
      <c r="W518" s="37"/>
      <c r="X518" s="29">
        <v>19</v>
      </c>
      <c r="Y518" s="3" t="s">
        <v>13</v>
      </c>
      <c r="Z518" s="2" t="s">
        <v>145</v>
      </c>
      <c r="AA518" s="2"/>
    </row>
    <row r="519" spans="1:27" ht="23.1" customHeight="1" x14ac:dyDescent="0.25">
      <c r="A519" s="20" t="s">
        <v>653</v>
      </c>
      <c r="B519" s="3" t="s">
        <v>99</v>
      </c>
      <c r="C519" s="3">
        <v>16</v>
      </c>
      <c r="D519" s="3" t="s">
        <v>626</v>
      </c>
      <c r="E519" s="1" t="s">
        <v>627</v>
      </c>
      <c r="F519" s="21" t="s">
        <v>627</v>
      </c>
      <c r="G519" s="3" t="s">
        <v>102</v>
      </c>
      <c r="H519" s="3">
        <v>45</v>
      </c>
      <c r="I519" s="3" t="s">
        <v>1996</v>
      </c>
      <c r="J519" s="2"/>
      <c r="K519" s="3">
        <v>2</v>
      </c>
      <c r="L519" s="23">
        <v>31</v>
      </c>
      <c r="M519" s="23">
        <v>9</v>
      </c>
      <c r="N519" s="24" t="s">
        <v>140</v>
      </c>
      <c r="O519" s="34"/>
      <c r="P519" s="31">
        <v>30</v>
      </c>
      <c r="Q519" s="31"/>
      <c r="R519" s="31"/>
      <c r="S519" s="23"/>
      <c r="T519" s="31">
        <v>60</v>
      </c>
      <c r="U519" s="31"/>
      <c r="V519" s="36"/>
      <c r="W519" s="37"/>
      <c r="X519" s="29">
        <v>1</v>
      </c>
      <c r="Y519" s="3" t="s">
        <v>38</v>
      </c>
      <c r="Z519" s="2" t="s">
        <v>655</v>
      </c>
      <c r="AA519" s="39"/>
    </row>
    <row r="520" spans="1:27" ht="23.1" customHeight="1" x14ac:dyDescent="0.25">
      <c r="A520" s="20" t="s">
        <v>653</v>
      </c>
      <c r="B520" s="3" t="s">
        <v>99</v>
      </c>
      <c r="C520" s="3">
        <v>13</v>
      </c>
      <c r="D520" s="3" t="s">
        <v>656</v>
      </c>
      <c r="E520" s="1" t="s">
        <v>657</v>
      </c>
      <c r="F520" s="21" t="s">
        <v>657</v>
      </c>
      <c r="G520" s="3" t="s">
        <v>658</v>
      </c>
      <c r="H520" s="3">
        <v>50</v>
      </c>
      <c r="I520" s="2" t="s">
        <v>2009</v>
      </c>
      <c r="J520" s="3">
        <v>3</v>
      </c>
      <c r="K520" s="3">
        <v>3</v>
      </c>
      <c r="L520" s="23">
        <v>37</v>
      </c>
      <c r="M520" s="23">
        <v>37</v>
      </c>
      <c r="N520" s="24" t="s">
        <v>659</v>
      </c>
      <c r="O520" s="34"/>
      <c r="P520" s="31">
        <v>60</v>
      </c>
      <c r="Q520" s="31"/>
      <c r="R520" s="31"/>
      <c r="S520" s="23"/>
      <c r="T520" s="31">
        <v>120</v>
      </c>
      <c r="U520" s="31"/>
      <c r="V520" s="36"/>
      <c r="W520" s="37"/>
      <c r="X520" s="29">
        <v>3</v>
      </c>
      <c r="Y520" s="3" t="s">
        <v>72</v>
      </c>
      <c r="Z520" s="2"/>
      <c r="AA520" s="2"/>
    </row>
    <row r="521" spans="1:27" ht="23.1" customHeight="1" x14ac:dyDescent="0.25">
      <c r="A521" s="20" t="s">
        <v>653</v>
      </c>
      <c r="B521" s="3" t="s">
        <v>110</v>
      </c>
      <c r="C521" s="3">
        <v>77</v>
      </c>
      <c r="D521" s="3" t="s">
        <v>211</v>
      </c>
      <c r="E521" s="1" t="s">
        <v>212</v>
      </c>
      <c r="F521" s="21" t="s">
        <v>212</v>
      </c>
      <c r="G521" s="3" t="s">
        <v>123</v>
      </c>
      <c r="H521" s="3">
        <v>15</v>
      </c>
      <c r="I521" s="2" t="s">
        <v>1893</v>
      </c>
      <c r="J521" s="3">
        <v>8</v>
      </c>
      <c r="K521" s="3">
        <v>10</v>
      </c>
      <c r="L521" s="23">
        <v>9</v>
      </c>
      <c r="M521" s="23">
        <v>37</v>
      </c>
      <c r="N521" s="24" t="s">
        <v>652</v>
      </c>
      <c r="O521" s="25">
        <v>100</v>
      </c>
      <c r="P521" s="31">
        <v>60</v>
      </c>
      <c r="Q521" s="31"/>
      <c r="R521" s="31"/>
      <c r="S521" s="23"/>
      <c r="T521" s="31">
        <v>90</v>
      </c>
      <c r="U521" s="31"/>
      <c r="V521" s="36"/>
      <c r="W521" s="37"/>
      <c r="X521" s="32">
        <v>16.7</v>
      </c>
      <c r="Y521" s="3" t="s">
        <v>15</v>
      </c>
      <c r="Z521" s="2"/>
      <c r="AA521" s="2"/>
    </row>
    <row r="522" spans="1:27" ht="23.1" customHeight="1" x14ac:dyDescent="0.25">
      <c r="A522" s="20" t="s">
        <v>653</v>
      </c>
      <c r="B522" s="3" t="s">
        <v>110</v>
      </c>
      <c r="C522" s="3">
        <v>14</v>
      </c>
      <c r="D522" s="3" t="s">
        <v>235</v>
      </c>
      <c r="E522" s="1" t="s">
        <v>236</v>
      </c>
      <c r="F522" s="21" t="s">
        <v>236</v>
      </c>
      <c r="G522" s="3" t="s">
        <v>154</v>
      </c>
      <c r="H522" s="3">
        <v>70</v>
      </c>
      <c r="I522" s="2" t="s">
        <v>1995</v>
      </c>
      <c r="J522" s="3">
        <v>0.7</v>
      </c>
      <c r="K522" s="3">
        <v>0.5</v>
      </c>
      <c r="L522" s="23">
        <v>19</v>
      </c>
      <c r="M522" s="33"/>
      <c r="N522" s="24" t="s">
        <v>159</v>
      </c>
      <c r="O522" s="31"/>
      <c r="P522" s="31">
        <v>1320</v>
      </c>
      <c r="Q522" s="31"/>
      <c r="R522" s="31"/>
      <c r="S522" s="23"/>
      <c r="T522" s="31">
        <v>120</v>
      </c>
      <c r="U522" s="31"/>
      <c r="V522" s="36"/>
      <c r="W522" s="37"/>
      <c r="X522" s="29">
        <v>11</v>
      </c>
      <c r="Y522" s="3" t="s">
        <v>31</v>
      </c>
      <c r="Z522" s="2"/>
      <c r="AA522" s="2"/>
    </row>
    <row r="523" spans="1:27" ht="23.1" customHeight="1" x14ac:dyDescent="0.25">
      <c r="A523" s="20" t="s">
        <v>653</v>
      </c>
      <c r="B523" s="3" t="s">
        <v>110</v>
      </c>
      <c r="C523" s="3">
        <v>14</v>
      </c>
      <c r="D523" s="3" t="s">
        <v>276</v>
      </c>
      <c r="E523" s="1" t="s">
        <v>277</v>
      </c>
      <c r="F523" s="21" t="s">
        <v>277</v>
      </c>
      <c r="G523" s="3" t="s">
        <v>154</v>
      </c>
      <c r="H523" s="3">
        <v>70</v>
      </c>
      <c r="I523" s="3" t="s">
        <v>1995</v>
      </c>
      <c r="J523" s="2"/>
      <c r="K523" s="3">
        <v>0.3</v>
      </c>
      <c r="L523" s="33"/>
      <c r="M523" s="23">
        <v>5</v>
      </c>
      <c r="N523" s="24" t="s">
        <v>234</v>
      </c>
      <c r="O523" s="31"/>
      <c r="P523" s="31">
        <v>1320</v>
      </c>
      <c r="Q523" s="31"/>
      <c r="R523" s="31"/>
      <c r="S523" s="23"/>
      <c r="T523" s="31">
        <v>120</v>
      </c>
      <c r="U523" s="31"/>
      <c r="V523" s="36"/>
      <c r="W523" s="37"/>
      <c r="X523" s="29">
        <v>6.6</v>
      </c>
      <c r="Y523" s="3" t="s">
        <v>31</v>
      </c>
      <c r="Z523" s="2"/>
      <c r="AA523" s="2"/>
    </row>
    <row r="524" spans="1:27" ht="23.1" customHeight="1" x14ac:dyDescent="0.25">
      <c r="A524" s="20" t="s">
        <v>653</v>
      </c>
      <c r="B524" s="3" t="s">
        <v>110</v>
      </c>
      <c r="C524" s="3">
        <v>15</v>
      </c>
      <c r="D524" s="3" t="s">
        <v>592</v>
      </c>
      <c r="E524" s="1" t="s">
        <v>218</v>
      </c>
      <c r="F524" s="21" t="s">
        <v>218</v>
      </c>
      <c r="G524" s="3" t="s">
        <v>107</v>
      </c>
      <c r="H524" s="3">
        <v>20</v>
      </c>
      <c r="I524" s="2" t="s">
        <v>1896</v>
      </c>
      <c r="J524" s="3">
        <v>2</v>
      </c>
      <c r="K524" s="3">
        <v>4</v>
      </c>
      <c r="L524" s="23">
        <v>31</v>
      </c>
      <c r="M524" s="23">
        <v>5</v>
      </c>
      <c r="N524" s="24" t="s">
        <v>456</v>
      </c>
      <c r="O524" s="34"/>
      <c r="P524" s="31">
        <v>300</v>
      </c>
      <c r="Q524" s="31"/>
      <c r="R524" s="31"/>
      <c r="S524" s="23"/>
      <c r="T524" s="31">
        <v>90</v>
      </c>
      <c r="U524" s="31"/>
      <c r="V524" s="36"/>
      <c r="W524" s="37">
        <v>3</v>
      </c>
      <c r="X524" s="29">
        <v>23</v>
      </c>
      <c r="Y524" s="3" t="s">
        <v>31</v>
      </c>
      <c r="Z524" s="2" t="s">
        <v>660</v>
      </c>
      <c r="AA524" s="2"/>
    </row>
    <row r="525" spans="1:27" ht="23.1" customHeight="1" x14ac:dyDescent="0.25">
      <c r="A525" s="20" t="s">
        <v>653</v>
      </c>
      <c r="B525" s="3" t="s">
        <v>110</v>
      </c>
      <c r="C525" s="3">
        <v>12</v>
      </c>
      <c r="D525" s="3" t="s">
        <v>248</v>
      </c>
      <c r="E525" s="1" t="s">
        <v>249</v>
      </c>
      <c r="F525" s="21" t="s">
        <v>249</v>
      </c>
      <c r="G525" s="3" t="s">
        <v>250</v>
      </c>
      <c r="H525" s="3">
        <v>25</v>
      </c>
      <c r="I525" s="2" t="s">
        <v>1923</v>
      </c>
      <c r="J525" s="3">
        <v>0.8</v>
      </c>
      <c r="K525" s="3">
        <v>1</v>
      </c>
      <c r="L525" s="33"/>
      <c r="M525" s="23">
        <v>23</v>
      </c>
      <c r="N525" s="24" t="s">
        <v>251</v>
      </c>
      <c r="O525" s="34"/>
      <c r="P525" s="31">
        <v>1080</v>
      </c>
      <c r="Q525" s="31"/>
      <c r="R525" s="31"/>
      <c r="S525" s="23"/>
      <c r="T525" s="31">
        <v>120</v>
      </c>
      <c r="U525" s="31"/>
      <c r="V525" s="36"/>
      <c r="W525" s="37"/>
      <c r="X525" s="29">
        <v>18</v>
      </c>
      <c r="Y525" s="3" t="s">
        <v>72</v>
      </c>
      <c r="Z525" s="2"/>
      <c r="AA525" s="2"/>
    </row>
    <row r="526" spans="1:27" ht="23.1" customHeight="1" x14ac:dyDescent="0.25">
      <c r="A526" s="20" t="s">
        <v>653</v>
      </c>
      <c r="B526" s="3" t="s">
        <v>110</v>
      </c>
      <c r="C526" s="3">
        <v>76</v>
      </c>
      <c r="D526" s="3" t="s">
        <v>543</v>
      </c>
      <c r="E526" s="1" t="s">
        <v>544</v>
      </c>
      <c r="F526" s="21" t="s">
        <v>544</v>
      </c>
      <c r="G526" s="3" t="s">
        <v>154</v>
      </c>
      <c r="H526" s="3">
        <v>15</v>
      </c>
      <c r="I526" s="2" t="s">
        <v>1926</v>
      </c>
      <c r="J526" s="3">
        <v>7</v>
      </c>
      <c r="K526" s="3">
        <v>5</v>
      </c>
      <c r="L526" s="23">
        <v>28</v>
      </c>
      <c r="M526" s="23">
        <v>37</v>
      </c>
      <c r="N526" s="24" t="s">
        <v>463</v>
      </c>
      <c r="O526" s="31"/>
      <c r="P526" s="31">
        <v>90</v>
      </c>
      <c r="Q526" s="31"/>
      <c r="R526" s="31"/>
      <c r="S526" s="23"/>
      <c r="T526" s="31">
        <v>90</v>
      </c>
      <c r="U526" s="31"/>
      <c r="V526" s="36">
        <v>1</v>
      </c>
      <c r="W526" s="37"/>
      <c r="X526" s="29">
        <v>9</v>
      </c>
      <c r="Y526" s="3" t="s">
        <v>46</v>
      </c>
      <c r="Z526" s="2" t="s">
        <v>331</v>
      </c>
      <c r="AA526" s="2"/>
    </row>
    <row r="527" spans="1:27" ht="23.1" customHeight="1" x14ac:dyDescent="0.25">
      <c r="A527" s="20" t="s">
        <v>653</v>
      </c>
      <c r="B527" s="3" t="s">
        <v>110</v>
      </c>
      <c r="C527" s="3">
        <v>24</v>
      </c>
      <c r="D527" s="3" t="s">
        <v>392</v>
      </c>
      <c r="E527" s="1" t="s">
        <v>259</v>
      </c>
      <c r="F527" s="21" t="s">
        <v>979</v>
      </c>
      <c r="G527" s="3" t="s">
        <v>118</v>
      </c>
      <c r="H527" s="3">
        <v>50</v>
      </c>
      <c r="I527" s="2" t="s">
        <v>1965</v>
      </c>
      <c r="J527" s="3">
        <v>0.5</v>
      </c>
      <c r="K527" s="3">
        <v>0.5</v>
      </c>
      <c r="L527" s="23">
        <v>28</v>
      </c>
      <c r="M527" s="23">
        <v>5</v>
      </c>
      <c r="N527" s="24" t="s">
        <v>661</v>
      </c>
      <c r="O527" s="34"/>
      <c r="P527" s="31">
        <v>1960</v>
      </c>
      <c r="Q527" s="31">
        <v>120</v>
      </c>
      <c r="R527" s="31"/>
      <c r="S527" s="23">
        <v>1</v>
      </c>
      <c r="T527" s="31">
        <v>180</v>
      </c>
      <c r="U527" s="31"/>
      <c r="V527" s="36"/>
      <c r="W527" s="37"/>
      <c r="X527" s="29">
        <v>18.3</v>
      </c>
      <c r="Y527" s="3" t="s">
        <v>3</v>
      </c>
      <c r="Z527" s="2" t="s">
        <v>145</v>
      </c>
      <c r="AA527" s="2"/>
    </row>
    <row r="528" spans="1:27" ht="23.1" customHeight="1" x14ac:dyDescent="0.25">
      <c r="A528" s="20" t="s">
        <v>653</v>
      </c>
      <c r="B528" s="3" t="s">
        <v>110</v>
      </c>
      <c r="C528" s="3">
        <v>69</v>
      </c>
      <c r="D528" s="3" t="s">
        <v>662</v>
      </c>
      <c r="E528" s="1" t="s">
        <v>663</v>
      </c>
      <c r="F528" s="21" t="s">
        <v>663</v>
      </c>
      <c r="G528" s="3" t="s">
        <v>250</v>
      </c>
      <c r="H528" s="3">
        <v>55</v>
      </c>
      <c r="I528" s="2" t="s">
        <v>2010</v>
      </c>
      <c r="J528" s="3">
        <v>4</v>
      </c>
      <c r="K528" s="3">
        <v>1</v>
      </c>
      <c r="L528" s="23">
        <v>37</v>
      </c>
      <c r="M528" s="33"/>
      <c r="N528" s="24" t="s">
        <v>664</v>
      </c>
      <c r="O528" s="34"/>
      <c r="P528" s="31">
        <v>450</v>
      </c>
      <c r="Q528" s="31">
        <v>90</v>
      </c>
      <c r="R528" s="31"/>
      <c r="S528" s="23"/>
      <c r="T528" s="31">
        <v>180</v>
      </c>
      <c r="U528" s="31"/>
      <c r="V528" s="36">
        <v>1</v>
      </c>
      <c r="W528" s="37">
        <v>4</v>
      </c>
      <c r="X528" s="29">
        <v>14.5</v>
      </c>
      <c r="Y528" s="3" t="s">
        <v>3</v>
      </c>
      <c r="Z528" s="2" t="s">
        <v>665</v>
      </c>
      <c r="AA528" s="2"/>
    </row>
    <row r="529" spans="1:27" ht="23.1" customHeight="1" x14ac:dyDescent="0.25">
      <c r="A529" s="20" t="s">
        <v>653</v>
      </c>
      <c r="B529" s="3" t="s">
        <v>110</v>
      </c>
      <c r="C529" s="3">
        <v>91</v>
      </c>
      <c r="D529" s="3" t="s">
        <v>643</v>
      </c>
      <c r="E529" s="1" t="s">
        <v>644</v>
      </c>
      <c r="F529" s="21" t="s">
        <v>644</v>
      </c>
      <c r="G529" s="3" t="s">
        <v>154</v>
      </c>
      <c r="H529" s="3">
        <v>45</v>
      </c>
      <c r="I529" s="2" t="s">
        <v>2001</v>
      </c>
      <c r="J529" s="3">
        <v>2</v>
      </c>
      <c r="K529" s="3">
        <v>1.8</v>
      </c>
      <c r="L529" s="23">
        <v>28</v>
      </c>
      <c r="M529" s="23">
        <v>26</v>
      </c>
      <c r="N529" s="24" t="s">
        <v>666</v>
      </c>
      <c r="O529" s="34"/>
      <c r="P529" s="31">
        <v>210</v>
      </c>
      <c r="Q529" s="31">
        <v>90</v>
      </c>
      <c r="R529" s="31"/>
      <c r="S529" s="23">
        <v>2</v>
      </c>
      <c r="T529" s="31">
        <v>120</v>
      </c>
      <c r="U529" s="31"/>
      <c r="V529" s="36"/>
      <c r="W529" s="37"/>
      <c r="X529" s="29">
        <v>9.3000000000000007</v>
      </c>
      <c r="Y529" s="3" t="s">
        <v>3</v>
      </c>
      <c r="Z529" s="2" t="s">
        <v>147</v>
      </c>
      <c r="AA529" s="2"/>
    </row>
    <row r="530" spans="1:27" ht="23.1" customHeight="1" x14ac:dyDescent="0.25">
      <c r="A530" s="20" t="s">
        <v>653</v>
      </c>
      <c r="B530" s="3" t="s">
        <v>110</v>
      </c>
      <c r="C530" s="3">
        <v>84</v>
      </c>
      <c r="D530" s="3" t="s">
        <v>214</v>
      </c>
      <c r="E530" s="1" t="s">
        <v>215</v>
      </c>
      <c r="F530" s="21" t="s">
        <v>215</v>
      </c>
      <c r="G530" s="3" t="s">
        <v>118</v>
      </c>
      <c r="H530" s="3">
        <v>28</v>
      </c>
      <c r="I530" s="2"/>
      <c r="J530" s="3">
        <v>9</v>
      </c>
      <c r="K530" s="3">
        <v>14</v>
      </c>
      <c r="L530" s="23">
        <v>28</v>
      </c>
      <c r="M530" s="23">
        <v>28</v>
      </c>
      <c r="N530" s="24" t="s">
        <v>667</v>
      </c>
      <c r="O530" s="34">
        <v>100</v>
      </c>
      <c r="P530" s="31"/>
      <c r="Q530" s="31"/>
      <c r="R530" s="31"/>
      <c r="S530" s="23">
        <v>14</v>
      </c>
      <c r="T530" s="31"/>
      <c r="U530" s="31"/>
      <c r="V530" s="36"/>
      <c r="W530" s="37"/>
      <c r="X530" s="32">
        <v>23.3</v>
      </c>
      <c r="Y530" s="3" t="s">
        <v>3</v>
      </c>
      <c r="Z530" s="2" t="s">
        <v>668</v>
      </c>
      <c r="AA530" s="2"/>
    </row>
    <row r="531" spans="1:27" ht="23.1" customHeight="1" x14ac:dyDescent="0.25">
      <c r="A531" s="20" t="s">
        <v>653</v>
      </c>
      <c r="B531" s="3" t="s">
        <v>110</v>
      </c>
      <c r="C531" s="3">
        <v>9</v>
      </c>
      <c r="D531" s="3" t="s">
        <v>624</v>
      </c>
      <c r="E531" s="1" t="s">
        <v>625</v>
      </c>
      <c r="F531" s="21" t="s">
        <v>625</v>
      </c>
      <c r="G531" s="3" t="s">
        <v>300</v>
      </c>
      <c r="H531" s="3">
        <v>45</v>
      </c>
      <c r="I531" s="2" t="s">
        <v>1991</v>
      </c>
      <c r="J531" s="3">
        <v>2</v>
      </c>
      <c r="K531" s="3">
        <v>10</v>
      </c>
      <c r="L531" s="23">
        <v>28</v>
      </c>
      <c r="M531" s="23">
        <v>28</v>
      </c>
      <c r="N531" s="24" t="s">
        <v>567</v>
      </c>
      <c r="O531" s="31"/>
      <c r="P531" s="31">
        <v>55</v>
      </c>
      <c r="Q531" s="31"/>
      <c r="R531" s="31"/>
      <c r="S531" s="23"/>
      <c r="T531" s="31">
        <v>60</v>
      </c>
      <c r="U531" s="31"/>
      <c r="V531" s="36"/>
      <c r="W531" s="37"/>
      <c r="X531" s="29">
        <v>9.1999999999999993</v>
      </c>
      <c r="Y531" s="3" t="s">
        <v>55</v>
      </c>
      <c r="Z531" s="2"/>
      <c r="AA531" s="2"/>
    </row>
    <row r="532" spans="1:27" ht="23.1" customHeight="1" x14ac:dyDescent="0.25">
      <c r="A532" s="20" t="s">
        <v>653</v>
      </c>
      <c r="B532" s="3" t="s">
        <v>110</v>
      </c>
      <c r="C532" s="3">
        <v>10</v>
      </c>
      <c r="D532" s="3" t="s">
        <v>388</v>
      </c>
      <c r="E532" s="1" t="s">
        <v>389</v>
      </c>
      <c r="F532" s="21" t="s">
        <v>389</v>
      </c>
      <c r="G532" s="3" t="s">
        <v>118</v>
      </c>
      <c r="H532" s="3">
        <v>10</v>
      </c>
      <c r="I532" s="2" t="s">
        <v>1916</v>
      </c>
      <c r="J532" s="3">
        <v>1</v>
      </c>
      <c r="K532" s="3">
        <v>1</v>
      </c>
      <c r="L532" s="33"/>
      <c r="M532" s="23">
        <v>28</v>
      </c>
      <c r="N532" s="24" t="s">
        <v>412</v>
      </c>
      <c r="O532" s="31"/>
      <c r="P532" s="31">
        <v>60</v>
      </c>
      <c r="Q532" s="31"/>
      <c r="R532" s="31"/>
      <c r="S532" s="23"/>
      <c r="T532" s="31">
        <v>120</v>
      </c>
      <c r="U532" s="31"/>
      <c r="V532" s="36"/>
      <c r="W532" s="37"/>
      <c r="X532" s="29">
        <v>1</v>
      </c>
      <c r="Y532" s="3" t="s">
        <v>55</v>
      </c>
      <c r="Z532" s="2"/>
      <c r="AA532" s="2"/>
    </row>
    <row r="533" spans="1:27" ht="23.1" customHeight="1" x14ac:dyDescent="0.25">
      <c r="A533" s="20" t="s">
        <v>653</v>
      </c>
      <c r="B533" s="3" t="s">
        <v>110</v>
      </c>
      <c r="C533" s="3">
        <v>10</v>
      </c>
      <c r="D533" s="3" t="s">
        <v>232</v>
      </c>
      <c r="E533" s="1" t="s">
        <v>233</v>
      </c>
      <c r="F533" s="21" t="s">
        <v>233</v>
      </c>
      <c r="G533" s="3" t="s">
        <v>102</v>
      </c>
      <c r="H533" s="3">
        <v>85</v>
      </c>
      <c r="I533" s="2" t="s">
        <v>2011</v>
      </c>
      <c r="J533" s="3">
        <v>2</v>
      </c>
      <c r="K533" s="3">
        <v>2</v>
      </c>
      <c r="L533" s="23">
        <v>28</v>
      </c>
      <c r="M533" s="23">
        <v>28</v>
      </c>
      <c r="N533" s="24" t="s">
        <v>438</v>
      </c>
      <c r="O533" s="31"/>
      <c r="P533" s="31">
        <v>240</v>
      </c>
      <c r="Q533" s="31"/>
      <c r="R533" s="31"/>
      <c r="S533" s="23"/>
      <c r="T533" s="31">
        <v>90</v>
      </c>
      <c r="U533" s="31"/>
      <c r="V533" s="36">
        <v>1</v>
      </c>
      <c r="W533" s="37"/>
      <c r="X533" s="29">
        <v>9.5</v>
      </c>
      <c r="Y533" s="3" t="s">
        <v>55</v>
      </c>
      <c r="Z533" s="2" t="s">
        <v>669</v>
      </c>
      <c r="AA533" s="2"/>
    </row>
    <row r="534" spans="1:27" ht="23.1" customHeight="1" x14ac:dyDescent="0.25">
      <c r="A534" s="20" t="s">
        <v>653</v>
      </c>
      <c r="B534" s="3" t="s">
        <v>110</v>
      </c>
      <c r="C534" s="3">
        <v>10</v>
      </c>
      <c r="D534" s="3" t="s">
        <v>308</v>
      </c>
      <c r="E534" s="1" t="s">
        <v>309</v>
      </c>
      <c r="F534" s="21" t="s">
        <v>309</v>
      </c>
      <c r="G534" s="3" t="s">
        <v>102</v>
      </c>
      <c r="H534" s="3">
        <v>85</v>
      </c>
      <c r="I534" s="2" t="s">
        <v>2011</v>
      </c>
      <c r="J534" s="3">
        <v>2</v>
      </c>
      <c r="K534" s="3">
        <v>2</v>
      </c>
      <c r="L534" s="23">
        <v>28</v>
      </c>
      <c r="M534" s="23">
        <v>28</v>
      </c>
      <c r="N534" s="24" t="s">
        <v>438</v>
      </c>
      <c r="O534" s="31"/>
      <c r="P534" s="31">
        <v>240</v>
      </c>
      <c r="Q534" s="31"/>
      <c r="R534" s="31"/>
      <c r="S534" s="23"/>
      <c r="T534" s="31">
        <v>90</v>
      </c>
      <c r="U534" s="31"/>
      <c r="V534" s="36">
        <v>1</v>
      </c>
      <c r="W534" s="37"/>
      <c r="X534" s="29">
        <v>9.5</v>
      </c>
      <c r="Y534" s="3" t="s">
        <v>55</v>
      </c>
      <c r="Z534" s="2" t="s">
        <v>669</v>
      </c>
      <c r="AA534" s="2"/>
    </row>
    <row r="535" spans="1:27" ht="23.1" customHeight="1" x14ac:dyDescent="0.25">
      <c r="A535" s="20" t="s">
        <v>653</v>
      </c>
      <c r="B535" s="3" t="s">
        <v>110</v>
      </c>
      <c r="C535" s="3">
        <v>58</v>
      </c>
      <c r="D535" s="3" t="s">
        <v>423</v>
      </c>
      <c r="E535" s="1" t="s">
        <v>424</v>
      </c>
      <c r="F535" s="21" t="s">
        <v>424</v>
      </c>
      <c r="G535" s="3" t="s">
        <v>107</v>
      </c>
      <c r="H535" s="3">
        <v>35</v>
      </c>
      <c r="I535" s="2" t="s">
        <v>2012</v>
      </c>
      <c r="J535" s="3">
        <v>10</v>
      </c>
      <c r="K535" s="3">
        <v>10</v>
      </c>
      <c r="L535" s="23">
        <v>28</v>
      </c>
      <c r="M535" s="23">
        <v>28</v>
      </c>
      <c r="N535" s="24" t="s">
        <v>508</v>
      </c>
      <c r="O535" s="34"/>
      <c r="P535" s="31">
        <v>50</v>
      </c>
      <c r="Q535" s="31">
        <v>30</v>
      </c>
      <c r="R535" s="31"/>
      <c r="S535" s="23"/>
      <c r="T535" s="31">
        <v>60</v>
      </c>
      <c r="U535" s="31"/>
      <c r="V535" s="36"/>
      <c r="W535" s="37">
        <v>2</v>
      </c>
      <c r="X535" s="29">
        <v>10.3</v>
      </c>
      <c r="Y535" s="3" t="s">
        <v>0</v>
      </c>
      <c r="Z535" s="2" t="s">
        <v>670</v>
      </c>
      <c r="AA535" s="1" t="s">
        <v>238</v>
      </c>
    </row>
    <row r="536" spans="1:27" ht="23.1" customHeight="1" x14ac:dyDescent="0.25">
      <c r="A536" s="20" t="s">
        <v>653</v>
      </c>
      <c r="B536" s="3" t="s">
        <v>110</v>
      </c>
      <c r="C536" s="3">
        <v>59</v>
      </c>
      <c r="D536" s="3" t="s">
        <v>616</v>
      </c>
      <c r="E536" s="1" t="s">
        <v>617</v>
      </c>
      <c r="F536" s="21" t="s">
        <v>617</v>
      </c>
      <c r="G536" s="3" t="s">
        <v>102</v>
      </c>
      <c r="H536" s="3">
        <v>20</v>
      </c>
      <c r="I536" s="2" t="s">
        <v>2013</v>
      </c>
      <c r="J536" s="3">
        <v>8</v>
      </c>
      <c r="K536" s="3">
        <v>1</v>
      </c>
      <c r="L536" s="23">
        <v>31</v>
      </c>
      <c r="M536" s="23">
        <v>31</v>
      </c>
      <c r="N536" s="24" t="s">
        <v>596</v>
      </c>
      <c r="O536" s="31"/>
      <c r="P536" s="31">
        <v>30</v>
      </c>
      <c r="Q536" s="31"/>
      <c r="R536" s="31"/>
      <c r="S536" s="23"/>
      <c r="T536" s="31">
        <v>90</v>
      </c>
      <c r="U536" s="31"/>
      <c r="V536" s="36">
        <v>1</v>
      </c>
      <c r="W536" s="37">
        <v>4</v>
      </c>
      <c r="X536" s="29">
        <v>6</v>
      </c>
      <c r="Y536" s="3" t="s">
        <v>42</v>
      </c>
      <c r="Z536" s="2" t="s">
        <v>671</v>
      </c>
      <c r="AA536" s="1" t="s">
        <v>238</v>
      </c>
    </row>
    <row r="537" spans="1:27" ht="23.1" customHeight="1" x14ac:dyDescent="0.25">
      <c r="A537" s="20" t="s">
        <v>653</v>
      </c>
      <c r="B537" s="3" t="s">
        <v>110</v>
      </c>
      <c r="C537" s="3">
        <v>59</v>
      </c>
      <c r="D537" s="3" t="s">
        <v>616</v>
      </c>
      <c r="E537" s="1" t="s">
        <v>617</v>
      </c>
      <c r="F537" s="21" t="s">
        <v>617</v>
      </c>
      <c r="G537" s="3" t="s">
        <v>102</v>
      </c>
      <c r="H537" s="3">
        <v>15</v>
      </c>
      <c r="I537" s="2" t="s">
        <v>2014</v>
      </c>
      <c r="J537" s="3">
        <v>4</v>
      </c>
      <c r="K537" s="2">
        <v>8</v>
      </c>
      <c r="L537" s="23">
        <v>9</v>
      </c>
      <c r="M537" s="23">
        <v>31</v>
      </c>
      <c r="N537" s="24" t="s">
        <v>596</v>
      </c>
      <c r="O537" s="31"/>
      <c r="P537" s="31">
        <v>40</v>
      </c>
      <c r="Q537" s="31"/>
      <c r="R537" s="31"/>
      <c r="S537" s="23"/>
      <c r="T537" s="31">
        <v>60</v>
      </c>
      <c r="U537" s="31"/>
      <c r="V537" s="36">
        <v>1</v>
      </c>
      <c r="W537" s="37"/>
      <c r="X537" s="29">
        <v>6.3</v>
      </c>
      <c r="Y537" s="3" t="s">
        <v>42</v>
      </c>
      <c r="Z537" s="2" t="s">
        <v>576</v>
      </c>
      <c r="AA537" s="1" t="s">
        <v>238</v>
      </c>
    </row>
    <row r="538" spans="1:27" ht="23.1" customHeight="1" x14ac:dyDescent="0.25">
      <c r="A538" s="20" t="s">
        <v>653</v>
      </c>
      <c r="B538" s="3" t="s">
        <v>110</v>
      </c>
      <c r="C538" s="3">
        <v>77</v>
      </c>
      <c r="D538" s="3" t="s">
        <v>541</v>
      </c>
      <c r="E538" s="1" t="s">
        <v>542</v>
      </c>
      <c r="F538" s="21" t="s">
        <v>542</v>
      </c>
      <c r="G538" s="3" t="s">
        <v>154</v>
      </c>
      <c r="H538" s="3">
        <v>15</v>
      </c>
      <c r="I538" s="3" t="s">
        <v>1926</v>
      </c>
      <c r="J538" s="2"/>
      <c r="K538" s="3">
        <v>4</v>
      </c>
      <c r="L538" s="23">
        <v>31</v>
      </c>
      <c r="M538" s="23">
        <v>31</v>
      </c>
      <c r="N538" s="24" t="s">
        <v>351</v>
      </c>
      <c r="O538" s="31"/>
      <c r="P538" s="31">
        <v>90</v>
      </c>
      <c r="Q538" s="31"/>
      <c r="R538" s="31"/>
      <c r="S538" s="23"/>
      <c r="T538" s="31">
        <v>90</v>
      </c>
      <c r="U538" s="31"/>
      <c r="V538" s="36"/>
      <c r="W538" s="37"/>
      <c r="X538" s="29">
        <v>6</v>
      </c>
      <c r="Y538" s="3" t="s">
        <v>46</v>
      </c>
      <c r="Z538" s="2"/>
      <c r="AA538" s="2"/>
    </row>
    <row r="539" spans="1:27" ht="23.1" customHeight="1" x14ac:dyDescent="0.25">
      <c r="A539" s="20" t="s">
        <v>653</v>
      </c>
      <c r="B539" s="3" t="s">
        <v>110</v>
      </c>
      <c r="C539" s="3">
        <v>57</v>
      </c>
      <c r="D539" s="3" t="s">
        <v>594</v>
      </c>
      <c r="E539" s="1" t="s">
        <v>595</v>
      </c>
      <c r="F539" s="21" t="s">
        <v>595</v>
      </c>
      <c r="G539" s="3" t="s">
        <v>102</v>
      </c>
      <c r="H539" s="3">
        <v>20</v>
      </c>
      <c r="I539" s="2" t="s">
        <v>2002</v>
      </c>
      <c r="J539" s="3">
        <v>4</v>
      </c>
      <c r="K539" s="3">
        <v>5</v>
      </c>
      <c r="L539" s="23">
        <v>28</v>
      </c>
      <c r="M539" s="23">
        <v>28</v>
      </c>
      <c r="N539" s="24" t="s">
        <v>596</v>
      </c>
      <c r="O539" s="34"/>
      <c r="P539" s="31">
        <v>120</v>
      </c>
      <c r="Q539" s="31"/>
      <c r="R539" s="31"/>
      <c r="S539" s="23"/>
      <c r="T539" s="31">
        <v>60</v>
      </c>
      <c r="U539" s="31"/>
      <c r="V539" s="36"/>
      <c r="W539" s="37"/>
      <c r="X539" s="29">
        <v>10</v>
      </c>
      <c r="Y539" s="3" t="s">
        <v>0</v>
      </c>
      <c r="Z539" s="2"/>
      <c r="AA539" s="2"/>
    </row>
    <row r="540" spans="1:27" ht="23.1" customHeight="1" x14ac:dyDescent="0.25">
      <c r="A540" s="20" t="s">
        <v>653</v>
      </c>
      <c r="B540" s="3" t="s">
        <v>110</v>
      </c>
      <c r="C540" s="3">
        <v>107</v>
      </c>
      <c r="D540" s="3" t="s">
        <v>273</v>
      </c>
      <c r="E540" s="1" t="s">
        <v>274</v>
      </c>
      <c r="F540" s="21" t="s">
        <v>274</v>
      </c>
      <c r="G540" s="3" t="s">
        <v>123</v>
      </c>
      <c r="H540" s="3">
        <v>35</v>
      </c>
      <c r="I540" s="2" t="s">
        <v>1999</v>
      </c>
      <c r="J540" s="3">
        <v>4</v>
      </c>
      <c r="K540" s="3">
        <v>4</v>
      </c>
      <c r="L540" s="23">
        <v>26</v>
      </c>
      <c r="M540" s="23">
        <v>26</v>
      </c>
      <c r="N540" s="24" t="s">
        <v>275</v>
      </c>
      <c r="O540" s="34"/>
      <c r="P540" s="31">
        <v>100</v>
      </c>
      <c r="Q540" s="31"/>
      <c r="R540" s="31"/>
      <c r="S540" s="23"/>
      <c r="T540" s="31">
        <v>60</v>
      </c>
      <c r="U540" s="31"/>
      <c r="V540" s="36"/>
      <c r="W540" s="37"/>
      <c r="X540" s="29">
        <v>6.7</v>
      </c>
      <c r="Y540" s="3" t="s">
        <v>13</v>
      </c>
      <c r="Z540" s="2"/>
      <c r="AA540" s="2"/>
    </row>
    <row r="541" spans="1:27" ht="23.1" customHeight="1" x14ac:dyDescent="0.25">
      <c r="A541" s="20" t="s">
        <v>653</v>
      </c>
      <c r="B541" s="3" t="s">
        <v>110</v>
      </c>
      <c r="C541" s="3">
        <v>22</v>
      </c>
      <c r="D541" s="3" t="s">
        <v>611</v>
      </c>
      <c r="E541" s="1" t="s">
        <v>612</v>
      </c>
      <c r="F541" s="21" t="s">
        <v>612</v>
      </c>
      <c r="G541" s="3" t="s">
        <v>102</v>
      </c>
      <c r="H541" s="3">
        <v>45</v>
      </c>
      <c r="I541" s="2" t="s">
        <v>2015</v>
      </c>
      <c r="J541" s="3">
        <v>0.3</v>
      </c>
      <c r="K541" s="3">
        <v>0.3</v>
      </c>
      <c r="L541" s="23">
        <v>37</v>
      </c>
      <c r="M541" s="23">
        <v>37</v>
      </c>
      <c r="N541" s="24" t="s">
        <v>103</v>
      </c>
      <c r="O541" s="34"/>
      <c r="P541" s="31">
        <v>6000</v>
      </c>
      <c r="Q541" s="31">
        <v>180</v>
      </c>
      <c r="R541" s="31"/>
      <c r="S541" s="23"/>
      <c r="T541" s="31">
        <v>180</v>
      </c>
      <c r="U541" s="31"/>
      <c r="V541" s="36">
        <v>1</v>
      </c>
      <c r="W541" s="37"/>
      <c r="X541" s="29">
        <v>33</v>
      </c>
      <c r="Y541" s="3" t="s">
        <v>58</v>
      </c>
      <c r="Z541" s="2" t="s">
        <v>328</v>
      </c>
      <c r="AA541" s="2"/>
    </row>
    <row r="542" spans="1:27" ht="23.1" customHeight="1" x14ac:dyDescent="0.25">
      <c r="A542" s="20" t="s">
        <v>653</v>
      </c>
      <c r="B542" s="3" t="s">
        <v>110</v>
      </c>
      <c r="C542" s="3">
        <v>17</v>
      </c>
      <c r="D542" s="3" t="s">
        <v>352</v>
      </c>
      <c r="E542" s="1" t="s">
        <v>353</v>
      </c>
      <c r="F542" s="21" t="e">
        <v>#N/A</v>
      </c>
      <c r="G542" s="3" t="s">
        <v>300</v>
      </c>
      <c r="H542" s="3">
        <v>30</v>
      </c>
      <c r="I542" s="2" t="s">
        <v>2005</v>
      </c>
      <c r="J542" s="3">
        <v>1</v>
      </c>
      <c r="K542" s="3">
        <v>2</v>
      </c>
      <c r="L542" s="33"/>
      <c r="M542" s="23">
        <v>26</v>
      </c>
      <c r="N542" s="24" t="s">
        <v>672</v>
      </c>
      <c r="O542" s="34"/>
      <c r="P542" s="31">
        <v>480</v>
      </c>
      <c r="Q542" s="31"/>
      <c r="R542" s="31"/>
      <c r="S542" s="23"/>
      <c r="T542" s="31">
        <v>120</v>
      </c>
      <c r="U542" s="31"/>
      <c r="V542" s="36"/>
      <c r="W542" s="37"/>
      <c r="X542" s="29">
        <v>16</v>
      </c>
      <c r="Y542" s="3" t="s">
        <v>43</v>
      </c>
      <c r="Z542" s="2"/>
      <c r="AA542" s="2"/>
    </row>
    <row r="543" spans="1:27" ht="23.1" customHeight="1" x14ac:dyDescent="0.25">
      <c r="A543" s="20" t="s">
        <v>653</v>
      </c>
      <c r="B543" s="3" t="s">
        <v>110</v>
      </c>
      <c r="C543" s="3">
        <v>78</v>
      </c>
      <c r="D543" s="3" t="s">
        <v>132</v>
      </c>
      <c r="E543" s="1" t="s">
        <v>133</v>
      </c>
      <c r="F543" s="21" t="s">
        <v>133</v>
      </c>
      <c r="G543" s="3" t="s">
        <v>102</v>
      </c>
      <c r="H543" s="3">
        <v>75</v>
      </c>
      <c r="I543" s="3" t="s">
        <v>1998</v>
      </c>
      <c r="J543" s="2"/>
      <c r="K543" s="3">
        <v>0.7</v>
      </c>
      <c r="L543" s="33"/>
      <c r="M543" s="23">
        <v>26</v>
      </c>
      <c r="N543" s="24" t="s">
        <v>103</v>
      </c>
      <c r="O543" s="34"/>
      <c r="P543" s="31">
        <v>240</v>
      </c>
      <c r="Q543" s="31">
        <v>60</v>
      </c>
      <c r="R543" s="31"/>
      <c r="S543" s="23"/>
      <c r="T543" s="31">
        <v>120</v>
      </c>
      <c r="U543" s="31"/>
      <c r="V543" s="36"/>
      <c r="W543" s="37">
        <v>10.7</v>
      </c>
      <c r="X543" s="29">
        <v>13.5</v>
      </c>
      <c r="Y543" s="3" t="s">
        <v>19</v>
      </c>
      <c r="Z543" s="2" t="s">
        <v>673</v>
      </c>
      <c r="AA543" s="2"/>
    </row>
    <row r="544" spans="1:27" ht="23.1" customHeight="1" x14ac:dyDescent="0.25">
      <c r="A544" s="20" t="s">
        <v>653</v>
      </c>
      <c r="B544" s="3" t="s">
        <v>110</v>
      </c>
      <c r="C544" s="3">
        <v>78</v>
      </c>
      <c r="D544" s="3" t="s">
        <v>261</v>
      </c>
      <c r="E544" s="1" t="s">
        <v>133</v>
      </c>
      <c r="F544" s="21" t="s">
        <v>133</v>
      </c>
      <c r="G544" s="3" t="s">
        <v>102</v>
      </c>
      <c r="H544" s="3">
        <v>80</v>
      </c>
      <c r="I544" s="2" t="s">
        <v>2016</v>
      </c>
      <c r="J544" s="3">
        <v>1</v>
      </c>
      <c r="K544" s="3">
        <v>1</v>
      </c>
      <c r="L544" s="33"/>
      <c r="M544" s="23">
        <v>26</v>
      </c>
      <c r="N544" s="24" t="s">
        <v>103</v>
      </c>
      <c r="O544" s="34"/>
      <c r="P544" s="31">
        <v>210</v>
      </c>
      <c r="Q544" s="31">
        <v>60</v>
      </c>
      <c r="R544" s="31"/>
      <c r="S544" s="23">
        <v>1</v>
      </c>
      <c r="T544" s="31">
        <v>120</v>
      </c>
      <c r="U544" s="31"/>
      <c r="V544" s="36"/>
      <c r="W544" s="37">
        <v>2</v>
      </c>
      <c r="X544" s="29">
        <v>6.5</v>
      </c>
      <c r="Y544" s="3" t="s">
        <v>19</v>
      </c>
      <c r="Z544" s="2" t="s">
        <v>674</v>
      </c>
      <c r="AA544" s="1" t="s">
        <v>238</v>
      </c>
    </row>
    <row r="545" spans="1:27" ht="23.1" customHeight="1" x14ac:dyDescent="0.25">
      <c r="A545" s="20" t="s">
        <v>653</v>
      </c>
      <c r="B545" s="3" t="s">
        <v>110</v>
      </c>
      <c r="C545" s="3">
        <v>79</v>
      </c>
      <c r="D545" s="3" t="s">
        <v>152</v>
      </c>
      <c r="E545" s="1" t="s">
        <v>153</v>
      </c>
      <c r="F545" s="21" t="s">
        <v>1247</v>
      </c>
      <c r="G545" s="3" t="s">
        <v>154</v>
      </c>
      <c r="H545" s="3">
        <v>20</v>
      </c>
      <c r="I545" s="2" t="s">
        <v>1948</v>
      </c>
      <c r="J545" s="3">
        <v>0.5</v>
      </c>
      <c r="K545" s="3">
        <v>0.2</v>
      </c>
      <c r="L545" s="33"/>
      <c r="M545" s="23">
        <v>31</v>
      </c>
      <c r="N545" s="24" t="s">
        <v>421</v>
      </c>
      <c r="O545" s="34"/>
      <c r="P545" s="31">
        <v>660</v>
      </c>
      <c r="Q545" s="31">
        <v>90</v>
      </c>
      <c r="R545" s="31"/>
      <c r="S545" s="23"/>
      <c r="T545" s="31">
        <v>120</v>
      </c>
      <c r="U545" s="31"/>
      <c r="V545" s="36"/>
      <c r="W545" s="37"/>
      <c r="X545" s="29">
        <v>2.2000000000000002</v>
      </c>
      <c r="Y545" s="3" t="s">
        <v>19</v>
      </c>
      <c r="Z545" s="2"/>
      <c r="AA545" s="2"/>
    </row>
    <row r="546" spans="1:27" ht="23.1" customHeight="1" x14ac:dyDescent="0.25">
      <c r="A546" s="20" t="s">
        <v>653</v>
      </c>
      <c r="B546" s="3" t="s">
        <v>110</v>
      </c>
      <c r="C546" s="3">
        <v>79</v>
      </c>
      <c r="D546" s="3" t="s">
        <v>152</v>
      </c>
      <c r="E546" s="1" t="s">
        <v>153</v>
      </c>
      <c r="F546" s="21" t="s">
        <v>1247</v>
      </c>
      <c r="G546" s="3" t="s">
        <v>154</v>
      </c>
      <c r="H546" s="3">
        <v>25</v>
      </c>
      <c r="I546" s="2" t="s">
        <v>2017</v>
      </c>
      <c r="J546" s="3">
        <v>0.5</v>
      </c>
      <c r="K546" s="3">
        <v>0.8</v>
      </c>
      <c r="L546" s="33"/>
      <c r="M546" s="23">
        <v>28</v>
      </c>
      <c r="N546" s="24" t="s">
        <v>675</v>
      </c>
      <c r="O546" s="34"/>
      <c r="P546" s="31">
        <v>1260</v>
      </c>
      <c r="Q546" s="31">
        <v>90</v>
      </c>
      <c r="R546" s="31"/>
      <c r="S546" s="23"/>
      <c r="T546" s="31">
        <v>120</v>
      </c>
      <c r="U546" s="31"/>
      <c r="V546" s="36"/>
      <c r="W546" s="37"/>
      <c r="X546" s="29">
        <v>16.8</v>
      </c>
      <c r="Y546" s="3" t="s">
        <v>19</v>
      </c>
      <c r="Z546" s="2"/>
      <c r="AA546" s="2"/>
    </row>
    <row r="547" spans="1:27" ht="23.1" customHeight="1" x14ac:dyDescent="0.25">
      <c r="A547" s="20" t="s">
        <v>653</v>
      </c>
      <c r="B547" s="3" t="s">
        <v>110</v>
      </c>
      <c r="C547" s="3">
        <v>56</v>
      </c>
      <c r="D547" s="3" t="s">
        <v>676</v>
      </c>
      <c r="E547" s="1" t="s">
        <v>595</v>
      </c>
      <c r="F547" s="21" t="s">
        <v>595</v>
      </c>
      <c r="G547" s="3" t="s">
        <v>154</v>
      </c>
      <c r="H547" s="3">
        <v>5</v>
      </c>
      <c r="I547" s="2" t="s">
        <v>1930</v>
      </c>
      <c r="J547" s="3">
        <v>10</v>
      </c>
      <c r="K547" s="3">
        <v>10</v>
      </c>
      <c r="L547" s="23">
        <v>31</v>
      </c>
      <c r="M547" s="23">
        <v>31</v>
      </c>
      <c r="N547" s="24" t="s">
        <v>384</v>
      </c>
      <c r="O547" s="34"/>
      <c r="P547" s="31">
        <v>60</v>
      </c>
      <c r="Q547" s="31"/>
      <c r="R547" s="31"/>
      <c r="S547" s="23"/>
      <c r="T547" s="31">
        <v>60</v>
      </c>
      <c r="U547" s="31"/>
      <c r="V547" s="36">
        <v>1</v>
      </c>
      <c r="W547" s="37">
        <v>2</v>
      </c>
      <c r="X547" s="29">
        <v>13</v>
      </c>
      <c r="Y547" s="3" t="s">
        <v>44</v>
      </c>
      <c r="Z547" s="2" t="s">
        <v>677</v>
      </c>
      <c r="AA547" s="1" t="s">
        <v>238</v>
      </c>
    </row>
    <row r="548" spans="1:27" ht="23.1" customHeight="1" x14ac:dyDescent="0.25">
      <c r="A548" s="20" t="s">
        <v>653</v>
      </c>
      <c r="B548" s="3" t="s">
        <v>110</v>
      </c>
      <c r="C548" s="3">
        <v>23</v>
      </c>
      <c r="D548" s="3" t="s">
        <v>254</v>
      </c>
      <c r="E548" s="1" t="s">
        <v>255</v>
      </c>
      <c r="F548" s="21" t="s">
        <v>1016</v>
      </c>
      <c r="G548" s="3" t="s">
        <v>375</v>
      </c>
      <c r="H548" s="3">
        <v>37</v>
      </c>
      <c r="I548" s="2"/>
      <c r="J548" s="3">
        <v>1</v>
      </c>
      <c r="K548" s="3">
        <v>1.3</v>
      </c>
      <c r="L548" s="23">
        <v>28</v>
      </c>
      <c r="M548" s="23">
        <v>5</v>
      </c>
      <c r="N548" s="24" t="s">
        <v>678</v>
      </c>
      <c r="O548" s="25">
        <v>660</v>
      </c>
      <c r="P548" s="31"/>
      <c r="Q548" s="31"/>
      <c r="R548" s="31">
        <v>90</v>
      </c>
      <c r="S548" s="23">
        <v>1</v>
      </c>
      <c r="T548" s="31"/>
      <c r="U548" s="31"/>
      <c r="V548" s="36"/>
      <c r="W548" s="37"/>
      <c r="X548" s="32">
        <v>15.8</v>
      </c>
      <c r="Y548" s="3" t="s">
        <v>33</v>
      </c>
      <c r="Z548" s="2" t="s">
        <v>145</v>
      </c>
      <c r="AA548" s="2"/>
    </row>
    <row r="549" spans="1:27" ht="23.1" customHeight="1" x14ac:dyDescent="0.25">
      <c r="A549" s="20" t="s">
        <v>653</v>
      </c>
      <c r="B549" s="3" t="s">
        <v>110</v>
      </c>
      <c r="C549" s="3">
        <v>47</v>
      </c>
      <c r="D549" s="3" t="s">
        <v>332</v>
      </c>
      <c r="E549" s="1" t="s">
        <v>333</v>
      </c>
      <c r="F549" s="21" t="s">
        <v>2548</v>
      </c>
      <c r="G549" s="3" t="s">
        <v>334</v>
      </c>
      <c r="H549" s="3">
        <v>20</v>
      </c>
      <c r="I549" s="2" t="s">
        <v>1959</v>
      </c>
      <c r="J549" s="3">
        <v>1</v>
      </c>
      <c r="K549" s="3">
        <v>0.5</v>
      </c>
      <c r="L549" s="33"/>
      <c r="M549" s="23">
        <v>28</v>
      </c>
      <c r="N549" s="24" t="s">
        <v>355</v>
      </c>
      <c r="O549" s="34"/>
      <c r="P549" s="31">
        <v>720</v>
      </c>
      <c r="Q549" s="31">
        <v>90</v>
      </c>
      <c r="R549" s="31"/>
      <c r="S549" s="23"/>
      <c r="T549" s="31">
        <v>120</v>
      </c>
      <c r="U549" s="31"/>
      <c r="V549" s="36"/>
      <c r="W549" s="37"/>
      <c r="X549" s="29">
        <v>6</v>
      </c>
      <c r="Y549" s="3" t="s">
        <v>33</v>
      </c>
      <c r="Z549" s="2"/>
      <c r="AA549" s="2"/>
    </row>
    <row r="550" spans="1:27" ht="23.1" customHeight="1" x14ac:dyDescent="0.25">
      <c r="A550" s="20" t="s">
        <v>653</v>
      </c>
      <c r="B550" s="3" t="s">
        <v>110</v>
      </c>
      <c r="C550" s="3">
        <v>47</v>
      </c>
      <c r="D550" s="3" t="s">
        <v>332</v>
      </c>
      <c r="E550" s="1" t="s">
        <v>333</v>
      </c>
      <c r="F550" s="21" t="s">
        <v>2548</v>
      </c>
      <c r="G550" s="3" t="s">
        <v>334</v>
      </c>
      <c r="H550" s="3">
        <v>25</v>
      </c>
      <c r="I550" s="3" t="s">
        <v>2018</v>
      </c>
      <c r="J550" s="2"/>
      <c r="K550" s="3">
        <v>1</v>
      </c>
      <c r="L550" s="33"/>
      <c r="M550" s="23">
        <v>5</v>
      </c>
      <c r="N550" s="24" t="s">
        <v>355</v>
      </c>
      <c r="O550" s="34"/>
      <c r="P550" s="31">
        <v>630</v>
      </c>
      <c r="Q550" s="31">
        <v>90</v>
      </c>
      <c r="R550" s="31"/>
      <c r="S550" s="23">
        <v>1</v>
      </c>
      <c r="T550" s="31">
        <v>120</v>
      </c>
      <c r="U550" s="31"/>
      <c r="V550" s="36">
        <v>1</v>
      </c>
      <c r="W550" s="37"/>
      <c r="X550" s="29">
        <v>14</v>
      </c>
      <c r="Y550" s="3" t="s">
        <v>33</v>
      </c>
      <c r="Z550" s="2" t="s">
        <v>679</v>
      </c>
      <c r="AA550" s="2"/>
    </row>
    <row r="551" spans="1:27" ht="23.1" customHeight="1" x14ac:dyDescent="0.25">
      <c r="A551" s="20" t="s">
        <v>653</v>
      </c>
      <c r="B551" s="3" t="s">
        <v>110</v>
      </c>
      <c r="C551" s="3">
        <v>55</v>
      </c>
      <c r="D551" s="3" t="s">
        <v>680</v>
      </c>
      <c r="E551" s="1" t="s">
        <v>681</v>
      </c>
      <c r="F551" s="21" t="s">
        <v>681</v>
      </c>
      <c r="G551" s="3" t="s">
        <v>154</v>
      </c>
      <c r="H551" s="3">
        <v>55</v>
      </c>
      <c r="I551" s="2" t="s">
        <v>2019</v>
      </c>
      <c r="J551" s="3">
        <v>12</v>
      </c>
      <c r="K551" s="3">
        <v>18</v>
      </c>
      <c r="L551" s="23">
        <v>28</v>
      </c>
      <c r="M551" s="23">
        <v>23</v>
      </c>
      <c r="N551" s="24" t="s">
        <v>682</v>
      </c>
      <c r="O551" s="34"/>
      <c r="P551" s="31">
        <v>40</v>
      </c>
      <c r="Q551" s="31"/>
      <c r="R551" s="31"/>
      <c r="S551" s="23"/>
      <c r="T551" s="31">
        <v>60</v>
      </c>
      <c r="U551" s="31"/>
      <c r="V551" s="36">
        <v>1</v>
      </c>
      <c r="W551" s="37">
        <v>3</v>
      </c>
      <c r="X551" s="29">
        <v>16</v>
      </c>
      <c r="Y551" s="3" t="s">
        <v>44</v>
      </c>
      <c r="Z551" s="2" t="s">
        <v>683</v>
      </c>
      <c r="AA551" s="1" t="s">
        <v>238</v>
      </c>
    </row>
    <row r="552" spans="1:27" ht="23.1" customHeight="1" x14ac:dyDescent="0.25">
      <c r="A552" s="20" t="s">
        <v>653</v>
      </c>
      <c r="B552" s="3" t="s">
        <v>110</v>
      </c>
      <c r="C552" s="3">
        <v>21</v>
      </c>
      <c r="D552" s="3" t="s">
        <v>321</v>
      </c>
      <c r="E552" s="1" t="s">
        <v>322</v>
      </c>
      <c r="F552" s="21" t="s">
        <v>322</v>
      </c>
      <c r="G552" s="3" t="s">
        <v>323</v>
      </c>
      <c r="H552" s="3">
        <v>50</v>
      </c>
      <c r="I552" s="2" t="s">
        <v>1986</v>
      </c>
      <c r="J552" s="3">
        <v>1</v>
      </c>
      <c r="K552" s="3">
        <v>1</v>
      </c>
      <c r="L552" s="33"/>
      <c r="M552" s="23">
        <v>26</v>
      </c>
      <c r="N552" s="24" t="s">
        <v>684</v>
      </c>
      <c r="O552" s="34"/>
      <c r="P552" s="31">
        <v>630</v>
      </c>
      <c r="Q552" s="31">
        <v>120</v>
      </c>
      <c r="R552" s="31"/>
      <c r="S552" s="23">
        <v>1</v>
      </c>
      <c r="T552" s="31">
        <v>180</v>
      </c>
      <c r="U552" s="31"/>
      <c r="V552" s="36">
        <v>1</v>
      </c>
      <c r="W552" s="37"/>
      <c r="X552" s="29">
        <v>15.5</v>
      </c>
      <c r="Y552" s="3" t="s">
        <v>58</v>
      </c>
      <c r="Z552" s="2" t="s">
        <v>328</v>
      </c>
      <c r="AA552" s="2"/>
    </row>
    <row r="553" spans="1:27" ht="23.1" customHeight="1" x14ac:dyDescent="0.25">
      <c r="A553" s="20" t="s">
        <v>653</v>
      </c>
      <c r="B553" s="3" t="s">
        <v>110</v>
      </c>
      <c r="C553" s="3">
        <v>21</v>
      </c>
      <c r="D553" s="3" t="s">
        <v>321</v>
      </c>
      <c r="E553" s="1" t="s">
        <v>322</v>
      </c>
      <c r="F553" s="21" t="s">
        <v>322</v>
      </c>
      <c r="G553" s="3" t="s">
        <v>323</v>
      </c>
      <c r="H553" s="3">
        <v>55</v>
      </c>
      <c r="I553" s="2" t="s">
        <v>2004</v>
      </c>
      <c r="J553" s="3">
        <v>0.1</v>
      </c>
      <c r="K553" s="3">
        <v>0.2</v>
      </c>
      <c r="L553" s="23">
        <v>28</v>
      </c>
      <c r="M553" s="33"/>
      <c r="N553" s="24" t="s">
        <v>685</v>
      </c>
      <c r="O553" s="34"/>
      <c r="P553" s="31">
        <v>660</v>
      </c>
      <c r="Q553" s="31">
        <v>120</v>
      </c>
      <c r="R553" s="31"/>
      <c r="S553" s="23"/>
      <c r="T553" s="31">
        <v>180</v>
      </c>
      <c r="U553" s="31"/>
      <c r="V553" s="36"/>
      <c r="W553" s="37"/>
      <c r="X553" s="29">
        <v>2.2000000000000002</v>
      </c>
      <c r="Y553" s="3" t="s">
        <v>58</v>
      </c>
      <c r="Z553" s="2"/>
      <c r="AA553" s="2"/>
    </row>
    <row r="554" spans="1:27" ht="23.1" customHeight="1" x14ac:dyDescent="0.25">
      <c r="A554" s="20" t="s">
        <v>653</v>
      </c>
      <c r="B554" s="3" t="s">
        <v>110</v>
      </c>
      <c r="C554" s="3">
        <v>108</v>
      </c>
      <c r="D554" s="3" t="s">
        <v>173</v>
      </c>
      <c r="E554" s="1" t="s">
        <v>174</v>
      </c>
      <c r="F554" s="21" t="s">
        <v>1246</v>
      </c>
      <c r="G554" s="3" t="s">
        <v>154</v>
      </c>
      <c r="H554" s="3">
        <v>25</v>
      </c>
      <c r="I554" s="2" t="s">
        <v>2006</v>
      </c>
      <c r="J554" s="3">
        <v>1</v>
      </c>
      <c r="K554" s="3">
        <v>1</v>
      </c>
      <c r="L554" s="33"/>
      <c r="M554" s="23">
        <v>26</v>
      </c>
      <c r="N554" s="24" t="s">
        <v>532</v>
      </c>
      <c r="O554" s="34"/>
      <c r="P554" s="31">
        <v>1050</v>
      </c>
      <c r="Q554" s="31">
        <v>90</v>
      </c>
      <c r="R554" s="31"/>
      <c r="S554" s="23">
        <v>1</v>
      </c>
      <c r="T554" s="31">
        <v>120</v>
      </c>
      <c r="U554" s="31"/>
      <c r="V554" s="36"/>
      <c r="W554" s="37"/>
      <c r="X554" s="29">
        <v>19</v>
      </c>
      <c r="Y554" s="3" t="s">
        <v>13</v>
      </c>
      <c r="Z554" s="2" t="s">
        <v>686</v>
      </c>
      <c r="AA554" s="2"/>
    </row>
    <row r="555" spans="1:27" ht="23.1" customHeight="1" x14ac:dyDescent="0.25">
      <c r="A555" s="20" t="s">
        <v>653</v>
      </c>
      <c r="B555" s="3" t="s">
        <v>110</v>
      </c>
      <c r="C555" s="3">
        <v>13</v>
      </c>
      <c r="D555" s="3" t="s">
        <v>687</v>
      </c>
      <c r="E555" s="1" t="s">
        <v>657</v>
      </c>
      <c r="F555" s="21" t="s">
        <v>657</v>
      </c>
      <c r="G555" s="3" t="s">
        <v>375</v>
      </c>
      <c r="H555" s="3">
        <v>45</v>
      </c>
      <c r="I555" s="2" t="s">
        <v>2020</v>
      </c>
      <c r="J555" s="3">
        <v>3</v>
      </c>
      <c r="K555" s="3">
        <v>3</v>
      </c>
      <c r="L555" s="23">
        <v>9</v>
      </c>
      <c r="M555" s="23">
        <v>26</v>
      </c>
      <c r="N555" s="24" t="s">
        <v>688</v>
      </c>
      <c r="O555" s="34"/>
      <c r="P555" s="31">
        <v>60</v>
      </c>
      <c r="Q555" s="31"/>
      <c r="R555" s="31"/>
      <c r="S555" s="23"/>
      <c r="T555" s="31">
        <v>120</v>
      </c>
      <c r="U555" s="31"/>
      <c r="V555" s="36">
        <v>1</v>
      </c>
      <c r="W555" s="37"/>
      <c r="X555" s="29">
        <v>5</v>
      </c>
      <c r="Y555" s="3" t="s">
        <v>72</v>
      </c>
      <c r="Z555" s="2" t="s">
        <v>92</v>
      </c>
      <c r="AA555" s="2"/>
    </row>
    <row r="556" spans="1:27" ht="23.1" customHeight="1" x14ac:dyDescent="0.25">
      <c r="A556" s="20" t="s">
        <v>653</v>
      </c>
      <c r="B556" s="3" t="s">
        <v>110</v>
      </c>
      <c r="C556" s="3">
        <v>11</v>
      </c>
      <c r="D556" s="3" t="s">
        <v>203</v>
      </c>
      <c r="E556" s="1" t="s">
        <v>317</v>
      </c>
      <c r="F556" s="21" t="s">
        <v>317</v>
      </c>
      <c r="G556" s="3" t="s">
        <v>154</v>
      </c>
      <c r="H556" s="3">
        <v>40</v>
      </c>
      <c r="I556" s="2" t="s">
        <v>1935</v>
      </c>
      <c r="J556" s="3">
        <v>3</v>
      </c>
      <c r="K556" s="3">
        <v>1</v>
      </c>
      <c r="L556" s="33"/>
      <c r="M556" s="23">
        <v>28</v>
      </c>
      <c r="N556" s="24" t="s">
        <v>689</v>
      </c>
      <c r="O556" s="34"/>
      <c r="P556" s="31">
        <v>260</v>
      </c>
      <c r="Q556" s="31"/>
      <c r="R556" s="31"/>
      <c r="S556" s="23"/>
      <c r="T556" s="31">
        <v>90</v>
      </c>
      <c r="U556" s="31"/>
      <c r="V556" s="36"/>
      <c r="W556" s="37"/>
      <c r="X556" s="29">
        <v>4.3</v>
      </c>
      <c r="Y556" s="3" t="s">
        <v>38</v>
      </c>
      <c r="Z556" s="2"/>
      <c r="AA556" s="2"/>
    </row>
    <row r="557" spans="1:27" ht="23.1" customHeight="1" x14ac:dyDescent="0.25">
      <c r="A557" s="20" t="s">
        <v>653</v>
      </c>
      <c r="B557" s="3" t="s">
        <v>110</v>
      </c>
      <c r="C557" s="3">
        <v>11</v>
      </c>
      <c r="D557" s="3" t="s">
        <v>690</v>
      </c>
      <c r="E557" s="1" t="s">
        <v>691</v>
      </c>
      <c r="F557" s="21" t="s">
        <v>691</v>
      </c>
      <c r="G557" s="3" t="s">
        <v>123</v>
      </c>
      <c r="H557" s="3">
        <v>5</v>
      </c>
      <c r="I557" s="3" t="s">
        <v>1930</v>
      </c>
      <c r="J557" s="2"/>
      <c r="K557" s="3">
        <v>6</v>
      </c>
      <c r="L557" s="23">
        <v>31</v>
      </c>
      <c r="M557" s="23">
        <v>31</v>
      </c>
      <c r="N557" s="24" t="s">
        <v>692</v>
      </c>
      <c r="O557" s="34"/>
      <c r="P557" s="31">
        <v>150</v>
      </c>
      <c r="Q557" s="31"/>
      <c r="R557" s="31"/>
      <c r="S557" s="23"/>
      <c r="T557" s="31">
        <v>60</v>
      </c>
      <c r="U557" s="31"/>
      <c r="V557" s="36">
        <v>1</v>
      </c>
      <c r="W557" s="37"/>
      <c r="X557" s="29">
        <v>16</v>
      </c>
      <c r="Y557" s="3" t="s">
        <v>38</v>
      </c>
      <c r="Z557" s="2" t="s">
        <v>92</v>
      </c>
      <c r="AA557" s="2"/>
    </row>
    <row r="558" spans="1:27" ht="23.1" customHeight="1" x14ac:dyDescent="0.25">
      <c r="A558" s="20" t="s">
        <v>653</v>
      </c>
      <c r="B558" s="3" t="s">
        <v>110</v>
      </c>
      <c r="C558" s="3">
        <v>119</v>
      </c>
      <c r="D558" s="3" t="s">
        <v>288</v>
      </c>
      <c r="E558" s="1" t="s">
        <v>255</v>
      </c>
      <c r="F558" s="21" t="s">
        <v>1532</v>
      </c>
      <c r="G558" s="3" t="s">
        <v>250</v>
      </c>
      <c r="H558" s="3">
        <v>50</v>
      </c>
      <c r="I558" s="3" t="s">
        <v>2021</v>
      </c>
      <c r="J558" s="2"/>
      <c r="K558" s="3">
        <v>0.1</v>
      </c>
      <c r="L558" s="33"/>
      <c r="M558" s="23">
        <v>5</v>
      </c>
      <c r="N558" s="24" t="s">
        <v>476</v>
      </c>
      <c r="O558" s="34"/>
      <c r="P558" s="31">
        <v>3000</v>
      </c>
      <c r="Q558" s="31">
        <v>90</v>
      </c>
      <c r="R558" s="31"/>
      <c r="S558" s="23"/>
      <c r="T558" s="31">
        <v>150</v>
      </c>
      <c r="U558" s="31"/>
      <c r="V558" s="36">
        <v>1</v>
      </c>
      <c r="W558" s="37">
        <v>6.5</v>
      </c>
      <c r="X558" s="29">
        <v>14</v>
      </c>
      <c r="Y558" s="3" t="s">
        <v>3</v>
      </c>
      <c r="Z558" s="2" t="s">
        <v>693</v>
      </c>
      <c r="AA558" s="2"/>
    </row>
    <row r="559" spans="1:27" ht="23.1" customHeight="1" x14ac:dyDescent="0.25">
      <c r="A559" s="20" t="s">
        <v>653</v>
      </c>
      <c r="B559" s="3" t="s">
        <v>137</v>
      </c>
      <c r="C559" s="3">
        <v>59</v>
      </c>
      <c r="D559" s="3" t="s">
        <v>616</v>
      </c>
      <c r="E559" s="1" t="s">
        <v>617</v>
      </c>
      <c r="F559" s="21" t="s">
        <v>617</v>
      </c>
      <c r="G559" s="3" t="s">
        <v>102</v>
      </c>
      <c r="H559" s="3">
        <v>20</v>
      </c>
      <c r="I559" s="2" t="s">
        <v>2013</v>
      </c>
      <c r="J559" s="3">
        <v>7</v>
      </c>
      <c r="K559" s="3">
        <v>7</v>
      </c>
      <c r="L559" s="23">
        <v>37</v>
      </c>
      <c r="M559" s="23">
        <v>37</v>
      </c>
      <c r="N559" s="24" t="s">
        <v>596</v>
      </c>
      <c r="O559" s="31"/>
      <c r="P559" s="31">
        <v>30</v>
      </c>
      <c r="Q559" s="31"/>
      <c r="R559" s="31"/>
      <c r="S559" s="23"/>
      <c r="T559" s="31">
        <v>90</v>
      </c>
      <c r="U559" s="31"/>
      <c r="V559" s="36"/>
      <c r="W559" s="37"/>
      <c r="X559" s="29">
        <v>3.5</v>
      </c>
      <c r="Y559" s="3" t="s">
        <v>6</v>
      </c>
      <c r="Z559" s="2"/>
      <c r="AA559" s="2"/>
    </row>
    <row r="560" spans="1:27" ht="23.1" customHeight="1" x14ac:dyDescent="0.25">
      <c r="A560" s="20" t="s">
        <v>653</v>
      </c>
      <c r="B560" s="3" t="s">
        <v>137</v>
      </c>
      <c r="C560" s="3">
        <v>59</v>
      </c>
      <c r="D560" s="3" t="s">
        <v>616</v>
      </c>
      <c r="E560" s="1" t="s">
        <v>617</v>
      </c>
      <c r="F560" s="21" t="s">
        <v>617</v>
      </c>
      <c r="G560" s="3" t="s">
        <v>102</v>
      </c>
      <c r="H560" s="3">
        <v>25</v>
      </c>
      <c r="I560" s="2" t="s">
        <v>2022</v>
      </c>
      <c r="J560" s="3">
        <v>4</v>
      </c>
      <c r="K560" s="3">
        <v>4</v>
      </c>
      <c r="L560" s="23">
        <v>26</v>
      </c>
      <c r="M560" s="23">
        <v>23</v>
      </c>
      <c r="N560" s="24" t="s">
        <v>596</v>
      </c>
      <c r="O560" s="31"/>
      <c r="P560" s="31">
        <v>50</v>
      </c>
      <c r="Q560" s="31"/>
      <c r="R560" s="31"/>
      <c r="S560" s="23"/>
      <c r="T560" s="31">
        <v>90</v>
      </c>
      <c r="U560" s="31"/>
      <c r="V560" s="36">
        <v>1</v>
      </c>
      <c r="W560" s="37">
        <v>3</v>
      </c>
      <c r="X560" s="29">
        <v>7.8</v>
      </c>
      <c r="Y560" s="3" t="s">
        <v>6</v>
      </c>
      <c r="Z560" s="2" t="s">
        <v>694</v>
      </c>
      <c r="AA560" s="1" t="s">
        <v>238</v>
      </c>
    </row>
    <row r="561" spans="1:27" ht="23.1" customHeight="1" x14ac:dyDescent="0.25">
      <c r="A561" s="20" t="s">
        <v>653</v>
      </c>
      <c r="B561" s="3" t="s">
        <v>137</v>
      </c>
      <c r="C561" s="3">
        <v>58</v>
      </c>
      <c r="D561" s="3" t="s">
        <v>423</v>
      </c>
      <c r="E561" s="1" t="s">
        <v>424</v>
      </c>
      <c r="F561" s="21" t="s">
        <v>424</v>
      </c>
      <c r="G561" s="3" t="s">
        <v>107</v>
      </c>
      <c r="H561" s="3">
        <v>35</v>
      </c>
      <c r="I561" s="2" t="s">
        <v>2012</v>
      </c>
      <c r="J561" s="3">
        <v>1</v>
      </c>
      <c r="K561" s="3">
        <v>1</v>
      </c>
      <c r="L561" s="33"/>
      <c r="M561" s="23">
        <v>26</v>
      </c>
      <c r="N561" s="24" t="s">
        <v>545</v>
      </c>
      <c r="O561" s="31"/>
      <c r="P561" s="31">
        <v>50</v>
      </c>
      <c r="Q561" s="31">
        <v>30</v>
      </c>
      <c r="R561" s="31"/>
      <c r="S561" s="23"/>
      <c r="T561" s="31">
        <v>60</v>
      </c>
      <c r="U561" s="31"/>
      <c r="V561" s="36"/>
      <c r="W561" s="37"/>
      <c r="X561" s="29">
        <v>0.8</v>
      </c>
      <c r="Y561" s="3" t="s">
        <v>57</v>
      </c>
      <c r="Z561" s="2"/>
      <c r="AA561" s="2"/>
    </row>
    <row r="562" spans="1:27" ht="23.1" customHeight="1" x14ac:dyDescent="0.25">
      <c r="A562" s="20" t="s">
        <v>653</v>
      </c>
      <c r="B562" s="3" t="s">
        <v>137</v>
      </c>
      <c r="C562" s="3">
        <v>58</v>
      </c>
      <c r="D562" s="3" t="s">
        <v>695</v>
      </c>
      <c r="E562" s="1" t="s">
        <v>696</v>
      </c>
      <c r="F562" s="21" t="s">
        <v>696</v>
      </c>
      <c r="G562" s="63" t="s">
        <v>1836</v>
      </c>
      <c r="H562" s="3">
        <v>50</v>
      </c>
      <c r="I562" s="39"/>
      <c r="J562" s="3">
        <v>5</v>
      </c>
      <c r="K562" s="3">
        <v>10</v>
      </c>
      <c r="L562" s="23">
        <v>23</v>
      </c>
      <c r="M562" s="23">
        <v>23</v>
      </c>
      <c r="N562" s="24" t="s">
        <v>697</v>
      </c>
      <c r="O562" s="31">
        <v>50</v>
      </c>
      <c r="P562" s="31">
        <v>50</v>
      </c>
      <c r="Q562" s="31"/>
      <c r="R562" s="31"/>
      <c r="S562" s="23"/>
      <c r="T562" s="31"/>
      <c r="U562" s="31"/>
      <c r="V562" s="36"/>
      <c r="W562" s="37"/>
      <c r="X562" s="32">
        <v>8.3000000000000007</v>
      </c>
      <c r="Y562" s="3" t="s">
        <v>57</v>
      </c>
      <c r="Z562" s="2"/>
      <c r="AA562" s="2"/>
    </row>
    <row r="563" spans="1:27" ht="23.1" customHeight="1" x14ac:dyDescent="0.25">
      <c r="A563" s="20" t="s">
        <v>653</v>
      </c>
      <c r="B563" s="3" t="s">
        <v>137</v>
      </c>
      <c r="C563" s="3">
        <v>57</v>
      </c>
      <c r="D563" s="3" t="s">
        <v>594</v>
      </c>
      <c r="E563" s="1" t="s">
        <v>595</v>
      </c>
      <c r="F563" s="21" t="s">
        <v>595</v>
      </c>
      <c r="G563" s="3" t="s">
        <v>102</v>
      </c>
      <c r="H563" s="3">
        <v>20</v>
      </c>
      <c r="I563" s="2" t="s">
        <v>2002</v>
      </c>
      <c r="J563" s="3">
        <v>1</v>
      </c>
      <c r="K563" s="3">
        <v>1</v>
      </c>
      <c r="L563" s="23">
        <v>37</v>
      </c>
      <c r="M563" s="23">
        <v>37</v>
      </c>
      <c r="N563" s="24" t="s">
        <v>596</v>
      </c>
      <c r="O563" s="31"/>
      <c r="P563" s="31">
        <v>120</v>
      </c>
      <c r="Q563" s="31"/>
      <c r="R563" s="31"/>
      <c r="S563" s="23"/>
      <c r="T563" s="31">
        <v>60</v>
      </c>
      <c r="U563" s="31"/>
      <c r="V563" s="36"/>
      <c r="W563" s="37"/>
      <c r="X563" s="29">
        <v>2</v>
      </c>
      <c r="Y563" s="3" t="s">
        <v>57</v>
      </c>
      <c r="Z563" s="2"/>
      <c r="AA563" s="2"/>
    </row>
    <row r="564" spans="1:27" ht="23.1" customHeight="1" x14ac:dyDescent="0.25">
      <c r="A564" s="20" t="s">
        <v>653</v>
      </c>
      <c r="B564" s="3" t="s">
        <v>137</v>
      </c>
      <c r="C564" s="3">
        <v>57</v>
      </c>
      <c r="D564" s="3" t="s">
        <v>698</v>
      </c>
      <c r="E564" s="1" t="s">
        <v>699</v>
      </c>
      <c r="F564" s="21" t="e">
        <v>#N/A</v>
      </c>
      <c r="G564" s="3" t="s">
        <v>123</v>
      </c>
      <c r="H564" s="3">
        <v>10</v>
      </c>
      <c r="I564" s="2" t="s">
        <v>2023</v>
      </c>
      <c r="J564" s="3">
        <v>20</v>
      </c>
      <c r="K564" s="3">
        <v>20</v>
      </c>
      <c r="L564" s="23">
        <v>26</v>
      </c>
      <c r="M564" s="23">
        <v>26</v>
      </c>
      <c r="N564" s="24" t="s">
        <v>247</v>
      </c>
      <c r="O564" s="31">
        <v>30</v>
      </c>
      <c r="P564" s="31">
        <v>40</v>
      </c>
      <c r="Q564" s="31"/>
      <c r="R564" s="31"/>
      <c r="S564" s="23"/>
      <c r="T564" s="31">
        <v>60</v>
      </c>
      <c r="U564" s="31"/>
      <c r="V564" s="36"/>
      <c r="W564" s="37"/>
      <c r="X564" s="32">
        <v>10</v>
      </c>
      <c r="Y564" s="3" t="s">
        <v>57</v>
      </c>
      <c r="Z564" s="2"/>
      <c r="AA564" s="2"/>
    </row>
    <row r="565" spans="1:27" ht="23.1" customHeight="1" x14ac:dyDescent="0.25">
      <c r="A565" s="20" t="s">
        <v>653</v>
      </c>
      <c r="B565" s="3" t="s">
        <v>137</v>
      </c>
      <c r="C565" s="3">
        <v>17</v>
      </c>
      <c r="D565" s="3" t="s">
        <v>352</v>
      </c>
      <c r="E565" s="1" t="s">
        <v>353</v>
      </c>
      <c r="F565" s="21" t="e">
        <v>#N/A</v>
      </c>
      <c r="G565" s="3" t="s">
        <v>300</v>
      </c>
      <c r="H565" s="3">
        <v>30</v>
      </c>
      <c r="I565" s="2" t="s">
        <v>2005</v>
      </c>
      <c r="J565" s="3">
        <v>1</v>
      </c>
      <c r="K565" s="3">
        <v>2</v>
      </c>
      <c r="L565" s="23">
        <v>26</v>
      </c>
      <c r="M565" s="23">
        <v>28</v>
      </c>
      <c r="N565" s="24" t="s">
        <v>509</v>
      </c>
      <c r="O565" s="31"/>
      <c r="P565" s="31">
        <v>480</v>
      </c>
      <c r="Q565" s="31"/>
      <c r="R565" s="31"/>
      <c r="S565" s="23"/>
      <c r="T565" s="31">
        <v>120</v>
      </c>
      <c r="U565" s="31"/>
      <c r="V565" s="36"/>
      <c r="W565" s="37"/>
      <c r="X565" s="29">
        <v>16</v>
      </c>
      <c r="Y565" s="3" t="s">
        <v>14</v>
      </c>
      <c r="Z565" s="2"/>
      <c r="AA565" s="2"/>
    </row>
    <row r="566" spans="1:27" ht="23.1" customHeight="1" x14ac:dyDescent="0.25">
      <c r="A566" s="20" t="s">
        <v>653</v>
      </c>
      <c r="B566" s="3" t="s">
        <v>137</v>
      </c>
      <c r="C566" s="3">
        <v>18</v>
      </c>
      <c r="D566" s="3" t="s">
        <v>205</v>
      </c>
      <c r="E566" s="1" t="s">
        <v>206</v>
      </c>
      <c r="F566" s="21" t="s">
        <v>206</v>
      </c>
      <c r="G566" s="3" t="s">
        <v>123</v>
      </c>
      <c r="H566" s="3">
        <v>50</v>
      </c>
      <c r="I566" s="2" t="s">
        <v>2000</v>
      </c>
      <c r="J566" s="3">
        <v>2.5</v>
      </c>
      <c r="K566" s="3">
        <v>5.5</v>
      </c>
      <c r="L566" s="23">
        <v>26</v>
      </c>
      <c r="M566" s="23">
        <v>26</v>
      </c>
      <c r="N566" s="24" t="s">
        <v>700</v>
      </c>
      <c r="O566" s="34"/>
      <c r="P566" s="31">
        <v>240</v>
      </c>
      <c r="Q566" s="31"/>
      <c r="R566" s="31"/>
      <c r="S566" s="23"/>
      <c r="T566" s="31">
        <v>90</v>
      </c>
      <c r="U566" s="31"/>
      <c r="V566" s="36"/>
      <c r="W566" s="37"/>
      <c r="X566" s="29">
        <v>22</v>
      </c>
      <c r="Y566" s="3" t="s">
        <v>14</v>
      </c>
      <c r="Z566" s="2"/>
      <c r="AA566" s="2"/>
    </row>
    <row r="567" spans="1:27" ht="23.1" customHeight="1" x14ac:dyDescent="0.25">
      <c r="A567" s="20" t="s">
        <v>653</v>
      </c>
      <c r="B567" s="3" t="s">
        <v>137</v>
      </c>
      <c r="C567" s="3">
        <v>16</v>
      </c>
      <c r="D567" s="3" t="s">
        <v>108</v>
      </c>
      <c r="E567" s="1" t="s">
        <v>701</v>
      </c>
      <c r="F567" s="21" t="e">
        <v>#N/A</v>
      </c>
      <c r="G567" s="3" t="s">
        <v>102</v>
      </c>
      <c r="H567" s="3">
        <v>15</v>
      </c>
      <c r="I567" s="2"/>
      <c r="J567" s="3">
        <v>1</v>
      </c>
      <c r="K567" s="3">
        <v>1</v>
      </c>
      <c r="L567" s="23">
        <v>37</v>
      </c>
      <c r="M567" s="33"/>
      <c r="N567" s="24" t="s">
        <v>108</v>
      </c>
      <c r="O567" s="34"/>
      <c r="P567" s="31"/>
      <c r="Q567" s="31"/>
      <c r="R567" s="31"/>
      <c r="S567" s="23"/>
      <c r="T567" s="31"/>
      <c r="U567" s="31"/>
      <c r="V567" s="36"/>
      <c r="W567" s="37">
        <v>8</v>
      </c>
      <c r="X567" s="29">
        <v>8</v>
      </c>
      <c r="Y567" s="3" t="s">
        <v>71</v>
      </c>
      <c r="Z567" s="2" t="s">
        <v>702</v>
      </c>
      <c r="AA567" s="2" t="s">
        <v>193</v>
      </c>
    </row>
    <row r="568" spans="1:27" ht="23.1" customHeight="1" x14ac:dyDescent="0.25">
      <c r="A568" s="20" t="s">
        <v>653</v>
      </c>
      <c r="B568" s="3" t="s">
        <v>137</v>
      </c>
      <c r="C568" s="3">
        <v>11</v>
      </c>
      <c r="D568" s="3" t="s">
        <v>690</v>
      </c>
      <c r="E568" s="1" t="s">
        <v>691</v>
      </c>
      <c r="F568" s="21" t="s">
        <v>691</v>
      </c>
      <c r="G568" s="3" t="s">
        <v>123</v>
      </c>
      <c r="H568" s="3">
        <v>5</v>
      </c>
      <c r="I568" s="2" t="s">
        <v>1930</v>
      </c>
      <c r="J568" s="3">
        <v>6</v>
      </c>
      <c r="K568" s="3">
        <v>6</v>
      </c>
      <c r="L568" s="23">
        <v>37</v>
      </c>
      <c r="M568" s="23">
        <v>37</v>
      </c>
      <c r="N568" s="24" t="s">
        <v>684</v>
      </c>
      <c r="O568" s="31"/>
      <c r="P568" s="31">
        <v>150</v>
      </c>
      <c r="Q568" s="31"/>
      <c r="R568" s="31"/>
      <c r="S568" s="23"/>
      <c r="T568" s="31">
        <v>60</v>
      </c>
      <c r="U568" s="31"/>
      <c r="V568" s="36"/>
      <c r="W568" s="37"/>
      <c r="X568" s="29">
        <v>15</v>
      </c>
      <c r="Y568" s="3" t="s">
        <v>71</v>
      </c>
      <c r="Z568" s="2"/>
      <c r="AA568" s="2"/>
    </row>
    <row r="569" spans="1:27" ht="23.1" customHeight="1" x14ac:dyDescent="0.25">
      <c r="A569" s="20" t="s">
        <v>653</v>
      </c>
      <c r="B569" s="3" t="s">
        <v>137</v>
      </c>
      <c r="C569" s="3">
        <v>11</v>
      </c>
      <c r="D569" s="3" t="s">
        <v>690</v>
      </c>
      <c r="E569" s="1" t="s">
        <v>691</v>
      </c>
      <c r="F569" s="21" t="s">
        <v>691</v>
      </c>
      <c r="G569" s="3" t="s">
        <v>123</v>
      </c>
      <c r="H569" s="3">
        <v>10</v>
      </c>
      <c r="I569" s="2" t="s">
        <v>2024</v>
      </c>
      <c r="J569" s="3">
        <v>1</v>
      </c>
      <c r="K569" s="3">
        <v>4</v>
      </c>
      <c r="L569" s="23">
        <v>26</v>
      </c>
      <c r="M569" s="23">
        <v>26</v>
      </c>
      <c r="N569" s="24" t="s">
        <v>703</v>
      </c>
      <c r="O569" s="31"/>
      <c r="P569" s="31">
        <v>90</v>
      </c>
      <c r="Q569" s="31"/>
      <c r="R569" s="31"/>
      <c r="S569" s="23"/>
      <c r="T569" s="31">
        <v>60</v>
      </c>
      <c r="U569" s="31"/>
      <c r="V569" s="36">
        <v>1</v>
      </c>
      <c r="W569" s="37"/>
      <c r="X569" s="29">
        <v>7</v>
      </c>
      <c r="Y569" s="3" t="s">
        <v>71</v>
      </c>
      <c r="Z569" s="2" t="s">
        <v>704</v>
      </c>
      <c r="AA569" s="2"/>
    </row>
    <row r="570" spans="1:27" ht="23.1" customHeight="1" x14ac:dyDescent="0.25">
      <c r="A570" s="20" t="s">
        <v>653</v>
      </c>
      <c r="B570" s="3" t="s">
        <v>137</v>
      </c>
      <c r="C570" s="3">
        <v>10</v>
      </c>
      <c r="D570" s="3" t="s">
        <v>232</v>
      </c>
      <c r="E570" s="1" t="s">
        <v>233</v>
      </c>
      <c r="F570" s="21" t="s">
        <v>233</v>
      </c>
      <c r="G570" s="3" t="s">
        <v>102</v>
      </c>
      <c r="H570" s="3">
        <v>90</v>
      </c>
      <c r="I570" s="2" t="s">
        <v>2025</v>
      </c>
      <c r="J570" s="3">
        <v>2</v>
      </c>
      <c r="K570" s="3">
        <v>2</v>
      </c>
      <c r="L570" s="23">
        <v>37</v>
      </c>
      <c r="M570" s="23">
        <v>37</v>
      </c>
      <c r="N570" s="24" t="s">
        <v>234</v>
      </c>
      <c r="O570" s="31"/>
      <c r="P570" s="31">
        <v>240</v>
      </c>
      <c r="Q570" s="31"/>
      <c r="R570" s="31"/>
      <c r="S570" s="23"/>
      <c r="T570" s="31">
        <v>90</v>
      </c>
      <c r="U570" s="31"/>
      <c r="V570" s="36">
        <v>1</v>
      </c>
      <c r="W570" s="37"/>
      <c r="X570" s="29">
        <v>9.5</v>
      </c>
      <c r="Y570" s="3" t="s">
        <v>23</v>
      </c>
      <c r="Z570" s="2" t="s">
        <v>92</v>
      </c>
      <c r="AA570" s="2"/>
    </row>
    <row r="571" spans="1:27" ht="23.1" customHeight="1" x14ac:dyDescent="0.25">
      <c r="A571" s="20" t="s">
        <v>653</v>
      </c>
      <c r="B571" s="3" t="s">
        <v>137</v>
      </c>
      <c r="C571" s="3">
        <v>9</v>
      </c>
      <c r="D571" s="3" t="s">
        <v>624</v>
      </c>
      <c r="E571" s="1" t="s">
        <v>625</v>
      </c>
      <c r="F571" s="21" t="s">
        <v>625</v>
      </c>
      <c r="G571" s="3" t="s">
        <v>300</v>
      </c>
      <c r="H571" s="3">
        <v>45</v>
      </c>
      <c r="I571" s="2" t="s">
        <v>1991</v>
      </c>
      <c r="J571" s="3">
        <v>2</v>
      </c>
      <c r="K571" s="3">
        <v>4</v>
      </c>
      <c r="L571" s="23">
        <v>37</v>
      </c>
      <c r="M571" s="23">
        <v>37</v>
      </c>
      <c r="N571" s="24" t="s">
        <v>567</v>
      </c>
      <c r="O571" s="34"/>
      <c r="P571" s="31">
        <v>55</v>
      </c>
      <c r="Q571" s="31"/>
      <c r="R571" s="31"/>
      <c r="S571" s="23"/>
      <c r="T571" s="31">
        <v>60</v>
      </c>
      <c r="U571" s="31"/>
      <c r="V571" s="36"/>
      <c r="W571" s="37"/>
      <c r="X571" s="29">
        <v>3.7</v>
      </c>
      <c r="Y571" s="3" t="s">
        <v>23</v>
      </c>
      <c r="Z571" s="2"/>
      <c r="AA571" s="2"/>
    </row>
    <row r="572" spans="1:27" ht="23.1" customHeight="1" x14ac:dyDescent="0.25">
      <c r="A572" s="20" t="s">
        <v>653</v>
      </c>
      <c r="B572" s="3" t="s">
        <v>137</v>
      </c>
      <c r="C572" s="3">
        <v>24</v>
      </c>
      <c r="D572" s="3" t="s">
        <v>392</v>
      </c>
      <c r="E572" s="1" t="s">
        <v>259</v>
      </c>
      <c r="F572" s="21" t="s">
        <v>979</v>
      </c>
      <c r="G572" s="3" t="s">
        <v>118</v>
      </c>
      <c r="H572" s="3">
        <v>50</v>
      </c>
      <c r="I572" s="2" t="s">
        <v>1965</v>
      </c>
      <c r="J572" s="3">
        <v>0.5</v>
      </c>
      <c r="K572" s="3">
        <v>0.4</v>
      </c>
      <c r="L572" s="33"/>
      <c r="M572" s="23">
        <v>5</v>
      </c>
      <c r="N572" s="24" t="s">
        <v>410</v>
      </c>
      <c r="O572" s="34"/>
      <c r="P572" s="31">
        <v>1960</v>
      </c>
      <c r="Q572" s="31">
        <v>120</v>
      </c>
      <c r="R572" s="31"/>
      <c r="S572" s="23"/>
      <c r="T572" s="31">
        <v>180</v>
      </c>
      <c r="U572" s="31"/>
      <c r="V572" s="36"/>
      <c r="W572" s="37"/>
      <c r="X572" s="29">
        <v>13.1</v>
      </c>
      <c r="Y572" s="3" t="s">
        <v>52</v>
      </c>
      <c r="Z572" s="2"/>
      <c r="AA572" s="2"/>
    </row>
    <row r="573" spans="1:27" ht="23.1" customHeight="1" x14ac:dyDescent="0.25">
      <c r="A573" s="20" t="s">
        <v>653</v>
      </c>
      <c r="B573" s="3" t="s">
        <v>137</v>
      </c>
      <c r="C573" s="3">
        <v>84</v>
      </c>
      <c r="D573" s="3" t="s">
        <v>449</v>
      </c>
      <c r="E573" s="1" t="s">
        <v>317</v>
      </c>
      <c r="F573" s="21" t="s">
        <v>317</v>
      </c>
      <c r="G573" s="3" t="s">
        <v>154</v>
      </c>
      <c r="H573" s="3">
        <v>30</v>
      </c>
      <c r="I573" s="3" t="s">
        <v>2026</v>
      </c>
      <c r="J573" s="2"/>
      <c r="K573" s="3">
        <v>0.4</v>
      </c>
      <c r="L573" s="33"/>
      <c r="M573" s="23">
        <v>23</v>
      </c>
      <c r="N573" s="24" t="s">
        <v>159</v>
      </c>
      <c r="O573" s="34"/>
      <c r="P573" s="31">
        <v>660</v>
      </c>
      <c r="Q573" s="31">
        <v>60</v>
      </c>
      <c r="R573" s="31"/>
      <c r="S573" s="23">
        <v>1</v>
      </c>
      <c r="T573" s="31">
        <v>120</v>
      </c>
      <c r="U573" s="31"/>
      <c r="V573" s="36">
        <v>1</v>
      </c>
      <c r="W573" s="37">
        <v>3</v>
      </c>
      <c r="X573" s="29">
        <v>10.4</v>
      </c>
      <c r="Y573" s="3" t="s">
        <v>52</v>
      </c>
      <c r="Z573" s="2" t="s">
        <v>705</v>
      </c>
      <c r="AA573" s="2"/>
    </row>
    <row r="574" spans="1:27" ht="23.1" customHeight="1" x14ac:dyDescent="0.25">
      <c r="A574" s="20" t="s">
        <v>653</v>
      </c>
      <c r="B574" s="3" t="s">
        <v>137</v>
      </c>
      <c r="C574" s="3">
        <v>69</v>
      </c>
      <c r="D574" s="3" t="s">
        <v>662</v>
      </c>
      <c r="E574" s="1" t="s">
        <v>663</v>
      </c>
      <c r="F574" s="21" t="s">
        <v>663</v>
      </c>
      <c r="G574" s="3" t="s">
        <v>250</v>
      </c>
      <c r="H574" s="3">
        <v>55</v>
      </c>
      <c r="I574" s="2" t="s">
        <v>2010</v>
      </c>
      <c r="J574" s="3">
        <v>5</v>
      </c>
      <c r="K574" s="3">
        <v>4</v>
      </c>
      <c r="L574" s="23">
        <v>5</v>
      </c>
      <c r="M574" s="23">
        <v>5</v>
      </c>
      <c r="N574" s="24" t="s">
        <v>664</v>
      </c>
      <c r="O574" s="34"/>
      <c r="P574" s="31">
        <v>450</v>
      </c>
      <c r="Q574" s="31">
        <v>90</v>
      </c>
      <c r="R574" s="31"/>
      <c r="S574" s="23">
        <v>4</v>
      </c>
      <c r="T574" s="31">
        <v>180</v>
      </c>
      <c r="U574" s="31"/>
      <c r="V574" s="36"/>
      <c r="W574" s="37"/>
      <c r="X574" s="29">
        <v>36</v>
      </c>
      <c r="Y574" s="3" t="s">
        <v>52</v>
      </c>
      <c r="Z574" s="2" t="s">
        <v>372</v>
      </c>
      <c r="AA574" s="2"/>
    </row>
    <row r="575" spans="1:27" ht="23.1" customHeight="1" x14ac:dyDescent="0.25">
      <c r="A575" s="20" t="s">
        <v>653</v>
      </c>
      <c r="B575" s="3" t="s">
        <v>137</v>
      </c>
      <c r="C575" s="3">
        <v>91</v>
      </c>
      <c r="D575" s="3" t="s">
        <v>643</v>
      </c>
      <c r="E575" s="1" t="s">
        <v>644</v>
      </c>
      <c r="F575" s="21" t="s">
        <v>644</v>
      </c>
      <c r="G575" s="3" t="s">
        <v>154</v>
      </c>
      <c r="H575" s="3">
        <v>45</v>
      </c>
      <c r="I575" s="2" t="s">
        <v>2001</v>
      </c>
      <c r="J575" s="3">
        <v>1.2</v>
      </c>
      <c r="K575" s="3">
        <v>1.2</v>
      </c>
      <c r="L575" s="23">
        <v>26</v>
      </c>
      <c r="M575" s="23">
        <v>26</v>
      </c>
      <c r="N575" s="24" t="s">
        <v>186</v>
      </c>
      <c r="O575" s="34"/>
      <c r="P575" s="31">
        <v>210</v>
      </c>
      <c r="Q575" s="31">
        <v>90</v>
      </c>
      <c r="R575" s="31"/>
      <c r="S575" s="23">
        <v>1</v>
      </c>
      <c r="T575" s="31">
        <v>120</v>
      </c>
      <c r="U575" s="31"/>
      <c r="V575" s="36"/>
      <c r="W575" s="37">
        <v>3</v>
      </c>
      <c r="X575" s="29">
        <v>8.6999999999999993</v>
      </c>
      <c r="Y575" s="3" t="s">
        <v>52</v>
      </c>
      <c r="Z575" s="2" t="s">
        <v>706</v>
      </c>
      <c r="AA575" s="2"/>
    </row>
    <row r="576" spans="1:27" ht="23.1" customHeight="1" x14ac:dyDescent="0.25">
      <c r="A576" s="20" t="s">
        <v>653</v>
      </c>
      <c r="B576" s="3" t="s">
        <v>137</v>
      </c>
      <c r="C576" s="3">
        <v>91</v>
      </c>
      <c r="D576" s="3" t="s">
        <v>707</v>
      </c>
      <c r="E576" s="1" t="s">
        <v>708</v>
      </c>
      <c r="F576" s="21" t="s">
        <v>708</v>
      </c>
      <c r="G576" s="3" t="s">
        <v>250</v>
      </c>
      <c r="H576" s="3">
        <v>35</v>
      </c>
      <c r="I576" s="2" t="s">
        <v>2027</v>
      </c>
      <c r="J576" s="3">
        <v>2</v>
      </c>
      <c r="K576" s="3">
        <v>4</v>
      </c>
      <c r="L576" s="23">
        <v>37</v>
      </c>
      <c r="M576" s="23">
        <v>5</v>
      </c>
      <c r="N576" s="24" t="s">
        <v>709</v>
      </c>
      <c r="O576" s="34"/>
      <c r="P576" s="31">
        <v>210</v>
      </c>
      <c r="Q576" s="31">
        <v>75</v>
      </c>
      <c r="R576" s="31"/>
      <c r="S576" s="23">
        <v>4</v>
      </c>
      <c r="T576" s="31">
        <v>180</v>
      </c>
      <c r="U576" s="31"/>
      <c r="V576" s="36">
        <v>1</v>
      </c>
      <c r="W576" s="37">
        <v>4</v>
      </c>
      <c r="X576" s="29">
        <v>26</v>
      </c>
      <c r="Y576" s="3" t="s">
        <v>52</v>
      </c>
      <c r="Z576" s="2" t="s">
        <v>710</v>
      </c>
      <c r="AA576" s="2"/>
    </row>
    <row r="577" spans="1:27" ht="23.1" customHeight="1" x14ac:dyDescent="0.25">
      <c r="A577" s="20" t="s">
        <v>653</v>
      </c>
      <c r="B577" s="3" t="s">
        <v>137</v>
      </c>
      <c r="C577" s="3">
        <v>84</v>
      </c>
      <c r="D577" s="3" t="s">
        <v>214</v>
      </c>
      <c r="E577" s="1" t="s">
        <v>215</v>
      </c>
      <c r="F577" s="21" t="s">
        <v>215</v>
      </c>
      <c r="G577" s="3" t="s">
        <v>118</v>
      </c>
      <c r="H577" s="3">
        <v>28</v>
      </c>
      <c r="I577" s="2"/>
      <c r="J577" s="3">
        <v>1</v>
      </c>
      <c r="K577" s="3">
        <v>1</v>
      </c>
      <c r="L577" s="23">
        <v>37</v>
      </c>
      <c r="M577" s="23">
        <v>37</v>
      </c>
      <c r="N577" s="24" t="s">
        <v>216</v>
      </c>
      <c r="O577" s="34">
        <v>100</v>
      </c>
      <c r="P577" s="31"/>
      <c r="Q577" s="31"/>
      <c r="R577" s="31"/>
      <c r="S577" s="23">
        <v>1</v>
      </c>
      <c r="T577" s="31"/>
      <c r="U577" s="31"/>
      <c r="V577" s="36"/>
      <c r="W577" s="37"/>
      <c r="X577" s="32">
        <v>1.7</v>
      </c>
      <c r="Y577" s="3" t="s">
        <v>52</v>
      </c>
      <c r="Z577" s="2" t="s">
        <v>145</v>
      </c>
      <c r="AA577" s="2"/>
    </row>
    <row r="578" spans="1:27" ht="23.1" customHeight="1" x14ac:dyDescent="0.25">
      <c r="A578" s="20" t="s">
        <v>653</v>
      </c>
      <c r="B578" s="3" t="s">
        <v>137</v>
      </c>
      <c r="C578" s="3">
        <v>84</v>
      </c>
      <c r="D578" s="3" t="s">
        <v>142</v>
      </c>
      <c r="E578" s="1" t="s">
        <v>133</v>
      </c>
      <c r="F578" s="21" t="s">
        <v>133</v>
      </c>
      <c r="G578" s="3" t="s">
        <v>108</v>
      </c>
      <c r="H578" s="3">
        <v>35</v>
      </c>
      <c r="I578" s="2"/>
      <c r="J578" s="3">
        <v>2</v>
      </c>
      <c r="K578" s="3">
        <v>2</v>
      </c>
      <c r="L578" s="23">
        <v>37</v>
      </c>
      <c r="M578" s="23">
        <v>26</v>
      </c>
      <c r="N578" s="24" t="s">
        <v>108</v>
      </c>
      <c r="O578" s="34"/>
      <c r="P578" s="31"/>
      <c r="Q578" s="31"/>
      <c r="R578" s="31"/>
      <c r="S578" s="23">
        <v>2</v>
      </c>
      <c r="T578" s="31"/>
      <c r="U578" s="31"/>
      <c r="V578" s="36">
        <v>1</v>
      </c>
      <c r="W578" s="37">
        <v>4</v>
      </c>
      <c r="X578" s="29">
        <v>4</v>
      </c>
      <c r="Y578" s="3" t="s">
        <v>52</v>
      </c>
      <c r="Z578" s="2" t="s">
        <v>711</v>
      </c>
      <c r="AA578" s="2"/>
    </row>
    <row r="579" spans="1:27" ht="23.1" customHeight="1" x14ac:dyDescent="0.25">
      <c r="A579" s="20" t="s">
        <v>653</v>
      </c>
      <c r="B579" s="3" t="s">
        <v>137</v>
      </c>
      <c r="C579" s="3">
        <v>119</v>
      </c>
      <c r="D579" s="3" t="s">
        <v>288</v>
      </c>
      <c r="E579" s="1" t="s">
        <v>255</v>
      </c>
      <c r="F579" s="21" t="s">
        <v>1532</v>
      </c>
      <c r="G579" s="3" t="s">
        <v>250</v>
      </c>
      <c r="H579" s="3">
        <v>50</v>
      </c>
      <c r="I579" s="2" t="s">
        <v>2021</v>
      </c>
      <c r="J579" s="3">
        <v>0.3</v>
      </c>
      <c r="K579" s="3">
        <v>0.3</v>
      </c>
      <c r="L579" s="33"/>
      <c r="M579" s="23">
        <v>5</v>
      </c>
      <c r="N579" s="24" t="s">
        <v>476</v>
      </c>
      <c r="O579" s="34"/>
      <c r="P579" s="31">
        <v>3000</v>
      </c>
      <c r="Q579" s="31">
        <v>90</v>
      </c>
      <c r="R579" s="31"/>
      <c r="S579" s="23"/>
      <c r="T579" s="31">
        <v>150</v>
      </c>
      <c r="U579" s="31"/>
      <c r="V579" s="36"/>
      <c r="W579" s="37"/>
      <c r="X579" s="29">
        <v>15</v>
      </c>
      <c r="Y579" s="3" t="s">
        <v>52</v>
      </c>
      <c r="Z579" s="2"/>
      <c r="AA579" s="2"/>
    </row>
    <row r="580" spans="1:27" ht="23.1" customHeight="1" x14ac:dyDescent="0.25">
      <c r="A580" s="20" t="s">
        <v>653</v>
      </c>
      <c r="B580" s="3" t="s">
        <v>113</v>
      </c>
      <c r="C580" s="3">
        <v>76</v>
      </c>
      <c r="D580" s="3" t="s">
        <v>543</v>
      </c>
      <c r="E580" s="1" t="s">
        <v>544</v>
      </c>
      <c r="F580" s="21" t="s">
        <v>544</v>
      </c>
      <c r="G580" s="3" t="s">
        <v>154</v>
      </c>
      <c r="H580" s="3">
        <v>15</v>
      </c>
      <c r="I580" s="2" t="s">
        <v>1926</v>
      </c>
      <c r="J580" s="3">
        <v>7</v>
      </c>
      <c r="K580" s="3">
        <v>7</v>
      </c>
      <c r="L580" s="23">
        <v>37</v>
      </c>
      <c r="M580" s="23">
        <v>5</v>
      </c>
      <c r="N580" s="24" t="s">
        <v>712</v>
      </c>
      <c r="O580" s="31"/>
      <c r="P580" s="31">
        <v>90</v>
      </c>
      <c r="Q580" s="31"/>
      <c r="R580" s="31"/>
      <c r="S580" s="23"/>
      <c r="T580" s="31">
        <v>90</v>
      </c>
      <c r="U580" s="31"/>
      <c r="V580" s="36"/>
      <c r="W580" s="37"/>
      <c r="X580" s="29">
        <v>10.5</v>
      </c>
      <c r="Y580" s="3" t="s">
        <v>12</v>
      </c>
      <c r="Z580" s="2" t="s">
        <v>713</v>
      </c>
      <c r="AA580" s="2"/>
    </row>
    <row r="581" spans="1:27" ht="23.1" customHeight="1" x14ac:dyDescent="0.25">
      <c r="A581" s="20" t="s">
        <v>653</v>
      </c>
      <c r="B581" s="3" t="s">
        <v>113</v>
      </c>
      <c r="C581" s="3">
        <v>15</v>
      </c>
      <c r="D581" s="3" t="s">
        <v>592</v>
      </c>
      <c r="E581" s="1" t="s">
        <v>218</v>
      </c>
      <c r="F581" s="21" t="s">
        <v>218</v>
      </c>
      <c r="G581" s="3" t="s">
        <v>107</v>
      </c>
      <c r="H581" s="3">
        <v>20</v>
      </c>
      <c r="I581" s="2" t="s">
        <v>1896</v>
      </c>
      <c r="J581" s="3">
        <v>3</v>
      </c>
      <c r="K581" s="3">
        <v>3</v>
      </c>
      <c r="L581" s="23">
        <v>5</v>
      </c>
      <c r="M581" s="23">
        <v>5</v>
      </c>
      <c r="N581" s="24" t="s">
        <v>456</v>
      </c>
      <c r="O581" s="31"/>
      <c r="P581" s="31">
        <v>300</v>
      </c>
      <c r="Q581" s="31"/>
      <c r="R581" s="31"/>
      <c r="S581" s="23"/>
      <c r="T581" s="31">
        <v>90</v>
      </c>
      <c r="U581" s="31"/>
      <c r="V581" s="36"/>
      <c r="W581" s="37">
        <v>3</v>
      </c>
      <c r="X581" s="29">
        <v>18</v>
      </c>
      <c r="Y581" s="3" t="s">
        <v>60</v>
      </c>
      <c r="Z581" s="2" t="s">
        <v>714</v>
      </c>
      <c r="AA581" s="2"/>
    </row>
    <row r="582" spans="1:27" ht="23.1" customHeight="1" x14ac:dyDescent="0.25">
      <c r="A582" s="20" t="s">
        <v>653</v>
      </c>
      <c r="B582" s="3" t="s">
        <v>113</v>
      </c>
      <c r="C582" s="3">
        <v>14</v>
      </c>
      <c r="D582" s="3" t="s">
        <v>276</v>
      </c>
      <c r="E582" s="1" t="s">
        <v>277</v>
      </c>
      <c r="F582" s="21" t="s">
        <v>277</v>
      </c>
      <c r="G582" s="3" t="s">
        <v>154</v>
      </c>
      <c r="H582" s="3">
        <v>70</v>
      </c>
      <c r="I582" s="2" t="s">
        <v>1995</v>
      </c>
      <c r="J582" s="3">
        <v>0.7</v>
      </c>
      <c r="K582" s="3">
        <v>0.7</v>
      </c>
      <c r="L582" s="33"/>
      <c r="M582" s="23">
        <v>5</v>
      </c>
      <c r="N582" s="24" t="s">
        <v>234</v>
      </c>
      <c r="O582" s="31"/>
      <c r="P582" s="31">
        <v>1320</v>
      </c>
      <c r="Q582" s="31"/>
      <c r="R582" s="31"/>
      <c r="S582" s="23"/>
      <c r="T582" s="31">
        <v>120</v>
      </c>
      <c r="U582" s="31"/>
      <c r="V582" s="36"/>
      <c r="W582" s="37"/>
      <c r="X582" s="29">
        <v>15.4</v>
      </c>
      <c r="Y582" s="3" t="s">
        <v>60</v>
      </c>
      <c r="Z582" s="2"/>
      <c r="AA582" s="2"/>
    </row>
    <row r="583" spans="1:27" ht="23.1" customHeight="1" x14ac:dyDescent="0.25">
      <c r="A583" s="20" t="s">
        <v>653</v>
      </c>
      <c r="B583" s="3" t="s">
        <v>113</v>
      </c>
      <c r="C583" s="3">
        <v>21</v>
      </c>
      <c r="D583" s="3" t="s">
        <v>321</v>
      </c>
      <c r="E583" s="1" t="s">
        <v>322</v>
      </c>
      <c r="F583" s="21" t="s">
        <v>322</v>
      </c>
      <c r="G583" s="3" t="s">
        <v>323</v>
      </c>
      <c r="H583" s="3">
        <v>55</v>
      </c>
      <c r="I583" s="2" t="s">
        <v>2004</v>
      </c>
      <c r="J583" s="3">
        <v>1</v>
      </c>
      <c r="K583" s="3">
        <v>1</v>
      </c>
      <c r="L583" s="33"/>
      <c r="M583" s="23">
        <v>5</v>
      </c>
      <c r="N583" s="24" t="s">
        <v>684</v>
      </c>
      <c r="O583" s="34"/>
      <c r="P583" s="31">
        <v>660</v>
      </c>
      <c r="Q583" s="31">
        <v>120</v>
      </c>
      <c r="R583" s="31"/>
      <c r="S583" s="23">
        <v>1</v>
      </c>
      <c r="T583" s="31">
        <v>180</v>
      </c>
      <c r="U583" s="31"/>
      <c r="V583" s="36">
        <v>1</v>
      </c>
      <c r="W583" s="37"/>
      <c r="X583" s="29">
        <v>16</v>
      </c>
      <c r="Y583" s="3" t="s">
        <v>49</v>
      </c>
      <c r="Z583" s="2" t="s">
        <v>407</v>
      </c>
      <c r="AA583" s="2"/>
    </row>
    <row r="584" spans="1:27" ht="23.1" customHeight="1" x14ac:dyDescent="0.25">
      <c r="A584" s="20" t="s">
        <v>653</v>
      </c>
      <c r="B584" s="3" t="s">
        <v>113</v>
      </c>
      <c r="C584" s="3">
        <v>59</v>
      </c>
      <c r="D584" s="3" t="s">
        <v>616</v>
      </c>
      <c r="E584" s="1" t="s">
        <v>617</v>
      </c>
      <c r="F584" s="21" t="s">
        <v>617</v>
      </c>
      <c r="G584" s="3" t="s">
        <v>102</v>
      </c>
      <c r="H584" s="3">
        <v>25</v>
      </c>
      <c r="I584" s="2" t="s">
        <v>2022</v>
      </c>
      <c r="J584" s="3">
        <v>4</v>
      </c>
      <c r="K584" s="3">
        <v>4</v>
      </c>
      <c r="L584" s="23">
        <v>23</v>
      </c>
      <c r="M584" s="23">
        <v>23</v>
      </c>
      <c r="N584" s="24" t="s">
        <v>596</v>
      </c>
      <c r="O584" s="34"/>
      <c r="P584" s="31">
        <v>50</v>
      </c>
      <c r="Q584" s="31"/>
      <c r="R584" s="31"/>
      <c r="S584" s="23"/>
      <c r="T584" s="31">
        <v>90</v>
      </c>
      <c r="U584" s="31"/>
      <c r="V584" s="36"/>
      <c r="W584" s="37"/>
      <c r="X584" s="29">
        <v>3.3</v>
      </c>
      <c r="Y584" s="64" t="s">
        <v>1847</v>
      </c>
      <c r="Z584" s="2"/>
      <c r="AA584" s="2"/>
    </row>
    <row r="585" spans="1:27" ht="23.1" customHeight="1" x14ac:dyDescent="0.25">
      <c r="A585" s="20" t="s">
        <v>653</v>
      </c>
      <c r="B585" s="3" t="s">
        <v>113</v>
      </c>
      <c r="C585" s="3">
        <v>59</v>
      </c>
      <c r="D585" s="3" t="s">
        <v>616</v>
      </c>
      <c r="E585" s="1" t="s">
        <v>617</v>
      </c>
      <c r="F585" s="21" t="s">
        <v>617</v>
      </c>
      <c r="G585" s="3" t="s">
        <v>102</v>
      </c>
      <c r="H585" s="3">
        <v>30</v>
      </c>
      <c r="I585" s="2" t="s">
        <v>1953</v>
      </c>
      <c r="J585" s="3">
        <v>8</v>
      </c>
      <c r="K585" s="3">
        <v>6</v>
      </c>
      <c r="L585" s="23">
        <v>23</v>
      </c>
      <c r="M585" s="23">
        <v>9</v>
      </c>
      <c r="N585" s="24" t="s">
        <v>596</v>
      </c>
      <c r="O585" s="34"/>
      <c r="P585" s="31">
        <v>45</v>
      </c>
      <c r="Q585" s="31"/>
      <c r="R585" s="31"/>
      <c r="S585" s="23"/>
      <c r="T585" s="31">
        <v>90</v>
      </c>
      <c r="U585" s="31"/>
      <c r="V585" s="36">
        <v>1</v>
      </c>
      <c r="W585" s="37">
        <v>2</v>
      </c>
      <c r="X585" s="29">
        <v>8</v>
      </c>
      <c r="Y585" s="64" t="s">
        <v>1847</v>
      </c>
      <c r="Z585" s="2" t="s">
        <v>715</v>
      </c>
      <c r="AA585" s="1" t="s">
        <v>238</v>
      </c>
    </row>
    <row r="586" spans="1:27" ht="23.1" customHeight="1" x14ac:dyDescent="0.25">
      <c r="A586" s="20" t="s">
        <v>653</v>
      </c>
      <c r="B586" s="3" t="s">
        <v>113</v>
      </c>
      <c r="C586" s="3">
        <v>23</v>
      </c>
      <c r="D586" s="3" t="s">
        <v>254</v>
      </c>
      <c r="E586" s="1" t="s">
        <v>255</v>
      </c>
      <c r="F586" s="21" t="s">
        <v>1016</v>
      </c>
      <c r="G586" s="3" t="s">
        <v>375</v>
      </c>
      <c r="H586" s="3">
        <v>37</v>
      </c>
      <c r="I586" s="2"/>
      <c r="J586" s="3">
        <v>0.2</v>
      </c>
      <c r="K586" s="3">
        <v>0.2</v>
      </c>
      <c r="L586" s="33"/>
      <c r="M586" s="23">
        <v>5</v>
      </c>
      <c r="N586" s="24" t="s">
        <v>716</v>
      </c>
      <c r="O586" s="25">
        <v>660</v>
      </c>
      <c r="P586" s="31"/>
      <c r="Q586" s="31"/>
      <c r="R586" s="31"/>
      <c r="S586" s="23"/>
      <c r="T586" s="31"/>
      <c r="U586" s="31"/>
      <c r="V586" s="36"/>
      <c r="W586" s="37"/>
      <c r="X586" s="32">
        <v>2.2000000000000002</v>
      </c>
      <c r="Y586" s="3" t="s">
        <v>33</v>
      </c>
      <c r="Z586" s="2"/>
      <c r="AA586" s="2"/>
    </row>
    <row r="587" spans="1:27" ht="23.1" customHeight="1" x14ac:dyDescent="0.25">
      <c r="A587" s="20" t="s">
        <v>653</v>
      </c>
      <c r="B587" s="3" t="s">
        <v>113</v>
      </c>
      <c r="C587" s="3">
        <v>23</v>
      </c>
      <c r="D587" s="3" t="s">
        <v>717</v>
      </c>
      <c r="E587" s="1" t="s">
        <v>718</v>
      </c>
      <c r="F587" s="21" t="s">
        <v>718</v>
      </c>
      <c r="G587" s="3" t="s">
        <v>118</v>
      </c>
      <c r="H587" s="3">
        <v>45</v>
      </c>
      <c r="I587" s="2" t="s">
        <v>2028</v>
      </c>
      <c r="J587" s="3">
        <v>0.3</v>
      </c>
      <c r="K587" s="3">
        <v>0.5</v>
      </c>
      <c r="L587" s="33"/>
      <c r="M587" s="23">
        <v>28</v>
      </c>
      <c r="N587" s="24" t="s">
        <v>719</v>
      </c>
      <c r="O587" s="34"/>
      <c r="P587" s="31">
        <v>1080</v>
      </c>
      <c r="Q587" s="31">
        <v>90</v>
      </c>
      <c r="R587" s="31"/>
      <c r="S587" s="23"/>
      <c r="T587" s="31">
        <v>120</v>
      </c>
      <c r="U587" s="31"/>
      <c r="V587" s="36">
        <v>1</v>
      </c>
      <c r="W587" s="37">
        <v>2</v>
      </c>
      <c r="X587" s="29">
        <v>13</v>
      </c>
      <c r="Y587" s="3" t="s">
        <v>33</v>
      </c>
      <c r="Z587" s="2" t="s">
        <v>720</v>
      </c>
      <c r="AA587" s="2"/>
    </row>
    <row r="588" spans="1:27" ht="23.1" customHeight="1" x14ac:dyDescent="0.25">
      <c r="A588" s="20" t="s">
        <v>653</v>
      </c>
      <c r="B588" s="3" t="s">
        <v>113</v>
      </c>
      <c r="C588" s="3">
        <v>23</v>
      </c>
      <c r="D588" s="3" t="s">
        <v>717</v>
      </c>
      <c r="E588" s="1" t="s">
        <v>718</v>
      </c>
      <c r="F588" s="21" t="s">
        <v>718</v>
      </c>
      <c r="G588" s="3" t="s">
        <v>118</v>
      </c>
      <c r="H588" s="3">
        <v>45</v>
      </c>
      <c r="I588" s="2" t="s">
        <v>2028</v>
      </c>
      <c r="J588" s="3">
        <v>1</v>
      </c>
      <c r="K588" s="3">
        <v>1</v>
      </c>
      <c r="L588" s="33"/>
      <c r="M588" s="23">
        <v>37</v>
      </c>
      <c r="N588" s="24" t="s">
        <v>108</v>
      </c>
      <c r="O588" s="34"/>
      <c r="P588" s="31">
        <v>1080</v>
      </c>
      <c r="Q588" s="31">
        <v>90</v>
      </c>
      <c r="R588" s="31"/>
      <c r="S588" s="23"/>
      <c r="T588" s="31">
        <v>120</v>
      </c>
      <c r="U588" s="31"/>
      <c r="V588" s="36"/>
      <c r="W588" s="37"/>
      <c r="X588" s="29">
        <v>18</v>
      </c>
      <c r="Y588" s="3" t="s">
        <v>33</v>
      </c>
      <c r="Z588" s="2" t="s">
        <v>721</v>
      </c>
      <c r="AA588" s="2"/>
    </row>
    <row r="589" spans="1:27" ht="23.1" customHeight="1" x14ac:dyDescent="0.25">
      <c r="A589" s="20" t="s">
        <v>653</v>
      </c>
      <c r="B589" s="3" t="s">
        <v>113</v>
      </c>
      <c r="C589" s="3">
        <v>47</v>
      </c>
      <c r="D589" s="3" t="s">
        <v>332</v>
      </c>
      <c r="E589" s="1" t="s">
        <v>333</v>
      </c>
      <c r="F589" s="21" t="s">
        <v>2548</v>
      </c>
      <c r="G589" s="3" t="s">
        <v>334</v>
      </c>
      <c r="H589" s="3">
        <v>25</v>
      </c>
      <c r="I589" s="2" t="s">
        <v>2018</v>
      </c>
      <c r="J589" s="3">
        <v>1</v>
      </c>
      <c r="K589" s="3">
        <v>1</v>
      </c>
      <c r="L589" s="33"/>
      <c r="M589" s="23">
        <v>5</v>
      </c>
      <c r="N589" s="24" t="s">
        <v>722</v>
      </c>
      <c r="O589" s="34"/>
      <c r="P589" s="31">
        <v>630</v>
      </c>
      <c r="Q589" s="31">
        <v>90</v>
      </c>
      <c r="R589" s="31"/>
      <c r="S589" s="23">
        <v>1</v>
      </c>
      <c r="T589" s="31">
        <v>120</v>
      </c>
      <c r="U589" s="31"/>
      <c r="V589" s="36"/>
      <c r="W589" s="37"/>
      <c r="X589" s="29">
        <v>12</v>
      </c>
      <c r="Y589" s="3" t="s">
        <v>33</v>
      </c>
      <c r="Z589" s="2" t="s">
        <v>145</v>
      </c>
      <c r="AA589" s="2"/>
    </row>
    <row r="590" spans="1:27" ht="23.1" customHeight="1" x14ac:dyDescent="0.25">
      <c r="A590" s="20" t="s">
        <v>653</v>
      </c>
      <c r="B590" s="3" t="s">
        <v>113</v>
      </c>
      <c r="C590" s="3">
        <v>47</v>
      </c>
      <c r="D590" s="3" t="s">
        <v>332</v>
      </c>
      <c r="E590" s="1" t="s">
        <v>333</v>
      </c>
      <c r="F590" s="21" t="s">
        <v>2548</v>
      </c>
      <c r="G590" s="3" t="s">
        <v>334</v>
      </c>
      <c r="H590" s="3">
        <v>25</v>
      </c>
      <c r="I590" s="2" t="s">
        <v>2018</v>
      </c>
      <c r="J590" s="3">
        <v>0.6</v>
      </c>
      <c r="K590" s="3">
        <v>0.6</v>
      </c>
      <c r="L590" s="33"/>
      <c r="M590" s="23">
        <v>28</v>
      </c>
      <c r="N590" s="24" t="s">
        <v>199</v>
      </c>
      <c r="O590" s="34"/>
      <c r="P590" s="31">
        <v>630</v>
      </c>
      <c r="Q590" s="31">
        <v>90</v>
      </c>
      <c r="R590" s="31"/>
      <c r="S590" s="23">
        <v>1</v>
      </c>
      <c r="T590" s="31">
        <v>120</v>
      </c>
      <c r="U590" s="31"/>
      <c r="V590" s="36"/>
      <c r="W590" s="37"/>
      <c r="X590" s="29">
        <v>7.8</v>
      </c>
      <c r="Y590" s="3" t="s">
        <v>33</v>
      </c>
      <c r="Z590" s="2" t="s">
        <v>145</v>
      </c>
      <c r="AA590" s="2"/>
    </row>
    <row r="591" spans="1:27" ht="23.1" customHeight="1" x14ac:dyDescent="0.25">
      <c r="A591" s="20" t="s">
        <v>653</v>
      </c>
      <c r="B591" s="3" t="s">
        <v>113</v>
      </c>
      <c r="C591" s="3">
        <v>56</v>
      </c>
      <c r="D591" s="3" t="s">
        <v>676</v>
      </c>
      <c r="E591" s="1" t="s">
        <v>595</v>
      </c>
      <c r="F591" s="21" t="s">
        <v>595</v>
      </c>
      <c r="G591" s="3" t="s">
        <v>108</v>
      </c>
      <c r="H591" s="3">
        <v>10</v>
      </c>
      <c r="I591" s="3"/>
      <c r="J591" s="23"/>
      <c r="K591" s="2"/>
      <c r="L591" s="33"/>
      <c r="M591" s="23">
        <v>26</v>
      </c>
      <c r="N591" s="24" t="s">
        <v>108</v>
      </c>
      <c r="O591" s="34"/>
      <c r="P591" s="31"/>
      <c r="Q591" s="31"/>
      <c r="R591" s="31"/>
      <c r="S591" s="23"/>
      <c r="T591" s="31"/>
      <c r="U591" s="31"/>
      <c r="V591" s="36"/>
      <c r="W591" s="37">
        <v>2</v>
      </c>
      <c r="X591" s="29">
        <v>2</v>
      </c>
      <c r="Y591" s="3" t="s">
        <v>18</v>
      </c>
      <c r="Z591" s="2" t="s">
        <v>723</v>
      </c>
      <c r="AA591" s="1" t="s">
        <v>238</v>
      </c>
    </row>
    <row r="592" spans="1:27" ht="23.1" customHeight="1" x14ac:dyDescent="0.25">
      <c r="A592" s="20" t="s">
        <v>653</v>
      </c>
      <c r="B592" s="3" t="s">
        <v>113</v>
      </c>
      <c r="C592" s="3">
        <v>17</v>
      </c>
      <c r="D592" s="3" t="s">
        <v>352</v>
      </c>
      <c r="E592" s="1" t="s">
        <v>353</v>
      </c>
      <c r="F592" s="21" t="e">
        <v>#N/A</v>
      </c>
      <c r="G592" s="3" t="s">
        <v>300</v>
      </c>
      <c r="H592" s="3">
        <v>30</v>
      </c>
      <c r="I592" s="2" t="s">
        <v>2005</v>
      </c>
      <c r="J592" s="3">
        <v>1</v>
      </c>
      <c r="K592" s="3">
        <v>2</v>
      </c>
      <c r="L592" s="23">
        <v>28</v>
      </c>
      <c r="M592" s="23">
        <v>28</v>
      </c>
      <c r="N592" s="24" t="s">
        <v>506</v>
      </c>
      <c r="O592" s="31"/>
      <c r="P592" s="31">
        <v>480</v>
      </c>
      <c r="Q592" s="31"/>
      <c r="R592" s="31"/>
      <c r="S592" s="23"/>
      <c r="T592" s="31">
        <v>120</v>
      </c>
      <c r="U592" s="31"/>
      <c r="V592" s="36"/>
      <c r="W592" s="37"/>
      <c r="X592" s="29">
        <v>16</v>
      </c>
      <c r="Y592" s="3" t="s">
        <v>16</v>
      </c>
      <c r="Z592" s="2"/>
      <c r="AA592" s="2"/>
    </row>
    <row r="593" spans="1:27" ht="23.1" customHeight="1" x14ac:dyDescent="0.25">
      <c r="A593" s="20" t="s">
        <v>653</v>
      </c>
      <c r="B593" s="3" t="s">
        <v>113</v>
      </c>
      <c r="C593" s="3">
        <v>58</v>
      </c>
      <c r="D593" s="3" t="s">
        <v>695</v>
      </c>
      <c r="E593" s="1" t="s">
        <v>696</v>
      </c>
      <c r="F593" s="21" t="s">
        <v>696</v>
      </c>
      <c r="G593" s="3" t="s">
        <v>107</v>
      </c>
      <c r="H593" s="3">
        <v>50</v>
      </c>
      <c r="I593" s="39" t="s">
        <v>2029</v>
      </c>
      <c r="J593" s="3">
        <v>7</v>
      </c>
      <c r="K593" s="3">
        <v>2</v>
      </c>
      <c r="L593" s="23">
        <v>23</v>
      </c>
      <c r="M593" s="23"/>
      <c r="N593" s="24" t="s">
        <v>724</v>
      </c>
      <c r="O593" s="31"/>
      <c r="P593" s="31">
        <v>60</v>
      </c>
      <c r="Q593" s="31"/>
      <c r="R593" s="31"/>
      <c r="S593" s="23"/>
      <c r="T593" s="31">
        <v>60</v>
      </c>
      <c r="U593" s="31"/>
      <c r="V593" s="36"/>
      <c r="W593" s="37">
        <v>2</v>
      </c>
      <c r="X593" s="29">
        <v>4</v>
      </c>
      <c r="Y593" s="3" t="s">
        <v>7</v>
      </c>
      <c r="Z593" s="2" t="s">
        <v>725</v>
      </c>
      <c r="AA593" s="1" t="s">
        <v>238</v>
      </c>
    </row>
    <row r="594" spans="1:27" ht="23.1" customHeight="1" x14ac:dyDescent="0.25">
      <c r="A594" s="20" t="s">
        <v>653</v>
      </c>
      <c r="B594" s="3" t="s">
        <v>113</v>
      </c>
      <c r="C594" s="3">
        <v>13</v>
      </c>
      <c r="D594" s="3" t="s">
        <v>654</v>
      </c>
      <c r="E594" s="1" t="s">
        <v>246</v>
      </c>
      <c r="F594" s="21" t="s">
        <v>246</v>
      </c>
      <c r="G594" s="3" t="s">
        <v>154</v>
      </c>
      <c r="H594" s="3">
        <v>20</v>
      </c>
      <c r="I594" s="2" t="s">
        <v>2030</v>
      </c>
      <c r="J594" s="3">
        <v>8</v>
      </c>
      <c r="K594" s="3">
        <v>8</v>
      </c>
      <c r="L594" s="23">
        <v>26</v>
      </c>
      <c r="M594" s="23">
        <v>28</v>
      </c>
      <c r="N594" s="24" t="s">
        <v>247</v>
      </c>
      <c r="O594" s="34"/>
      <c r="P594" s="31">
        <v>160</v>
      </c>
      <c r="Q594" s="31"/>
      <c r="R594" s="31"/>
      <c r="S594" s="23"/>
      <c r="T594" s="31">
        <v>60</v>
      </c>
      <c r="U594" s="31"/>
      <c r="V594" s="36"/>
      <c r="W594" s="37"/>
      <c r="X594" s="29">
        <v>21.3</v>
      </c>
      <c r="Y594" s="3" t="s">
        <v>10</v>
      </c>
      <c r="Z594" s="2"/>
      <c r="AA594" s="2"/>
    </row>
    <row r="595" spans="1:27" ht="23.1" customHeight="1" x14ac:dyDescent="0.25">
      <c r="A595" s="20" t="s">
        <v>653</v>
      </c>
      <c r="B595" s="3" t="s">
        <v>113</v>
      </c>
      <c r="C595" s="3">
        <v>57</v>
      </c>
      <c r="D595" s="3" t="s">
        <v>698</v>
      </c>
      <c r="E595" s="1" t="s">
        <v>699</v>
      </c>
      <c r="F595" s="21" t="e">
        <v>#N/A</v>
      </c>
      <c r="G595" s="3" t="s">
        <v>123</v>
      </c>
      <c r="H595" s="3">
        <v>10</v>
      </c>
      <c r="I595" s="2" t="s">
        <v>2023</v>
      </c>
      <c r="J595" s="3">
        <v>13</v>
      </c>
      <c r="K595" s="3">
        <v>20</v>
      </c>
      <c r="L595" s="23">
        <v>23</v>
      </c>
      <c r="M595" s="23">
        <v>28</v>
      </c>
      <c r="N595" s="24" t="s">
        <v>247</v>
      </c>
      <c r="O595" s="31"/>
      <c r="P595" s="31">
        <v>40</v>
      </c>
      <c r="Q595" s="31"/>
      <c r="R595" s="31"/>
      <c r="S595" s="23"/>
      <c r="T595" s="31">
        <v>60</v>
      </c>
      <c r="U595" s="31"/>
      <c r="V595" s="36"/>
      <c r="W595" s="37"/>
      <c r="X595" s="29">
        <v>13.3</v>
      </c>
      <c r="Y595" s="3" t="s">
        <v>7</v>
      </c>
      <c r="Z595" s="2"/>
      <c r="AA595" s="2"/>
    </row>
    <row r="596" spans="1:27" ht="23.1" customHeight="1" x14ac:dyDescent="0.25">
      <c r="A596" s="20" t="s">
        <v>653</v>
      </c>
      <c r="B596" s="3" t="s">
        <v>113</v>
      </c>
      <c r="C596" s="3">
        <v>18</v>
      </c>
      <c r="D596" s="3" t="s">
        <v>205</v>
      </c>
      <c r="E596" s="1" t="s">
        <v>206</v>
      </c>
      <c r="F596" s="21" t="s">
        <v>206</v>
      </c>
      <c r="G596" s="3" t="s">
        <v>123</v>
      </c>
      <c r="H596" s="3">
        <v>55</v>
      </c>
      <c r="I596" s="2" t="s">
        <v>2031</v>
      </c>
      <c r="J596" s="3">
        <v>2.5</v>
      </c>
      <c r="K596" s="3">
        <v>3</v>
      </c>
      <c r="L596" s="23">
        <v>23</v>
      </c>
      <c r="M596" s="23">
        <v>28</v>
      </c>
      <c r="N596" s="24" t="s">
        <v>726</v>
      </c>
      <c r="O596" s="31"/>
      <c r="P596" s="31">
        <v>330</v>
      </c>
      <c r="Q596" s="31"/>
      <c r="R596" s="31"/>
      <c r="S596" s="23"/>
      <c r="T596" s="31">
        <v>90</v>
      </c>
      <c r="U596" s="31"/>
      <c r="V596" s="36"/>
      <c r="W596" s="37"/>
      <c r="X596" s="29">
        <v>16.5</v>
      </c>
      <c r="Y596" s="3" t="s">
        <v>16</v>
      </c>
      <c r="Z596" s="2"/>
      <c r="AA596" s="2"/>
    </row>
    <row r="597" spans="1:27" ht="23.1" customHeight="1" x14ac:dyDescent="0.25">
      <c r="A597" s="20" t="s">
        <v>653</v>
      </c>
      <c r="B597" s="3" t="s">
        <v>113</v>
      </c>
      <c r="C597" s="3">
        <v>16</v>
      </c>
      <c r="D597" s="3" t="s">
        <v>727</v>
      </c>
      <c r="E597" s="1" t="s">
        <v>625</v>
      </c>
      <c r="F597" s="21" t="s">
        <v>625</v>
      </c>
      <c r="G597" s="3" t="s">
        <v>250</v>
      </c>
      <c r="H597" s="3">
        <v>50</v>
      </c>
      <c r="I597" s="2" t="s">
        <v>2032</v>
      </c>
      <c r="J597" s="3">
        <v>8</v>
      </c>
      <c r="K597" s="3">
        <v>2</v>
      </c>
      <c r="L597" s="23">
        <v>28</v>
      </c>
      <c r="M597" s="23">
        <v>28</v>
      </c>
      <c r="N597" s="24" t="s">
        <v>728</v>
      </c>
      <c r="O597" s="34"/>
      <c r="P597" s="31">
        <v>60</v>
      </c>
      <c r="Q597" s="31"/>
      <c r="R597" s="31"/>
      <c r="S597" s="23"/>
      <c r="T597" s="31">
        <v>60</v>
      </c>
      <c r="U597" s="31"/>
      <c r="V597" s="36"/>
      <c r="W597" s="37">
        <v>2</v>
      </c>
      <c r="X597" s="29">
        <v>4</v>
      </c>
      <c r="Y597" s="3" t="s">
        <v>63</v>
      </c>
      <c r="Z597" s="2" t="s">
        <v>729</v>
      </c>
      <c r="AA597" s="1" t="s">
        <v>238</v>
      </c>
    </row>
    <row r="598" spans="1:27" ht="23.1" customHeight="1" x14ac:dyDescent="0.25">
      <c r="A598" s="20" t="s">
        <v>653</v>
      </c>
      <c r="B598" s="3" t="s">
        <v>113</v>
      </c>
      <c r="C598" s="3">
        <v>11</v>
      </c>
      <c r="D598" s="3" t="s">
        <v>690</v>
      </c>
      <c r="E598" s="1" t="s">
        <v>691</v>
      </c>
      <c r="F598" s="21" t="s">
        <v>691</v>
      </c>
      <c r="G598" s="3" t="s">
        <v>123</v>
      </c>
      <c r="H598" s="3">
        <v>15</v>
      </c>
      <c r="I598" s="3" t="s">
        <v>2033</v>
      </c>
      <c r="J598" s="2"/>
      <c r="K598" s="3">
        <v>5</v>
      </c>
      <c r="L598" s="23">
        <v>23</v>
      </c>
      <c r="M598" s="23">
        <v>28</v>
      </c>
      <c r="N598" s="24" t="s">
        <v>732</v>
      </c>
      <c r="O598" s="34"/>
      <c r="P598" s="31">
        <v>190</v>
      </c>
      <c r="Q598" s="31"/>
      <c r="R598" s="31"/>
      <c r="S598" s="23"/>
      <c r="T598" s="31">
        <v>60</v>
      </c>
      <c r="U598" s="31"/>
      <c r="V598" s="36"/>
      <c r="W598" s="37">
        <v>2</v>
      </c>
      <c r="X598" s="29">
        <v>17.8</v>
      </c>
      <c r="Y598" s="3" t="s">
        <v>63</v>
      </c>
      <c r="Z598" s="2" t="s">
        <v>733</v>
      </c>
      <c r="AA598" s="1" t="s">
        <v>238</v>
      </c>
    </row>
    <row r="599" spans="1:27" ht="23.1" customHeight="1" x14ac:dyDescent="0.25">
      <c r="A599" s="20" t="s">
        <v>653</v>
      </c>
      <c r="B599" s="3" t="s">
        <v>113</v>
      </c>
      <c r="C599" s="3">
        <v>11</v>
      </c>
      <c r="D599" s="3" t="s">
        <v>690</v>
      </c>
      <c r="E599" s="1" t="s">
        <v>691</v>
      </c>
      <c r="F599" s="21" t="s">
        <v>691</v>
      </c>
      <c r="G599" s="3" t="s">
        <v>123</v>
      </c>
      <c r="H599" s="3">
        <v>10</v>
      </c>
      <c r="I599" s="2" t="s">
        <v>2024</v>
      </c>
      <c r="J599" s="3">
        <v>8</v>
      </c>
      <c r="K599" s="3">
        <v>8</v>
      </c>
      <c r="L599" s="23">
        <v>23</v>
      </c>
      <c r="M599" s="23">
        <v>23</v>
      </c>
      <c r="N599" s="24" t="s">
        <v>734</v>
      </c>
      <c r="O599" s="34"/>
      <c r="P599" s="31">
        <v>90</v>
      </c>
      <c r="Q599" s="31"/>
      <c r="R599" s="31"/>
      <c r="S599" s="23"/>
      <c r="T599" s="31">
        <v>60</v>
      </c>
      <c r="U599" s="31"/>
      <c r="V599" s="36"/>
      <c r="W599" s="37"/>
      <c r="X599" s="29">
        <v>12</v>
      </c>
      <c r="Y599" s="3" t="s">
        <v>63</v>
      </c>
      <c r="Z599" s="2"/>
      <c r="AA599" s="2"/>
    </row>
    <row r="600" spans="1:27" ht="23.1" customHeight="1" x14ac:dyDescent="0.25">
      <c r="A600" s="20" t="s">
        <v>653</v>
      </c>
      <c r="B600" s="3" t="s">
        <v>113</v>
      </c>
      <c r="C600" s="3">
        <v>77</v>
      </c>
      <c r="D600" s="3" t="s">
        <v>211</v>
      </c>
      <c r="E600" s="1" t="s">
        <v>212</v>
      </c>
      <c r="F600" s="21" t="s">
        <v>212</v>
      </c>
      <c r="G600" s="3" t="s">
        <v>123</v>
      </c>
      <c r="H600" s="3">
        <v>20</v>
      </c>
      <c r="I600" s="2" t="s">
        <v>2034</v>
      </c>
      <c r="J600" s="3">
        <v>30</v>
      </c>
      <c r="K600" s="3">
        <v>29</v>
      </c>
      <c r="L600" s="23">
        <v>26</v>
      </c>
      <c r="M600" s="23">
        <v>23</v>
      </c>
      <c r="N600" s="24" t="s">
        <v>213</v>
      </c>
      <c r="O600" s="31"/>
      <c r="P600" s="31">
        <v>30</v>
      </c>
      <c r="Q600" s="31"/>
      <c r="R600" s="31"/>
      <c r="S600" s="23"/>
      <c r="T600" s="31">
        <v>60</v>
      </c>
      <c r="U600" s="31"/>
      <c r="V600" s="36"/>
      <c r="W600" s="37"/>
      <c r="X600" s="29">
        <v>14.5</v>
      </c>
      <c r="Y600" s="3" t="s">
        <v>24</v>
      </c>
      <c r="Z600" s="2"/>
      <c r="AA600" s="2"/>
    </row>
    <row r="601" spans="1:27" ht="23.1" customHeight="1" x14ac:dyDescent="0.25">
      <c r="A601" s="20" t="s">
        <v>653</v>
      </c>
      <c r="B601" s="3" t="s">
        <v>113</v>
      </c>
      <c r="C601" s="3">
        <v>12</v>
      </c>
      <c r="D601" s="3" t="s">
        <v>735</v>
      </c>
      <c r="E601" s="1" t="s">
        <v>249</v>
      </c>
      <c r="F601" s="21" t="s">
        <v>249</v>
      </c>
      <c r="G601" s="3" t="s">
        <v>250</v>
      </c>
      <c r="H601" s="3">
        <v>3</v>
      </c>
      <c r="I601" s="2"/>
      <c r="J601" s="3">
        <v>12</v>
      </c>
      <c r="K601" s="3">
        <v>12</v>
      </c>
      <c r="L601" s="23">
        <v>5</v>
      </c>
      <c r="M601" s="23">
        <v>5</v>
      </c>
      <c r="N601" s="24" t="s">
        <v>736</v>
      </c>
      <c r="O601" s="31">
        <v>30</v>
      </c>
      <c r="P601" s="31"/>
      <c r="Q601" s="31"/>
      <c r="R601" s="31"/>
      <c r="S601" s="23"/>
      <c r="T601" s="31"/>
      <c r="U601" s="31">
        <v>60</v>
      </c>
      <c r="V601" s="36">
        <v>1</v>
      </c>
      <c r="W601" s="37"/>
      <c r="X601" s="32">
        <v>7</v>
      </c>
      <c r="Y601" s="3" t="s">
        <v>10</v>
      </c>
      <c r="Z601" s="2" t="s">
        <v>737</v>
      </c>
      <c r="AA601" s="2"/>
    </row>
    <row r="602" spans="1:27" ht="23.1" customHeight="1" x14ac:dyDescent="0.25">
      <c r="A602" s="20" t="s">
        <v>653</v>
      </c>
      <c r="B602" s="3" t="s">
        <v>113</v>
      </c>
      <c r="C602" s="3">
        <v>56</v>
      </c>
      <c r="D602" s="3" t="s">
        <v>676</v>
      </c>
      <c r="E602" s="1" t="s">
        <v>595</v>
      </c>
      <c r="F602" s="21" t="s">
        <v>595</v>
      </c>
      <c r="G602" s="3" t="s">
        <v>154</v>
      </c>
      <c r="H602" s="3">
        <v>10</v>
      </c>
      <c r="I602" s="2" t="s">
        <v>2023</v>
      </c>
      <c r="J602" s="3">
        <v>10</v>
      </c>
      <c r="K602" s="3">
        <v>10</v>
      </c>
      <c r="L602" s="23">
        <v>37</v>
      </c>
      <c r="M602" s="23">
        <v>23</v>
      </c>
      <c r="N602" s="24" t="s">
        <v>506</v>
      </c>
      <c r="O602" s="31"/>
      <c r="P602" s="31">
        <v>40</v>
      </c>
      <c r="Q602" s="31"/>
      <c r="R602" s="31"/>
      <c r="S602" s="23"/>
      <c r="T602" s="31">
        <v>60</v>
      </c>
      <c r="U602" s="31"/>
      <c r="V602" s="36"/>
      <c r="W602" s="37"/>
      <c r="X602" s="29">
        <v>6.7</v>
      </c>
      <c r="Y602" s="3" t="s">
        <v>18</v>
      </c>
      <c r="Z602" s="2"/>
      <c r="AA602" s="2"/>
    </row>
    <row r="603" spans="1:27" ht="23.1" customHeight="1" x14ac:dyDescent="0.25">
      <c r="A603" s="20" t="s">
        <v>653</v>
      </c>
      <c r="B603" s="3" t="s">
        <v>113</v>
      </c>
      <c r="C603" s="3">
        <v>55</v>
      </c>
      <c r="D603" s="3" t="s">
        <v>680</v>
      </c>
      <c r="E603" s="1" t="s">
        <v>681</v>
      </c>
      <c r="F603" s="21" t="s">
        <v>681</v>
      </c>
      <c r="G603" s="3" t="s">
        <v>154</v>
      </c>
      <c r="H603" s="3">
        <v>55</v>
      </c>
      <c r="I603" s="2" t="s">
        <v>2019</v>
      </c>
      <c r="J603" s="3">
        <v>12</v>
      </c>
      <c r="K603" s="3">
        <v>27</v>
      </c>
      <c r="L603" s="33"/>
      <c r="M603" s="23">
        <v>23</v>
      </c>
      <c r="N603" s="24" t="s">
        <v>682</v>
      </c>
      <c r="O603" s="31"/>
      <c r="P603" s="31">
        <v>40</v>
      </c>
      <c r="Q603" s="31"/>
      <c r="R603" s="31"/>
      <c r="S603" s="23"/>
      <c r="T603" s="31">
        <v>60</v>
      </c>
      <c r="U603" s="31"/>
      <c r="V603" s="36"/>
      <c r="W603" s="37"/>
      <c r="X603" s="29">
        <v>18</v>
      </c>
      <c r="Y603" s="3" t="s">
        <v>18</v>
      </c>
      <c r="Z603" s="2"/>
      <c r="AA603" s="2"/>
    </row>
    <row r="604" spans="1:27" ht="23.1" customHeight="1" x14ac:dyDescent="0.25">
      <c r="A604" s="20" t="s">
        <v>653</v>
      </c>
      <c r="B604" s="3" t="s">
        <v>113</v>
      </c>
      <c r="C604" s="3">
        <v>24</v>
      </c>
      <c r="D604" s="3" t="s">
        <v>392</v>
      </c>
      <c r="E604" s="1" t="s">
        <v>259</v>
      </c>
      <c r="F604" s="21" t="s">
        <v>979</v>
      </c>
      <c r="G604" s="3" t="s">
        <v>118</v>
      </c>
      <c r="H604" s="3">
        <v>50</v>
      </c>
      <c r="I604" s="2" t="s">
        <v>1965</v>
      </c>
      <c r="J604" s="3">
        <v>0.2</v>
      </c>
      <c r="K604" s="3">
        <v>0.3</v>
      </c>
      <c r="L604" s="33"/>
      <c r="M604" s="23">
        <v>5</v>
      </c>
      <c r="N604" s="24" t="s">
        <v>410</v>
      </c>
      <c r="O604" s="34"/>
      <c r="P604" s="31">
        <v>1960</v>
      </c>
      <c r="Q604" s="31">
        <v>120</v>
      </c>
      <c r="R604" s="31"/>
      <c r="S604" s="23"/>
      <c r="T604" s="31">
        <v>180</v>
      </c>
      <c r="U604" s="31"/>
      <c r="V604" s="36"/>
      <c r="W604" s="37">
        <v>3</v>
      </c>
      <c r="X604" s="29">
        <v>12.8</v>
      </c>
      <c r="Y604" s="3" t="s">
        <v>69</v>
      </c>
      <c r="Z604" s="2" t="s">
        <v>522</v>
      </c>
      <c r="AA604" s="2"/>
    </row>
    <row r="605" spans="1:27" ht="23.1" customHeight="1" x14ac:dyDescent="0.25">
      <c r="A605" s="20" t="s">
        <v>653</v>
      </c>
      <c r="B605" s="3" t="s">
        <v>113</v>
      </c>
      <c r="C605" s="3">
        <v>24</v>
      </c>
      <c r="D605" s="3" t="s">
        <v>738</v>
      </c>
      <c r="E605" s="1" t="s">
        <v>739</v>
      </c>
      <c r="F605" s="21" t="s">
        <v>739</v>
      </c>
      <c r="G605" s="3" t="s">
        <v>107</v>
      </c>
      <c r="H605" s="3">
        <v>25</v>
      </c>
      <c r="I605" s="2" t="s">
        <v>2035</v>
      </c>
      <c r="J605" s="3">
        <v>0.5</v>
      </c>
      <c r="K605" s="3">
        <v>0.4</v>
      </c>
      <c r="L605" s="33"/>
      <c r="M605" s="23">
        <v>28</v>
      </c>
      <c r="N605" s="24" t="s">
        <v>393</v>
      </c>
      <c r="O605" s="34"/>
      <c r="P605" s="31">
        <v>840</v>
      </c>
      <c r="Q605" s="31">
        <v>120</v>
      </c>
      <c r="R605" s="31"/>
      <c r="S605" s="23">
        <v>1</v>
      </c>
      <c r="T605" s="31">
        <v>150</v>
      </c>
      <c r="U605" s="31"/>
      <c r="V605" s="36">
        <v>1</v>
      </c>
      <c r="W605" s="37">
        <v>5</v>
      </c>
      <c r="X605" s="29">
        <v>15.1</v>
      </c>
      <c r="Y605" s="3" t="s">
        <v>69</v>
      </c>
      <c r="Z605" s="2" t="s">
        <v>740</v>
      </c>
      <c r="AA605" s="2"/>
    </row>
    <row r="606" spans="1:27" ht="23.1" customHeight="1" x14ac:dyDescent="0.25">
      <c r="A606" s="20" t="s">
        <v>653</v>
      </c>
      <c r="B606" s="3" t="s">
        <v>113</v>
      </c>
      <c r="C606" s="3">
        <v>69</v>
      </c>
      <c r="D606" s="3" t="s">
        <v>662</v>
      </c>
      <c r="E606" s="1" t="s">
        <v>663</v>
      </c>
      <c r="F606" s="21" t="s">
        <v>663</v>
      </c>
      <c r="G606" s="3" t="s">
        <v>250</v>
      </c>
      <c r="H606" s="3">
        <v>55</v>
      </c>
      <c r="I606" s="2" t="s">
        <v>2010</v>
      </c>
      <c r="J606" s="3">
        <v>2</v>
      </c>
      <c r="K606" s="3">
        <v>3</v>
      </c>
      <c r="L606" s="23">
        <v>5</v>
      </c>
      <c r="M606" s="23">
        <v>5</v>
      </c>
      <c r="N606" s="24" t="s">
        <v>741</v>
      </c>
      <c r="O606" s="34"/>
      <c r="P606" s="31">
        <v>450</v>
      </c>
      <c r="Q606" s="31">
        <v>90</v>
      </c>
      <c r="R606" s="31"/>
      <c r="S606" s="23">
        <v>3</v>
      </c>
      <c r="T606" s="31">
        <v>180</v>
      </c>
      <c r="U606" s="31"/>
      <c r="V606" s="36"/>
      <c r="W606" s="37">
        <v>3</v>
      </c>
      <c r="X606" s="29">
        <v>30</v>
      </c>
      <c r="Y606" s="3" t="s">
        <v>69</v>
      </c>
      <c r="Z606" s="2" t="s">
        <v>428</v>
      </c>
      <c r="AA606" s="2"/>
    </row>
    <row r="607" spans="1:27" ht="23.1" customHeight="1" x14ac:dyDescent="0.25">
      <c r="A607" s="20" t="s">
        <v>653</v>
      </c>
      <c r="B607" s="3" t="s">
        <v>113</v>
      </c>
      <c r="C607" s="3">
        <v>69</v>
      </c>
      <c r="D607" s="3" t="s">
        <v>742</v>
      </c>
      <c r="E607" s="1" t="s">
        <v>663</v>
      </c>
      <c r="F607" s="21" t="s">
        <v>663</v>
      </c>
      <c r="G607" s="3" t="s">
        <v>250</v>
      </c>
      <c r="H607" s="3">
        <v>55</v>
      </c>
      <c r="I607" s="2" t="s">
        <v>2010</v>
      </c>
      <c r="J607" s="3">
        <v>3</v>
      </c>
      <c r="K607" s="3">
        <v>1</v>
      </c>
      <c r="L607" s="33"/>
      <c r="M607" s="23">
        <v>28</v>
      </c>
      <c r="N607" s="24" t="s">
        <v>216</v>
      </c>
      <c r="O607" s="34"/>
      <c r="P607" s="31">
        <v>450</v>
      </c>
      <c r="Q607" s="31">
        <v>90</v>
      </c>
      <c r="R607" s="31"/>
      <c r="S607" s="23"/>
      <c r="T607" s="31">
        <v>180</v>
      </c>
      <c r="U607" s="31"/>
      <c r="V607" s="36">
        <v>1</v>
      </c>
      <c r="W607" s="37">
        <v>6</v>
      </c>
      <c r="X607" s="29">
        <v>16.5</v>
      </c>
      <c r="Y607" s="3" t="s">
        <v>69</v>
      </c>
      <c r="Z607" s="2" t="s">
        <v>743</v>
      </c>
      <c r="AA607" s="2"/>
    </row>
    <row r="608" spans="1:27" ht="23.1" customHeight="1" x14ac:dyDescent="0.25">
      <c r="A608" s="20" t="s">
        <v>653</v>
      </c>
      <c r="B608" s="3" t="s">
        <v>113</v>
      </c>
      <c r="C608" s="3">
        <v>91</v>
      </c>
      <c r="D608" s="3" t="s">
        <v>707</v>
      </c>
      <c r="E608" s="1" t="s">
        <v>708</v>
      </c>
      <c r="F608" s="21" t="s">
        <v>708</v>
      </c>
      <c r="G608" s="3" t="s">
        <v>250</v>
      </c>
      <c r="H608" s="3">
        <v>35</v>
      </c>
      <c r="I608" s="2" t="s">
        <v>2027</v>
      </c>
      <c r="J608" s="3">
        <v>3</v>
      </c>
      <c r="K608" s="3">
        <v>1</v>
      </c>
      <c r="L608" s="33"/>
      <c r="M608" s="23">
        <v>5</v>
      </c>
      <c r="N608" s="24" t="s">
        <v>456</v>
      </c>
      <c r="O608" s="34"/>
      <c r="P608" s="31">
        <v>210</v>
      </c>
      <c r="Q608" s="31">
        <v>75</v>
      </c>
      <c r="R608" s="31"/>
      <c r="S608" s="23"/>
      <c r="T608" s="31">
        <v>180</v>
      </c>
      <c r="U608" s="31"/>
      <c r="V608" s="36"/>
      <c r="W608" s="37">
        <v>3</v>
      </c>
      <c r="X608" s="29">
        <v>6.5</v>
      </c>
      <c r="Y608" s="3" t="s">
        <v>69</v>
      </c>
      <c r="Z608" s="2" t="s">
        <v>522</v>
      </c>
      <c r="AA608" s="2"/>
    </row>
    <row r="609" spans="1:27" ht="23.1" customHeight="1" x14ac:dyDescent="0.25">
      <c r="A609" s="20" t="s">
        <v>653</v>
      </c>
      <c r="B609" s="3" t="s">
        <v>113</v>
      </c>
      <c r="C609" s="3">
        <v>91</v>
      </c>
      <c r="D609" s="3" t="s">
        <v>744</v>
      </c>
      <c r="E609" s="1" t="s">
        <v>708</v>
      </c>
      <c r="F609" s="21" t="s">
        <v>708</v>
      </c>
      <c r="G609" s="3" t="s">
        <v>250</v>
      </c>
      <c r="H609" s="3">
        <v>35</v>
      </c>
      <c r="I609" s="2" t="s">
        <v>2027</v>
      </c>
      <c r="J609" s="3">
        <v>2</v>
      </c>
      <c r="K609" s="3">
        <v>5</v>
      </c>
      <c r="L609" s="23">
        <v>5</v>
      </c>
      <c r="M609" s="23">
        <v>5</v>
      </c>
      <c r="N609" s="24" t="s">
        <v>745</v>
      </c>
      <c r="O609" s="34"/>
      <c r="P609" s="31">
        <v>210</v>
      </c>
      <c r="Q609" s="31">
        <v>75</v>
      </c>
      <c r="R609" s="31"/>
      <c r="S609" s="23">
        <v>5</v>
      </c>
      <c r="T609" s="31">
        <v>180</v>
      </c>
      <c r="U609" s="31"/>
      <c r="V609" s="36">
        <v>1</v>
      </c>
      <c r="W609" s="37">
        <v>3</v>
      </c>
      <c r="X609" s="29">
        <v>29.8</v>
      </c>
      <c r="Y609" s="3" t="s">
        <v>69</v>
      </c>
      <c r="Z609" s="2" t="s">
        <v>746</v>
      </c>
      <c r="AA609" s="2"/>
    </row>
    <row r="610" spans="1:27" ht="23.1" customHeight="1" x14ac:dyDescent="0.25">
      <c r="A610" s="20" t="s">
        <v>653</v>
      </c>
      <c r="B610" s="3" t="s">
        <v>113</v>
      </c>
      <c r="C610" s="3">
        <v>84</v>
      </c>
      <c r="D610" s="3" t="s">
        <v>449</v>
      </c>
      <c r="E610" s="1" t="s">
        <v>317</v>
      </c>
      <c r="F610" s="21" t="s">
        <v>317</v>
      </c>
      <c r="G610" s="3" t="s">
        <v>154</v>
      </c>
      <c r="H610" s="3">
        <v>30</v>
      </c>
      <c r="I610" s="2" t="s">
        <v>2026</v>
      </c>
      <c r="J610" s="3">
        <v>1.2</v>
      </c>
      <c r="K610" s="3">
        <v>1.4</v>
      </c>
      <c r="L610" s="23">
        <v>23</v>
      </c>
      <c r="M610" s="23">
        <v>28</v>
      </c>
      <c r="N610" s="24" t="s">
        <v>438</v>
      </c>
      <c r="O610" s="34"/>
      <c r="P610" s="31">
        <v>660</v>
      </c>
      <c r="Q610" s="31">
        <v>60</v>
      </c>
      <c r="R610" s="31"/>
      <c r="S610" s="23">
        <v>1</v>
      </c>
      <c r="T610" s="31">
        <v>120</v>
      </c>
      <c r="U610" s="31"/>
      <c r="V610" s="36"/>
      <c r="W610" s="37"/>
      <c r="X610" s="29">
        <v>16.399999999999999</v>
      </c>
      <c r="Y610" s="3" t="s">
        <v>69</v>
      </c>
      <c r="Z610" s="2" t="s">
        <v>145</v>
      </c>
      <c r="AA610" s="2"/>
    </row>
    <row r="611" spans="1:27" ht="23.1" customHeight="1" x14ac:dyDescent="0.25">
      <c r="A611" s="20" t="s">
        <v>653</v>
      </c>
      <c r="B611" s="3" t="s">
        <v>113</v>
      </c>
      <c r="C611" s="3">
        <v>119</v>
      </c>
      <c r="D611" s="3" t="s">
        <v>288</v>
      </c>
      <c r="E611" s="1" t="s">
        <v>255</v>
      </c>
      <c r="F611" s="21" t="s">
        <v>1532</v>
      </c>
      <c r="G611" s="3" t="s">
        <v>250</v>
      </c>
      <c r="H611" s="3">
        <v>50</v>
      </c>
      <c r="I611" s="2" t="s">
        <v>2021</v>
      </c>
      <c r="J611" s="3">
        <v>0.3</v>
      </c>
      <c r="K611" s="23"/>
      <c r="L611" s="23"/>
      <c r="M611" s="33"/>
      <c r="N611" s="24" t="s">
        <v>476</v>
      </c>
      <c r="O611" s="34"/>
      <c r="P611" s="31">
        <v>3000</v>
      </c>
      <c r="Q611" s="31">
        <v>90</v>
      </c>
      <c r="R611" s="31"/>
      <c r="S611" s="23"/>
      <c r="T611" s="31">
        <v>150</v>
      </c>
      <c r="U611" s="31"/>
      <c r="V611" s="36"/>
      <c r="W611" s="37"/>
      <c r="X611" s="29">
        <v>0</v>
      </c>
      <c r="Y611" s="3" t="s">
        <v>69</v>
      </c>
      <c r="Z611" s="2" t="s">
        <v>747</v>
      </c>
      <c r="AA611" s="2"/>
    </row>
    <row r="612" spans="1:27" ht="23.1" customHeight="1" x14ac:dyDescent="0.25">
      <c r="A612" s="20" t="s">
        <v>748</v>
      </c>
      <c r="B612" s="3" t="s">
        <v>99</v>
      </c>
      <c r="C612" s="3">
        <v>55</v>
      </c>
      <c r="D612" s="3" t="s">
        <v>749</v>
      </c>
      <c r="E612" s="1" t="s">
        <v>139</v>
      </c>
      <c r="F612" s="21" t="s">
        <v>139</v>
      </c>
      <c r="G612" s="3" t="s">
        <v>123</v>
      </c>
      <c r="H612" s="3">
        <v>5</v>
      </c>
      <c r="I612" s="3" t="s">
        <v>1930</v>
      </c>
      <c r="J612" s="3"/>
      <c r="K612" s="3">
        <v>40</v>
      </c>
      <c r="L612" s="23">
        <v>28</v>
      </c>
      <c r="M612" s="23">
        <v>28</v>
      </c>
      <c r="N612" s="24" t="s">
        <v>457</v>
      </c>
      <c r="O612" s="31"/>
      <c r="P612" s="34">
        <v>20</v>
      </c>
      <c r="Q612" s="31"/>
      <c r="R612" s="31"/>
      <c r="S612" s="23"/>
      <c r="T612" s="31">
        <v>60</v>
      </c>
      <c r="U612" s="31"/>
      <c r="V612" s="38"/>
      <c r="W612" s="37"/>
      <c r="X612" s="29">
        <v>13.3</v>
      </c>
      <c r="Y612" s="3" t="s">
        <v>44</v>
      </c>
      <c r="Z612" s="2"/>
      <c r="AA612" s="2"/>
    </row>
    <row r="613" spans="1:27" ht="23.1" customHeight="1" x14ac:dyDescent="0.25">
      <c r="A613" s="20" t="s">
        <v>748</v>
      </c>
      <c r="B613" s="3" t="s">
        <v>99</v>
      </c>
      <c r="C613" s="3">
        <v>59</v>
      </c>
      <c r="D613" s="3" t="s">
        <v>616</v>
      </c>
      <c r="E613" s="1" t="s">
        <v>617</v>
      </c>
      <c r="F613" s="21" t="s">
        <v>617</v>
      </c>
      <c r="G613" s="3" t="s">
        <v>102</v>
      </c>
      <c r="H613" s="3">
        <v>30</v>
      </c>
      <c r="I613" s="3" t="s">
        <v>1953</v>
      </c>
      <c r="J613" s="3"/>
      <c r="K613" s="3">
        <v>2</v>
      </c>
      <c r="L613" s="23">
        <v>9</v>
      </c>
      <c r="M613" s="23">
        <v>9</v>
      </c>
      <c r="N613" s="24" t="s">
        <v>596</v>
      </c>
      <c r="O613" s="31"/>
      <c r="P613" s="34">
        <v>45</v>
      </c>
      <c r="Q613" s="31"/>
      <c r="R613" s="31"/>
      <c r="S613" s="23"/>
      <c r="T613" s="31">
        <v>90</v>
      </c>
      <c r="U613" s="31"/>
      <c r="V613" s="38"/>
      <c r="W613" s="37"/>
      <c r="X613" s="29">
        <v>1.5</v>
      </c>
      <c r="Y613" s="3" t="s">
        <v>42</v>
      </c>
      <c r="Z613" s="2"/>
      <c r="AA613" s="2"/>
    </row>
    <row r="614" spans="1:27" ht="23.1" customHeight="1" x14ac:dyDescent="0.25">
      <c r="A614" s="20" t="s">
        <v>653</v>
      </c>
      <c r="B614" s="3" t="s">
        <v>113</v>
      </c>
      <c r="C614" s="3">
        <v>58</v>
      </c>
      <c r="D614" s="3" t="s">
        <v>695</v>
      </c>
      <c r="E614" s="1" t="s">
        <v>696</v>
      </c>
      <c r="F614" s="21" t="s">
        <v>696</v>
      </c>
      <c r="G614" s="3" t="s">
        <v>107</v>
      </c>
      <c r="H614" s="3">
        <v>55</v>
      </c>
      <c r="I614" s="35" t="s">
        <v>2036</v>
      </c>
      <c r="J614" s="3">
        <v>7</v>
      </c>
      <c r="K614" s="3">
        <v>3</v>
      </c>
      <c r="L614" s="23">
        <v>23</v>
      </c>
      <c r="M614" s="23"/>
      <c r="N614" s="24" t="s">
        <v>724</v>
      </c>
      <c r="O614" s="31"/>
      <c r="P614" s="34">
        <v>80</v>
      </c>
      <c r="Q614" s="31"/>
      <c r="R614" s="31"/>
      <c r="S614" s="23"/>
      <c r="T614" s="31">
        <v>90</v>
      </c>
      <c r="U614" s="31"/>
      <c r="V614" s="38">
        <v>1</v>
      </c>
      <c r="W614" s="37"/>
      <c r="X614" s="29">
        <v>2</v>
      </c>
      <c r="Y614" s="3" t="s">
        <v>7</v>
      </c>
      <c r="Z614" s="2"/>
      <c r="AA614" s="1"/>
    </row>
    <row r="615" spans="1:27" ht="23.1" customHeight="1" x14ac:dyDescent="0.25">
      <c r="A615" s="20" t="s">
        <v>748</v>
      </c>
      <c r="B615" s="3" t="s">
        <v>99</v>
      </c>
      <c r="C615" s="3">
        <v>59</v>
      </c>
      <c r="D615" s="3" t="s">
        <v>616</v>
      </c>
      <c r="E615" s="1" t="s">
        <v>617</v>
      </c>
      <c r="F615" s="21" t="s">
        <v>617</v>
      </c>
      <c r="G615" s="3" t="s">
        <v>102</v>
      </c>
      <c r="H615" s="3">
        <v>5</v>
      </c>
      <c r="I615" s="3" t="s">
        <v>1957</v>
      </c>
      <c r="J615" s="3"/>
      <c r="K615" s="3">
        <v>2</v>
      </c>
      <c r="L615" s="23">
        <v>9</v>
      </c>
      <c r="M615" s="23">
        <v>9</v>
      </c>
      <c r="N615" s="24" t="s">
        <v>596</v>
      </c>
      <c r="O615" s="31"/>
      <c r="P615" s="34">
        <v>60</v>
      </c>
      <c r="Q615" s="31"/>
      <c r="R615" s="31"/>
      <c r="S615" s="23"/>
      <c r="T615" s="31">
        <v>60</v>
      </c>
      <c r="U615" s="31"/>
      <c r="V615" s="38">
        <v>1</v>
      </c>
      <c r="W615" s="37"/>
      <c r="X615" s="29">
        <v>3</v>
      </c>
      <c r="Y615" s="3" t="s">
        <v>42</v>
      </c>
      <c r="Z615" s="2"/>
      <c r="AA615" s="1"/>
    </row>
    <row r="616" spans="1:27" ht="23.1" customHeight="1" x14ac:dyDescent="0.25">
      <c r="A616" s="20" t="s">
        <v>748</v>
      </c>
      <c r="B616" s="3" t="s">
        <v>99</v>
      </c>
      <c r="C616" s="3">
        <v>59</v>
      </c>
      <c r="D616" s="3" t="s">
        <v>616</v>
      </c>
      <c r="E616" s="1" t="s">
        <v>617</v>
      </c>
      <c r="F616" s="21" t="s">
        <v>617</v>
      </c>
      <c r="G616" s="3" t="s">
        <v>102</v>
      </c>
      <c r="H616" s="3">
        <v>10</v>
      </c>
      <c r="I616" s="3" t="s">
        <v>1897</v>
      </c>
      <c r="J616" s="3"/>
      <c r="K616" s="3">
        <v>2</v>
      </c>
      <c r="L616" s="23">
        <v>9</v>
      </c>
      <c r="M616" s="23">
        <v>9</v>
      </c>
      <c r="N616" s="24" t="s">
        <v>596</v>
      </c>
      <c r="O616" s="31"/>
      <c r="P616" s="34">
        <v>45</v>
      </c>
      <c r="Q616" s="31"/>
      <c r="R616" s="31"/>
      <c r="S616" s="23"/>
      <c r="T616" s="31">
        <v>90</v>
      </c>
      <c r="U616" s="31"/>
      <c r="V616" s="38">
        <v>1</v>
      </c>
      <c r="W616" s="37"/>
      <c r="X616" s="29">
        <v>3</v>
      </c>
      <c r="Y616" s="3" t="s">
        <v>42</v>
      </c>
      <c r="Z616" s="2"/>
      <c r="AA616" s="1"/>
    </row>
    <row r="617" spans="1:27" ht="23.1" customHeight="1" x14ac:dyDescent="0.25">
      <c r="A617" s="20" t="s">
        <v>748</v>
      </c>
      <c r="B617" s="3" t="s">
        <v>99</v>
      </c>
      <c r="C617" s="3">
        <v>59</v>
      </c>
      <c r="D617" s="3" t="s">
        <v>616</v>
      </c>
      <c r="E617" s="1" t="s">
        <v>617</v>
      </c>
      <c r="F617" s="21" t="s">
        <v>617</v>
      </c>
      <c r="G617" s="3" t="s">
        <v>102</v>
      </c>
      <c r="H617" s="3">
        <v>15</v>
      </c>
      <c r="I617" s="3" t="s">
        <v>2014</v>
      </c>
      <c r="J617" s="3"/>
      <c r="K617" s="3">
        <v>2</v>
      </c>
      <c r="L617" s="23">
        <v>9</v>
      </c>
      <c r="M617" s="23">
        <v>9</v>
      </c>
      <c r="N617" s="24" t="s">
        <v>596</v>
      </c>
      <c r="O617" s="31"/>
      <c r="P617" s="34">
        <v>40</v>
      </c>
      <c r="Q617" s="31"/>
      <c r="R617" s="31"/>
      <c r="S617" s="23"/>
      <c r="T617" s="31">
        <v>60</v>
      </c>
      <c r="U617" s="31"/>
      <c r="V617" s="38">
        <v>1</v>
      </c>
      <c r="W617" s="37">
        <v>2</v>
      </c>
      <c r="X617" s="29">
        <v>4.3</v>
      </c>
      <c r="Y617" s="3" t="s">
        <v>42</v>
      </c>
      <c r="Z617" s="2" t="s">
        <v>750</v>
      </c>
      <c r="AA617" s="1" t="s">
        <v>238</v>
      </c>
    </row>
    <row r="618" spans="1:27" ht="23.1" customHeight="1" x14ac:dyDescent="0.25">
      <c r="A618" s="20" t="s">
        <v>751</v>
      </c>
      <c r="B618" s="3" t="s">
        <v>99</v>
      </c>
      <c r="C618" s="3">
        <v>59</v>
      </c>
      <c r="D618" s="3" t="s">
        <v>616</v>
      </c>
      <c r="E618" s="1" t="s">
        <v>617</v>
      </c>
      <c r="F618" s="21" t="s">
        <v>617</v>
      </c>
      <c r="G618" s="3" t="s">
        <v>102</v>
      </c>
      <c r="H618" s="3">
        <v>20</v>
      </c>
      <c r="I618" s="3" t="s">
        <v>2013</v>
      </c>
      <c r="J618" s="3"/>
      <c r="K618" s="3">
        <v>2</v>
      </c>
      <c r="L618" s="23">
        <v>9</v>
      </c>
      <c r="M618" s="23">
        <v>9</v>
      </c>
      <c r="N618" s="24" t="s">
        <v>596</v>
      </c>
      <c r="O618" s="31"/>
      <c r="P618" s="34">
        <v>30</v>
      </c>
      <c r="Q618" s="31"/>
      <c r="R618" s="31"/>
      <c r="S618" s="23"/>
      <c r="T618" s="31">
        <v>90</v>
      </c>
      <c r="U618" s="31"/>
      <c r="V618" s="38">
        <v>1</v>
      </c>
      <c r="W618" s="37">
        <v>2</v>
      </c>
      <c r="X618" s="29">
        <v>4.5</v>
      </c>
      <c r="Y618" s="3" t="s">
        <v>42</v>
      </c>
      <c r="Z618" s="2" t="s">
        <v>752</v>
      </c>
      <c r="AA618" s="1" t="s">
        <v>238</v>
      </c>
    </row>
    <row r="619" spans="1:27" ht="23.1" customHeight="1" x14ac:dyDescent="0.25">
      <c r="A619" s="20" t="s">
        <v>751</v>
      </c>
      <c r="B619" s="3" t="s">
        <v>99</v>
      </c>
      <c r="C619" s="3">
        <v>59</v>
      </c>
      <c r="D619" s="3" t="s">
        <v>616</v>
      </c>
      <c r="E619" s="1" t="s">
        <v>617</v>
      </c>
      <c r="F619" s="21" t="s">
        <v>617</v>
      </c>
      <c r="G619" s="3" t="s">
        <v>102</v>
      </c>
      <c r="H619" s="3">
        <v>30</v>
      </c>
      <c r="I619" s="3" t="s">
        <v>1953</v>
      </c>
      <c r="J619" s="3"/>
      <c r="K619" s="3">
        <v>2</v>
      </c>
      <c r="L619" s="23">
        <v>9</v>
      </c>
      <c r="M619" s="23">
        <v>9</v>
      </c>
      <c r="N619" s="24" t="s">
        <v>596</v>
      </c>
      <c r="O619" s="31"/>
      <c r="P619" s="34">
        <v>45</v>
      </c>
      <c r="Q619" s="31"/>
      <c r="R619" s="31"/>
      <c r="S619" s="23"/>
      <c r="T619" s="31">
        <v>90</v>
      </c>
      <c r="U619" s="31"/>
      <c r="V619" s="38">
        <v>1</v>
      </c>
      <c r="W619" s="37">
        <v>2</v>
      </c>
      <c r="X619" s="29">
        <v>5</v>
      </c>
      <c r="Y619" s="3" t="s">
        <v>42</v>
      </c>
      <c r="Z619" s="2" t="s">
        <v>576</v>
      </c>
      <c r="AA619" s="1" t="s">
        <v>238</v>
      </c>
    </row>
    <row r="620" spans="1:27" ht="23.1" customHeight="1" x14ac:dyDescent="0.25">
      <c r="A620" s="20" t="s">
        <v>748</v>
      </c>
      <c r="B620" s="3" t="s">
        <v>99</v>
      </c>
      <c r="C620" s="3">
        <v>13</v>
      </c>
      <c r="D620" s="3" t="s">
        <v>654</v>
      </c>
      <c r="E620" s="1" t="s">
        <v>246</v>
      </c>
      <c r="F620" s="21" t="s">
        <v>246</v>
      </c>
      <c r="G620" s="3" t="s">
        <v>154</v>
      </c>
      <c r="H620" s="3">
        <v>25</v>
      </c>
      <c r="I620" s="3" t="s">
        <v>2037</v>
      </c>
      <c r="J620" s="3"/>
      <c r="K620" s="3">
        <v>2</v>
      </c>
      <c r="L620" s="23">
        <v>37</v>
      </c>
      <c r="M620" s="23">
        <v>37</v>
      </c>
      <c r="N620" s="24" t="s">
        <v>247</v>
      </c>
      <c r="O620" s="31"/>
      <c r="P620" s="34">
        <v>130</v>
      </c>
      <c r="Q620" s="31"/>
      <c r="R620" s="31"/>
      <c r="S620" s="23"/>
      <c r="T620" s="31">
        <v>60</v>
      </c>
      <c r="U620" s="31"/>
      <c r="V620" s="38">
        <v>1</v>
      </c>
      <c r="W620" s="37"/>
      <c r="X620" s="29">
        <v>5.3</v>
      </c>
      <c r="Y620" s="3" t="s">
        <v>72</v>
      </c>
      <c r="Z620" s="2" t="s">
        <v>92</v>
      </c>
      <c r="AA620" s="2"/>
    </row>
    <row r="621" spans="1:27" ht="23.1" customHeight="1" x14ac:dyDescent="0.25">
      <c r="A621" s="20" t="s">
        <v>748</v>
      </c>
      <c r="B621" s="3" t="s">
        <v>99</v>
      </c>
      <c r="C621" s="3">
        <v>16</v>
      </c>
      <c r="D621" s="3" t="s">
        <v>753</v>
      </c>
      <c r="E621" s="1" t="s">
        <v>409</v>
      </c>
      <c r="F621" s="21" t="s">
        <v>409</v>
      </c>
      <c r="G621" s="3" t="s">
        <v>102</v>
      </c>
      <c r="H621" s="3">
        <v>5</v>
      </c>
      <c r="I621" s="3" t="s">
        <v>1957</v>
      </c>
      <c r="J621" s="3"/>
      <c r="K621" s="3">
        <v>8</v>
      </c>
      <c r="L621" s="23">
        <v>31</v>
      </c>
      <c r="M621" s="23">
        <v>31</v>
      </c>
      <c r="N621" s="24" t="s">
        <v>596</v>
      </c>
      <c r="O621" s="31"/>
      <c r="P621" s="34">
        <v>45</v>
      </c>
      <c r="Q621" s="31"/>
      <c r="R621" s="31"/>
      <c r="S621" s="23"/>
      <c r="T621" s="31">
        <v>60</v>
      </c>
      <c r="U621" s="31"/>
      <c r="V621" s="38">
        <v>1</v>
      </c>
      <c r="W621" s="37"/>
      <c r="X621" s="29">
        <v>7</v>
      </c>
      <c r="Y621" s="3" t="s">
        <v>38</v>
      </c>
      <c r="Z621" s="2" t="s">
        <v>92</v>
      </c>
      <c r="AA621" s="2"/>
    </row>
    <row r="622" spans="1:27" ht="23.1" customHeight="1" x14ac:dyDescent="0.25">
      <c r="A622" s="20" t="s">
        <v>748</v>
      </c>
      <c r="B622" s="3" t="s">
        <v>99</v>
      </c>
      <c r="C622" s="3">
        <v>16</v>
      </c>
      <c r="D622" s="3" t="s">
        <v>753</v>
      </c>
      <c r="E622" s="1" t="s">
        <v>409</v>
      </c>
      <c r="F622" s="21" t="s">
        <v>409</v>
      </c>
      <c r="G622" s="3" t="s">
        <v>102</v>
      </c>
      <c r="H622" s="3">
        <v>10</v>
      </c>
      <c r="I622" s="3" t="s">
        <v>2038</v>
      </c>
      <c r="J622" s="3"/>
      <c r="K622" s="3">
        <v>1</v>
      </c>
      <c r="L622" s="23"/>
      <c r="M622" s="23">
        <v>28</v>
      </c>
      <c r="N622" s="24" t="s">
        <v>596</v>
      </c>
      <c r="O622" s="31"/>
      <c r="P622" s="34">
        <v>50</v>
      </c>
      <c r="Q622" s="31"/>
      <c r="R622" s="31"/>
      <c r="S622" s="23"/>
      <c r="T622" s="31">
        <v>90</v>
      </c>
      <c r="U622" s="31"/>
      <c r="V622" s="38">
        <v>1</v>
      </c>
      <c r="W622" s="37"/>
      <c r="X622" s="29">
        <v>2.2999999999999998</v>
      </c>
      <c r="Y622" s="3" t="s">
        <v>38</v>
      </c>
      <c r="Z622" s="2" t="s">
        <v>92</v>
      </c>
      <c r="AA622" s="2"/>
    </row>
    <row r="623" spans="1:27" ht="23.1" customHeight="1" x14ac:dyDescent="0.25">
      <c r="A623" s="20" t="s">
        <v>748</v>
      </c>
      <c r="B623" s="3" t="s">
        <v>110</v>
      </c>
      <c r="C623" s="3">
        <v>76</v>
      </c>
      <c r="D623" s="3" t="s">
        <v>280</v>
      </c>
      <c r="E623" s="1" t="s">
        <v>281</v>
      </c>
      <c r="F623" s="21" t="s">
        <v>281</v>
      </c>
      <c r="G623" s="3" t="s">
        <v>154</v>
      </c>
      <c r="H623" s="3">
        <v>15</v>
      </c>
      <c r="I623" s="3" t="s">
        <v>1926</v>
      </c>
      <c r="J623" s="3"/>
      <c r="K623" s="3">
        <v>5</v>
      </c>
      <c r="L623" s="23">
        <v>31</v>
      </c>
      <c r="M623" s="23">
        <v>31</v>
      </c>
      <c r="N623" s="24" t="s">
        <v>412</v>
      </c>
      <c r="O623" s="31"/>
      <c r="P623" s="34">
        <v>90</v>
      </c>
      <c r="Q623" s="31"/>
      <c r="R623" s="31"/>
      <c r="S623" s="23"/>
      <c r="T623" s="31">
        <v>90</v>
      </c>
      <c r="U623" s="31"/>
      <c r="V623" s="38"/>
      <c r="W623" s="37"/>
      <c r="X623" s="29">
        <v>7.5</v>
      </c>
      <c r="Y623" s="3" t="s">
        <v>46</v>
      </c>
      <c r="Z623" s="2" t="s">
        <v>754</v>
      </c>
      <c r="AA623" s="2"/>
    </row>
    <row r="624" spans="1:27" ht="23.1" customHeight="1" x14ac:dyDescent="0.25">
      <c r="A624" s="20" t="s">
        <v>748</v>
      </c>
      <c r="B624" s="3" t="s">
        <v>110</v>
      </c>
      <c r="C624" s="3">
        <v>9</v>
      </c>
      <c r="D624" s="3" t="s">
        <v>624</v>
      </c>
      <c r="E624" s="1" t="s">
        <v>625</v>
      </c>
      <c r="F624" s="21" t="s">
        <v>625</v>
      </c>
      <c r="G624" s="3" t="s">
        <v>300</v>
      </c>
      <c r="H624" s="3">
        <v>50</v>
      </c>
      <c r="I624" s="3" t="s">
        <v>2039</v>
      </c>
      <c r="J624" s="3">
        <v>2</v>
      </c>
      <c r="K624" s="3">
        <v>14</v>
      </c>
      <c r="L624" s="23">
        <v>28</v>
      </c>
      <c r="M624" s="23">
        <v>28</v>
      </c>
      <c r="N624" s="24" t="s">
        <v>567</v>
      </c>
      <c r="O624" s="31"/>
      <c r="P624" s="34">
        <v>65</v>
      </c>
      <c r="Q624" s="31"/>
      <c r="R624" s="31"/>
      <c r="S624" s="23"/>
      <c r="T624" s="31">
        <v>60</v>
      </c>
      <c r="U624" s="31"/>
      <c r="V624" s="38"/>
      <c r="W624" s="37"/>
      <c r="X624" s="29">
        <v>15.2</v>
      </c>
      <c r="Y624" s="3" t="s">
        <v>55</v>
      </c>
      <c r="Z624" s="2"/>
      <c r="AA624" s="2"/>
    </row>
    <row r="625" spans="1:27" ht="23.1" customHeight="1" x14ac:dyDescent="0.25">
      <c r="A625" s="20" t="s">
        <v>748</v>
      </c>
      <c r="B625" s="3" t="s">
        <v>110</v>
      </c>
      <c r="C625" s="3">
        <v>10</v>
      </c>
      <c r="D625" s="3" t="s">
        <v>517</v>
      </c>
      <c r="E625" s="1" t="s">
        <v>518</v>
      </c>
      <c r="F625" s="21" t="s">
        <v>518</v>
      </c>
      <c r="G625" s="3" t="s">
        <v>300</v>
      </c>
      <c r="H625" s="3">
        <v>30</v>
      </c>
      <c r="I625" s="3" t="s">
        <v>2040</v>
      </c>
      <c r="J625" s="3">
        <v>2</v>
      </c>
      <c r="K625" s="3">
        <v>3.5</v>
      </c>
      <c r="L625" s="23">
        <v>28</v>
      </c>
      <c r="M625" s="23">
        <v>28</v>
      </c>
      <c r="N625" s="24" t="s">
        <v>755</v>
      </c>
      <c r="O625" s="31"/>
      <c r="P625" s="34">
        <v>270</v>
      </c>
      <c r="Q625" s="31"/>
      <c r="R625" s="31"/>
      <c r="S625" s="23"/>
      <c r="T625" s="31">
        <v>90</v>
      </c>
      <c r="U625" s="31"/>
      <c r="V625" s="38"/>
      <c r="W625" s="37"/>
      <c r="X625" s="29">
        <v>15.8</v>
      </c>
      <c r="Y625" s="3" t="s">
        <v>55</v>
      </c>
      <c r="Z625" s="2"/>
      <c r="AA625" s="2"/>
    </row>
    <row r="626" spans="1:27" ht="23.1" customHeight="1" x14ac:dyDescent="0.25">
      <c r="A626" s="20" t="s">
        <v>748</v>
      </c>
      <c r="B626" s="3" t="s">
        <v>110</v>
      </c>
      <c r="C626" s="3">
        <v>15</v>
      </c>
      <c r="D626" s="3" t="s">
        <v>592</v>
      </c>
      <c r="E626" s="1" t="s">
        <v>218</v>
      </c>
      <c r="F626" s="21" t="s">
        <v>218</v>
      </c>
      <c r="G626" s="3" t="s">
        <v>107</v>
      </c>
      <c r="H626" s="3">
        <v>25</v>
      </c>
      <c r="I626" s="3" t="s">
        <v>1914</v>
      </c>
      <c r="J626" s="3">
        <v>4</v>
      </c>
      <c r="K626" s="3">
        <v>3</v>
      </c>
      <c r="L626" s="23">
        <v>28</v>
      </c>
      <c r="M626" s="23">
        <v>28</v>
      </c>
      <c r="N626" s="24" t="s">
        <v>456</v>
      </c>
      <c r="O626" s="31"/>
      <c r="P626" s="34">
        <v>210</v>
      </c>
      <c r="Q626" s="31"/>
      <c r="R626" s="31"/>
      <c r="S626" s="23"/>
      <c r="T626" s="31">
        <v>60</v>
      </c>
      <c r="U626" s="31"/>
      <c r="V626" s="38"/>
      <c r="W626" s="37"/>
      <c r="X626" s="29">
        <v>10.5</v>
      </c>
      <c r="Y626" s="3" t="s">
        <v>31</v>
      </c>
      <c r="Z626" s="2"/>
      <c r="AA626" s="2"/>
    </row>
    <row r="627" spans="1:27" ht="23.1" customHeight="1" x14ac:dyDescent="0.25">
      <c r="A627" s="20" t="s">
        <v>748</v>
      </c>
      <c r="B627" s="3" t="s">
        <v>110</v>
      </c>
      <c r="C627" s="3">
        <v>15</v>
      </c>
      <c r="D627" s="3" t="s">
        <v>592</v>
      </c>
      <c r="E627" s="1" t="s">
        <v>218</v>
      </c>
      <c r="F627" s="21" t="s">
        <v>218</v>
      </c>
      <c r="G627" s="3" t="s">
        <v>118</v>
      </c>
      <c r="H627" s="3">
        <v>25</v>
      </c>
      <c r="I627" s="3" t="s">
        <v>1914</v>
      </c>
      <c r="J627" s="3"/>
      <c r="K627" s="3">
        <v>1</v>
      </c>
      <c r="L627" s="23"/>
      <c r="M627" s="23">
        <v>28</v>
      </c>
      <c r="N627" s="24" t="s">
        <v>247</v>
      </c>
      <c r="O627" s="31"/>
      <c r="P627" s="34">
        <v>210</v>
      </c>
      <c r="Q627" s="31"/>
      <c r="R627" s="31"/>
      <c r="S627" s="23"/>
      <c r="T627" s="31">
        <v>60</v>
      </c>
      <c r="U627" s="31"/>
      <c r="V627" s="38"/>
      <c r="W627" s="37"/>
      <c r="X627" s="29">
        <v>3.5</v>
      </c>
      <c r="Y627" s="3" t="s">
        <v>31</v>
      </c>
      <c r="Z627" s="2"/>
      <c r="AA627" s="2"/>
    </row>
    <row r="628" spans="1:27" ht="23.1" customHeight="1" x14ac:dyDescent="0.25">
      <c r="A628" s="20" t="s">
        <v>748</v>
      </c>
      <c r="B628" s="3" t="s">
        <v>110</v>
      </c>
      <c r="C628" s="3">
        <v>14</v>
      </c>
      <c r="D628" s="3" t="s">
        <v>276</v>
      </c>
      <c r="E628" s="1" t="s">
        <v>277</v>
      </c>
      <c r="F628" s="21" t="s">
        <v>277</v>
      </c>
      <c r="G628" s="3" t="s">
        <v>154</v>
      </c>
      <c r="H628" s="3">
        <v>75</v>
      </c>
      <c r="I628" s="3" t="s">
        <v>2041</v>
      </c>
      <c r="J628" s="3"/>
      <c r="K628" s="3">
        <v>1</v>
      </c>
      <c r="L628" s="23">
        <v>19</v>
      </c>
      <c r="M628" s="23"/>
      <c r="N628" s="24" t="s">
        <v>234</v>
      </c>
      <c r="O628" s="31"/>
      <c r="P628" s="34">
        <v>300</v>
      </c>
      <c r="Q628" s="31"/>
      <c r="R628" s="31"/>
      <c r="S628" s="23"/>
      <c r="T628" s="31">
        <v>120</v>
      </c>
      <c r="U628" s="31"/>
      <c r="V628" s="38"/>
      <c r="W628" s="37"/>
      <c r="X628" s="29">
        <v>5</v>
      </c>
      <c r="Y628" s="3" t="s">
        <v>31</v>
      </c>
      <c r="Z628" s="2"/>
      <c r="AA628" s="2"/>
    </row>
    <row r="629" spans="1:27" ht="23.1" customHeight="1" x14ac:dyDescent="0.25">
      <c r="A629" s="20" t="s">
        <v>748</v>
      </c>
      <c r="B629" s="3" t="s">
        <v>110</v>
      </c>
      <c r="C629" s="3">
        <v>14</v>
      </c>
      <c r="D629" s="3" t="s">
        <v>235</v>
      </c>
      <c r="E629" s="1" t="s">
        <v>236</v>
      </c>
      <c r="F629" s="21" t="s">
        <v>236</v>
      </c>
      <c r="G629" s="3" t="s">
        <v>154</v>
      </c>
      <c r="H629" s="3">
        <v>75</v>
      </c>
      <c r="I629" s="3" t="s">
        <v>2041</v>
      </c>
      <c r="J629" s="3"/>
      <c r="K629" s="3">
        <v>1</v>
      </c>
      <c r="L629" s="23">
        <v>19</v>
      </c>
      <c r="M629" s="23"/>
      <c r="N629" s="24" t="s">
        <v>159</v>
      </c>
      <c r="O629" s="31"/>
      <c r="P629" s="34">
        <v>300</v>
      </c>
      <c r="Q629" s="31"/>
      <c r="R629" s="31"/>
      <c r="S629" s="23"/>
      <c r="T629" s="31">
        <v>120</v>
      </c>
      <c r="U629" s="31"/>
      <c r="V629" s="38"/>
      <c r="W629" s="37"/>
      <c r="X629" s="29">
        <v>5</v>
      </c>
      <c r="Y629" s="3" t="s">
        <v>31</v>
      </c>
      <c r="Z629" s="2"/>
      <c r="AA629" s="2"/>
    </row>
    <row r="630" spans="1:27" ht="23.1" customHeight="1" x14ac:dyDescent="0.25">
      <c r="A630" s="20" t="s">
        <v>748</v>
      </c>
      <c r="B630" s="3" t="s">
        <v>110</v>
      </c>
      <c r="C630" s="3">
        <v>58</v>
      </c>
      <c r="D630" s="3" t="s">
        <v>695</v>
      </c>
      <c r="E630" s="1" t="s">
        <v>696</v>
      </c>
      <c r="F630" s="21" t="s">
        <v>696</v>
      </c>
      <c r="G630" s="3" t="s">
        <v>107</v>
      </c>
      <c r="H630" s="3">
        <v>55</v>
      </c>
      <c r="I630" s="35" t="s">
        <v>2036</v>
      </c>
      <c r="J630" s="3">
        <v>5</v>
      </c>
      <c r="K630" s="3">
        <v>8</v>
      </c>
      <c r="L630" s="23">
        <v>9</v>
      </c>
      <c r="M630" s="23">
        <v>31</v>
      </c>
      <c r="N630" s="24" t="s">
        <v>724</v>
      </c>
      <c r="O630" s="31"/>
      <c r="P630" s="34">
        <v>80</v>
      </c>
      <c r="Q630" s="31"/>
      <c r="R630" s="31"/>
      <c r="S630" s="23"/>
      <c r="T630" s="31">
        <v>90</v>
      </c>
      <c r="U630" s="31"/>
      <c r="V630" s="38"/>
      <c r="W630" s="37"/>
      <c r="X630" s="29">
        <v>10.7</v>
      </c>
      <c r="Y630" s="3" t="s">
        <v>0</v>
      </c>
      <c r="Z630" s="2"/>
      <c r="AA630" s="2"/>
    </row>
    <row r="631" spans="1:27" ht="23.1" customHeight="1" x14ac:dyDescent="0.25">
      <c r="A631" s="20" t="s">
        <v>748</v>
      </c>
      <c r="B631" s="3" t="s">
        <v>110</v>
      </c>
      <c r="C631" s="3">
        <v>57</v>
      </c>
      <c r="D631" s="3" t="s">
        <v>698</v>
      </c>
      <c r="E631" s="1" t="s">
        <v>699</v>
      </c>
      <c r="F631" s="21" t="e">
        <v>#N/A</v>
      </c>
      <c r="G631" s="7" t="s">
        <v>123</v>
      </c>
      <c r="H631" s="3">
        <v>15</v>
      </c>
      <c r="I631" s="3" t="s">
        <v>2042</v>
      </c>
      <c r="J631" s="3">
        <v>1</v>
      </c>
      <c r="K631" s="3">
        <v>3</v>
      </c>
      <c r="L631" s="23">
        <v>31</v>
      </c>
      <c r="M631" s="23">
        <v>31</v>
      </c>
      <c r="N631" s="24" t="s">
        <v>219</v>
      </c>
      <c r="O631" s="31"/>
      <c r="P631" s="34">
        <v>130</v>
      </c>
      <c r="Q631" s="31"/>
      <c r="R631" s="31"/>
      <c r="S631" s="23"/>
      <c r="T631" s="31">
        <v>60</v>
      </c>
      <c r="U631" s="31"/>
      <c r="V631" s="38">
        <v>0</v>
      </c>
      <c r="W631" s="37">
        <v>3</v>
      </c>
      <c r="X631" s="29">
        <v>9.5</v>
      </c>
      <c r="Y631" s="3" t="s">
        <v>0</v>
      </c>
      <c r="Z631" s="2" t="s">
        <v>461</v>
      </c>
      <c r="AA631" s="1" t="s">
        <v>238</v>
      </c>
    </row>
    <row r="632" spans="1:27" ht="23.1" customHeight="1" x14ac:dyDescent="0.25">
      <c r="A632" s="20" t="s">
        <v>748</v>
      </c>
      <c r="B632" s="3" t="s">
        <v>110</v>
      </c>
      <c r="C632" s="3">
        <v>56</v>
      </c>
      <c r="D632" s="3" t="s">
        <v>676</v>
      </c>
      <c r="E632" s="1" t="s">
        <v>595</v>
      </c>
      <c r="F632" s="21" t="s">
        <v>595</v>
      </c>
      <c r="G632" s="3" t="s">
        <v>154</v>
      </c>
      <c r="H632" s="3">
        <v>15</v>
      </c>
      <c r="I632" s="3" t="s">
        <v>2043</v>
      </c>
      <c r="J632" s="3">
        <v>3</v>
      </c>
      <c r="K632" s="3">
        <v>2</v>
      </c>
      <c r="L632" s="23">
        <v>28</v>
      </c>
      <c r="M632" s="23">
        <v>28</v>
      </c>
      <c r="N632" s="24" t="s">
        <v>756</v>
      </c>
      <c r="O632" s="31"/>
      <c r="P632" s="34">
        <v>250</v>
      </c>
      <c r="Q632" s="31"/>
      <c r="R632" s="31"/>
      <c r="S632" s="23"/>
      <c r="T632" s="31">
        <v>60</v>
      </c>
      <c r="U632" s="31"/>
      <c r="V632" s="38">
        <v>1</v>
      </c>
      <c r="W632" s="37">
        <v>3</v>
      </c>
      <c r="X632" s="29">
        <v>12.3</v>
      </c>
      <c r="Y632" s="3" t="s">
        <v>44</v>
      </c>
      <c r="Z632" s="2" t="s">
        <v>757</v>
      </c>
      <c r="AA632" s="1" t="s">
        <v>238</v>
      </c>
    </row>
    <row r="633" spans="1:27" ht="23.1" customHeight="1" x14ac:dyDescent="0.25">
      <c r="A633" s="20" t="s">
        <v>748</v>
      </c>
      <c r="B633" s="3" t="s">
        <v>110</v>
      </c>
      <c r="C633" s="3">
        <v>77</v>
      </c>
      <c r="D633" s="3" t="s">
        <v>211</v>
      </c>
      <c r="E633" s="1" t="s">
        <v>212</v>
      </c>
      <c r="F633" s="21" t="s">
        <v>212</v>
      </c>
      <c r="G633" s="3" t="s">
        <v>123</v>
      </c>
      <c r="H633" s="3">
        <v>20</v>
      </c>
      <c r="I633" s="3" t="s">
        <v>2034</v>
      </c>
      <c r="J633" s="3">
        <v>30</v>
      </c>
      <c r="K633" s="3">
        <v>30</v>
      </c>
      <c r="L633" s="23">
        <v>37</v>
      </c>
      <c r="M633" s="23">
        <v>37</v>
      </c>
      <c r="N633" s="24" t="s">
        <v>213</v>
      </c>
      <c r="O633" s="31"/>
      <c r="P633" s="34">
        <v>30</v>
      </c>
      <c r="Q633" s="31"/>
      <c r="R633" s="31"/>
      <c r="S633" s="23"/>
      <c r="T633" s="31">
        <v>60</v>
      </c>
      <c r="U633" s="31"/>
      <c r="V633" s="38"/>
      <c r="W633" s="37"/>
      <c r="X633" s="29">
        <v>15</v>
      </c>
      <c r="Y633" s="3" t="s">
        <v>15</v>
      </c>
      <c r="Z633" s="2"/>
      <c r="AA633" s="2"/>
    </row>
    <row r="634" spans="1:27" ht="23.1" customHeight="1" x14ac:dyDescent="0.25">
      <c r="A634" s="20" t="s">
        <v>748</v>
      </c>
      <c r="B634" s="3" t="s">
        <v>110</v>
      </c>
      <c r="C634" s="3">
        <v>24</v>
      </c>
      <c r="D634" s="3" t="s">
        <v>738</v>
      </c>
      <c r="E634" s="1" t="s">
        <v>739</v>
      </c>
      <c r="F634" s="21" t="s">
        <v>739</v>
      </c>
      <c r="G634" s="3" t="s">
        <v>107</v>
      </c>
      <c r="H634" s="3">
        <v>25</v>
      </c>
      <c r="I634" s="3" t="s">
        <v>2035</v>
      </c>
      <c r="J634" s="3">
        <v>1</v>
      </c>
      <c r="K634" s="3">
        <v>1</v>
      </c>
      <c r="L634" s="23">
        <v>28</v>
      </c>
      <c r="M634" s="23">
        <v>37</v>
      </c>
      <c r="N634" s="24" t="s">
        <v>661</v>
      </c>
      <c r="O634" s="31"/>
      <c r="P634" s="34">
        <v>840</v>
      </c>
      <c r="Q634" s="31">
        <v>120</v>
      </c>
      <c r="R634" s="31"/>
      <c r="S634" s="23">
        <v>1</v>
      </c>
      <c r="T634" s="31">
        <v>150</v>
      </c>
      <c r="U634" s="31"/>
      <c r="V634" s="38"/>
      <c r="W634" s="37"/>
      <c r="X634" s="29">
        <v>16</v>
      </c>
      <c r="Y634" s="3" t="s">
        <v>3</v>
      </c>
      <c r="Z634" s="2" t="s">
        <v>145</v>
      </c>
      <c r="AA634" s="2"/>
    </row>
    <row r="635" spans="1:27" ht="23.1" customHeight="1" x14ac:dyDescent="0.25">
      <c r="A635" s="20" t="s">
        <v>748</v>
      </c>
      <c r="B635" s="3" t="s">
        <v>110</v>
      </c>
      <c r="C635" s="3">
        <v>69</v>
      </c>
      <c r="D635" s="3" t="s">
        <v>742</v>
      </c>
      <c r="E635" s="1" t="s">
        <v>663</v>
      </c>
      <c r="F635" s="21" t="s">
        <v>663</v>
      </c>
      <c r="G635" s="3" t="s">
        <v>250</v>
      </c>
      <c r="H635" s="3">
        <v>55</v>
      </c>
      <c r="I635" s="3" t="s">
        <v>2010</v>
      </c>
      <c r="J635" s="3">
        <v>5</v>
      </c>
      <c r="K635" s="3">
        <v>3</v>
      </c>
      <c r="L635" s="23">
        <v>28</v>
      </c>
      <c r="M635" s="23">
        <v>28</v>
      </c>
      <c r="N635" s="24" t="s">
        <v>456</v>
      </c>
      <c r="O635" s="31"/>
      <c r="P635" s="34">
        <v>450</v>
      </c>
      <c r="Q635" s="31">
        <v>90</v>
      </c>
      <c r="R635" s="31"/>
      <c r="S635" s="23">
        <v>3</v>
      </c>
      <c r="T635" s="31">
        <v>180</v>
      </c>
      <c r="U635" s="31"/>
      <c r="V635" s="38"/>
      <c r="W635" s="37"/>
      <c r="X635" s="29">
        <v>27</v>
      </c>
      <c r="Y635" s="3" t="s">
        <v>3</v>
      </c>
      <c r="Z635" s="2" t="s">
        <v>758</v>
      </c>
      <c r="AA635" s="2"/>
    </row>
    <row r="636" spans="1:27" ht="23.1" customHeight="1" x14ac:dyDescent="0.25">
      <c r="A636" s="20" t="s">
        <v>748</v>
      </c>
      <c r="B636" s="3" t="s">
        <v>110</v>
      </c>
      <c r="C636" s="3">
        <v>91</v>
      </c>
      <c r="D636" s="3" t="s">
        <v>759</v>
      </c>
      <c r="E636" s="1" t="s">
        <v>760</v>
      </c>
      <c r="F636" s="21" t="s">
        <v>760</v>
      </c>
      <c r="G636" s="3" t="s">
        <v>300</v>
      </c>
      <c r="H636" s="3">
        <v>35</v>
      </c>
      <c r="I636" s="3" t="s">
        <v>2434</v>
      </c>
      <c r="J636" s="3">
        <v>2</v>
      </c>
      <c r="K636" s="3">
        <v>6</v>
      </c>
      <c r="L636" s="23">
        <v>28</v>
      </c>
      <c r="M636" s="23">
        <v>31</v>
      </c>
      <c r="N636" s="24" t="s">
        <v>219</v>
      </c>
      <c r="O636" s="31"/>
      <c r="P636" s="34">
        <v>180</v>
      </c>
      <c r="Q636" s="31">
        <v>75</v>
      </c>
      <c r="R636" s="31"/>
      <c r="S636" s="23">
        <v>6</v>
      </c>
      <c r="T636" s="31">
        <v>210</v>
      </c>
      <c r="U636" s="31"/>
      <c r="V636" s="38">
        <v>1</v>
      </c>
      <c r="W636" s="37">
        <v>3</v>
      </c>
      <c r="X636" s="29">
        <v>32</v>
      </c>
      <c r="Y636" s="3" t="s">
        <v>3</v>
      </c>
      <c r="Z636" s="2" t="s">
        <v>761</v>
      </c>
      <c r="AA636" s="2"/>
    </row>
    <row r="637" spans="1:27" ht="23.1" customHeight="1" x14ac:dyDescent="0.25">
      <c r="A637" s="20" t="s">
        <v>748</v>
      </c>
      <c r="B637" s="3" t="s">
        <v>110</v>
      </c>
      <c r="C637" s="3">
        <v>84</v>
      </c>
      <c r="D637" s="3" t="s">
        <v>449</v>
      </c>
      <c r="E637" s="1" t="s">
        <v>317</v>
      </c>
      <c r="F637" s="21" t="s">
        <v>317</v>
      </c>
      <c r="G637" s="3" t="s">
        <v>154</v>
      </c>
      <c r="H637" s="3">
        <v>30</v>
      </c>
      <c r="I637" s="3" t="s">
        <v>2026</v>
      </c>
      <c r="J637" s="3">
        <v>0.8</v>
      </c>
      <c r="K637" s="3">
        <v>0.2</v>
      </c>
      <c r="L637" s="23">
        <v>28</v>
      </c>
      <c r="M637" s="23"/>
      <c r="N637" s="24" t="s">
        <v>234</v>
      </c>
      <c r="O637" s="31"/>
      <c r="P637" s="34">
        <v>660</v>
      </c>
      <c r="Q637" s="31">
        <v>60</v>
      </c>
      <c r="R637" s="31"/>
      <c r="S637" s="23"/>
      <c r="T637" s="31">
        <v>120</v>
      </c>
      <c r="U637" s="31"/>
      <c r="V637" s="38"/>
      <c r="W637" s="37">
        <v>3</v>
      </c>
      <c r="X637" s="29">
        <v>5.2</v>
      </c>
      <c r="Y637" s="3" t="s">
        <v>3</v>
      </c>
      <c r="Z637" s="2" t="s">
        <v>623</v>
      </c>
      <c r="AA637" s="2"/>
    </row>
    <row r="638" spans="1:27" ht="23.1" customHeight="1" x14ac:dyDescent="0.25">
      <c r="A638" s="20" t="s">
        <v>748</v>
      </c>
      <c r="B638" s="3" t="s">
        <v>110</v>
      </c>
      <c r="C638" s="3">
        <v>84</v>
      </c>
      <c r="D638" s="3" t="s">
        <v>449</v>
      </c>
      <c r="E638" s="1" t="s">
        <v>317</v>
      </c>
      <c r="F638" s="21" t="s">
        <v>317</v>
      </c>
      <c r="G638" s="3" t="s">
        <v>154</v>
      </c>
      <c r="H638" s="3">
        <v>25</v>
      </c>
      <c r="I638" s="3" t="s">
        <v>1976</v>
      </c>
      <c r="J638" s="3">
        <v>0.4</v>
      </c>
      <c r="K638" s="3">
        <v>1</v>
      </c>
      <c r="L638" s="23"/>
      <c r="M638" s="23">
        <v>28</v>
      </c>
      <c r="N638" s="24" t="s">
        <v>234</v>
      </c>
      <c r="O638" s="31"/>
      <c r="P638" s="34">
        <v>360</v>
      </c>
      <c r="Q638" s="31"/>
      <c r="R638" s="31"/>
      <c r="S638" s="23"/>
      <c r="T638" s="31">
        <v>60</v>
      </c>
      <c r="U638" s="31"/>
      <c r="V638" s="38">
        <v>1</v>
      </c>
      <c r="W638" s="37"/>
      <c r="X638" s="29">
        <v>7</v>
      </c>
      <c r="Y638" s="3" t="s">
        <v>3</v>
      </c>
      <c r="Z638" s="2" t="s">
        <v>488</v>
      </c>
      <c r="AA638" s="2"/>
    </row>
    <row r="639" spans="1:27" ht="23.1" customHeight="1" x14ac:dyDescent="0.25">
      <c r="A639" s="20" t="s">
        <v>748</v>
      </c>
      <c r="B639" s="3" t="s">
        <v>110</v>
      </c>
      <c r="C639" s="3">
        <v>119</v>
      </c>
      <c r="D639" s="3" t="s">
        <v>288</v>
      </c>
      <c r="E639" s="1" t="s">
        <v>255</v>
      </c>
      <c r="F639" s="21" t="s">
        <v>1532</v>
      </c>
      <c r="G639" s="3" t="s">
        <v>250</v>
      </c>
      <c r="H639" s="3">
        <v>50</v>
      </c>
      <c r="I639" s="3" t="s">
        <v>2021</v>
      </c>
      <c r="J639" s="3">
        <v>0.3</v>
      </c>
      <c r="K639" s="3">
        <v>0.3</v>
      </c>
      <c r="L639" s="23"/>
      <c r="M639" s="23">
        <v>5</v>
      </c>
      <c r="N639" s="24" t="s">
        <v>476</v>
      </c>
      <c r="O639" s="31"/>
      <c r="P639" s="34">
        <v>3000</v>
      </c>
      <c r="Q639" s="31">
        <v>90</v>
      </c>
      <c r="R639" s="31"/>
      <c r="S639" s="23"/>
      <c r="T639" s="31">
        <v>150</v>
      </c>
      <c r="U639" s="31"/>
      <c r="V639" s="38"/>
      <c r="W639" s="37"/>
      <c r="X639" s="29">
        <v>15</v>
      </c>
      <c r="Y639" s="3" t="s">
        <v>3</v>
      </c>
      <c r="Z639" s="2"/>
      <c r="AA639" s="2"/>
    </row>
    <row r="640" spans="1:27" ht="23.1" customHeight="1" x14ac:dyDescent="0.25">
      <c r="A640" s="20" t="s">
        <v>748</v>
      </c>
      <c r="B640" s="3" t="s">
        <v>110</v>
      </c>
      <c r="C640" s="3">
        <v>22</v>
      </c>
      <c r="D640" s="3" t="s">
        <v>611</v>
      </c>
      <c r="E640" s="1" t="s">
        <v>612</v>
      </c>
      <c r="F640" s="21" t="s">
        <v>612</v>
      </c>
      <c r="G640" s="3" t="s">
        <v>102</v>
      </c>
      <c r="H640" s="3">
        <v>45</v>
      </c>
      <c r="I640" s="3" t="s">
        <v>2015</v>
      </c>
      <c r="J640" s="3">
        <v>0.3</v>
      </c>
      <c r="K640" s="3">
        <v>0.2</v>
      </c>
      <c r="L640" s="23">
        <v>37</v>
      </c>
      <c r="M640" s="23">
        <v>37</v>
      </c>
      <c r="N640" s="24" t="s">
        <v>613</v>
      </c>
      <c r="O640" s="31"/>
      <c r="P640" s="34">
        <v>6000</v>
      </c>
      <c r="Q640" s="31">
        <v>180</v>
      </c>
      <c r="R640" s="31"/>
      <c r="S640" s="23"/>
      <c r="T640" s="31">
        <v>180</v>
      </c>
      <c r="U640" s="31"/>
      <c r="V640" s="38"/>
      <c r="W640" s="37"/>
      <c r="X640" s="29">
        <v>20</v>
      </c>
      <c r="Y640" s="3" t="s">
        <v>58</v>
      </c>
      <c r="Z640" s="2"/>
      <c r="AA640" s="2"/>
    </row>
    <row r="641" spans="1:27" ht="23.1" customHeight="1" x14ac:dyDescent="0.25">
      <c r="A641" s="20" t="s">
        <v>748</v>
      </c>
      <c r="B641" s="3" t="s">
        <v>110</v>
      </c>
      <c r="C641" s="3">
        <v>23</v>
      </c>
      <c r="D641" s="3" t="s">
        <v>717</v>
      </c>
      <c r="E641" s="1" t="s">
        <v>718</v>
      </c>
      <c r="F641" s="21" t="s">
        <v>718</v>
      </c>
      <c r="G641" s="3" t="s">
        <v>118</v>
      </c>
      <c r="H641" s="3">
        <v>45</v>
      </c>
      <c r="I641" s="3" t="s">
        <v>2028</v>
      </c>
      <c r="J641" s="3">
        <v>0.5</v>
      </c>
      <c r="K641" s="3">
        <v>0.5</v>
      </c>
      <c r="L641" s="23"/>
      <c r="M641" s="23">
        <v>28</v>
      </c>
      <c r="N641" s="24" t="s">
        <v>762</v>
      </c>
      <c r="O641" s="31"/>
      <c r="P641" s="34">
        <v>1080</v>
      </c>
      <c r="Q641" s="31">
        <v>90</v>
      </c>
      <c r="R641" s="31"/>
      <c r="S641" s="23">
        <v>1</v>
      </c>
      <c r="T641" s="31">
        <v>120</v>
      </c>
      <c r="U641" s="31"/>
      <c r="V641" s="38"/>
      <c r="W641" s="37"/>
      <c r="X641" s="29">
        <v>10.5</v>
      </c>
      <c r="Y641" s="3" t="s">
        <v>22</v>
      </c>
      <c r="Z641" s="2" t="s">
        <v>145</v>
      </c>
      <c r="AA641" s="2"/>
    </row>
    <row r="642" spans="1:27" ht="23.1" customHeight="1" x14ac:dyDescent="0.25">
      <c r="A642" s="20" t="s">
        <v>748</v>
      </c>
      <c r="B642" s="3" t="s">
        <v>110</v>
      </c>
      <c r="C642" s="3">
        <v>23</v>
      </c>
      <c r="D642" s="3" t="s">
        <v>717</v>
      </c>
      <c r="E642" s="1" t="s">
        <v>718</v>
      </c>
      <c r="F642" s="21" t="s">
        <v>718</v>
      </c>
      <c r="G642" s="3" t="s">
        <v>118</v>
      </c>
      <c r="H642" s="3">
        <v>48</v>
      </c>
      <c r="I642" s="3"/>
      <c r="J642" s="3">
        <v>1</v>
      </c>
      <c r="K642" s="3">
        <v>1</v>
      </c>
      <c r="L642" s="23"/>
      <c r="M642" s="23">
        <v>28</v>
      </c>
      <c r="N642" s="24" t="s">
        <v>719</v>
      </c>
      <c r="O642" s="31">
        <v>40</v>
      </c>
      <c r="P642" s="34"/>
      <c r="Q642" s="31"/>
      <c r="R642" s="31">
        <v>90</v>
      </c>
      <c r="S642" s="23">
        <v>1</v>
      </c>
      <c r="T642" s="31"/>
      <c r="U642" s="31">
        <v>120</v>
      </c>
      <c r="V642" s="38">
        <v>1</v>
      </c>
      <c r="W642" s="37">
        <v>1.5</v>
      </c>
      <c r="X642" s="32">
        <v>5.7</v>
      </c>
      <c r="Y642" s="3" t="s">
        <v>22</v>
      </c>
      <c r="Z642" s="2" t="s">
        <v>763</v>
      </c>
      <c r="AA642" s="2"/>
    </row>
    <row r="643" spans="1:27" ht="23.1" customHeight="1" x14ac:dyDescent="0.25">
      <c r="A643" s="20" t="s">
        <v>748</v>
      </c>
      <c r="B643" s="3" t="s">
        <v>110</v>
      </c>
      <c r="C643" s="3">
        <v>47</v>
      </c>
      <c r="D643" s="3" t="s">
        <v>332</v>
      </c>
      <c r="E643" s="1" t="s">
        <v>333</v>
      </c>
      <c r="F643" s="21" t="s">
        <v>2548</v>
      </c>
      <c r="G643" s="3" t="s">
        <v>334</v>
      </c>
      <c r="H643" s="3">
        <v>25</v>
      </c>
      <c r="I643" s="3" t="s">
        <v>2018</v>
      </c>
      <c r="J643" s="3">
        <v>1</v>
      </c>
      <c r="K643" s="3">
        <v>1</v>
      </c>
      <c r="L643" s="23">
        <v>28</v>
      </c>
      <c r="M643" s="23">
        <v>37</v>
      </c>
      <c r="N643" s="24" t="s">
        <v>764</v>
      </c>
      <c r="O643" s="31"/>
      <c r="P643" s="34">
        <v>630</v>
      </c>
      <c r="Q643" s="31">
        <v>90</v>
      </c>
      <c r="R643" s="31"/>
      <c r="S643" s="23">
        <v>1</v>
      </c>
      <c r="T643" s="31">
        <v>120</v>
      </c>
      <c r="U643" s="31"/>
      <c r="V643" s="38"/>
      <c r="W643" s="37"/>
      <c r="X643" s="29">
        <v>12</v>
      </c>
      <c r="Y643" s="3" t="s">
        <v>22</v>
      </c>
      <c r="Z643" s="2" t="s">
        <v>145</v>
      </c>
      <c r="AA643" s="2"/>
    </row>
    <row r="644" spans="1:27" ht="23.1" customHeight="1" x14ac:dyDescent="0.25">
      <c r="A644" s="20" t="s">
        <v>748</v>
      </c>
      <c r="B644" s="3" t="s">
        <v>110</v>
      </c>
      <c r="C644" s="3">
        <v>78</v>
      </c>
      <c r="D644" s="3" t="s">
        <v>177</v>
      </c>
      <c r="E644" s="1" t="s">
        <v>133</v>
      </c>
      <c r="F644" s="21" t="s">
        <v>133</v>
      </c>
      <c r="G644" s="3" t="s">
        <v>102</v>
      </c>
      <c r="H644" s="3">
        <v>15</v>
      </c>
      <c r="I644" s="3" t="s">
        <v>1977</v>
      </c>
      <c r="J644" s="3">
        <v>2</v>
      </c>
      <c r="K644" s="3">
        <v>2</v>
      </c>
      <c r="L644" s="23">
        <v>28</v>
      </c>
      <c r="M644" s="23">
        <v>9</v>
      </c>
      <c r="N644" s="24" t="s">
        <v>765</v>
      </c>
      <c r="O644" s="31"/>
      <c r="P644" s="34">
        <v>690</v>
      </c>
      <c r="Q644" s="31">
        <v>60</v>
      </c>
      <c r="R644" s="31"/>
      <c r="S644" s="23">
        <v>2</v>
      </c>
      <c r="T644" s="31">
        <v>120</v>
      </c>
      <c r="U644" s="31"/>
      <c r="V644" s="38"/>
      <c r="W644" s="37">
        <v>2</v>
      </c>
      <c r="X644" s="29">
        <v>27</v>
      </c>
      <c r="Y644" s="3" t="s">
        <v>19</v>
      </c>
      <c r="Z644" s="2" t="s">
        <v>766</v>
      </c>
      <c r="AA644" s="1" t="s">
        <v>238</v>
      </c>
    </row>
    <row r="645" spans="1:27" ht="23.1" customHeight="1" x14ac:dyDescent="0.25">
      <c r="A645" s="20" t="s">
        <v>748</v>
      </c>
      <c r="B645" s="3" t="s">
        <v>110</v>
      </c>
      <c r="C645" s="3">
        <v>17</v>
      </c>
      <c r="D645" s="3" t="s">
        <v>352</v>
      </c>
      <c r="E645" s="1" t="s">
        <v>353</v>
      </c>
      <c r="F645" s="21" t="e">
        <v>#N/A</v>
      </c>
      <c r="G645" s="3" t="s">
        <v>300</v>
      </c>
      <c r="H645" s="3">
        <v>30</v>
      </c>
      <c r="I645" s="3" t="s">
        <v>2005</v>
      </c>
      <c r="J645" s="3">
        <v>1</v>
      </c>
      <c r="K645" s="3">
        <v>2</v>
      </c>
      <c r="L645" s="23">
        <v>26</v>
      </c>
      <c r="M645" s="23">
        <v>26</v>
      </c>
      <c r="N645" s="24" t="s">
        <v>767</v>
      </c>
      <c r="O645" s="31"/>
      <c r="P645" s="34">
        <v>480</v>
      </c>
      <c r="Q645" s="31"/>
      <c r="R645" s="31"/>
      <c r="S645" s="23"/>
      <c r="T645" s="31">
        <v>120</v>
      </c>
      <c r="U645" s="31"/>
      <c r="V645" s="38"/>
      <c r="W645" s="37"/>
      <c r="X645" s="29">
        <v>16</v>
      </c>
      <c r="Y645" s="3" t="s">
        <v>43</v>
      </c>
      <c r="Z645" s="2"/>
      <c r="AA645" s="2"/>
    </row>
    <row r="646" spans="1:27" ht="23.1" customHeight="1" x14ac:dyDescent="0.25">
      <c r="A646" s="20" t="s">
        <v>748</v>
      </c>
      <c r="B646" s="3" t="s">
        <v>110</v>
      </c>
      <c r="C646" s="3">
        <v>79</v>
      </c>
      <c r="D646" s="3" t="s">
        <v>152</v>
      </c>
      <c r="E646" s="1" t="s">
        <v>153</v>
      </c>
      <c r="F646" s="21" t="s">
        <v>1247</v>
      </c>
      <c r="G646" s="3" t="s">
        <v>154</v>
      </c>
      <c r="H646" s="3">
        <v>25</v>
      </c>
      <c r="I646" s="3" t="s">
        <v>2017</v>
      </c>
      <c r="J646" s="3">
        <v>1</v>
      </c>
      <c r="K646" s="3">
        <v>1.2</v>
      </c>
      <c r="L646" s="23">
        <v>28</v>
      </c>
      <c r="M646" s="23">
        <v>9</v>
      </c>
      <c r="N646" s="24" t="s">
        <v>768</v>
      </c>
      <c r="O646" s="31"/>
      <c r="P646" s="34">
        <v>1260</v>
      </c>
      <c r="Q646" s="31">
        <v>90</v>
      </c>
      <c r="R646" s="31"/>
      <c r="S646" s="23">
        <v>1</v>
      </c>
      <c r="T646" s="31">
        <v>120</v>
      </c>
      <c r="U646" s="31"/>
      <c r="V646" s="38"/>
      <c r="W646" s="37"/>
      <c r="X646" s="29">
        <v>26.7</v>
      </c>
      <c r="Y646" s="3" t="s">
        <v>19</v>
      </c>
      <c r="Z646" s="2" t="s">
        <v>145</v>
      </c>
      <c r="AA646" s="2"/>
    </row>
    <row r="647" spans="1:27" ht="23.1" customHeight="1" x14ac:dyDescent="0.25">
      <c r="A647" s="20" t="s">
        <v>748</v>
      </c>
      <c r="B647" s="3" t="s">
        <v>110</v>
      </c>
      <c r="C647" s="3">
        <v>12</v>
      </c>
      <c r="D647" s="3" t="s">
        <v>735</v>
      </c>
      <c r="E647" s="1" t="s">
        <v>249</v>
      </c>
      <c r="F647" s="21" t="s">
        <v>249</v>
      </c>
      <c r="G647" s="3" t="s">
        <v>250</v>
      </c>
      <c r="H647" s="3">
        <v>15</v>
      </c>
      <c r="I647" s="3" t="s">
        <v>1903</v>
      </c>
      <c r="J647" s="3"/>
      <c r="K647" s="3">
        <v>2</v>
      </c>
      <c r="L647" s="23">
        <v>28</v>
      </c>
      <c r="M647" s="23">
        <v>37</v>
      </c>
      <c r="N647" s="24" t="s">
        <v>769</v>
      </c>
      <c r="O647" s="31"/>
      <c r="P647" s="34">
        <v>600</v>
      </c>
      <c r="Q647" s="31"/>
      <c r="R647" s="31"/>
      <c r="S647" s="23"/>
      <c r="T647" s="31">
        <v>120</v>
      </c>
      <c r="U647" s="31"/>
      <c r="V647" s="38">
        <v>1</v>
      </c>
      <c r="W647" s="37"/>
      <c r="X647" s="29">
        <v>22</v>
      </c>
      <c r="Y647" s="3" t="s">
        <v>72</v>
      </c>
      <c r="Z647" s="2" t="s">
        <v>92</v>
      </c>
      <c r="AA647" s="2"/>
    </row>
    <row r="648" spans="1:27" ht="23.1" customHeight="1" x14ac:dyDescent="0.25">
      <c r="A648" s="20" t="s">
        <v>748</v>
      </c>
      <c r="B648" s="3" t="s">
        <v>110</v>
      </c>
      <c r="C648" s="3">
        <v>13</v>
      </c>
      <c r="D648" s="3" t="s">
        <v>654</v>
      </c>
      <c r="E648" s="1" t="s">
        <v>246</v>
      </c>
      <c r="F648" s="21" t="s">
        <v>246</v>
      </c>
      <c r="G648" s="3" t="s">
        <v>154</v>
      </c>
      <c r="H648" s="3">
        <v>20</v>
      </c>
      <c r="I648" s="3" t="s">
        <v>2030</v>
      </c>
      <c r="J648" s="3"/>
      <c r="K648" s="3">
        <v>6</v>
      </c>
      <c r="L648" s="23">
        <v>28</v>
      </c>
      <c r="M648" s="23">
        <v>31</v>
      </c>
      <c r="N648" s="24" t="s">
        <v>247</v>
      </c>
      <c r="O648" s="31"/>
      <c r="P648" s="34">
        <v>160</v>
      </c>
      <c r="Q648" s="31"/>
      <c r="R648" s="31"/>
      <c r="S648" s="23"/>
      <c r="T648" s="31">
        <v>60</v>
      </c>
      <c r="U648" s="31"/>
      <c r="V648" s="38"/>
      <c r="W648" s="37"/>
      <c r="X648" s="29">
        <v>16</v>
      </c>
      <c r="Y648" s="3" t="s">
        <v>72</v>
      </c>
      <c r="Z648" s="2"/>
      <c r="AA648" s="2"/>
    </row>
    <row r="649" spans="1:27" ht="23.1" customHeight="1" x14ac:dyDescent="0.25">
      <c r="A649" s="20" t="s">
        <v>748</v>
      </c>
      <c r="B649" s="3" t="s">
        <v>110</v>
      </c>
      <c r="C649" s="3">
        <v>18</v>
      </c>
      <c r="D649" s="3" t="s">
        <v>205</v>
      </c>
      <c r="E649" s="1" t="s">
        <v>206</v>
      </c>
      <c r="F649" s="21" t="s">
        <v>206</v>
      </c>
      <c r="G649" s="3" t="s">
        <v>123</v>
      </c>
      <c r="H649" s="3">
        <v>55</v>
      </c>
      <c r="I649" s="3" t="s">
        <v>2031</v>
      </c>
      <c r="J649" s="3">
        <v>1</v>
      </c>
      <c r="K649" s="3">
        <v>3</v>
      </c>
      <c r="L649" s="23">
        <v>28</v>
      </c>
      <c r="M649" s="23">
        <v>28</v>
      </c>
      <c r="N649" s="24" t="s">
        <v>770</v>
      </c>
      <c r="O649" s="31"/>
      <c r="P649" s="34">
        <v>330</v>
      </c>
      <c r="Q649" s="31"/>
      <c r="R649" s="31"/>
      <c r="S649" s="23"/>
      <c r="T649" s="31">
        <v>90</v>
      </c>
      <c r="U649" s="31"/>
      <c r="V649" s="38"/>
      <c r="W649" s="37"/>
      <c r="X649" s="29">
        <v>16.5</v>
      </c>
      <c r="Y649" s="3" t="s">
        <v>43</v>
      </c>
      <c r="Z649" s="2"/>
      <c r="AA649" s="2"/>
    </row>
    <row r="650" spans="1:27" ht="23.1" customHeight="1" x14ac:dyDescent="0.25">
      <c r="A650" s="20" t="s">
        <v>748</v>
      </c>
      <c r="B650" s="3" t="s">
        <v>110</v>
      </c>
      <c r="C650" s="3">
        <v>21</v>
      </c>
      <c r="D650" s="3" t="s">
        <v>321</v>
      </c>
      <c r="E650" s="1" t="s">
        <v>322</v>
      </c>
      <c r="F650" s="21" t="s">
        <v>322</v>
      </c>
      <c r="G650" s="3" t="s">
        <v>323</v>
      </c>
      <c r="H650" s="3">
        <v>10</v>
      </c>
      <c r="I650" s="3" t="s">
        <v>2046</v>
      </c>
      <c r="J650" s="3">
        <v>1.5</v>
      </c>
      <c r="K650" s="3">
        <v>1.7</v>
      </c>
      <c r="L650" s="23">
        <v>28</v>
      </c>
      <c r="M650" s="23">
        <v>37</v>
      </c>
      <c r="N650" s="24" t="s">
        <v>771</v>
      </c>
      <c r="O650" s="31"/>
      <c r="P650" s="34">
        <v>420</v>
      </c>
      <c r="Q650" s="31">
        <v>120</v>
      </c>
      <c r="R650" s="31"/>
      <c r="S650" s="23">
        <v>2</v>
      </c>
      <c r="T650" s="31">
        <v>180</v>
      </c>
      <c r="U650" s="31"/>
      <c r="V650" s="38">
        <v>1</v>
      </c>
      <c r="W650" s="37"/>
      <c r="X650" s="29">
        <v>18.899999999999999</v>
      </c>
      <c r="Y650" s="3" t="s">
        <v>58</v>
      </c>
      <c r="Z650" s="2" t="s">
        <v>336</v>
      </c>
      <c r="AA650" s="2"/>
    </row>
    <row r="651" spans="1:27" ht="23.1" customHeight="1" x14ac:dyDescent="0.25">
      <c r="A651" s="20" t="s">
        <v>748</v>
      </c>
      <c r="B651" s="3" t="s">
        <v>110</v>
      </c>
      <c r="C651" s="3">
        <v>108</v>
      </c>
      <c r="D651" s="3" t="s">
        <v>173</v>
      </c>
      <c r="E651" s="1" t="s">
        <v>174</v>
      </c>
      <c r="F651" s="21" t="s">
        <v>1246</v>
      </c>
      <c r="G651" s="3" t="s">
        <v>154</v>
      </c>
      <c r="H651" s="3">
        <v>30</v>
      </c>
      <c r="I651" s="3" t="s">
        <v>2047</v>
      </c>
      <c r="J651" s="3">
        <v>1</v>
      </c>
      <c r="K651" s="3">
        <v>0.5</v>
      </c>
      <c r="L651" s="23"/>
      <c r="M651" s="23">
        <v>26</v>
      </c>
      <c r="N651" s="24" t="s">
        <v>421</v>
      </c>
      <c r="O651" s="31"/>
      <c r="P651" s="34">
        <v>700</v>
      </c>
      <c r="Q651" s="31">
        <v>90</v>
      </c>
      <c r="R651" s="31"/>
      <c r="S651" s="23"/>
      <c r="T651" s="31">
        <v>120</v>
      </c>
      <c r="U651" s="31"/>
      <c r="V651" s="38">
        <v>1</v>
      </c>
      <c r="W651" s="37"/>
      <c r="X651" s="29">
        <v>7.8</v>
      </c>
      <c r="Y651" s="3" t="s">
        <v>45</v>
      </c>
      <c r="Z651" s="2" t="s">
        <v>772</v>
      </c>
      <c r="AA651" s="1" t="s">
        <v>238</v>
      </c>
    </row>
    <row r="652" spans="1:27" ht="23.1" customHeight="1" x14ac:dyDescent="0.25">
      <c r="A652" s="20" t="s">
        <v>748</v>
      </c>
      <c r="B652" s="3" t="s">
        <v>110</v>
      </c>
      <c r="C652" s="3">
        <v>11</v>
      </c>
      <c r="D652" s="3" t="s">
        <v>690</v>
      </c>
      <c r="E652" s="1" t="s">
        <v>691</v>
      </c>
      <c r="F652" s="21" t="s">
        <v>691</v>
      </c>
      <c r="G652" s="3" t="s">
        <v>123</v>
      </c>
      <c r="H652" s="3">
        <v>15</v>
      </c>
      <c r="I652" s="3" t="s">
        <v>2033</v>
      </c>
      <c r="J652" s="3">
        <v>1.2</v>
      </c>
      <c r="K652" s="3">
        <v>5</v>
      </c>
      <c r="L652" s="23">
        <v>31</v>
      </c>
      <c r="M652" s="23">
        <v>9</v>
      </c>
      <c r="N652" s="24" t="s">
        <v>684</v>
      </c>
      <c r="O652" s="31"/>
      <c r="P652" s="34">
        <v>190</v>
      </c>
      <c r="Q652" s="31"/>
      <c r="R652" s="31"/>
      <c r="S652" s="23"/>
      <c r="T652" s="31">
        <v>60</v>
      </c>
      <c r="U652" s="31"/>
      <c r="V652" s="38"/>
      <c r="W652" s="37"/>
      <c r="X652" s="29">
        <v>15.8</v>
      </c>
      <c r="Y652" s="3" t="s">
        <v>38</v>
      </c>
      <c r="Z652" s="2"/>
      <c r="AA652" s="2"/>
    </row>
    <row r="653" spans="1:27" ht="23.1" customHeight="1" x14ac:dyDescent="0.25">
      <c r="A653" s="20" t="s">
        <v>748</v>
      </c>
      <c r="B653" s="3" t="s">
        <v>137</v>
      </c>
      <c r="C653" s="3">
        <v>69</v>
      </c>
      <c r="D653" s="3" t="s">
        <v>742</v>
      </c>
      <c r="E653" s="1" t="s">
        <v>663</v>
      </c>
      <c r="F653" s="21" t="s">
        <v>663</v>
      </c>
      <c r="G653" s="3" t="s">
        <v>250</v>
      </c>
      <c r="H653" s="3">
        <v>55</v>
      </c>
      <c r="I653" s="3" t="s">
        <v>2435</v>
      </c>
      <c r="J653" s="3">
        <v>4</v>
      </c>
      <c r="K653" s="3">
        <v>4</v>
      </c>
      <c r="L653" s="23">
        <v>37</v>
      </c>
      <c r="M653" s="23">
        <v>5</v>
      </c>
      <c r="N653" s="24" t="s">
        <v>429</v>
      </c>
      <c r="O653" s="31"/>
      <c r="P653" s="34">
        <v>450</v>
      </c>
      <c r="Q653" s="31">
        <v>90</v>
      </c>
      <c r="R653" s="31"/>
      <c r="S653" s="23">
        <v>4</v>
      </c>
      <c r="T653" s="31">
        <v>180</v>
      </c>
      <c r="U653" s="31"/>
      <c r="V653" s="38"/>
      <c r="W653" s="37"/>
      <c r="X653" s="29">
        <v>36</v>
      </c>
      <c r="Y653" s="3" t="s">
        <v>27</v>
      </c>
      <c r="Z653" s="2" t="s">
        <v>372</v>
      </c>
      <c r="AA653" s="2"/>
    </row>
    <row r="654" spans="1:27" ht="23.1" customHeight="1" x14ac:dyDescent="0.25">
      <c r="A654" s="20" t="s">
        <v>748</v>
      </c>
      <c r="B654" s="3" t="s">
        <v>137</v>
      </c>
      <c r="C654" s="3">
        <v>119</v>
      </c>
      <c r="D654" s="3" t="s">
        <v>288</v>
      </c>
      <c r="E654" s="1" t="s">
        <v>255</v>
      </c>
      <c r="F654" s="21" t="s">
        <v>1532</v>
      </c>
      <c r="G654" s="3" t="s">
        <v>250</v>
      </c>
      <c r="H654" s="3">
        <v>50</v>
      </c>
      <c r="I654" s="3" t="s">
        <v>2021</v>
      </c>
      <c r="J654" s="3">
        <v>0.3</v>
      </c>
      <c r="K654" s="3">
        <v>0.3</v>
      </c>
      <c r="L654" s="23"/>
      <c r="M654" s="23">
        <v>0.3</v>
      </c>
      <c r="N654" s="24" t="s">
        <v>476</v>
      </c>
      <c r="O654" s="31"/>
      <c r="P654" s="34">
        <v>3000</v>
      </c>
      <c r="Q654" s="31">
        <v>90</v>
      </c>
      <c r="R654" s="31"/>
      <c r="S654" s="23"/>
      <c r="T654" s="31">
        <v>150</v>
      </c>
      <c r="U654" s="31"/>
      <c r="V654" s="38"/>
      <c r="W654" s="37"/>
      <c r="X654" s="29">
        <v>15</v>
      </c>
      <c r="Y654" s="3" t="s">
        <v>27</v>
      </c>
      <c r="Z654" s="2"/>
      <c r="AA654" s="2"/>
    </row>
    <row r="655" spans="1:27" ht="23.1" customHeight="1" x14ac:dyDescent="0.25">
      <c r="A655" s="20" t="s">
        <v>748</v>
      </c>
      <c r="B655" s="3" t="s">
        <v>137</v>
      </c>
      <c r="C655" s="3">
        <v>91</v>
      </c>
      <c r="D655" s="3" t="s">
        <v>759</v>
      </c>
      <c r="E655" s="1" t="s">
        <v>760</v>
      </c>
      <c r="F655" s="21" t="s">
        <v>760</v>
      </c>
      <c r="G655" s="3" t="s">
        <v>300</v>
      </c>
      <c r="H655" s="3">
        <v>35</v>
      </c>
      <c r="I655" s="3" t="s">
        <v>2044</v>
      </c>
      <c r="J655" s="3">
        <v>6</v>
      </c>
      <c r="K655" s="3">
        <v>6</v>
      </c>
      <c r="L655" s="23">
        <v>26</v>
      </c>
      <c r="M655" s="23">
        <v>23</v>
      </c>
      <c r="N655" s="24" t="s">
        <v>773</v>
      </c>
      <c r="O655" s="31"/>
      <c r="P655" s="34">
        <v>180</v>
      </c>
      <c r="Q655" s="31">
        <v>75</v>
      </c>
      <c r="R655" s="31"/>
      <c r="S655" s="23">
        <v>6</v>
      </c>
      <c r="T655" s="31">
        <v>210</v>
      </c>
      <c r="U655" s="31"/>
      <c r="V655" s="38">
        <v>1</v>
      </c>
      <c r="W655" s="37">
        <v>3</v>
      </c>
      <c r="X655" s="29">
        <v>32</v>
      </c>
      <c r="Y655" s="3" t="s">
        <v>27</v>
      </c>
      <c r="Z655" s="2" t="s">
        <v>774</v>
      </c>
      <c r="AA655" s="2"/>
    </row>
    <row r="656" spans="1:27" ht="23.1" customHeight="1" x14ac:dyDescent="0.25">
      <c r="A656" s="20" t="s">
        <v>748</v>
      </c>
      <c r="B656" s="3" t="s">
        <v>137</v>
      </c>
      <c r="C656" s="3">
        <v>84</v>
      </c>
      <c r="D656" s="3" t="s">
        <v>775</v>
      </c>
      <c r="E656" s="1" t="s">
        <v>317</v>
      </c>
      <c r="F656" s="21" t="s">
        <v>317</v>
      </c>
      <c r="G656" s="3" t="s">
        <v>154</v>
      </c>
      <c r="H656" s="3">
        <v>25</v>
      </c>
      <c r="I656" s="3" t="s">
        <v>1976</v>
      </c>
      <c r="J656" s="3">
        <v>1</v>
      </c>
      <c r="K656" s="3">
        <v>1</v>
      </c>
      <c r="L656" s="23"/>
      <c r="M656" s="23">
        <v>23</v>
      </c>
      <c r="N656" s="24" t="s">
        <v>159</v>
      </c>
      <c r="O656" s="31"/>
      <c r="P656" s="34">
        <v>360</v>
      </c>
      <c r="Q656" s="31"/>
      <c r="R656" s="31"/>
      <c r="S656" s="23">
        <v>1</v>
      </c>
      <c r="T656" s="31">
        <v>60</v>
      </c>
      <c r="U656" s="31"/>
      <c r="V656" s="38"/>
      <c r="W656" s="37">
        <v>3</v>
      </c>
      <c r="X656" s="29">
        <v>9</v>
      </c>
      <c r="Y656" s="3" t="s">
        <v>27</v>
      </c>
      <c r="Z656" s="2" t="s">
        <v>303</v>
      </c>
      <c r="AA656" s="2"/>
    </row>
    <row r="657" spans="1:27" ht="23.1" customHeight="1" x14ac:dyDescent="0.25">
      <c r="A657" s="20" t="s">
        <v>748</v>
      </c>
      <c r="B657" s="3" t="s">
        <v>137</v>
      </c>
      <c r="C657" s="3">
        <v>24</v>
      </c>
      <c r="D657" s="3" t="s">
        <v>738</v>
      </c>
      <c r="E657" s="1" t="s">
        <v>739</v>
      </c>
      <c r="F657" s="21" t="s">
        <v>739</v>
      </c>
      <c r="G657" s="3" t="s">
        <v>107</v>
      </c>
      <c r="H657" s="3">
        <v>25</v>
      </c>
      <c r="I657" s="3" t="s">
        <v>2035</v>
      </c>
      <c r="J657" s="3">
        <v>0.6</v>
      </c>
      <c r="K657" s="3">
        <v>0.6</v>
      </c>
      <c r="L657" s="23">
        <v>37</v>
      </c>
      <c r="M657" s="23">
        <v>37</v>
      </c>
      <c r="N657" s="24" t="s">
        <v>410</v>
      </c>
      <c r="O657" s="31"/>
      <c r="P657" s="34">
        <v>840</v>
      </c>
      <c r="Q657" s="31">
        <v>120</v>
      </c>
      <c r="R657" s="31"/>
      <c r="S657" s="23"/>
      <c r="T657" s="31">
        <v>150</v>
      </c>
      <c r="U657" s="31"/>
      <c r="V657" s="38"/>
      <c r="W657" s="37"/>
      <c r="X657" s="29">
        <v>8.4</v>
      </c>
      <c r="Y657" s="3" t="s">
        <v>27</v>
      </c>
      <c r="Z657" s="2"/>
      <c r="AA657" s="2"/>
    </row>
    <row r="658" spans="1:27" ht="23.1" customHeight="1" x14ac:dyDescent="0.25">
      <c r="A658" s="20" t="s">
        <v>748</v>
      </c>
      <c r="B658" s="3" t="s">
        <v>137</v>
      </c>
      <c r="C658" s="3">
        <v>24</v>
      </c>
      <c r="D658" s="3" t="s">
        <v>776</v>
      </c>
      <c r="E658" s="1" t="s">
        <v>777</v>
      </c>
      <c r="F658" s="21" t="s">
        <v>777</v>
      </c>
      <c r="G658" s="3" t="s">
        <v>107</v>
      </c>
      <c r="H658" s="3">
        <v>25</v>
      </c>
      <c r="I658" s="3" t="s">
        <v>2035</v>
      </c>
      <c r="J658" s="3">
        <v>0.4</v>
      </c>
      <c r="K658" s="3">
        <v>0.5</v>
      </c>
      <c r="L658" s="23">
        <v>9</v>
      </c>
      <c r="M658" s="23">
        <v>9</v>
      </c>
      <c r="N658" s="24" t="s">
        <v>778</v>
      </c>
      <c r="O658" s="31"/>
      <c r="P658" s="34">
        <v>840</v>
      </c>
      <c r="Q658" s="31">
        <v>120</v>
      </c>
      <c r="R658" s="31"/>
      <c r="S658" s="23">
        <v>1</v>
      </c>
      <c r="T658" s="31">
        <v>150</v>
      </c>
      <c r="U658" s="31"/>
      <c r="V658" s="38">
        <v>1</v>
      </c>
      <c r="W658" s="37">
        <v>3</v>
      </c>
      <c r="X658" s="29">
        <v>14.5</v>
      </c>
      <c r="Y658" s="3" t="s">
        <v>27</v>
      </c>
      <c r="Z658" s="2" t="s">
        <v>779</v>
      </c>
      <c r="AA658" s="2"/>
    </row>
    <row r="659" spans="1:27" ht="23.1" customHeight="1" x14ac:dyDescent="0.25">
      <c r="A659" s="20" t="s">
        <v>748</v>
      </c>
      <c r="B659" s="3" t="s">
        <v>113</v>
      </c>
      <c r="C659" s="3">
        <v>76</v>
      </c>
      <c r="D659" s="3" t="s">
        <v>543</v>
      </c>
      <c r="E659" s="1" t="s">
        <v>544</v>
      </c>
      <c r="F659" s="21" t="s">
        <v>544</v>
      </c>
      <c r="G659" s="3" t="s">
        <v>154</v>
      </c>
      <c r="H659" s="3">
        <v>15</v>
      </c>
      <c r="I659" s="3" t="s">
        <v>1926</v>
      </c>
      <c r="J659" s="3">
        <v>3</v>
      </c>
      <c r="K659" s="3">
        <v>3</v>
      </c>
      <c r="L659" s="23">
        <v>5</v>
      </c>
      <c r="M659" s="23">
        <v>5</v>
      </c>
      <c r="N659" s="24" t="s">
        <v>330</v>
      </c>
      <c r="O659" s="31"/>
      <c r="P659" s="34">
        <v>90</v>
      </c>
      <c r="Q659" s="31"/>
      <c r="R659" s="31"/>
      <c r="S659" s="23"/>
      <c r="T659" s="31">
        <v>90</v>
      </c>
      <c r="U659" s="31"/>
      <c r="V659" s="38"/>
      <c r="W659" s="37"/>
      <c r="X659" s="29">
        <v>4.5</v>
      </c>
      <c r="Y659" s="3" t="s">
        <v>12</v>
      </c>
      <c r="Z659" s="2" t="s">
        <v>713</v>
      </c>
      <c r="AA659" s="2"/>
    </row>
    <row r="660" spans="1:27" ht="23.1" customHeight="1" x14ac:dyDescent="0.25">
      <c r="A660" s="20" t="s">
        <v>748</v>
      </c>
      <c r="B660" s="3" t="s">
        <v>113</v>
      </c>
      <c r="C660" s="3">
        <v>22</v>
      </c>
      <c r="D660" s="3" t="s">
        <v>611</v>
      </c>
      <c r="E660" s="1" t="s">
        <v>612</v>
      </c>
      <c r="F660" s="21" t="s">
        <v>612</v>
      </c>
      <c r="G660" s="3" t="s">
        <v>102</v>
      </c>
      <c r="H660" s="3">
        <v>45</v>
      </c>
      <c r="I660" s="3" t="s">
        <v>2015</v>
      </c>
      <c r="J660" s="3">
        <v>0.3</v>
      </c>
      <c r="K660" s="3">
        <v>0.3</v>
      </c>
      <c r="L660" s="23">
        <v>37</v>
      </c>
      <c r="M660" s="23">
        <v>37</v>
      </c>
      <c r="N660" s="24" t="s">
        <v>103</v>
      </c>
      <c r="O660" s="31"/>
      <c r="P660" s="34">
        <v>6000</v>
      </c>
      <c r="Q660" s="31">
        <v>180</v>
      </c>
      <c r="R660" s="31"/>
      <c r="S660" s="23"/>
      <c r="T660" s="31">
        <v>180</v>
      </c>
      <c r="U660" s="31"/>
      <c r="V660" s="38"/>
      <c r="W660" s="37"/>
      <c r="X660" s="29">
        <v>30</v>
      </c>
      <c r="Y660" s="3" t="s">
        <v>49</v>
      </c>
      <c r="Z660" s="2"/>
      <c r="AA660" s="2"/>
    </row>
    <row r="661" spans="1:27" ht="23.1" customHeight="1" x14ac:dyDescent="0.25">
      <c r="A661" s="20" t="s">
        <v>748</v>
      </c>
      <c r="B661" s="3" t="s">
        <v>113</v>
      </c>
      <c r="C661" s="3">
        <v>22</v>
      </c>
      <c r="D661" s="3" t="s">
        <v>611</v>
      </c>
      <c r="E661" s="1" t="s">
        <v>612</v>
      </c>
      <c r="F661" s="21" t="s">
        <v>612</v>
      </c>
      <c r="G661" s="3" t="s">
        <v>102</v>
      </c>
      <c r="H661" s="3">
        <v>45</v>
      </c>
      <c r="I661" s="3" t="s">
        <v>2015</v>
      </c>
      <c r="J661" s="3">
        <v>0.3</v>
      </c>
      <c r="K661" s="3">
        <v>0.2</v>
      </c>
      <c r="L661" s="23">
        <v>37</v>
      </c>
      <c r="M661" s="23">
        <v>37</v>
      </c>
      <c r="N661" s="24" t="s">
        <v>103</v>
      </c>
      <c r="O661" s="31"/>
      <c r="P661" s="34">
        <v>6000</v>
      </c>
      <c r="Q661" s="31">
        <v>180</v>
      </c>
      <c r="R661" s="31"/>
      <c r="S661" s="23"/>
      <c r="T661" s="31">
        <v>180</v>
      </c>
      <c r="U661" s="31"/>
      <c r="V661" s="38"/>
      <c r="W661" s="37"/>
      <c r="X661" s="29">
        <v>20</v>
      </c>
      <c r="Y661" s="3" t="s">
        <v>49</v>
      </c>
      <c r="Z661" s="2"/>
      <c r="AA661" s="2"/>
    </row>
    <row r="662" spans="1:27" ht="23.1" customHeight="1" x14ac:dyDescent="0.25">
      <c r="A662" s="20" t="s">
        <v>748</v>
      </c>
      <c r="B662" s="3" t="s">
        <v>113</v>
      </c>
      <c r="C662" s="3">
        <v>21</v>
      </c>
      <c r="D662" s="3" t="s">
        <v>321</v>
      </c>
      <c r="E662" s="1" t="s">
        <v>322</v>
      </c>
      <c r="F662" s="21" t="s">
        <v>322</v>
      </c>
      <c r="G662" s="3" t="s">
        <v>323</v>
      </c>
      <c r="H662" s="3">
        <v>15</v>
      </c>
      <c r="I662" s="3" t="s">
        <v>2048</v>
      </c>
      <c r="J662" s="3">
        <v>2</v>
      </c>
      <c r="K662" s="3">
        <v>2</v>
      </c>
      <c r="L662" s="23">
        <v>26</v>
      </c>
      <c r="M662" s="23">
        <v>37</v>
      </c>
      <c r="N662" s="24" t="s">
        <v>771</v>
      </c>
      <c r="O662" s="31"/>
      <c r="P662" s="34">
        <v>210</v>
      </c>
      <c r="Q662" s="31">
        <v>120</v>
      </c>
      <c r="R662" s="31"/>
      <c r="S662" s="23">
        <v>2</v>
      </c>
      <c r="T662" s="31">
        <v>180</v>
      </c>
      <c r="U662" s="31"/>
      <c r="V662" s="38">
        <v>1</v>
      </c>
      <c r="W662" s="37"/>
      <c r="X662" s="29">
        <v>14</v>
      </c>
      <c r="Y662" s="3" t="s">
        <v>49</v>
      </c>
      <c r="Z662" s="2" t="s">
        <v>325</v>
      </c>
      <c r="AA662" s="2"/>
    </row>
    <row r="663" spans="1:27" ht="23.1" customHeight="1" x14ac:dyDescent="0.25">
      <c r="A663" s="20" t="s">
        <v>748</v>
      </c>
      <c r="B663" s="3" t="s">
        <v>113</v>
      </c>
      <c r="C663" s="3">
        <v>21</v>
      </c>
      <c r="D663" s="3" t="s">
        <v>321</v>
      </c>
      <c r="E663" s="1" t="s">
        <v>322</v>
      </c>
      <c r="F663" s="21" t="s">
        <v>322</v>
      </c>
      <c r="G663" s="3" t="s">
        <v>323</v>
      </c>
      <c r="H663" s="3">
        <v>10</v>
      </c>
      <c r="I663" s="3" t="s">
        <v>2046</v>
      </c>
      <c r="J663" s="3"/>
      <c r="K663" s="3">
        <v>0.3</v>
      </c>
      <c r="L663" s="23">
        <v>37</v>
      </c>
      <c r="M663" s="23"/>
      <c r="N663" s="24" t="s">
        <v>780</v>
      </c>
      <c r="O663" s="31"/>
      <c r="P663" s="34">
        <v>420</v>
      </c>
      <c r="Q663" s="31">
        <v>120</v>
      </c>
      <c r="R663" s="31"/>
      <c r="S663" s="23"/>
      <c r="T663" s="31">
        <v>180</v>
      </c>
      <c r="U663" s="31"/>
      <c r="V663" s="38"/>
      <c r="W663" s="37"/>
      <c r="X663" s="29">
        <v>2.1</v>
      </c>
      <c r="Y663" s="3" t="s">
        <v>49</v>
      </c>
      <c r="Z663" s="2"/>
      <c r="AA663" s="2"/>
    </row>
    <row r="664" spans="1:27" ht="23.1" customHeight="1" x14ac:dyDescent="0.25">
      <c r="A664" s="20" t="s">
        <v>748</v>
      </c>
      <c r="B664" s="3" t="s">
        <v>113</v>
      </c>
      <c r="C664" s="3">
        <v>18</v>
      </c>
      <c r="D664" s="3" t="s">
        <v>205</v>
      </c>
      <c r="E664" s="1" t="s">
        <v>206</v>
      </c>
      <c r="F664" s="21" t="s">
        <v>206</v>
      </c>
      <c r="G664" s="3" t="s">
        <v>123</v>
      </c>
      <c r="H664" s="3">
        <v>65</v>
      </c>
      <c r="I664" s="3" t="s">
        <v>2049</v>
      </c>
      <c r="J664" s="3">
        <v>3</v>
      </c>
      <c r="K664" s="3">
        <v>3</v>
      </c>
      <c r="L664" s="23">
        <v>23</v>
      </c>
      <c r="M664" s="23">
        <v>23</v>
      </c>
      <c r="N664" s="24" t="s">
        <v>507</v>
      </c>
      <c r="O664" s="31"/>
      <c r="P664" s="34">
        <v>240</v>
      </c>
      <c r="Q664" s="31"/>
      <c r="R664" s="31"/>
      <c r="S664" s="23"/>
      <c r="T664" s="31">
        <v>120</v>
      </c>
      <c r="U664" s="31"/>
      <c r="V664" s="38"/>
      <c r="W664" s="37"/>
      <c r="X664" s="29">
        <v>12</v>
      </c>
      <c r="Y664" s="3" t="s">
        <v>16</v>
      </c>
      <c r="Z664" s="2"/>
      <c r="AA664" s="2"/>
    </row>
    <row r="665" spans="1:27" ht="23.1" customHeight="1" x14ac:dyDescent="0.25">
      <c r="A665" s="20" t="s">
        <v>748</v>
      </c>
      <c r="B665" s="3" t="s">
        <v>113</v>
      </c>
      <c r="C665" s="3">
        <v>17</v>
      </c>
      <c r="D665" s="3" t="s">
        <v>352</v>
      </c>
      <c r="E665" s="1" t="s">
        <v>353</v>
      </c>
      <c r="F665" s="21" t="e">
        <v>#N/A</v>
      </c>
      <c r="G665" s="3" t="s">
        <v>300</v>
      </c>
      <c r="H665" s="3">
        <v>30</v>
      </c>
      <c r="I665" s="3" t="s">
        <v>2005</v>
      </c>
      <c r="J665" s="3">
        <v>2</v>
      </c>
      <c r="K665" s="3">
        <v>2</v>
      </c>
      <c r="L665" s="23">
        <v>28</v>
      </c>
      <c r="M665" s="23">
        <v>28</v>
      </c>
      <c r="N665" s="24" t="s">
        <v>781</v>
      </c>
      <c r="O665" s="31"/>
      <c r="P665" s="34">
        <v>480</v>
      </c>
      <c r="Q665" s="31"/>
      <c r="R665" s="31"/>
      <c r="S665" s="23"/>
      <c r="T665" s="31">
        <v>120</v>
      </c>
      <c r="U665" s="31"/>
      <c r="V665" s="38"/>
      <c r="W665" s="37"/>
      <c r="X665" s="29">
        <v>16</v>
      </c>
      <c r="Y665" s="3" t="s">
        <v>16</v>
      </c>
      <c r="Z665" s="2"/>
      <c r="AA665" s="2"/>
    </row>
    <row r="666" spans="1:27" ht="23.1" customHeight="1" x14ac:dyDescent="0.25">
      <c r="A666" s="20" t="s">
        <v>748</v>
      </c>
      <c r="B666" s="3" t="s">
        <v>113</v>
      </c>
      <c r="C666" s="3">
        <v>47</v>
      </c>
      <c r="D666" s="3" t="s">
        <v>332</v>
      </c>
      <c r="E666" s="1" t="s">
        <v>333</v>
      </c>
      <c r="F666" s="21" t="s">
        <v>2548</v>
      </c>
      <c r="G666" s="3" t="s">
        <v>334</v>
      </c>
      <c r="H666" s="3">
        <v>25</v>
      </c>
      <c r="I666" s="3" t="s">
        <v>2018</v>
      </c>
      <c r="J666" s="3">
        <v>1</v>
      </c>
      <c r="K666" s="3">
        <v>1</v>
      </c>
      <c r="L666" s="23">
        <v>37</v>
      </c>
      <c r="M666" s="23">
        <v>9</v>
      </c>
      <c r="N666" s="24" t="s">
        <v>335</v>
      </c>
      <c r="O666" s="31"/>
      <c r="P666" s="34">
        <v>630</v>
      </c>
      <c r="Q666" s="31">
        <v>90</v>
      </c>
      <c r="R666" s="31"/>
      <c r="S666" s="23">
        <v>1</v>
      </c>
      <c r="T666" s="31">
        <v>120</v>
      </c>
      <c r="U666" s="31"/>
      <c r="V666" s="38"/>
      <c r="W666" s="37"/>
      <c r="X666" s="29">
        <v>12</v>
      </c>
      <c r="Y666" s="3" t="s">
        <v>22</v>
      </c>
      <c r="Z666" s="2" t="s">
        <v>145</v>
      </c>
      <c r="AA666" s="2"/>
    </row>
    <row r="667" spans="1:27" ht="23.1" customHeight="1" x14ac:dyDescent="0.25">
      <c r="A667" s="20" t="s">
        <v>748</v>
      </c>
      <c r="B667" s="3" t="s">
        <v>113</v>
      </c>
      <c r="C667" s="3">
        <v>23</v>
      </c>
      <c r="D667" s="3" t="s">
        <v>717</v>
      </c>
      <c r="E667" s="1" t="s">
        <v>718</v>
      </c>
      <c r="F667" s="21" t="s">
        <v>718</v>
      </c>
      <c r="G667" s="3" t="s">
        <v>118</v>
      </c>
      <c r="H667" s="3">
        <v>45</v>
      </c>
      <c r="I667" s="3" t="s">
        <v>2028</v>
      </c>
      <c r="J667" s="3">
        <v>0.5</v>
      </c>
      <c r="K667" s="3">
        <v>0.5</v>
      </c>
      <c r="L667" s="23">
        <v>9</v>
      </c>
      <c r="M667" s="23">
        <v>9</v>
      </c>
      <c r="N667" s="24" t="s">
        <v>782</v>
      </c>
      <c r="O667" s="31"/>
      <c r="P667" s="34">
        <v>1080</v>
      </c>
      <c r="Q667" s="31">
        <v>90</v>
      </c>
      <c r="R667" s="31"/>
      <c r="S667" s="23">
        <v>1</v>
      </c>
      <c r="T667" s="31">
        <v>120</v>
      </c>
      <c r="U667" s="31"/>
      <c r="V667" s="38"/>
      <c r="W667" s="37"/>
      <c r="X667" s="29">
        <v>10.5</v>
      </c>
      <c r="Y667" s="3" t="s">
        <v>22</v>
      </c>
      <c r="Z667" s="2" t="s">
        <v>145</v>
      </c>
      <c r="AA667" s="2"/>
    </row>
    <row r="668" spans="1:27" ht="23.1" customHeight="1" x14ac:dyDescent="0.25">
      <c r="A668" s="20" t="s">
        <v>748</v>
      </c>
      <c r="B668" s="3" t="s">
        <v>113</v>
      </c>
      <c r="C668" s="3">
        <v>23</v>
      </c>
      <c r="D668" s="3" t="s">
        <v>717</v>
      </c>
      <c r="E668" s="1" t="s">
        <v>718</v>
      </c>
      <c r="F668" s="21" t="s">
        <v>718</v>
      </c>
      <c r="G668" s="3" t="s">
        <v>118</v>
      </c>
      <c r="H668" s="3">
        <v>48</v>
      </c>
      <c r="I668" s="3"/>
      <c r="J668" s="3">
        <v>1</v>
      </c>
      <c r="K668" s="3">
        <v>1</v>
      </c>
      <c r="L668" s="23">
        <v>9</v>
      </c>
      <c r="M668" s="23"/>
      <c r="N668" s="24" t="s">
        <v>782</v>
      </c>
      <c r="O668" s="31">
        <v>40</v>
      </c>
      <c r="P668" s="34"/>
      <c r="Q668" s="31"/>
      <c r="R668" s="31">
        <v>90</v>
      </c>
      <c r="S668" s="23">
        <v>1</v>
      </c>
      <c r="T668" s="31"/>
      <c r="U668" s="31"/>
      <c r="V668" s="38"/>
      <c r="W668" s="37"/>
      <c r="X668" s="32">
        <v>2.2000000000000002</v>
      </c>
      <c r="Y668" s="3" t="s">
        <v>22</v>
      </c>
      <c r="Z668" s="2" t="s">
        <v>145</v>
      </c>
      <c r="AA668" s="2"/>
    </row>
    <row r="669" spans="1:27" ht="23.1" customHeight="1" x14ac:dyDescent="0.25">
      <c r="A669" s="20" t="s">
        <v>748</v>
      </c>
      <c r="B669" s="3" t="s">
        <v>113</v>
      </c>
      <c r="C669" s="3">
        <v>12</v>
      </c>
      <c r="D669" s="3" t="s">
        <v>735</v>
      </c>
      <c r="E669" s="1" t="s">
        <v>249</v>
      </c>
      <c r="F669" s="21" t="s">
        <v>249</v>
      </c>
      <c r="G669" s="3" t="s">
        <v>250</v>
      </c>
      <c r="H669" s="3">
        <v>10</v>
      </c>
      <c r="I669" s="3" t="s">
        <v>1949</v>
      </c>
      <c r="J669" s="3">
        <v>12</v>
      </c>
      <c r="K669" s="3">
        <v>12</v>
      </c>
      <c r="L669" s="23">
        <v>5</v>
      </c>
      <c r="M669" s="23">
        <v>23</v>
      </c>
      <c r="N669" s="24" t="s">
        <v>736</v>
      </c>
      <c r="O669" s="31"/>
      <c r="P669" s="34">
        <v>80</v>
      </c>
      <c r="Q669" s="31"/>
      <c r="R669" s="31"/>
      <c r="S669" s="23"/>
      <c r="T669" s="31">
        <v>90</v>
      </c>
      <c r="U669" s="31"/>
      <c r="V669" s="38"/>
      <c r="W669" s="37"/>
      <c r="X669" s="29">
        <v>16</v>
      </c>
      <c r="Y669" s="3" t="s">
        <v>10</v>
      </c>
      <c r="Z669" s="2"/>
      <c r="AA669" s="2"/>
    </row>
    <row r="670" spans="1:27" ht="23.1" customHeight="1" x14ac:dyDescent="0.25">
      <c r="A670" s="20" t="s">
        <v>751</v>
      </c>
      <c r="B670" s="3" t="s">
        <v>783</v>
      </c>
      <c r="C670" s="3">
        <v>23</v>
      </c>
      <c r="D670" s="3" t="s">
        <v>717</v>
      </c>
      <c r="E670" s="1" t="s">
        <v>718</v>
      </c>
      <c r="F670" s="21" t="s">
        <v>718</v>
      </c>
      <c r="G670" s="3" t="s">
        <v>118</v>
      </c>
      <c r="H670" s="3">
        <v>45</v>
      </c>
      <c r="I670" s="3" t="s">
        <v>2028</v>
      </c>
      <c r="J670" s="3">
        <v>0.5</v>
      </c>
      <c r="K670" s="3">
        <v>0.5</v>
      </c>
      <c r="L670" s="23">
        <v>9</v>
      </c>
      <c r="M670" s="23">
        <v>9</v>
      </c>
      <c r="N670" s="24" t="s">
        <v>782</v>
      </c>
      <c r="O670" s="31"/>
      <c r="P670" s="34">
        <v>1080</v>
      </c>
      <c r="Q670" s="31">
        <v>90</v>
      </c>
      <c r="R670" s="31"/>
      <c r="S670" s="23"/>
      <c r="T670" s="31">
        <v>120</v>
      </c>
      <c r="U670" s="31"/>
      <c r="V670" s="38"/>
      <c r="W670" s="37"/>
      <c r="X670" s="29">
        <v>9</v>
      </c>
      <c r="Y670" s="3" t="s">
        <v>22</v>
      </c>
      <c r="Z670" s="2"/>
      <c r="AA670" s="2"/>
    </row>
    <row r="671" spans="1:27" ht="23.1" customHeight="1" x14ac:dyDescent="0.25">
      <c r="A671" s="20" t="s">
        <v>751</v>
      </c>
      <c r="B671" s="3" t="s">
        <v>783</v>
      </c>
      <c r="C671" s="3">
        <v>47</v>
      </c>
      <c r="D671" s="3" t="s">
        <v>332</v>
      </c>
      <c r="E671" s="1" t="s">
        <v>333</v>
      </c>
      <c r="F671" s="21" t="s">
        <v>2548</v>
      </c>
      <c r="G671" s="3" t="s">
        <v>334</v>
      </c>
      <c r="H671" s="3">
        <v>25</v>
      </c>
      <c r="I671" s="3" t="s">
        <v>2018</v>
      </c>
      <c r="J671" s="3">
        <v>0.4</v>
      </c>
      <c r="K671" s="3">
        <v>0.4</v>
      </c>
      <c r="L671" s="23">
        <v>9</v>
      </c>
      <c r="M671" s="23">
        <v>9</v>
      </c>
      <c r="N671" s="24" t="s">
        <v>519</v>
      </c>
      <c r="O671" s="31"/>
      <c r="P671" s="34">
        <v>630</v>
      </c>
      <c r="Q671" s="31">
        <v>90</v>
      </c>
      <c r="R671" s="31"/>
      <c r="S671" s="23"/>
      <c r="T671" s="31">
        <v>120</v>
      </c>
      <c r="U671" s="31"/>
      <c r="V671" s="38"/>
      <c r="W671" s="37"/>
      <c r="X671" s="29">
        <v>4.2</v>
      </c>
      <c r="Y671" s="3" t="s">
        <v>22</v>
      </c>
      <c r="Z671" s="2"/>
      <c r="AA671" s="2"/>
    </row>
    <row r="672" spans="1:27" ht="23.1" customHeight="1" x14ac:dyDescent="0.25">
      <c r="A672" s="20" t="s">
        <v>751</v>
      </c>
      <c r="B672" s="3" t="s">
        <v>110</v>
      </c>
      <c r="C672" s="3">
        <v>79</v>
      </c>
      <c r="D672" s="3" t="s">
        <v>420</v>
      </c>
      <c r="E672" s="1" t="s">
        <v>153</v>
      </c>
      <c r="F672" s="21" t="s">
        <v>1247</v>
      </c>
      <c r="G672" s="3" t="s">
        <v>154</v>
      </c>
      <c r="H672" s="3">
        <v>25</v>
      </c>
      <c r="I672" s="3" t="s">
        <v>2017</v>
      </c>
      <c r="J672" s="3">
        <v>0.8</v>
      </c>
      <c r="K672" s="3">
        <v>0.8</v>
      </c>
      <c r="L672" s="23"/>
      <c r="M672" s="23">
        <v>26</v>
      </c>
      <c r="N672" s="24" t="s">
        <v>784</v>
      </c>
      <c r="O672" s="31"/>
      <c r="P672" s="34">
        <v>1260</v>
      </c>
      <c r="Q672" s="31">
        <v>90</v>
      </c>
      <c r="R672" s="31"/>
      <c r="S672" s="23">
        <v>1</v>
      </c>
      <c r="T672" s="31">
        <v>120</v>
      </c>
      <c r="U672" s="31"/>
      <c r="V672" s="38"/>
      <c r="W672" s="37"/>
      <c r="X672" s="29">
        <v>18.3</v>
      </c>
      <c r="Y672" s="3" t="s">
        <v>19</v>
      </c>
      <c r="Z672" s="3" t="s">
        <v>145</v>
      </c>
      <c r="AA672" s="2"/>
    </row>
    <row r="673" spans="1:27" ht="23.1" customHeight="1" x14ac:dyDescent="0.25">
      <c r="A673" s="20" t="s">
        <v>751</v>
      </c>
      <c r="B673" s="3" t="s">
        <v>110</v>
      </c>
      <c r="C673" s="3">
        <v>78</v>
      </c>
      <c r="D673" s="3" t="s">
        <v>177</v>
      </c>
      <c r="E673" s="1" t="s">
        <v>133</v>
      </c>
      <c r="F673" s="21" t="s">
        <v>133</v>
      </c>
      <c r="G673" s="3" t="s">
        <v>102</v>
      </c>
      <c r="H673" s="3">
        <v>15</v>
      </c>
      <c r="I673" s="3" t="s">
        <v>1977</v>
      </c>
      <c r="J673" s="3">
        <v>1</v>
      </c>
      <c r="K673" s="3">
        <v>1</v>
      </c>
      <c r="L673" s="23">
        <v>9</v>
      </c>
      <c r="M673" s="23">
        <v>9</v>
      </c>
      <c r="N673" s="24" t="s">
        <v>234</v>
      </c>
      <c r="O673" s="31"/>
      <c r="P673" s="34">
        <v>690</v>
      </c>
      <c r="Q673" s="31">
        <v>60</v>
      </c>
      <c r="R673" s="31"/>
      <c r="S673" s="23">
        <v>1</v>
      </c>
      <c r="T673" s="31">
        <v>120</v>
      </c>
      <c r="U673" s="31"/>
      <c r="V673" s="38"/>
      <c r="W673" s="37"/>
      <c r="X673" s="29">
        <v>12.5</v>
      </c>
      <c r="Y673" s="3" t="s">
        <v>19</v>
      </c>
      <c r="Z673" s="3" t="s">
        <v>145</v>
      </c>
      <c r="AA673" s="2"/>
    </row>
    <row r="674" spans="1:27" ht="23.1" customHeight="1" x14ac:dyDescent="0.25">
      <c r="A674" s="20" t="s">
        <v>751</v>
      </c>
      <c r="B674" s="3" t="s">
        <v>110</v>
      </c>
      <c r="C674" s="3">
        <v>78</v>
      </c>
      <c r="D674" s="3" t="s">
        <v>235</v>
      </c>
      <c r="E674" s="1" t="s">
        <v>236</v>
      </c>
      <c r="F674" s="21" t="s">
        <v>236</v>
      </c>
      <c r="G674" s="3" t="s">
        <v>154</v>
      </c>
      <c r="H674" s="3">
        <v>80</v>
      </c>
      <c r="I674" s="3" t="s">
        <v>1964</v>
      </c>
      <c r="J674" s="3">
        <v>1</v>
      </c>
      <c r="K674" s="3">
        <v>1</v>
      </c>
      <c r="L674" s="23"/>
      <c r="M674" s="23">
        <v>26</v>
      </c>
      <c r="N674" s="24" t="s">
        <v>159</v>
      </c>
      <c r="O674" s="31"/>
      <c r="P674" s="34">
        <v>360</v>
      </c>
      <c r="Q674" s="31"/>
      <c r="R674" s="31"/>
      <c r="S674" s="23"/>
      <c r="T674" s="31">
        <v>120</v>
      </c>
      <c r="U674" s="31"/>
      <c r="V674" s="38"/>
      <c r="W674" s="37">
        <v>4</v>
      </c>
      <c r="X674" s="29">
        <v>10</v>
      </c>
      <c r="Y674" s="3" t="s">
        <v>19</v>
      </c>
      <c r="Z674" s="2" t="s">
        <v>785</v>
      </c>
      <c r="AA674" s="1" t="s">
        <v>238</v>
      </c>
    </row>
    <row r="675" spans="1:27" ht="23.1" customHeight="1" x14ac:dyDescent="0.25">
      <c r="A675" s="20" t="s">
        <v>751</v>
      </c>
      <c r="B675" s="3" t="s">
        <v>110</v>
      </c>
      <c r="C675" s="3">
        <v>18</v>
      </c>
      <c r="D675" s="3" t="s">
        <v>205</v>
      </c>
      <c r="E675" s="1" t="s">
        <v>206</v>
      </c>
      <c r="F675" s="21" t="s">
        <v>206</v>
      </c>
      <c r="G675" s="3" t="s">
        <v>123</v>
      </c>
      <c r="H675" s="3">
        <v>70</v>
      </c>
      <c r="I675" s="3" t="s">
        <v>2050</v>
      </c>
      <c r="J675" s="3">
        <v>1</v>
      </c>
      <c r="K675" s="3">
        <v>1</v>
      </c>
      <c r="L675" s="23"/>
      <c r="M675" s="23">
        <v>26</v>
      </c>
      <c r="N675" s="24" t="s">
        <v>306</v>
      </c>
      <c r="O675" s="31"/>
      <c r="P675" s="34">
        <v>480</v>
      </c>
      <c r="Q675" s="31"/>
      <c r="R675" s="31"/>
      <c r="S675" s="23"/>
      <c r="T675" s="31">
        <v>120</v>
      </c>
      <c r="U675" s="31"/>
      <c r="V675" s="38"/>
      <c r="W675" s="37"/>
      <c r="X675" s="29">
        <v>8</v>
      </c>
      <c r="Y675" s="3" t="s">
        <v>16</v>
      </c>
      <c r="Z675" s="2"/>
      <c r="AA675" s="2"/>
    </row>
    <row r="676" spans="1:27" ht="23.1" customHeight="1" x14ac:dyDescent="0.25">
      <c r="A676" s="20" t="s">
        <v>751</v>
      </c>
      <c r="B676" s="3" t="s">
        <v>110</v>
      </c>
      <c r="C676" s="3">
        <v>24</v>
      </c>
      <c r="D676" s="3" t="s">
        <v>776</v>
      </c>
      <c r="E676" s="1" t="s">
        <v>777</v>
      </c>
      <c r="F676" s="21" t="s">
        <v>777</v>
      </c>
      <c r="G676" s="3" t="s">
        <v>107</v>
      </c>
      <c r="H676" s="3">
        <v>25</v>
      </c>
      <c r="I676" s="3" t="s">
        <v>2035</v>
      </c>
      <c r="J676" s="3">
        <v>1</v>
      </c>
      <c r="K676" s="3">
        <v>1.2</v>
      </c>
      <c r="L676" s="23">
        <v>9</v>
      </c>
      <c r="M676" s="23">
        <v>26</v>
      </c>
      <c r="N676" s="24" t="s">
        <v>786</v>
      </c>
      <c r="O676" s="31"/>
      <c r="P676" s="34">
        <v>840</v>
      </c>
      <c r="Q676" s="31">
        <v>120</v>
      </c>
      <c r="R676" s="31"/>
      <c r="S676" s="23">
        <v>1</v>
      </c>
      <c r="T676" s="31">
        <v>150</v>
      </c>
      <c r="U676" s="31"/>
      <c r="V676" s="38"/>
      <c r="W676" s="37"/>
      <c r="X676" s="29">
        <v>18.8</v>
      </c>
      <c r="Y676" s="3" t="s">
        <v>70</v>
      </c>
      <c r="Z676" s="2" t="s">
        <v>145</v>
      </c>
      <c r="AA676" s="2"/>
    </row>
    <row r="677" spans="1:27" ht="23.1" customHeight="1" x14ac:dyDescent="0.25">
      <c r="A677" s="20" t="s">
        <v>751</v>
      </c>
      <c r="B677" s="3" t="s">
        <v>110</v>
      </c>
      <c r="C677" s="3">
        <v>69</v>
      </c>
      <c r="D677" s="3" t="s">
        <v>787</v>
      </c>
      <c r="E677" s="1" t="s">
        <v>788</v>
      </c>
      <c r="F677" s="21" t="s">
        <v>788</v>
      </c>
      <c r="G677" s="3" t="s">
        <v>123</v>
      </c>
      <c r="H677" s="3">
        <v>50</v>
      </c>
      <c r="I677" s="3" t="s">
        <v>2051</v>
      </c>
      <c r="J677" s="3"/>
      <c r="K677" s="3">
        <v>4</v>
      </c>
      <c r="L677" s="23"/>
      <c r="M677" s="23"/>
      <c r="N677" s="24" t="s">
        <v>292</v>
      </c>
      <c r="O677" s="31"/>
      <c r="P677" s="34">
        <v>120</v>
      </c>
      <c r="Q677" s="31">
        <v>60</v>
      </c>
      <c r="R677" s="31"/>
      <c r="S677" s="23"/>
      <c r="T677" s="31">
        <v>90</v>
      </c>
      <c r="U677" s="31"/>
      <c r="V677" s="38"/>
      <c r="W677" s="37">
        <v>4</v>
      </c>
      <c r="X677" s="29">
        <v>12</v>
      </c>
      <c r="Y677" s="3" t="s">
        <v>70</v>
      </c>
      <c r="Z677" s="2" t="s">
        <v>789</v>
      </c>
      <c r="AA677" s="2"/>
    </row>
    <row r="678" spans="1:27" ht="23.1" customHeight="1" x14ac:dyDescent="0.25">
      <c r="A678" s="20" t="s">
        <v>751</v>
      </c>
      <c r="B678" s="3" t="s">
        <v>110</v>
      </c>
      <c r="C678" s="3">
        <v>69</v>
      </c>
      <c r="D678" s="3" t="s">
        <v>742</v>
      </c>
      <c r="E678" s="1" t="s">
        <v>663</v>
      </c>
      <c r="F678" s="21" t="s">
        <v>663</v>
      </c>
      <c r="G678" s="3" t="s">
        <v>250</v>
      </c>
      <c r="H678" s="3">
        <v>55</v>
      </c>
      <c r="I678" s="3" t="s">
        <v>2010</v>
      </c>
      <c r="J678" s="3">
        <v>1</v>
      </c>
      <c r="K678" s="3">
        <v>1</v>
      </c>
      <c r="L678" s="23">
        <v>9</v>
      </c>
      <c r="M678" s="23">
        <v>9</v>
      </c>
      <c r="N678" s="24" t="s">
        <v>429</v>
      </c>
      <c r="O678" s="31"/>
      <c r="P678" s="34">
        <v>450</v>
      </c>
      <c r="Q678" s="31">
        <v>90</v>
      </c>
      <c r="R678" s="31"/>
      <c r="S678" s="23">
        <v>1</v>
      </c>
      <c r="T678" s="31">
        <v>180</v>
      </c>
      <c r="U678" s="31"/>
      <c r="V678" s="38"/>
      <c r="W678" s="37">
        <v>3</v>
      </c>
      <c r="X678" s="29">
        <v>12</v>
      </c>
      <c r="Y678" s="3" t="s">
        <v>70</v>
      </c>
      <c r="Z678" s="2" t="s">
        <v>303</v>
      </c>
      <c r="AA678" s="2"/>
    </row>
    <row r="679" spans="1:27" ht="23.1" customHeight="1" x14ac:dyDescent="0.25">
      <c r="A679" s="20" t="s">
        <v>751</v>
      </c>
      <c r="B679" s="3" t="s">
        <v>110</v>
      </c>
      <c r="C679" s="3">
        <v>91</v>
      </c>
      <c r="D679" s="3" t="s">
        <v>790</v>
      </c>
      <c r="E679" s="1" t="s">
        <v>791</v>
      </c>
      <c r="F679" s="21" t="e">
        <v>#N/A</v>
      </c>
      <c r="G679" s="3" t="s">
        <v>108</v>
      </c>
      <c r="H679" s="3">
        <v>55</v>
      </c>
      <c r="I679" s="3"/>
      <c r="J679" s="3">
        <v>1</v>
      </c>
      <c r="K679" s="3"/>
      <c r="L679" s="23"/>
      <c r="M679" s="23">
        <v>9</v>
      </c>
      <c r="N679" s="24" t="s">
        <v>108</v>
      </c>
      <c r="O679" s="31"/>
      <c r="P679" s="34"/>
      <c r="Q679" s="31"/>
      <c r="R679" s="31"/>
      <c r="S679" s="23"/>
      <c r="T679" s="31"/>
      <c r="U679" s="31"/>
      <c r="V679" s="38"/>
      <c r="W679" s="37">
        <v>10.4</v>
      </c>
      <c r="X679" s="29">
        <v>10.4</v>
      </c>
      <c r="Y679" s="3" t="s">
        <v>70</v>
      </c>
      <c r="Z679" s="3" t="s">
        <v>792</v>
      </c>
      <c r="AA679" s="2"/>
    </row>
    <row r="680" spans="1:27" ht="23.1" customHeight="1" x14ac:dyDescent="0.25">
      <c r="A680" s="20" t="s">
        <v>751</v>
      </c>
      <c r="B680" s="3" t="s">
        <v>110</v>
      </c>
      <c r="C680" s="3">
        <v>121</v>
      </c>
      <c r="D680" s="3" t="s">
        <v>793</v>
      </c>
      <c r="E680" s="1" t="s">
        <v>120</v>
      </c>
      <c r="F680" s="21" t="e">
        <v>#N/A</v>
      </c>
      <c r="G680" s="3" t="s">
        <v>108</v>
      </c>
      <c r="H680" s="3"/>
      <c r="I680" s="3"/>
      <c r="J680" s="3"/>
      <c r="K680" s="3">
        <v>1</v>
      </c>
      <c r="L680" s="23"/>
      <c r="M680" s="23">
        <v>9</v>
      </c>
      <c r="N680" s="24" t="s">
        <v>108</v>
      </c>
      <c r="O680" s="31"/>
      <c r="P680" s="34"/>
      <c r="Q680" s="31"/>
      <c r="R680" s="31"/>
      <c r="S680" s="23"/>
      <c r="T680" s="31"/>
      <c r="U680" s="31"/>
      <c r="V680" s="38"/>
      <c r="W680" s="37">
        <v>8</v>
      </c>
      <c r="X680" s="29">
        <v>8</v>
      </c>
      <c r="Y680" s="3" t="s">
        <v>70</v>
      </c>
      <c r="Z680" s="2"/>
      <c r="AA680" s="2"/>
    </row>
    <row r="681" spans="1:27" ht="23.1" customHeight="1" x14ac:dyDescent="0.25">
      <c r="A681" s="20" t="s">
        <v>751</v>
      </c>
      <c r="B681" s="3" t="s">
        <v>110</v>
      </c>
      <c r="C681" s="3">
        <v>84</v>
      </c>
      <c r="D681" s="3" t="s">
        <v>594</v>
      </c>
      <c r="E681" s="1" t="s">
        <v>595</v>
      </c>
      <c r="F681" s="21" t="s">
        <v>595</v>
      </c>
      <c r="G681" s="3" t="s">
        <v>102</v>
      </c>
      <c r="H681" s="3">
        <v>25</v>
      </c>
      <c r="I681" s="3" t="s">
        <v>2052</v>
      </c>
      <c r="J681" s="3">
        <v>1</v>
      </c>
      <c r="K681" s="3">
        <v>1</v>
      </c>
      <c r="L681" s="23">
        <v>9</v>
      </c>
      <c r="M681" s="23"/>
      <c r="N681" s="24" t="s">
        <v>596</v>
      </c>
      <c r="O681" s="31"/>
      <c r="P681" s="34">
        <v>120</v>
      </c>
      <c r="Q681" s="31">
        <v>60</v>
      </c>
      <c r="R681" s="31"/>
      <c r="S681" s="23">
        <v>1</v>
      </c>
      <c r="T681" s="31">
        <v>120</v>
      </c>
      <c r="U681" s="31"/>
      <c r="V681" s="38">
        <v>1</v>
      </c>
      <c r="W681" s="37">
        <v>5</v>
      </c>
      <c r="X681" s="29">
        <v>10</v>
      </c>
      <c r="Y681" s="3" t="s">
        <v>70</v>
      </c>
      <c r="Z681" s="2" t="s">
        <v>794</v>
      </c>
      <c r="AA681" s="2"/>
    </row>
    <row r="682" spans="1:27" ht="23.1" customHeight="1" x14ac:dyDescent="0.25">
      <c r="A682" s="20" t="s">
        <v>751</v>
      </c>
      <c r="B682" s="3" t="s">
        <v>110</v>
      </c>
      <c r="C682" s="3">
        <v>119</v>
      </c>
      <c r="D682" s="3" t="s">
        <v>288</v>
      </c>
      <c r="E682" s="1" t="s">
        <v>255</v>
      </c>
      <c r="F682" s="21" t="s">
        <v>1532</v>
      </c>
      <c r="G682" s="3" t="s">
        <v>250</v>
      </c>
      <c r="H682" s="3">
        <v>50</v>
      </c>
      <c r="I682" s="3" t="s">
        <v>2021</v>
      </c>
      <c r="J682" s="3">
        <v>0.3</v>
      </c>
      <c r="K682" s="3">
        <v>0.2</v>
      </c>
      <c r="L682" s="23"/>
      <c r="M682" s="23">
        <v>28</v>
      </c>
      <c r="N682" s="24" t="s">
        <v>475</v>
      </c>
      <c r="O682" s="31"/>
      <c r="P682" s="34">
        <v>3000</v>
      </c>
      <c r="Q682" s="31">
        <v>90</v>
      </c>
      <c r="R682" s="31"/>
      <c r="S682" s="23">
        <v>1</v>
      </c>
      <c r="T682" s="31">
        <v>150</v>
      </c>
      <c r="U682" s="31"/>
      <c r="V682" s="38"/>
      <c r="W682" s="37">
        <v>4</v>
      </c>
      <c r="X682" s="29">
        <v>15.5</v>
      </c>
      <c r="Y682" s="3" t="s">
        <v>70</v>
      </c>
      <c r="Z682" s="2" t="s">
        <v>795</v>
      </c>
      <c r="AA682" s="2"/>
    </row>
    <row r="683" spans="1:27" ht="23.1" customHeight="1" x14ac:dyDescent="0.25">
      <c r="A683" s="20" t="s">
        <v>796</v>
      </c>
      <c r="B683" s="3" t="s">
        <v>99</v>
      </c>
      <c r="C683" s="3">
        <v>55</v>
      </c>
      <c r="D683" s="3" t="s">
        <v>797</v>
      </c>
      <c r="E683" s="1" t="s">
        <v>139</v>
      </c>
      <c r="F683" s="21" t="s">
        <v>139</v>
      </c>
      <c r="G683" s="3" t="s">
        <v>108</v>
      </c>
      <c r="H683" s="3">
        <v>10</v>
      </c>
      <c r="I683" s="2"/>
      <c r="J683" s="3"/>
      <c r="K683" s="3"/>
      <c r="L683" s="23"/>
      <c r="M683" s="23">
        <v>26</v>
      </c>
      <c r="N683" s="24" t="s">
        <v>108</v>
      </c>
      <c r="O683" s="34"/>
      <c r="P683" s="31"/>
      <c r="Q683" s="31"/>
      <c r="R683" s="31"/>
      <c r="S683" s="23"/>
      <c r="T683" s="31"/>
      <c r="U683" s="31"/>
      <c r="V683" s="36"/>
      <c r="W683" s="37">
        <v>2</v>
      </c>
      <c r="X683" s="29">
        <v>2</v>
      </c>
      <c r="Y683" s="3" t="s">
        <v>18</v>
      </c>
      <c r="Z683" s="2" t="s">
        <v>798</v>
      </c>
      <c r="AA683" s="1" t="s">
        <v>238</v>
      </c>
    </row>
    <row r="684" spans="1:27" ht="23.1" customHeight="1" x14ac:dyDescent="0.25">
      <c r="A684" s="20" t="s">
        <v>796</v>
      </c>
      <c r="B684" s="3" t="s">
        <v>110</v>
      </c>
      <c r="C684" s="3">
        <v>22</v>
      </c>
      <c r="D684" s="3" t="s">
        <v>635</v>
      </c>
      <c r="E684" s="1" t="s">
        <v>612</v>
      </c>
      <c r="F684" s="21" t="s">
        <v>612</v>
      </c>
      <c r="G684" s="3" t="s">
        <v>102</v>
      </c>
      <c r="H684" s="3">
        <v>45</v>
      </c>
      <c r="I684" s="3" t="s">
        <v>2015</v>
      </c>
      <c r="J684" s="3">
        <v>0.3</v>
      </c>
      <c r="K684" s="3">
        <v>0.3</v>
      </c>
      <c r="L684" s="23"/>
      <c r="M684" s="23">
        <v>5</v>
      </c>
      <c r="N684" s="24" t="s">
        <v>613</v>
      </c>
      <c r="O684" s="31"/>
      <c r="P684" s="34">
        <v>6000</v>
      </c>
      <c r="Q684" s="31">
        <v>180</v>
      </c>
      <c r="R684" s="31"/>
      <c r="S684" s="23">
        <v>1</v>
      </c>
      <c r="T684" s="31">
        <v>180</v>
      </c>
      <c r="U684" s="31"/>
      <c r="V684" s="38">
        <v>1</v>
      </c>
      <c r="W684" s="37"/>
      <c r="X684" s="29">
        <v>36</v>
      </c>
      <c r="Y684" s="3" t="s">
        <v>49</v>
      </c>
      <c r="Z684" s="2" t="s">
        <v>799</v>
      </c>
      <c r="AA684" s="2"/>
    </row>
    <row r="685" spans="1:27" ht="23.1" customHeight="1" x14ac:dyDescent="0.25">
      <c r="A685" s="20" t="s">
        <v>796</v>
      </c>
      <c r="B685" s="3" t="s">
        <v>110</v>
      </c>
      <c r="C685" s="3">
        <v>79</v>
      </c>
      <c r="D685" s="3" t="s">
        <v>420</v>
      </c>
      <c r="E685" s="1" t="s">
        <v>153</v>
      </c>
      <c r="F685" s="21" t="s">
        <v>1247</v>
      </c>
      <c r="G685" s="3" t="s">
        <v>154</v>
      </c>
      <c r="H685" s="3">
        <v>25</v>
      </c>
      <c r="I685" s="3" t="s">
        <v>2017</v>
      </c>
      <c r="J685" s="3">
        <v>0.7</v>
      </c>
      <c r="K685" s="3">
        <v>0.2</v>
      </c>
      <c r="L685" s="23"/>
      <c r="M685" s="23">
        <v>26</v>
      </c>
      <c r="N685" s="24" t="s">
        <v>784</v>
      </c>
      <c r="O685" s="31"/>
      <c r="P685" s="34">
        <v>1260</v>
      </c>
      <c r="Q685" s="31">
        <v>90</v>
      </c>
      <c r="R685" s="31"/>
      <c r="S685" s="23"/>
      <c r="T685" s="31">
        <v>120</v>
      </c>
      <c r="U685" s="31"/>
      <c r="V685" s="38"/>
      <c r="W685" s="37"/>
      <c r="X685" s="29">
        <v>4.2</v>
      </c>
      <c r="Y685" s="3" t="s">
        <v>5</v>
      </c>
      <c r="Z685" s="2"/>
      <c r="AA685" s="2"/>
    </row>
    <row r="686" spans="1:27" ht="23.1" customHeight="1" x14ac:dyDescent="0.25">
      <c r="A686" s="20" t="s">
        <v>796</v>
      </c>
      <c r="B686" s="3" t="s">
        <v>110</v>
      </c>
      <c r="C686" s="3">
        <v>79</v>
      </c>
      <c r="D686" s="3" t="s">
        <v>420</v>
      </c>
      <c r="E686" s="1" t="s">
        <v>153</v>
      </c>
      <c r="F686" s="21" t="s">
        <v>1247</v>
      </c>
      <c r="G686" s="3" t="s">
        <v>154</v>
      </c>
      <c r="H686" s="3">
        <v>30</v>
      </c>
      <c r="I686" s="3" t="s">
        <v>2053</v>
      </c>
      <c r="J686" s="3"/>
      <c r="K686" s="3">
        <v>0.3</v>
      </c>
      <c r="L686" s="23"/>
      <c r="M686" s="23">
        <v>26</v>
      </c>
      <c r="N686" s="24" t="s">
        <v>784</v>
      </c>
      <c r="O686" s="31"/>
      <c r="P686" s="34">
        <v>1830</v>
      </c>
      <c r="Q686" s="31">
        <v>90</v>
      </c>
      <c r="R686" s="31"/>
      <c r="S686" s="23">
        <v>1</v>
      </c>
      <c r="T686" s="31">
        <v>120</v>
      </c>
      <c r="U686" s="31"/>
      <c r="V686" s="38">
        <v>1</v>
      </c>
      <c r="W686" s="37"/>
      <c r="X686" s="29">
        <v>12.7</v>
      </c>
      <c r="Y686" s="3" t="s">
        <v>5</v>
      </c>
      <c r="Z686" s="2" t="s">
        <v>800</v>
      </c>
      <c r="AA686" s="1" t="s">
        <v>238</v>
      </c>
    </row>
    <row r="687" spans="1:27" ht="23.1" customHeight="1" x14ac:dyDescent="0.25">
      <c r="A687" s="20" t="s">
        <v>796</v>
      </c>
      <c r="B687" s="3" t="s">
        <v>110</v>
      </c>
      <c r="C687" s="3">
        <v>11</v>
      </c>
      <c r="D687" s="3" t="s">
        <v>690</v>
      </c>
      <c r="E687" s="1" t="s">
        <v>691</v>
      </c>
      <c r="F687" s="21" t="s">
        <v>691</v>
      </c>
      <c r="G687" s="3" t="s">
        <v>123</v>
      </c>
      <c r="H687" s="3">
        <v>15</v>
      </c>
      <c r="I687" s="3" t="s">
        <v>2033</v>
      </c>
      <c r="J687" s="3">
        <v>2</v>
      </c>
      <c r="K687" s="3">
        <v>2</v>
      </c>
      <c r="L687" s="23">
        <v>9</v>
      </c>
      <c r="M687" s="23"/>
      <c r="N687" s="24" t="s">
        <v>801</v>
      </c>
      <c r="O687" s="31"/>
      <c r="P687" s="34">
        <v>190</v>
      </c>
      <c r="Q687" s="31"/>
      <c r="R687" s="31"/>
      <c r="S687" s="23"/>
      <c r="T687" s="31">
        <v>60</v>
      </c>
      <c r="U687" s="31"/>
      <c r="V687" s="38"/>
      <c r="W687" s="37"/>
      <c r="X687" s="29">
        <v>6.3</v>
      </c>
      <c r="Y687" s="3" t="s">
        <v>60</v>
      </c>
      <c r="Z687" s="2"/>
      <c r="AA687" s="2"/>
    </row>
    <row r="688" spans="1:27" ht="23.1" customHeight="1" x14ac:dyDescent="0.25">
      <c r="A688" s="20" t="s">
        <v>796</v>
      </c>
      <c r="B688" s="3" t="s">
        <v>110</v>
      </c>
      <c r="C688" s="3">
        <v>11</v>
      </c>
      <c r="D688" s="3" t="s">
        <v>690</v>
      </c>
      <c r="E688" s="1" t="s">
        <v>691</v>
      </c>
      <c r="F688" s="21" t="s">
        <v>691</v>
      </c>
      <c r="G688" s="3" t="s">
        <v>123</v>
      </c>
      <c r="H688" s="3">
        <v>25</v>
      </c>
      <c r="I688" s="3" t="s">
        <v>2054</v>
      </c>
      <c r="J688" s="3">
        <v>2</v>
      </c>
      <c r="K688" s="3">
        <v>0.5</v>
      </c>
      <c r="L688" s="23"/>
      <c r="M688" s="23">
        <v>26</v>
      </c>
      <c r="N688" s="24" t="s">
        <v>801</v>
      </c>
      <c r="O688" s="31"/>
      <c r="P688" s="34">
        <v>180</v>
      </c>
      <c r="Q688" s="31"/>
      <c r="R688" s="31"/>
      <c r="S688" s="23"/>
      <c r="T688" s="31">
        <v>60</v>
      </c>
      <c r="U688" s="31"/>
      <c r="V688" s="38"/>
      <c r="W688" s="37"/>
      <c r="X688" s="29">
        <v>1.5</v>
      </c>
      <c r="Y688" s="3" t="s">
        <v>60</v>
      </c>
      <c r="Z688" s="2" t="s">
        <v>92</v>
      </c>
      <c r="AA688" s="2"/>
    </row>
    <row r="689" spans="1:27" ht="23.1" customHeight="1" x14ac:dyDescent="0.25">
      <c r="A689" s="20" t="s">
        <v>796</v>
      </c>
      <c r="B689" s="3" t="s">
        <v>110</v>
      </c>
      <c r="C689" s="3">
        <v>57</v>
      </c>
      <c r="D689" s="3" t="s">
        <v>698</v>
      </c>
      <c r="E689" s="1" t="s">
        <v>699</v>
      </c>
      <c r="F689" s="21" t="e">
        <v>#N/A</v>
      </c>
      <c r="G689" s="3" t="s">
        <v>123</v>
      </c>
      <c r="H689" s="3">
        <v>15</v>
      </c>
      <c r="I689" s="3" t="s">
        <v>2042</v>
      </c>
      <c r="J689" s="3">
        <v>4</v>
      </c>
      <c r="K689" s="3">
        <v>5.5</v>
      </c>
      <c r="L689" s="23">
        <v>26</v>
      </c>
      <c r="M689" s="23">
        <v>23</v>
      </c>
      <c r="N689" s="24" t="s">
        <v>439</v>
      </c>
      <c r="O689" s="31"/>
      <c r="P689" s="34">
        <v>130</v>
      </c>
      <c r="Q689" s="31"/>
      <c r="R689" s="31"/>
      <c r="S689" s="23"/>
      <c r="T689" s="31">
        <v>60</v>
      </c>
      <c r="U689" s="31"/>
      <c r="V689" s="38"/>
      <c r="W689" s="37"/>
      <c r="X689" s="29">
        <v>11.9</v>
      </c>
      <c r="Y689" s="3" t="s">
        <v>0</v>
      </c>
      <c r="Z689" s="2"/>
      <c r="AA689" s="2"/>
    </row>
    <row r="690" spans="1:27" ht="23.1" customHeight="1" x14ac:dyDescent="0.25">
      <c r="A690" s="20" t="s">
        <v>751</v>
      </c>
      <c r="B690" s="3" t="s">
        <v>99</v>
      </c>
      <c r="C690" s="3">
        <v>59</v>
      </c>
      <c r="D690" s="3" t="s">
        <v>616</v>
      </c>
      <c r="E690" s="1" t="s">
        <v>617</v>
      </c>
      <c r="F690" s="21" t="s">
        <v>617</v>
      </c>
      <c r="G690" s="3" t="s">
        <v>102</v>
      </c>
      <c r="H690" s="3">
        <v>25</v>
      </c>
      <c r="I690" s="3" t="s">
        <v>2022</v>
      </c>
      <c r="J690" s="3"/>
      <c r="K690" s="3">
        <v>2</v>
      </c>
      <c r="L690" s="23">
        <v>9</v>
      </c>
      <c r="M690" s="23">
        <v>9</v>
      </c>
      <c r="N690" s="24" t="s">
        <v>596</v>
      </c>
      <c r="O690" s="31"/>
      <c r="P690" s="34">
        <v>50</v>
      </c>
      <c r="Q690" s="31"/>
      <c r="R690" s="31"/>
      <c r="S690" s="23"/>
      <c r="T690" s="31">
        <v>90</v>
      </c>
      <c r="U690" s="31"/>
      <c r="V690" s="38">
        <v>1</v>
      </c>
      <c r="W690" s="37">
        <v>2</v>
      </c>
      <c r="X690" s="29">
        <v>5.2</v>
      </c>
      <c r="Y690" s="3" t="s">
        <v>42</v>
      </c>
      <c r="Z690" s="2" t="s">
        <v>802</v>
      </c>
      <c r="AA690" s="1" t="s">
        <v>238</v>
      </c>
    </row>
    <row r="691" spans="1:27" ht="23.1" customHeight="1" x14ac:dyDescent="0.25">
      <c r="A691" s="20" t="s">
        <v>796</v>
      </c>
      <c r="B691" s="3" t="s">
        <v>110</v>
      </c>
      <c r="C691" s="3">
        <v>14</v>
      </c>
      <c r="D691" s="3" t="s">
        <v>235</v>
      </c>
      <c r="E691" s="1" t="s">
        <v>236</v>
      </c>
      <c r="F691" s="21" t="s">
        <v>236</v>
      </c>
      <c r="G691" s="3" t="s">
        <v>154</v>
      </c>
      <c r="H691" s="3">
        <v>30</v>
      </c>
      <c r="I691" s="3" t="s">
        <v>2379</v>
      </c>
      <c r="J691" s="3">
        <v>1</v>
      </c>
      <c r="K691" s="3">
        <v>1</v>
      </c>
      <c r="L691" s="23">
        <v>9</v>
      </c>
      <c r="M691" s="23">
        <v>5</v>
      </c>
      <c r="N691" s="24" t="s">
        <v>234</v>
      </c>
      <c r="O691" s="31"/>
      <c r="P691" s="34"/>
      <c r="Q691" s="31"/>
      <c r="R691" s="31"/>
      <c r="S691" s="23"/>
      <c r="T691" s="31"/>
      <c r="U691" s="31"/>
      <c r="V691" s="38">
        <v>1</v>
      </c>
      <c r="W691" s="37">
        <v>2</v>
      </c>
      <c r="X691" s="29">
        <v>2</v>
      </c>
      <c r="Y691" s="3" t="s">
        <v>60</v>
      </c>
      <c r="Z691" s="2" t="s">
        <v>803</v>
      </c>
      <c r="AA691" s="2"/>
    </row>
    <row r="692" spans="1:27" ht="23.1" customHeight="1" x14ac:dyDescent="0.25">
      <c r="A692" s="20" t="s">
        <v>796</v>
      </c>
      <c r="B692" s="3" t="s">
        <v>110</v>
      </c>
      <c r="C692" s="3">
        <v>14</v>
      </c>
      <c r="D692" s="3" t="s">
        <v>235</v>
      </c>
      <c r="E692" s="1" t="s">
        <v>236</v>
      </c>
      <c r="F692" s="21" t="s">
        <v>236</v>
      </c>
      <c r="G692" s="3" t="s">
        <v>154</v>
      </c>
      <c r="H692" s="3">
        <v>90</v>
      </c>
      <c r="I692" s="3" t="s">
        <v>2025</v>
      </c>
      <c r="J692" s="3"/>
      <c r="K692" s="3">
        <v>1</v>
      </c>
      <c r="L692" s="23"/>
      <c r="M692" s="23">
        <v>5</v>
      </c>
      <c r="N692" s="24" t="s">
        <v>159</v>
      </c>
      <c r="O692" s="31"/>
      <c r="P692" s="34">
        <v>240</v>
      </c>
      <c r="Q692" s="31"/>
      <c r="R692" s="31"/>
      <c r="S692" s="23"/>
      <c r="T692" s="31">
        <v>90</v>
      </c>
      <c r="U692" s="31"/>
      <c r="V692" s="38">
        <v>1</v>
      </c>
      <c r="W692" s="37"/>
      <c r="X692" s="29">
        <v>5.5</v>
      </c>
      <c r="Y692" s="3" t="s">
        <v>60</v>
      </c>
      <c r="Z692" s="2" t="s">
        <v>92</v>
      </c>
      <c r="AA692" s="2"/>
    </row>
    <row r="693" spans="1:27" ht="23.1" customHeight="1" x14ac:dyDescent="0.25">
      <c r="A693" s="20" t="s">
        <v>796</v>
      </c>
      <c r="B693" s="3" t="s">
        <v>110</v>
      </c>
      <c r="C693" s="3">
        <v>76</v>
      </c>
      <c r="D693" s="3" t="s">
        <v>239</v>
      </c>
      <c r="E693" s="1" t="s">
        <v>240</v>
      </c>
      <c r="F693" s="21" t="s">
        <v>240</v>
      </c>
      <c r="G693" s="3" t="s">
        <v>154</v>
      </c>
      <c r="H693" s="3">
        <v>33</v>
      </c>
      <c r="I693" s="3"/>
      <c r="J693" s="3">
        <v>16</v>
      </c>
      <c r="K693" s="3">
        <v>25</v>
      </c>
      <c r="L693" s="23">
        <v>37</v>
      </c>
      <c r="M693" s="23">
        <v>19</v>
      </c>
      <c r="N693" s="24" t="s">
        <v>318</v>
      </c>
      <c r="O693" s="31">
        <v>30</v>
      </c>
      <c r="P693" s="34"/>
      <c r="Q693" s="31"/>
      <c r="R693" s="31"/>
      <c r="S693" s="23"/>
      <c r="T693" s="31"/>
      <c r="U693" s="31">
        <v>60</v>
      </c>
      <c r="V693" s="38">
        <v>1</v>
      </c>
      <c r="W693" s="37">
        <v>2</v>
      </c>
      <c r="X693" s="32">
        <v>15.5</v>
      </c>
      <c r="Y693" s="3" t="s">
        <v>12</v>
      </c>
      <c r="Z693" s="2" t="s">
        <v>804</v>
      </c>
      <c r="AA693" s="1" t="s">
        <v>238</v>
      </c>
    </row>
    <row r="694" spans="1:27" ht="23.1" customHeight="1" x14ac:dyDescent="0.25">
      <c r="A694" s="20" t="s">
        <v>796</v>
      </c>
      <c r="B694" s="3" t="s">
        <v>110</v>
      </c>
      <c r="C694" s="3">
        <v>16</v>
      </c>
      <c r="D694" s="3" t="s">
        <v>753</v>
      </c>
      <c r="E694" s="1" t="s">
        <v>409</v>
      </c>
      <c r="F694" s="21" t="s">
        <v>409</v>
      </c>
      <c r="G694" s="3" t="s">
        <v>102</v>
      </c>
      <c r="H694" s="3">
        <v>10</v>
      </c>
      <c r="I694" s="3" t="s">
        <v>2038</v>
      </c>
      <c r="J694" s="3">
        <v>7</v>
      </c>
      <c r="K694" s="3">
        <v>7</v>
      </c>
      <c r="L694" s="23">
        <v>19</v>
      </c>
      <c r="M694" s="23">
        <v>9</v>
      </c>
      <c r="N694" s="24" t="s">
        <v>596</v>
      </c>
      <c r="O694" s="31"/>
      <c r="P694" s="34">
        <v>50</v>
      </c>
      <c r="Q694" s="31"/>
      <c r="R694" s="31"/>
      <c r="S694" s="23"/>
      <c r="T694" s="31">
        <v>90</v>
      </c>
      <c r="U694" s="31"/>
      <c r="V694" s="38"/>
      <c r="W694" s="37"/>
      <c r="X694" s="29">
        <v>5.8</v>
      </c>
      <c r="Y694" s="3" t="s">
        <v>10</v>
      </c>
      <c r="Z694" s="2"/>
      <c r="AA694" s="2"/>
    </row>
    <row r="695" spans="1:27" ht="23.1" customHeight="1" x14ac:dyDescent="0.25">
      <c r="A695" s="20" t="s">
        <v>796</v>
      </c>
      <c r="B695" s="3" t="s">
        <v>110</v>
      </c>
      <c r="C695" s="3">
        <v>16</v>
      </c>
      <c r="D695" s="3" t="s">
        <v>805</v>
      </c>
      <c r="E695" s="1" t="s">
        <v>806</v>
      </c>
      <c r="F695" s="21" t="s">
        <v>806</v>
      </c>
      <c r="G695" s="3" t="s">
        <v>154</v>
      </c>
      <c r="H695" s="3">
        <v>5</v>
      </c>
      <c r="I695" s="3" t="s">
        <v>1957</v>
      </c>
      <c r="J695" s="3">
        <v>1</v>
      </c>
      <c r="K695" s="3">
        <v>2</v>
      </c>
      <c r="L695" s="23">
        <v>9</v>
      </c>
      <c r="M695" s="23">
        <v>9</v>
      </c>
      <c r="N695" s="24" t="s">
        <v>438</v>
      </c>
      <c r="O695" s="31"/>
      <c r="P695" s="34">
        <v>330</v>
      </c>
      <c r="Q695" s="31"/>
      <c r="R695" s="31"/>
      <c r="S695" s="23"/>
      <c r="T695" s="31">
        <v>60</v>
      </c>
      <c r="U695" s="31"/>
      <c r="V695" s="38">
        <v>1</v>
      </c>
      <c r="W695" s="37"/>
      <c r="X695" s="29">
        <v>12</v>
      </c>
      <c r="Y695" s="3" t="s">
        <v>10</v>
      </c>
      <c r="Z695" s="2" t="s">
        <v>92</v>
      </c>
      <c r="AA695" s="2"/>
    </row>
    <row r="696" spans="1:27" ht="23.1" customHeight="1" x14ac:dyDescent="0.25">
      <c r="A696" s="20" t="s">
        <v>796</v>
      </c>
      <c r="B696" s="3" t="s">
        <v>110</v>
      </c>
      <c r="C696" s="3">
        <v>59</v>
      </c>
      <c r="D696" s="3" t="s">
        <v>807</v>
      </c>
      <c r="E696" s="1" t="s">
        <v>808</v>
      </c>
      <c r="F696" s="21" t="s">
        <v>808</v>
      </c>
      <c r="G696" s="3" t="s">
        <v>154</v>
      </c>
      <c r="H696" s="3">
        <v>55</v>
      </c>
      <c r="I696" s="3" t="s">
        <v>1898</v>
      </c>
      <c r="J696" s="3"/>
      <c r="K696" s="3">
        <v>14</v>
      </c>
      <c r="L696" s="23">
        <v>26</v>
      </c>
      <c r="M696" s="23">
        <v>26</v>
      </c>
      <c r="N696" s="24" t="s">
        <v>809</v>
      </c>
      <c r="O696" s="31"/>
      <c r="P696" s="34">
        <v>20</v>
      </c>
      <c r="Q696" s="31"/>
      <c r="R696" s="31"/>
      <c r="S696" s="23"/>
      <c r="T696" s="31">
        <v>60</v>
      </c>
      <c r="U696" s="31"/>
      <c r="V696" s="38"/>
      <c r="W696" s="37"/>
      <c r="X696" s="29">
        <v>4.7</v>
      </c>
      <c r="Y696" s="3" t="s">
        <v>6</v>
      </c>
      <c r="Z696" s="2"/>
      <c r="AA696" s="2"/>
    </row>
    <row r="697" spans="1:27" ht="23.1" customHeight="1" x14ac:dyDescent="0.25">
      <c r="A697" s="20" t="s">
        <v>796</v>
      </c>
      <c r="B697" s="3" t="s">
        <v>110</v>
      </c>
      <c r="C697" s="3">
        <v>59</v>
      </c>
      <c r="D697" s="3" t="s">
        <v>810</v>
      </c>
      <c r="E697" s="1" t="s">
        <v>811</v>
      </c>
      <c r="F697" s="21" t="s">
        <v>811</v>
      </c>
      <c r="G697" s="3" t="s">
        <v>154</v>
      </c>
      <c r="H697" s="3">
        <v>40</v>
      </c>
      <c r="I697" s="3" t="s">
        <v>2055</v>
      </c>
      <c r="J697" s="3">
        <v>2</v>
      </c>
      <c r="K697" s="3">
        <v>2</v>
      </c>
      <c r="L697" s="23">
        <v>9</v>
      </c>
      <c r="M697" s="23">
        <v>9</v>
      </c>
      <c r="N697" s="24" t="s">
        <v>140</v>
      </c>
      <c r="O697" s="31"/>
      <c r="P697" s="34">
        <v>35</v>
      </c>
      <c r="Q697" s="31"/>
      <c r="R697" s="31"/>
      <c r="S697" s="23"/>
      <c r="T697" s="31">
        <v>90</v>
      </c>
      <c r="U697" s="31"/>
      <c r="V697" s="38">
        <v>1</v>
      </c>
      <c r="W697" s="37">
        <v>2</v>
      </c>
      <c r="X697" s="29">
        <v>4.7</v>
      </c>
      <c r="Y697" s="3" t="s">
        <v>6</v>
      </c>
      <c r="Z697" s="2" t="s">
        <v>279</v>
      </c>
      <c r="AA697" s="2"/>
    </row>
    <row r="698" spans="1:27" ht="23.1" customHeight="1" x14ac:dyDescent="0.25">
      <c r="A698" s="20" t="s">
        <v>796</v>
      </c>
      <c r="B698" s="3" t="s">
        <v>110</v>
      </c>
      <c r="C698" s="3">
        <v>59</v>
      </c>
      <c r="D698" s="3" t="s">
        <v>807</v>
      </c>
      <c r="E698" s="1" t="s">
        <v>808</v>
      </c>
      <c r="F698" s="21" t="s">
        <v>808</v>
      </c>
      <c r="G698" s="3" t="s">
        <v>154</v>
      </c>
      <c r="H698" s="3">
        <v>55</v>
      </c>
      <c r="I698" s="3" t="s">
        <v>1898</v>
      </c>
      <c r="J698" s="3"/>
      <c r="K698" s="3">
        <v>1</v>
      </c>
      <c r="L698" s="23"/>
      <c r="M698" s="23"/>
      <c r="N698" s="24" t="s">
        <v>809</v>
      </c>
      <c r="O698" s="31"/>
      <c r="P698" s="34">
        <v>20</v>
      </c>
      <c r="Q698" s="31"/>
      <c r="R698" s="31"/>
      <c r="S698" s="23"/>
      <c r="T698" s="31">
        <v>60</v>
      </c>
      <c r="U698" s="31"/>
      <c r="V698" s="38">
        <v>1</v>
      </c>
      <c r="W698" s="37">
        <v>2</v>
      </c>
      <c r="X698" s="29">
        <v>3.3</v>
      </c>
      <c r="Y698" s="3" t="s">
        <v>6</v>
      </c>
      <c r="Z698" s="2" t="s">
        <v>812</v>
      </c>
      <c r="AA698" s="1" t="s">
        <v>238</v>
      </c>
    </row>
    <row r="699" spans="1:27" ht="23.1" customHeight="1" x14ac:dyDescent="0.25">
      <c r="A699" s="20" t="s">
        <v>796</v>
      </c>
      <c r="B699" s="3" t="s">
        <v>110</v>
      </c>
      <c r="C699" s="3">
        <v>59</v>
      </c>
      <c r="D699" s="3" t="s">
        <v>810</v>
      </c>
      <c r="E699" s="1" t="s">
        <v>811</v>
      </c>
      <c r="F699" s="21" t="s">
        <v>811</v>
      </c>
      <c r="G699" s="3" t="s">
        <v>154</v>
      </c>
      <c r="H699" s="3">
        <v>40</v>
      </c>
      <c r="I699" s="3" t="s">
        <v>2055</v>
      </c>
      <c r="J699" s="3"/>
      <c r="K699" s="3"/>
      <c r="L699" s="23"/>
      <c r="M699" s="23"/>
      <c r="N699" s="24" t="s">
        <v>140</v>
      </c>
      <c r="O699" s="31"/>
      <c r="P699" s="34">
        <v>35</v>
      </c>
      <c r="Q699" s="31"/>
      <c r="R699" s="31"/>
      <c r="S699" s="23"/>
      <c r="T699" s="31">
        <v>90</v>
      </c>
      <c r="U699" s="31"/>
      <c r="V699" s="38">
        <v>1</v>
      </c>
      <c r="W699" s="37">
        <v>2</v>
      </c>
      <c r="X699" s="29">
        <v>3.5</v>
      </c>
      <c r="Y699" s="3" t="s">
        <v>6</v>
      </c>
      <c r="Z699" s="2" t="s">
        <v>546</v>
      </c>
      <c r="AA699" s="1" t="s">
        <v>238</v>
      </c>
    </row>
    <row r="700" spans="1:27" ht="23.1" customHeight="1" x14ac:dyDescent="0.25">
      <c r="A700" s="20" t="s">
        <v>796</v>
      </c>
      <c r="B700" s="3" t="s">
        <v>110</v>
      </c>
      <c r="C700" s="3">
        <v>58</v>
      </c>
      <c r="D700" s="3" t="s">
        <v>813</v>
      </c>
      <c r="E700" s="1" t="s">
        <v>409</v>
      </c>
      <c r="F700" s="21" t="s">
        <v>409</v>
      </c>
      <c r="G700" s="3" t="s">
        <v>102</v>
      </c>
      <c r="H700" s="3">
        <v>15</v>
      </c>
      <c r="I700" s="3" t="s">
        <v>2056</v>
      </c>
      <c r="J700" s="3"/>
      <c r="K700" s="3">
        <v>1</v>
      </c>
      <c r="L700" s="23">
        <v>9</v>
      </c>
      <c r="M700" s="23">
        <v>9</v>
      </c>
      <c r="N700" s="24" t="s">
        <v>596</v>
      </c>
      <c r="O700" s="31"/>
      <c r="P700" s="34">
        <v>50</v>
      </c>
      <c r="Q700" s="31"/>
      <c r="R700" s="31"/>
      <c r="S700" s="23"/>
      <c r="T700" s="31">
        <v>90</v>
      </c>
      <c r="U700" s="31"/>
      <c r="V700" s="38">
        <v>1</v>
      </c>
      <c r="W700" s="37">
        <v>2</v>
      </c>
      <c r="X700" s="29">
        <v>4.3</v>
      </c>
      <c r="Y700" s="3" t="s">
        <v>0</v>
      </c>
      <c r="Z700" s="2" t="s">
        <v>814</v>
      </c>
      <c r="AA700" s="1" t="s">
        <v>238</v>
      </c>
    </row>
    <row r="701" spans="1:27" ht="23.1" customHeight="1" x14ac:dyDescent="0.25">
      <c r="A701" s="20" t="s">
        <v>796</v>
      </c>
      <c r="B701" s="3" t="s">
        <v>110</v>
      </c>
      <c r="C701" s="3">
        <v>58</v>
      </c>
      <c r="D701" s="3" t="s">
        <v>815</v>
      </c>
      <c r="E701" s="1" t="s">
        <v>409</v>
      </c>
      <c r="F701" s="21" t="s">
        <v>409</v>
      </c>
      <c r="G701" s="3" t="s">
        <v>102</v>
      </c>
      <c r="H701" s="3">
        <v>15</v>
      </c>
      <c r="I701" s="3" t="s">
        <v>2056</v>
      </c>
      <c r="J701" s="3"/>
      <c r="K701" s="3">
        <v>1</v>
      </c>
      <c r="L701" s="23">
        <v>9</v>
      </c>
      <c r="M701" s="23">
        <v>9</v>
      </c>
      <c r="N701" s="24" t="s">
        <v>596</v>
      </c>
      <c r="O701" s="31"/>
      <c r="P701" s="34">
        <v>50</v>
      </c>
      <c r="Q701" s="31"/>
      <c r="R701" s="31"/>
      <c r="S701" s="23"/>
      <c r="T701" s="31">
        <v>90</v>
      </c>
      <c r="U701" s="31"/>
      <c r="V701" s="38">
        <v>1</v>
      </c>
      <c r="W701" s="37">
        <v>2</v>
      </c>
      <c r="X701" s="29">
        <v>4.3</v>
      </c>
      <c r="Y701" s="3" t="s">
        <v>0</v>
      </c>
      <c r="Z701" s="2" t="s">
        <v>814</v>
      </c>
      <c r="AA701" s="1" t="s">
        <v>238</v>
      </c>
    </row>
    <row r="702" spans="1:27" ht="23.1" customHeight="1" x14ac:dyDescent="0.25">
      <c r="A702" s="20" t="s">
        <v>796</v>
      </c>
      <c r="B702" s="3" t="s">
        <v>110</v>
      </c>
      <c r="C702" s="3">
        <v>58</v>
      </c>
      <c r="D702" s="3" t="s">
        <v>695</v>
      </c>
      <c r="E702" s="1" t="s">
        <v>696</v>
      </c>
      <c r="F702" s="21" t="s">
        <v>696</v>
      </c>
      <c r="G702" s="3" t="s">
        <v>107</v>
      </c>
      <c r="H702" s="3">
        <v>55</v>
      </c>
      <c r="I702" s="35" t="s">
        <v>2036</v>
      </c>
      <c r="J702" s="3"/>
      <c r="K702" s="3">
        <v>1</v>
      </c>
      <c r="L702" s="23">
        <v>9</v>
      </c>
      <c r="M702" s="23"/>
      <c r="N702" s="24" t="s">
        <v>724</v>
      </c>
      <c r="O702" s="31"/>
      <c r="P702" s="34">
        <v>80</v>
      </c>
      <c r="Q702" s="31"/>
      <c r="R702" s="31"/>
      <c r="S702" s="23"/>
      <c r="T702" s="31">
        <v>90</v>
      </c>
      <c r="U702" s="31"/>
      <c r="V702" s="38"/>
      <c r="W702" s="37"/>
      <c r="X702" s="29">
        <v>1.3</v>
      </c>
      <c r="Y702" s="3" t="s">
        <v>0</v>
      </c>
      <c r="Z702" s="2"/>
      <c r="AA702" s="2"/>
    </row>
    <row r="703" spans="1:27" ht="23.1" customHeight="1" x14ac:dyDescent="0.25">
      <c r="A703" s="20" t="s">
        <v>796</v>
      </c>
      <c r="B703" s="3" t="s">
        <v>110</v>
      </c>
      <c r="C703" s="3">
        <v>58</v>
      </c>
      <c r="D703" s="3" t="s">
        <v>815</v>
      </c>
      <c r="E703" s="1" t="s">
        <v>409</v>
      </c>
      <c r="F703" s="21" t="s">
        <v>409</v>
      </c>
      <c r="G703" s="3" t="s">
        <v>102</v>
      </c>
      <c r="H703" s="3">
        <v>10</v>
      </c>
      <c r="I703" s="3" t="s">
        <v>1952</v>
      </c>
      <c r="J703" s="3"/>
      <c r="K703" s="3">
        <v>1</v>
      </c>
      <c r="L703" s="23">
        <v>9</v>
      </c>
      <c r="M703" s="23"/>
      <c r="N703" s="24" t="s">
        <v>596</v>
      </c>
      <c r="O703" s="31"/>
      <c r="P703" s="34">
        <v>60</v>
      </c>
      <c r="Q703" s="31"/>
      <c r="R703" s="31"/>
      <c r="S703" s="23"/>
      <c r="T703" s="31">
        <v>60</v>
      </c>
      <c r="U703" s="31"/>
      <c r="V703" s="38">
        <v>1</v>
      </c>
      <c r="W703" s="37"/>
      <c r="X703" s="29">
        <v>2</v>
      </c>
      <c r="Y703" s="3" t="s">
        <v>0</v>
      </c>
      <c r="Z703" s="2" t="s">
        <v>816</v>
      </c>
      <c r="AA703" s="2"/>
    </row>
    <row r="704" spans="1:27" ht="23.1" customHeight="1" x14ac:dyDescent="0.25">
      <c r="A704" s="20" t="s">
        <v>796</v>
      </c>
      <c r="B704" s="3" t="s">
        <v>110</v>
      </c>
      <c r="C704" s="3">
        <v>58</v>
      </c>
      <c r="D704" s="3" t="s">
        <v>813</v>
      </c>
      <c r="E704" s="1" t="s">
        <v>409</v>
      </c>
      <c r="F704" s="21" t="s">
        <v>409</v>
      </c>
      <c r="G704" s="3" t="s">
        <v>102</v>
      </c>
      <c r="H704" s="3">
        <v>10</v>
      </c>
      <c r="I704" s="3" t="s">
        <v>1952</v>
      </c>
      <c r="J704" s="3"/>
      <c r="K704" s="3">
        <v>1</v>
      </c>
      <c r="L704" s="23">
        <v>9</v>
      </c>
      <c r="M704" s="23"/>
      <c r="N704" s="24" t="s">
        <v>596</v>
      </c>
      <c r="O704" s="31"/>
      <c r="P704" s="34">
        <v>60</v>
      </c>
      <c r="Q704" s="31"/>
      <c r="R704" s="31"/>
      <c r="S704" s="23"/>
      <c r="T704" s="31">
        <v>60</v>
      </c>
      <c r="U704" s="31"/>
      <c r="V704" s="38">
        <v>1</v>
      </c>
      <c r="W704" s="37"/>
      <c r="X704" s="29">
        <v>2</v>
      </c>
      <c r="Y704" s="3" t="s">
        <v>0</v>
      </c>
      <c r="Z704" s="2" t="s">
        <v>817</v>
      </c>
      <c r="AA704" s="2"/>
    </row>
    <row r="705" spans="1:27" ht="23.1" customHeight="1" x14ac:dyDescent="0.25">
      <c r="A705" s="20" t="s">
        <v>796</v>
      </c>
      <c r="B705" s="3" t="s">
        <v>110</v>
      </c>
      <c r="C705" s="3">
        <v>16</v>
      </c>
      <c r="D705" s="3" t="s">
        <v>805</v>
      </c>
      <c r="E705" s="1" t="s">
        <v>806</v>
      </c>
      <c r="F705" s="21" t="s">
        <v>806</v>
      </c>
      <c r="G705" s="3" t="s">
        <v>154</v>
      </c>
      <c r="H705" s="3">
        <v>10</v>
      </c>
      <c r="I705" s="3" t="s">
        <v>2057</v>
      </c>
      <c r="J705" s="3">
        <v>2</v>
      </c>
      <c r="K705" s="3">
        <v>2</v>
      </c>
      <c r="L705" s="23">
        <v>19</v>
      </c>
      <c r="M705" s="23">
        <v>19</v>
      </c>
      <c r="N705" s="24" t="s">
        <v>438</v>
      </c>
      <c r="O705" s="31"/>
      <c r="P705" s="34">
        <v>140</v>
      </c>
      <c r="Q705" s="31"/>
      <c r="R705" s="31"/>
      <c r="S705" s="23"/>
      <c r="T705" s="31">
        <v>90</v>
      </c>
      <c r="U705" s="31"/>
      <c r="V705" s="38">
        <v>1</v>
      </c>
      <c r="W705" s="37"/>
      <c r="X705" s="29">
        <v>6.2</v>
      </c>
      <c r="Y705" s="3" t="s">
        <v>10</v>
      </c>
      <c r="Z705" s="2" t="s">
        <v>92</v>
      </c>
      <c r="AA705" s="2"/>
    </row>
    <row r="706" spans="1:27" ht="23.1" customHeight="1" x14ac:dyDescent="0.25">
      <c r="A706" s="20" t="s">
        <v>796</v>
      </c>
      <c r="B706" s="3" t="s">
        <v>110</v>
      </c>
      <c r="C706" s="3">
        <v>18</v>
      </c>
      <c r="D706" s="3" t="s">
        <v>205</v>
      </c>
      <c r="E706" s="1" t="s">
        <v>206</v>
      </c>
      <c r="F706" s="21" t="s">
        <v>206</v>
      </c>
      <c r="G706" s="3" t="s">
        <v>123</v>
      </c>
      <c r="H706" s="3">
        <v>60</v>
      </c>
      <c r="I706" s="3" t="s">
        <v>1861</v>
      </c>
      <c r="J706" s="3">
        <v>3</v>
      </c>
      <c r="K706" s="3">
        <v>5</v>
      </c>
      <c r="L706" s="23">
        <v>19</v>
      </c>
      <c r="M706" s="23">
        <v>19</v>
      </c>
      <c r="N706" s="24" t="s">
        <v>818</v>
      </c>
      <c r="O706" s="31"/>
      <c r="P706" s="34">
        <v>180</v>
      </c>
      <c r="Q706" s="31"/>
      <c r="R706" s="31"/>
      <c r="S706" s="23"/>
      <c r="T706" s="31">
        <v>90</v>
      </c>
      <c r="U706" s="31"/>
      <c r="V706" s="38"/>
      <c r="W706" s="37"/>
      <c r="X706" s="29">
        <v>15</v>
      </c>
      <c r="Y706" s="3" t="s">
        <v>14</v>
      </c>
      <c r="Z706" s="2"/>
      <c r="AA706" s="2"/>
    </row>
    <row r="707" spans="1:27" ht="23.1" customHeight="1" x14ac:dyDescent="0.25">
      <c r="A707" s="20" t="s">
        <v>796</v>
      </c>
      <c r="B707" s="3" t="s">
        <v>110</v>
      </c>
      <c r="C707" s="3">
        <v>10</v>
      </c>
      <c r="D707" s="3" t="s">
        <v>517</v>
      </c>
      <c r="E707" s="1" t="s">
        <v>518</v>
      </c>
      <c r="F707" s="21" t="s">
        <v>518</v>
      </c>
      <c r="G707" s="3" t="s">
        <v>300</v>
      </c>
      <c r="H707" s="3">
        <v>30</v>
      </c>
      <c r="I707" s="3" t="s">
        <v>2040</v>
      </c>
      <c r="J707" s="3">
        <v>2.2000000000000002</v>
      </c>
      <c r="K707" s="3">
        <v>2</v>
      </c>
      <c r="L707" s="23">
        <v>9</v>
      </c>
      <c r="M707" s="23">
        <v>23</v>
      </c>
      <c r="N707" s="24" t="s">
        <v>335</v>
      </c>
      <c r="O707" s="31"/>
      <c r="P707" s="34">
        <v>270</v>
      </c>
      <c r="Q707" s="31"/>
      <c r="R707" s="31"/>
      <c r="S707" s="23"/>
      <c r="T707" s="31">
        <v>90</v>
      </c>
      <c r="U707" s="31"/>
      <c r="V707" s="38">
        <v>1</v>
      </c>
      <c r="W707" s="37"/>
      <c r="X707" s="29">
        <v>10.5</v>
      </c>
      <c r="Y707" s="3" t="s">
        <v>23</v>
      </c>
      <c r="Z707" s="2" t="s">
        <v>547</v>
      </c>
      <c r="AA707" s="2"/>
    </row>
    <row r="708" spans="1:27" ht="23.1" customHeight="1" x14ac:dyDescent="0.25">
      <c r="A708" s="20" t="s">
        <v>796</v>
      </c>
      <c r="B708" s="3" t="s">
        <v>110</v>
      </c>
      <c r="C708" s="3">
        <v>9</v>
      </c>
      <c r="D708" s="3" t="s">
        <v>624</v>
      </c>
      <c r="E708" s="1" t="s">
        <v>625</v>
      </c>
      <c r="F708" s="21" t="s">
        <v>625</v>
      </c>
      <c r="G708" s="3" t="s">
        <v>300</v>
      </c>
      <c r="H708" s="3">
        <v>50</v>
      </c>
      <c r="I708" s="3" t="s">
        <v>2039</v>
      </c>
      <c r="J708" s="3">
        <v>6</v>
      </c>
      <c r="K708" s="3">
        <v>5</v>
      </c>
      <c r="L708" s="23">
        <v>9</v>
      </c>
      <c r="M708" s="23">
        <v>9</v>
      </c>
      <c r="N708" s="24" t="s">
        <v>567</v>
      </c>
      <c r="O708" s="31"/>
      <c r="P708" s="34">
        <v>65</v>
      </c>
      <c r="Q708" s="31"/>
      <c r="R708" s="31"/>
      <c r="S708" s="23"/>
      <c r="T708" s="31">
        <v>60</v>
      </c>
      <c r="U708" s="31"/>
      <c r="V708" s="38"/>
      <c r="W708" s="37"/>
      <c r="X708" s="29">
        <v>5.4</v>
      </c>
      <c r="Y708" s="3" t="s">
        <v>23</v>
      </c>
      <c r="Z708" s="2"/>
      <c r="AA708" s="2"/>
    </row>
    <row r="709" spans="1:27" ht="23.1" customHeight="1" x14ac:dyDescent="0.25">
      <c r="A709" s="20" t="s">
        <v>796</v>
      </c>
      <c r="B709" s="3" t="s">
        <v>110</v>
      </c>
      <c r="C709" s="3">
        <v>9</v>
      </c>
      <c r="D709" s="3" t="s">
        <v>229</v>
      </c>
      <c r="E709" s="1" t="s">
        <v>230</v>
      </c>
      <c r="F709" s="21" t="s">
        <v>230</v>
      </c>
      <c r="G709" s="3" t="s">
        <v>154</v>
      </c>
      <c r="H709" s="3">
        <v>30</v>
      </c>
      <c r="I709" s="3" t="s">
        <v>2058</v>
      </c>
      <c r="J709" s="3">
        <v>1</v>
      </c>
      <c r="K709" s="3">
        <v>1</v>
      </c>
      <c r="L709" s="23">
        <v>19</v>
      </c>
      <c r="M709" s="23"/>
      <c r="N709" s="24" t="s">
        <v>275</v>
      </c>
      <c r="O709" s="31"/>
      <c r="P709" s="34">
        <v>80</v>
      </c>
      <c r="Q709" s="31"/>
      <c r="R709" s="31"/>
      <c r="S709" s="23"/>
      <c r="T709" s="31">
        <v>60</v>
      </c>
      <c r="U709" s="31"/>
      <c r="V709" s="38">
        <v>1</v>
      </c>
      <c r="W709" s="37">
        <v>3</v>
      </c>
      <c r="X709" s="29">
        <v>5.3</v>
      </c>
      <c r="Y709" s="3" t="s">
        <v>23</v>
      </c>
      <c r="Z709" s="2" t="s">
        <v>819</v>
      </c>
      <c r="AA709" s="1" t="s">
        <v>238</v>
      </c>
    </row>
    <row r="710" spans="1:27" ht="23.1" customHeight="1" x14ac:dyDescent="0.25">
      <c r="A710" s="20" t="s">
        <v>796</v>
      </c>
      <c r="B710" s="3" t="s">
        <v>110</v>
      </c>
      <c r="C710" s="3">
        <v>78</v>
      </c>
      <c r="D710" s="3" t="s">
        <v>276</v>
      </c>
      <c r="E710" s="1" t="s">
        <v>277</v>
      </c>
      <c r="F710" s="21" t="s">
        <v>277</v>
      </c>
      <c r="G710" s="3" t="s">
        <v>154</v>
      </c>
      <c r="H710" s="3">
        <v>80</v>
      </c>
      <c r="I710" s="3" t="s">
        <v>1964</v>
      </c>
      <c r="J710" s="3"/>
      <c r="K710" s="3">
        <v>1</v>
      </c>
      <c r="L710" s="23">
        <v>37</v>
      </c>
      <c r="M710" s="23"/>
      <c r="N710" s="24" t="s">
        <v>234</v>
      </c>
      <c r="O710" s="31"/>
      <c r="P710" s="34">
        <v>360</v>
      </c>
      <c r="Q710" s="31"/>
      <c r="R710" s="31"/>
      <c r="S710" s="23"/>
      <c r="T710" s="31">
        <v>120</v>
      </c>
      <c r="U710" s="31"/>
      <c r="V710" s="38">
        <v>1</v>
      </c>
      <c r="W710" s="37">
        <v>2</v>
      </c>
      <c r="X710" s="29">
        <v>10</v>
      </c>
      <c r="Y710" s="3" t="s">
        <v>5</v>
      </c>
      <c r="Z710" s="2" t="s">
        <v>820</v>
      </c>
      <c r="AA710" s="1" t="s">
        <v>238</v>
      </c>
    </row>
    <row r="711" spans="1:27" ht="23.1" customHeight="1" x14ac:dyDescent="0.25">
      <c r="A711" s="20" t="s">
        <v>796</v>
      </c>
      <c r="B711" s="3" t="s">
        <v>110</v>
      </c>
      <c r="C711" s="3">
        <v>78</v>
      </c>
      <c r="D711" s="3" t="s">
        <v>821</v>
      </c>
      <c r="E711" s="1" t="s">
        <v>822</v>
      </c>
      <c r="F711" s="21" t="s">
        <v>822</v>
      </c>
      <c r="G711" s="3" t="s">
        <v>123</v>
      </c>
      <c r="H711" s="3">
        <v>5</v>
      </c>
      <c r="I711" s="3" t="s">
        <v>1930</v>
      </c>
      <c r="J711" s="3"/>
      <c r="K711" s="3">
        <v>2</v>
      </c>
      <c r="L711" s="23">
        <v>5</v>
      </c>
      <c r="M711" s="23">
        <v>5</v>
      </c>
      <c r="N711" s="24" t="s">
        <v>661</v>
      </c>
      <c r="O711" s="31"/>
      <c r="P711" s="34">
        <v>120</v>
      </c>
      <c r="Q711" s="31">
        <v>60</v>
      </c>
      <c r="R711" s="31"/>
      <c r="S711" s="23">
        <v>2</v>
      </c>
      <c r="T711" s="31">
        <v>60</v>
      </c>
      <c r="U711" s="31"/>
      <c r="V711" s="38">
        <v>1</v>
      </c>
      <c r="W711" s="37"/>
      <c r="X711" s="29">
        <v>7</v>
      </c>
      <c r="Y711" s="3" t="s">
        <v>5</v>
      </c>
      <c r="Z711" s="2" t="s">
        <v>823</v>
      </c>
      <c r="AA711" s="2"/>
    </row>
    <row r="712" spans="1:27" ht="23.1" customHeight="1" x14ac:dyDescent="0.25">
      <c r="A712" s="20" t="s">
        <v>796</v>
      </c>
      <c r="B712" s="3" t="s">
        <v>110</v>
      </c>
      <c r="C712" s="3">
        <v>21</v>
      </c>
      <c r="D712" s="3" t="s">
        <v>321</v>
      </c>
      <c r="E712" s="1" t="s">
        <v>322</v>
      </c>
      <c r="F712" s="21" t="s">
        <v>322</v>
      </c>
      <c r="G712" s="3" t="s">
        <v>323</v>
      </c>
      <c r="H712" s="3">
        <v>10</v>
      </c>
      <c r="I712" s="3" t="s">
        <v>2046</v>
      </c>
      <c r="J712" s="3">
        <v>2</v>
      </c>
      <c r="K712" s="3">
        <v>2</v>
      </c>
      <c r="L712" s="23">
        <v>26</v>
      </c>
      <c r="M712" s="23">
        <v>5</v>
      </c>
      <c r="N712" s="24" t="s">
        <v>824</v>
      </c>
      <c r="O712" s="31"/>
      <c r="P712" s="34">
        <v>420</v>
      </c>
      <c r="Q712" s="31">
        <v>120</v>
      </c>
      <c r="R712" s="31"/>
      <c r="S712" s="23">
        <v>2</v>
      </c>
      <c r="T712" s="31">
        <v>180</v>
      </c>
      <c r="U712" s="31"/>
      <c r="V712" s="38">
        <v>1</v>
      </c>
      <c r="W712" s="37"/>
      <c r="X712" s="29">
        <v>21</v>
      </c>
      <c r="Y712" s="3" t="s">
        <v>49</v>
      </c>
      <c r="Z712" s="2" t="s">
        <v>325</v>
      </c>
      <c r="AA712" s="2"/>
    </row>
    <row r="713" spans="1:27" ht="23.1" customHeight="1" x14ac:dyDescent="0.25">
      <c r="A713" s="20" t="s">
        <v>796</v>
      </c>
      <c r="B713" s="3" t="s">
        <v>110</v>
      </c>
      <c r="C713" s="3">
        <v>17</v>
      </c>
      <c r="D713" s="3" t="s">
        <v>352</v>
      </c>
      <c r="E713" s="1" t="s">
        <v>353</v>
      </c>
      <c r="F713" s="21" t="e">
        <v>#N/A</v>
      </c>
      <c r="G713" s="3" t="s">
        <v>300</v>
      </c>
      <c r="H713" s="3">
        <v>30</v>
      </c>
      <c r="I713" s="3" t="s">
        <v>2005</v>
      </c>
      <c r="J713" s="3">
        <v>1</v>
      </c>
      <c r="K713" s="3">
        <v>2</v>
      </c>
      <c r="L713" s="23">
        <v>26</v>
      </c>
      <c r="M713" s="23">
        <v>26</v>
      </c>
      <c r="N713" s="24" t="s">
        <v>506</v>
      </c>
      <c r="O713" s="31"/>
      <c r="P713" s="34">
        <v>480</v>
      </c>
      <c r="Q713" s="31"/>
      <c r="R713" s="31"/>
      <c r="S713" s="23"/>
      <c r="T713" s="31">
        <v>120</v>
      </c>
      <c r="U713" s="31"/>
      <c r="V713" s="38"/>
      <c r="W713" s="37"/>
      <c r="X713" s="29">
        <v>16</v>
      </c>
      <c r="Y713" s="3" t="s">
        <v>14</v>
      </c>
      <c r="Z713" s="2"/>
      <c r="AA713" s="2"/>
    </row>
    <row r="714" spans="1:27" ht="23.1" customHeight="1" x14ac:dyDescent="0.25">
      <c r="A714" s="20" t="s">
        <v>796</v>
      </c>
      <c r="B714" s="3" t="s">
        <v>110</v>
      </c>
      <c r="C714" s="3">
        <v>15</v>
      </c>
      <c r="D714" s="3" t="s">
        <v>592</v>
      </c>
      <c r="E714" s="1" t="s">
        <v>218</v>
      </c>
      <c r="F714" s="21" t="s">
        <v>218</v>
      </c>
      <c r="G714" s="3" t="s">
        <v>107</v>
      </c>
      <c r="H714" s="3">
        <v>25</v>
      </c>
      <c r="I714" s="2" t="s">
        <v>1914</v>
      </c>
      <c r="J714" s="3">
        <v>4</v>
      </c>
      <c r="K714" s="3">
        <v>6</v>
      </c>
      <c r="L714" s="23">
        <v>9</v>
      </c>
      <c r="M714" s="23">
        <v>5</v>
      </c>
      <c r="N714" s="24" t="s">
        <v>456</v>
      </c>
      <c r="O714" s="31"/>
      <c r="P714" s="31">
        <v>210</v>
      </c>
      <c r="Q714" s="31"/>
      <c r="R714" s="31"/>
      <c r="S714" s="23"/>
      <c r="T714" s="31">
        <v>60</v>
      </c>
      <c r="U714" s="31"/>
      <c r="V714" s="36"/>
      <c r="W714" s="37"/>
      <c r="X714" s="29">
        <v>21</v>
      </c>
      <c r="Y714" s="3" t="s">
        <v>60</v>
      </c>
      <c r="Z714" s="2"/>
      <c r="AA714" s="2"/>
    </row>
    <row r="715" spans="1:27" ht="23.1" customHeight="1" x14ac:dyDescent="0.25">
      <c r="A715" s="20" t="s">
        <v>796</v>
      </c>
      <c r="B715" s="3" t="s">
        <v>110</v>
      </c>
      <c r="C715" s="3">
        <v>107</v>
      </c>
      <c r="D715" s="3" t="s">
        <v>173</v>
      </c>
      <c r="E715" s="1" t="s">
        <v>174</v>
      </c>
      <c r="F715" s="21" t="s">
        <v>1246</v>
      </c>
      <c r="G715" s="3" t="s">
        <v>154</v>
      </c>
      <c r="H715" s="3">
        <v>30</v>
      </c>
      <c r="I715" s="2" t="s">
        <v>2047</v>
      </c>
      <c r="J715" s="3">
        <v>1</v>
      </c>
      <c r="K715" s="3">
        <v>1.5</v>
      </c>
      <c r="L715" s="23">
        <v>26</v>
      </c>
      <c r="M715" s="23">
        <v>5</v>
      </c>
      <c r="N715" s="24" t="s">
        <v>421</v>
      </c>
      <c r="O715" s="34"/>
      <c r="P715" s="31">
        <v>700</v>
      </c>
      <c r="Q715" s="31">
        <v>90</v>
      </c>
      <c r="R715" s="31"/>
      <c r="S715" s="23"/>
      <c r="T715" s="31">
        <v>120</v>
      </c>
      <c r="U715" s="31"/>
      <c r="V715" s="36"/>
      <c r="W715" s="37"/>
      <c r="X715" s="29">
        <v>17.5</v>
      </c>
      <c r="Y715" s="3" t="s">
        <v>13</v>
      </c>
      <c r="Z715" s="2"/>
      <c r="AA715" s="2"/>
    </row>
    <row r="716" spans="1:27" ht="23.1" customHeight="1" x14ac:dyDescent="0.25">
      <c r="A716" s="20" t="s">
        <v>796</v>
      </c>
      <c r="B716" s="3" t="s">
        <v>110</v>
      </c>
      <c r="C716" s="3">
        <v>77</v>
      </c>
      <c r="D716" s="3" t="s">
        <v>211</v>
      </c>
      <c r="E716" s="1" t="s">
        <v>212</v>
      </c>
      <c r="F716" s="21" t="s">
        <v>212</v>
      </c>
      <c r="G716" s="3" t="s">
        <v>123</v>
      </c>
      <c r="H716" s="3">
        <v>20</v>
      </c>
      <c r="I716" s="2" t="s">
        <v>2034</v>
      </c>
      <c r="J716" s="3">
        <v>30</v>
      </c>
      <c r="K716" s="3">
        <v>19</v>
      </c>
      <c r="L716" s="23">
        <v>37</v>
      </c>
      <c r="M716" s="23">
        <v>26</v>
      </c>
      <c r="N716" s="24" t="s">
        <v>213</v>
      </c>
      <c r="O716" s="34"/>
      <c r="P716" s="31">
        <v>30</v>
      </c>
      <c r="Q716" s="31"/>
      <c r="R716" s="31"/>
      <c r="S716" s="23"/>
      <c r="T716" s="31">
        <v>60</v>
      </c>
      <c r="U716" s="31"/>
      <c r="V716" s="36"/>
      <c r="W716" s="37">
        <v>2</v>
      </c>
      <c r="X716" s="29">
        <v>11.5</v>
      </c>
      <c r="Y716" s="3" t="s">
        <v>24</v>
      </c>
      <c r="Z716" s="2" t="s">
        <v>546</v>
      </c>
      <c r="AA716" s="1" t="s">
        <v>238</v>
      </c>
    </row>
    <row r="717" spans="1:27" ht="23.1" customHeight="1" x14ac:dyDescent="0.25">
      <c r="A717" s="20" t="s">
        <v>796</v>
      </c>
      <c r="B717" s="3" t="s">
        <v>110</v>
      </c>
      <c r="C717" s="3">
        <v>77</v>
      </c>
      <c r="D717" s="3" t="s">
        <v>211</v>
      </c>
      <c r="E717" s="1" t="s">
        <v>212</v>
      </c>
      <c r="F717" s="21" t="s">
        <v>212</v>
      </c>
      <c r="G717" s="3" t="s">
        <v>123</v>
      </c>
      <c r="H717" s="3">
        <v>20</v>
      </c>
      <c r="I717" s="3" t="s">
        <v>2034</v>
      </c>
      <c r="J717" s="2"/>
      <c r="K717" s="3">
        <v>13</v>
      </c>
      <c r="L717" s="23">
        <v>19</v>
      </c>
      <c r="M717" s="23">
        <v>23</v>
      </c>
      <c r="N717" s="24" t="s">
        <v>213</v>
      </c>
      <c r="O717" s="34"/>
      <c r="P717" s="31">
        <v>30</v>
      </c>
      <c r="Q717" s="31"/>
      <c r="R717" s="31"/>
      <c r="S717" s="23"/>
      <c r="T717" s="31">
        <v>60</v>
      </c>
      <c r="U717" s="31"/>
      <c r="V717" s="36"/>
      <c r="W717" s="37"/>
      <c r="X717" s="29">
        <v>6.5</v>
      </c>
      <c r="Y717" s="3" t="s">
        <v>24</v>
      </c>
      <c r="Z717" s="2"/>
      <c r="AA717" s="2"/>
    </row>
    <row r="718" spans="1:27" ht="23.1" customHeight="1" x14ac:dyDescent="0.25">
      <c r="A718" s="20" t="s">
        <v>796</v>
      </c>
      <c r="B718" s="3" t="s">
        <v>110</v>
      </c>
      <c r="C718" s="3">
        <v>13</v>
      </c>
      <c r="D718" s="3" t="s">
        <v>654</v>
      </c>
      <c r="E718" s="1" t="s">
        <v>246</v>
      </c>
      <c r="F718" s="21" t="s">
        <v>246</v>
      </c>
      <c r="G718" s="3" t="s">
        <v>154</v>
      </c>
      <c r="H718" s="3">
        <v>25</v>
      </c>
      <c r="I718" s="2" t="s">
        <v>2037</v>
      </c>
      <c r="J718" s="3">
        <v>4.5</v>
      </c>
      <c r="K718" s="3">
        <v>9</v>
      </c>
      <c r="L718" s="23">
        <v>37</v>
      </c>
      <c r="M718" s="23">
        <v>23</v>
      </c>
      <c r="N718" s="24" t="s">
        <v>247</v>
      </c>
      <c r="O718" s="31"/>
      <c r="P718" s="31">
        <v>130</v>
      </c>
      <c r="Q718" s="31"/>
      <c r="R718" s="31"/>
      <c r="S718" s="23"/>
      <c r="T718" s="31">
        <v>60</v>
      </c>
      <c r="U718" s="31"/>
      <c r="V718" s="36"/>
      <c r="W718" s="37"/>
      <c r="X718" s="29">
        <v>19.5</v>
      </c>
      <c r="Y718" s="3" t="s">
        <v>10</v>
      </c>
      <c r="Z718" s="2"/>
      <c r="AA718" s="2"/>
    </row>
    <row r="719" spans="1:27" ht="23.1" customHeight="1" x14ac:dyDescent="0.25">
      <c r="A719" s="20" t="s">
        <v>796</v>
      </c>
      <c r="B719" s="3" t="s">
        <v>110</v>
      </c>
      <c r="C719" s="3">
        <v>23</v>
      </c>
      <c r="D719" s="3" t="s">
        <v>717</v>
      </c>
      <c r="E719" s="1" t="s">
        <v>718</v>
      </c>
      <c r="F719" s="21" t="s">
        <v>718</v>
      </c>
      <c r="G719" s="3" t="s">
        <v>118</v>
      </c>
      <c r="H719" s="3">
        <v>45</v>
      </c>
      <c r="I719" s="2" t="s">
        <v>2028</v>
      </c>
      <c r="J719" s="3">
        <v>0.6</v>
      </c>
      <c r="K719" s="3">
        <v>0.8</v>
      </c>
      <c r="L719" s="33"/>
      <c r="M719" s="23">
        <v>28</v>
      </c>
      <c r="N719" s="24" t="s">
        <v>825</v>
      </c>
      <c r="O719" s="34"/>
      <c r="P719" s="31">
        <v>1080</v>
      </c>
      <c r="Q719" s="31">
        <v>90</v>
      </c>
      <c r="R719" s="31"/>
      <c r="S719" s="23">
        <v>1</v>
      </c>
      <c r="T719" s="31">
        <v>120</v>
      </c>
      <c r="U719" s="31"/>
      <c r="V719" s="36"/>
      <c r="W719" s="37"/>
      <c r="X719" s="29">
        <v>15.9</v>
      </c>
      <c r="Y719" s="3" t="s">
        <v>22</v>
      </c>
      <c r="Z719" s="2" t="s">
        <v>145</v>
      </c>
      <c r="AA719" s="2"/>
    </row>
    <row r="720" spans="1:27" ht="23.1" customHeight="1" x14ac:dyDescent="0.25">
      <c r="A720" s="20" t="s">
        <v>796</v>
      </c>
      <c r="B720" s="3" t="s">
        <v>110</v>
      </c>
      <c r="C720" s="3">
        <v>47</v>
      </c>
      <c r="D720" s="3" t="s">
        <v>826</v>
      </c>
      <c r="E720" s="1" t="s">
        <v>827</v>
      </c>
      <c r="F720" s="21" t="s">
        <v>827</v>
      </c>
      <c r="G720" s="3" t="s">
        <v>118</v>
      </c>
      <c r="H720" s="3">
        <v>10</v>
      </c>
      <c r="I720" s="2" t="s">
        <v>2059</v>
      </c>
      <c r="J720" s="3">
        <v>2.2999999999999998</v>
      </c>
      <c r="K720" s="3">
        <v>2.2999999999999998</v>
      </c>
      <c r="L720" s="23">
        <v>5</v>
      </c>
      <c r="M720" s="23">
        <v>28</v>
      </c>
      <c r="N720" s="24" t="s">
        <v>828</v>
      </c>
      <c r="O720" s="31"/>
      <c r="P720" s="31">
        <v>180</v>
      </c>
      <c r="Q720" s="31">
        <v>60</v>
      </c>
      <c r="R720" s="31"/>
      <c r="S720" s="23">
        <v>3</v>
      </c>
      <c r="T720" s="31">
        <v>60</v>
      </c>
      <c r="U720" s="31"/>
      <c r="V720" s="36">
        <v>1</v>
      </c>
      <c r="W720" s="37"/>
      <c r="X720" s="29">
        <v>10.9</v>
      </c>
      <c r="Y720" s="3" t="s">
        <v>22</v>
      </c>
      <c r="Z720" s="2" t="s">
        <v>829</v>
      </c>
      <c r="AA720" s="2"/>
    </row>
    <row r="721" spans="1:27" ht="23.1" customHeight="1" x14ac:dyDescent="0.25">
      <c r="A721" s="20" t="s">
        <v>796</v>
      </c>
      <c r="B721" s="3" t="s">
        <v>110</v>
      </c>
      <c r="C721" s="3">
        <v>47</v>
      </c>
      <c r="D721" s="3" t="s">
        <v>826</v>
      </c>
      <c r="E721" s="1" t="s">
        <v>827</v>
      </c>
      <c r="F721" s="21" t="s">
        <v>827</v>
      </c>
      <c r="G721" s="3" t="s">
        <v>118</v>
      </c>
      <c r="H721" s="3">
        <v>5</v>
      </c>
      <c r="I721" s="2" t="s">
        <v>2322</v>
      </c>
      <c r="J721" s="3">
        <v>3</v>
      </c>
      <c r="K721" s="3">
        <v>3</v>
      </c>
      <c r="L721" s="23">
        <v>37</v>
      </c>
      <c r="M721" s="23">
        <v>37</v>
      </c>
      <c r="N721" s="24" t="s">
        <v>828</v>
      </c>
      <c r="O721" s="34"/>
      <c r="P721" s="31">
        <v>240</v>
      </c>
      <c r="Q721" s="31">
        <v>60</v>
      </c>
      <c r="R721" s="31"/>
      <c r="S721" s="23">
        <v>3</v>
      </c>
      <c r="T721" s="31">
        <v>60</v>
      </c>
      <c r="U721" s="31"/>
      <c r="V721" s="36">
        <v>1</v>
      </c>
      <c r="W721" s="37"/>
      <c r="X721" s="29">
        <v>16</v>
      </c>
      <c r="Y721" s="3" t="s">
        <v>22</v>
      </c>
      <c r="Z721" s="2" t="s">
        <v>829</v>
      </c>
      <c r="AA721" s="2"/>
    </row>
    <row r="722" spans="1:27" ht="23.1" customHeight="1" x14ac:dyDescent="0.25">
      <c r="A722" s="20" t="s">
        <v>796</v>
      </c>
      <c r="B722" s="3" t="s">
        <v>110</v>
      </c>
      <c r="C722" s="3">
        <v>24</v>
      </c>
      <c r="D722" s="3" t="s">
        <v>776</v>
      </c>
      <c r="E722" s="1" t="s">
        <v>777</v>
      </c>
      <c r="F722" s="21" t="s">
        <v>777</v>
      </c>
      <c r="G722" s="3" t="s">
        <v>107</v>
      </c>
      <c r="H722" s="3">
        <v>25</v>
      </c>
      <c r="I722" s="2" t="s">
        <v>2035</v>
      </c>
      <c r="J722" s="3">
        <v>0.6</v>
      </c>
      <c r="K722" s="3">
        <v>0.3</v>
      </c>
      <c r="L722" s="33"/>
      <c r="M722" s="23">
        <v>26</v>
      </c>
      <c r="N722" s="24" t="s">
        <v>703</v>
      </c>
      <c r="O722" s="34"/>
      <c r="P722" s="31">
        <v>840</v>
      </c>
      <c r="Q722" s="31">
        <v>120</v>
      </c>
      <c r="R722" s="31"/>
      <c r="S722" s="23"/>
      <c r="T722" s="31">
        <v>150</v>
      </c>
      <c r="U722" s="31"/>
      <c r="V722" s="36"/>
      <c r="W722" s="37"/>
      <c r="X722" s="29">
        <v>4.2</v>
      </c>
      <c r="Y722" s="3" t="s">
        <v>4</v>
      </c>
      <c r="Z722" s="2"/>
      <c r="AA722" s="2"/>
    </row>
    <row r="723" spans="1:27" ht="23.1" customHeight="1" x14ac:dyDescent="0.25">
      <c r="A723" s="20" t="s">
        <v>796</v>
      </c>
      <c r="B723" s="3" t="s">
        <v>110</v>
      </c>
      <c r="C723" s="3">
        <v>24</v>
      </c>
      <c r="D723" s="3" t="s">
        <v>738</v>
      </c>
      <c r="E723" s="1" t="s">
        <v>739</v>
      </c>
      <c r="F723" s="21" t="s">
        <v>739</v>
      </c>
      <c r="G723" s="3" t="s">
        <v>107</v>
      </c>
      <c r="H723" s="3">
        <v>30</v>
      </c>
      <c r="I723" s="2" t="s">
        <v>2061</v>
      </c>
      <c r="J723" s="3">
        <v>0.2</v>
      </c>
      <c r="K723" s="3">
        <v>0.4</v>
      </c>
      <c r="L723" s="33"/>
      <c r="M723" s="23">
        <v>28</v>
      </c>
      <c r="N723" s="24" t="s">
        <v>567</v>
      </c>
      <c r="O723" s="34"/>
      <c r="P723" s="31">
        <v>1700</v>
      </c>
      <c r="Q723" s="31">
        <v>120</v>
      </c>
      <c r="R723" s="31"/>
      <c r="S723" s="23">
        <v>1</v>
      </c>
      <c r="T723" s="31">
        <v>210</v>
      </c>
      <c r="U723" s="31"/>
      <c r="V723" s="36">
        <v>1</v>
      </c>
      <c r="W723" s="37"/>
      <c r="X723" s="29">
        <v>16.8</v>
      </c>
      <c r="Y723" s="3" t="s">
        <v>4</v>
      </c>
      <c r="Z723" s="2" t="s">
        <v>679</v>
      </c>
      <c r="AA723" s="2"/>
    </row>
    <row r="724" spans="1:27" ht="23.1" customHeight="1" x14ac:dyDescent="0.25">
      <c r="A724" s="20" t="s">
        <v>796</v>
      </c>
      <c r="B724" s="3" t="s">
        <v>110</v>
      </c>
      <c r="C724" s="3">
        <v>69</v>
      </c>
      <c r="D724" s="3" t="s">
        <v>830</v>
      </c>
      <c r="E724" s="1" t="s">
        <v>788</v>
      </c>
      <c r="F724" s="21" t="s">
        <v>788</v>
      </c>
      <c r="G724" s="3" t="s">
        <v>123</v>
      </c>
      <c r="H724" s="3">
        <v>50</v>
      </c>
      <c r="I724" s="2" t="s">
        <v>2051</v>
      </c>
      <c r="J724" s="3">
        <v>6</v>
      </c>
      <c r="K724" s="3">
        <v>9</v>
      </c>
      <c r="L724" s="23">
        <v>37</v>
      </c>
      <c r="M724" s="23">
        <v>5</v>
      </c>
      <c r="N724" s="24" t="s">
        <v>216</v>
      </c>
      <c r="O724" s="31"/>
      <c r="P724" s="31">
        <v>120</v>
      </c>
      <c r="Q724" s="31">
        <v>60</v>
      </c>
      <c r="R724" s="31"/>
      <c r="S724" s="23">
        <v>9</v>
      </c>
      <c r="T724" s="31">
        <v>90</v>
      </c>
      <c r="U724" s="31"/>
      <c r="V724" s="36">
        <v>1</v>
      </c>
      <c r="W724" s="37"/>
      <c r="X724" s="29">
        <v>28.5</v>
      </c>
      <c r="Y724" s="3" t="s">
        <v>4</v>
      </c>
      <c r="Z724" s="2" t="s">
        <v>831</v>
      </c>
      <c r="AA724" s="2"/>
    </row>
    <row r="725" spans="1:27" ht="23.1" customHeight="1" x14ac:dyDescent="0.25">
      <c r="A725" s="20" t="s">
        <v>796</v>
      </c>
      <c r="B725" s="3" t="s">
        <v>110</v>
      </c>
      <c r="C725" s="3">
        <v>91</v>
      </c>
      <c r="D725" s="3" t="s">
        <v>790</v>
      </c>
      <c r="E725" s="1" t="s">
        <v>791</v>
      </c>
      <c r="F725" s="21" t="e">
        <v>#N/A</v>
      </c>
      <c r="G725" s="3" t="s">
        <v>118</v>
      </c>
      <c r="H725" s="3">
        <v>60</v>
      </c>
      <c r="I725" s="2" t="s">
        <v>2062</v>
      </c>
      <c r="J725" s="3">
        <v>1.3</v>
      </c>
      <c r="K725" s="3">
        <v>0.4</v>
      </c>
      <c r="L725" s="33"/>
      <c r="M725" s="23">
        <v>28</v>
      </c>
      <c r="N725" s="24" t="s">
        <v>475</v>
      </c>
      <c r="O725" s="34"/>
      <c r="P725" s="31">
        <v>720</v>
      </c>
      <c r="Q725" s="31">
        <v>60</v>
      </c>
      <c r="R725" s="31"/>
      <c r="S725" s="23"/>
      <c r="T725" s="31">
        <v>120</v>
      </c>
      <c r="U725" s="31"/>
      <c r="V725" s="36">
        <v>1</v>
      </c>
      <c r="W725" s="37">
        <v>5</v>
      </c>
      <c r="X725" s="29">
        <v>11.8</v>
      </c>
      <c r="Y725" s="3" t="s">
        <v>4</v>
      </c>
      <c r="Z725" s="2" t="s">
        <v>832</v>
      </c>
      <c r="AA725" s="2"/>
    </row>
    <row r="726" spans="1:27" ht="23.1" customHeight="1" x14ac:dyDescent="0.25">
      <c r="A726" s="20" t="s">
        <v>796</v>
      </c>
      <c r="B726" s="3" t="s">
        <v>110</v>
      </c>
      <c r="C726" s="3">
        <v>91</v>
      </c>
      <c r="D726" s="3" t="s">
        <v>235</v>
      </c>
      <c r="E726" s="1" t="s">
        <v>236</v>
      </c>
      <c r="F726" s="21" t="s">
        <v>236</v>
      </c>
      <c r="G726" s="3" t="s">
        <v>154</v>
      </c>
      <c r="H726" s="3">
        <v>85</v>
      </c>
      <c r="I726" s="3" t="s">
        <v>2063</v>
      </c>
      <c r="J726" s="2"/>
      <c r="K726" s="3">
        <v>1</v>
      </c>
      <c r="L726" s="33"/>
      <c r="M726" s="23">
        <v>26</v>
      </c>
      <c r="N726" s="24" t="s">
        <v>159</v>
      </c>
      <c r="O726" s="31"/>
      <c r="P726" s="31">
        <v>240</v>
      </c>
      <c r="Q726" s="31">
        <v>60</v>
      </c>
      <c r="R726" s="31"/>
      <c r="S726" s="23"/>
      <c r="T726" s="31">
        <v>120</v>
      </c>
      <c r="U726" s="31"/>
      <c r="V726" s="36">
        <v>1</v>
      </c>
      <c r="W726" s="37">
        <v>6</v>
      </c>
      <c r="X726" s="29">
        <v>12</v>
      </c>
      <c r="Y726" s="3" t="s">
        <v>4</v>
      </c>
      <c r="Z726" s="2" t="s">
        <v>833</v>
      </c>
      <c r="AA726" s="2"/>
    </row>
    <row r="727" spans="1:27" ht="23.1" customHeight="1" x14ac:dyDescent="0.25">
      <c r="A727" s="20" t="s">
        <v>796</v>
      </c>
      <c r="B727" s="3" t="s">
        <v>110</v>
      </c>
      <c r="C727" s="3">
        <v>84</v>
      </c>
      <c r="D727" s="3" t="s">
        <v>594</v>
      </c>
      <c r="E727" s="1" t="s">
        <v>595</v>
      </c>
      <c r="F727" s="21" t="s">
        <v>595</v>
      </c>
      <c r="G727" s="3" t="s">
        <v>102</v>
      </c>
      <c r="H727" s="3">
        <v>25</v>
      </c>
      <c r="I727" s="3" t="s">
        <v>2052</v>
      </c>
      <c r="J727" s="2"/>
      <c r="K727" s="3">
        <v>7</v>
      </c>
      <c r="L727" s="23">
        <v>23</v>
      </c>
      <c r="M727" s="23">
        <v>23</v>
      </c>
      <c r="N727" s="24" t="s">
        <v>596</v>
      </c>
      <c r="O727" s="34"/>
      <c r="P727" s="31">
        <v>120</v>
      </c>
      <c r="Q727" s="31">
        <v>60</v>
      </c>
      <c r="R727" s="31"/>
      <c r="S727" s="23">
        <v>7</v>
      </c>
      <c r="T727" s="31">
        <v>120</v>
      </c>
      <c r="U727" s="31"/>
      <c r="V727" s="36"/>
      <c r="W727" s="37">
        <v>3</v>
      </c>
      <c r="X727" s="29">
        <v>24</v>
      </c>
      <c r="Y727" s="3" t="s">
        <v>4</v>
      </c>
      <c r="Z727" s="2" t="s">
        <v>516</v>
      </c>
      <c r="AA727" s="2"/>
    </row>
    <row r="728" spans="1:27" ht="23.1" customHeight="1" x14ac:dyDescent="0.25">
      <c r="A728" s="20" t="s">
        <v>796</v>
      </c>
      <c r="B728" s="3" t="s">
        <v>110</v>
      </c>
      <c r="C728" s="3">
        <v>119</v>
      </c>
      <c r="D728" s="3" t="s">
        <v>288</v>
      </c>
      <c r="E728" s="1" t="s">
        <v>255</v>
      </c>
      <c r="F728" s="21" t="s">
        <v>1532</v>
      </c>
      <c r="G728" s="3" t="s">
        <v>250</v>
      </c>
      <c r="H728" s="3">
        <v>50</v>
      </c>
      <c r="I728" s="2" t="s">
        <v>2021</v>
      </c>
      <c r="J728" s="3">
        <v>0.3</v>
      </c>
      <c r="K728" s="3">
        <v>0.4</v>
      </c>
      <c r="L728" s="33"/>
      <c r="M728" s="23">
        <v>28</v>
      </c>
      <c r="N728" s="24" t="s">
        <v>475</v>
      </c>
      <c r="O728" s="34"/>
      <c r="P728" s="31">
        <v>3000</v>
      </c>
      <c r="Q728" s="31">
        <v>90</v>
      </c>
      <c r="R728" s="31"/>
      <c r="S728" s="23"/>
      <c r="T728" s="31">
        <v>150</v>
      </c>
      <c r="U728" s="31"/>
      <c r="V728" s="36"/>
      <c r="W728" s="37"/>
      <c r="X728" s="29">
        <v>20</v>
      </c>
      <c r="Y728" s="3" t="s">
        <v>4</v>
      </c>
      <c r="Z728" s="2"/>
      <c r="AA728" s="2"/>
    </row>
    <row r="729" spans="1:27" ht="23.1" customHeight="1" x14ac:dyDescent="0.25">
      <c r="A729" s="20" t="s">
        <v>796</v>
      </c>
      <c r="B729" s="3" t="s">
        <v>110</v>
      </c>
      <c r="C729" s="3">
        <v>121</v>
      </c>
      <c r="D729" s="3" t="s">
        <v>834</v>
      </c>
      <c r="E729" s="1" t="s">
        <v>835</v>
      </c>
      <c r="F729" s="21" t="s">
        <v>835</v>
      </c>
      <c r="G729" s="3" t="s">
        <v>154</v>
      </c>
      <c r="H729" s="3">
        <v>60</v>
      </c>
      <c r="I729" s="3" t="s">
        <v>2064</v>
      </c>
      <c r="J729" s="2"/>
      <c r="K729" s="3">
        <v>1</v>
      </c>
      <c r="L729" s="33"/>
      <c r="M729" s="23">
        <v>5</v>
      </c>
      <c r="N729" s="24" t="s">
        <v>470</v>
      </c>
      <c r="O729" s="34"/>
      <c r="P729" s="31">
        <v>270</v>
      </c>
      <c r="Q729" s="31">
        <v>60</v>
      </c>
      <c r="R729" s="31"/>
      <c r="S729" s="23"/>
      <c r="T729" s="31">
        <v>180</v>
      </c>
      <c r="U729" s="31"/>
      <c r="V729" s="36">
        <v>1</v>
      </c>
      <c r="W729" s="37">
        <v>8</v>
      </c>
      <c r="X729" s="29">
        <v>15.5</v>
      </c>
      <c r="Y729" s="3" t="s">
        <v>4</v>
      </c>
      <c r="Z729" s="2" t="s">
        <v>836</v>
      </c>
      <c r="AA729" s="2"/>
    </row>
    <row r="730" spans="1:27" ht="23.1" customHeight="1" x14ac:dyDescent="0.25">
      <c r="A730" s="20" t="s">
        <v>796</v>
      </c>
      <c r="B730" s="3" t="s">
        <v>110</v>
      </c>
      <c r="C730" s="3">
        <v>56</v>
      </c>
      <c r="D730" s="3" t="s">
        <v>676</v>
      </c>
      <c r="E730" s="1" t="s">
        <v>595</v>
      </c>
      <c r="F730" s="21" t="s">
        <v>595</v>
      </c>
      <c r="G730" s="3" t="s">
        <v>154</v>
      </c>
      <c r="H730" s="3">
        <v>15</v>
      </c>
      <c r="I730" s="2" t="s">
        <v>2043</v>
      </c>
      <c r="J730" s="3">
        <v>4</v>
      </c>
      <c r="K730" s="3">
        <v>4</v>
      </c>
      <c r="L730" s="23" t="s">
        <v>837</v>
      </c>
      <c r="M730" s="23">
        <v>31</v>
      </c>
      <c r="N730" s="24" t="s">
        <v>509</v>
      </c>
      <c r="O730" s="31"/>
      <c r="P730" s="31">
        <v>250</v>
      </c>
      <c r="Q730" s="31"/>
      <c r="R730" s="31"/>
      <c r="S730" s="23"/>
      <c r="T730" s="31">
        <v>60</v>
      </c>
      <c r="U730" s="31"/>
      <c r="V730" s="36"/>
      <c r="W730" s="37"/>
      <c r="X730" s="29">
        <v>16.7</v>
      </c>
      <c r="Y730" s="3" t="s">
        <v>18</v>
      </c>
      <c r="Z730" s="2"/>
      <c r="AA730" s="2"/>
    </row>
    <row r="731" spans="1:27" ht="23.1" customHeight="1" x14ac:dyDescent="0.25">
      <c r="A731" s="20" t="s">
        <v>796</v>
      </c>
      <c r="B731" s="3" t="s">
        <v>110</v>
      </c>
      <c r="C731" s="3">
        <v>55</v>
      </c>
      <c r="D731" s="3" t="s">
        <v>749</v>
      </c>
      <c r="E731" s="1" t="s">
        <v>139</v>
      </c>
      <c r="F731" s="21" t="s">
        <v>139</v>
      </c>
      <c r="G731" s="3" t="s">
        <v>123</v>
      </c>
      <c r="H731" s="3">
        <v>10</v>
      </c>
      <c r="I731" s="2" t="s">
        <v>2023</v>
      </c>
      <c r="J731" s="3">
        <v>15</v>
      </c>
      <c r="K731" s="3">
        <v>20</v>
      </c>
      <c r="L731" s="23">
        <v>19</v>
      </c>
      <c r="M731" s="23">
        <v>31</v>
      </c>
      <c r="N731" s="24" t="s">
        <v>439</v>
      </c>
      <c r="O731" s="31"/>
      <c r="P731" s="31">
        <v>35</v>
      </c>
      <c r="Q731" s="31"/>
      <c r="R731" s="31"/>
      <c r="S731" s="23"/>
      <c r="T731" s="31">
        <v>60</v>
      </c>
      <c r="U731" s="31"/>
      <c r="V731" s="36"/>
      <c r="W731" s="37"/>
      <c r="X731" s="29">
        <v>11.7</v>
      </c>
      <c r="Y731" s="3" t="s">
        <v>18</v>
      </c>
      <c r="Z731" s="2"/>
      <c r="AA731" s="2"/>
    </row>
    <row r="732" spans="1:27" ht="23.1" customHeight="1" x14ac:dyDescent="0.25">
      <c r="A732" s="20" t="s">
        <v>796</v>
      </c>
      <c r="B732" s="3" t="s">
        <v>110</v>
      </c>
      <c r="C732" s="3">
        <v>12</v>
      </c>
      <c r="D732" s="3" t="s">
        <v>735</v>
      </c>
      <c r="E732" s="1" t="s">
        <v>249</v>
      </c>
      <c r="F732" s="21" t="s">
        <v>249</v>
      </c>
      <c r="G732" s="3" t="s">
        <v>250</v>
      </c>
      <c r="H732" s="3">
        <v>15</v>
      </c>
      <c r="I732" s="2" t="s">
        <v>1903</v>
      </c>
      <c r="J732" s="3">
        <v>1</v>
      </c>
      <c r="K732" s="3">
        <v>1.6</v>
      </c>
      <c r="L732" s="23">
        <v>19</v>
      </c>
      <c r="M732" s="23">
        <v>28</v>
      </c>
      <c r="N732" s="24" t="s">
        <v>838</v>
      </c>
      <c r="O732" s="31"/>
      <c r="P732" s="31">
        <v>600</v>
      </c>
      <c r="Q732" s="31"/>
      <c r="R732" s="31"/>
      <c r="S732" s="23"/>
      <c r="T732" s="31">
        <v>120</v>
      </c>
      <c r="U732" s="31"/>
      <c r="V732" s="36"/>
      <c r="W732" s="37"/>
      <c r="X732" s="29">
        <v>16</v>
      </c>
      <c r="Y732" s="3" t="s">
        <v>10</v>
      </c>
      <c r="Z732" s="2"/>
      <c r="AA732" s="2"/>
    </row>
    <row r="733" spans="1:27" ht="23.1" customHeight="1" x14ac:dyDescent="0.25">
      <c r="A733" s="20" t="s">
        <v>796</v>
      </c>
      <c r="B733" s="3" t="s">
        <v>137</v>
      </c>
      <c r="C733" s="3">
        <v>10</v>
      </c>
      <c r="D733" s="3" t="s">
        <v>517</v>
      </c>
      <c r="E733" s="1" t="s">
        <v>518</v>
      </c>
      <c r="F733" s="21" t="s">
        <v>518</v>
      </c>
      <c r="G733" s="3" t="s">
        <v>300</v>
      </c>
      <c r="H733" s="3">
        <v>30</v>
      </c>
      <c r="I733" s="2" t="s">
        <v>2436</v>
      </c>
      <c r="J733" s="3">
        <v>2.2000000000000002</v>
      </c>
      <c r="K733" s="3">
        <v>3</v>
      </c>
      <c r="L733" s="23">
        <v>23</v>
      </c>
      <c r="M733" s="23">
        <v>28</v>
      </c>
      <c r="N733" s="24" t="s">
        <v>839</v>
      </c>
      <c r="O733" s="31"/>
      <c r="P733" s="31">
        <v>270</v>
      </c>
      <c r="Q733" s="31"/>
      <c r="R733" s="31"/>
      <c r="S733" s="23"/>
      <c r="T733" s="31">
        <v>90</v>
      </c>
      <c r="U733" s="31"/>
      <c r="V733" s="36"/>
      <c r="W733" s="37"/>
      <c r="X733" s="29">
        <v>13.5</v>
      </c>
      <c r="Y733" s="3" t="s">
        <v>30</v>
      </c>
      <c r="Z733" s="2"/>
      <c r="AA733" s="2"/>
    </row>
    <row r="734" spans="1:27" ht="23.1" customHeight="1" x14ac:dyDescent="0.25">
      <c r="A734" s="20" t="s">
        <v>796</v>
      </c>
      <c r="B734" s="3" t="s">
        <v>137</v>
      </c>
      <c r="C734" s="3">
        <v>9</v>
      </c>
      <c r="D734" s="3" t="s">
        <v>229</v>
      </c>
      <c r="E734" s="1" t="s">
        <v>230</v>
      </c>
      <c r="F734" s="21" t="s">
        <v>230</v>
      </c>
      <c r="G734" s="3" t="s">
        <v>154</v>
      </c>
      <c r="H734" s="3">
        <v>30</v>
      </c>
      <c r="I734" s="2" t="s">
        <v>2058</v>
      </c>
      <c r="J734" s="3">
        <v>6</v>
      </c>
      <c r="K734" s="3">
        <v>6</v>
      </c>
      <c r="L734" s="23">
        <v>23</v>
      </c>
      <c r="M734" s="23">
        <v>23</v>
      </c>
      <c r="N734" s="24" t="s">
        <v>275</v>
      </c>
      <c r="O734" s="31"/>
      <c r="P734" s="31">
        <v>80</v>
      </c>
      <c r="Q734" s="31"/>
      <c r="R734" s="31"/>
      <c r="S734" s="23"/>
      <c r="T734" s="31">
        <v>60</v>
      </c>
      <c r="U734" s="31"/>
      <c r="V734" s="36"/>
      <c r="W734" s="37"/>
      <c r="X734" s="29">
        <v>8</v>
      </c>
      <c r="Y734" s="3" t="s">
        <v>30</v>
      </c>
      <c r="Z734" s="2"/>
      <c r="AA734" s="2"/>
    </row>
    <row r="735" spans="1:27" ht="23.1" customHeight="1" x14ac:dyDescent="0.25">
      <c r="A735" s="20" t="s">
        <v>796</v>
      </c>
      <c r="B735" s="3" t="s">
        <v>137</v>
      </c>
      <c r="C735" s="3">
        <v>11</v>
      </c>
      <c r="D735" s="3" t="s">
        <v>690</v>
      </c>
      <c r="E735" s="1" t="s">
        <v>691</v>
      </c>
      <c r="F735" s="21" t="s">
        <v>691</v>
      </c>
      <c r="G735" s="3" t="s">
        <v>123</v>
      </c>
      <c r="H735" s="3">
        <v>25</v>
      </c>
      <c r="I735" s="2" t="s">
        <v>2054</v>
      </c>
      <c r="J735" s="3">
        <v>6</v>
      </c>
      <c r="K735" s="3">
        <v>2.5</v>
      </c>
      <c r="L735" s="23">
        <v>26</v>
      </c>
      <c r="M735" s="23">
        <v>26</v>
      </c>
      <c r="N735" s="24" t="s">
        <v>840</v>
      </c>
      <c r="O735" s="31"/>
      <c r="P735" s="31">
        <v>180</v>
      </c>
      <c r="Q735" s="31"/>
      <c r="R735" s="31"/>
      <c r="S735" s="23"/>
      <c r="T735" s="31">
        <v>60</v>
      </c>
      <c r="U735" s="31"/>
      <c r="V735" s="36"/>
      <c r="W735" s="37"/>
      <c r="X735" s="29">
        <v>7.5</v>
      </c>
      <c r="Y735" s="3" t="s">
        <v>63</v>
      </c>
      <c r="Z735" s="2"/>
      <c r="AA735" s="2"/>
    </row>
    <row r="736" spans="1:27" ht="23.1" customHeight="1" x14ac:dyDescent="0.25">
      <c r="A736" s="20" t="s">
        <v>796</v>
      </c>
      <c r="B736" s="3" t="s">
        <v>137</v>
      </c>
      <c r="C736" s="3">
        <v>16</v>
      </c>
      <c r="D736" s="3" t="s">
        <v>805</v>
      </c>
      <c r="E736" s="1" t="s">
        <v>806</v>
      </c>
      <c r="F736" s="21" t="s">
        <v>806</v>
      </c>
      <c r="G736" s="3" t="s">
        <v>154</v>
      </c>
      <c r="H736" s="3">
        <v>15</v>
      </c>
      <c r="I736" s="2" t="s">
        <v>2065</v>
      </c>
      <c r="J736" s="3">
        <v>2</v>
      </c>
      <c r="K736" s="3">
        <v>0.7</v>
      </c>
      <c r="L736" s="23"/>
      <c r="M736" s="23">
        <v>28</v>
      </c>
      <c r="N736" s="24" t="s">
        <v>234</v>
      </c>
      <c r="O736" s="31"/>
      <c r="P736" s="31">
        <v>630</v>
      </c>
      <c r="Q736" s="31"/>
      <c r="R736" s="31"/>
      <c r="S736" s="23"/>
      <c r="T736" s="31">
        <v>120</v>
      </c>
      <c r="U736" s="31"/>
      <c r="V736" s="36"/>
      <c r="W736" s="37">
        <v>2</v>
      </c>
      <c r="X736" s="29">
        <v>9.4</v>
      </c>
      <c r="Y736" s="3" t="s">
        <v>63</v>
      </c>
      <c r="Z736" s="2" t="s">
        <v>841</v>
      </c>
      <c r="AA736" s="1" t="s">
        <v>238</v>
      </c>
    </row>
    <row r="737" spans="1:27" ht="23.1" customHeight="1" x14ac:dyDescent="0.25">
      <c r="A737" s="20" t="s">
        <v>796</v>
      </c>
      <c r="B737" s="3" t="s">
        <v>137</v>
      </c>
      <c r="C737" s="3">
        <v>57</v>
      </c>
      <c r="D737" s="3" t="s">
        <v>698</v>
      </c>
      <c r="E737" s="1" t="s">
        <v>699</v>
      </c>
      <c r="F737" s="21" t="e">
        <v>#N/A</v>
      </c>
      <c r="G737" s="3" t="s">
        <v>123</v>
      </c>
      <c r="H737" s="3">
        <v>15</v>
      </c>
      <c r="I737" s="2" t="s">
        <v>2042</v>
      </c>
      <c r="J737" s="3">
        <v>4</v>
      </c>
      <c r="K737" s="3">
        <v>5</v>
      </c>
      <c r="L737" s="23">
        <v>5</v>
      </c>
      <c r="M737" s="23">
        <v>28</v>
      </c>
      <c r="N737" s="24" t="s">
        <v>842</v>
      </c>
      <c r="O737" s="31"/>
      <c r="P737" s="31">
        <v>130</v>
      </c>
      <c r="Q737" s="31"/>
      <c r="R737" s="31"/>
      <c r="S737" s="23"/>
      <c r="T737" s="31">
        <v>60</v>
      </c>
      <c r="U737" s="31"/>
      <c r="V737" s="36"/>
      <c r="W737" s="37"/>
      <c r="X737" s="29">
        <v>10.8</v>
      </c>
      <c r="Y737" s="3" t="s">
        <v>7</v>
      </c>
      <c r="Z737" s="2"/>
      <c r="AA737" s="2"/>
    </row>
    <row r="738" spans="1:27" ht="23.1" customHeight="1" x14ac:dyDescent="0.25">
      <c r="A738" s="20" t="s">
        <v>796</v>
      </c>
      <c r="B738" s="3" t="s">
        <v>110</v>
      </c>
      <c r="C738" s="3">
        <v>14</v>
      </c>
      <c r="D738" s="3" t="s">
        <v>235</v>
      </c>
      <c r="E738" s="1" t="s">
        <v>236</v>
      </c>
      <c r="F738" s="21" t="s">
        <v>236</v>
      </c>
      <c r="G738" s="3" t="s">
        <v>154</v>
      </c>
      <c r="H738" s="3">
        <v>40</v>
      </c>
      <c r="I738" s="2" t="s">
        <v>2066</v>
      </c>
      <c r="J738" s="3">
        <v>1</v>
      </c>
      <c r="K738" s="3">
        <v>1</v>
      </c>
      <c r="L738" s="23">
        <v>9</v>
      </c>
      <c r="M738" s="23">
        <v>5</v>
      </c>
      <c r="N738" s="24" t="s">
        <v>234</v>
      </c>
      <c r="O738" s="31"/>
      <c r="P738" s="31">
        <v>180</v>
      </c>
      <c r="Q738" s="31"/>
      <c r="R738" s="31"/>
      <c r="S738" s="23"/>
      <c r="T738" s="31">
        <v>90</v>
      </c>
      <c r="U738" s="31"/>
      <c r="V738" s="36">
        <v>1</v>
      </c>
      <c r="W738" s="37">
        <v>2</v>
      </c>
      <c r="X738" s="29">
        <v>6.5</v>
      </c>
      <c r="Y738" s="3" t="s">
        <v>60</v>
      </c>
      <c r="Z738" s="2" t="s">
        <v>803</v>
      </c>
      <c r="AA738" s="2"/>
    </row>
    <row r="739" spans="1:27" ht="23.1" customHeight="1" x14ac:dyDescent="0.25">
      <c r="A739" s="20" t="s">
        <v>796</v>
      </c>
      <c r="B739" s="3" t="s">
        <v>110</v>
      </c>
      <c r="C739" s="3">
        <v>14</v>
      </c>
      <c r="D739" s="3" t="s">
        <v>235</v>
      </c>
      <c r="E739" s="1" t="s">
        <v>236</v>
      </c>
      <c r="F739" s="21" t="s">
        <v>236</v>
      </c>
      <c r="G739" s="3" t="s">
        <v>154</v>
      </c>
      <c r="H739" s="3">
        <v>45</v>
      </c>
      <c r="I739" s="2" t="s">
        <v>2067</v>
      </c>
      <c r="J739" s="3">
        <v>1</v>
      </c>
      <c r="K739" s="3">
        <v>1</v>
      </c>
      <c r="L739" s="23">
        <v>9</v>
      </c>
      <c r="M739" s="23">
        <v>5</v>
      </c>
      <c r="N739" s="24" t="s">
        <v>234</v>
      </c>
      <c r="O739" s="31"/>
      <c r="P739" s="31">
        <v>120</v>
      </c>
      <c r="Q739" s="31"/>
      <c r="R739" s="31"/>
      <c r="S739" s="23"/>
      <c r="T739" s="31">
        <v>90</v>
      </c>
      <c r="U739" s="31"/>
      <c r="V739" s="36">
        <v>1</v>
      </c>
      <c r="W739" s="37"/>
      <c r="X739" s="29">
        <v>3.5</v>
      </c>
      <c r="Y739" s="3" t="s">
        <v>60</v>
      </c>
      <c r="Z739" s="2"/>
      <c r="AA739" s="2"/>
    </row>
    <row r="740" spans="1:27" ht="23.1" customHeight="1" x14ac:dyDescent="0.25">
      <c r="A740" s="20" t="s">
        <v>796</v>
      </c>
      <c r="B740" s="3" t="s">
        <v>137</v>
      </c>
      <c r="C740" s="3">
        <v>58</v>
      </c>
      <c r="D740" s="3" t="s">
        <v>813</v>
      </c>
      <c r="E740" s="1" t="s">
        <v>409</v>
      </c>
      <c r="F740" s="21" t="s">
        <v>409</v>
      </c>
      <c r="G740" s="3" t="s">
        <v>102</v>
      </c>
      <c r="H740" s="3">
        <v>20</v>
      </c>
      <c r="I740" s="2" t="s">
        <v>1862</v>
      </c>
      <c r="J740" s="3">
        <v>1</v>
      </c>
      <c r="K740" s="3">
        <v>1</v>
      </c>
      <c r="L740" s="23">
        <v>31</v>
      </c>
      <c r="M740" s="23"/>
      <c r="N740" s="24" t="s">
        <v>596</v>
      </c>
      <c r="O740" s="34"/>
      <c r="P740" s="31">
        <v>260</v>
      </c>
      <c r="Q740" s="31"/>
      <c r="R740" s="31"/>
      <c r="S740" s="23"/>
      <c r="T740" s="31">
        <v>90</v>
      </c>
      <c r="U740" s="31"/>
      <c r="V740" s="36"/>
      <c r="W740" s="37"/>
      <c r="X740" s="29">
        <v>4.3</v>
      </c>
      <c r="Y740" s="3" t="s">
        <v>7</v>
      </c>
      <c r="Z740" s="2" t="s">
        <v>843</v>
      </c>
      <c r="AA740" s="2"/>
    </row>
    <row r="741" spans="1:27" ht="23.1" customHeight="1" x14ac:dyDescent="0.25">
      <c r="A741" s="20" t="s">
        <v>796</v>
      </c>
      <c r="B741" s="3" t="s">
        <v>137</v>
      </c>
      <c r="C741" s="3">
        <v>58</v>
      </c>
      <c r="D741" s="3" t="s">
        <v>813</v>
      </c>
      <c r="E741" s="1" t="s">
        <v>409</v>
      </c>
      <c r="F741" s="21" t="s">
        <v>409</v>
      </c>
      <c r="G741" s="3" t="s">
        <v>102</v>
      </c>
      <c r="H741" s="3">
        <v>25</v>
      </c>
      <c r="I741" s="2" t="s">
        <v>2068</v>
      </c>
      <c r="J741" s="3">
        <v>1</v>
      </c>
      <c r="K741" s="3">
        <v>1</v>
      </c>
      <c r="L741" s="23">
        <v>31</v>
      </c>
      <c r="M741" s="23"/>
      <c r="N741" s="24" t="s">
        <v>596</v>
      </c>
      <c r="O741" s="34"/>
      <c r="P741" s="31">
        <v>120</v>
      </c>
      <c r="Q741" s="31"/>
      <c r="R741" s="31"/>
      <c r="S741" s="23"/>
      <c r="T741" s="31">
        <v>90</v>
      </c>
      <c r="U741" s="31"/>
      <c r="V741" s="36"/>
      <c r="W741" s="37"/>
      <c r="X741" s="29">
        <v>2</v>
      </c>
      <c r="Y741" s="3" t="s">
        <v>7</v>
      </c>
      <c r="Z741" s="2"/>
      <c r="AA741" s="2"/>
    </row>
    <row r="742" spans="1:27" ht="23.1" customHeight="1" x14ac:dyDescent="0.25">
      <c r="A742" s="20" t="s">
        <v>796</v>
      </c>
      <c r="B742" s="3" t="s">
        <v>137</v>
      </c>
      <c r="C742" s="3">
        <v>58</v>
      </c>
      <c r="D742" s="3" t="s">
        <v>815</v>
      </c>
      <c r="E742" s="1" t="s">
        <v>409</v>
      </c>
      <c r="F742" s="21" t="s">
        <v>409</v>
      </c>
      <c r="G742" s="3" t="s">
        <v>102</v>
      </c>
      <c r="H742" s="3">
        <v>20</v>
      </c>
      <c r="I742" s="2" t="s">
        <v>1862</v>
      </c>
      <c r="J742" s="3">
        <v>1</v>
      </c>
      <c r="K742" s="3">
        <v>1</v>
      </c>
      <c r="L742" s="23">
        <v>5</v>
      </c>
      <c r="M742" s="23"/>
      <c r="N742" s="24" t="s">
        <v>596</v>
      </c>
      <c r="O742" s="34"/>
      <c r="P742" s="31">
        <v>260</v>
      </c>
      <c r="Q742" s="31"/>
      <c r="R742" s="31"/>
      <c r="S742" s="23"/>
      <c r="T742" s="31">
        <v>90</v>
      </c>
      <c r="U742" s="31"/>
      <c r="V742" s="36">
        <v>1</v>
      </c>
      <c r="W742" s="37">
        <v>2</v>
      </c>
      <c r="X742" s="29">
        <v>7.8</v>
      </c>
      <c r="Y742" s="3" t="s">
        <v>7</v>
      </c>
      <c r="Z742" s="2" t="s">
        <v>844</v>
      </c>
      <c r="AA742" s="1" t="s">
        <v>238</v>
      </c>
    </row>
    <row r="743" spans="1:27" ht="23.1" customHeight="1" x14ac:dyDescent="0.25">
      <c r="A743" s="20" t="s">
        <v>796</v>
      </c>
      <c r="B743" s="3" t="s">
        <v>137</v>
      </c>
      <c r="C743" s="3">
        <v>18</v>
      </c>
      <c r="D743" s="3" t="s">
        <v>205</v>
      </c>
      <c r="E743" s="1" t="s">
        <v>206</v>
      </c>
      <c r="F743" s="21" t="s">
        <v>206</v>
      </c>
      <c r="G743" s="3" t="s">
        <v>123</v>
      </c>
      <c r="H743" s="3">
        <v>60</v>
      </c>
      <c r="I743" s="2" t="s">
        <v>1861</v>
      </c>
      <c r="J743" s="3">
        <v>1</v>
      </c>
      <c r="K743" s="3">
        <v>1</v>
      </c>
      <c r="L743" s="33"/>
      <c r="M743" s="23">
        <v>19</v>
      </c>
      <c r="N743" s="24" t="s">
        <v>845</v>
      </c>
      <c r="O743" s="34"/>
      <c r="P743" s="31">
        <v>180</v>
      </c>
      <c r="Q743" s="31"/>
      <c r="R743" s="31"/>
      <c r="S743" s="23"/>
      <c r="T743" s="31">
        <v>90</v>
      </c>
      <c r="U743" s="31"/>
      <c r="V743" s="36"/>
      <c r="W743" s="37"/>
      <c r="X743" s="29">
        <v>3</v>
      </c>
      <c r="Y743" s="3" t="s">
        <v>16</v>
      </c>
      <c r="Z743" s="2"/>
      <c r="AA743" s="2"/>
    </row>
    <row r="744" spans="1:27" ht="23.1" customHeight="1" x14ac:dyDescent="0.25">
      <c r="A744" s="20" t="s">
        <v>796</v>
      </c>
      <c r="B744" s="3" t="s">
        <v>137</v>
      </c>
      <c r="C744" s="3">
        <v>18</v>
      </c>
      <c r="D744" s="3" t="s">
        <v>205</v>
      </c>
      <c r="E744" s="1" t="s">
        <v>206</v>
      </c>
      <c r="F744" s="21" t="s">
        <v>206</v>
      </c>
      <c r="G744" s="3" t="s">
        <v>123</v>
      </c>
      <c r="H744" s="3">
        <v>65</v>
      </c>
      <c r="I744" s="2" t="s">
        <v>2049</v>
      </c>
      <c r="J744" s="3">
        <v>1</v>
      </c>
      <c r="K744" s="3">
        <v>3</v>
      </c>
      <c r="L744" s="23">
        <v>23</v>
      </c>
      <c r="M744" s="23">
        <v>23</v>
      </c>
      <c r="N744" s="24" t="s">
        <v>726</v>
      </c>
      <c r="O744" s="34"/>
      <c r="P744" s="31">
        <v>240</v>
      </c>
      <c r="Q744" s="31"/>
      <c r="R744" s="31"/>
      <c r="S744" s="23"/>
      <c r="T744" s="31">
        <v>120</v>
      </c>
      <c r="U744" s="31"/>
      <c r="V744" s="36"/>
      <c r="W744" s="37"/>
      <c r="X744" s="29">
        <v>12</v>
      </c>
      <c r="Y744" s="3" t="s">
        <v>16</v>
      </c>
      <c r="Z744" s="2"/>
      <c r="AA744" s="2"/>
    </row>
    <row r="745" spans="1:27" ht="23.1" customHeight="1" x14ac:dyDescent="0.25">
      <c r="A745" s="20" t="s">
        <v>796</v>
      </c>
      <c r="B745" s="3" t="s">
        <v>137</v>
      </c>
      <c r="C745" s="3">
        <v>59</v>
      </c>
      <c r="D745" s="3" t="s">
        <v>846</v>
      </c>
      <c r="E745" s="1" t="s">
        <v>847</v>
      </c>
      <c r="F745" s="21" t="s">
        <v>847</v>
      </c>
      <c r="G745" s="3" t="s">
        <v>102</v>
      </c>
      <c r="H745" s="3">
        <v>5</v>
      </c>
      <c r="I745" s="2" t="s">
        <v>2060</v>
      </c>
      <c r="J745" s="3">
        <v>8</v>
      </c>
      <c r="K745" s="3">
        <v>8</v>
      </c>
      <c r="L745" s="23">
        <v>5</v>
      </c>
      <c r="M745" s="23">
        <v>5</v>
      </c>
      <c r="N745" s="24" t="s">
        <v>596</v>
      </c>
      <c r="O745" s="34"/>
      <c r="P745" s="31">
        <v>35</v>
      </c>
      <c r="Q745" s="31"/>
      <c r="R745" s="31"/>
      <c r="S745" s="23"/>
      <c r="T745" s="31">
        <v>60</v>
      </c>
      <c r="U745" s="31"/>
      <c r="V745" s="36"/>
      <c r="W745" s="37">
        <v>2</v>
      </c>
      <c r="X745" s="29">
        <v>6.7</v>
      </c>
      <c r="Y745" s="64" t="s">
        <v>1847</v>
      </c>
      <c r="Z745" s="2" t="s">
        <v>848</v>
      </c>
      <c r="AA745" s="2"/>
    </row>
    <row r="746" spans="1:27" ht="23.1" customHeight="1" x14ac:dyDescent="0.25">
      <c r="A746" s="20" t="s">
        <v>796</v>
      </c>
      <c r="B746" s="3" t="s">
        <v>137</v>
      </c>
      <c r="C746" s="3">
        <v>17</v>
      </c>
      <c r="D746" s="3" t="s">
        <v>352</v>
      </c>
      <c r="E746" s="1" t="s">
        <v>353</v>
      </c>
      <c r="F746" s="21" t="e">
        <v>#N/A</v>
      </c>
      <c r="G746" s="3" t="s">
        <v>300</v>
      </c>
      <c r="H746" s="3">
        <v>30</v>
      </c>
      <c r="I746" s="2" t="s">
        <v>2005</v>
      </c>
      <c r="J746" s="3">
        <v>1</v>
      </c>
      <c r="K746" s="3">
        <v>2</v>
      </c>
      <c r="L746" s="23">
        <v>5</v>
      </c>
      <c r="M746" s="23">
        <v>5</v>
      </c>
      <c r="N746" s="24" t="s">
        <v>506</v>
      </c>
      <c r="O746" s="34"/>
      <c r="P746" s="31">
        <v>480</v>
      </c>
      <c r="Q746" s="31"/>
      <c r="R746" s="31"/>
      <c r="S746" s="23"/>
      <c r="T746" s="31">
        <v>120</v>
      </c>
      <c r="U746" s="31"/>
      <c r="V746" s="36"/>
      <c r="W746" s="37"/>
      <c r="X746" s="29">
        <v>16</v>
      </c>
      <c r="Y746" s="3" t="s">
        <v>16</v>
      </c>
      <c r="Z746" s="2"/>
      <c r="AA746" s="2"/>
    </row>
    <row r="747" spans="1:27" ht="23.1" customHeight="1" x14ac:dyDescent="0.25">
      <c r="A747" s="20" t="s">
        <v>796</v>
      </c>
      <c r="B747" s="3" t="s">
        <v>113</v>
      </c>
      <c r="C747" s="3">
        <v>9</v>
      </c>
      <c r="D747" s="3" t="s">
        <v>624</v>
      </c>
      <c r="E747" s="1" t="s">
        <v>625</v>
      </c>
      <c r="F747" s="21" t="s">
        <v>625</v>
      </c>
      <c r="G747" s="3" t="s">
        <v>300</v>
      </c>
      <c r="H747" s="3">
        <v>50</v>
      </c>
      <c r="I747" s="2" t="s">
        <v>2039</v>
      </c>
      <c r="J747" s="3">
        <v>5</v>
      </c>
      <c r="K747" s="3">
        <v>5</v>
      </c>
      <c r="L747" s="23">
        <v>5</v>
      </c>
      <c r="M747" s="23">
        <v>28</v>
      </c>
      <c r="N747" s="24" t="s">
        <v>567</v>
      </c>
      <c r="O747" s="34"/>
      <c r="P747" s="31">
        <v>65</v>
      </c>
      <c r="Q747" s="31"/>
      <c r="R747" s="31"/>
      <c r="S747" s="23"/>
      <c r="T747" s="31">
        <v>60</v>
      </c>
      <c r="U747" s="31"/>
      <c r="V747" s="36"/>
      <c r="W747" s="37">
        <v>4</v>
      </c>
      <c r="X747" s="29">
        <v>9.4</v>
      </c>
      <c r="Y747" s="3" t="s">
        <v>30</v>
      </c>
      <c r="Z747" s="2" t="s">
        <v>849</v>
      </c>
      <c r="AA747" s="2"/>
    </row>
    <row r="748" spans="1:27" ht="23.1" customHeight="1" x14ac:dyDescent="0.25">
      <c r="A748" s="20" t="s">
        <v>796</v>
      </c>
      <c r="B748" s="3" t="s">
        <v>113</v>
      </c>
      <c r="C748" s="3">
        <v>10</v>
      </c>
      <c r="D748" s="3" t="s">
        <v>517</v>
      </c>
      <c r="E748" s="1" t="s">
        <v>518</v>
      </c>
      <c r="F748" s="21" t="s">
        <v>518</v>
      </c>
      <c r="G748" s="3" t="s">
        <v>300</v>
      </c>
      <c r="H748" s="3">
        <v>30</v>
      </c>
      <c r="I748" s="3" t="s">
        <v>2040</v>
      </c>
      <c r="J748" s="2"/>
      <c r="K748" s="3">
        <v>0.5</v>
      </c>
      <c r="L748" s="33"/>
      <c r="M748" s="23">
        <v>28</v>
      </c>
      <c r="N748" s="24" t="s">
        <v>456</v>
      </c>
      <c r="O748" s="34"/>
      <c r="P748" s="31">
        <v>270</v>
      </c>
      <c r="Q748" s="31"/>
      <c r="R748" s="31"/>
      <c r="S748" s="23"/>
      <c r="T748" s="31">
        <v>90</v>
      </c>
      <c r="U748" s="31"/>
      <c r="V748" s="36"/>
      <c r="W748" s="37">
        <v>3</v>
      </c>
      <c r="X748" s="29">
        <v>5.3</v>
      </c>
      <c r="Y748" s="3" t="s">
        <v>30</v>
      </c>
      <c r="Z748" s="2" t="s">
        <v>850</v>
      </c>
      <c r="AA748" s="1" t="s">
        <v>238</v>
      </c>
    </row>
    <row r="749" spans="1:27" ht="23.1" customHeight="1" x14ac:dyDescent="0.25">
      <c r="A749" s="20" t="s">
        <v>796</v>
      </c>
      <c r="B749" s="3" t="s">
        <v>113</v>
      </c>
      <c r="C749" s="3">
        <v>10</v>
      </c>
      <c r="D749" s="3" t="s">
        <v>308</v>
      </c>
      <c r="E749" s="1" t="s">
        <v>309</v>
      </c>
      <c r="F749" s="21" t="s">
        <v>309</v>
      </c>
      <c r="G749" s="3" t="s">
        <v>102</v>
      </c>
      <c r="H749" s="3">
        <v>90</v>
      </c>
      <c r="I749" s="3" t="s">
        <v>2437</v>
      </c>
      <c r="J749" s="2"/>
      <c r="K749" s="3">
        <v>2</v>
      </c>
      <c r="L749" s="33"/>
      <c r="M749" s="23">
        <v>23</v>
      </c>
      <c r="N749" s="24" t="s">
        <v>438</v>
      </c>
      <c r="O749" s="31"/>
      <c r="P749" s="31">
        <v>240</v>
      </c>
      <c r="Q749" s="31"/>
      <c r="R749" s="31"/>
      <c r="S749" s="23"/>
      <c r="T749" s="31">
        <v>90</v>
      </c>
      <c r="U749" s="31"/>
      <c r="V749" s="36"/>
      <c r="W749" s="37"/>
      <c r="X749" s="29">
        <v>8</v>
      </c>
      <c r="Y749" s="3" t="s">
        <v>30</v>
      </c>
      <c r="Z749" s="2"/>
      <c r="AA749" s="2"/>
    </row>
    <row r="750" spans="1:27" ht="23.1" customHeight="1" x14ac:dyDescent="0.25">
      <c r="A750" s="20" t="s">
        <v>796</v>
      </c>
      <c r="B750" s="3" t="s">
        <v>113</v>
      </c>
      <c r="C750" s="3">
        <v>9</v>
      </c>
      <c r="D750" s="3" t="s">
        <v>229</v>
      </c>
      <c r="E750" s="1" t="s">
        <v>230</v>
      </c>
      <c r="F750" s="21" t="s">
        <v>230</v>
      </c>
      <c r="G750" s="3" t="s">
        <v>154</v>
      </c>
      <c r="H750" s="3">
        <v>30</v>
      </c>
      <c r="I750" s="3" t="s">
        <v>2058</v>
      </c>
      <c r="J750" s="2"/>
      <c r="K750" s="3">
        <v>6</v>
      </c>
      <c r="L750" s="23">
        <v>28</v>
      </c>
      <c r="M750" s="23">
        <v>28</v>
      </c>
      <c r="N750" s="24" t="s">
        <v>851</v>
      </c>
      <c r="O750" s="34"/>
      <c r="P750" s="31">
        <v>80</v>
      </c>
      <c r="Q750" s="31"/>
      <c r="R750" s="31"/>
      <c r="S750" s="23"/>
      <c r="T750" s="31">
        <v>60</v>
      </c>
      <c r="U750" s="31"/>
      <c r="V750" s="36"/>
      <c r="W750" s="37"/>
      <c r="X750" s="29">
        <v>8</v>
      </c>
      <c r="Y750" s="3" t="s">
        <v>30</v>
      </c>
      <c r="Z750" s="2"/>
      <c r="AA750" s="2"/>
    </row>
    <row r="751" spans="1:27" ht="23.1" customHeight="1" x14ac:dyDescent="0.25">
      <c r="A751" s="20" t="s">
        <v>796</v>
      </c>
      <c r="B751" s="3" t="s">
        <v>113</v>
      </c>
      <c r="C751" s="3">
        <v>15</v>
      </c>
      <c r="D751" s="3" t="s">
        <v>592</v>
      </c>
      <c r="E751" s="1" t="s">
        <v>218</v>
      </c>
      <c r="F751" s="21" t="s">
        <v>218</v>
      </c>
      <c r="G751" s="3" t="s">
        <v>107</v>
      </c>
      <c r="H751" s="3">
        <v>40</v>
      </c>
      <c r="I751" s="2" t="s">
        <v>1915</v>
      </c>
      <c r="J751" s="3">
        <v>4</v>
      </c>
      <c r="K751" s="3">
        <v>6</v>
      </c>
      <c r="L751" s="23">
        <v>28</v>
      </c>
      <c r="M751" s="23">
        <v>28</v>
      </c>
      <c r="N751" s="24" t="s">
        <v>456</v>
      </c>
      <c r="O751" s="34"/>
      <c r="P751" s="31">
        <v>150</v>
      </c>
      <c r="Q751" s="31"/>
      <c r="R751" s="31"/>
      <c r="S751" s="23"/>
      <c r="T751" s="31">
        <v>90</v>
      </c>
      <c r="U751" s="31"/>
      <c r="V751" s="36"/>
      <c r="W751" s="37"/>
      <c r="X751" s="29">
        <v>15</v>
      </c>
      <c r="Y751" s="3" t="s">
        <v>31</v>
      </c>
      <c r="Z751" s="2"/>
      <c r="AA751" s="2"/>
    </row>
    <row r="752" spans="1:27" ht="23.1" customHeight="1" x14ac:dyDescent="0.25">
      <c r="A752" s="20" t="s">
        <v>796</v>
      </c>
      <c r="B752" s="3" t="s">
        <v>113</v>
      </c>
      <c r="C752" s="3">
        <v>55</v>
      </c>
      <c r="D752" s="3" t="s">
        <v>749</v>
      </c>
      <c r="E752" s="1" t="s">
        <v>139</v>
      </c>
      <c r="F752" s="21" t="s">
        <v>139</v>
      </c>
      <c r="G752" s="3" t="s">
        <v>123</v>
      </c>
      <c r="H752" s="3">
        <v>10</v>
      </c>
      <c r="I752" s="2" t="s">
        <v>2023</v>
      </c>
      <c r="J752" s="3">
        <v>15</v>
      </c>
      <c r="K752" s="3">
        <v>20</v>
      </c>
      <c r="L752" s="23">
        <v>31</v>
      </c>
      <c r="M752" s="23">
        <v>31</v>
      </c>
      <c r="N752" s="24" t="s">
        <v>439</v>
      </c>
      <c r="O752" s="31"/>
      <c r="P752" s="31">
        <v>35</v>
      </c>
      <c r="Q752" s="31"/>
      <c r="R752" s="31"/>
      <c r="S752" s="23"/>
      <c r="T752" s="31">
        <v>60</v>
      </c>
      <c r="U752" s="31"/>
      <c r="V752" s="36"/>
      <c r="W752" s="37"/>
      <c r="X752" s="29">
        <v>11.7</v>
      </c>
      <c r="Y752" s="3" t="s">
        <v>44</v>
      </c>
      <c r="Z752" s="2"/>
      <c r="AA752" s="2"/>
    </row>
    <row r="753" spans="1:27" ht="23.1" customHeight="1" x14ac:dyDescent="0.25">
      <c r="A753" s="20" t="s">
        <v>796</v>
      </c>
      <c r="B753" s="3" t="s">
        <v>113</v>
      </c>
      <c r="C753" s="3">
        <v>77</v>
      </c>
      <c r="D753" s="3" t="s">
        <v>211</v>
      </c>
      <c r="E753" s="1" t="s">
        <v>212</v>
      </c>
      <c r="F753" s="21" t="s">
        <v>212</v>
      </c>
      <c r="G753" s="3" t="s">
        <v>123</v>
      </c>
      <c r="H753" s="3">
        <v>20</v>
      </c>
      <c r="I753" s="2" t="s">
        <v>2034</v>
      </c>
      <c r="J753" s="3">
        <v>15</v>
      </c>
      <c r="K753" s="3">
        <v>15</v>
      </c>
      <c r="L753" s="23">
        <v>23</v>
      </c>
      <c r="M753" s="23">
        <v>23</v>
      </c>
      <c r="N753" s="24" t="s">
        <v>335</v>
      </c>
      <c r="O753" s="34"/>
      <c r="P753" s="31">
        <v>30</v>
      </c>
      <c r="Q753" s="31"/>
      <c r="R753" s="31"/>
      <c r="S753" s="23"/>
      <c r="T753" s="31">
        <v>60</v>
      </c>
      <c r="U753" s="31"/>
      <c r="V753" s="36"/>
      <c r="W753" s="37"/>
      <c r="X753" s="29">
        <v>7.5</v>
      </c>
      <c r="Y753" s="3" t="s">
        <v>15</v>
      </c>
      <c r="Z753" s="2"/>
      <c r="AA753" s="2"/>
    </row>
    <row r="754" spans="1:27" ht="23.1" customHeight="1" x14ac:dyDescent="0.25">
      <c r="A754" s="20" t="s">
        <v>796</v>
      </c>
      <c r="B754" s="3" t="s">
        <v>113</v>
      </c>
      <c r="C754" s="3">
        <v>77</v>
      </c>
      <c r="D754" s="3" t="s">
        <v>211</v>
      </c>
      <c r="E754" s="1" t="s">
        <v>212</v>
      </c>
      <c r="F754" s="21" t="s">
        <v>212</v>
      </c>
      <c r="G754" s="3" t="s">
        <v>123</v>
      </c>
      <c r="H754" s="3">
        <v>25</v>
      </c>
      <c r="I754" s="2" t="s">
        <v>1970</v>
      </c>
      <c r="J754" s="3">
        <v>10</v>
      </c>
      <c r="K754" s="3">
        <v>11</v>
      </c>
      <c r="L754" s="23">
        <v>31</v>
      </c>
      <c r="M754" s="23">
        <v>31</v>
      </c>
      <c r="N754" s="24" t="s">
        <v>219</v>
      </c>
      <c r="O754" s="34"/>
      <c r="P754" s="31">
        <v>25</v>
      </c>
      <c r="Q754" s="31"/>
      <c r="R754" s="31"/>
      <c r="S754" s="23"/>
      <c r="T754" s="31">
        <v>60</v>
      </c>
      <c r="U754" s="31"/>
      <c r="V754" s="36"/>
      <c r="W754" s="37"/>
      <c r="X754" s="29">
        <v>4.5999999999999996</v>
      </c>
      <c r="Y754" s="3" t="s">
        <v>15</v>
      </c>
      <c r="Z754" s="2"/>
      <c r="AA754" s="2"/>
    </row>
    <row r="755" spans="1:27" ht="23.1" customHeight="1" x14ac:dyDescent="0.25">
      <c r="A755" s="20" t="s">
        <v>796</v>
      </c>
      <c r="B755" s="3" t="s">
        <v>113</v>
      </c>
      <c r="C755" s="3">
        <v>56</v>
      </c>
      <c r="D755" s="3" t="s">
        <v>676</v>
      </c>
      <c r="E755" s="1" t="s">
        <v>595</v>
      </c>
      <c r="F755" s="21" t="s">
        <v>595</v>
      </c>
      <c r="G755" s="3" t="s">
        <v>154</v>
      </c>
      <c r="H755" s="3">
        <v>15</v>
      </c>
      <c r="I755" s="2" t="s">
        <v>2043</v>
      </c>
      <c r="J755" s="3">
        <v>3</v>
      </c>
      <c r="K755" s="3">
        <v>4</v>
      </c>
      <c r="L755" s="23">
        <v>31</v>
      </c>
      <c r="M755" s="23">
        <v>31</v>
      </c>
      <c r="N755" s="24" t="s">
        <v>852</v>
      </c>
      <c r="O755" s="31"/>
      <c r="P755" s="31">
        <v>250</v>
      </c>
      <c r="Q755" s="31"/>
      <c r="R755" s="31"/>
      <c r="S755" s="23"/>
      <c r="T755" s="31">
        <v>60</v>
      </c>
      <c r="U755" s="31"/>
      <c r="V755" s="36"/>
      <c r="W755" s="37"/>
      <c r="X755" s="29">
        <v>16.7</v>
      </c>
      <c r="Y755" s="3" t="s">
        <v>44</v>
      </c>
      <c r="Z755" s="2"/>
      <c r="AA755" s="2"/>
    </row>
    <row r="756" spans="1:27" ht="23.1" customHeight="1" x14ac:dyDescent="0.25">
      <c r="A756" s="20" t="s">
        <v>796</v>
      </c>
      <c r="B756" s="3" t="s">
        <v>113</v>
      </c>
      <c r="C756" s="3">
        <v>16</v>
      </c>
      <c r="D756" s="3" t="s">
        <v>805</v>
      </c>
      <c r="E756" s="1" t="s">
        <v>806</v>
      </c>
      <c r="F756" s="21" t="s">
        <v>806</v>
      </c>
      <c r="G756" s="3" t="s">
        <v>154</v>
      </c>
      <c r="H756" s="3">
        <v>15</v>
      </c>
      <c r="I756" s="3" t="s">
        <v>2065</v>
      </c>
      <c r="J756" s="2"/>
      <c r="K756" s="3">
        <v>1.3</v>
      </c>
      <c r="L756" s="23">
        <v>28</v>
      </c>
      <c r="M756" s="23">
        <v>9</v>
      </c>
      <c r="N756" s="24" t="s">
        <v>108</v>
      </c>
      <c r="O756" s="34"/>
      <c r="P756" s="31">
        <v>630</v>
      </c>
      <c r="Q756" s="31"/>
      <c r="R756" s="31"/>
      <c r="S756" s="23"/>
      <c r="T756" s="31">
        <v>120</v>
      </c>
      <c r="U756" s="31"/>
      <c r="V756" s="36"/>
      <c r="W756" s="37"/>
      <c r="X756" s="29">
        <v>13.7</v>
      </c>
      <c r="Y756" s="3" t="s">
        <v>38</v>
      </c>
      <c r="Z756" s="2"/>
      <c r="AA756" s="2"/>
    </row>
    <row r="757" spans="1:27" ht="23.1" customHeight="1" x14ac:dyDescent="0.25">
      <c r="A757" s="20" t="s">
        <v>796</v>
      </c>
      <c r="B757" s="3" t="s">
        <v>113</v>
      </c>
      <c r="C757" s="3">
        <v>17</v>
      </c>
      <c r="D757" s="3" t="s">
        <v>352</v>
      </c>
      <c r="E757" s="1" t="s">
        <v>353</v>
      </c>
      <c r="F757" s="21" t="e">
        <v>#N/A</v>
      </c>
      <c r="G757" s="3" t="s">
        <v>300</v>
      </c>
      <c r="H757" s="3">
        <v>30</v>
      </c>
      <c r="I757" s="2" t="s">
        <v>2005</v>
      </c>
      <c r="J757" s="3">
        <v>1</v>
      </c>
      <c r="K757" s="3">
        <v>2</v>
      </c>
      <c r="L757" s="23">
        <v>26</v>
      </c>
      <c r="M757" s="23">
        <v>26</v>
      </c>
      <c r="N757" s="24" t="s">
        <v>168</v>
      </c>
      <c r="O757" s="34"/>
      <c r="P757" s="31">
        <v>480</v>
      </c>
      <c r="Q757" s="31"/>
      <c r="R757" s="31"/>
      <c r="S757" s="23"/>
      <c r="T757" s="31">
        <v>120</v>
      </c>
      <c r="U757" s="31"/>
      <c r="V757" s="36"/>
      <c r="W757" s="37"/>
      <c r="X757" s="29">
        <v>16</v>
      </c>
      <c r="Y757" s="3" t="s">
        <v>43</v>
      </c>
      <c r="Z757" s="2"/>
      <c r="AA757" s="2"/>
    </row>
    <row r="758" spans="1:27" ht="23.1" customHeight="1" x14ac:dyDescent="0.25">
      <c r="A758" s="20" t="s">
        <v>796</v>
      </c>
      <c r="B758" s="3" t="s">
        <v>113</v>
      </c>
      <c r="C758" s="3">
        <v>11</v>
      </c>
      <c r="D758" s="3" t="s">
        <v>690</v>
      </c>
      <c r="E758" s="1" t="s">
        <v>691</v>
      </c>
      <c r="F758" s="21" t="s">
        <v>691</v>
      </c>
      <c r="G758" s="3" t="s">
        <v>123</v>
      </c>
      <c r="H758" s="3">
        <v>25</v>
      </c>
      <c r="I758" s="2" t="s">
        <v>2054</v>
      </c>
      <c r="J758" s="3">
        <v>5</v>
      </c>
      <c r="K758" s="3">
        <v>3</v>
      </c>
      <c r="L758" s="23">
        <v>26</v>
      </c>
      <c r="M758" s="23">
        <v>26</v>
      </c>
      <c r="N758" s="24" t="s">
        <v>853</v>
      </c>
      <c r="O758" s="34"/>
      <c r="P758" s="31">
        <v>180</v>
      </c>
      <c r="Q758" s="31"/>
      <c r="R758" s="31"/>
      <c r="S758" s="23"/>
      <c r="T758" s="31">
        <v>60</v>
      </c>
      <c r="U758" s="31"/>
      <c r="V758" s="36"/>
      <c r="W758" s="37"/>
      <c r="X758" s="29">
        <v>9</v>
      </c>
      <c r="Y758" s="3" t="s">
        <v>38</v>
      </c>
      <c r="Z758" s="2"/>
      <c r="AA758" s="2"/>
    </row>
    <row r="759" spans="1:27" ht="23.1" customHeight="1" x14ac:dyDescent="0.25">
      <c r="A759" s="20" t="s">
        <v>796</v>
      </c>
      <c r="B759" s="3" t="s">
        <v>113</v>
      </c>
      <c r="C759" s="3">
        <v>13</v>
      </c>
      <c r="D759" s="3" t="s">
        <v>654</v>
      </c>
      <c r="E759" s="1" t="s">
        <v>246</v>
      </c>
      <c r="F759" s="21" t="s">
        <v>246</v>
      </c>
      <c r="G759" s="3" t="s">
        <v>154</v>
      </c>
      <c r="H759" s="3">
        <v>25</v>
      </c>
      <c r="I759" s="2" t="s">
        <v>2037</v>
      </c>
      <c r="J759" s="3">
        <v>3</v>
      </c>
      <c r="K759" s="3">
        <v>3</v>
      </c>
      <c r="L759" s="23">
        <v>23</v>
      </c>
      <c r="M759" s="23">
        <v>23</v>
      </c>
      <c r="N759" s="24" t="s">
        <v>247</v>
      </c>
      <c r="O759" s="34"/>
      <c r="P759" s="31">
        <v>130</v>
      </c>
      <c r="Q759" s="31"/>
      <c r="R759" s="31"/>
      <c r="S759" s="23"/>
      <c r="T759" s="31">
        <v>60</v>
      </c>
      <c r="U759" s="31"/>
      <c r="V759" s="36"/>
      <c r="W759" s="37"/>
      <c r="X759" s="29">
        <v>6.5</v>
      </c>
      <c r="Y759" s="3" t="s">
        <v>72</v>
      </c>
      <c r="Z759" s="2"/>
      <c r="AA759" s="2"/>
    </row>
    <row r="760" spans="1:27" ht="23.1" customHeight="1" x14ac:dyDescent="0.25">
      <c r="A760" s="20" t="s">
        <v>796</v>
      </c>
      <c r="B760" s="3" t="s">
        <v>113</v>
      </c>
      <c r="C760" s="3">
        <v>13</v>
      </c>
      <c r="D760" s="3" t="s">
        <v>654</v>
      </c>
      <c r="E760" s="1" t="s">
        <v>246</v>
      </c>
      <c r="F760" s="21" t="s">
        <v>246</v>
      </c>
      <c r="G760" s="3" t="s">
        <v>154</v>
      </c>
      <c r="H760" s="3">
        <v>35</v>
      </c>
      <c r="I760" s="2" t="s">
        <v>2380</v>
      </c>
      <c r="J760" s="3">
        <v>2</v>
      </c>
      <c r="K760" s="3">
        <v>14</v>
      </c>
      <c r="L760" s="23">
        <v>31</v>
      </c>
      <c r="M760" s="23">
        <v>31</v>
      </c>
      <c r="N760" s="24" t="s">
        <v>247</v>
      </c>
      <c r="O760" s="34"/>
      <c r="P760" s="31">
        <v>60</v>
      </c>
      <c r="Q760" s="31"/>
      <c r="R760" s="31"/>
      <c r="S760" s="23"/>
      <c r="T760" s="31">
        <v>60</v>
      </c>
      <c r="U760" s="31"/>
      <c r="V760" s="36"/>
      <c r="W760" s="37"/>
      <c r="X760" s="29">
        <v>14</v>
      </c>
      <c r="Y760" s="3" t="s">
        <v>72</v>
      </c>
      <c r="Z760" s="2"/>
      <c r="AA760" s="2"/>
    </row>
    <row r="761" spans="1:27" ht="23.1" customHeight="1" x14ac:dyDescent="0.25">
      <c r="A761" s="20" t="s">
        <v>796</v>
      </c>
      <c r="B761" s="3" t="s">
        <v>113</v>
      </c>
      <c r="C761" s="3">
        <v>58</v>
      </c>
      <c r="D761" s="3" t="s">
        <v>815</v>
      </c>
      <c r="E761" s="1" t="s">
        <v>409</v>
      </c>
      <c r="F761" s="21" t="s">
        <v>409</v>
      </c>
      <c r="G761" s="3" t="s">
        <v>102</v>
      </c>
      <c r="H761" s="3">
        <v>25</v>
      </c>
      <c r="I761" s="2" t="s">
        <v>2068</v>
      </c>
      <c r="J761" s="3">
        <v>1</v>
      </c>
      <c r="K761" s="3">
        <v>1</v>
      </c>
      <c r="L761" s="33"/>
      <c r="M761" s="23">
        <v>28</v>
      </c>
      <c r="N761" s="24" t="s">
        <v>596</v>
      </c>
      <c r="O761" s="34"/>
      <c r="P761" s="31">
        <v>120</v>
      </c>
      <c r="Q761" s="31"/>
      <c r="R761" s="31"/>
      <c r="S761" s="23"/>
      <c r="T761" s="31">
        <v>90</v>
      </c>
      <c r="U761" s="31"/>
      <c r="V761" s="36"/>
      <c r="W761" s="37"/>
      <c r="X761" s="29">
        <v>2</v>
      </c>
      <c r="Y761" s="3" t="s">
        <v>57</v>
      </c>
      <c r="Z761" s="2"/>
      <c r="AA761" s="2"/>
    </row>
    <row r="762" spans="1:27" ht="23.1" customHeight="1" x14ac:dyDescent="0.25">
      <c r="A762" s="20" t="s">
        <v>796</v>
      </c>
      <c r="B762" s="3" t="s">
        <v>137</v>
      </c>
      <c r="C762" s="3">
        <v>58</v>
      </c>
      <c r="D762" s="3" t="s">
        <v>815</v>
      </c>
      <c r="E762" s="1" t="s">
        <v>409</v>
      </c>
      <c r="F762" s="21" t="s">
        <v>409</v>
      </c>
      <c r="G762" s="3" t="s">
        <v>102</v>
      </c>
      <c r="H762" s="3">
        <v>25</v>
      </c>
      <c r="I762" s="2" t="s">
        <v>2068</v>
      </c>
      <c r="J762" s="3">
        <v>1</v>
      </c>
      <c r="K762" s="3">
        <v>1</v>
      </c>
      <c r="L762" s="23">
        <v>5</v>
      </c>
      <c r="M762" s="23"/>
      <c r="N762" s="24" t="s">
        <v>596</v>
      </c>
      <c r="O762" s="34"/>
      <c r="P762" s="31">
        <v>120</v>
      </c>
      <c r="Q762" s="31"/>
      <c r="R762" s="31"/>
      <c r="S762" s="23"/>
      <c r="T762" s="31">
        <v>90</v>
      </c>
      <c r="U762" s="31"/>
      <c r="V762" s="36">
        <v>1</v>
      </c>
      <c r="W762" s="37">
        <v>2</v>
      </c>
      <c r="X762" s="29">
        <v>5.5</v>
      </c>
      <c r="Y762" s="3" t="s">
        <v>7</v>
      </c>
      <c r="Z762" s="2" t="s">
        <v>844</v>
      </c>
      <c r="AA762" s="1" t="s">
        <v>238</v>
      </c>
    </row>
    <row r="763" spans="1:27" ht="23.1" customHeight="1" x14ac:dyDescent="0.25">
      <c r="A763" s="20" t="s">
        <v>796</v>
      </c>
      <c r="B763" s="3" t="s">
        <v>113</v>
      </c>
      <c r="C763" s="3">
        <v>78</v>
      </c>
      <c r="D763" s="3" t="s">
        <v>854</v>
      </c>
      <c r="E763" s="1" t="s">
        <v>822</v>
      </c>
      <c r="F763" s="21" t="s">
        <v>822</v>
      </c>
      <c r="G763" s="3" t="s">
        <v>123</v>
      </c>
      <c r="H763" s="3">
        <v>5</v>
      </c>
      <c r="I763" s="2" t="s">
        <v>1930</v>
      </c>
      <c r="J763" s="3">
        <v>2</v>
      </c>
      <c r="K763" s="3">
        <v>2</v>
      </c>
      <c r="L763" s="23">
        <v>5</v>
      </c>
      <c r="M763" s="23">
        <v>31</v>
      </c>
      <c r="N763" s="24" t="s">
        <v>661</v>
      </c>
      <c r="O763" s="34"/>
      <c r="P763" s="31">
        <v>120</v>
      </c>
      <c r="Q763" s="31">
        <v>60</v>
      </c>
      <c r="R763" s="31"/>
      <c r="S763" s="23">
        <v>2</v>
      </c>
      <c r="T763" s="31">
        <v>60</v>
      </c>
      <c r="U763" s="31"/>
      <c r="V763" s="36">
        <v>1</v>
      </c>
      <c r="W763" s="37"/>
      <c r="X763" s="29">
        <v>7</v>
      </c>
      <c r="Y763" s="3" t="s">
        <v>19</v>
      </c>
      <c r="Z763" s="2" t="s">
        <v>855</v>
      </c>
      <c r="AA763" s="1" t="s">
        <v>238</v>
      </c>
    </row>
    <row r="764" spans="1:27" ht="23.1" customHeight="1" x14ac:dyDescent="0.25">
      <c r="A764" s="20" t="s">
        <v>796</v>
      </c>
      <c r="B764" s="3" t="s">
        <v>113</v>
      </c>
      <c r="C764" s="3">
        <v>78</v>
      </c>
      <c r="D764" s="3" t="s">
        <v>854</v>
      </c>
      <c r="E764" s="1" t="s">
        <v>822</v>
      </c>
      <c r="F764" s="21" t="s">
        <v>822</v>
      </c>
      <c r="G764" s="3" t="s">
        <v>123</v>
      </c>
      <c r="H764" s="3">
        <v>10</v>
      </c>
      <c r="I764" s="2" t="s">
        <v>2069</v>
      </c>
      <c r="J764" s="3">
        <v>2</v>
      </c>
      <c r="K764" s="3">
        <v>2</v>
      </c>
      <c r="L764" s="23">
        <v>5</v>
      </c>
      <c r="M764" s="23">
        <v>31</v>
      </c>
      <c r="N764" s="24" t="s">
        <v>661</v>
      </c>
      <c r="O764" s="34"/>
      <c r="P764" s="31">
        <v>50</v>
      </c>
      <c r="Q764" s="31">
        <v>60</v>
      </c>
      <c r="R764" s="31"/>
      <c r="S764" s="23">
        <v>2</v>
      </c>
      <c r="T764" s="31">
        <v>90</v>
      </c>
      <c r="U764" s="31"/>
      <c r="V764" s="36">
        <v>1</v>
      </c>
      <c r="W764" s="37">
        <v>2</v>
      </c>
      <c r="X764" s="29">
        <v>7.2</v>
      </c>
      <c r="Y764" s="3" t="s">
        <v>19</v>
      </c>
      <c r="Z764" s="2" t="s">
        <v>855</v>
      </c>
      <c r="AA764" s="1" t="s">
        <v>238</v>
      </c>
    </row>
    <row r="765" spans="1:27" ht="23.1" customHeight="1" x14ac:dyDescent="0.25">
      <c r="A765" s="20" t="s">
        <v>796</v>
      </c>
      <c r="B765" s="3" t="s">
        <v>113</v>
      </c>
      <c r="C765" s="3">
        <v>78</v>
      </c>
      <c r="D765" s="3" t="s">
        <v>821</v>
      </c>
      <c r="E765" s="1" t="s">
        <v>822</v>
      </c>
      <c r="F765" s="21" t="s">
        <v>822</v>
      </c>
      <c r="G765" s="3" t="s">
        <v>123</v>
      </c>
      <c r="H765" s="3">
        <v>10</v>
      </c>
      <c r="I765" s="2" t="s">
        <v>2438</v>
      </c>
      <c r="J765" s="3">
        <v>2</v>
      </c>
      <c r="K765" s="3">
        <v>2</v>
      </c>
      <c r="L765" s="23">
        <v>31</v>
      </c>
      <c r="M765" s="23"/>
      <c r="N765" s="24" t="s">
        <v>661</v>
      </c>
      <c r="O765" s="34"/>
      <c r="P765" s="31">
        <v>50</v>
      </c>
      <c r="Q765" s="31">
        <v>60</v>
      </c>
      <c r="R765" s="31"/>
      <c r="S765" s="23">
        <v>2</v>
      </c>
      <c r="T765" s="31">
        <v>90</v>
      </c>
      <c r="U765" s="31"/>
      <c r="V765" s="36"/>
      <c r="W765" s="37"/>
      <c r="X765" s="29">
        <v>3.7</v>
      </c>
      <c r="Y765" s="3" t="s">
        <v>19</v>
      </c>
      <c r="Z765" s="2" t="s">
        <v>856</v>
      </c>
      <c r="AA765" s="2"/>
    </row>
    <row r="766" spans="1:27" ht="23.1" customHeight="1" x14ac:dyDescent="0.25">
      <c r="A766" s="20" t="s">
        <v>796</v>
      </c>
      <c r="B766" s="3" t="s">
        <v>113</v>
      </c>
      <c r="C766" s="3">
        <v>107</v>
      </c>
      <c r="D766" s="3" t="s">
        <v>173</v>
      </c>
      <c r="E766" s="1" t="s">
        <v>174</v>
      </c>
      <c r="F766" s="21" t="s">
        <v>1246</v>
      </c>
      <c r="G766" s="3" t="s">
        <v>154</v>
      </c>
      <c r="H766" s="3">
        <v>30</v>
      </c>
      <c r="I766" s="2" t="s">
        <v>2047</v>
      </c>
      <c r="J766" s="3">
        <v>1</v>
      </c>
      <c r="K766" s="3">
        <v>1</v>
      </c>
      <c r="L766" s="23"/>
      <c r="M766" s="23">
        <v>28</v>
      </c>
      <c r="N766" s="24" t="s">
        <v>532</v>
      </c>
      <c r="O766" s="34"/>
      <c r="P766" s="31">
        <v>700</v>
      </c>
      <c r="Q766" s="31">
        <v>90</v>
      </c>
      <c r="R766" s="31"/>
      <c r="S766" s="23">
        <v>1</v>
      </c>
      <c r="T766" s="31">
        <v>120</v>
      </c>
      <c r="U766" s="31"/>
      <c r="V766" s="36"/>
      <c r="W766" s="37"/>
      <c r="X766" s="29">
        <v>13.2</v>
      </c>
      <c r="Y766" s="3" t="s">
        <v>45</v>
      </c>
      <c r="Z766" s="2" t="s">
        <v>145</v>
      </c>
      <c r="AA766" s="2"/>
    </row>
    <row r="767" spans="1:27" ht="23.1" customHeight="1" x14ac:dyDescent="0.25">
      <c r="A767" s="20" t="s">
        <v>796</v>
      </c>
      <c r="B767" s="3" t="s">
        <v>113</v>
      </c>
      <c r="C767" s="3">
        <v>58</v>
      </c>
      <c r="D767" s="3" t="s">
        <v>815</v>
      </c>
      <c r="E767" s="1" t="s">
        <v>409</v>
      </c>
      <c r="F767" s="21" t="s">
        <v>409</v>
      </c>
      <c r="G767" s="3" t="s">
        <v>102</v>
      </c>
      <c r="H767" s="3">
        <v>25</v>
      </c>
      <c r="I767" s="2" t="s">
        <v>2068</v>
      </c>
      <c r="J767" s="3">
        <v>1</v>
      </c>
      <c r="K767" s="3">
        <v>1</v>
      </c>
      <c r="L767" s="23"/>
      <c r="M767" s="23">
        <v>28</v>
      </c>
      <c r="N767" s="24" t="s">
        <v>596</v>
      </c>
      <c r="O767" s="34"/>
      <c r="P767" s="31">
        <v>120</v>
      </c>
      <c r="Q767" s="31"/>
      <c r="R767" s="31"/>
      <c r="S767" s="23"/>
      <c r="T767" s="31">
        <v>90</v>
      </c>
      <c r="U767" s="31"/>
      <c r="V767" s="36">
        <v>1</v>
      </c>
      <c r="W767" s="37">
        <v>3</v>
      </c>
      <c r="X767" s="29">
        <v>6.5</v>
      </c>
      <c r="Y767" s="3" t="s">
        <v>57</v>
      </c>
      <c r="Z767" s="2" t="s">
        <v>857</v>
      </c>
      <c r="AA767" s="1" t="s">
        <v>238</v>
      </c>
    </row>
    <row r="768" spans="1:27" ht="23.1" customHeight="1" x14ac:dyDescent="0.25">
      <c r="A768" s="20" t="s">
        <v>796</v>
      </c>
      <c r="B768" s="3" t="s">
        <v>113</v>
      </c>
      <c r="C768" s="3">
        <v>58</v>
      </c>
      <c r="D768" s="3" t="s">
        <v>815</v>
      </c>
      <c r="E768" s="1" t="s">
        <v>409</v>
      </c>
      <c r="F768" s="21" t="s">
        <v>409</v>
      </c>
      <c r="G768" s="3" t="s">
        <v>102</v>
      </c>
      <c r="H768" s="3">
        <v>30</v>
      </c>
      <c r="I768" s="2" t="s">
        <v>2070</v>
      </c>
      <c r="J768" s="3">
        <v>1</v>
      </c>
      <c r="K768" s="3">
        <v>1</v>
      </c>
      <c r="L768" s="23"/>
      <c r="M768" s="23">
        <v>28</v>
      </c>
      <c r="N768" s="24" t="s">
        <v>596</v>
      </c>
      <c r="O768" s="34"/>
      <c r="P768" s="31">
        <v>40</v>
      </c>
      <c r="Q768" s="31"/>
      <c r="R768" s="31"/>
      <c r="S768" s="23"/>
      <c r="T768" s="31">
        <v>90</v>
      </c>
      <c r="U768" s="31"/>
      <c r="V768" s="36">
        <v>1</v>
      </c>
      <c r="W768" s="37">
        <v>3</v>
      </c>
      <c r="X768" s="29">
        <v>5.2</v>
      </c>
      <c r="Y768" s="3" t="s">
        <v>57</v>
      </c>
      <c r="Z768" s="2" t="s">
        <v>857</v>
      </c>
      <c r="AA768" s="1" t="s">
        <v>238</v>
      </c>
    </row>
    <row r="769" spans="1:27" ht="23.1" customHeight="1" x14ac:dyDescent="0.25">
      <c r="A769" s="20" t="s">
        <v>796</v>
      </c>
      <c r="B769" s="3" t="s">
        <v>113</v>
      </c>
      <c r="C769" s="3">
        <v>58</v>
      </c>
      <c r="D769" s="3" t="s">
        <v>813</v>
      </c>
      <c r="E769" s="1" t="s">
        <v>409</v>
      </c>
      <c r="F769" s="21" t="s">
        <v>409</v>
      </c>
      <c r="G769" s="3" t="s">
        <v>102</v>
      </c>
      <c r="H769" s="3">
        <v>25</v>
      </c>
      <c r="I769" s="2" t="s">
        <v>2068</v>
      </c>
      <c r="J769" s="3">
        <v>1</v>
      </c>
      <c r="K769" s="3">
        <v>1</v>
      </c>
      <c r="L769" s="23">
        <v>31</v>
      </c>
      <c r="M769" s="23">
        <v>31</v>
      </c>
      <c r="N769" s="24" t="s">
        <v>596</v>
      </c>
      <c r="O769" s="34"/>
      <c r="P769" s="31">
        <v>120</v>
      </c>
      <c r="Q769" s="31"/>
      <c r="R769" s="31"/>
      <c r="S769" s="23"/>
      <c r="T769" s="31">
        <v>90</v>
      </c>
      <c r="U769" s="31"/>
      <c r="V769" s="36"/>
      <c r="W769" s="37"/>
      <c r="X769" s="29">
        <v>2</v>
      </c>
      <c r="Y769" s="3" t="s">
        <v>57</v>
      </c>
      <c r="Z769" s="2"/>
      <c r="AA769" s="2"/>
    </row>
    <row r="770" spans="1:27" ht="23.1" customHeight="1" x14ac:dyDescent="0.25">
      <c r="A770" s="20" t="s">
        <v>796</v>
      </c>
      <c r="B770" s="3" t="s">
        <v>113</v>
      </c>
      <c r="C770" s="3">
        <v>58</v>
      </c>
      <c r="D770" s="3" t="s">
        <v>813</v>
      </c>
      <c r="E770" s="1" t="s">
        <v>409</v>
      </c>
      <c r="F770" s="21" t="s">
        <v>409</v>
      </c>
      <c r="G770" s="3" t="s">
        <v>102</v>
      </c>
      <c r="H770" s="3">
        <v>30</v>
      </c>
      <c r="I770" s="2" t="s">
        <v>2070</v>
      </c>
      <c r="J770" s="3">
        <v>1</v>
      </c>
      <c r="K770" s="3">
        <v>1</v>
      </c>
      <c r="L770" s="23">
        <v>31</v>
      </c>
      <c r="M770" s="23">
        <v>31</v>
      </c>
      <c r="N770" s="24" t="s">
        <v>596</v>
      </c>
      <c r="O770" s="34"/>
      <c r="P770" s="31">
        <v>40</v>
      </c>
      <c r="Q770" s="31"/>
      <c r="R770" s="31"/>
      <c r="S770" s="23"/>
      <c r="T770" s="31">
        <v>90</v>
      </c>
      <c r="U770" s="31"/>
      <c r="V770" s="36"/>
      <c r="W770" s="37"/>
      <c r="X770" s="29">
        <v>0.7</v>
      </c>
      <c r="Y770" s="3" t="s">
        <v>57</v>
      </c>
      <c r="Z770" s="2"/>
      <c r="AA770" s="2"/>
    </row>
    <row r="771" spans="1:27" ht="23.1" customHeight="1" x14ac:dyDescent="0.25">
      <c r="A771" s="20" t="s">
        <v>796</v>
      </c>
      <c r="B771" s="3" t="s">
        <v>113</v>
      </c>
      <c r="C771" s="3">
        <v>59</v>
      </c>
      <c r="D771" s="3" t="s">
        <v>846</v>
      </c>
      <c r="E771" s="1" t="s">
        <v>847</v>
      </c>
      <c r="F771" s="21" t="s">
        <v>847</v>
      </c>
      <c r="G771" s="3" t="s">
        <v>102</v>
      </c>
      <c r="H771" s="3">
        <v>10</v>
      </c>
      <c r="I771" s="3" t="s">
        <v>2439</v>
      </c>
      <c r="J771" s="2"/>
      <c r="K771" s="3">
        <v>8</v>
      </c>
      <c r="L771" s="23">
        <v>31</v>
      </c>
      <c r="M771" s="23">
        <v>31</v>
      </c>
      <c r="N771" s="24" t="s">
        <v>596</v>
      </c>
      <c r="O771" s="34"/>
      <c r="P771" s="31">
        <v>40</v>
      </c>
      <c r="Q771" s="31"/>
      <c r="R771" s="31"/>
      <c r="S771" s="23"/>
      <c r="T771" s="31">
        <v>60</v>
      </c>
      <c r="U771" s="31"/>
      <c r="V771" s="36">
        <v>1</v>
      </c>
      <c r="W771" s="37">
        <v>2</v>
      </c>
      <c r="X771" s="29">
        <v>8.3000000000000007</v>
      </c>
      <c r="Y771" s="3" t="s">
        <v>42</v>
      </c>
      <c r="Z771" s="2" t="s">
        <v>858</v>
      </c>
      <c r="AA771" s="1" t="s">
        <v>238</v>
      </c>
    </row>
    <row r="772" spans="1:27" ht="23.1" customHeight="1" x14ac:dyDescent="0.25">
      <c r="A772" s="20" t="s">
        <v>796</v>
      </c>
      <c r="B772" s="3" t="s">
        <v>113</v>
      </c>
      <c r="C772" s="3">
        <v>23</v>
      </c>
      <c r="D772" s="3" t="s">
        <v>717</v>
      </c>
      <c r="E772" s="1" t="s">
        <v>718</v>
      </c>
      <c r="F772" s="21" t="s">
        <v>718</v>
      </c>
      <c r="G772" s="3" t="s">
        <v>118</v>
      </c>
      <c r="H772" s="3">
        <v>45</v>
      </c>
      <c r="I772" s="2" t="s">
        <v>2028</v>
      </c>
      <c r="J772" s="3">
        <v>0.6</v>
      </c>
      <c r="K772" s="3">
        <v>1</v>
      </c>
      <c r="L772" s="23">
        <v>28</v>
      </c>
      <c r="M772" s="23">
        <v>26</v>
      </c>
      <c r="N772" s="24" t="s">
        <v>859</v>
      </c>
      <c r="O772" s="34"/>
      <c r="P772" s="31">
        <v>1080</v>
      </c>
      <c r="Q772" s="31">
        <v>90</v>
      </c>
      <c r="R772" s="31"/>
      <c r="S772" s="23">
        <v>1</v>
      </c>
      <c r="T772" s="31">
        <v>120</v>
      </c>
      <c r="U772" s="31"/>
      <c r="V772" s="36"/>
      <c r="W772" s="37"/>
      <c r="X772" s="29">
        <v>19.5</v>
      </c>
      <c r="Y772" s="3" t="s">
        <v>33</v>
      </c>
      <c r="Z772" s="2" t="s">
        <v>145</v>
      </c>
      <c r="AA772" s="2"/>
    </row>
    <row r="773" spans="1:27" ht="23.1" customHeight="1" x14ac:dyDescent="0.25">
      <c r="A773" s="20" t="s">
        <v>796</v>
      </c>
      <c r="B773" s="3" t="s">
        <v>113</v>
      </c>
      <c r="C773" s="3">
        <v>23</v>
      </c>
      <c r="D773" s="3" t="s">
        <v>717</v>
      </c>
      <c r="E773" s="1" t="s">
        <v>718</v>
      </c>
      <c r="F773" s="21" t="s">
        <v>718</v>
      </c>
      <c r="G773" s="3" t="s">
        <v>118</v>
      </c>
      <c r="H773" s="3">
        <v>48</v>
      </c>
      <c r="I773" s="2"/>
      <c r="J773" s="3">
        <v>1</v>
      </c>
      <c r="K773" s="3">
        <v>1</v>
      </c>
      <c r="L773" s="33"/>
      <c r="M773" s="23">
        <v>28</v>
      </c>
      <c r="N773" s="24" t="s">
        <v>825</v>
      </c>
      <c r="O773" s="34">
        <v>40</v>
      </c>
      <c r="P773" s="31"/>
      <c r="Q773" s="31"/>
      <c r="R773" s="31">
        <v>90</v>
      </c>
      <c r="S773" s="23">
        <v>1</v>
      </c>
      <c r="T773" s="31"/>
      <c r="U773" s="31"/>
      <c r="V773" s="36"/>
      <c r="W773" s="37"/>
      <c r="X773" s="32">
        <v>2.2000000000000002</v>
      </c>
      <c r="Y773" s="3" t="s">
        <v>33</v>
      </c>
      <c r="Z773" s="2" t="s">
        <v>145</v>
      </c>
      <c r="AA773" s="2"/>
    </row>
    <row r="774" spans="1:27" ht="23.1" customHeight="1" x14ac:dyDescent="0.25">
      <c r="A774" s="20" t="s">
        <v>796</v>
      </c>
      <c r="B774" s="3" t="s">
        <v>113</v>
      </c>
      <c r="C774" s="3">
        <v>47</v>
      </c>
      <c r="D774" s="3" t="s">
        <v>826</v>
      </c>
      <c r="E774" s="1" t="s">
        <v>827</v>
      </c>
      <c r="F774" s="21" t="s">
        <v>827</v>
      </c>
      <c r="G774" s="3" t="s">
        <v>118</v>
      </c>
      <c r="H774" s="3">
        <v>10</v>
      </c>
      <c r="I774" s="2" t="s">
        <v>2059</v>
      </c>
      <c r="J774" s="3">
        <v>0.2</v>
      </c>
      <c r="K774" s="3">
        <v>0.7</v>
      </c>
      <c r="L774" s="33"/>
      <c r="M774" s="23">
        <v>28</v>
      </c>
      <c r="N774" s="24" t="s">
        <v>860</v>
      </c>
      <c r="O774" s="34"/>
      <c r="P774" s="31">
        <v>180</v>
      </c>
      <c r="Q774" s="31">
        <v>60</v>
      </c>
      <c r="R774" s="31"/>
      <c r="S774" s="23"/>
      <c r="T774" s="31">
        <v>60</v>
      </c>
      <c r="U774" s="31"/>
      <c r="V774" s="36"/>
      <c r="W774" s="37"/>
      <c r="X774" s="29">
        <v>2.1</v>
      </c>
      <c r="Y774" s="3" t="s">
        <v>33</v>
      </c>
      <c r="Z774" s="2"/>
      <c r="AA774" s="2"/>
    </row>
    <row r="775" spans="1:27" ht="23.1" customHeight="1" x14ac:dyDescent="0.25">
      <c r="A775" s="20" t="s">
        <v>796</v>
      </c>
      <c r="B775" s="3" t="s">
        <v>113</v>
      </c>
      <c r="C775" s="3">
        <v>47</v>
      </c>
      <c r="D775" s="3" t="s">
        <v>826</v>
      </c>
      <c r="E775" s="1" t="s">
        <v>827</v>
      </c>
      <c r="F775" s="21" t="s">
        <v>827</v>
      </c>
      <c r="G775" s="3" t="s">
        <v>118</v>
      </c>
      <c r="H775" s="3">
        <v>15</v>
      </c>
      <c r="I775" s="2" t="s">
        <v>2071</v>
      </c>
      <c r="J775" s="3">
        <v>0.4</v>
      </c>
      <c r="K775" s="3">
        <v>0.5</v>
      </c>
      <c r="L775" s="33"/>
      <c r="M775" s="23">
        <v>5</v>
      </c>
      <c r="N775" s="24" t="s">
        <v>861</v>
      </c>
      <c r="O775" s="34"/>
      <c r="P775" s="31">
        <v>1440</v>
      </c>
      <c r="Q775" s="31">
        <v>90</v>
      </c>
      <c r="R775" s="31"/>
      <c r="S775" s="23">
        <v>1</v>
      </c>
      <c r="T775" s="31">
        <v>90</v>
      </c>
      <c r="U775" s="31"/>
      <c r="V775" s="36">
        <v>1</v>
      </c>
      <c r="W775" s="37">
        <v>3</v>
      </c>
      <c r="X775" s="29">
        <v>18</v>
      </c>
      <c r="Y775" s="3" t="s">
        <v>33</v>
      </c>
      <c r="Z775" s="2" t="s">
        <v>862</v>
      </c>
      <c r="AA775" s="2"/>
    </row>
    <row r="776" spans="1:27" ht="23.1" customHeight="1" x14ac:dyDescent="0.25">
      <c r="A776" s="20" t="s">
        <v>796</v>
      </c>
      <c r="B776" s="3" t="s">
        <v>113</v>
      </c>
      <c r="C776" s="3">
        <v>24</v>
      </c>
      <c r="D776" s="3" t="s">
        <v>738</v>
      </c>
      <c r="E776" s="1" t="s">
        <v>739</v>
      </c>
      <c r="F776" s="21" t="s">
        <v>739</v>
      </c>
      <c r="G776" s="3" t="s">
        <v>107</v>
      </c>
      <c r="H776" s="3">
        <v>30</v>
      </c>
      <c r="I776" s="2" t="s">
        <v>2061</v>
      </c>
      <c r="J776" s="3">
        <v>0.6</v>
      </c>
      <c r="K776" s="3">
        <v>0.6</v>
      </c>
      <c r="L776" s="33"/>
      <c r="M776" s="23">
        <v>28</v>
      </c>
      <c r="N776" s="24" t="s">
        <v>703</v>
      </c>
      <c r="O776" s="34"/>
      <c r="P776" s="31">
        <v>1700</v>
      </c>
      <c r="Q776" s="31">
        <v>120</v>
      </c>
      <c r="R776" s="31"/>
      <c r="S776" s="23"/>
      <c r="T776" s="31">
        <v>210</v>
      </c>
      <c r="U776" s="31"/>
      <c r="V776" s="36"/>
      <c r="W776" s="37"/>
      <c r="X776" s="29">
        <v>17</v>
      </c>
      <c r="Y776" s="3" t="s">
        <v>52</v>
      </c>
      <c r="Z776" s="2"/>
      <c r="AA776" s="2"/>
    </row>
    <row r="777" spans="1:27" ht="23.1" customHeight="1" x14ac:dyDescent="0.25">
      <c r="A777" s="20" t="s">
        <v>796</v>
      </c>
      <c r="B777" s="3" t="s">
        <v>113</v>
      </c>
      <c r="C777" s="3">
        <v>69</v>
      </c>
      <c r="D777" s="3" t="s">
        <v>276</v>
      </c>
      <c r="E777" s="1" t="s">
        <v>277</v>
      </c>
      <c r="F777" s="21" t="s">
        <v>277</v>
      </c>
      <c r="G777" s="3" t="s">
        <v>154</v>
      </c>
      <c r="H777" s="3">
        <v>85</v>
      </c>
      <c r="I777" s="2" t="s">
        <v>2063</v>
      </c>
      <c r="J777" s="3">
        <v>1</v>
      </c>
      <c r="K777" s="3">
        <v>1</v>
      </c>
      <c r="L777" s="33"/>
      <c r="M777" s="23">
        <v>23</v>
      </c>
      <c r="N777" s="24" t="s">
        <v>234</v>
      </c>
      <c r="O777" s="34"/>
      <c r="P777" s="31">
        <v>240</v>
      </c>
      <c r="Q777" s="31">
        <v>60</v>
      </c>
      <c r="R777" s="31"/>
      <c r="S777" s="23">
        <v>1</v>
      </c>
      <c r="T777" s="31">
        <v>120</v>
      </c>
      <c r="U777" s="31"/>
      <c r="V777" s="36">
        <v>1</v>
      </c>
      <c r="W777" s="37">
        <v>4</v>
      </c>
      <c r="X777" s="29">
        <v>11</v>
      </c>
      <c r="Y777" s="3" t="s">
        <v>52</v>
      </c>
      <c r="Z777" s="2" t="s">
        <v>863</v>
      </c>
      <c r="AA777" s="2"/>
    </row>
    <row r="778" spans="1:27" ht="23.1" customHeight="1" x14ac:dyDescent="0.25">
      <c r="A778" s="20" t="s">
        <v>796</v>
      </c>
      <c r="B778" s="3" t="s">
        <v>113</v>
      </c>
      <c r="C778" s="3">
        <v>69</v>
      </c>
      <c r="D778" s="3" t="s">
        <v>132</v>
      </c>
      <c r="E778" s="1" t="s">
        <v>133</v>
      </c>
      <c r="F778" s="21" t="s">
        <v>133</v>
      </c>
      <c r="G778" s="3" t="s">
        <v>102</v>
      </c>
      <c r="H778" s="3">
        <v>80</v>
      </c>
      <c r="I778" s="2" t="s">
        <v>2016</v>
      </c>
      <c r="J778" s="3">
        <v>1</v>
      </c>
      <c r="K778" s="23"/>
      <c r="L778" s="33"/>
      <c r="M778" s="23">
        <v>28</v>
      </c>
      <c r="N778" s="24" t="s">
        <v>103</v>
      </c>
      <c r="O778" s="34"/>
      <c r="P778" s="31">
        <v>210</v>
      </c>
      <c r="Q778" s="31">
        <v>60</v>
      </c>
      <c r="R778" s="31"/>
      <c r="S778" s="23"/>
      <c r="T778" s="31">
        <v>120</v>
      </c>
      <c r="U778" s="31"/>
      <c r="V778" s="36"/>
      <c r="W778" s="37">
        <v>5</v>
      </c>
      <c r="X778" s="29">
        <v>5</v>
      </c>
      <c r="Y778" s="3" t="s">
        <v>52</v>
      </c>
      <c r="Z778" s="2" t="s">
        <v>864</v>
      </c>
      <c r="AA778" s="2"/>
    </row>
    <row r="779" spans="1:27" ht="23.1" customHeight="1" x14ac:dyDescent="0.25">
      <c r="A779" s="20" t="s">
        <v>796</v>
      </c>
      <c r="B779" s="3" t="s">
        <v>113</v>
      </c>
      <c r="C779" s="3">
        <v>91</v>
      </c>
      <c r="D779" s="3" t="s">
        <v>790</v>
      </c>
      <c r="E779" s="1" t="s">
        <v>791</v>
      </c>
      <c r="F779" s="21" t="e">
        <v>#N/A</v>
      </c>
      <c r="G779" s="3" t="s">
        <v>118</v>
      </c>
      <c r="H779" s="3">
        <v>60</v>
      </c>
      <c r="I779" s="2" t="s">
        <v>2062</v>
      </c>
      <c r="J779" s="3">
        <v>1.3</v>
      </c>
      <c r="K779" s="3">
        <v>1.4</v>
      </c>
      <c r="L779" s="23">
        <v>28</v>
      </c>
      <c r="M779" s="23">
        <v>37</v>
      </c>
      <c r="N779" s="24" t="s">
        <v>865</v>
      </c>
      <c r="O779" s="34"/>
      <c r="P779" s="31">
        <v>720</v>
      </c>
      <c r="Q779" s="31">
        <v>60</v>
      </c>
      <c r="R779" s="31"/>
      <c r="S779" s="23">
        <v>1</v>
      </c>
      <c r="T779" s="31">
        <v>120</v>
      </c>
      <c r="U779" s="31"/>
      <c r="V779" s="36"/>
      <c r="W779" s="37"/>
      <c r="X779" s="29">
        <v>17.8</v>
      </c>
      <c r="Y779" s="3" t="s">
        <v>52</v>
      </c>
      <c r="Z779" s="2" t="s">
        <v>145</v>
      </c>
      <c r="AA779" s="2"/>
    </row>
    <row r="780" spans="1:27" ht="23.1" customHeight="1" x14ac:dyDescent="0.25">
      <c r="A780" s="20" t="s">
        <v>796</v>
      </c>
      <c r="B780" s="3" t="s">
        <v>113</v>
      </c>
      <c r="C780" s="3">
        <v>84</v>
      </c>
      <c r="D780" s="3" t="s">
        <v>866</v>
      </c>
      <c r="E780" s="1" t="s">
        <v>317</v>
      </c>
      <c r="F780" s="21" t="s">
        <v>317</v>
      </c>
      <c r="G780" s="3" t="s">
        <v>154</v>
      </c>
      <c r="H780" s="3">
        <v>30</v>
      </c>
      <c r="I780" s="2" t="s">
        <v>2072</v>
      </c>
      <c r="J780" s="3">
        <v>1.5</v>
      </c>
      <c r="K780" s="3">
        <v>1.4</v>
      </c>
      <c r="L780" s="23">
        <v>31</v>
      </c>
      <c r="M780" s="23">
        <v>19</v>
      </c>
      <c r="N780" s="24" t="s">
        <v>438</v>
      </c>
      <c r="O780" s="34"/>
      <c r="P780" s="31">
        <v>600</v>
      </c>
      <c r="Q780" s="31">
        <v>60</v>
      </c>
      <c r="R780" s="31"/>
      <c r="S780" s="23">
        <v>2</v>
      </c>
      <c r="T780" s="31">
        <v>120</v>
      </c>
      <c r="U780" s="31"/>
      <c r="V780" s="36">
        <v>1</v>
      </c>
      <c r="W780" s="37">
        <v>3</v>
      </c>
      <c r="X780" s="29">
        <v>21</v>
      </c>
      <c r="Y780" s="3" t="s">
        <v>52</v>
      </c>
      <c r="Z780" s="2" t="s">
        <v>867</v>
      </c>
      <c r="AA780" s="2"/>
    </row>
    <row r="781" spans="1:27" ht="23.1" customHeight="1" x14ac:dyDescent="0.25">
      <c r="A781" s="20" t="s">
        <v>796</v>
      </c>
      <c r="B781" s="3" t="s">
        <v>113</v>
      </c>
      <c r="C781" s="3">
        <v>119</v>
      </c>
      <c r="D781" s="3" t="s">
        <v>288</v>
      </c>
      <c r="E781" s="1" t="s">
        <v>255</v>
      </c>
      <c r="F781" s="21" t="s">
        <v>1532</v>
      </c>
      <c r="G781" s="3" t="s">
        <v>250</v>
      </c>
      <c r="H781" s="3">
        <v>50</v>
      </c>
      <c r="I781" s="2" t="s">
        <v>2021</v>
      </c>
      <c r="J781" s="3">
        <v>0.3</v>
      </c>
      <c r="K781" s="3">
        <v>0.4</v>
      </c>
      <c r="L781" s="33"/>
      <c r="M781" s="23">
        <v>28</v>
      </c>
      <c r="N781" s="24" t="s">
        <v>475</v>
      </c>
      <c r="O781" s="34"/>
      <c r="P781" s="31">
        <v>3000</v>
      </c>
      <c r="Q781" s="31">
        <v>90</v>
      </c>
      <c r="R781" s="31"/>
      <c r="S781" s="23"/>
      <c r="T781" s="31">
        <v>150</v>
      </c>
      <c r="U781" s="31"/>
      <c r="V781" s="36"/>
      <c r="W781" s="37"/>
      <c r="X781" s="29">
        <v>20</v>
      </c>
      <c r="Y781" s="3" t="s">
        <v>52</v>
      </c>
      <c r="Z781" s="2"/>
      <c r="AA781" s="2"/>
    </row>
    <row r="782" spans="1:27" ht="23.1" customHeight="1" x14ac:dyDescent="0.25">
      <c r="A782" s="20" t="s">
        <v>796</v>
      </c>
      <c r="B782" s="3" t="s">
        <v>113</v>
      </c>
      <c r="C782" s="3">
        <v>121</v>
      </c>
      <c r="D782" s="3" t="s">
        <v>834</v>
      </c>
      <c r="E782" s="1" t="s">
        <v>835</v>
      </c>
      <c r="F782" s="21" t="s">
        <v>835</v>
      </c>
      <c r="G782" s="3" t="s">
        <v>154</v>
      </c>
      <c r="H782" s="3">
        <v>60</v>
      </c>
      <c r="I782" s="2" t="s">
        <v>2064</v>
      </c>
      <c r="J782" s="3">
        <v>3</v>
      </c>
      <c r="K782" s="3">
        <v>3</v>
      </c>
      <c r="L782" s="23">
        <v>5</v>
      </c>
      <c r="M782" s="23">
        <v>31</v>
      </c>
      <c r="N782" s="24" t="s">
        <v>868</v>
      </c>
      <c r="O782" s="34"/>
      <c r="P782" s="31">
        <v>270</v>
      </c>
      <c r="Q782" s="31">
        <v>60</v>
      </c>
      <c r="R782" s="31"/>
      <c r="S782" s="23">
        <v>3</v>
      </c>
      <c r="T782" s="31">
        <v>180</v>
      </c>
      <c r="U782" s="31"/>
      <c r="V782" s="36"/>
      <c r="W782" s="37"/>
      <c r="X782" s="29">
        <v>16.5</v>
      </c>
      <c r="Y782" s="3" t="s">
        <v>52</v>
      </c>
      <c r="Z782" s="2" t="s">
        <v>125</v>
      </c>
      <c r="AA782" s="2"/>
    </row>
    <row r="783" spans="1:27" ht="23.1" customHeight="1" x14ac:dyDescent="0.25">
      <c r="A783" s="20" t="s">
        <v>796</v>
      </c>
      <c r="B783" s="3" t="s">
        <v>113</v>
      </c>
      <c r="C783" s="3">
        <v>76</v>
      </c>
      <c r="D783" s="3" t="s">
        <v>364</v>
      </c>
      <c r="E783" s="1" t="s">
        <v>365</v>
      </c>
      <c r="F783" s="21" t="s">
        <v>365</v>
      </c>
      <c r="G783" s="3" t="s">
        <v>154</v>
      </c>
      <c r="H783" s="3">
        <v>30</v>
      </c>
      <c r="I783" s="7" t="s">
        <v>1863</v>
      </c>
      <c r="J783" s="3">
        <v>10</v>
      </c>
      <c r="K783" s="3">
        <v>14</v>
      </c>
      <c r="L783" s="23">
        <v>5</v>
      </c>
      <c r="M783" s="23">
        <v>5</v>
      </c>
      <c r="N783" s="24" t="s">
        <v>221</v>
      </c>
      <c r="O783" s="34"/>
      <c r="P783" s="31">
        <v>17</v>
      </c>
      <c r="Q783" s="31"/>
      <c r="R783" s="31"/>
      <c r="S783" s="23"/>
      <c r="T783" s="31">
        <v>60</v>
      </c>
      <c r="U783" s="31"/>
      <c r="V783" s="36"/>
      <c r="W783" s="37"/>
      <c r="X783" s="29">
        <v>4</v>
      </c>
      <c r="Y783" s="3" t="s">
        <v>46</v>
      </c>
      <c r="Z783" s="2"/>
      <c r="AA783" s="2"/>
    </row>
    <row r="784" spans="1:27" ht="23.1" customHeight="1" x14ac:dyDescent="0.25">
      <c r="A784" s="20" t="s">
        <v>796</v>
      </c>
      <c r="B784" s="3" t="s">
        <v>113</v>
      </c>
      <c r="C784" s="3">
        <v>76</v>
      </c>
      <c r="D784" s="3" t="s">
        <v>364</v>
      </c>
      <c r="E784" s="1" t="s">
        <v>365</v>
      </c>
      <c r="F784" s="21" t="s">
        <v>365</v>
      </c>
      <c r="G784" s="3" t="s">
        <v>154</v>
      </c>
      <c r="H784" s="3">
        <v>35</v>
      </c>
      <c r="I784" s="39" t="s">
        <v>2073</v>
      </c>
      <c r="J784" s="3">
        <v>30</v>
      </c>
      <c r="K784" s="3">
        <v>30</v>
      </c>
      <c r="L784" s="23">
        <v>5</v>
      </c>
      <c r="M784" s="23">
        <v>31</v>
      </c>
      <c r="N784" s="24" t="s">
        <v>221</v>
      </c>
      <c r="O784" s="34"/>
      <c r="P784" s="31">
        <v>15</v>
      </c>
      <c r="Q784" s="31"/>
      <c r="R784" s="31"/>
      <c r="S784" s="23"/>
      <c r="T784" s="31">
        <v>60</v>
      </c>
      <c r="U784" s="31"/>
      <c r="V784" s="36">
        <v>1</v>
      </c>
      <c r="W784" s="37"/>
      <c r="X784" s="29">
        <v>8.5</v>
      </c>
      <c r="Y784" s="3" t="s">
        <v>46</v>
      </c>
      <c r="Z784" s="2"/>
      <c r="AA784" s="2"/>
    </row>
    <row r="785" spans="1:27" ht="23.1" customHeight="1" x14ac:dyDescent="0.25">
      <c r="A785" s="20" t="s">
        <v>796</v>
      </c>
      <c r="B785" s="3" t="s">
        <v>113</v>
      </c>
      <c r="C785" s="3">
        <v>22</v>
      </c>
      <c r="D785" s="3" t="s">
        <v>635</v>
      </c>
      <c r="E785" s="1" t="s">
        <v>612</v>
      </c>
      <c r="F785" s="21" t="s">
        <v>612</v>
      </c>
      <c r="G785" s="3" t="s">
        <v>102</v>
      </c>
      <c r="H785" s="3">
        <v>45</v>
      </c>
      <c r="I785" s="2" t="s">
        <v>2015</v>
      </c>
      <c r="J785" s="3">
        <v>0.3</v>
      </c>
      <c r="K785" s="3">
        <v>0.3</v>
      </c>
      <c r="L785" s="33"/>
      <c r="M785" s="23">
        <v>5</v>
      </c>
      <c r="N785" s="24" t="s">
        <v>613</v>
      </c>
      <c r="O785" s="34"/>
      <c r="P785" s="31">
        <v>6000</v>
      </c>
      <c r="Q785" s="31">
        <v>180</v>
      </c>
      <c r="R785" s="31"/>
      <c r="S785" s="23"/>
      <c r="T785" s="31">
        <v>180</v>
      </c>
      <c r="U785" s="31"/>
      <c r="V785" s="36"/>
      <c r="W785" s="37"/>
      <c r="X785" s="29">
        <v>30</v>
      </c>
      <c r="Y785" s="3" t="s">
        <v>50</v>
      </c>
      <c r="Z785" s="2"/>
      <c r="AA785" s="2"/>
    </row>
    <row r="786" spans="1:27" ht="23.1" customHeight="1" x14ac:dyDescent="0.25">
      <c r="A786" s="20" t="s">
        <v>796</v>
      </c>
      <c r="B786" s="3" t="s">
        <v>113</v>
      </c>
      <c r="C786" s="3">
        <v>57</v>
      </c>
      <c r="D786" s="3" t="s">
        <v>698</v>
      </c>
      <c r="E786" s="1" t="s">
        <v>699</v>
      </c>
      <c r="F786" s="21" t="e">
        <v>#N/A</v>
      </c>
      <c r="G786" s="3" t="s">
        <v>123</v>
      </c>
      <c r="H786" s="3">
        <v>15</v>
      </c>
      <c r="I786" s="2" t="s">
        <v>2042</v>
      </c>
      <c r="J786" s="3">
        <v>4</v>
      </c>
      <c r="K786" s="3">
        <v>5</v>
      </c>
      <c r="L786" s="23">
        <v>28</v>
      </c>
      <c r="M786" s="23">
        <v>9</v>
      </c>
      <c r="N786" s="24" t="s">
        <v>247</v>
      </c>
      <c r="O786" s="34"/>
      <c r="P786" s="31">
        <v>130</v>
      </c>
      <c r="Q786" s="31"/>
      <c r="R786" s="31"/>
      <c r="S786" s="23"/>
      <c r="T786" s="31">
        <v>60</v>
      </c>
      <c r="U786" s="31"/>
      <c r="V786" s="36"/>
      <c r="W786" s="37"/>
      <c r="X786" s="29">
        <v>10.8</v>
      </c>
      <c r="Y786" s="3" t="s">
        <v>57</v>
      </c>
      <c r="Z786" s="2"/>
      <c r="AA786" s="2"/>
    </row>
    <row r="787" spans="1:27" ht="23.1" customHeight="1" x14ac:dyDescent="0.25">
      <c r="A787" s="20" t="s">
        <v>796</v>
      </c>
      <c r="B787" s="3" t="s">
        <v>113</v>
      </c>
      <c r="C787" s="3">
        <v>12</v>
      </c>
      <c r="D787" s="3" t="s">
        <v>735</v>
      </c>
      <c r="E787" s="1" t="s">
        <v>249</v>
      </c>
      <c r="F787" s="21" t="s">
        <v>249</v>
      </c>
      <c r="G787" s="3" t="s">
        <v>250</v>
      </c>
      <c r="H787" s="3">
        <v>15</v>
      </c>
      <c r="I787" s="2" t="s">
        <v>2045</v>
      </c>
      <c r="J787" s="3">
        <v>1</v>
      </c>
      <c r="K787" s="3">
        <v>2</v>
      </c>
      <c r="L787" s="23">
        <v>28</v>
      </c>
      <c r="M787" s="33"/>
      <c r="N787" s="24" t="s">
        <v>869</v>
      </c>
      <c r="O787" s="34"/>
      <c r="P787" s="31">
        <v>600</v>
      </c>
      <c r="Q787" s="31"/>
      <c r="R787" s="31"/>
      <c r="S787" s="23"/>
      <c r="T787" s="31">
        <v>120</v>
      </c>
      <c r="U787" s="31"/>
      <c r="V787" s="36"/>
      <c r="W787" s="37"/>
      <c r="X787" s="29">
        <v>20</v>
      </c>
      <c r="Y787" s="3" t="s">
        <v>72</v>
      </c>
      <c r="Z787" s="2"/>
      <c r="AA787" s="2"/>
    </row>
    <row r="788" spans="1:27" ht="23.1" customHeight="1" x14ac:dyDescent="0.25">
      <c r="A788" s="20" t="s">
        <v>796</v>
      </c>
      <c r="B788" s="3" t="s">
        <v>113</v>
      </c>
      <c r="C788" s="3">
        <v>21</v>
      </c>
      <c r="D788" s="3" t="s">
        <v>321</v>
      </c>
      <c r="E788" s="1" t="s">
        <v>322</v>
      </c>
      <c r="F788" s="21" t="s">
        <v>322</v>
      </c>
      <c r="G788" s="3" t="s">
        <v>323</v>
      </c>
      <c r="H788" s="3">
        <v>15</v>
      </c>
      <c r="I788" s="2" t="s">
        <v>2048</v>
      </c>
      <c r="J788" s="3">
        <v>2</v>
      </c>
      <c r="K788" s="3">
        <v>2</v>
      </c>
      <c r="L788" s="23">
        <v>5</v>
      </c>
      <c r="M788" s="23">
        <v>28</v>
      </c>
      <c r="N788" s="24" t="s">
        <v>824</v>
      </c>
      <c r="O788" s="34"/>
      <c r="P788" s="31">
        <v>210</v>
      </c>
      <c r="Q788" s="31">
        <v>120</v>
      </c>
      <c r="R788" s="31"/>
      <c r="S788" s="23">
        <v>2</v>
      </c>
      <c r="T788" s="31">
        <v>180</v>
      </c>
      <c r="U788" s="31"/>
      <c r="V788" s="36">
        <v>1</v>
      </c>
      <c r="W788" s="37"/>
      <c r="X788" s="29">
        <v>14</v>
      </c>
      <c r="Y788" s="3" t="s">
        <v>58</v>
      </c>
      <c r="Z788" s="2" t="s">
        <v>325</v>
      </c>
      <c r="AA788" s="2"/>
    </row>
    <row r="789" spans="1:27" ht="23.1" customHeight="1" x14ac:dyDescent="0.25">
      <c r="A789" s="20" t="s">
        <v>796</v>
      </c>
      <c r="B789" s="3" t="s">
        <v>113</v>
      </c>
      <c r="C789" s="3">
        <v>21</v>
      </c>
      <c r="D789" s="3" t="s">
        <v>321</v>
      </c>
      <c r="E789" s="1" t="s">
        <v>322</v>
      </c>
      <c r="F789" s="21" t="s">
        <v>322</v>
      </c>
      <c r="G789" s="3" t="s">
        <v>323</v>
      </c>
      <c r="H789" s="3">
        <v>25</v>
      </c>
      <c r="I789" s="3" t="s">
        <v>2074</v>
      </c>
      <c r="J789" s="2"/>
      <c r="K789" s="3">
        <v>1.3</v>
      </c>
      <c r="L789" s="23">
        <v>31</v>
      </c>
      <c r="M789" s="23">
        <v>9</v>
      </c>
      <c r="N789" s="24" t="s">
        <v>771</v>
      </c>
      <c r="O789" s="34"/>
      <c r="P789" s="31">
        <v>360</v>
      </c>
      <c r="Q789" s="31">
        <v>120</v>
      </c>
      <c r="R789" s="31"/>
      <c r="S789" s="23">
        <v>2</v>
      </c>
      <c r="T789" s="31">
        <v>180</v>
      </c>
      <c r="U789" s="31"/>
      <c r="V789" s="36">
        <v>1</v>
      </c>
      <c r="W789" s="37"/>
      <c r="X789" s="29">
        <v>14.8</v>
      </c>
      <c r="Y789" s="3" t="s">
        <v>58</v>
      </c>
      <c r="Z789" s="2" t="s">
        <v>325</v>
      </c>
      <c r="AA789" s="2"/>
    </row>
    <row r="790" spans="1:27" ht="23.1" customHeight="1" x14ac:dyDescent="0.25">
      <c r="A790" s="20" t="s">
        <v>796</v>
      </c>
      <c r="B790" s="3" t="s">
        <v>113</v>
      </c>
      <c r="C790" s="3">
        <v>108</v>
      </c>
      <c r="D790" s="3" t="s">
        <v>273</v>
      </c>
      <c r="E790" s="1" t="s">
        <v>274</v>
      </c>
      <c r="F790" s="21" t="s">
        <v>274</v>
      </c>
      <c r="G790" s="3" t="s">
        <v>123</v>
      </c>
      <c r="H790" s="3">
        <v>35</v>
      </c>
      <c r="I790" s="2" t="s">
        <v>1999</v>
      </c>
      <c r="J790" s="3">
        <v>6</v>
      </c>
      <c r="K790" s="3">
        <v>6</v>
      </c>
      <c r="L790" s="23">
        <v>26</v>
      </c>
      <c r="M790" s="23">
        <v>26</v>
      </c>
      <c r="N790" s="24" t="s">
        <v>275</v>
      </c>
      <c r="O790" s="34"/>
      <c r="P790" s="31">
        <v>100</v>
      </c>
      <c r="Q790" s="31"/>
      <c r="R790" s="31"/>
      <c r="S790" s="23"/>
      <c r="T790" s="31">
        <v>60</v>
      </c>
      <c r="U790" s="31"/>
      <c r="V790" s="36"/>
      <c r="W790" s="37"/>
      <c r="X790" s="29">
        <v>10</v>
      </c>
      <c r="Y790" s="3" t="s">
        <v>45</v>
      </c>
      <c r="Z790" s="3" t="s">
        <v>313</v>
      </c>
      <c r="AA790" s="2"/>
    </row>
    <row r="791" spans="1:27" ht="23.1" customHeight="1" x14ac:dyDescent="0.25">
      <c r="A791" s="20" t="s">
        <v>796</v>
      </c>
      <c r="B791" s="3" t="s">
        <v>113</v>
      </c>
      <c r="C791" s="3">
        <v>79</v>
      </c>
      <c r="D791" s="3" t="s">
        <v>420</v>
      </c>
      <c r="E791" s="1" t="s">
        <v>153</v>
      </c>
      <c r="F791" s="21" t="s">
        <v>1247</v>
      </c>
      <c r="G791" s="3" t="s">
        <v>154</v>
      </c>
      <c r="H791" s="3">
        <v>30</v>
      </c>
      <c r="I791" s="2" t="s">
        <v>2053</v>
      </c>
      <c r="J791" s="3">
        <v>0.5</v>
      </c>
      <c r="K791" s="3">
        <v>0.7</v>
      </c>
      <c r="L791" s="33"/>
      <c r="M791" s="23">
        <v>26</v>
      </c>
      <c r="N791" s="24" t="s">
        <v>784</v>
      </c>
      <c r="O791" s="34"/>
      <c r="P791" s="31">
        <v>1830</v>
      </c>
      <c r="Q791" s="31">
        <v>90</v>
      </c>
      <c r="R791" s="31"/>
      <c r="S791" s="23"/>
      <c r="T791" s="31">
        <v>120</v>
      </c>
      <c r="U791" s="31"/>
      <c r="V791" s="36"/>
      <c r="W791" s="37"/>
      <c r="X791" s="29">
        <v>21.4</v>
      </c>
      <c r="Y791" s="3" t="s">
        <v>19</v>
      </c>
      <c r="Z791" s="2"/>
      <c r="AA791" s="2"/>
    </row>
    <row r="792" spans="1:27" ht="23.1" customHeight="1" x14ac:dyDescent="0.25">
      <c r="A792" s="20" t="s">
        <v>870</v>
      </c>
      <c r="B792" s="3" t="s">
        <v>99</v>
      </c>
      <c r="C792" s="3">
        <v>76</v>
      </c>
      <c r="D792" s="3" t="s">
        <v>364</v>
      </c>
      <c r="E792" s="1" t="s">
        <v>365</v>
      </c>
      <c r="F792" s="21" t="s">
        <v>365</v>
      </c>
      <c r="G792" s="3" t="s">
        <v>154</v>
      </c>
      <c r="H792" s="3">
        <v>30</v>
      </c>
      <c r="I792" s="7" t="s">
        <v>1863</v>
      </c>
      <c r="J792" s="3">
        <v>40</v>
      </c>
      <c r="K792" s="3">
        <v>35</v>
      </c>
      <c r="L792" s="33">
        <v>19</v>
      </c>
      <c r="M792" s="23">
        <v>5</v>
      </c>
      <c r="N792" s="24" t="s">
        <v>221</v>
      </c>
      <c r="O792" s="34"/>
      <c r="P792" s="31">
        <v>17</v>
      </c>
      <c r="Q792" s="31"/>
      <c r="R792" s="31"/>
      <c r="S792" s="23"/>
      <c r="T792" s="31">
        <v>60</v>
      </c>
      <c r="U792" s="31"/>
      <c r="V792" s="36">
        <v>1</v>
      </c>
      <c r="W792" s="37">
        <v>3</v>
      </c>
      <c r="X792" s="29">
        <v>13.9</v>
      </c>
      <c r="Y792" s="3" t="s">
        <v>12</v>
      </c>
      <c r="Z792" s="2" t="s">
        <v>871</v>
      </c>
      <c r="AA792" s="1" t="s">
        <v>238</v>
      </c>
    </row>
    <row r="793" spans="1:27" ht="23.1" customHeight="1" x14ac:dyDescent="0.25">
      <c r="A793" s="20" t="s">
        <v>870</v>
      </c>
      <c r="B793" s="3" t="s">
        <v>99</v>
      </c>
      <c r="C793" s="3">
        <v>76</v>
      </c>
      <c r="D793" s="3" t="s">
        <v>872</v>
      </c>
      <c r="E793" s="1" t="s">
        <v>240</v>
      </c>
      <c r="F793" s="21" t="s">
        <v>240</v>
      </c>
      <c r="G793" s="3" t="s">
        <v>154</v>
      </c>
      <c r="H793" s="3">
        <v>33</v>
      </c>
      <c r="I793" s="2"/>
      <c r="J793" s="3">
        <v>12</v>
      </c>
      <c r="K793" s="3">
        <v>12</v>
      </c>
      <c r="L793" s="33">
        <v>19</v>
      </c>
      <c r="M793" s="23">
        <v>19</v>
      </c>
      <c r="N793" s="24" t="s">
        <v>873</v>
      </c>
      <c r="O793" s="34">
        <v>30</v>
      </c>
      <c r="P793" s="31"/>
      <c r="Q793" s="31"/>
      <c r="R793" s="31"/>
      <c r="S793" s="23"/>
      <c r="T793" s="31"/>
      <c r="U793" s="31">
        <v>60</v>
      </c>
      <c r="V793" s="36">
        <v>1</v>
      </c>
      <c r="W793" s="37"/>
      <c r="X793" s="32">
        <v>7</v>
      </c>
      <c r="Y793" s="3" t="s">
        <v>12</v>
      </c>
      <c r="Z793" s="2" t="s">
        <v>874</v>
      </c>
      <c r="AA793" s="2"/>
    </row>
    <row r="794" spans="1:27" ht="23.1" customHeight="1" x14ac:dyDescent="0.25">
      <c r="A794" s="20" t="s">
        <v>870</v>
      </c>
      <c r="B794" s="3" t="s">
        <v>99</v>
      </c>
      <c r="C794" s="3">
        <v>12</v>
      </c>
      <c r="D794" s="3" t="s">
        <v>735</v>
      </c>
      <c r="E794" s="1" t="s">
        <v>249</v>
      </c>
      <c r="F794" s="21" t="s">
        <v>249</v>
      </c>
      <c r="G794" s="3" t="s">
        <v>250</v>
      </c>
      <c r="H794" s="3">
        <v>15</v>
      </c>
      <c r="I794" s="2" t="s">
        <v>1903</v>
      </c>
      <c r="J794" s="3">
        <v>1</v>
      </c>
      <c r="K794" s="3">
        <v>1.6</v>
      </c>
      <c r="L794" s="33">
        <v>19</v>
      </c>
      <c r="M794" s="23"/>
      <c r="N794" s="24" t="s">
        <v>875</v>
      </c>
      <c r="O794" s="34"/>
      <c r="P794" s="31">
        <v>600</v>
      </c>
      <c r="Q794" s="31"/>
      <c r="R794" s="31"/>
      <c r="S794" s="23"/>
      <c r="T794" s="31">
        <v>120</v>
      </c>
      <c r="U794" s="31"/>
      <c r="V794" s="36"/>
      <c r="W794" s="37"/>
      <c r="X794" s="29">
        <v>16</v>
      </c>
      <c r="Y794" s="3" t="s">
        <v>10</v>
      </c>
      <c r="Z794" s="2"/>
      <c r="AA794" s="2"/>
    </row>
    <row r="795" spans="1:27" ht="23.1" customHeight="1" x14ac:dyDescent="0.25">
      <c r="A795" s="20" t="s">
        <v>870</v>
      </c>
      <c r="B795" s="3" t="s">
        <v>99</v>
      </c>
      <c r="C795" s="3">
        <v>78</v>
      </c>
      <c r="D795" s="3" t="s">
        <v>854</v>
      </c>
      <c r="E795" s="1" t="s">
        <v>822</v>
      </c>
      <c r="F795" s="21" t="s">
        <v>822</v>
      </c>
      <c r="G795" s="3" t="s">
        <v>123</v>
      </c>
      <c r="H795" s="3">
        <v>15</v>
      </c>
      <c r="I795" s="2" t="s">
        <v>2075</v>
      </c>
      <c r="J795" s="3">
        <v>2</v>
      </c>
      <c r="K795" s="3">
        <v>2</v>
      </c>
      <c r="L795" s="33">
        <v>26</v>
      </c>
      <c r="M795" s="23">
        <v>26</v>
      </c>
      <c r="N795" s="24" t="s">
        <v>661</v>
      </c>
      <c r="O795" s="34"/>
      <c r="P795" s="31">
        <v>130</v>
      </c>
      <c r="Q795" s="31">
        <v>60</v>
      </c>
      <c r="R795" s="31"/>
      <c r="S795" s="23">
        <v>2</v>
      </c>
      <c r="T795" s="31">
        <v>60</v>
      </c>
      <c r="U795" s="31"/>
      <c r="V795" s="36">
        <v>1</v>
      </c>
      <c r="W795" s="37"/>
      <c r="X795" s="29">
        <v>7.3</v>
      </c>
      <c r="Y795" s="3" t="s">
        <v>5</v>
      </c>
      <c r="Z795" s="2" t="s">
        <v>823</v>
      </c>
      <c r="AA795" s="2"/>
    </row>
    <row r="796" spans="1:27" ht="23.1" customHeight="1" x14ac:dyDescent="0.25">
      <c r="A796" s="20" t="s">
        <v>870</v>
      </c>
      <c r="B796" s="3" t="s">
        <v>99</v>
      </c>
      <c r="C796" s="3">
        <v>78</v>
      </c>
      <c r="D796" s="3" t="s">
        <v>821</v>
      </c>
      <c r="E796" s="1" t="s">
        <v>822</v>
      </c>
      <c r="F796" s="21" t="s">
        <v>822</v>
      </c>
      <c r="G796" s="3" t="s">
        <v>123</v>
      </c>
      <c r="H796" s="3">
        <v>15</v>
      </c>
      <c r="I796" s="2" t="s">
        <v>2075</v>
      </c>
      <c r="J796" s="3">
        <v>2</v>
      </c>
      <c r="K796" s="3">
        <v>1.5</v>
      </c>
      <c r="L796" s="33">
        <v>5</v>
      </c>
      <c r="M796" s="23">
        <v>28</v>
      </c>
      <c r="N796" s="24" t="s">
        <v>661</v>
      </c>
      <c r="O796" s="34"/>
      <c r="P796" s="31">
        <v>130</v>
      </c>
      <c r="Q796" s="31">
        <v>60</v>
      </c>
      <c r="R796" s="31"/>
      <c r="S796" s="23">
        <v>2</v>
      </c>
      <c r="T796" s="31">
        <v>60</v>
      </c>
      <c r="U796" s="31"/>
      <c r="V796" s="36">
        <v>1</v>
      </c>
      <c r="W796" s="37"/>
      <c r="X796" s="29">
        <v>6.3</v>
      </c>
      <c r="Y796" s="3" t="s">
        <v>5</v>
      </c>
      <c r="Z796" s="2" t="s">
        <v>823</v>
      </c>
      <c r="AA796" s="2"/>
    </row>
    <row r="797" spans="1:27" ht="23.1" customHeight="1" x14ac:dyDescent="0.25">
      <c r="A797" s="20" t="s">
        <v>870</v>
      </c>
      <c r="B797" s="3" t="s">
        <v>99</v>
      </c>
      <c r="C797" s="3">
        <v>57</v>
      </c>
      <c r="D797" s="3" t="s">
        <v>698</v>
      </c>
      <c r="E797" s="1" t="s">
        <v>699</v>
      </c>
      <c r="F797" s="21" t="e">
        <v>#N/A</v>
      </c>
      <c r="G797" s="3" t="s">
        <v>123</v>
      </c>
      <c r="H797" s="3">
        <v>15</v>
      </c>
      <c r="I797" s="2" t="s">
        <v>2042</v>
      </c>
      <c r="J797" s="3">
        <v>4</v>
      </c>
      <c r="K797" s="3">
        <v>1.5</v>
      </c>
      <c r="L797" s="33">
        <v>9</v>
      </c>
      <c r="M797" s="23">
        <v>9</v>
      </c>
      <c r="N797" s="24" t="s">
        <v>418</v>
      </c>
      <c r="O797" s="34"/>
      <c r="P797" s="31">
        <v>130</v>
      </c>
      <c r="Q797" s="31"/>
      <c r="R797" s="31"/>
      <c r="S797" s="23"/>
      <c r="T797" s="31">
        <v>60</v>
      </c>
      <c r="U797" s="31"/>
      <c r="V797" s="36"/>
      <c r="W797" s="37"/>
      <c r="X797" s="29">
        <v>3.3</v>
      </c>
      <c r="Y797" s="3" t="s">
        <v>0</v>
      </c>
      <c r="Z797" s="2"/>
      <c r="AA797" s="2"/>
    </row>
    <row r="798" spans="1:27" ht="23.1" customHeight="1" x14ac:dyDescent="0.25">
      <c r="A798" s="20" t="s">
        <v>870</v>
      </c>
      <c r="B798" s="3" t="s">
        <v>99</v>
      </c>
      <c r="C798" s="3">
        <v>57</v>
      </c>
      <c r="D798" s="3" t="s">
        <v>698</v>
      </c>
      <c r="E798" s="1" t="s">
        <v>699</v>
      </c>
      <c r="F798" s="21" t="e">
        <v>#N/A</v>
      </c>
      <c r="G798" s="3" t="s">
        <v>123</v>
      </c>
      <c r="H798" s="3">
        <v>20</v>
      </c>
      <c r="I798" s="2" t="s">
        <v>2076</v>
      </c>
      <c r="J798" s="3"/>
      <c r="K798" s="3">
        <v>1.5</v>
      </c>
      <c r="L798" s="33">
        <v>26</v>
      </c>
      <c r="M798" s="23">
        <v>26</v>
      </c>
      <c r="N798" s="24" t="s">
        <v>219</v>
      </c>
      <c r="O798" s="34"/>
      <c r="P798" s="31">
        <v>210</v>
      </c>
      <c r="Q798" s="31"/>
      <c r="R798" s="31"/>
      <c r="S798" s="23"/>
      <c r="T798" s="31">
        <v>90</v>
      </c>
      <c r="U798" s="31"/>
      <c r="V798" s="36">
        <v>1</v>
      </c>
      <c r="W798" s="37">
        <v>2</v>
      </c>
      <c r="X798" s="29">
        <v>8.8000000000000007</v>
      </c>
      <c r="Y798" s="3" t="s">
        <v>0</v>
      </c>
      <c r="Z798" s="2" t="s">
        <v>876</v>
      </c>
      <c r="AA798" s="1" t="s">
        <v>238</v>
      </c>
    </row>
    <row r="799" spans="1:27" ht="23.1" customHeight="1" x14ac:dyDescent="0.25">
      <c r="A799" s="20" t="s">
        <v>870</v>
      </c>
      <c r="B799" s="3" t="s">
        <v>99</v>
      </c>
      <c r="C799" s="3">
        <v>11</v>
      </c>
      <c r="D799" s="3" t="s">
        <v>690</v>
      </c>
      <c r="E799" s="1" t="s">
        <v>691</v>
      </c>
      <c r="F799" s="21" t="s">
        <v>691</v>
      </c>
      <c r="G799" s="3" t="s">
        <v>123</v>
      </c>
      <c r="H799" s="3">
        <v>25</v>
      </c>
      <c r="I799" s="2" t="s">
        <v>2054</v>
      </c>
      <c r="J799" s="3">
        <v>2</v>
      </c>
      <c r="K799" s="3">
        <v>2</v>
      </c>
      <c r="L799" s="33">
        <v>9</v>
      </c>
      <c r="M799" s="23">
        <v>9</v>
      </c>
      <c r="N799" s="24" t="s">
        <v>703</v>
      </c>
      <c r="O799" s="34"/>
      <c r="P799" s="31">
        <v>180</v>
      </c>
      <c r="Q799" s="31"/>
      <c r="R799" s="31"/>
      <c r="S799" s="23"/>
      <c r="T799" s="31">
        <v>60</v>
      </c>
      <c r="U799" s="31"/>
      <c r="V799" s="36"/>
      <c r="W799" s="37"/>
      <c r="X799" s="29">
        <v>6</v>
      </c>
      <c r="Y799" s="3" t="s">
        <v>71</v>
      </c>
      <c r="Z799" s="2"/>
      <c r="AA799" s="2"/>
    </row>
    <row r="800" spans="1:27" ht="23.1" customHeight="1" x14ac:dyDescent="0.25">
      <c r="A800" s="20" t="s">
        <v>870</v>
      </c>
      <c r="B800" s="3" t="s">
        <v>99</v>
      </c>
      <c r="C800" s="3">
        <v>77</v>
      </c>
      <c r="D800" s="3" t="s">
        <v>211</v>
      </c>
      <c r="E800" s="1" t="s">
        <v>212</v>
      </c>
      <c r="F800" s="21" t="s">
        <v>212</v>
      </c>
      <c r="G800" s="3" t="s">
        <v>123</v>
      </c>
      <c r="H800" s="3">
        <v>25</v>
      </c>
      <c r="I800" s="2" t="s">
        <v>1970</v>
      </c>
      <c r="J800" s="3">
        <v>20</v>
      </c>
      <c r="K800" s="3">
        <v>45</v>
      </c>
      <c r="L800" s="33">
        <v>26</v>
      </c>
      <c r="M800" s="23">
        <v>26</v>
      </c>
      <c r="N800" s="24" t="s">
        <v>213</v>
      </c>
      <c r="O800" s="34"/>
      <c r="P800" s="31">
        <v>25</v>
      </c>
      <c r="Q800" s="31"/>
      <c r="R800" s="31"/>
      <c r="S800" s="23"/>
      <c r="T800" s="31">
        <v>60</v>
      </c>
      <c r="U800" s="31"/>
      <c r="V800" s="36"/>
      <c r="W800" s="37">
        <v>3</v>
      </c>
      <c r="X800" s="29">
        <v>21.8</v>
      </c>
      <c r="Y800" s="3" t="s">
        <v>24</v>
      </c>
      <c r="Z800" s="2" t="s">
        <v>877</v>
      </c>
      <c r="AA800" s="1" t="s">
        <v>238</v>
      </c>
    </row>
    <row r="801" spans="1:27" ht="23.1" customHeight="1" x14ac:dyDescent="0.25">
      <c r="A801" s="20" t="s">
        <v>870</v>
      </c>
      <c r="B801" s="3" t="s">
        <v>99</v>
      </c>
      <c r="C801" s="3">
        <v>17</v>
      </c>
      <c r="D801" s="3" t="s">
        <v>352</v>
      </c>
      <c r="E801" s="1" t="s">
        <v>353</v>
      </c>
      <c r="F801" s="21" t="e">
        <v>#N/A</v>
      </c>
      <c r="G801" s="3" t="s">
        <v>300</v>
      </c>
      <c r="H801" s="3">
        <v>30</v>
      </c>
      <c r="I801" s="2" t="s">
        <v>2005</v>
      </c>
      <c r="J801" s="3">
        <v>1</v>
      </c>
      <c r="K801" s="3">
        <v>2</v>
      </c>
      <c r="L801" s="33">
        <v>5</v>
      </c>
      <c r="M801" s="23">
        <v>5</v>
      </c>
      <c r="N801" s="24" t="s">
        <v>140</v>
      </c>
      <c r="O801" s="34"/>
      <c r="P801" s="31">
        <v>480</v>
      </c>
      <c r="Q801" s="31"/>
      <c r="R801" s="31"/>
      <c r="S801" s="23"/>
      <c r="T801" s="31">
        <v>120</v>
      </c>
      <c r="U801" s="31"/>
      <c r="V801" s="36"/>
      <c r="W801" s="37"/>
      <c r="X801" s="29">
        <v>16</v>
      </c>
      <c r="Y801" s="3" t="s">
        <v>14</v>
      </c>
      <c r="Z801" s="2"/>
      <c r="AA801" s="2"/>
    </row>
    <row r="802" spans="1:27" ht="23.1" customHeight="1" x14ac:dyDescent="0.25">
      <c r="A802" s="20" t="s">
        <v>870</v>
      </c>
      <c r="B802" s="3" t="s">
        <v>99</v>
      </c>
      <c r="C802" s="3">
        <v>13</v>
      </c>
      <c r="D802" s="3" t="s">
        <v>654</v>
      </c>
      <c r="E802" s="1" t="s">
        <v>246</v>
      </c>
      <c r="F802" s="21" t="s">
        <v>246</v>
      </c>
      <c r="G802" s="3" t="s">
        <v>154</v>
      </c>
      <c r="H802" s="3">
        <v>40</v>
      </c>
      <c r="I802" s="2" t="s">
        <v>1902</v>
      </c>
      <c r="J802" s="3">
        <v>12</v>
      </c>
      <c r="K802" s="3">
        <v>4</v>
      </c>
      <c r="L802" s="33">
        <v>19</v>
      </c>
      <c r="M802" s="23">
        <v>19</v>
      </c>
      <c r="N802" s="24" t="s">
        <v>247</v>
      </c>
      <c r="O802" s="34"/>
      <c r="P802" s="31">
        <v>230</v>
      </c>
      <c r="Q802" s="31"/>
      <c r="R802" s="31"/>
      <c r="S802" s="23"/>
      <c r="T802" s="31">
        <v>60</v>
      </c>
      <c r="U802" s="31"/>
      <c r="V802" s="36"/>
      <c r="W802" s="37"/>
      <c r="X802" s="29">
        <v>15.3</v>
      </c>
      <c r="Y802" s="3" t="s">
        <v>10</v>
      </c>
      <c r="Z802" s="2"/>
      <c r="AA802" s="2"/>
    </row>
    <row r="803" spans="1:27" ht="23.1" customHeight="1" x14ac:dyDescent="0.25">
      <c r="A803" s="20" t="s">
        <v>870</v>
      </c>
      <c r="B803" s="3" t="s">
        <v>99</v>
      </c>
      <c r="C803" s="3">
        <v>107</v>
      </c>
      <c r="D803" s="3" t="s">
        <v>173</v>
      </c>
      <c r="E803" s="1" t="s">
        <v>174</v>
      </c>
      <c r="F803" s="21" t="s">
        <v>1246</v>
      </c>
      <c r="G803" s="3" t="s">
        <v>154</v>
      </c>
      <c r="H803" s="3">
        <v>25</v>
      </c>
      <c r="I803" s="2" t="s">
        <v>2006</v>
      </c>
      <c r="J803" s="3">
        <v>1</v>
      </c>
      <c r="K803" s="3">
        <v>1</v>
      </c>
      <c r="L803" s="33">
        <v>26</v>
      </c>
      <c r="M803" s="23"/>
      <c r="N803" s="24" t="s">
        <v>425</v>
      </c>
      <c r="O803" s="34"/>
      <c r="P803" s="31">
        <v>1050</v>
      </c>
      <c r="Q803" s="31">
        <v>90</v>
      </c>
      <c r="R803" s="31"/>
      <c r="S803" s="23">
        <v>1</v>
      </c>
      <c r="T803" s="31">
        <v>120</v>
      </c>
      <c r="U803" s="31"/>
      <c r="V803" s="36">
        <v>1</v>
      </c>
      <c r="W803" s="37"/>
      <c r="X803" s="29">
        <v>21</v>
      </c>
      <c r="Y803" s="3" t="s">
        <v>13</v>
      </c>
      <c r="Z803" s="2" t="s">
        <v>878</v>
      </c>
      <c r="AA803" s="1" t="s">
        <v>238</v>
      </c>
    </row>
    <row r="804" spans="1:27" ht="23.1" customHeight="1" x14ac:dyDescent="0.25">
      <c r="A804" s="20" t="s">
        <v>870</v>
      </c>
      <c r="B804" s="3" t="s">
        <v>99</v>
      </c>
      <c r="C804" s="3">
        <v>58</v>
      </c>
      <c r="D804" s="3" t="s">
        <v>211</v>
      </c>
      <c r="E804" s="1" t="s">
        <v>212</v>
      </c>
      <c r="F804" s="21" t="s">
        <v>212</v>
      </c>
      <c r="G804" s="3" t="s">
        <v>123</v>
      </c>
      <c r="H804" s="3">
        <v>25</v>
      </c>
      <c r="I804" s="2" t="s">
        <v>1970</v>
      </c>
      <c r="J804" s="3"/>
      <c r="K804" s="3">
        <v>41</v>
      </c>
      <c r="L804" s="33">
        <v>26</v>
      </c>
      <c r="M804" s="23">
        <v>26</v>
      </c>
      <c r="N804" s="24" t="s">
        <v>213</v>
      </c>
      <c r="O804" s="34"/>
      <c r="P804" s="31">
        <v>25</v>
      </c>
      <c r="Q804" s="31"/>
      <c r="R804" s="31"/>
      <c r="S804" s="23"/>
      <c r="T804" s="31">
        <v>60</v>
      </c>
      <c r="U804" s="31"/>
      <c r="V804" s="36"/>
      <c r="W804" s="37"/>
      <c r="X804" s="29">
        <v>17.100000000000001</v>
      </c>
      <c r="Y804" s="3" t="s">
        <v>24</v>
      </c>
      <c r="Z804" s="2"/>
      <c r="AA804" s="2"/>
    </row>
    <row r="805" spans="1:27" ht="23.1" customHeight="1" x14ac:dyDescent="0.25">
      <c r="A805" s="20" t="s">
        <v>870</v>
      </c>
      <c r="B805" s="3" t="s">
        <v>99</v>
      </c>
      <c r="C805" s="3">
        <v>9</v>
      </c>
      <c r="D805" s="3" t="s">
        <v>205</v>
      </c>
      <c r="E805" s="1" t="s">
        <v>206</v>
      </c>
      <c r="F805" s="21" t="s">
        <v>206</v>
      </c>
      <c r="G805" s="3" t="s">
        <v>123</v>
      </c>
      <c r="H805" s="3">
        <v>70</v>
      </c>
      <c r="I805" s="2" t="s">
        <v>2050</v>
      </c>
      <c r="J805" s="3"/>
      <c r="K805" s="3">
        <v>1</v>
      </c>
      <c r="L805" s="33">
        <v>19</v>
      </c>
      <c r="M805" s="23"/>
      <c r="N805" s="24" t="s">
        <v>550</v>
      </c>
      <c r="O805" s="34"/>
      <c r="P805" s="31">
        <v>480</v>
      </c>
      <c r="Q805" s="31"/>
      <c r="R805" s="31"/>
      <c r="S805" s="23"/>
      <c r="T805" s="31">
        <v>120</v>
      </c>
      <c r="U805" s="31"/>
      <c r="V805" s="36"/>
      <c r="W805" s="37"/>
      <c r="X805" s="29">
        <v>8</v>
      </c>
      <c r="Y805" s="3" t="s">
        <v>14</v>
      </c>
      <c r="Z805" s="2"/>
      <c r="AA805" s="2"/>
    </row>
    <row r="806" spans="1:27" ht="23.1" customHeight="1" x14ac:dyDescent="0.25">
      <c r="A806" s="20" t="s">
        <v>870</v>
      </c>
      <c r="B806" s="3" t="s">
        <v>99</v>
      </c>
      <c r="C806" s="3">
        <v>18</v>
      </c>
      <c r="D806" s="3" t="s">
        <v>205</v>
      </c>
      <c r="E806" s="1" t="s">
        <v>206</v>
      </c>
      <c r="F806" s="21" t="s">
        <v>206</v>
      </c>
      <c r="G806" s="3" t="s">
        <v>123</v>
      </c>
      <c r="H806" s="3">
        <v>70</v>
      </c>
      <c r="I806" s="2" t="s">
        <v>2050</v>
      </c>
      <c r="J806" s="3">
        <v>2</v>
      </c>
      <c r="K806" s="3">
        <v>2</v>
      </c>
      <c r="L806" s="33">
        <v>37</v>
      </c>
      <c r="M806" s="23"/>
      <c r="N806" s="24" t="s">
        <v>879</v>
      </c>
      <c r="O806" s="34"/>
      <c r="P806" s="31">
        <v>480</v>
      </c>
      <c r="Q806" s="31"/>
      <c r="R806" s="31"/>
      <c r="S806" s="23"/>
      <c r="T806" s="31">
        <v>120</v>
      </c>
      <c r="U806" s="31"/>
      <c r="V806" s="36"/>
      <c r="W806" s="37"/>
      <c r="X806" s="29">
        <v>16</v>
      </c>
      <c r="Y806" s="3" t="s">
        <v>14</v>
      </c>
      <c r="Z806" s="2"/>
      <c r="AA806" s="2"/>
    </row>
    <row r="807" spans="1:27" ht="23.1" customHeight="1" x14ac:dyDescent="0.25">
      <c r="A807" s="20" t="s">
        <v>870</v>
      </c>
      <c r="B807" s="3" t="s">
        <v>99</v>
      </c>
      <c r="C807" s="3">
        <v>9</v>
      </c>
      <c r="D807" s="3" t="s">
        <v>229</v>
      </c>
      <c r="E807" s="1" t="s">
        <v>230</v>
      </c>
      <c r="F807" s="21" t="s">
        <v>230</v>
      </c>
      <c r="G807" s="3" t="s">
        <v>154</v>
      </c>
      <c r="H807" s="3">
        <v>30</v>
      </c>
      <c r="I807" s="2" t="s">
        <v>2058</v>
      </c>
      <c r="J807" s="3">
        <v>15</v>
      </c>
      <c r="K807" s="3">
        <v>5</v>
      </c>
      <c r="L807" s="33">
        <v>19</v>
      </c>
      <c r="M807" s="23">
        <v>37</v>
      </c>
      <c r="N807" s="24" t="s">
        <v>231</v>
      </c>
      <c r="O807" s="34"/>
      <c r="P807" s="31">
        <v>80</v>
      </c>
      <c r="Q807" s="31"/>
      <c r="R807" s="31"/>
      <c r="S807" s="23"/>
      <c r="T807" s="31">
        <v>60</v>
      </c>
      <c r="U807" s="31"/>
      <c r="V807" s="36"/>
      <c r="W807" s="37"/>
      <c r="X807" s="29">
        <v>6.7</v>
      </c>
      <c r="Y807" s="3" t="s">
        <v>23</v>
      </c>
      <c r="Z807" s="2" t="s">
        <v>880</v>
      </c>
      <c r="AA807" s="2"/>
    </row>
    <row r="808" spans="1:27" ht="23.1" customHeight="1" x14ac:dyDescent="0.25">
      <c r="A808" s="20" t="s">
        <v>870</v>
      </c>
      <c r="B808" s="3" t="s">
        <v>99</v>
      </c>
      <c r="C808" s="3">
        <v>9</v>
      </c>
      <c r="D808" s="3" t="s">
        <v>229</v>
      </c>
      <c r="E808" s="1" t="s">
        <v>230</v>
      </c>
      <c r="F808" s="21" t="s">
        <v>230</v>
      </c>
      <c r="G808" s="3" t="s">
        <v>154</v>
      </c>
      <c r="H808" s="3">
        <v>35</v>
      </c>
      <c r="I808" s="2" t="s">
        <v>2077</v>
      </c>
      <c r="J808" s="3"/>
      <c r="K808" s="3">
        <v>4</v>
      </c>
      <c r="L808" s="33">
        <v>9</v>
      </c>
      <c r="M808" s="23">
        <v>9</v>
      </c>
      <c r="N808" s="24" t="s">
        <v>231</v>
      </c>
      <c r="O808" s="34"/>
      <c r="P808" s="31">
        <v>35</v>
      </c>
      <c r="Q808" s="31"/>
      <c r="R808" s="31"/>
      <c r="S808" s="23"/>
      <c r="T808" s="31">
        <v>60</v>
      </c>
      <c r="U808" s="31"/>
      <c r="V808" s="36">
        <v>1</v>
      </c>
      <c r="W808" s="37"/>
      <c r="X808" s="29">
        <v>3.3</v>
      </c>
      <c r="Y808" s="3" t="s">
        <v>23</v>
      </c>
      <c r="Z808" s="2" t="s">
        <v>547</v>
      </c>
      <c r="AA808" s="2"/>
    </row>
    <row r="809" spans="1:27" ht="23.1" customHeight="1" x14ac:dyDescent="0.25">
      <c r="A809" s="20" t="s">
        <v>870</v>
      </c>
      <c r="B809" s="3" t="s">
        <v>99</v>
      </c>
      <c r="C809" s="3">
        <v>55</v>
      </c>
      <c r="D809" s="3" t="s">
        <v>749</v>
      </c>
      <c r="E809" s="1" t="s">
        <v>139</v>
      </c>
      <c r="F809" s="21" t="s">
        <v>139</v>
      </c>
      <c r="G809" s="3" t="s">
        <v>123</v>
      </c>
      <c r="H809" s="3">
        <v>15</v>
      </c>
      <c r="I809" s="2" t="s">
        <v>1931</v>
      </c>
      <c r="J809" s="3">
        <v>20</v>
      </c>
      <c r="K809" s="3">
        <v>40</v>
      </c>
      <c r="L809" s="33">
        <v>19</v>
      </c>
      <c r="M809" s="23">
        <v>23</v>
      </c>
      <c r="N809" s="24" t="s">
        <v>457</v>
      </c>
      <c r="O809" s="34"/>
      <c r="P809" s="31">
        <v>25</v>
      </c>
      <c r="Q809" s="31"/>
      <c r="R809" s="31"/>
      <c r="S809" s="23"/>
      <c r="T809" s="31">
        <v>60</v>
      </c>
      <c r="U809" s="31"/>
      <c r="V809" s="36"/>
      <c r="W809" s="37"/>
      <c r="X809" s="29">
        <v>16.7</v>
      </c>
      <c r="Y809" s="3" t="s">
        <v>18</v>
      </c>
      <c r="Z809" s="2"/>
      <c r="AA809" s="2"/>
    </row>
    <row r="810" spans="1:27" ht="23.1" customHeight="1" x14ac:dyDescent="0.25">
      <c r="A810" s="20" t="s">
        <v>870</v>
      </c>
      <c r="B810" s="3" t="s">
        <v>99</v>
      </c>
      <c r="C810" s="3">
        <v>15</v>
      </c>
      <c r="D810" s="3" t="s">
        <v>592</v>
      </c>
      <c r="E810" s="1" t="s">
        <v>218</v>
      </c>
      <c r="F810" s="21" t="s">
        <v>218</v>
      </c>
      <c r="G810" s="3" t="s">
        <v>107</v>
      </c>
      <c r="H810" s="3">
        <v>40</v>
      </c>
      <c r="I810" s="2" t="s">
        <v>1915</v>
      </c>
      <c r="J810" s="3">
        <v>4</v>
      </c>
      <c r="K810" s="3">
        <v>4</v>
      </c>
      <c r="L810" s="33">
        <v>26</v>
      </c>
      <c r="M810" s="23">
        <v>26</v>
      </c>
      <c r="N810" s="24" t="s">
        <v>456</v>
      </c>
      <c r="O810" s="34"/>
      <c r="P810" s="31">
        <v>150</v>
      </c>
      <c r="Q810" s="31"/>
      <c r="R810" s="31"/>
      <c r="S810" s="23"/>
      <c r="T810" s="31">
        <v>90</v>
      </c>
      <c r="U810" s="31"/>
      <c r="V810" s="36"/>
      <c r="W810" s="37"/>
      <c r="X810" s="29">
        <v>10</v>
      </c>
      <c r="Y810" s="3" t="s">
        <v>60</v>
      </c>
      <c r="Z810" s="2"/>
      <c r="AA810" s="2"/>
    </row>
    <row r="811" spans="1:27" ht="23.1" customHeight="1" x14ac:dyDescent="0.25">
      <c r="A811" s="20" t="s">
        <v>870</v>
      </c>
      <c r="B811" s="3" t="s">
        <v>99</v>
      </c>
      <c r="C811" s="3">
        <v>15</v>
      </c>
      <c r="D811" s="3" t="s">
        <v>592</v>
      </c>
      <c r="E811" s="1" t="s">
        <v>218</v>
      </c>
      <c r="F811" s="21" t="s">
        <v>218</v>
      </c>
      <c r="G811" s="3" t="s">
        <v>107</v>
      </c>
      <c r="H811" s="3">
        <v>45</v>
      </c>
      <c r="I811" s="2" t="s">
        <v>1927</v>
      </c>
      <c r="J811" s="3"/>
      <c r="K811" s="3">
        <v>1</v>
      </c>
      <c r="L811" s="33">
        <v>23</v>
      </c>
      <c r="M811" s="23"/>
      <c r="N811" s="24" t="s">
        <v>247</v>
      </c>
      <c r="O811" s="34"/>
      <c r="P811" s="31">
        <v>420</v>
      </c>
      <c r="Q811" s="31"/>
      <c r="R811" s="31"/>
      <c r="S811" s="23"/>
      <c r="T811" s="31">
        <v>90</v>
      </c>
      <c r="U811" s="31"/>
      <c r="V811" s="36"/>
      <c r="W811" s="37"/>
      <c r="X811" s="29">
        <v>7</v>
      </c>
      <c r="Y811" s="3" t="s">
        <v>60</v>
      </c>
      <c r="Z811" s="2"/>
      <c r="AA811" s="2"/>
    </row>
    <row r="812" spans="1:27" ht="23.1" customHeight="1" x14ac:dyDescent="0.25">
      <c r="A812" s="20" t="s">
        <v>870</v>
      </c>
      <c r="B812" s="3" t="s">
        <v>99</v>
      </c>
      <c r="C812" s="3">
        <v>10</v>
      </c>
      <c r="D812" s="3" t="s">
        <v>517</v>
      </c>
      <c r="E812" s="1" t="s">
        <v>518</v>
      </c>
      <c r="F812" s="21" t="s">
        <v>518</v>
      </c>
      <c r="G812" s="3" t="s">
        <v>300</v>
      </c>
      <c r="H812" s="3">
        <v>30</v>
      </c>
      <c r="I812" s="2" t="s">
        <v>2040</v>
      </c>
      <c r="J812" s="3">
        <v>2.2000000000000002</v>
      </c>
      <c r="K812" s="3">
        <v>2.2000000000000002</v>
      </c>
      <c r="L812" s="33">
        <v>19</v>
      </c>
      <c r="M812" s="23">
        <v>23</v>
      </c>
      <c r="N812" s="24" t="s">
        <v>881</v>
      </c>
      <c r="O812" s="34"/>
      <c r="P812" s="31">
        <v>270</v>
      </c>
      <c r="Q812" s="31"/>
      <c r="R812" s="31"/>
      <c r="S812" s="23"/>
      <c r="T812" s="31">
        <v>90</v>
      </c>
      <c r="U812" s="31"/>
      <c r="V812" s="36"/>
      <c r="W812" s="37"/>
      <c r="X812" s="29">
        <v>9.9</v>
      </c>
      <c r="Y812" s="3" t="s">
        <v>23</v>
      </c>
      <c r="Z812" s="2"/>
      <c r="AA812" s="2"/>
    </row>
    <row r="813" spans="1:27" ht="23.1" customHeight="1" x14ac:dyDescent="0.25">
      <c r="A813" s="20" t="s">
        <v>870</v>
      </c>
      <c r="B813" s="3" t="s">
        <v>110</v>
      </c>
      <c r="C813" s="3">
        <v>58</v>
      </c>
      <c r="D813" s="3" t="s">
        <v>815</v>
      </c>
      <c r="E813" s="1" t="s">
        <v>409</v>
      </c>
      <c r="F813" s="21" t="s">
        <v>409</v>
      </c>
      <c r="G813" s="3" t="s">
        <v>102</v>
      </c>
      <c r="H813" s="3">
        <v>35</v>
      </c>
      <c r="I813" s="2" t="s">
        <v>1997</v>
      </c>
      <c r="J813" s="3"/>
      <c r="K813" s="3">
        <v>1</v>
      </c>
      <c r="L813" s="33">
        <v>19</v>
      </c>
      <c r="M813" s="23"/>
      <c r="N813" s="24" t="s">
        <v>596</v>
      </c>
      <c r="O813" s="34"/>
      <c r="P813" s="31">
        <v>40</v>
      </c>
      <c r="Q813" s="31"/>
      <c r="R813" s="31"/>
      <c r="S813" s="23"/>
      <c r="T813" s="31">
        <v>90</v>
      </c>
      <c r="U813" s="31"/>
      <c r="V813" s="36">
        <v>1</v>
      </c>
      <c r="W813" s="37"/>
      <c r="X813" s="29">
        <v>2.2000000000000002</v>
      </c>
      <c r="Y813" s="3" t="s">
        <v>0</v>
      </c>
      <c r="Z813" s="2" t="s">
        <v>882</v>
      </c>
      <c r="AA813" s="2"/>
    </row>
    <row r="814" spans="1:27" ht="23.1" customHeight="1" x14ac:dyDescent="0.25">
      <c r="A814" s="20" t="s">
        <v>870</v>
      </c>
      <c r="B814" s="3" t="s">
        <v>110</v>
      </c>
      <c r="C814" s="3">
        <v>21</v>
      </c>
      <c r="D814" s="3" t="s">
        <v>321</v>
      </c>
      <c r="E814" s="1" t="s">
        <v>322</v>
      </c>
      <c r="F814" s="21" t="s">
        <v>322</v>
      </c>
      <c r="G814" s="3" t="s">
        <v>323</v>
      </c>
      <c r="H814" s="3">
        <v>25</v>
      </c>
      <c r="I814" s="2" t="s">
        <v>2440</v>
      </c>
      <c r="J814" s="3">
        <v>2</v>
      </c>
      <c r="K814" s="3">
        <v>0.7</v>
      </c>
      <c r="L814" s="33">
        <v>9</v>
      </c>
      <c r="M814" s="23"/>
      <c r="N814" s="24" t="s">
        <v>780</v>
      </c>
      <c r="O814" s="34"/>
      <c r="P814" s="31">
        <v>360</v>
      </c>
      <c r="Q814" s="31">
        <v>120</v>
      </c>
      <c r="R814" s="31"/>
      <c r="S814" s="23"/>
      <c r="T814" s="31">
        <v>180</v>
      </c>
      <c r="U814" s="31"/>
      <c r="V814" s="36"/>
      <c r="W814" s="37"/>
      <c r="X814" s="29">
        <v>4.2</v>
      </c>
      <c r="Y814" s="3" t="s">
        <v>49</v>
      </c>
      <c r="Z814" s="2"/>
      <c r="AA814" s="2"/>
    </row>
    <row r="815" spans="1:27" ht="23.1" customHeight="1" x14ac:dyDescent="0.25">
      <c r="A815" s="20" t="s">
        <v>870</v>
      </c>
      <c r="B815" s="3" t="s">
        <v>110</v>
      </c>
      <c r="C815" s="3">
        <v>21</v>
      </c>
      <c r="D815" s="3" t="s">
        <v>321</v>
      </c>
      <c r="E815" s="1" t="s">
        <v>322</v>
      </c>
      <c r="F815" s="21" t="s">
        <v>322</v>
      </c>
      <c r="G815" s="3" t="s">
        <v>323</v>
      </c>
      <c r="H815" s="3">
        <v>30</v>
      </c>
      <c r="I815" s="2" t="s">
        <v>2078</v>
      </c>
      <c r="J815" s="3"/>
      <c r="K815" s="3">
        <v>1.5</v>
      </c>
      <c r="L815" s="33">
        <v>26</v>
      </c>
      <c r="M815" s="23">
        <v>5</v>
      </c>
      <c r="N815" s="24" t="s">
        <v>771</v>
      </c>
      <c r="O815" s="34"/>
      <c r="P815" s="31">
        <v>360</v>
      </c>
      <c r="Q815" s="31">
        <v>120</v>
      </c>
      <c r="R815" s="31"/>
      <c r="S815" s="23">
        <v>2</v>
      </c>
      <c r="T815" s="31">
        <v>180</v>
      </c>
      <c r="U815" s="31"/>
      <c r="V815" s="36">
        <v>1</v>
      </c>
      <c r="W815" s="37"/>
      <c r="X815" s="29">
        <v>16</v>
      </c>
      <c r="Y815" s="3" t="s">
        <v>49</v>
      </c>
      <c r="Z815" s="2" t="s">
        <v>325</v>
      </c>
      <c r="AA815" s="2"/>
    </row>
    <row r="816" spans="1:27" ht="23.1" customHeight="1" x14ac:dyDescent="0.25">
      <c r="A816" s="20" t="s">
        <v>870</v>
      </c>
      <c r="B816" s="3" t="s">
        <v>110</v>
      </c>
      <c r="C816" s="3">
        <v>23</v>
      </c>
      <c r="D816" s="3" t="s">
        <v>717</v>
      </c>
      <c r="E816" s="1" t="s">
        <v>718</v>
      </c>
      <c r="F816" s="21" t="s">
        <v>718</v>
      </c>
      <c r="G816" s="3" t="s">
        <v>118</v>
      </c>
      <c r="H816" s="3">
        <v>45</v>
      </c>
      <c r="I816" s="2" t="s">
        <v>2028</v>
      </c>
      <c r="J816" s="3">
        <v>0.6</v>
      </c>
      <c r="K816" s="3">
        <v>0.75</v>
      </c>
      <c r="L816" s="33">
        <v>26</v>
      </c>
      <c r="M816" s="23">
        <v>28</v>
      </c>
      <c r="N816" s="24" t="s">
        <v>883</v>
      </c>
      <c r="O816" s="34"/>
      <c r="P816" s="31">
        <v>1080</v>
      </c>
      <c r="Q816" s="31">
        <v>90</v>
      </c>
      <c r="R816" s="31"/>
      <c r="S816" s="23">
        <v>1</v>
      </c>
      <c r="T816" s="31">
        <v>120</v>
      </c>
      <c r="U816" s="31"/>
      <c r="V816" s="36"/>
      <c r="W816" s="37"/>
      <c r="X816" s="29">
        <v>15</v>
      </c>
      <c r="Y816" s="3" t="s">
        <v>22</v>
      </c>
      <c r="Z816" s="2" t="s">
        <v>145</v>
      </c>
      <c r="AA816" s="2"/>
    </row>
    <row r="817" spans="1:27" ht="23.1" customHeight="1" x14ac:dyDescent="0.25">
      <c r="A817" s="20" t="s">
        <v>870</v>
      </c>
      <c r="B817" s="3" t="s">
        <v>110</v>
      </c>
      <c r="C817" s="3">
        <v>23</v>
      </c>
      <c r="D817" s="3" t="s">
        <v>717</v>
      </c>
      <c r="E817" s="1" t="s">
        <v>718</v>
      </c>
      <c r="F817" s="21" t="s">
        <v>718</v>
      </c>
      <c r="G817" s="3" t="s">
        <v>118</v>
      </c>
      <c r="H817" s="3">
        <v>48</v>
      </c>
      <c r="I817" s="2"/>
      <c r="J817" s="3">
        <v>1</v>
      </c>
      <c r="K817" s="3">
        <v>1</v>
      </c>
      <c r="L817" s="33"/>
      <c r="M817" s="23">
        <v>26</v>
      </c>
      <c r="N817" s="24" t="s">
        <v>884</v>
      </c>
      <c r="O817" s="34">
        <v>40</v>
      </c>
      <c r="P817" s="31"/>
      <c r="Q817" s="31"/>
      <c r="R817" s="31">
        <v>90</v>
      </c>
      <c r="S817" s="23">
        <v>1</v>
      </c>
      <c r="T817" s="31"/>
      <c r="U817" s="31"/>
      <c r="V817" s="36"/>
      <c r="W817" s="37"/>
      <c r="X817" s="32">
        <v>2.2000000000000002</v>
      </c>
      <c r="Y817" s="3" t="s">
        <v>22</v>
      </c>
      <c r="Z817" s="2" t="s">
        <v>145</v>
      </c>
      <c r="AA817" s="2"/>
    </row>
    <row r="818" spans="1:27" ht="23.1" customHeight="1" x14ac:dyDescent="0.25">
      <c r="A818" s="20" t="s">
        <v>870</v>
      </c>
      <c r="B818" s="3" t="s">
        <v>110</v>
      </c>
      <c r="C818" s="3">
        <v>47</v>
      </c>
      <c r="D818" s="3" t="s">
        <v>826</v>
      </c>
      <c r="E818" s="1" t="s">
        <v>827</v>
      </c>
      <c r="F818" s="21" t="s">
        <v>827</v>
      </c>
      <c r="G818" s="3" t="s">
        <v>118</v>
      </c>
      <c r="H818" s="3">
        <v>15</v>
      </c>
      <c r="I818" s="2" t="s">
        <v>2071</v>
      </c>
      <c r="J818" s="3">
        <v>0.5</v>
      </c>
      <c r="K818" s="3">
        <v>0.5</v>
      </c>
      <c r="L818" s="33"/>
      <c r="M818" s="23">
        <v>5</v>
      </c>
      <c r="N818" s="24" t="s">
        <v>861</v>
      </c>
      <c r="O818" s="34"/>
      <c r="P818" s="31">
        <v>1440</v>
      </c>
      <c r="Q818" s="31">
        <v>90</v>
      </c>
      <c r="R818" s="31"/>
      <c r="S818" s="23">
        <v>1</v>
      </c>
      <c r="T818" s="31">
        <v>90</v>
      </c>
      <c r="U818" s="31"/>
      <c r="V818" s="36"/>
      <c r="W818" s="37"/>
      <c r="X818" s="29">
        <v>13.5</v>
      </c>
      <c r="Y818" s="3" t="s">
        <v>22</v>
      </c>
      <c r="Z818" s="2" t="s">
        <v>885</v>
      </c>
      <c r="AA818" s="2"/>
    </row>
    <row r="819" spans="1:27" ht="23.1" customHeight="1" x14ac:dyDescent="0.25">
      <c r="A819" s="20" t="s">
        <v>870</v>
      </c>
      <c r="B819" s="3" t="s">
        <v>110</v>
      </c>
      <c r="C819" s="3">
        <v>108</v>
      </c>
      <c r="D819" s="3" t="s">
        <v>886</v>
      </c>
      <c r="E819" s="1" t="s">
        <v>887</v>
      </c>
      <c r="F819" s="21" t="s">
        <v>887</v>
      </c>
      <c r="G819" s="3" t="s">
        <v>154</v>
      </c>
      <c r="H819" s="3">
        <v>5</v>
      </c>
      <c r="I819" s="2" t="s">
        <v>1930</v>
      </c>
      <c r="J819" s="3">
        <v>1</v>
      </c>
      <c r="K819" s="3">
        <v>1</v>
      </c>
      <c r="L819" s="33"/>
      <c r="M819" s="23">
        <v>26</v>
      </c>
      <c r="N819" s="24" t="s">
        <v>159</v>
      </c>
      <c r="O819" s="34"/>
      <c r="P819" s="31">
        <v>660</v>
      </c>
      <c r="Q819" s="31">
        <v>60</v>
      </c>
      <c r="R819" s="31"/>
      <c r="S819" s="23">
        <v>1</v>
      </c>
      <c r="T819" s="31">
        <v>90</v>
      </c>
      <c r="U819" s="31"/>
      <c r="V819" s="36">
        <v>1</v>
      </c>
      <c r="W819" s="37"/>
      <c r="X819" s="29">
        <v>13.5</v>
      </c>
      <c r="Y819" s="3" t="s">
        <v>13</v>
      </c>
      <c r="Z819" s="2" t="s">
        <v>888</v>
      </c>
      <c r="AA819" s="2"/>
    </row>
    <row r="820" spans="1:27" ht="23.1" customHeight="1" x14ac:dyDescent="0.25">
      <c r="A820" s="20" t="s">
        <v>870</v>
      </c>
      <c r="B820" s="3" t="s">
        <v>110</v>
      </c>
      <c r="C820" s="3">
        <v>108</v>
      </c>
      <c r="D820" s="3" t="s">
        <v>889</v>
      </c>
      <c r="E820" s="1" t="s">
        <v>887</v>
      </c>
      <c r="F820" s="21" t="s">
        <v>887</v>
      </c>
      <c r="G820" s="3" t="s">
        <v>154</v>
      </c>
      <c r="H820" s="3">
        <v>5</v>
      </c>
      <c r="I820" s="2" t="s">
        <v>1930</v>
      </c>
      <c r="J820" s="3">
        <v>1</v>
      </c>
      <c r="K820" s="3">
        <v>1</v>
      </c>
      <c r="L820" s="33"/>
      <c r="M820" s="23">
        <v>26</v>
      </c>
      <c r="N820" s="24" t="s">
        <v>159</v>
      </c>
      <c r="O820" s="34"/>
      <c r="P820" s="31">
        <v>660</v>
      </c>
      <c r="Q820" s="31">
        <v>60</v>
      </c>
      <c r="R820" s="31"/>
      <c r="S820" s="23">
        <v>1</v>
      </c>
      <c r="T820" s="31">
        <v>90</v>
      </c>
      <c r="U820" s="31"/>
      <c r="V820" s="36">
        <v>1</v>
      </c>
      <c r="W820" s="37"/>
      <c r="X820" s="29">
        <v>13.5</v>
      </c>
      <c r="Y820" s="3" t="s">
        <v>13</v>
      </c>
      <c r="Z820" s="2" t="s">
        <v>888</v>
      </c>
      <c r="AA820" s="2"/>
    </row>
    <row r="821" spans="1:27" ht="23.1" customHeight="1" x14ac:dyDescent="0.25">
      <c r="A821" s="20" t="s">
        <v>870</v>
      </c>
      <c r="B821" s="3" t="s">
        <v>110</v>
      </c>
      <c r="C821" s="3">
        <v>22</v>
      </c>
      <c r="D821" s="3" t="s">
        <v>635</v>
      </c>
      <c r="E821" s="1" t="s">
        <v>612</v>
      </c>
      <c r="F821" s="21" t="s">
        <v>612</v>
      </c>
      <c r="G821" s="3" t="s">
        <v>102</v>
      </c>
      <c r="H821" s="3">
        <v>45</v>
      </c>
      <c r="I821" s="2" t="s">
        <v>2015</v>
      </c>
      <c r="J821" s="3">
        <v>0.3</v>
      </c>
      <c r="K821" s="3">
        <v>0.3</v>
      </c>
      <c r="L821" s="33"/>
      <c r="M821" s="23">
        <v>5</v>
      </c>
      <c r="N821" s="24" t="s">
        <v>613</v>
      </c>
      <c r="O821" s="34"/>
      <c r="P821" s="31">
        <v>6000</v>
      </c>
      <c r="Q821" s="31">
        <v>180</v>
      </c>
      <c r="R821" s="31"/>
      <c r="S821" s="23"/>
      <c r="T821" s="31">
        <v>180</v>
      </c>
      <c r="U821" s="31"/>
      <c r="V821" s="36"/>
      <c r="W821" s="37"/>
      <c r="X821" s="29">
        <v>30</v>
      </c>
      <c r="Y821" s="3" t="s">
        <v>49</v>
      </c>
      <c r="Z821" s="2"/>
      <c r="AA821" s="2"/>
    </row>
    <row r="822" spans="1:27" ht="23.1" customHeight="1" x14ac:dyDescent="0.25">
      <c r="A822" s="20" t="s">
        <v>870</v>
      </c>
      <c r="B822" s="3" t="s">
        <v>110</v>
      </c>
      <c r="C822" s="3">
        <v>107</v>
      </c>
      <c r="D822" s="3" t="s">
        <v>173</v>
      </c>
      <c r="E822" s="1" t="s">
        <v>174</v>
      </c>
      <c r="F822" s="21" t="s">
        <v>1246</v>
      </c>
      <c r="G822" s="3" t="s">
        <v>154</v>
      </c>
      <c r="H822" s="3">
        <v>25</v>
      </c>
      <c r="I822" s="2" t="s">
        <v>2006</v>
      </c>
      <c r="J822" s="3">
        <v>1</v>
      </c>
      <c r="K822" s="3">
        <v>1</v>
      </c>
      <c r="L822" s="33"/>
      <c r="M822" s="23">
        <v>28</v>
      </c>
      <c r="N822" s="24" t="s">
        <v>890</v>
      </c>
      <c r="O822" s="34"/>
      <c r="P822" s="31">
        <v>1050</v>
      </c>
      <c r="Q822" s="31">
        <v>90</v>
      </c>
      <c r="R822" s="31"/>
      <c r="S822" s="23">
        <v>1</v>
      </c>
      <c r="T822" s="31">
        <v>120</v>
      </c>
      <c r="U822" s="31"/>
      <c r="V822" s="36"/>
      <c r="W822" s="37"/>
      <c r="X822" s="29">
        <v>19</v>
      </c>
      <c r="Y822" s="3" t="s">
        <v>45</v>
      </c>
      <c r="Z822" s="2" t="s">
        <v>145</v>
      </c>
      <c r="AA822" s="2"/>
    </row>
    <row r="823" spans="1:27" ht="23.1" customHeight="1" x14ac:dyDescent="0.25">
      <c r="A823" s="20" t="s">
        <v>870</v>
      </c>
      <c r="B823" s="3" t="s">
        <v>110</v>
      </c>
      <c r="C823" s="3">
        <v>78</v>
      </c>
      <c r="D823" s="3" t="s">
        <v>821</v>
      </c>
      <c r="E823" s="1" t="s">
        <v>822</v>
      </c>
      <c r="F823" s="21" t="s">
        <v>822</v>
      </c>
      <c r="G823" s="3" t="s">
        <v>123</v>
      </c>
      <c r="H823" s="3" t="s">
        <v>108</v>
      </c>
      <c r="I823" s="2"/>
      <c r="J823" s="3"/>
      <c r="K823" s="3">
        <v>1</v>
      </c>
      <c r="L823" s="33"/>
      <c r="M823" s="23">
        <v>37</v>
      </c>
      <c r="N823" s="24" t="s">
        <v>108</v>
      </c>
      <c r="O823" s="34"/>
      <c r="P823" s="31"/>
      <c r="Q823" s="31"/>
      <c r="R823" s="31"/>
      <c r="S823" s="23"/>
      <c r="T823" s="31"/>
      <c r="U823" s="31"/>
      <c r="V823" s="36"/>
      <c r="W823" s="37">
        <v>4</v>
      </c>
      <c r="X823" s="29">
        <v>4</v>
      </c>
      <c r="Y823" s="3" t="s">
        <v>5</v>
      </c>
      <c r="Z823" s="2" t="s">
        <v>891</v>
      </c>
      <c r="AA823" s="1" t="s">
        <v>238</v>
      </c>
    </row>
    <row r="824" spans="1:27" ht="23.1" customHeight="1" x14ac:dyDescent="0.25">
      <c r="A824" s="20" t="s">
        <v>870</v>
      </c>
      <c r="B824" s="3" t="s">
        <v>110</v>
      </c>
      <c r="C824" s="3">
        <v>16</v>
      </c>
      <c r="D824" s="3" t="s">
        <v>892</v>
      </c>
      <c r="E824" s="1" t="s">
        <v>893</v>
      </c>
      <c r="F824" s="21" t="s">
        <v>893</v>
      </c>
      <c r="G824" s="3" t="s">
        <v>102</v>
      </c>
      <c r="H824" s="3">
        <v>10</v>
      </c>
      <c r="I824" s="2" t="s">
        <v>1952</v>
      </c>
      <c r="J824" s="3">
        <v>10</v>
      </c>
      <c r="K824" s="3">
        <v>32</v>
      </c>
      <c r="L824" s="33">
        <v>37</v>
      </c>
      <c r="M824" s="23">
        <v>37</v>
      </c>
      <c r="N824" s="24" t="s">
        <v>596</v>
      </c>
      <c r="O824" s="34"/>
      <c r="P824" s="31">
        <v>30</v>
      </c>
      <c r="Q824" s="31"/>
      <c r="R824" s="31"/>
      <c r="S824" s="23"/>
      <c r="T824" s="31">
        <v>60</v>
      </c>
      <c r="U824" s="31"/>
      <c r="V824" s="36">
        <v>1</v>
      </c>
      <c r="W824" s="37"/>
      <c r="X824" s="29">
        <v>17</v>
      </c>
      <c r="Y824" s="3" t="s">
        <v>71</v>
      </c>
      <c r="Z824" s="2" t="s">
        <v>704</v>
      </c>
      <c r="AA824" s="2"/>
    </row>
    <row r="825" spans="1:27" ht="23.1" customHeight="1" x14ac:dyDescent="0.25">
      <c r="A825" s="20" t="s">
        <v>870</v>
      </c>
      <c r="B825" s="3" t="s">
        <v>110</v>
      </c>
      <c r="C825" s="3">
        <v>58</v>
      </c>
      <c r="D825" s="3" t="s">
        <v>813</v>
      </c>
      <c r="E825" s="1" t="s">
        <v>409</v>
      </c>
      <c r="F825" s="21" t="s">
        <v>409</v>
      </c>
      <c r="G825" s="3" t="s">
        <v>102</v>
      </c>
      <c r="H825" s="3">
        <v>35</v>
      </c>
      <c r="I825" s="2" t="s">
        <v>1997</v>
      </c>
      <c r="J825" s="3"/>
      <c r="K825" s="3">
        <v>1</v>
      </c>
      <c r="L825" s="33"/>
      <c r="M825" s="23">
        <v>26</v>
      </c>
      <c r="N825" s="24" t="s">
        <v>596</v>
      </c>
      <c r="O825" s="34"/>
      <c r="P825" s="31">
        <v>40</v>
      </c>
      <c r="Q825" s="31"/>
      <c r="R825" s="31"/>
      <c r="S825" s="23"/>
      <c r="T825" s="31">
        <v>90</v>
      </c>
      <c r="U825" s="31"/>
      <c r="V825" s="36">
        <v>1</v>
      </c>
      <c r="W825" s="37">
        <v>2</v>
      </c>
      <c r="X825" s="29">
        <v>4.2</v>
      </c>
      <c r="Y825" s="3" t="s">
        <v>0</v>
      </c>
      <c r="Z825" s="2" t="s">
        <v>894</v>
      </c>
      <c r="AA825" s="1" t="s">
        <v>238</v>
      </c>
    </row>
    <row r="826" spans="1:27" ht="23.1" customHeight="1" x14ac:dyDescent="0.25">
      <c r="A826" s="20" t="s">
        <v>870</v>
      </c>
      <c r="B826" s="3" t="s">
        <v>137</v>
      </c>
      <c r="C826" s="3">
        <v>59</v>
      </c>
      <c r="D826" s="3" t="s">
        <v>846</v>
      </c>
      <c r="E826" s="1" t="s">
        <v>847</v>
      </c>
      <c r="F826" s="21" t="s">
        <v>847</v>
      </c>
      <c r="G826" s="3" t="s">
        <v>102</v>
      </c>
      <c r="H826" s="3">
        <v>25</v>
      </c>
      <c r="I826" s="2" t="s">
        <v>2079</v>
      </c>
      <c r="J826" s="3">
        <v>5</v>
      </c>
      <c r="K826" s="3">
        <v>5</v>
      </c>
      <c r="L826" s="33">
        <v>31</v>
      </c>
      <c r="M826" s="23">
        <v>31</v>
      </c>
      <c r="N826" s="24" t="s">
        <v>596</v>
      </c>
      <c r="O826" s="34"/>
      <c r="P826" s="31">
        <v>90</v>
      </c>
      <c r="Q826" s="31"/>
      <c r="R826" s="31"/>
      <c r="S826" s="23"/>
      <c r="T826" s="31">
        <v>90</v>
      </c>
      <c r="U826" s="31"/>
      <c r="V826" s="36"/>
      <c r="W826" s="37"/>
      <c r="X826" s="29">
        <v>7.5</v>
      </c>
      <c r="Y826" s="64" t="s">
        <v>1847</v>
      </c>
      <c r="Z826" s="2"/>
      <c r="AA826" s="2"/>
    </row>
    <row r="827" spans="1:27" ht="23.1" customHeight="1" x14ac:dyDescent="0.25">
      <c r="A827" s="20" t="s">
        <v>870</v>
      </c>
      <c r="B827" s="3" t="s">
        <v>137</v>
      </c>
      <c r="C827" s="3">
        <v>59</v>
      </c>
      <c r="D827" s="3" t="s">
        <v>895</v>
      </c>
      <c r="E827" s="1" t="s">
        <v>896</v>
      </c>
      <c r="F827" s="21" t="s">
        <v>896</v>
      </c>
      <c r="G827" s="3" t="s">
        <v>102</v>
      </c>
      <c r="H827" s="3">
        <v>5</v>
      </c>
      <c r="I827" s="2" t="s">
        <v>1957</v>
      </c>
      <c r="J827" s="3">
        <v>8</v>
      </c>
      <c r="K827" s="3">
        <v>8</v>
      </c>
      <c r="L827" s="33">
        <v>31</v>
      </c>
      <c r="M827" s="23">
        <v>31</v>
      </c>
      <c r="N827" s="24" t="s">
        <v>596</v>
      </c>
      <c r="O827" s="34"/>
      <c r="P827" s="31">
        <v>30</v>
      </c>
      <c r="Q827" s="31"/>
      <c r="R827" s="31"/>
      <c r="S827" s="23"/>
      <c r="T827" s="31">
        <v>60</v>
      </c>
      <c r="U827" s="31"/>
      <c r="V827" s="36"/>
      <c r="W827" s="37">
        <v>2</v>
      </c>
      <c r="X827" s="29">
        <v>6</v>
      </c>
      <c r="Y827" s="64" t="s">
        <v>1847</v>
      </c>
      <c r="Z827" s="2" t="s">
        <v>897</v>
      </c>
      <c r="AA827" s="2"/>
    </row>
    <row r="828" spans="1:27" ht="23.1" customHeight="1" x14ac:dyDescent="0.25">
      <c r="A828" s="20" t="s">
        <v>870</v>
      </c>
      <c r="B828" s="3" t="s">
        <v>137</v>
      </c>
      <c r="C828" s="3">
        <v>58</v>
      </c>
      <c r="D828" s="3" t="s">
        <v>815</v>
      </c>
      <c r="E828" s="1" t="s">
        <v>409</v>
      </c>
      <c r="F828" s="21" t="s">
        <v>409</v>
      </c>
      <c r="G828" s="3" t="s">
        <v>102</v>
      </c>
      <c r="H828" s="3">
        <v>40</v>
      </c>
      <c r="I828" s="2" t="s">
        <v>2080</v>
      </c>
      <c r="J828" s="3">
        <v>1</v>
      </c>
      <c r="K828" s="3">
        <v>1</v>
      </c>
      <c r="L828" s="33">
        <v>23</v>
      </c>
      <c r="M828" s="23"/>
      <c r="N828" s="24" t="s">
        <v>596</v>
      </c>
      <c r="O828" s="34"/>
      <c r="P828" s="31">
        <v>30</v>
      </c>
      <c r="Q828" s="31"/>
      <c r="R828" s="31"/>
      <c r="S828" s="23"/>
      <c r="T828" s="31">
        <v>60</v>
      </c>
      <c r="U828" s="31"/>
      <c r="V828" s="36"/>
      <c r="W828" s="37">
        <v>2</v>
      </c>
      <c r="X828" s="29">
        <v>2.5</v>
      </c>
      <c r="Y828" s="3" t="s">
        <v>7</v>
      </c>
      <c r="Z828" s="2" t="s">
        <v>898</v>
      </c>
      <c r="AA828" s="1" t="s">
        <v>238</v>
      </c>
    </row>
    <row r="829" spans="1:27" ht="23.1" customHeight="1" x14ac:dyDescent="0.25">
      <c r="A829" s="20" t="s">
        <v>796</v>
      </c>
      <c r="B829" s="3" t="s">
        <v>113</v>
      </c>
      <c r="C829" s="3">
        <v>59</v>
      </c>
      <c r="D829" s="3" t="s">
        <v>846</v>
      </c>
      <c r="E829" s="1" t="s">
        <v>847</v>
      </c>
      <c r="F829" s="21" t="s">
        <v>847</v>
      </c>
      <c r="G829" s="3" t="s">
        <v>102</v>
      </c>
      <c r="H829" s="3">
        <v>15</v>
      </c>
      <c r="I829" s="2" t="s">
        <v>1864</v>
      </c>
      <c r="J829" s="3"/>
      <c r="K829" s="3">
        <v>8</v>
      </c>
      <c r="L829" s="33">
        <v>31</v>
      </c>
      <c r="M829" s="23">
        <v>31</v>
      </c>
      <c r="N829" s="24" t="s">
        <v>596</v>
      </c>
      <c r="O829" s="34"/>
      <c r="P829" s="31">
        <v>35</v>
      </c>
      <c r="Q829" s="31"/>
      <c r="R829" s="31"/>
      <c r="S829" s="23"/>
      <c r="T829" s="31">
        <v>90</v>
      </c>
      <c r="U829" s="31"/>
      <c r="V829" s="36">
        <v>1</v>
      </c>
      <c r="W829" s="37">
        <v>2</v>
      </c>
      <c r="X829" s="29">
        <v>8.1999999999999993</v>
      </c>
      <c r="Y829" s="3" t="s">
        <v>42</v>
      </c>
      <c r="Z829" s="2" t="s">
        <v>858</v>
      </c>
      <c r="AA829" s="1" t="s">
        <v>238</v>
      </c>
    </row>
    <row r="830" spans="1:27" ht="23.1" customHeight="1" x14ac:dyDescent="0.25">
      <c r="A830" s="20" t="s">
        <v>870</v>
      </c>
      <c r="B830" s="3" t="s">
        <v>137</v>
      </c>
      <c r="C830" s="3">
        <v>58</v>
      </c>
      <c r="D830" s="3" t="s">
        <v>899</v>
      </c>
      <c r="E830" s="1" t="s">
        <v>409</v>
      </c>
      <c r="F830" s="21" t="s">
        <v>409</v>
      </c>
      <c r="G830" s="3" t="s">
        <v>102</v>
      </c>
      <c r="H830" s="3">
        <v>10</v>
      </c>
      <c r="I830" s="39" t="s">
        <v>1952</v>
      </c>
      <c r="J830" s="3">
        <v>1</v>
      </c>
      <c r="K830" s="3">
        <v>1</v>
      </c>
      <c r="L830" s="23">
        <v>23</v>
      </c>
      <c r="M830" s="23">
        <v>28</v>
      </c>
      <c r="N830" s="24" t="s">
        <v>596</v>
      </c>
      <c r="O830" s="34"/>
      <c r="P830" s="31">
        <v>50</v>
      </c>
      <c r="Q830" s="31"/>
      <c r="R830" s="31"/>
      <c r="S830" s="23"/>
      <c r="T830" s="31">
        <v>60</v>
      </c>
      <c r="U830" s="31"/>
      <c r="V830" s="36"/>
      <c r="W830" s="37"/>
      <c r="X830" s="29">
        <v>0.8</v>
      </c>
      <c r="Y830" s="3" t="s">
        <v>7</v>
      </c>
      <c r="Z830" s="2"/>
      <c r="AA830" s="1" t="s">
        <v>238</v>
      </c>
    </row>
    <row r="831" spans="1:27" ht="23.1" customHeight="1" x14ac:dyDescent="0.25">
      <c r="A831" s="20" t="s">
        <v>870</v>
      </c>
      <c r="B831" s="3" t="s">
        <v>137</v>
      </c>
      <c r="C831" s="3">
        <v>57</v>
      </c>
      <c r="D831" s="3" t="s">
        <v>698</v>
      </c>
      <c r="E831" s="1" t="s">
        <v>699</v>
      </c>
      <c r="F831" s="21" t="e">
        <v>#N/A</v>
      </c>
      <c r="G831" s="3" t="s">
        <v>123</v>
      </c>
      <c r="H831" s="3">
        <v>20</v>
      </c>
      <c r="I831" s="2" t="s">
        <v>2076</v>
      </c>
      <c r="J831" s="3">
        <v>3.5</v>
      </c>
      <c r="K831" s="3">
        <v>3.5</v>
      </c>
      <c r="L831" s="33">
        <v>28</v>
      </c>
      <c r="M831" s="23">
        <v>28</v>
      </c>
      <c r="N831" s="24" t="s">
        <v>219</v>
      </c>
      <c r="O831" s="34"/>
      <c r="P831" s="31">
        <v>210</v>
      </c>
      <c r="Q831" s="31"/>
      <c r="R831" s="31"/>
      <c r="S831" s="23"/>
      <c r="T831" s="31">
        <v>90</v>
      </c>
      <c r="U831" s="31"/>
      <c r="V831" s="36"/>
      <c r="W831" s="37"/>
      <c r="X831" s="29">
        <v>12.3</v>
      </c>
      <c r="Y831" s="3" t="s">
        <v>7</v>
      </c>
      <c r="Z831" s="2"/>
      <c r="AA831" s="2"/>
    </row>
    <row r="832" spans="1:27" ht="23.1" customHeight="1" x14ac:dyDescent="0.25">
      <c r="A832" s="20" t="s">
        <v>870</v>
      </c>
      <c r="B832" s="3" t="s">
        <v>137</v>
      </c>
      <c r="C832" s="3">
        <v>9</v>
      </c>
      <c r="D832" s="3" t="s">
        <v>229</v>
      </c>
      <c r="E832" s="1" t="s">
        <v>230</v>
      </c>
      <c r="F832" s="21" t="s">
        <v>230</v>
      </c>
      <c r="G832" s="3" t="s">
        <v>154</v>
      </c>
      <c r="H832" s="3">
        <v>35</v>
      </c>
      <c r="I832" s="2" t="s">
        <v>2077</v>
      </c>
      <c r="J832" s="3">
        <v>15</v>
      </c>
      <c r="K832" s="3">
        <v>26</v>
      </c>
      <c r="L832" s="33">
        <v>23</v>
      </c>
      <c r="M832" s="23">
        <v>23</v>
      </c>
      <c r="N832" s="24" t="s">
        <v>851</v>
      </c>
      <c r="O832" s="34"/>
      <c r="P832" s="31">
        <v>35</v>
      </c>
      <c r="Q832" s="31"/>
      <c r="R832" s="31"/>
      <c r="S832" s="23"/>
      <c r="T832" s="31">
        <v>60</v>
      </c>
      <c r="U832" s="31"/>
      <c r="V832" s="36"/>
      <c r="W832" s="37"/>
      <c r="X832" s="29">
        <v>15.2</v>
      </c>
      <c r="Y832" s="3" t="s">
        <v>30</v>
      </c>
      <c r="Z832" s="2"/>
      <c r="AA832" s="2"/>
    </row>
    <row r="833" spans="1:27" ht="23.1" customHeight="1" x14ac:dyDescent="0.25">
      <c r="A833" s="20" t="s">
        <v>870</v>
      </c>
      <c r="B833" s="3" t="s">
        <v>137</v>
      </c>
      <c r="C833" s="3">
        <v>11</v>
      </c>
      <c r="D833" s="3" t="s">
        <v>690</v>
      </c>
      <c r="E833" s="1" t="s">
        <v>691</v>
      </c>
      <c r="F833" s="21" t="s">
        <v>691</v>
      </c>
      <c r="G833" s="3" t="s">
        <v>123</v>
      </c>
      <c r="H833" s="3">
        <v>25</v>
      </c>
      <c r="I833" s="2" t="s">
        <v>2054</v>
      </c>
      <c r="J833" s="3">
        <v>4</v>
      </c>
      <c r="K833" s="3">
        <v>4</v>
      </c>
      <c r="L833" s="33">
        <v>23</v>
      </c>
      <c r="M833" s="23">
        <v>23</v>
      </c>
      <c r="N833" s="24" t="s">
        <v>900</v>
      </c>
      <c r="O833" s="34"/>
      <c r="P833" s="31">
        <v>180</v>
      </c>
      <c r="Q833" s="31"/>
      <c r="R833" s="31"/>
      <c r="S833" s="23"/>
      <c r="T833" s="31">
        <v>60</v>
      </c>
      <c r="U833" s="31"/>
      <c r="V833" s="36"/>
      <c r="W833" s="37"/>
      <c r="X833" s="29">
        <v>12</v>
      </c>
      <c r="Y833" s="3" t="s">
        <v>63</v>
      </c>
      <c r="Z833" s="2"/>
      <c r="AA833" s="2"/>
    </row>
    <row r="834" spans="1:27" ht="23.1" customHeight="1" x14ac:dyDescent="0.25">
      <c r="A834" s="20" t="s">
        <v>870</v>
      </c>
      <c r="B834" s="3" t="s">
        <v>137</v>
      </c>
      <c r="C834" s="3">
        <v>11</v>
      </c>
      <c r="D834" s="3" t="s">
        <v>690</v>
      </c>
      <c r="E834" s="1" t="s">
        <v>691</v>
      </c>
      <c r="F834" s="21" t="s">
        <v>691</v>
      </c>
      <c r="G834" s="3" t="s">
        <v>123</v>
      </c>
      <c r="H834" s="3">
        <v>30</v>
      </c>
      <c r="I834" s="2" t="s">
        <v>2085</v>
      </c>
      <c r="J834" s="3">
        <v>2</v>
      </c>
      <c r="K834" s="3">
        <v>2</v>
      </c>
      <c r="L834" s="33">
        <v>31</v>
      </c>
      <c r="M834" s="23">
        <v>31</v>
      </c>
      <c r="N834" s="24" t="s">
        <v>703</v>
      </c>
      <c r="O834" s="34"/>
      <c r="P834" s="31">
        <v>100</v>
      </c>
      <c r="Q834" s="31"/>
      <c r="R834" s="31"/>
      <c r="S834" s="23"/>
      <c r="T834" s="31">
        <v>60</v>
      </c>
      <c r="U834" s="31"/>
      <c r="V834" s="36"/>
      <c r="W834" s="37"/>
      <c r="X834" s="29">
        <v>3.3</v>
      </c>
      <c r="Y834" s="3" t="s">
        <v>63</v>
      </c>
      <c r="Z834" s="2"/>
      <c r="AA834" s="2"/>
    </row>
    <row r="835" spans="1:27" ht="23.1" customHeight="1" x14ac:dyDescent="0.25">
      <c r="A835" s="20" t="s">
        <v>870</v>
      </c>
      <c r="B835" s="3" t="s">
        <v>137</v>
      </c>
      <c r="C835" s="3">
        <v>16</v>
      </c>
      <c r="D835" s="3" t="s">
        <v>892</v>
      </c>
      <c r="E835" s="1" t="s">
        <v>893</v>
      </c>
      <c r="F835" s="21" t="s">
        <v>893</v>
      </c>
      <c r="G835" s="3" t="s">
        <v>102</v>
      </c>
      <c r="H835" s="3">
        <v>15</v>
      </c>
      <c r="I835" s="2" t="s">
        <v>1864</v>
      </c>
      <c r="J835" s="3">
        <v>20</v>
      </c>
      <c r="K835" s="3">
        <v>19</v>
      </c>
      <c r="L835" s="33">
        <v>23</v>
      </c>
      <c r="M835" s="23">
        <v>28</v>
      </c>
      <c r="N835" s="24" t="s">
        <v>596</v>
      </c>
      <c r="O835" s="34"/>
      <c r="P835" s="31">
        <v>35</v>
      </c>
      <c r="Q835" s="31"/>
      <c r="R835" s="31"/>
      <c r="S835" s="23"/>
      <c r="T835" s="31">
        <v>90</v>
      </c>
      <c r="U835" s="31"/>
      <c r="V835" s="36"/>
      <c r="W835" s="37">
        <v>2</v>
      </c>
      <c r="X835" s="29">
        <v>13.1</v>
      </c>
      <c r="Y835" s="3" t="s">
        <v>63</v>
      </c>
      <c r="Z835" s="2" t="s">
        <v>901</v>
      </c>
      <c r="AA835" s="1" t="s">
        <v>238</v>
      </c>
    </row>
    <row r="836" spans="1:27" ht="23.1" customHeight="1" x14ac:dyDescent="0.25">
      <c r="A836" s="20" t="s">
        <v>870</v>
      </c>
      <c r="B836" s="3" t="s">
        <v>113</v>
      </c>
      <c r="C836" s="3">
        <v>77</v>
      </c>
      <c r="D836" s="3" t="s">
        <v>211</v>
      </c>
      <c r="E836" s="1" t="s">
        <v>212</v>
      </c>
      <c r="F836" s="21" t="s">
        <v>212</v>
      </c>
      <c r="G836" s="63" t="s">
        <v>1839</v>
      </c>
      <c r="H836" s="3">
        <v>25</v>
      </c>
      <c r="I836" s="2" t="s">
        <v>1970</v>
      </c>
      <c r="J836" s="3">
        <v>10</v>
      </c>
      <c r="K836" s="3">
        <v>10</v>
      </c>
      <c r="L836" s="23">
        <v>23</v>
      </c>
      <c r="M836" s="23">
        <v>23</v>
      </c>
      <c r="N836" s="24" t="s">
        <v>457</v>
      </c>
      <c r="O836" s="34"/>
      <c r="P836" s="31">
        <v>25</v>
      </c>
      <c r="Q836" s="31"/>
      <c r="R836" s="31"/>
      <c r="S836" s="23"/>
      <c r="T836" s="31">
        <v>60</v>
      </c>
      <c r="U836" s="31"/>
      <c r="V836" s="36"/>
      <c r="W836" s="37"/>
      <c r="X836" s="29">
        <v>4.2</v>
      </c>
      <c r="Y836" s="3" t="s">
        <v>15</v>
      </c>
      <c r="Z836" s="2"/>
      <c r="AA836" s="2"/>
    </row>
    <row r="837" spans="1:27" ht="23.1" customHeight="1" x14ac:dyDescent="0.25">
      <c r="A837" s="20" t="s">
        <v>870</v>
      </c>
      <c r="B837" s="3" t="s">
        <v>113</v>
      </c>
      <c r="C837" s="3">
        <v>77</v>
      </c>
      <c r="D837" s="3" t="s">
        <v>211</v>
      </c>
      <c r="E837" s="1" t="s">
        <v>212</v>
      </c>
      <c r="F837" s="21" t="s">
        <v>212</v>
      </c>
      <c r="G837" s="63" t="s">
        <v>1836</v>
      </c>
      <c r="H837" s="3">
        <v>30</v>
      </c>
      <c r="I837" s="2" t="s">
        <v>2081</v>
      </c>
      <c r="J837" s="3">
        <v>20</v>
      </c>
      <c r="K837" s="3">
        <v>40</v>
      </c>
      <c r="L837" s="23">
        <v>28</v>
      </c>
      <c r="M837" s="23">
        <v>28</v>
      </c>
      <c r="N837" s="24" t="s">
        <v>213</v>
      </c>
      <c r="O837" s="34"/>
      <c r="P837" s="31">
        <v>25</v>
      </c>
      <c r="Q837" s="31"/>
      <c r="R837" s="31"/>
      <c r="S837" s="23"/>
      <c r="T837" s="31">
        <v>60</v>
      </c>
      <c r="U837" s="31"/>
      <c r="V837" s="36">
        <v>1</v>
      </c>
      <c r="W837" s="37"/>
      <c r="X837" s="29">
        <v>17.7</v>
      </c>
      <c r="Y837" s="3" t="s">
        <v>15</v>
      </c>
      <c r="Z837" s="2" t="s">
        <v>92</v>
      </c>
      <c r="AA837" s="2"/>
    </row>
    <row r="838" spans="1:27" ht="23.1" customHeight="1" x14ac:dyDescent="0.25">
      <c r="A838" s="20" t="s">
        <v>870</v>
      </c>
      <c r="B838" s="3" t="s">
        <v>113</v>
      </c>
      <c r="C838" s="3">
        <v>12</v>
      </c>
      <c r="D838" s="3" t="s">
        <v>735</v>
      </c>
      <c r="E838" s="1" t="s">
        <v>249</v>
      </c>
      <c r="F838" s="21" t="s">
        <v>249</v>
      </c>
      <c r="G838" s="3" t="s">
        <v>250</v>
      </c>
      <c r="H838" s="3">
        <v>15</v>
      </c>
      <c r="I838" s="2" t="s">
        <v>1903</v>
      </c>
      <c r="J838" s="3">
        <v>1</v>
      </c>
      <c r="K838" s="3">
        <v>1.8</v>
      </c>
      <c r="L838" s="33"/>
      <c r="M838" s="23">
        <v>28</v>
      </c>
      <c r="N838" s="24" t="s">
        <v>902</v>
      </c>
      <c r="O838" s="34"/>
      <c r="P838" s="31">
        <v>600</v>
      </c>
      <c r="Q838" s="31"/>
      <c r="R838" s="31"/>
      <c r="S838" s="23"/>
      <c r="T838" s="31">
        <v>120</v>
      </c>
      <c r="U838" s="31"/>
      <c r="V838" s="36"/>
      <c r="W838" s="37"/>
      <c r="X838" s="29">
        <v>18</v>
      </c>
      <c r="Y838" s="3" t="s">
        <v>72</v>
      </c>
      <c r="Z838" s="2"/>
      <c r="AA838" s="2"/>
    </row>
    <row r="839" spans="1:27" ht="23.1" customHeight="1" x14ac:dyDescent="0.25">
      <c r="A839" s="20" t="s">
        <v>870</v>
      </c>
      <c r="B839" s="3" t="s">
        <v>113</v>
      </c>
      <c r="C839" s="3">
        <v>58</v>
      </c>
      <c r="D839" s="3" t="s">
        <v>142</v>
      </c>
      <c r="E839" s="1" t="s">
        <v>133</v>
      </c>
      <c r="F839" s="21" t="s">
        <v>133</v>
      </c>
      <c r="G839" s="3" t="s">
        <v>102</v>
      </c>
      <c r="H839" s="3">
        <v>55</v>
      </c>
      <c r="I839" s="2" t="s">
        <v>1865</v>
      </c>
      <c r="J839" s="3">
        <v>2</v>
      </c>
      <c r="K839" s="3">
        <v>2</v>
      </c>
      <c r="L839" s="23">
        <v>28</v>
      </c>
      <c r="M839" s="23">
        <v>28</v>
      </c>
      <c r="N839" s="24" t="s">
        <v>140</v>
      </c>
      <c r="O839" s="34"/>
      <c r="P839" s="31">
        <v>60</v>
      </c>
      <c r="Q839" s="31"/>
      <c r="R839" s="31"/>
      <c r="S839" s="23"/>
      <c r="T839" s="31">
        <v>90</v>
      </c>
      <c r="U839" s="31"/>
      <c r="V839" s="36"/>
      <c r="W839" s="37">
        <v>5</v>
      </c>
      <c r="X839" s="29">
        <v>7</v>
      </c>
      <c r="Y839" s="3" t="s">
        <v>57</v>
      </c>
      <c r="Z839" s="2" t="s">
        <v>903</v>
      </c>
      <c r="AA839" s="1" t="s">
        <v>238</v>
      </c>
    </row>
    <row r="840" spans="1:27" ht="23.1" customHeight="1" x14ac:dyDescent="0.25">
      <c r="A840" s="20" t="s">
        <v>870</v>
      </c>
      <c r="B840" s="3" t="s">
        <v>137</v>
      </c>
      <c r="C840" s="3">
        <v>58</v>
      </c>
      <c r="D840" s="3" t="s">
        <v>899</v>
      </c>
      <c r="E840" s="1" t="s">
        <v>409</v>
      </c>
      <c r="F840" s="21" t="s">
        <v>409</v>
      </c>
      <c r="G840" s="3" t="s">
        <v>102</v>
      </c>
      <c r="H840" s="3">
        <v>15</v>
      </c>
      <c r="I840" s="39" t="s">
        <v>2056</v>
      </c>
      <c r="J840" s="3">
        <v>1</v>
      </c>
      <c r="K840" s="3">
        <v>1</v>
      </c>
      <c r="L840" s="23">
        <v>23</v>
      </c>
      <c r="M840" s="23">
        <v>28</v>
      </c>
      <c r="N840" s="24" t="s">
        <v>596</v>
      </c>
      <c r="O840" s="34"/>
      <c r="P840" s="31">
        <v>50</v>
      </c>
      <c r="Q840" s="31"/>
      <c r="R840" s="31"/>
      <c r="S840" s="23"/>
      <c r="T840" s="31">
        <v>90</v>
      </c>
      <c r="U840" s="31"/>
      <c r="V840" s="36"/>
      <c r="W840" s="37"/>
      <c r="X840" s="29">
        <v>0.8</v>
      </c>
      <c r="Y840" s="3" t="s">
        <v>7</v>
      </c>
      <c r="Z840" s="2"/>
      <c r="AA840" s="1" t="s">
        <v>238</v>
      </c>
    </row>
    <row r="841" spans="1:27" ht="23.1" customHeight="1" x14ac:dyDescent="0.25">
      <c r="A841" s="20" t="s">
        <v>870</v>
      </c>
      <c r="B841" s="3" t="s">
        <v>137</v>
      </c>
      <c r="C841" s="3">
        <v>58</v>
      </c>
      <c r="D841" s="3" t="s">
        <v>899</v>
      </c>
      <c r="E841" s="1" t="s">
        <v>409</v>
      </c>
      <c r="F841" s="21" t="s">
        <v>409</v>
      </c>
      <c r="G841" s="3" t="s">
        <v>102</v>
      </c>
      <c r="H841" s="3">
        <v>20</v>
      </c>
      <c r="I841" s="39" t="s">
        <v>2082</v>
      </c>
      <c r="J841" s="3">
        <v>1</v>
      </c>
      <c r="K841" s="3">
        <v>1</v>
      </c>
      <c r="L841" s="23">
        <v>23</v>
      </c>
      <c r="M841" s="23">
        <v>28</v>
      </c>
      <c r="N841" s="24" t="s">
        <v>596</v>
      </c>
      <c r="O841" s="34"/>
      <c r="P841" s="31">
        <v>150</v>
      </c>
      <c r="Q841" s="31"/>
      <c r="R841" s="31"/>
      <c r="S841" s="23"/>
      <c r="T841" s="31">
        <v>90</v>
      </c>
      <c r="U841" s="31"/>
      <c r="V841" s="36"/>
      <c r="W841" s="37">
        <v>2</v>
      </c>
      <c r="X841" s="29">
        <v>4.5</v>
      </c>
      <c r="Y841" s="3" t="s">
        <v>7</v>
      </c>
      <c r="Z841" s="2" t="s">
        <v>904</v>
      </c>
      <c r="AA841" s="1" t="s">
        <v>238</v>
      </c>
    </row>
    <row r="842" spans="1:27" ht="23.1" customHeight="1" x14ac:dyDescent="0.25">
      <c r="A842" s="20" t="s">
        <v>870</v>
      </c>
      <c r="B842" s="3" t="s">
        <v>113</v>
      </c>
      <c r="C842" s="3">
        <v>58</v>
      </c>
      <c r="D842" s="3" t="s">
        <v>142</v>
      </c>
      <c r="E842" s="1" t="s">
        <v>133</v>
      </c>
      <c r="F842" s="21" t="s">
        <v>133</v>
      </c>
      <c r="G842" s="3" t="s">
        <v>102</v>
      </c>
      <c r="H842" s="3">
        <v>60</v>
      </c>
      <c r="I842" s="2" t="s">
        <v>2083</v>
      </c>
      <c r="J842" s="3">
        <v>2</v>
      </c>
      <c r="K842" s="3">
        <v>2</v>
      </c>
      <c r="L842" s="23">
        <v>19</v>
      </c>
      <c r="M842" s="23">
        <v>19</v>
      </c>
      <c r="N842" s="24" t="s">
        <v>140</v>
      </c>
      <c r="O842" s="34"/>
      <c r="P842" s="31">
        <v>60</v>
      </c>
      <c r="Q842" s="31"/>
      <c r="R842" s="31"/>
      <c r="S842" s="23"/>
      <c r="T842" s="31">
        <v>90</v>
      </c>
      <c r="U842" s="31"/>
      <c r="V842" s="36">
        <v>1</v>
      </c>
      <c r="W842" s="37">
        <v>2</v>
      </c>
      <c r="X842" s="29">
        <v>5.5</v>
      </c>
      <c r="Y842" s="3" t="s">
        <v>57</v>
      </c>
      <c r="Z842" s="2" t="s">
        <v>905</v>
      </c>
      <c r="AA842" s="2"/>
    </row>
    <row r="843" spans="1:27" ht="23.1" customHeight="1" x14ac:dyDescent="0.25">
      <c r="A843" s="20" t="s">
        <v>870</v>
      </c>
      <c r="B843" s="3" t="s">
        <v>113</v>
      </c>
      <c r="C843" s="3">
        <v>58</v>
      </c>
      <c r="D843" s="3" t="s">
        <v>142</v>
      </c>
      <c r="E843" s="1" t="s">
        <v>133</v>
      </c>
      <c r="F843" s="21" t="s">
        <v>133</v>
      </c>
      <c r="G843" s="3" t="s">
        <v>102</v>
      </c>
      <c r="H843" s="3">
        <v>65</v>
      </c>
      <c r="I843" s="2" t="s">
        <v>2084</v>
      </c>
      <c r="J843" s="3">
        <v>2</v>
      </c>
      <c r="K843" s="3">
        <v>2</v>
      </c>
      <c r="L843" s="23">
        <v>19</v>
      </c>
      <c r="M843" s="23">
        <v>19</v>
      </c>
      <c r="N843" s="24" t="s">
        <v>140</v>
      </c>
      <c r="O843" s="34"/>
      <c r="P843" s="31">
        <v>30</v>
      </c>
      <c r="Q843" s="31"/>
      <c r="R843" s="31"/>
      <c r="S843" s="23"/>
      <c r="T843" s="31">
        <v>90</v>
      </c>
      <c r="U843" s="31"/>
      <c r="V843" s="36">
        <v>1</v>
      </c>
      <c r="W843" s="37"/>
      <c r="X843" s="29">
        <v>2.5</v>
      </c>
      <c r="Y843" s="3" t="s">
        <v>57</v>
      </c>
      <c r="Z843" s="2"/>
      <c r="AA843" s="2"/>
    </row>
    <row r="844" spans="1:27" ht="23.1" customHeight="1" x14ac:dyDescent="0.25">
      <c r="A844" s="20" t="s">
        <v>870</v>
      </c>
      <c r="B844" s="3" t="s">
        <v>113</v>
      </c>
      <c r="C844" s="3">
        <v>10</v>
      </c>
      <c r="D844" s="3" t="s">
        <v>517</v>
      </c>
      <c r="E844" s="1" t="s">
        <v>518</v>
      </c>
      <c r="F844" s="21" t="s">
        <v>518</v>
      </c>
      <c r="G844" s="3" t="s">
        <v>300</v>
      </c>
      <c r="H844" s="3">
        <v>30</v>
      </c>
      <c r="I844" s="2" t="s">
        <v>2040</v>
      </c>
      <c r="J844" s="3">
        <v>2.2000000000000002</v>
      </c>
      <c r="K844" s="3">
        <v>3.1</v>
      </c>
      <c r="L844" s="23">
        <v>23</v>
      </c>
      <c r="M844" s="23">
        <v>28</v>
      </c>
      <c r="N844" s="24" t="s">
        <v>906</v>
      </c>
      <c r="O844" s="34"/>
      <c r="P844" s="31">
        <v>270</v>
      </c>
      <c r="Q844" s="31"/>
      <c r="R844" s="31"/>
      <c r="S844" s="23"/>
      <c r="T844" s="31">
        <v>90</v>
      </c>
      <c r="U844" s="31"/>
      <c r="V844" s="36"/>
      <c r="W844" s="37"/>
      <c r="X844" s="29">
        <v>14</v>
      </c>
      <c r="Y844" s="3" t="s">
        <v>30</v>
      </c>
      <c r="Z844" s="2"/>
      <c r="AA844" s="2"/>
    </row>
    <row r="845" spans="1:27" ht="23.1" customHeight="1" x14ac:dyDescent="0.25">
      <c r="A845" s="20" t="s">
        <v>870</v>
      </c>
      <c r="B845" s="3" t="s">
        <v>113</v>
      </c>
      <c r="C845" s="3">
        <v>108</v>
      </c>
      <c r="D845" s="3" t="s">
        <v>886</v>
      </c>
      <c r="E845" s="1" t="s">
        <v>887</v>
      </c>
      <c r="F845" s="21" t="s">
        <v>887</v>
      </c>
      <c r="G845" s="3" t="s">
        <v>154</v>
      </c>
      <c r="H845" s="3">
        <v>5</v>
      </c>
      <c r="I845" s="2" t="s">
        <v>1930</v>
      </c>
      <c r="J845" s="3">
        <v>1</v>
      </c>
      <c r="K845" s="3">
        <v>0.5</v>
      </c>
      <c r="L845" s="33"/>
      <c r="M845" s="23">
        <v>28</v>
      </c>
      <c r="N845" s="24" t="s">
        <v>159</v>
      </c>
      <c r="O845" s="34"/>
      <c r="P845" s="31">
        <v>660</v>
      </c>
      <c r="Q845" s="31">
        <v>60</v>
      </c>
      <c r="R845" s="31"/>
      <c r="S845" s="23"/>
      <c r="T845" s="31">
        <v>90</v>
      </c>
      <c r="U845" s="31"/>
      <c r="V845" s="36"/>
      <c r="W845" s="37"/>
      <c r="X845" s="29">
        <v>5.5</v>
      </c>
      <c r="Y845" s="3" t="s">
        <v>45</v>
      </c>
      <c r="Z845" s="2"/>
      <c r="AA845" s="2"/>
    </row>
    <row r="846" spans="1:27" ht="23.1" customHeight="1" x14ac:dyDescent="0.25">
      <c r="A846" s="20" t="s">
        <v>870</v>
      </c>
      <c r="B846" s="3" t="s">
        <v>113</v>
      </c>
      <c r="C846" s="3">
        <v>108</v>
      </c>
      <c r="D846" s="3" t="s">
        <v>889</v>
      </c>
      <c r="E846" s="1" t="s">
        <v>887</v>
      </c>
      <c r="F846" s="21" t="s">
        <v>887</v>
      </c>
      <c r="G846" s="3" t="s">
        <v>154</v>
      </c>
      <c r="H846" s="3">
        <v>10</v>
      </c>
      <c r="I846" s="2" t="s">
        <v>1916</v>
      </c>
      <c r="J846" s="3">
        <v>1</v>
      </c>
      <c r="K846" s="3">
        <v>1</v>
      </c>
      <c r="L846" s="33"/>
      <c r="M846" s="23">
        <v>28</v>
      </c>
      <c r="N846" s="24" t="s">
        <v>159</v>
      </c>
      <c r="O846" s="34"/>
      <c r="P846" s="31">
        <v>720</v>
      </c>
      <c r="Q846" s="31">
        <v>60</v>
      </c>
      <c r="R846" s="31"/>
      <c r="S846" s="23">
        <v>1</v>
      </c>
      <c r="T846" s="31">
        <v>90</v>
      </c>
      <c r="U846" s="31"/>
      <c r="V846" s="36">
        <v>1</v>
      </c>
      <c r="W846" s="37"/>
      <c r="X846" s="29">
        <v>14.5</v>
      </c>
      <c r="Y846" s="3" t="s">
        <v>45</v>
      </c>
      <c r="Z846" s="2" t="s">
        <v>907</v>
      </c>
      <c r="AA846" s="2"/>
    </row>
    <row r="847" spans="1:27" ht="23.1" customHeight="1" x14ac:dyDescent="0.25">
      <c r="A847" s="20" t="s">
        <v>870</v>
      </c>
      <c r="B847" s="3" t="s">
        <v>113</v>
      </c>
      <c r="C847" s="3">
        <v>78</v>
      </c>
      <c r="D847" s="3" t="s">
        <v>821</v>
      </c>
      <c r="E847" s="1" t="s">
        <v>822</v>
      </c>
      <c r="F847" s="21" t="s">
        <v>822</v>
      </c>
      <c r="G847" s="3" t="s">
        <v>123</v>
      </c>
      <c r="H847" s="3">
        <v>15</v>
      </c>
      <c r="I847" s="2" t="s">
        <v>2075</v>
      </c>
      <c r="J847" s="3">
        <v>0.5</v>
      </c>
      <c r="K847" s="3">
        <v>0.5</v>
      </c>
      <c r="L847" s="33"/>
      <c r="M847" s="23">
        <v>28</v>
      </c>
      <c r="N847" s="24" t="s">
        <v>410</v>
      </c>
      <c r="O847" s="34"/>
      <c r="P847" s="31">
        <v>130</v>
      </c>
      <c r="Q847" s="31">
        <v>60</v>
      </c>
      <c r="R847" s="31"/>
      <c r="S847" s="23">
        <v>2</v>
      </c>
      <c r="T847" s="31">
        <v>60</v>
      </c>
      <c r="U847" s="31"/>
      <c r="V847" s="36"/>
      <c r="W847" s="37"/>
      <c r="X847" s="29">
        <v>3.1</v>
      </c>
      <c r="Y847" s="3" t="s">
        <v>19</v>
      </c>
      <c r="Z847" s="2"/>
      <c r="AA847" s="2"/>
    </row>
    <row r="848" spans="1:27" ht="23.1" customHeight="1" x14ac:dyDescent="0.25">
      <c r="A848" s="20" t="s">
        <v>870</v>
      </c>
      <c r="B848" s="3" t="s">
        <v>113</v>
      </c>
      <c r="C848" s="3">
        <v>78</v>
      </c>
      <c r="D848" s="3" t="s">
        <v>854</v>
      </c>
      <c r="E848" s="1" t="s">
        <v>822</v>
      </c>
      <c r="F848" s="21" t="s">
        <v>822</v>
      </c>
      <c r="G848" s="3" t="s">
        <v>123</v>
      </c>
      <c r="H848" s="3">
        <v>25</v>
      </c>
      <c r="I848" s="2" t="s">
        <v>2054</v>
      </c>
      <c r="J848" s="3">
        <v>2</v>
      </c>
      <c r="K848" s="3">
        <v>2</v>
      </c>
      <c r="L848" s="23">
        <v>28</v>
      </c>
      <c r="M848" s="23">
        <v>28</v>
      </c>
      <c r="N848" s="24" t="s">
        <v>661</v>
      </c>
      <c r="O848" s="34"/>
      <c r="P848" s="31">
        <v>120</v>
      </c>
      <c r="Q848" s="31">
        <v>60</v>
      </c>
      <c r="R848" s="31"/>
      <c r="S848" s="23">
        <v>2</v>
      </c>
      <c r="T848" s="31">
        <v>60</v>
      </c>
      <c r="U848" s="31"/>
      <c r="V848" s="36"/>
      <c r="W848" s="37"/>
      <c r="X848" s="29">
        <v>6</v>
      </c>
      <c r="Y848" s="3" t="s">
        <v>19</v>
      </c>
      <c r="Z848" s="2" t="s">
        <v>908</v>
      </c>
      <c r="AA848" s="2"/>
    </row>
    <row r="849" spans="1:27" ht="23.1" customHeight="1" x14ac:dyDescent="0.25">
      <c r="A849" s="20" t="s">
        <v>870</v>
      </c>
      <c r="B849" s="3" t="s">
        <v>113</v>
      </c>
      <c r="C849" s="3">
        <v>107</v>
      </c>
      <c r="D849" s="3" t="s">
        <v>173</v>
      </c>
      <c r="E849" s="1" t="s">
        <v>174</v>
      </c>
      <c r="F849" s="21" t="s">
        <v>1246</v>
      </c>
      <c r="G849" s="3" t="s">
        <v>154</v>
      </c>
      <c r="H849" s="3">
        <v>25</v>
      </c>
      <c r="I849" s="2" t="s">
        <v>2006</v>
      </c>
      <c r="J849" s="3">
        <v>1</v>
      </c>
      <c r="K849" s="3">
        <v>1</v>
      </c>
      <c r="L849" s="33"/>
      <c r="M849" s="23">
        <v>28</v>
      </c>
      <c r="N849" s="24" t="s">
        <v>890</v>
      </c>
      <c r="O849" s="34"/>
      <c r="P849" s="31">
        <v>1050</v>
      </c>
      <c r="Q849" s="31">
        <v>90</v>
      </c>
      <c r="R849" s="31"/>
      <c r="S849" s="23">
        <v>1</v>
      </c>
      <c r="T849" s="31">
        <v>120</v>
      </c>
      <c r="U849" s="31"/>
      <c r="V849" s="36"/>
      <c r="W849" s="37"/>
      <c r="X849" s="29">
        <v>19</v>
      </c>
      <c r="Y849" s="3" t="s">
        <v>45</v>
      </c>
      <c r="Z849" s="2" t="s">
        <v>145</v>
      </c>
      <c r="AA849" s="2"/>
    </row>
    <row r="850" spans="1:27" ht="23.1" customHeight="1" x14ac:dyDescent="0.25">
      <c r="A850" s="20" t="s">
        <v>909</v>
      </c>
      <c r="B850" s="7" t="s">
        <v>110</v>
      </c>
      <c r="C850" s="7">
        <v>12</v>
      </c>
      <c r="D850" s="7" t="s">
        <v>735</v>
      </c>
      <c r="E850" s="41" t="s">
        <v>249</v>
      </c>
      <c r="F850" s="21" t="s">
        <v>249</v>
      </c>
      <c r="G850" s="7" t="s">
        <v>250</v>
      </c>
      <c r="H850" s="7">
        <v>15</v>
      </c>
      <c r="I850" s="7" t="s">
        <v>1903</v>
      </c>
      <c r="J850" s="10">
        <v>1</v>
      </c>
      <c r="K850" s="10">
        <v>1.5</v>
      </c>
      <c r="L850" s="11">
        <v>37</v>
      </c>
      <c r="M850" s="11">
        <v>23</v>
      </c>
      <c r="N850" s="12" t="s">
        <v>910</v>
      </c>
      <c r="P850" s="10">
        <v>600</v>
      </c>
      <c r="T850" s="10">
        <v>120</v>
      </c>
      <c r="X850" s="29">
        <v>15</v>
      </c>
      <c r="Y850" s="7" t="s">
        <v>10</v>
      </c>
    </row>
    <row r="851" spans="1:27" ht="23.1" customHeight="1" x14ac:dyDescent="0.25">
      <c r="A851" s="20" t="s">
        <v>909</v>
      </c>
      <c r="B851" s="7" t="s">
        <v>110</v>
      </c>
      <c r="C851" s="7">
        <v>13</v>
      </c>
      <c r="D851" s="7" t="s">
        <v>654</v>
      </c>
      <c r="E851" s="41" t="s">
        <v>246</v>
      </c>
      <c r="F851" s="21" t="s">
        <v>246</v>
      </c>
      <c r="G851" s="7" t="s">
        <v>154</v>
      </c>
      <c r="H851" s="7">
        <v>40</v>
      </c>
      <c r="I851" s="10" t="s">
        <v>1902</v>
      </c>
      <c r="J851" s="10">
        <v>3.5</v>
      </c>
      <c r="K851" s="10">
        <v>4</v>
      </c>
      <c r="L851" s="43">
        <v>9</v>
      </c>
      <c r="M851" s="43">
        <v>23</v>
      </c>
      <c r="N851" s="12" t="s">
        <v>247</v>
      </c>
      <c r="P851" s="10">
        <v>230</v>
      </c>
      <c r="T851" s="10">
        <v>60</v>
      </c>
      <c r="V851" s="45"/>
      <c r="X851" s="29">
        <v>15.3</v>
      </c>
      <c r="Y851" s="7" t="s">
        <v>10</v>
      </c>
    </row>
    <row r="852" spans="1:27" ht="23.1" customHeight="1" x14ac:dyDescent="0.25">
      <c r="A852" s="20" t="s">
        <v>909</v>
      </c>
      <c r="B852" s="7" t="s">
        <v>110</v>
      </c>
      <c r="C852" s="7">
        <v>9</v>
      </c>
      <c r="D852" s="7" t="s">
        <v>911</v>
      </c>
      <c r="E852" s="41" t="s">
        <v>912</v>
      </c>
      <c r="F852" s="21" t="s">
        <v>912</v>
      </c>
      <c r="G852" s="7" t="s">
        <v>154</v>
      </c>
      <c r="H852" s="7">
        <v>5</v>
      </c>
      <c r="I852" s="10" t="s">
        <v>2060</v>
      </c>
      <c r="J852" s="10">
        <v>12</v>
      </c>
      <c r="K852" s="10">
        <v>22</v>
      </c>
      <c r="L852" s="43">
        <v>26</v>
      </c>
      <c r="M852" s="43">
        <v>26</v>
      </c>
      <c r="N852" s="12" t="s">
        <v>913</v>
      </c>
      <c r="P852" s="10">
        <v>50</v>
      </c>
      <c r="T852" s="10">
        <v>60</v>
      </c>
      <c r="V852" s="45">
        <v>1</v>
      </c>
      <c r="X852" s="29">
        <v>19.3</v>
      </c>
      <c r="Y852" s="7" t="s">
        <v>23</v>
      </c>
    </row>
    <row r="853" spans="1:27" ht="23.1" customHeight="1" x14ac:dyDescent="0.25">
      <c r="A853" s="20" t="s">
        <v>909</v>
      </c>
      <c r="B853" s="7" t="s">
        <v>110</v>
      </c>
      <c r="C853" s="7">
        <v>10</v>
      </c>
      <c r="D853" s="7" t="s">
        <v>517</v>
      </c>
      <c r="E853" s="41" t="s">
        <v>518</v>
      </c>
      <c r="F853" s="21" t="s">
        <v>518</v>
      </c>
      <c r="G853" s="7" t="s">
        <v>300</v>
      </c>
      <c r="H853" s="7">
        <v>30</v>
      </c>
      <c r="I853" s="10" t="s">
        <v>2040</v>
      </c>
      <c r="J853" s="10">
        <v>2.2000000000000002</v>
      </c>
      <c r="K853" s="10">
        <v>2</v>
      </c>
      <c r="L853" s="43">
        <v>23</v>
      </c>
      <c r="M853" s="43">
        <v>37</v>
      </c>
      <c r="N853" s="12" t="s">
        <v>914</v>
      </c>
      <c r="P853" s="10">
        <v>270</v>
      </c>
      <c r="T853" s="10">
        <v>90</v>
      </c>
      <c r="V853" s="45"/>
      <c r="X853" s="29">
        <v>9</v>
      </c>
      <c r="Y853" s="7" t="s">
        <v>23</v>
      </c>
    </row>
    <row r="854" spans="1:27" ht="23.1" customHeight="1" x14ac:dyDescent="0.25">
      <c r="A854" s="20" t="s">
        <v>909</v>
      </c>
      <c r="B854" s="7" t="s">
        <v>110</v>
      </c>
      <c r="C854" s="7">
        <v>11</v>
      </c>
      <c r="D854" s="7" t="s">
        <v>690</v>
      </c>
      <c r="E854" s="41" t="s">
        <v>691</v>
      </c>
      <c r="F854" s="21" t="s">
        <v>691</v>
      </c>
      <c r="G854" s="7" t="s">
        <v>123</v>
      </c>
      <c r="H854" s="7">
        <v>30</v>
      </c>
      <c r="I854" s="10" t="s">
        <v>2085</v>
      </c>
      <c r="J854" s="10">
        <v>5</v>
      </c>
      <c r="K854" s="10">
        <v>2</v>
      </c>
      <c r="L854" s="43">
        <v>37</v>
      </c>
      <c r="M854" s="43">
        <v>37</v>
      </c>
      <c r="N854" s="12" t="s">
        <v>915</v>
      </c>
      <c r="P854" s="10">
        <v>100</v>
      </c>
      <c r="T854" s="10">
        <v>60</v>
      </c>
      <c r="V854" s="45"/>
      <c r="X854" s="29">
        <v>3.3</v>
      </c>
      <c r="Y854" s="7" t="s">
        <v>71</v>
      </c>
    </row>
    <row r="855" spans="1:27" ht="23.1" customHeight="1" x14ac:dyDescent="0.25">
      <c r="A855" s="20" t="s">
        <v>909</v>
      </c>
      <c r="B855" s="7" t="s">
        <v>110</v>
      </c>
      <c r="C855" s="7">
        <v>11</v>
      </c>
      <c r="D855" s="7" t="s">
        <v>690</v>
      </c>
      <c r="E855" s="41" t="s">
        <v>691</v>
      </c>
      <c r="F855" s="21" t="s">
        <v>691</v>
      </c>
      <c r="G855" s="7" t="s">
        <v>123</v>
      </c>
      <c r="H855" s="7">
        <v>35</v>
      </c>
      <c r="I855" s="10" t="s">
        <v>2086</v>
      </c>
      <c r="J855" s="10">
        <v>0</v>
      </c>
      <c r="K855" s="10">
        <v>0.7</v>
      </c>
      <c r="L855" s="43">
        <v>23</v>
      </c>
      <c r="M855" s="43"/>
      <c r="N855" s="12" t="s">
        <v>703</v>
      </c>
      <c r="P855" s="10">
        <v>410</v>
      </c>
      <c r="T855" s="10">
        <v>90</v>
      </c>
      <c r="V855" s="45">
        <v>1</v>
      </c>
      <c r="X855" s="29">
        <v>6.3</v>
      </c>
      <c r="Y855" s="7" t="s">
        <v>71</v>
      </c>
    </row>
    <row r="856" spans="1:27" ht="23.1" customHeight="1" x14ac:dyDescent="0.25">
      <c r="A856" s="20" t="s">
        <v>909</v>
      </c>
      <c r="B856" s="7" t="s">
        <v>110</v>
      </c>
      <c r="C856" s="7">
        <v>16</v>
      </c>
      <c r="D856" s="7" t="s">
        <v>892</v>
      </c>
      <c r="E856" s="41" t="s">
        <v>893</v>
      </c>
      <c r="F856" s="21" t="s">
        <v>893</v>
      </c>
      <c r="G856" s="7" t="s">
        <v>102</v>
      </c>
      <c r="H856" s="7">
        <v>20</v>
      </c>
      <c r="I856" s="10" t="s">
        <v>2217</v>
      </c>
      <c r="J856" s="10">
        <v>22</v>
      </c>
      <c r="K856" s="10">
        <v>3</v>
      </c>
      <c r="L856" s="43">
        <v>26</v>
      </c>
      <c r="M856" s="43">
        <v>26</v>
      </c>
      <c r="N856" s="12" t="s">
        <v>596</v>
      </c>
      <c r="P856" s="10">
        <v>25</v>
      </c>
      <c r="T856" s="10">
        <v>60</v>
      </c>
      <c r="V856" s="45"/>
      <c r="X856" s="29">
        <v>1.3</v>
      </c>
      <c r="Y856" s="7" t="s">
        <v>71</v>
      </c>
    </row>
    <row r="857" spans="1:27" ht="23.1" customHeight="1" x14ac:dyDescent="0.25">
      <c r="A857" s="20" t="s">
        <v>909</v>
      </c>
      <c r="B857" s="7" t="s">
        <v>110</v>
      </c>
      <c r="C857" s="7">
        <v>17</v>
      </c>
      <c r="D857" s="7" t="s">
        <v>916</v>
      </c>
      <c r="E857" s="41" t="s">
        <v>917</v>
      </c>
      <c r="F857" s="21" t="s">
        <v>917</v>
      </c>
      <c r="G857" s="7" t="s">
        <v>250</v>
      </c>
      <c r="H857" s="7">
        <v>10</v>
      </c>
      <c r="I857" s="10" t="s">
        <v>1916</v>
      </c>
      <c r="K857" s="10">
        <v>20</v>
      </c>
      <c r="L857" s="43">
        <v>9</v>
      </c>
      <c r="M857" s="43">
        <v>9</v>
      </c>
      <c r="N857" s="12" t="s">
        <v>247</v>
      </c>
      <c r="P857" s="10">
        <v>30</v>
      </c>
      <c r="T857" s="10">
        <v>60</v>
      </c>
      <c r="V857" s="45">
        <v>1</v>
      </c>
      <c r="X857" s="29">
        <v>11</v>
      </c>
      <c r="Y857" s="7" t="s">
        <v>14</v>
      </c>
    </row>
    <row r="858" spans="1:27" ht="23.1" customHeight="1" x14ac:dyDescent="0.25">
      <c r="A858" s="20" t="s">
        <v>909</v>
      </c>
      <c r="B858" s="7" t="s">
        <v>110</v>
      </c>
      <c r="C858" s="7">
        <v>17</v>
      </c>
      <c r="D858" s="7" t="s">
        <v>916</v>
      </c>
      <c r="E858" s="41" t="s">
        <v>917</v>
      </c>
      <c r="F858" s="21" t="s">
        <v>917</v>
      </c>
      <c r="G858" s="7" t="s">
        <v>250</v>
      </c>
      <c r="H858" s="7">
        <v>15</v>
      </c>
      <c r="I858" s="10" t="s">
        <v>2088</v>
      </c>
      <c r="K858" s="10">
        <v>10</v>
      </c>
      <c r="L858" s="43">
        <v>26</v>
      </c>
      <c r="M858" s="43">
        <v>5</v>
      </c>
      <c r="N858" s="12" t="s">
        <v>247</v>
      </c>
      <c r="P858" s="10">
        <v>45</v>
      </c>
      <c r="T858" s="10">
        <v>60</v>
      </c>
      <c r="V858" s="45">
        <v>1</v>
      </c>
      <c r="X858" s="29">
        <v>8.5</v>
      </c>
      <c r="Y858" s="7" t="s">
        <v>14</v>
      </c>
    </row>
    <row r="859" spans="1:27" ht="23.1" customHeight="1" x14ac:dyDescent="0.25">
      <c r="A859" s="20" t="s">
        <v>909</v>
      </c>
      <c r="B859" s="7" t="s">
        <v>110</v>
      </c>
      <c r="C859" s="7">
        <v>18</v>
      </c>
      <c r="D859" s="7" t="s">
        <v>918</v>
      </c>
      <c r="E859" s="41" t="s">
        <v>919</v>
      </c>
      <c r="F859" s="21" t="s">
        <v>919</v>
      </c>
      <c r="G859" s="7" t="s">
        <v>323</v>
      </c>
      <c r="H859" s="7">
        <v>5</v>
      </c>
      <c r="I859" s="10" t="s">
        <v>1930</v>
      </c>
      <c r="J859" s="10">
        <v>5</v>
      </c>
      <c r="K859" s="10">
        <v>10</v>
      </c>
      <c r="L859" s="43">
        <v>19</v>
      </c>
      <c r="M859" s="43">
        <v>19</v>
      </c>
      <c r="N859" s="12" t="s">
        <v>778</v>
      </c>
      <c r="P859" s="10">
        <v>40</v>
      </c>
      <c r="T859" s="10">
        <v>60</v>
      </c>
      <c r="V859" s="45">
        <v>1</v>
      </c>
      <c r="X859" s="29">
        <v>7.7</v>
      </c>
      <c r="Y859" s="7" t="s">
        <v>14</v>
      </c>
    </row>
    <row r="860" spans="1:27" ht="23.1" customHeight="1" x14ac:dyDescent="0.25">
      <c r="A860" s="20" t="s">
        <v>909</v>
      </c>
      <c r="B860" s="7" t="s">
        <v>110</v>
      </c>
      <c r="C860" s="7">
        <v>18</v>
      </c>
      <c r="D860" s="7" t="s">
        <v>920</v>
      </c>
      <c r="E860" s="41" t="s">
        <v>919</v>
      </c>
      <c r="F860" s="21" t="s">
        <v>919</v>
      </c>
      <c r="G860" s="7" t="s">
        <v>323</v>
      </c>
      <c r="H860" s="7">
        <v>5</v>
      </c>
      <c r="I860" s="10" t="s">
        <v>1930</v>
      </c>
      <c r="J860" s="10">
        <v>5</v>
      </c>
      <c r="K860" s="10">
        <v>10</v>
      </c>
      <c r="L860" s="43">
        <v>19</v>
      </c>
      <c r="M860" s="43">
        <v>19</v>
      </c>
      <c r="N860" s="12" t="s">
        <v>860</v>
      </c>
      <c r="P860" s="10">
        <v>40</v>
      </c>
      <c r="T860" s="10">
        <v>60</v>
      </c>
      <c r="V860" s="45">
        <v>1</v>
      </c>
      <c r="X860" s="29">
        <v>7.7</v>
      </c>
      <c r="Y860" s="7" t="s">
        <v>14</v>
      </c>
    </row>
    <row r="861" spans="1:27" ht="23.1" customHeight="1" x14ac:dyDescent="0.25">
      <c r="A861" s="20" t="s">
        <v>909</v>
      </c>
      <c r="B861" s="7" t="s">
        <v>110</v>
      </c>
      <c r="C861" s="7">
        <v>18</v>
      </c>
      <c r="D861" s="7" t="s">
        <v>921</v>
      </c>
      <c r="E861" s="41" t="s">
        <v>919</v>
      </c>
      <c r="F861" s="21" t="s">
        <v>919</v>
      </c>
      <c r="G861" s="7" t="s">
        <v>323</v>
      </c>
      <c r="H861" s="7">
        <v>5</v>
      </c>
      <c r="I861" s="10" t="s">
        <v>1930</v>
      </c>
      <c r="J861" s="10">
        <v>1</v>
      </c>
      <c r="K861" s="10">
        <v>10</v>
      </c>
      <c r="L861" s="43">
        <v>19</v>
      </c>
      <c r="M861" s="43">
        <v>19</v>
      </c>
      <c r="N861" s="12" t="s">
        <v>780</v>
      </c>
      <c r="P861" s="10">
        <v>40</v>
      </c>
      <c r="T861" s="10">
        <v>60</v>
      </c>
      <c r="V861" s="45">
        <v>1</v>
      </c>
      <c r="X861" s="29">
        <v>7.7</v>
      </c>
      <c r="Y861" s="7" t="s">
        <v>14</v>
      </c>
    </row>
    <row r="862" spans="1:27" ht="23.1" customHeight="1" x14ac:dyDescent="0.25">
      <c r="A862" s="20" t="s">
        <v>909</v>
      </c>
      <c r="B862" s="7" t="s">
        <v>110</v>
      </c>
      <c r="C862" s="7">
        <v>56</v>
      </c>
      <c r="D862" s="7" t="s">
        <v>273</v>
      </c>
      <c r="E862" s="41" t="s">
        <v>274</v>
      </c>
      <c r="F862" s="21" t="s">
        <v>274</v>
      </c>
      <c r="I862" s="10"/>
      <c r="L862" s="43"/>
      <c r="M862" s="43"/>
      <c r="N862" s="12" t="s">
        <v>275</v>
      </c>
      <c r="V862" s="45"/>
      <c r="W862" s="14">
        <v>10</v>
      </c>
      <c r="X862" s="29">
        <v>10</v>
      </c>
      <c r="Y862" s="7" t="s">
        <v>18</v>
      </c>
      <c r="Z862" t="s">
        <v>922</v>
      </c>
      <c r="AA862" t="s">
        <v>238</v>
      </c>
    </row>
    <row r="863" spans="1:27" ht="23.1" customHeight="1" x14ac:dyDescent="0.25">
      <c r="A863" s="20" t="s">
        <v>909</v>
      </c>
      <c r="B863" s="7" t="s">
        <v>110</v>
      </c>
      <c r="C863" s="7">
        <v>55</v>
      </c>
      <c r="D863" s="7" t="s">
        <v>923</v>
      </c>
      <c r="E863" s="41" t="s">
        <v>139</v>
      </c>
      <c r="F863" s="21" t="s">
        <v>139</v>
      </c>
      <c r="G863" s="7" t="s">
        <v>250</v>
      </c>
      <c r="H863" s="7">
        <v>15</v>
      </c>
      <c r="I863" s="10" t="s">
        <v>1946</v>
      </c>
      <c r="J863" s="10">
        <v>22</v>
      </c>
      <c r="K863" s="10">
        <v>16</v>
      </c>
      <c r="L863" s="43">
        <v>5</v>
      </c>
      <c r="M863" s="43">
        <v>5</v>
      </c>
      <c r="N863" s="12" t="s">
        <v>131</v>
      </c>
      <c r="P863" s="10">
        <v>45</v>
      </c>
      <c r="T863" s="10">
        <v>60</v>
      </c>
      <c r="V863" s="45"/>
      <c r="X863" s="29">
        <v>12</v>
      </c>
      <c r="Y863" s="7" t="s">
        <v>18</v>
      </c>
    </row>
    <row r="864" spans="1:27" ht="23.1" customHeight="1" x14ac:dyDescent="0.25">
      <c r="A864" s="20" t="s">
        <v>909</v>
      </c>
      <c r="B864" s="7" t="s">
        <v>110</v>
      </c>
      <c r="C864" s="7">
        <v>55</v>
      </c>
      <c r="D864" s="7" t="s">
        <v>923</v>
      </c>
      <c r="E864" s="41" t="s">
        <v>139</v>
      </c>
      <c r="F864" s="21" t="s">
        <v>139</v>
      </c>
      <c r="G864" s="7" t="s">
        <v>250</v>
      </c>
      <c r="H864" s="7">
        <v>20</v>
      </c>
      <c r="I864" s="10" t="s">
        <v>2089</v>
      </c>
      <c r="J864" s="10">
        <v>22</v>
      </c>
      <c r="K864" s="10">
        <v>22</v>
      </c>
      <c r="L864" s="43">
        <v>5</v>
      </c>
      <c r="M864" s="43">
        <v>5</v>
      </c>
      <c r="N864" s="12" t="s">
        <v>131</v>
      </c>
      <c r="P864" s="10">
        <v>10</v>
      </c>
      <c r="V864" s="45"/>
      <c r="X864" s="29">
        <v>3.7</v>
      </c>
      <c r="Y864" s="7" t="s">
        <v>18</v>
      </c>
    </row>
    <row r="865" spans="1:27" ht="23.1" customHeight="1" x14ac:dyDescent="0.25">
      <c r="A865" s="20" t="s">
        <v>909</v>
      </c>
      <c r="B865" s="7" t="s">
        <v>110</v>
      </c>
      <c r="C865" s="7">
        <v>57</v>
      </c>
      <c r="D865" s="7" t="s">
        <v>698</v>
      </c>
      <c r="E865" s="41" t="s">
        <v>699</v>
      </c>
      <c r="F865" s="21" t="e">
        <v>#N/A</v>
      </c>
      <c r="G865" s="7" t="s">
        <v>123</v>
      </c>
      <c r="H865" s="7">
        <v>20</v>
      </c>
      <c r="I865" s="10" t="s">
        <v>2076</v>
      </c>
      <c r="J865" s="10">
        <v>3.5</v>
      </c>
      <c r="K865" s="10">
        <v>3.7</v>
      </c>
      <c r="L865" s="43">
        <v>9</v>
      </c>
      <c r="M865" s="43">
        <v>9</v>
      </c>
      <c r="N865" s="12" t="s">
        <v>509</v>
      </c>
      <c r="P865" s="10">
        <v>210</v>
      </c>
      <c r="T865" s="10">
        <v>90</v>
      </c>
      <c r="V865" s="45"/>
      <c r="X865" s="29">
        <v>13</v>
      </c>
      <c r="Y865" s="7" t="s">
        <v>0</v>
      </c>
    </row>
    <row r="866" spans="1:27" ht="23.1" customHeight="1" x14ac:dyDescent="0.25">
      <c r="A866" s="20" t="s">
        <v>909</v>
      </c>
      <c r="B866" s="7" t="s">
        <v>110</v>
      </c>
      <c r="C866" s="7">
        <v>58</v>
      </c>
      <c r="D866" s="7" t="s">
        <v>899</v>
      </c>
      <c r="E866" s="41" t="s">
        <v>409</v>
      </c>
      <c r="F866" s="21" t="s">
        <v>409</v>
      </c>
      <c r="G866" s="7" t="s">
        <v>102</v>
      </c>
      <c r="H866" s="7">
        <v>30</v>
      </c>
      <c r="I866" s="44" t="s">
        <v>1992</v>
      </c>
      <c r="J866" s="10">
        <v>1</v>
      </c>
      <c r="K866" s="10">
        <v>1</v>
      </c>
      <c r="L866" s="43">
        <v>9</v>
      </c>
      <c r="M866" s="43">
        <v>23</v>
      </c>
      <c r="N866" s="12" t="s">
        <v>596</v>
      </c>
      <c r="P866" s="10">
        <v>120</v>
      </c>
      <c r="T866" s="10">
        <v>60</v>
      </c>
      <c r="V866" s="45">
        <v>1</v>
      </c>
      <c r="X866" s="29">
        <v>3</v>
      </c>
      <c r="Y866" s="7" t="s">
        <v>0</v>
      </c>
      <c r="AA866" s="1"/>
    </row>
    <row r="867" spans="1:27" ht="23.1" customHeight="1" x14ac:dyDescent="0.25">
      <c r="A867" s="20" t="s">
        <v>909</v>
      </c>
      <c r="B867" s="7" t="s">
        <v>110</v>
      </c>
      <c r="C867" s="7">
        <v>58</v>
      </c>
      <c r="D867" s="7" t="s">
        <v>899</v>
      </c>
      <c r="E867" s="41" t="s">
        <v>409</v>
      </c>
      <c r="F867" s="21" t="s">
        <v>409</v>
      </c>
      <c r="G867" s="7" t="s">
        <v>102</v>
      </c>
      <c r="H867" s="7">
        <v>30</v>
      </c>
      <c r="I867" s="44" t="s">
        <v>1992</v>
      </c>
      <c r="J867" s="10">
        <v>1</v>
      </c>
      <c r="K867" s="10">
        <v>0.4</v>
      </c>
      <c r="L867" s="43">
        <v>9</v>
      </c>
      <c r="M867" s="43">
        <v>23</v>
      </c>
      <c r="N867" s="12" t="s">
        <v>596</v>
      </c>
      <c r="P867" s="10">
        <v>120</v>
      </c>
      <c r="T867" s="10">
        <v>60</v>
      </c>
      <c r="V867" s="45">
        <v>1</v>
      </c>
      <c r="X867" s="29">
        <v>1.8</v>
      </c>
      <c r="Y867" s="7" t="s">
        <v>0</v>
      </c>
      <c r="AA867" s="1"/>
    </row>
    <row r="868" spans="1:27" ht="23.1" customHeight="1" x14ac:dyDescent="0.25">
      <c r="A868" s="20" t="s">
        <v>909</v>
      </c>
      <c r="B868" s="7" t="s">
        <v>110</v>
      </c>
      <c r="C868" s="7">
        <v>59</v>
      </c>
      <c r="D868" s="7" t="s">
        <v>924</v>
      </c>
      <c r="E868" s="41" t="s">
        <v>409</v>
      </c>
      <c r="F868" s="21" t="s">
        <v>409</v>
      </c>
      <c r="G868" s="7" t="s">
        <v>102</v>
      </c>
      <c r="H868" s="7">
        <v>10</v>
      </c>
      <c r="I868" s="10" t="s">
        <v>2090</v>
      </c>
      <c r="J868" s="10">
        <v>8</v>
      </c>
      <c r="K868" s="10">
        <v>8</v>
      </c>
      <c r="L868" s="43">
        <v>26</v>
      </c>
      <c r="M868" s="43">
        <v>9</v>
      </c>
      <c r="N868" s="12" t="s">
        <v>925</v>
      </c>
      <c r="P868" s="10">
        <v>45</v>
      </c>
      <c r="T868" s="10">
        <v>60</v>
      </c>
      <c r="V868" s="45">
        <v>1</v>
      </c>
      <c r="W868" s="14">
        <v>2</v>
      </c>
      <c r="X868" s="29">
        <v>9</v>
      </c>
      <c r="Y868" s="7" t="s">
        <v>6</v>
      </c>
      <c r="Z868" t="s">
        <v>926</v>
      </c>
      <c r="AA868" s="1" t="s">
        <v>238</v>
      </c>
    </row>
    <row r="869" spans="1:27" ht="23.1" customHeight="1" x14ac:dyDescent="0.25">
      <c r="A869" s="20" t="s">
        <v>909</v>
      </c>
      <c r="B869" s="7" t="s">
        <v>110</v>
      </c>
      <c r="C869" s="7">
        <v>59</v>
      </c>
      <c r="D869" s="7" t="s">
        <v>924</v>
      </c>
      <c r="E869" s="41" t="s">
        <v>409</v>
      </c>
      <c r="F869" s="21" t="s">
        <v>409</v>
      </c>
      <c r="G869" s="7" t="s">
        <v>102</v>
      </c>
      <c r="H869" s="7">
        <v>15</v>
      </c>
      <c r="I869" s="10" t="s">
        <v>2091</v>
      </c>
      <c r="J869" s="10">
        <v>2</v>
      </c>
      <c r="K869" s="10">
        <v>5</v>
      </c>
      <c r="L869" s="43">
        <v>26</v>
      </c>
      <c r="M869" s="43">
        <v>26</v>
      </c>
      <c r="N869" s="12" t="s">
        <v>925</v>
      </c>
      <c r="P869" s="10">
        <v>45</v>
      </c>
      <c r="T869" s="10">
        <v>60</v>
      </c>
      <c r="V869" s="45">
        <v>1</v>
      </c>
      <c r="W869" s="14">
        <v>2</v>
      </c>
      <c r="X869" s="29">
        <v>6.8</v>
      </c>
      <c r="Y869" s="7" t="s">
        <v>6</v>
      </c>
      <c r="Z869" t="s">
        <v>926</v>
      </c>
      <c r="AA869" s="1" t="s">
        <v>238</v>
      </c>
    </row>
    <row r="870" spans="1:27" ht="23.1" customHeight="1" x14ac:dyDescent="0.25">
      <c r="A870" s="20" t="s">
        <v>909</v>
      </c>
      <c r="B870" s="7" t="s">
        <v>110</v>
      </c>
      <c r="C870" s="7">
        <v>77</v>
      </c>
      <c r="D870" s="7" t="s">
        <v>211</v>
      </c>
      <c r="E870" s="41" t="s">
        <v>212</v>
      </c>
      <c r="F870" s="21" t="s">
        <v>212</v>
      </c>
      <c r="G870" s="7" t="s">
        <v>123</v>
      </c>
      <c r="H870" s="7">
        <v>30</v>
      </c>
      <c r="I870" s="10" t="s">
        <v>2081</v>
      </c>
      <c r="J870" s="10">
        <v>30</v>
      </c>
      <c r="K870" s="10">
        <v>20</v>
      </c>
      <c r="L870" s="43">
        <v>9</v>
      </c>
      <c r="M870" s="43">
        <v>19</v>
      </c>
      <c r="N870" s="12" t="s">
        <v>927</v>
      </c>
      <c r="P870" s="10">
        <v>25</v>
      </c>
      <c r="T870" s="10">
        <v>60</v>
      </c>
      <c r="V870" s="45"/>
      <c r="X870" s="29">
        <v>8.3000000000000007</v>
      </c>
      <c r="Y870" s="7" t="s">
        <v>12</v>
      </c>
    </row>
    <row r="871" spans="1:27" ht="23.1" customHeight="1" x14ac:dyDescent="0.25">
      <c r="A871" s="20" t="s">
        <v>909</v>
      </c>
      <c r="B871" s="7" t="s">
        <v>110</v>
      </c>
      <c r="C871" s="7">
        <v>78</v>
      </c>
      <c r="D871" s="7" t="s">
        <v>821</v>
      </c>
      <c r="E871" s="41" t="s">
        <v>822</v>
      </c>
      <c r="F871" s="21" t="s">
        <v>822</v>
      </c>
      <c r="G871" s="7" t="s">
        <v>123</v>
      </c>
      <c r="H871" s="7">
        <v>30</v>
      </c>
      <c r="I871" s="10" t="s">
        <v>2092</v>
      </c>
      <c r="J871" s="10">
        <v>2</v>
      </c>
      <c r="K871" s="10">
        <v>2</v>
      </c>
      <c r="L871" s="43">
        <v>26</v>
      </c>
      <c r="M871" s="43">
        <v>26</v>
      </c>
      <c r="N871" s="12" t="s">
        <v>393</v>
      </c>
      <c r="P871" s="10">
        <v>180</v>
      </c>
      <c r="Q871" s="10">
        <v>60</v>
      </c>
      <c r="S871" s="11">
        <v>2</v>
      </c>
      <c r="T871" s="10">
        <v>90</v>
      </c>
      <c r="V871" s="45">
        <v>1</v>
      </c>
      <c r="X871" s="29">
        <v>9.5</v>
      </c>
      <c r="Y871" s="7" t="s">
        <v>5</v>
      </c>
    </row>
    <row r="872" spans="1:27" ht="23.1" customHeight="1" x14ac:dyDescent="0.25">
      <c r="A872" s="20" t="s">
        <v>909</v>
      </c>
      <c r="B872" s="7" t="s">
        <v>110</v>
      </c>
      <c r="C872" s="7">
        <v>78</v>
      </c>
      <c r="D872" s="7" t="s">
        <v>854</v>
      </c>
      <c r="E872" s="41" t="s">
        <v>822</v>
      </c>
      <c r="F872" s="21" t="s">
        <v>822</v>
      </c>
      <c r="G872" s="7" t="s">
        <v>123</v>
      </c>
      <c r="H872" s="7">
        <v>30</v>
      </c>
      <c r="I872" s="10" t="s">
        <v>2092</v>
      </c>
      <c r="J872" s="10">
        <v>0.5</v>
      </c>
      <c r="K872" s="10">
        <v>2</v>
      </c>
      <c r="L872" s="43">
        <v>37</v>
      </c>
      <c r="M872" s="43">
        <v>23</v>
      </c>
      <c r="N872" s="12" t="s">
        <v>661</v>
      </c>
      <c r="P872" s="10">
        <v>180</v>
      </c>
      <c r="Q872" s="10">
        <v>60</v>
      </c>
      <c r="S872" s="11">
        <v>2</v>
      </c>
      <c r="T872" s="10">
        <v>90</v>
      </c>
      <c r="V872" s="45">
        <v>1</v>
      </c>
      <c r="W872" s="10">
        <v>2</v>
      </c>
      <c r="X872" s="29">
        <v>11.5</v>
      </c>
      <c r="Y872" s="7" t="s">
        <v>5</v>
      </c>
      <c r="Z872" t="s">
        <v>926</v>
      </c>
      <c r="AA872" s="1" t="s">
        <v>238</v>
      </c>
    </row>
    <row r="873" spans="1:27" ht="23.1" customHeight="1" x14ac:dyDescent="0.25">
      <c r="A873" s="20" t="s">
        <v>909</v>
      </c>
      <c r="B873" s="7" t="s">
        <v>110</v>
      </c>
      <c r="C873" s="7">
        <v>79</v>
      </c>
      <c r="D873" s="7" t="s">
        <v>152</v>
      </c>
      <c r="E873" s="41" t="s">
        <v>153</v>
      </c>
      <c r="F873" s="21" t="s">
        <v>1247</v>
      </c>
      <c r="G873" s="7" t="s">
        <v>154</v>
      </c>
      <c r="H873" s="7">
        <v>25</v>
      </c>
      <c r="I873" s="10" t="s">
        <v>2017</v>
      </c>
      <c r="J873" s="10">
        <v>0.7</v>
      </c>
      <c r="K873" s="10">
        <v>0.7</v>
      </c>
      <c r="L873" s="43">
        <v>23</v>
      </c>
      <c r="M873" s="43"/>
      <c r="N873" s="12" t="s">
        <v>421</v>
      </c>
      <c r="P873" s="10">
        <v>1260</v>
      </c>
      <c r="Q873" s="10">
        <v>90</v>
      </c>
      <c r="T873" s="10">
        <v>120</v>
      </c>
      <c r="V873" s="45"/>
      <c r="X873" s="29">
        <v>14.7</v>
      </c>
      <c r="Y873" s="7" t="s">
        <v>5</v>
      </c>
    </row>
    <row r="874" spans="1:27" ht="23.1" customHeight="1" x14ac:dyDescent="0.25">
      <c r="A874" s="20" t="s">
        <v>909</v>
      </c>
      <c r="B874" s="7" t="s">
        <v>110</v>
      </c>
      <c r="C874" s="7">
        <v>107</v>
      </c>
      <c r="D874" s="7" t="s">
        <v>173</v>
      </c>
      <c r="E874" s="41" t="s">
        <v>174</v>
      </c>
      <c r="F874" s="21" t="s">
        <v>1246</v>
      </c>
      <c r="G874" s="7" t="s">
        <v>154</v>
      </c>
      <c r="H874" s="7">
        <v>40</v>
      </c>
      <c r="I874" s="10" t="s">
        <v>2093</v>
      </c>
      <c r="J874" s="10">
        <v>1</v>
      </c>
      <c r="K874" s="10">
        <v>3</v>
      </c>
      <c r="L874" s="43">
        <v>26</v>
      </c>
      <c r="M874" s="43">
        <v>26</v>
      </c>
      <c r="N874" s="12" t="s">
        <v>928</v>
      </c>
      <c r="P874" s="10">
        <v>240</v>
      </c>
      <c r="Q874" s="10">
        <v>90</v>
      </c>
      <c r="S874" s="11">
        <v>3</v>
      </c>
      <c r="T874" s="10">
        <v>120</v>
      </c>
      <c r="V874" s="45">
        <v>1</v>
      </c>
      <c r="W874" s="10">
        <v>2</v>
      </c>
      <c r="X874" s="29">
        <v>20.5</v>
      </c>
      <c r="Y874" s="7" t="s">
        <v>13</v>
      </c>
      <c r="Z874" t="s">
        <v>929</v>
      </c>
      <c r="AA874" s="1" t="s">
        <v>238</v>
      </c>
    </row>
    <row r="875" spans="1:27" ht="23.1" customHeight="1" x14ac:dyDescent="0.25">
      <c r="A875" s="20" t="s">
        <v>909</v>
      </c>
      <c r="B875" s="7" t="s">
        <v>110</v>
      </c>
      <c r="C875" s="7">
        <v>108</v>
      </c>
      <c r="D875" s="7" t="s">
        <v>886</v>
      </c>
      <c r="E875" s="41" t="s">
        <v>887</v>
      </c>
      <c r="F875" s="21" t="s">
        <v>887</v>
      </c>
      <c r="G875" s="7" t="s">
        <v>154</v>
      </c>
      <c r="H875" s="7">
        <v>10</v>
      </c>
      <c r="I875" s="10" t="s">
        <v>2315</v>
      </c>
      <c r="J875" s="10">
        <v>1</v>
      </c>
      <c r="K875" s="10">
        <v>1</v>
      </c>
      <c r="L875" s="43">
        <v>23</v>
      </c>
      <c r="M875" s="43"/>
      <c r="N875" s="12" t="s">
        <v>930</v>
      </c>
      <c r="P875" s="10">
        <v>720</v>
      </c>
      <c r="Q875" s="10">
        <v>60</v>
      </c>
      <c r="S875" s="11">
        <v>1</v>
      </c>
      <c r="T875" s="10">
        <v>90</v>
      </c>
      <c r="V875" s="45"/>
      <c r="X875" s="29">
        <v>13</v>
      </c>
      <c r="Y875" s="7" t="s">
        <v>13</v>
      </c>
    </row>
    <row r="876" spans="1:27" ht="23.1" customHeight="1" x14ac:dyDescent="0.25">
      <c r="A876" s="20" t="s">
        <v>909</v>
      </c>
      <c r="B876" s="7" t="s">
        <v>110</v>
      </c>
      <c r="C876" s="7">
        <v>108</v>
      </c>
      <c r="D876" s="7" t="s">
        <v>889</v>
      </c>
      <c r="E876" s="41" t="s">
        <v>887</v>
      </c>
      <c r="F876" s="21" t="s">
        <v>887</v>
      </c>
      <c r="G876" s="7" t="s">
        <v>154</v>
      </c>
      <c r="H876" s="7">
        <v>10</v>
      </c>
      <c r="I876" s="10" t="s">
        <v>1916</v>
      </c>
      <c r="J876" s="10">
        <v>1</v>
      </c>
      <c r="K876" s="10">
        <v>1</v>
      </c>
      <c r="L876" s="43">
        <v>26</v>
      </c>
      <c r="M876" s="43"/>
      <c r="N876" s="12" t="s">
        <v>930</v>
      </c>
      <c r="P876" s="10">
        <v>720</v>
      </c>
      <c r="Q876" s="10">
        <v>60</v>
      </c>
      <c r="S876" s="11">
        <v>1</v>
      </c>
      <c r="T876" s="10">
        <v>90</v>
      </c>
      <c r="V876" s="45"/>
      <c r="X876" s="29">
        <v>13</v>
      </c>
      <c r="Y876" s="7" t="s">
        <v>13</v>
      </c>
    </row>
    <row r="877" spans="1:27" ht="23.1" customHeight="1" x14ac:dyDescent="0.25">
      <c r="A877" s="20" t="s">
        <v>909</v>
      </c>
      <c r="B877" s="7" t="s">
        <v>110</v>
      </c>
      <c r="C877" s="7">
        <v>91</v>
      </c>
      <c r="D877" s="7" t="s">
        <v>931</v>
      </c>
      <c r="E877" s="41" t="s">
        <v>932</v>
      </c>
      <c r="F877" s="21" t="s">
        <v>932</v>
      </c>
      <c r="G877" s="7" t="s">
        <v>154</v>
      </c>
      <c r="H877" s="7">
        <v>60</v>
      </c>
      <c r="I877" s="10" t="s">
        <v>2095</v>
      </c>
      <c r="J877" s="10">
        <v>0.5</v>
      </c>
      <c r="K877" s="10">
        <v>0.5</v>
      </c>
      <c r="L877" s="43">
        <v>23</v>
      </c>
      <c r="M877" s="43"/>
      <c r="N877" s="12" t="s">
        <v>930</v>
      </c>
      <c r="P877" s="10">
        <v>1000</v>
      </c>
      <c r="S877" s="11">
        <v>1</v>
      </c>
      <c r="T877" s="10">
        <v>90</v>
      </c>
      <c r="V877" s="45">
        <v>1</v>
      </c>
      <c r="W877" s="10">
        <v>3</v>
      </c>
      <c r="X877" s="29">
        <v>12.8</v>
      </c>
      <c r="Y877" s="7" t="s">
        <v>68</v>
      </c>
      <c r="Z877" t="s">
        <v>933</v>
      </c>
    </row>
    <row r="878" spans="1:27" ht="23.1" customHeight="1" x14ac:dyDescent="0.25">
      <c r="A878" s="20" t="s">
        <v>909</v>
      </c>
      <c r="B878" s="7" t="s">
        <v>110</v>
      </c>
      <c r="C878" s="7">
        <v>84</v>
      </c>
      <c r="D878" s="42" t="s">
        <v>423</v>
      </c>
      <c r="E878" s="41" t="s">
        <v>424</v>
      </c>
      <c r="F878" s="21" t="s">
        <v>424</v>
      </c>
      <c r="G878" s="7" t="s">
        <v>107</v>
      </c>
      <c r="H878" s="7">
        <v>38</v>
      </c>
      <c r="I878" s="10"/>
      <c r="J878" s="10">
        <v>3</v>
      </c>
      <c r="K878" s="10">
        <v>3</v>
      </c>
      <c r="L878" s="43">
        <v>5</v>
      </c>
      <c r="M878" s="43">
        <v>5</v>
      </c>
      <c r="N878" s="12" t="s">
        <v>934</v>
      </c>
      <c r="O878" s="10">
        <v>90</v>
      </c>
      <c r="R878" s="10">
        <v>30</v>
      </c>
      <c r="S878" s="11">
        <v>3</v>
      </c>
      <c r="U878" s="10">
        <v>120</v>
      </c>
      <c r="V878" s="45">
        <v>1</v>
      </c>
      <c r="X878" s="32">
        <v>8</v>
      </c>
      <c r="Y878" s="7" t="s">
        <v>68</v>
      </c>
    </row>
    <row r="879" spans="1:27" ht="23.1" customHeight="1" x14ac:dyDescent="0.25">
      <c r="A879" s="20" t="s">
        <v>909</v>
      </c>
      <c r="B879" s="7" t="s">
        <v>110</v>
      </c>
      <c r="C879" s="7">
        <v>84</v>
      </c>
      <c r="D879" s="7" t="s">
        <v>423</v>
      </c>
      <c r="E879" s="41" t="s">
        <v>424</v>
      </c>
      <c r="F879" s="21" t="s">
        <v>424</v>
      </c>
      <c r="G879" s="7" t="s">
        <v>107</v>
      </c>
      <c r="H879" s="7">
        <v>40</v>
      </c>
      <c r="I879" s="10" t="s">
        <v>2096</v>
      </c>
      <c r="J879" s="10">
        <v>3</v>
      </c>
      <c r="K879" s="10">
        <v>3</v>
      </c>
      <c r="L879" s="43">
        <v>5</v>
      </c>
      <c r="M879" s="43">
        <v>5</v>
      </c>
      <c r="N879" s="12" t="s">
        <v>935</v>
      </c>
      <c r="P879" s="10">
        <v>360</v>
      </c>
      <c r="Q879" s="10">
        <v>30</v>
      </c>
      <c r="S879" s="11">
        <v>3</v>
      </c>
      <c r="T879" s="10">
        <v>120</v>
      </c>
      <c r="V879" s="45"/>
      <c r="X879" s="29">
        <v>19.5</v>
      </c>
      <c r="Y879" s="7" t="s">
        <v>68</v>
      </c>
    </row>
    <row r="880" spans="1:27" ht="23.1" customHeight="1" x14ac:dyDescent="0.25">
      <c r="A880" s="20" t="s">
        <v>909</v>
      </c>
      <c r="B880" s="7" t="s">
        <v>110</v>
      </c>
      <c r="C880" s="7">
        <v>121</v>
      </c>
      <c r="D880" s="7" t="s">
        <v>604</v>
      </c>
      <c r="E880" s="41" t="s">
        <v>605</v>
      </c>
      <c r="F880" s="21" t="s">
        <v>605</v>
      </c>
      <c r="G880" s="7" t="s">
        <v>107</v>
      </c>
      <c r="H880" s="7">
        <v>55</v>
      </c>
      <c r="I880" s="10" t="s">
        <v>2097</v>
      </c>
      <c r="J880" s="10">
        <v>3</v>
      </c>
      <c r="K880" s="10">
        <v>0.7</v>
      </c>
      <c r="L880" s="43">
        <v>5</v>
      </c>
      <c r="M880" s="43"/>
      <c r="N880" s="12" t="s">
        <v>545</v>
      </c>
      <c r="P880" s="10">
        <v>1040</v>
      </c>
      <c r="Q880" s="10">
        <v>60</v>
      </c>
      <c r="S880" s="11">
        <v>1</v>
      </c>
      <c r="T880" s="10">
        <v>120</v>
      </c>
      <c r="V880" s="45">
        <v>1</v>
      </c>
      <c r="W880" s="10">
        <v>2</v>
      </c>
      <c r="X880" s="29">
        <v>17.100000000000001</v>
      </c>
      <c r="Y880" s="7" t="s">
        <v>68</v>
      </c>
      <c r="Z880" t="s">
        <v>936</v>
      </c>
    </row>
    <row r="881" spans="1:27" ht="23.1" customHeight="1" x14ac:dyDescent="0.25">
      <c r="A881" s="20" t="s">
        <v>909</v>
      </c>
      <c r="B881" s="7" t="s">
        <v>110</v>
      </c>
      <c r="C881" s="7">
        <v>119</v>
      </c>
      <c r="D881" s="7" t="s">
        <v>937</v>
      </c>
      <c r="E881" s="41" t="s">
        <v>938</v>
      </c>
      <c r="F881" s="21" t="s">
        <v>938</v>
      </c>
      <c r="G881" s="42" t="s">
        <v>939</v>
      </c>
      <c r="H881" s="7">
        <v>55</v>
      </c>
      <c r="I881" s="10" t="s">
        <v>2004</v>
      </c>
      <c r="J881" s="10">
        <v>0.3</v>
      </c>
      <c r="K881" s="10">
        <v>0.8</v>
      </c>
      <c r="L881" s="43">
        <v>23</v>
      </c>
      <c r="M881" s="43"/>
      <c r="N881" s="12" t="s">
        <v>940</v>
      </c>
      <c r="P881" s="10">
        <v>600</v>
      </c>
      <c r="Q881" s="10">
        <v>60</v>
      </c>
      <c r="S881" s="11">
        <v>1</v>
      </c>
      <c r="T881" s="10">
        <v>90</v>
      </c>
      <c r="V881" s="45">
        <v>1</v>
      </c>
      <c r="W881" s="10">
        <v>2</v>
      </c>
      <c r="X881" s="29">
        <v>12.5</v>
      </c>
      <c r="Y881" s="7" t="s">
        <v>68</v>
      </c>
      <c r="Z881" t="s">
        <v>941</v>
      </c>
    </row>
    <row r="882" spans="1:27" ht="23.1" customHeight="1" x14ac:dyDescent="0.25">
      <c r="A882" s="20" t="s">
        <v>909</v>
      </c>
      <c r="B882" s="7" t="s">
        <v>110</v>
      </c>
      <c r="C882" s="7">
        <v>24</v>
      </c>
      <c r="D882" s="7" t="s">
        <v>776</v>
      </c>
      <c r="E882" s="41" t="s">
        <v>777</v>
      </c>
      <c r="F882" s="21" t="s">
        <v>777</v>
      </c>
      <c r="G882" s="7" t="s">
        <v>107</v>
      </c>
      <c r="H882" s="7">
        <v>30</v>
      </c>
      <c r="I882" s="10" t="s">
        <v>2061</v>
      </c>
      <c r="J882" s="10">
        <v>0.6</v>
      </c>
      <c r="K882" s="10">
        <v>0.6</v>
      </c>
      <c r="L882" s="43">
        <v>5</v>
      </c>
      <c r="M882" s="43"/>
      <c r="N882" s="12" t="s">
        <v>778</v>
      </c>
      <c r="P882" s="10">
        <v>1700</v>
      </c>
      <c r="Q882" s="10">
        <v>120</v>
      </c>
      <c r="T882" s="10">
        <v>210</v>
      </c>
      <c r="V882" s="45"/>
      <c r="X882" s="29">
        <v>17</v>
      </c>
      <c r="Y882" s="7" t="s">
        <v>68</v>
      </c>
    </row>
    <row r="883" spans="1:27" ht="23.1" customHeight="1" x14ac:dyDescent="0.25">
      <c r="A883" s="20" t="s">
        <v>909</v>
      </c>
      <c r="B883" s="7" t="s">
        <v>110</v>
      </c>
      <c r="C883" s="7">
        <v>69</v>
      </c>
      <c r="D883" s="7" t="s">
        <v>787</v>
      </c>
      <c r="E883" s="41" t="s">
        <v>788</v>
      </c>
      <c r="F883" s="21" t="s">
        <v>788</v>
      </c>
      <c r="G883" s="7" t="s">
        <v>123</v>
      </c>
      <c r="H883" s="7">
        <v>50</v>
      </c>
      <c r="I883" s="10" t="s">
        <v>2051</v>
      </c>
      <c r="J883" s="10">
        <v>3</v>
      </c>
      <c r="K883" s="10">
        <v>8</v>
      </c>
      <c r="L883" s="43">
        <v>37</v>
      </c>
      <c r="M883" s="43">
        <v>28</v>
      </c>
      <c r="N883" s="12" t="s">
        <v>942</v>
      </c>
      <c r="P883" s="10">
        <v>120</v>
      </c>
      <c r="Q883" s="10">
        <v>60</v>
      </c>
      <c r="S883" s="11">
        <v>8</v>
      </c>
      <c r="T883" s="10">
        <v>90</v>
      </c>
      <c r="V883" s="45">
        <v>1</v>
      </c>
      <c r="W883" s="10">
        <v>5</v>
      </c>
      <c r="X883" s="29">
        <v>30.5</v>
      </c>
      <c r="Y883" s="7" t="s">
        <v>68</v>
      </c>
      <c r="Z883" t="s">
        <v>943</v>
      </c>
    </row>
    <row r="884" spans="1:27" ht="23.1" customHeight="1" x14ac:dyDescent="0.25">
      <c r="A884" s="20" t="s">
        <v>909</v>
      </c>
      <c r="B884" s="7" t="s">
        <v>110</v>
      </c>
      <c r="C884" s="7">
        <v>9</v>
      </c>
      <c r="D884" s="7" t="s">
        <v>229</v>
      </c>
      <c r="E884" s="41" t="s">
        <v>230</v>
      </c>
      <c r="F884" s="21" t="s">
        <v>230</v>
      </c>
      <c r="G884" s="7" t="s">
        <v>154</v>
      </c>
      <c r="H884" s="7">
        <v>10</v>
      </c>
      <c r="I884" s="10" t="s">
        <v>2023</v>
      </c>
      <c r="J884" s="10">
        <v>13</v>
      </c>
      <c r="K884" s="10">
        <v>13</v>
      </c>
      <c r="L884" s="43">
        <v>5</v>
      </c>
      <c r="M884" s="43">
        <v>5</v>
      </c>
      <c r="N884" s="12" t="s">
        <v>944</v>
      </c>
      <c r="P884" s="10">
        <v>45</v>
      </c>
      <c r="T884" s="10">
        <v>60</v>
      </c>
      <c r="V884" s="45">
        <v>1</v>
      </c>
      <c r="W884" s="14">
        <v>2</v>
      </c>
      <c r="X884" s="29">
        <v>12.8</v>
      </c>
      <c r="Y884" s="7" t="s">
        <v>30</v>
      </c>
      <c r="Z884" t="s">
        <v>926</v>
      </c>
      <c r="AA884" s="1" t="s">
        <v>238</v>
      </c>
    </row>
    <row r="885" spans="1:27" ht="23.1" customHeight="1" x14ac:dyDescent="0.25">
      <c r="A885" s="20" t="s">
        <v>909</v>
      </c>
      <c r="B885" s="7" t="s">
        <v>137</v>
      </c>
      <c r="C885" s="7">
        <v>18</v>
      </c>
      <c r="D885" s="7" t="s">
        <v>911</v>
      </c>
      <c r="E885" s="41" t="s">
        <v>912</v>
      </c>
      <c r="F885" s="21" t="s">
        <v>912</v>
      </c>
      <c r="G885" s="7" t="s">
        <v>154</v>
      </c>
      <c r="H885" s="7">
        <v>10</v>
      </c>
      <c r="I885" s="10" t="s">
        <v>2098</v>
      </c>
      <c r="K885" s="10">
        <v>9</v>
      </c>
      <c r="L885" s="43">
        <v>5</v>
      </c>
      <c r="M885" s="43">
        <v>5</v>
      </c>
      <c r="N885" s="12" t="s">
        <v>216</v>
      </c>
      <c r="P885" s="10">
        <v>55</v>
      </c>
      <c r="T885" s="10">
        <v>60</v>
      </c>
      <c r="V885" s="45"/>
      <c r="W885" s="14">
        <v>3</v>
      </c>
      <c r="X885" s="29">
        <v>11.3</v>
      </c>
      <c r="Y885" s="7" t="s">
        <v>30</v>
      </c>
      <c r="Z885" t="s">
        <v>945</v>
      </c>
      <c r="AA885" s="1" t="s">
        <v>238</v>
      </c>
    </row>
    <row r="886" spans="1:27" ht="23.1" customHeight="1" x14ac:dyDescent="0.25">
      <c r="A886" s="20" t="s">
        <v>909</v>
      </c>
      <c r="B886" s="7" t="s">
        <v>137</v>
      </c>
      <c r="C886" s="7">
        <v>10</v>
      </c>
      <c r="D886" s="7" t="s">
        <v>946</v>
      </c>
      <c r="E886" s="41" t="s">
        <v>947</v>
      </c>
      <c r="F886" s="21" t="s">
        <v>947</v>
      </c>
      <c r="G886" s="7" t="s">
        <v>300</v>
      </c>
      <c r="H886" s="7">
        <v>5</v>
      </c>
      <c r="I886" s="10" t="s">
        <v>1930</v>
      </c>
      <c r="J886" s="10">
        <v>7</v>
      </c>
      <c r="K886" s="10">
        <v>10</v>
      </c>
      <c r="L886" s="43">
        <v>5</v>
      </c>
      <c r="M886" s="43">
        <v>5</v>
      </c>
      <c r="N886" s="12" t="s">
        <v>948</v>
      </c>
      <c r="P886" s="10">
        <v>90</v>
      </c>
      <c r="T886" s="10">
        <v>60</v>
      </c>
      <c r="V886" s="45">
        <v>1</v>
      </c>
      <c r="W886" s="14">
        <v>2</v>
      </c>
      <c r="X886" s="29">
        <v>18</v>
      </c>
      <c r="Y886" s="7" t="s">
        <v>30</v>
      </c>
      <c r="Z886" t="s">
        <v>949</v>
      </c>
      <c r="AA886" s="1" t="s">
        <v>238</v>
      </c>
    </row>
    <row r="887" spans="1:27" ht="23.1" customHeight="1" x14ac:dyDescent="0.25">
      <c r="A887" s="20" t="s">
        <v>909</v>
      </c>
      <c r="B887" s="7" t="s">
        <v>113</v>
      </c>
      <c r="C887" s="7">
        <v>58</v>
      </c>
      <c r="D887" s="7" t="s">
        <v>946</v>
      </c>
      <c r="E887" s="41" t="s">
        <v>947</v>
      </c>
      <c r="F887" s="21" t="s">
        <v>947</v>
      </c>
      <c r="G887" s="7" t="s">
        <v>300</v>
      </c>
      <c r="H887" s="7">
        <v>10</v>
      </c>
      <c r="I887" s="10" t="s">
        <v>1949</v>
      </c>
      <c r="K887" s="10">
        <v>10</v>
      </c>
      <c r="L887" s="43">
        <v>5</v>
      </c>
      <c r="M887" s="43">
        <v>5</v>
      </c>
      <c r="N887" s="12" t="s">
        <v>948</v>
      </c>
      <c r="P887" s="10">
        <v>60</v>
      </c>
      <c r="T887" s="10">
        <v>60</v>
      </c>
      <c r="V887" s="45">
        <v>1</v>
      </c>
      <c r="W887" s="14">
        <v>2</v>
      </c>
      <c r="X887" s="29">
        <v>13</v>
      </c>
      <c r="Y887" s="7" t="s">
        <v>30</v>
      </c>
      <c r="Z887" t="s">
        <v>926</v>
      </c>
      <c r="AA887" s="1" t="s">
        <v>238</v>
      </c>
    </row>
    <row r="888" spans="1:27" ht="23.1" customHeight="1" x14ac:dyDescent="0.25">
      <c r="A888" s="20" t="s">
        <v>909</v>
      </c>
      <c r="B888" s="7" t="s">
        <v>137</v>
      </c>
      <c r="C888" s="7">
        <v>59</v>
      </c>
      <c r="D888" s="7" t="s">
        <v>924</v>
      </c>
      <c r="E888" s="41" t="s">
        <v>409</v>
      </c>
      <c r="F888" s="21" t="s">
        <v>409</v>
      </c>
      <c r="G888" s="7" t="s">
        <v>102</v>
      </c>
      <c r="H888" s="7">
        <v>15</v>
      </c>
      <c r="I888" s="10" t="s">
        <v>2091</v>
      </c>
      <c r="J888" s="10">
        <v>3</v>
      </c>
      <c r="K888" s="10">
        <v>3</v>
      </c>
      <c r="L888" s="43">
        <v>5</v>
      </c>
      <c r="M888" s="43">
        <v>5</v>
      </c>
      <c r="N888" s="12" t="s">
        <v>950</v>
      </c>
      <c r="P888" s="10">
        <v>45</v>
      </c>
      <c r="T888" s="10">
        <v>60</v>
      </c>
      <c r="V888" s="45"/>
      <c r="X888" s="29">
        <v>2.2999999999999998</v>
      </c>
      <c r="Y888" s="64" t="s">
        <v>1847</v>
      </c>
    </row>
    <row r="889" spans="1:27" ht="23.1" customHeight="1" x14ac:dyDescent="0.25">
      <c r="A889" s="20" t="s">
        <v>909</v>
      </c>
      <c r="B889" s="7" t="s">
        <v>137</v>
      </c>
      <c r="C889" s="7">
        <v>59</v>
      </c>
      <c r="D889" s="7" t="s">
        <v>924</v>
      </c>
      <c r="E889" s="41" t="s">
        <v>409</v>
      </c>
      <c r="F889" s="21" t="s">
        <v>409</v>
      </c>
      <c r="G889" s="7" t="s">
        <v>102</v>
      </c>
      <c r="H889" s="7">
        <v>20</v>
      </c>
      <c r="I889" s="10" t="s">
        <v>2099</v>
      </c>
      <c r="J889" s="10">
        <v>8</v>
      </c>
      <c r="K889" s="10">
        <v>8</v>
      </c>
      <c r="L889" s="43">
        <v>5</v>
      </c>
      <c r="M889" s="43">
        <v>28</v>
      </c>
      <c r="N889" s="12" t="s">
        <v>925</v>
      </c>
      <c r="P889" s="10">
        <v>60</v>
      </c>
      <c r="T889" s="10">
        <v>60</v>
      </c>
      <c r="V889" s="45">
        <v>1</v>
      </c>
      <c r="X889" s="29">
        <v>9</v>
      </c>
      <c r="Y889" s="64" t="s">
        <v>1847</v>
      </c>
    </row>
    <row r="890" spans="1:27" ht="23.1" customHeight="1" x14ac:dyDescent="0.25">
      <c r="A890" s="20" t="s">
        <v>909</v>
      </c>
      <c r="B890" s="7" t="s">
        <v>110</v>
      </c>
      <c r="C890" s="7">
        <v>15</v>
      </c>
      <c r="D890" s="7" t="s">
        <v>217</v>
      </c>
      <c r="E890" s="41" t="s">
        <v>218</v>
      </c>
      <c r="F890" s="21" t="s">
        <v>218</v>
      </c>
      <c r="G890" s="7" t="s">
        <v>107</v>
      </c>
      <c r="H890" s="7">
        <v>45</v>
      </c>
      <c r="I890" s="10" t="s">
        <v>1927</v>
      </c>
      <c r="J890" s="10">
        <v>1.5</v>
      </c>
      <c r="K890" s="10">
        <v>3</v>
      </c>
      <c r="L890" s="43">
        <v>37</v>
      </c>
      <c r="M890" s="43">
        <v>5</v>
      </c>
      <c r="N890" s="12" t="s">
        <v>456</v>
      </c>
      <c r="P890" s="10">
        <v>420</v>
      </c>
      <c r="T890" s="10">
        <v>90</v>
      </c>
      <c r="V890" s="45"/>
      <c r="X890" s="29">
        <v>21</v>
      </c>
      <c r="Y890" s="7" t="s">
        <v>60</v>
      </c>
    </row>
    <row r="891" spans="1:27" ht="23.1" customHeight="1" x14ac:dyDescent="0.25">
      <c r="A891" s="20" t="s">
        <v>909</v>
      </c>
      <c r="B891" s="7" t="s">
        <v>110</v>
      </c>
      <c r="C891" s="7">
        <v>14</v>
      </c>
      <c r="D891" s="7" t="s">
        <v>235</v>
      </c>
      <c r="E891" s="41" t="s">
        <v>236</v>
      </c>
      <c r="F891" s="21" t="s">
        <v>236</v>
      </c>
      <c r="G891" s="7" t="s">
        <v>154</v>
      </c>
      <c r="H891" s="7">
        <v>50</v>
      </c>
      <c r="I891" s="10" t="s">
        <v>1899</v>
      </c>
      <c r="J891" s="10">
        <v>0.2</v>
      </c>
      <c r="K891" s="10">
        <v>0.2</v>
      </c>
      <c r="L891" s="43">
        <v>37</v>
      </c>
      <c r="M891" s="43"/>
      <c r="N891" s="12" t="s">
        <v>234</v>
      </c>
      <c r="P891" s="10">
        <v>2640</v>
      </c>
      <c r="T891" s="10">
        <v>90</v>
      </c>
      <c r="V891" s="45"/>
      <c r="X891" s="29">
        <v>8.8000000000000007</v>
      </c>
      <c r="Y891" s="7" t="s">
        <v>60</v>
      </c>
    </row>
    <row r="892" spans="1:27" ht="23.1" customHeight="1" x14ac:dyDescent="0.25">
      <c r="A892" s="20" t="s">
        <v>909</v>
      </c>
      <c r="B892" s="7" t="s">
        <v>110</v>
      </c>
      <c r="C892" s="7">
        <v>14</v>
      </c>
      <c r="D892" s="7" t="s">
        <v>235</v>
      </c>
      <c r="E892" s="41" t="s">
        <v>236</v>
      </c>
      <c r="F892" s="21" t="s">
        <v>236</v>
      </c>
      <c r="G892" s="7" t="s">
        <v>154</v>
      </c>
      <c r="H892" s="7">
        <v>60</v>
      </c>
      <c r="I892" s="10" t="s">
        <v>1968</v>
      </c>
      <c r="J892" s="10">
        <v>1</v>
      </c>
      <c r="K892" s="10">
        <v>1</v>
      </c>
      <c r="L892" s="43">
        <v>26</v>
      </c>
      <c r="M892" s="43"/>
      <c r="N892" s="12" t="s">
        <v>234</v>
      </c>
      <c r="P892" s="10">
        <v>660</v>
      </c>
      <c r="T892" s="10">
        <v>90</v>
      </c>
      <c r="V892" s="45">
        <v>1</v>
      </c>
      <c r="X892" s="29">
        <v>12.5</v>
      </c>
      <c r="Y892" s="7" t="s">
        <v>60</v>
      </c>
    </row>
    <row r="893" spans="1:27" ht="23.1" customHeight="1" x14ac:dyDescent="0.25">
      <c r="A893" s="20" t="s">
        <v>909</v>
      </c>
      <c r="B893" s="7" t="s">
        <v>110</v>
      </c>
      <c r="C893" s="7">
        <v>14</v>
      </c>
      <c r="D893" s="7" t="s">
        <v>235</v>
      </c>
      <c r="E893" s="41" t="s">
        <v>236</v>
      </c>
      <c r="F893" s="21" t="s">
        <v>236</v>
      </c>
      <c r="G893" s="7" t="s">
        <v>154</v>
      </c>
      <c r="H893" s="7">
        <v>65</v>
      </c>
      <c r="I893" s="10" t="s">
        <v>1982</v>
      </c>
      <c r="K893" s="10">
        <v>0.3</v>
      </c>
      <c r="L893" s="43">
        <v>23</v>
      </c>
      <c r="M893" s="43"/>
      <c r="N893" s="12" t="s">
        <v>234</v>
      </c>
      <c r="P893" s="10">
        <v>600</v>
      </c>
      <c r="T893" s="10">
        <v>120</v>
      </c>
      <c r="V893" s="45">
        <v>1</v>
      </c>
      <c r="X893" s="29">
        <v>5</v>
      </c>
      <c r="Y893" s="7" t="s">
        <v>60</v>
      </c>
    </row>
    <row r="894" spans="1:27" ht="23.1" customHeight="1" x14ac:dyDescent="0.25">
      <c r="A894" s="20" t="s">
        <v>909</v>
      </c>
      <c r="B894" s="7" t="s">
        <v>110</v>
      </c>
      <c r="C894" s="7">
        <v>22</v>
      </c>
      <c r="D894" s="7" t="s">
        <v>611</v>
      </c>
      <c r="E894" s="41" t="s">
        <v>612</v>
      </c>
      <c r="F894" s="21" t="s">
        <v>612</v>
      </c>
      <c r="G894" s="7" t="s">
        <v>102</v>
      </c>
      <c r="H894" s="7">
        <v>5</v>
      </c>
      <c r="I894" s="10" t="s">
        <v>1957</v>
      </c>
      <c r="J894" s="10">
        <v>5</v>
      </c>
      <c r="K894" s="10">
        <v>0.3</v>
      </c>
      <c r="L894" s="43">
        <v>37</v>
      </c>
      <c r="M894" s="43">
        <v>37</v>
      </c>
      <c r="N894" s="12" t="s">
        <v>159</v>
      </c>
      <c r="P894" s="10">
        <v>2400</v>
      </c>
      <c r="Q894" s="10">
        <v>210</v>
      </c>
      <c r="T894" s="10">
        <v>210</v>
      </c>
      <c r="V894" s="45"/>
      <c r="X894" s="29">
        <v>12</v>
      </c>
      <c r="Y894" s="7" t="s">
        <v>49</v>
      </c>
    </row>
    <row r="895" spans="1:27" ht="23.1" customHeight="1" x14ac:dyDescent="0.25">
      <c r="A895" s="20" t="s">
        <v>909</v>
      </c>
      <c r="B895" s="7" t="s">
        <v>110</v>
      </c>
      <c r="C895" s="7">
        <v>22</v>
      </c>
      <c r="D895" s="7" t="s">
        <v>611</v>
      </c>
      <c r="E895" s="41" t="s">
        <v>612</v>
      </c>
      <c r="F895" s="21" t="s">
        <v>612</v>
      </c>
      <c r="G895" s="7" t="s">
        <v>102</v>
      </c>
      <c r="H895" s="7">
        <v>5</v>
      </c>
      <c r="I895" s="10" t="s">
        <v>1957</v>
      </c>
      <c r="K895" s="10">
        <v>0.3</v>
      </c>
      <c r="L895" s="43">
        <v>28</v>
      </c>
      <c r="M895" s="43"/>
      <c r="N895" s="12" t="s">
        <v>930</v>
      </c>
      <c r="P895" s="10">
        <v>2400</v>
      </c>
      <c r="Q895" s="10">
        <v>210</v>
      </c>
      <c r="S895" s="11">
        <v>1</v>
      </c>
      <c r="T895" s="10">
        <v>210</v>
      </c>
      <c r="V895" s="45"/>
      <c r="X895" s="29">
        <v>15.5</v>
      </c>
      <c r="Y895" s="7" t="s">
        <v>49</v>
      </c>
    </row>
    <row r="896" spans="1:27" ht="23.1" customHeight="1" x14ac:dyDescent="0.25">
      <c r="A896" s="20" t="s">
        <v>909</v>
      </c>
      <c r="B896" s="7" t="s">
        <v>110</v>
      </c>
      <c r="C896" s="7">
        <v>21</v>
      </c>
      <c r="D896" s="7" t="s">
        <v>321</v>
      </c>
      <c r="E896" s="41" t="s">
        <v>322</v>
      </c>
      <c r="F896" s="21" t="s">
        <v>322</v>
      </c>
      <c r="G896" s="7" t="s">
        <v>323</v>
      </c>
      <c r="H896" s="7">
        <v>35</v>
      </c>
      <c r="I896" s="10" t="s">
        <v>1925</v>
      </c>
      <c r="J896" s="10">
        <v>0.4</v>
      </c>
      <c r="K896" s="10">
        <v>0.4</v>
      </c>
      <c r="L896" s="43">
        <v>26</v>
      </c>
      <c r="M896" s="43"/>
      <c r="N896" s="12" t="s">
        <v>860</v>
      </c>
      <c r="P896" s="10">
        <v>480</v>
      </c>
      <c r="Q896" s="10">
        <v>120</v>
      </c>
      <c r="T896" s="10">
        <v>180</v>
      </c>
      <c r="V896" s="45"/>
      <c r="X896" s="29">
        <v>3.2</v>
      </c>
      <c r="Y896" s="7" t="s">
        <v>49</v>
      </c>
    </row>
    <row r="897" spans="1:27" ht="23.1" customHeight="1" x14ac:dyDescent="0.25">
      <c r="A897" s="20" t="s">
        <v>909</v>
      </c>
      <c r="B897" s="7" t="s">
        <v>110</v>
      </c>
      <c r="C897" s="7">
        <v>21</v>
      </c>
      <c r="D897" s="7" t="s">
        <v>321</v>
      </c>
      <c r="E897" s="41" t="s">
        <v>322</v>
      </c>
      <c r="F897" s="21" t="s">
        <v>322</v>
      </c>
      <c r="G897" s="7" t="s">
        <v>323</v>
      </c>
      <c r="H897" s="7">
        <v>40</v>
      </c>
      <c r="I897" s="10" t="s">
        <v>1969</v>
      </c>
      <c r="J897" s="10">
        <v>1</v>
      </c>
      <c r="K897" s="10">
        <v>1.9</v>
      </c>
      <c r="L897" s="43">
        <v>26</v>
      </c>
      <c r="M897" s="43">
        <v>5</v>
      </c>
      <c r="N897" s="12" t="s">
        <v>951</v>
      </c>
      <c r="P897" s="10">
        <v>390</v>
      </c>
      <c r="Q897" s="10">
        <v>120</v>
      </c>
      <c r="S897" s="11">
        <v>2</v>
      </c>
      <c r="T897" s="10">
        <v>180</v>
      </c>
      <c r="V897" s="45">
        <v>1</v>
      </c>
      <c r="X897" s="29">
        <v>19.399999999999999</v>
      </c>
      <c r="Y897" s="7" t="s">
        <v>49</v>
      </c>
    </row>
    <row r="898" spans="1:27" ht="23.1" customHeight="1" x14ac:dyDescent="0.25">
      <c r="A898" s="20" t="s">
        <v>909</v>
      </c>
      <c r="B898" s="7" t="s">
        <v>110</v>
      </c>
      <c r="C898" s="7">
        <v>23</v>
      </c>
      <c r="D898" s="7" t="s">
        <v>717</v>
      </c>
      <c r="E898" s="41" t="s">
        <v>718</v>
      </c>
      <c r="F898" s="21" t="s">
        <v>718</v>
      </c>
      <c r="G898" s="7" t="s">
        <v>118</v>
      </c>
      <c r="H898" s="7">
        <v>45</v>
      </c>
      <c r="I898" s="10" t="s">
        <v>2028</v>
      </c>
      <c r="J898" s="10">
        <v>0.6</v>
      </c>
      <c r="K898" s="10">
        <v>0.3</v>
      </c>
      <c r="L898" s="43">
        <v>26</v>
      </c>
      <c r="M898" s="43"/>
      <c r="N898" s="12" t="s">
        <v>952</v>
      </c>
      <c r="P898" s="10">
        <v>1080</v>
      </c>
      <c r="Q898" s="10">
        <v>90</v>
      </c>
      <c r="T898" s="10">
        <v>120</v>
      </c>
      <c r="V898" s="45"/>
      <c r="W898" s="14">
        <v>2</v>
      </c>
      <c r="X898" s="29">
        <v>7.4</v>
      </c>
      <c r="Y898" s="7" t="s">
        <v>22</v>
      </c>
      <c r="Z898" t="s">
        <v>953</v>
      </c>
    </row>
    <row r="899" spans="1:27" ht="23.1" customHeight="1" x14ac:dyDescent="0.25">
      <c r="A899" s="20" t="s">
        <v>909</v>
      </c>
      <c r="B899" s="7" t="s">
        <v>110</v>
      </c>
      <c r="C899" s="7">
        <v>23</v>
      </c>
      <c r="D899" s="7" t="s">
        <v>717</v>
      </c>
      <c r="E899" s="41" t="s">
        <v>718</v>
      </c>
      <c r="F899" s="21" t="s">
        <v>718</v>
      </c>
      <c r="G899" s="7" t="s">
        <v>118</v>
      </c>
      <c r="H899" s="7">
        <v>48</v>
      </c>
      <c r="I899" s="10"/>
      <c r="J899" s="10">
        <v>1</v>
      </c>
      <c r="K899" s="10">
        <v>1</v>
      </c>
      <c r="L899" s="43">
        <v>26</v>
      </c>
      <c r="M899" s="43"/>
      <c r="N899" s="12" t="s">
        <v>952</v>
      </c>
      <c r="O899" s="10">
        <v>40</v>
      </c>
      <c r="R899" s="10">
        <v>90</v>
      </c>
      <c r="S899" s="11">
        <v>1</v>
      </c>
      <c r="V899" s="45"/>
      <c r="X899" s="32">
        <v>2.2000000000000002</v>
      </c>
      <c r="Y899" s="7" t="s">
        <v>22</v>
      </c>
    </row>
    <row r="900" spans="1:27" ht="23.1" customHeight="1" x14ac:dyDescent="0.25">
      <c r="A900" s="20" t="s">
        <v>909</v>
      </c>
      <c r="B900" s="7" t="s">
        <v>110</v>
      </c>
      <c r="C900" s="7">
        <v>47</v>
      </c>
      <c r="D900" s="7" t="s">
        <v>826</v>
      </c>
      <c r="E900" s="41" t="s">
        <v>827</v>
      </c>
      <c r="F900" s="21" t="s">
        <v>827</v>
      </c>
      <c r="G900" s="7" t="s">
        <v>118</v>
      </c>
      <c r="H900" s="7">
        <v>15</v>
      </c>
      <c r="I900" s="10" t="s">
        <v>2071</v>
      </c>
      <c r="J900" s="10">
        <v>0.6</v>
      </c>
      <c r="K900" s="10">
        <v>0.6</v>
      </c>
      <c r="L900" s="43">
        <v>26</v>
      </c>
      <c r="M900" s="43">
        <v>9</v>
      </c>
      <c r="N900" s="12" t="s">
        <v>954</v>
      </c>
      <c r="P900" s="10">
        <v>1440</v>
      </c>
      <c r="Q900" s="10">
        <v>90</v>
      </c>
      <c r="S900" s="11">
        <v>1</v>
      </c>
      <c r="T900" s="10">
        <v>90</v>
      </c>
      <c r="V900" s="45"/>
      <c r="X900" s="29">
        <v>15.9</v>
      </c>
      <c r="Y900" s="7" t="s">
        <v>22</v>
      </c>
    </row>
    <row r="901" spans="1:27" ht="23.1" customHeight="1" x14ac:dyDescent="0.25">
      <c r="A901" s="20" t="s">
        <v>909</v>
      </c>
      <c r="B901" s="7" t="s">
        <v>110</v>
      </c>
      <c r="C901" s="7">
        <v>47</v>
      </c>
      <c r="D901" s="7" t="s">
        <v>790</v>
      </c>
      <c r="E901" s="41" t="s">
        <v>791</v>
      </c>
      <c r="F901" s="21" t="e">
        <v>#N/A</v>
      </c>
      <c r="G901" s="7" t="s">
        <v>118</v>
      </c>
      <c r="H901" s="7">
        <v>10</v>
      </c>
      <c r="I901" s="10" t="s">
        <v>1916</v>
      </c>
      <c r="J901" s="10">
        <v>2</v>
      </c>
      <c r="K901" s="10">
        <v>2</v>
      </c>
      <c r="L901" s="43">
        <v>23</v>
      </c>
      <c r="M901" s="43">
        <v>23</v>
      </c>
      <c r="N901" s="12" t="s">
        <v>419</v>
      </c>
      <c r="P901" s="10">
        <v>90</v>
      </c>
      <c r="Q901" s="10">
        <v>60</v>
      </c>
      <c r="S901" s="11">
        <v>2</v>
      </c>
      <c r="T901" s="10">
        <v>60</v>
      </c>
      <c r="V901" s="45">
        <v>1</v>
      </c>
      <c r="W901" s="10">
        <v>3</v>
      </c>
      <c r="X901" s="29">
        <v>9</v>
      </c>
      <c r="Y901" s="7" t="s">
        <v>22</v>
      </c>
      <c r="Z901" t="s">
        <v>955</v>
      </c>
    </row>
    <row r="902" spans="1:27" ht="23.1" customHeight="1" x14ac:dyDescent="0.25">
      <c r="A902" s="20" t="s">
        <v>909</v>
      </c>
      <c r="B902" s="7" t="s">
        <v>137</v>
      </c>
      <c r="C902" s="7">
        <v>18</v>
      </c>
      <c r="D902" s="7" t="s">
        <v>598</v>
      </c>
      <c r="E902" s="41" t="s">
        <v>599</v>
      </c>
      <c r="F902" s="21" t="e">
        <v>#N/A</v>
      </c>
      <c r="G902" s="7" t="s">
        <v>102</v>
      </c>
      <c r="H902" s="7">
        <v>30</v>
      </c>
      <c r="I902" s="10"/>
      <c r="J902" s="10">
        <v>1</v>
      </c>
      <c r="K902" s="10">
        <v>0.5</v>
      </c>
      <c r="L902" s="43"/>
      <c r="M902" s="43"/>
      <c r="N902" s="12" t="s">
        <v>108</v>
      </c>
      <c r="V902" s="45"/>
      <c r="W902" s="14">
        <v>15</v>
      </c>
      <c r="X902" s="29">
        <v>15</v>
      </c>
      <c r="Y902" s="7" t="s">
        <v>16</v>
      </c>
      <c r="Z902" t="s">
        <v>956</v>
      </c>
      <c r="AA902" t="s">
        <v>957</v>
      </c>
    </row>
    <row r="903" spans="1:27" ht="23.1" customHeight="1" x14ac:dyDescent="0.25">
      <c r="A903" s="20" t="s">
        <v>909</v>
      </c>
      <c r="B903" s="7" t="s">
        <v>137</v>
      </c>
      <c r="C903" s="7">
        <v>16</v>
      </c>
      <c r="D903" s="7" t="s">
        <v>958</v>
      </c>
      <c r="E903" s="41" t="s">
        <v>317</v>
      </c>
      <c r="F903" s="21" t="s">
        <v>317</v>
      </c>
      <c r="G903" s="7" t="s">
        <v>154</v>
      </c>
      <c r="H903" s="7">
        <v>20</v>
      </c>
      <c r="I903" s="10" t="s">
        <v>1975</v>
      </c>
      <c r="J903" s="10">
        <v>2</v>
      </c>
      <c r="K903" s="10">
        <v>2</v>
      </c>
      <c r="L903" s="43"/>
      <c r="M903" s="43"/>
      <c r="N903" s="12" t="s">
        <v>438</v>
      </c>
      <c r="P903" s="10">
        <v>240</v>
      </c>
      <c r="T903" s="10">
        <v>120</v>
      </c>
      <c r="V903" s="45">
        <v>1</v>
      </c>
      <c r="W903" s="14">
        <v>2</v>
      </c>
      <c r="X903" s="29">
        <v>12</v>
      </c>
      <c r="Y903" s="7" t="s">
        <v>63</v>
      </c>
      <c r="Z903" t="s">
        <v>926</v>
      </c>
      <c r="AA903" s="1" t="s">
        <v>238</v>
      </c>
    </row>
    <row r="904" spans="1:27" ht="23.1" customHeight="1" x14ac:dyDescent="0.25">
      <c r="A904" s="20" t="s">
        <v>909</v>
      </c>
      <c r="B904" s="7" t="s">
        <v>137</v>
      </c>
      <c r="C904" s="7">
        <v>16</v>
      </c>
      <c r="D904" s="7" t="s">
        <v>959</v>
      </c>
      <c r="E904" s="41" t="s">
        <v>960</v>
      </c>
      <c r="F904" s="21" t="e">
        <v>#N/A</v>
      </c>
      <c r="G904" s="7" t="s">
        <v>102</v>
      </c>
      <c r="H904" s="7">
        <v>5</v>
      </c>
      <c r="I904" s="10"/>
      <c r="J904" s="10">
        <v>3</v>
      </c>
      <c r="K904" s="10">
        <v>0.5</v>
      </c>
      <c r="L904" s="43"/>
      <c r="M904" s="43"/>
      <c r="N904" s="12" t="e">
        <v>#N/A</v>
      </c>
      <c r="V904" s="45">
        <v>1</v>
      </c>
      <c r="W904" s="14">
        <v>5</v>
      </c>
      <c r="X904" s="29">
        <v>5</v>
      </c>
      <c r="Y904" s="7" t="s">
        <v>63</v>
      </c>
      <c r="Z904" t="s">
        <v>961</v>
      </c>
      <c r="AA904" t="s">
        <v>957</v>
      </c>
    </row>
    <row r="905" spans="1:27" ht="23.1" customHeight="1" x14ac:dyDescent="0.25">
      <c r="A905" s="20" t="s">
        <v>909</v>
      </c>
      <c r="B905" s="7" t="s">
        <v>137</v>
      </c>
      <c r="C905" s="7">
        <v>58</v>
      </c>
      <c r="D905" s="7" t="s">
        <v>142</v>
      </c>
      <c r="E905" s="41" t="s">
        <v>133</v>
      </c>
      <c r="F905" s="21" t="s">
        <v>133</v>
      </c>
      <c r="G905" s="7" t="s">
        <v>102</v>
      </c>
      <c r="H905" s="7">
        <v>65</v>
      </c>
      <c r="I905" s="10" t="s">
        <v>2084</v>
      </c>
      <c r="J905" s="10">
        <v>2</v>
      </c>
      <c r="K905" s="10">
        <v>2</v>
      </c>
      <c r="L905" s="43">
        <v>5</v>
      </c>
      <c r="M905" s="43">
        <v>5</v>
      </c>
      <c r="N905" s="12" t="s">
        <v>140</v>
      </c>
      <c r="P905" s="10">
        <v>30</v>
      </c>
      <c r="T905" s="10">
        <v>90</v>
      </c>
      <c r="V905" s="45">
        <v>1</v>
      </c>
      <c r="W905" s="14">
        <v>12</v>
      </c>
      <c r="X905" s="29">
        <v>14.5</v>
      </c>
      <c r="Y905" s="7" t="s">
        <v>7</v>
      </c>
      <c r="Z905" t="s">
        <v>962</v>
      </c>
      <c r="AA905" s="1" t="s">
        <v>238</v>
      </c>
    </row>
    <row r="906" spans="1:27" ht="23.1" customHeight="1" x14ac:dyDescent="0.25">
      <c r="A906" s="20" t="s">
        <v>909</v>
      </c>
      <c r="B906" s="7" t="s">
        <v>137</v>
      </c>
      <c r="C906" s="7">
        <v>11</v>
      </c>
      <c r="D906" s="7" t="s">
        <v>690</v>
      </c>
      <c r="E906" s="41" t="s">
        <v>691</v>
      </c>
      <c r="F906" s="21" t="s">
        <v>691</v>
      </c>
      <c r="G906" s="7" t="s">
        <v>123</v>
      </c>
      <c r="H906" s="7">
        <v>35</v>
      </c>
      <c r="I906" s="10" t="s">
        <v>2086</v>
      </c>
      <c r="J906" s="10">
        <v>1.3</v>
      </c>
      <c r="K906" s="10">
        <v>2.2999999999999998</v>
      </c>
      <c r="L906" s="43">
        <v>23</v>
      </c>
      <c r="M906" s="43">
        <v>28</v>
      </c>
      <c r="N906" s="12" t="s">
        <v>840</v>
      </c>
      <c r="P906" s="10">
        <v>410</v>
      </c>
      <c r="T906" s="10">
        <v>90</v>
      </c>
      <c r="V906" s="45"/>
      <c r="X906" s="29">
        <v>15.7</v>
      </c>
      <c r="Y906" s="7" t="s">
        <v>63</v>
      </c>
    </row>
    <row r="907" spans="1:27" ht="23.1" customHeight="1" x14ac:dyDescent="0.25">
      <c r="A907" s="20" t="s">
        <v>909</v>
      </c>
      <c r="B907" s="7" t="s">
        <v>137</v>
      </c>
      <c r="C907" s="7">
        <v>57</v>
      </c>
      <c r="D907" s="7" t="s">
        <v>698</v>
      </c>
      <c r="E907" s="41" t="s">
        <v>699</v>
      </c>
      <c r="F907" s="21" t="e">
        <v>#N/A</v>
      </c>
      <c r="G907" s="7" t="s">
        <v>123</v>
      </c>
      <c r="H907" s="7">
        <v>20</v>
      </c>
      <c r="I907" s="10" t="s">
        <v>2076</v>
      </c>
      <c r="J907" s="10">
        <v>3</v>
      </c>
      <c r="K907" s="10">
        <v>3.3</v>
      </c>
      <c r="L907" s="43">
        <v>28</v>
      </c>
      <c r="M907" s="43">
        <v>28</v>
      </c>
      <c r="N907" s="12" t="s">
        <v>506</v>
      </c>
      <c r="P907" s="10">
        <v>210</v>
      </c>
      <c r="T907" s="10">
        <v>90</v>
      </c>
      <c r="V907" s="45"/>
      <c r="X907" s="29">
        <v>11.6</v>
      </c>
      <c r="Y907" s="7" t="s">
        <v>7</v>
      </c>
    </row>
    <row r="908" spans="1:27" ht="23.1" customHeight="1" x14ac:dyDescent="0.25">
      <c r="A908" s="20" t="s">
        <v>909</v>
      </c>
      <c r="B908" s="7" t="s">
        <v>137</v>
      </c>
      <c r="C908" s="7">
        <v>17</v>
      </c>
      <c r="D908" s="7" t="s">
        <v>916</v>
      </c>
      <c r="E908" s="41" t="s">
        <v>917</v>
      </c>
      <c r="F908" s="21" t="s">
        <v>917</v>
      </c>
      <c r="G908" s="7" t="s">
        <v>250</v>
      </c>
      <c r="H908" s="7">
        <v>15</v>
      </c>
      <c r="I908" s="10" t="s">
        <v>2088</v>
      </c>
      <c r="J908" s="10">
        <v>10</v>
      </c>
      <c r="K908" s="10">
        <v>10</v>
      </c>
      <c r="L908" s="43">
        <v>5</v>
      </c>
      <c r="M908" s="43">
        <v>5</v>
      </c>
      <c r="N908" s="12" t="s">
        <v>247</v>
      </c>
      <c r="P908" s="10">
        <v>45</v>
      </c>
      <c r="T908" s="10">
        <v>60</v>
      </c>
      <c r="V908" s="45"/>
      <c r="X908" s="29">
        <v>7.5</v>
      </c>
      <c r="Y908" s="7" t="s">
        <v>16</v>
      </c>
    </row>
    <row r="909" spans="1:27" ht="23.1" customHeight="1" x14ac:dyDescent="0.25">
      <c r="A909" s="20" t="s">
        <v>909</v>
      </c>
      <c r="B909" s="7" t="s">
        <v>137</v>
      </c>
      <c r="C909" s="7">
        <v>17</v>
      </c>
      <c r="D909" s="7" t="s">
        <v>916</v>
      </c>
      <c r="E909" s="41" t="s">
        <v>917</v>
      </c>
      <c r="F909" s="21" t="s">
        <v>917</v>
      </c>
      <c r="G909" s="7" t="s">
        <v>250</v>
      </c>
      <c r="H909" s="7">
        <v>20</v>
      </c>
      <c r="I909" s="10" t="s">
        <v>2100</v>
      </c>
      <c r="J909" s="10">
        <v>5</v>
      </c>
      <c r="K909" s="10">
        <v>20</v>
      </c>
      <c r="L909" s="43">
        <v>5</v>
      </c>
      <c r="M909" s="43">
        <v>28</v>
      </c>
      <c r="N909" s="12" t="s">
        <v>247</v>
      </c>
      <c r="P909" s="10">
        <v>40</v>
      </c>
      <c r="T909" s="10">
        <v>60</v>
      </c>
      <c r="V909" s="45">
        <v>1</v>
      </c>
      <c r="X909" s="29">
        <v>14.3</v>
      </c>
      <c r="Y909" s="7" t="s">
        <v>16</v>
      </c>
    </row>
    <row r="910" spans="1:27" ht="23.1" customHeight="1" x14ac:dyDescent="0.25">
      <c r="A910" s="20" t="s">
        <v>909</v>
      </c>
      <c r="B910" s="7" t="s">
        <v>113</v>
      </c>
      <c r="C910" s="7">
        <v>58</v>
      </c>
      <c r="D910" s="7" t="s">
        <v>899</v>
      </c>
      <c r="E910" s="41" t="s">
        <v>409</v>
      </c>
      <c r="F910" s="21" t="s">
        <v>409</v>
      </c>
      <c r="G910" s="7" t="s">
        <v>102</v>
      </c>
      <c r="H910" s="7">
        <v>50</v>
      </c>
      <c r="I910" s="44" t="s">
        <v>2000</v>
      </c>
      <c r="J910" s="10">
        <v>2</v>
      </c>
      <c r="K910" s="10">
        <v>2</v>
      </c>
      <c r="L910" s="43">
        <v>28</v>
      </c>
      <c r="M910" s="43">
        <v>31</v>
      </c>
      <c r="N910" s="12" t="s">
        <v>596</v>
      </c>
      <c r="P910" s="10">
        <v>30</v>
      </c>
      <c r="T910" s="10">
        <v>60</v>
      </c>
      <c r="V910" s="45">
        <v>1</v>
      </c>
      <c r="W910" s="14">
        <v>4</v>
      </c>
      <c r="X910" s="29">
        <v>6</v>
      </c>
      <c r="Y910" s="7" t="s">
        <v>57</v>
      </c>
      <c r="Z910" t="s">
        <v>963</v>
      </c>
      <c r="AA910" s="1" t="s">
        <v>238</v>
      </c>
    </row>
    <row r="911" spans="1:27" ht="23.1" customHeight="1" x14ac:dyDescent="0.25">
      <c r="A911" s="20" t="s">
        <v>909</v>
      </c>
      <c r="B911" s="7" t="s">
        <v>113</v>
      </c>
      <c r="C911" s="7">
        <v>58</v>
      </c>
      <c r="D911" s="7" t="s">
        <v>899</v>
      </c>
      <c r="E911" s="41" t="s">
        <v>409</v>
      </c>
      <c r="F911" s="21" t="s">
        <v>409</v>
      </c>
      <c r="G911" s="7" t="s">
        <v>102</v>
      </c>
      <c r="H911" s="7">
        <v>50</v>
      </c>
      <c r="I911" s="44" t="s">
        <v>2441</v>
      </c>
      <c r="J911" s="10">
        <v>1</v>
      </c>
      <c r="K911" s="10">
        <v>1</v>
      </c>
      <c r="L911" s="43">
        <v>31</v>
      </c>
      <c r="M911" s="43">
        <v>31</v>
      </c>
      <c r="N911" s="12" t="s">
        <v>596</v>
      </c>
      <c r="P911" s="10">
        <v>30</v>
      </c>
      <c r="T911" s="10">
        <v>60</v>
      </c>
      <c r="V911" s="45">
        <v>1</v>
      </c>
      <c r="X911" s="29">
        <v>1.5</v>
      </c>
      <c r="Y911" s="7" t="s">
        <v>57</v>
      </c>
    </row>
    <row r="912" spans="1:27" ht="23.1" customHeight="1" x14ac:dyDescent="0.25">
      <c r="A912" s="20" t="s">
        <v>909</v>
      </c>
      <c r="B912" s="7" t="s">
        <v>113</v>
      </c>
      <c r="C912" s="7">
        <v>18</v>
      </c>
      <c r="D912" s="7" t="s">
        <v>964</v>
      </c>
      <c r="E912" s="41" t="s">
        <v>965</v>
      </c>
      <c r="F912" s="21" t="s">
        <v>965</v>
      </c>
      <c r="G912" s="7" t="s">
        <v>154</v>
      </c>
      <c r="H912" s="7">
        <v>20</v>
      </c>
      <c r="I912" s="10" t="s">
        <v>1978</v>
      </c>
      <c r="K912" s="10">
        <v>20</v>
      </c>
      <c r="L912" s="43">
        <v>31</v>
      </c>
      <c r="M912" s="43">
        <v>31</v>
      </c>
      <c r="N912" s="12" t="s">
        <v>247</v>
      </c>
      <c r="P912" s="10">
        <v>25</v>
      </c>
      <c r="T912" s="10">
        <v>90</v>
      </c>
      <c r="V912" s="45">
        <v>1</v>
      </c>
      <c r="W912" s="14">
        <v>2</v>
      </c>
      <c r="X912" s="29">
        <v>11.8</v>
      </c>
      <c r="Y912" s="7" t="s">
        <v>42</v>
      </c>
      <c r="Z912" t="s">
        <v>926</v>
      </c>
      <c r="AA912" s="1" t="s">
        <v>238</v>
      </c>
    </row>
    <row r="913" spans="1:27" ht="23.1" customHeight="1" x14ac:dyDescent="0.25">
      <c r="A913" s="20" t="s">
        <v>909</v>
      </c>
      <c r="B913" s="7" t="s">
        <v>113</v>
      </c>
      <c r="C913" s="7">
        <v>59</v>
      </c>
      <c r="D913" s="7" t="s">
        <v>966</v>
      </c>
      <c r="E913" s="41" t="s">
        <v>967</v>
      </c>
      <c r="F913" s="21" t="s">
        <v>967</v>
      </c>
      <c r="G913" s="7" t="s">
        <v>154</v>
      </c>
      <c r="H913" s="7">
        <v>53</v>
      </c>
      <c r="I913" s="10"/>
      <c r="J913" s="10">
        <v>33</v>
      </c>
      <c r="K913" s="10">
        <v>33</v>
      </c>
      <c r="L913" s="43">
        <v>31</v>
      </c>
      <c r="M913" s="43">
        <v>31</v>
      </c>
      <c r="N913" s="12" t="s">
        <v>247</v>
      </c>
      <c r="V913" s="45">
        <v>1</v>
      </c>
      <c r="W913" s="14">
        <v>2</v>
      </c>
      <c r="X913" s="32">
        <v>2</v>
      </c>
      <c r="Y913" s="7" t="s">
        <v>42</v>
      </c>
      <c r="Z913" t="s">
        <v>926</v>
      </c>
      <c r="AA913" s="1" t="s">
        <v>238</v>
      </c>
    </row>
    <row r="914" spans="1:27" ht="23.1" customHeight="1" x14ac:dyDescent="0.25">
      <c r="A914" s="20" t="s">
        <v>909</v>
      </c>
      <c r="B914" s="7" t="s">
        <v>113</v>
      </c>
      <c r="C914" s="7">
        <v>15</v>
      </c>
      <c r="D914" s="7" t="s">
        <v>592</v>
      </c>
      <c r="E914" s="41" t="s">
        <v>218</v>
      </c>
      <c r="F914" s="21" t="s">
        <v>218</v>
      </c>
      <c r="G914" s="7" t="s">
        <v>107</v>
      </c>
      <c r="H914" s="7">
        <v>45</v>
      </c>
      <c r="I914" s="10" t="s">
        <v>1927</v>
      </c>
      <c r="J914" s="10">
        <v>1.5</v>
      </c>
      <c r="K914" s="10">
        <v>3</v>
      </c>
      <c r="L914" s="43">
        <v>23</v>
      </c>
      <c r="M914" s="43">
        <v>37</v>
      </c>
      <c r="N914" s="12" t="s">
        <v>456</v>
      </c>
      <c r="P914" s="10">
        <v>420</v>
      </c>
      <c r="T914" s="10">
        <v>90</v>
      </c>
      <c r="V914" s="45"/>
      <c r="X914" s="29">
        <v>21</v>
      </c>
      <c r="Y914" s="7" t="s">
        <v>31</v>
      </c>
    </row>
    <row r="915" spans="1:27" ht="23.1" customHeight="1" x14ac:dyDescent="0.25">
      <c r="A915" s="20" t="s">
        <v>909</v>
      </c>
      <c r="B915" s="7" t="s">
        <v>113</v>
      </c>
      <c r="C915" s="7">
        <v>77</v>
      </c>
      <c r="D915" s="7" t="s">
        <v>968</v>
      </c>
      <c r="E915" s="41" t="s">
        <v>969</v>
      </c>
      <c r="F915" s="21" t="s">
        <v>969</v>
      </c>
      <c r="G915" s="7" t="s">
        <v>154</v>
      </c>
      <c r="H915" s="7">
        <v>70</v>
      </c>
      <c r="I915" s="10" t="s">
        <v>2101</v>
      </c>
      <c r="J915" s="10">
        <v>20</v>
      </c>
      <c r="K915" s="10">
        <v>14</v>
      </c>
      <c r="L915" s="43">
        <v>31</v>
      </c>
      <c r="M915" s="43">
        <v>31</v>
      </c>
      <c r="N915" s="12" t="s">
        <v>247</v>
      </c>
      <c r="P915" s="10">
        <v>40</v>
      </c>
      <c r="T915" s="10">
        <v>60</v>
      </c>
      <c r="V915" s="45"/>
      <c r="W915" s="14">
        <v>3</v>
      </c>
      <c r="X915" s="29">
        <v>12.3</v>
      </c>
      <c r="Y915" s="7" t="s">
        <v>15</v>
      </c>
      <c r="Z915" t="s">
        <v>970</v>
      </c>
      <c r="AA915" s="1" t="s">
        <v>238</v>
      </c>
    </row>
    <row r="916" spans="1:27" ht="23.1" customHeight="1" x14ac:dyDescent="0.25">
      <c r="A916" s="20" t="s">
        <v>909</v>
      </c>
      <c r="B916" s="7" t="s">
        <v>113</v>
      </c>
      <c r="C916" s="7">
        <v>77</v>
      </c>
      <c r="D916" s="7" t="s">
        <v>968</v>
      </c>
      <c r="E916" s="41" t="s">
        <v>969</v>
      </c>
      <c r="F916" s="21" t="s">
        <v>969</v>
      </c>
      <c r="G916" s="7" t="s">
        <v>154</v>
      </c>
      <c r="H916" s="7">
        <v>70</v>
      </c>
      <c r="I916" s="10" t="s">
        <v>2101</v>
      </c>
      <c r="J916" s="10">
        <v>2</v>
      </c>
      <c r="K916" s="10">
        <v>1</v>
      </c>
      <c r="L916" s="43">
        <v>31</v>
      </c>
      <c r="M916" s="43"/>
      <c r="N916" s="12" t="s">
        <v>164</v>
      </c>
      <c r="P916" s="10">
        <v>40</v>
      </c>
      <c r="T916" s="10">
        <v>60</v>
      </c>
      <c r="V916" s="45"/>
      <c r="X916" s="29">
        <v>0.7</v>
      </c>
      <c r="Y916" s="7" t="s">
        <v>15</v>
      </c>
    </row>
    <row r="917" spans="1:27" ht="23.1" customHeight="1" x14ac:dyDescent="0.25">
      <c r="A917" s="20" t="s">
        <v>909</v>
      </c>
      <c r="B917" s="7" t="s">
        <v>113</v>
      </c>
      <c r="C917" s="7">
        <v>77</v>
      </c>
      <c r="D917" s="7" t="s">
        <v>211</v>
      </c>
      <c r="E917" s="41" t="s">
        <v>212</v>
      </c>
      <c r="F917" s="21" t="s">
        <v>212</v>
      </c>
      <c r="G917" s="7" t="s">
        <v>123</v>
      </c>
      <c r="H917" s="7">
        <v>30</v>
      </c>
      <c r="I917" s="10" t="s">
        <v>2081</v>
      </c>
      <c r="K917" s="10">
        <v>18</v>
      </c>
      <c r="L917" s="43">
        <v>31</v>
      </c>
      <c r="M917" s="43">
        <v>31</v>
      </c>
      <c r="N917" s="12" t="s">
        <v>652</v>
      </c>
      <c r="P917" s="10">
        <v>25</v>
      </c>
      <c r="T917" s="10">
        <v>60</v>
      </c>
      <c r="V917" s="45"/>
      <c r="X917" s="29">
        <v>7.5</v>
      </c>
      <c r="Y917" s="7" t="s">
        <v>15</v>
      </c>
    </row>
    <row r="918" spans="1:27" ht="23.1" customHeight="1" x14ac:dyDescent="0.25">
      <c r="A918" s="20" t="s">
        <v>909</v>
      </c>
      <c r="B918" s="7" t="s">
        <v>113</v>
      </c>
      <c r="C918" s="7">
        <v>77</v>
      </c>
      <c r="D918" s="7" t="s">
        <v>211</v>
      </c>
      <c r="E918" s="41" t="s">
        <v>212</v>
      </c>
      <c r="F918" s="21" t="s">
        <v>212</v>
      </c>
      <c r="G918" s="7" t="s">
        <v>123</v>
      </c>
      <c r="H918" s="7">
        <v>30</v>
      </c>
      <c r="I918" s="10" t="s">
        <v>2081</v>
      </c>
      <c r="K918" s="10">
        <v>28</v>
      </c>
      <c r="L918" s="43">
        <v>9</v>
      </c>
      <c r="M918" s="43">
        <v>9</v>
      </c>
      <c r="N918" s="12" t="s">
        <v>971</v>
      </c>
      <c r="P918" s="10">
        <v>25</v>
      </c>
      <c r="T918" s="10">
        <v>60</v>
      </c>
      <c r="V918" s="45"/>
      <c r="X918" s="29">
        <v>11.7</v>
      </c>
      <c r="Y918" s="7" t="s">
        <v>15</v>
      </c>
    </row>
    <row r="919" spans="1:27" ht="23.1" customHeight="1" x14ac:dyDescent="0.25">
      <c r="A919" s="20" t="s">
        <v>909</v>
      </c>
      <c r="B919" s="7" t="s">
        <v>113</v>
      </c>
      <c r="C919" s="7">
        <v>24</v>
      </c>
      <c r="D919" s="7" t="s">
        <v>776</v>
      </c>
      <c r="E919" s="41" t="s">
        <v>777</v>
      </c>
      <c r="F919" s="21" t="s">
        <v>777</v>
      </c>
      <c r="G919" s="7" t="s">
        <v>107</v>
      </c>
      <c r="H919" s="7">
        <v>30</v>
      </c>
      <c r="I919" s="10" t="s">
        <v>2061</v>
      </c>
      <c r="J919" s="10">
        <v>0.6</v>
      </c>
      <c r="K919" s="10">
        <v>0.6</v>
      </c>
      <c r="L919" s="43">
        <v>5</v>
      </c>
      <c r="M919" s="43">
        <v>37</v>
      </c>
      <c r="N919" s="12" t="s">
        <v>972</v>
      </c>
      <c r="P919" s="10">
        <v>1700</v>
      </c>
      <c r="Q919" s="10">
        <v>120</v>
      </c>
      <c r="S919" s="11">
        <v>1</v>
      </c>
      <c r="T919" s="10">
        <v>210</v>
      </c>
      <c r="V919" s="45"/>
      <c r="X919" s="29">
        <v>19</v>
      </c>
      <c r="Y919" s="7" t="s">
        <v>52</v>
      </c>
    </row>
    <row r="920" spans="1:27" ht="23.1" customHeight="1" x14ac:dyDescent="0.25">
      <c r="A920" s="20" t="s">
        <v>909</v>
      </c>
      <c r="B920" s="7" t="s">
        <v>113</v>
      </c>
      <c r="C920" s="7">
        <v>69</v>
      </c>
      <c r="D920" s="7" t="s">
        <v>787</v>
      </c>
      <c r="E920" s="41" t="s">
        <v>788</v>
      </c>
      <c r="F920" s="21" t="s">
        <v>788</v>
      </c>
      <c r="G920" s="7" t="s">
        <v>123</v>
      </c>
      <c r="H920" s="7">
        <v>35</v>
      </c>
      <c r="I920" s="10" t="s">
        <v>2073</v>
      </c>
      <c r="J920" s="10">
        <v>6</v>
      </c>
      <c r="K920" s="10">
        <v>6</v>
      </c>
      <c r="L920" s="43">
        <v>28</v>
      </c>
      <c r="M920" s="43">
        <v>28</v>
      </c>
      <c r="N920" s="12" t="s">
        <v>973</v>
      </c>
      <c r="P920" s="10">
        <v>90</v>
      </c>
      <c r="Q920" s="10">
        <v>60</v>
      </c>
      <c r="S920" s="11">
        <v>6</v>
      </c>
      <c r="T920" s="10">
        <v>60</v>
      </c>
      <c r="V920" s="45"/>
      <c r="X920" s="29">
        <v>15</v>
      </c>
      <c r="Y920" s="7" t="s">
        <v>52</v>
      </c>
    </row>
    <row r="921" spans="1:27" ht="23.1" customHeight="1" x14ac:dyDescent="0.25">
      <c r="A921" s="20" t="s">
        <v>909</v>
      </c>
      <c r="B921" s="7" t="s">
        <v>113</v>
      </c>
      <c r="C921" s="7">
        <v>69</v>
      </c>
      <c r="D921" s="7" t="s">
        <v>787</v>
      </c>
      <c r="E921" s="41" t="s">
        <v>788</v>
      </c>
      <c r="F921" s="21" t="s">
        <v>788</v>
      </c>
      <c r="G921" s="7" t="s">
        <v>123</v>
      </c>
      <c r="H921" s="7">
        <v>35</v>
      </c>
      <c r="I921" s="10" t="s">
        <v>2073</v>
      </c>
      <c r="L921" s="43"/>
      <c r="M921" s="43"/>
      <c r="N921" s="12" t="s">
        <v>974</v>
      </c>
      <c r="P921" s="10">
        <v>90</v>
      </c>
      <c r="Q921" s="10">
        <v>60</v>
      </c>
      <c r="S921" s="11">
        <v>1</v>
      </c>
      <c r="T921" s="10">
        <v>60</v>
      </c>
      <c r="V921" s="45"/>
      <c r="W921" s="14">
        <v>5</v>
      </c>
      <c r="X921" s="29">
        <v>6</v>
      </c>
      <c r="Y921" s="7" t="s">
        <v>52</v>
      </c>
      <c r="Z921" t="s">
        <v>975</v>
      </c>
    </row>
    <row r="922" spans="1:27" ht="23.1" customHeight="1" x14ac:dyDescent="0.25">
      <c r="A922" s="20" t="s">
        <v>909</v>
      </c>
      <c r="B922" s="7" t="s">
        <v>113</v>
      </c>
      <c r="C922" s="7">
        <v>91</v>
      </c>
      <c r="D922" s="7" t="s">
        <v>931</v>
      </c>
      <c r="E922" s="41" t="s">
        <v>932</v>
      </c>
      <c r="F922" s="21" t="s">
        <v>932</v>
      </c>
      <c r="G922" s="7" t="s">
        <v>154</v>
      </c>
      <c r="H922" s="7">
        <v>60</v>
      </c>
      <c r="I922" s="10" t="s">
        <v>2095</v>
      </c>
      <c r="J922" s="10">
        <v>0.5</v>
      </c>
      <c r="K922" s="10">
        <v>0.1</v>
      </c>
      <c r="L922" s="43">
        <v>23</v>
      </c>
      <c r="M922" s="43"/>
      <c r="N922" s="12" t="s">
        <v>108</v>
      </c>
      <c r="P922" s="10">
        <v>1000</v>
      </c>
      <c r="T922" s="10">
        <v>90</v>
      </c>
      <c r="V922" s="45">
        <v>1</v>
      </c>
      <c r="W922" s="14">
        <v>4</v>
      </c>
      <c r="X922" s="29">
        <v>7.2</v>
      </c>
      <c r="Y922" s="7" t="s">
        <v>52</v>
      </c>
      <c r="Z922" t="s">
        <v>976</v>
      </c>
    </row>
    <row r="923" spans="1:27" ht="23.1" customHeight="1" x14ac:dyDescent="0.25">
      <c r="A923" s="20" t="s">
        <v>909</v>
      </c>
      <c r="B923" s="7" t="s">
        <v>113</v>
      </c>
      <c r="C923" s="7">
        <v>84</v>
      </c>
      <c r="D923" s="7" t="s">
        <v>423</v>
      </c>
      <c r="E923" s="41" t="s">
        <v>424</v>
      </c>
      <c r="F923" s="21" t="s">
        <v>424</v>
      </c>
      <c r="G923" s="7" t="s">
        <v>107</v>
      </c>
      <c r="H923" s="7">
        <v>38</v>
      </c>
      <c r="I923" s="10"/>
      <c r="J923" s="10">
        <v>3</v>
      </c>
      <c r="K923" s="10">
        <v>3</v>
      </c>
      <c r="L923" s="43">
        <v>23</v>
      </c>
      <c r="M923" s="43">
        <v>26</v>
      </c>
      <c r="N923" s="12" t="s">
        <v>977</v>
      </c>
      <c r="O923" s="10">
        <v>90</v>
      </c>
      <c r="R923" s="10">
        <v>30</v>
      </c>
      <c r="S923" s="11">
        <v>3</v>
      </c>
      <c r="V923" s="45"/>
      <c r="X923" s="32">
        <v>6</v>
      </c>
      <c r="Y923" s="7" t="s">
        <v>52</v>
      </c>
    </row>
    <row r="924" spans="1:27" ht="23.1" customHeight="1" x14ac:dyDescent="0.25">
      <c r="A924" s="20" t="s">
        <v>909</v>
      </c>
      <c r="B924" s="7" t="s">
        <v>113</v>
      </c>
      <c r="C924" s="7">
        <v>84</v>
      </c>
      <c r="D924" s="7" t="s">
        <v>423</v>
      </c>
      <c r="E924" s="41" t="s">
        <v>424</v>
      </c>
      <c r="F924" s="21" t="s">
        <v>424</v>
      </c>
      <c r="G924" s="7" t="s">
        <v>107</v>
      </c>
      <c r="H924" s="7">
        <v>40</v>
      </c>
      <c r="I924" s="10" t="s">
        <v>2096</v>
      </c>
      <c r="K924" s="10">
        <v>3</v>
      </c>
      <c r="L924" s="43">
        <v>23</v>
      </c>
      <c r="M924" s="43">
        <v>26</v>
      </c>
      <c r="N924" s="12" t="s">
        <v>977</v>
      </c>
      <c r="P924" s="10">
        <v>360</v>
      </c>
      <c r="Q924" s="10">
        <v>30</v>
      </c>
      <c r="S924" s="11">
        <v>3</v>
      </c>
      <c r="T924" s="10">
        <v>120</v>
      </c>
      <c r="V924" s="45"/>
      <c r="X924" s="29">
        <v>19.5</v>
      </c>
      <c r="Y924" s="7" t="s">
        <v>52</v>
      </c>
    </row>
    <row r="925" spans="1:27" ht="23.1" customHeight="1" x14ac:dyDescent="0.25">
      <c r="A925" s="20" t="s">
        <v>909</v>
      </c>
      <c r="B925" s="7" t="s">
        <v>113</v>
      </c>
      <c r="C925" s="7">
        <v>119</v>
      </c>
      <c r="D925" s="7" t="s">
        <v>978</v>
      </c>
      <c r="E925" s="41" t="s">
        <v>979</v>
      </c>
      <c r="F925" s="21" t="s">
        <v>979</v>
      </c>
      <c r="G925" s="7" t="s">
        <v>154</v>
      </c>
      <c r="H925" s="7">
        <v>55</v>
      </c>
      <c r="I925" s="10" t="s">
        <v>2010</v>
      </c>
      <c r="J925" s="10">
        <v>3.5</v>
      </c>
      <c r="K925" s="10">
        <v>2.8</v>
      </c>
      <c r="L925" s="43">
        <v>23</v>
      </c>
      <c r="M925" s="43">
        <v>28</v>
      </c>
      <c r="N925" s="12" t="s">
        <v>980</v>
      </c>
      <c r="P925" s="10">
        <v>540</v>
      </c>
      <c r="Q925" s="10">
        <v>180</v>
      </c>
      <c r="S925" s="11">
        <v>3</v>
      </c>
      <c r="T925" s="10">
        <v>120</v>
      </c>
      <c r="V925" s="45"/>
      <c r="X925" s="29">
        <v>34.200000000000003</v>
      </c>
      <c r="Y925" s="7" t="s">
        <v>52</v>
      </c>
    </row>
    <row r="926" spans="1:27" ht="23.1" customHeight="1" x14ac:dyDescent="0.25">
      <c r="A926" s="20" t="s">
        <v>909</v>
      </c>
      <c r="B926" s="7" t="s">
        <v>113</v>
      </c>
      <c r="C926" s="7">
        <v>121</v>
      </c>
      <c r="D926" s="7" t="s">
        <v>604</v>
      </c>
      <c r="E926" s="41" t="s">
        <v>605</v>
      </c>
      <c r="F926" s="21" t="s">
        <v>605</v>
      </c>
      <c r="G926" s="7" t="s">
        <v>107</v>
      </c>
      <c r="H926" s="7">
        <v>55</v>
      </c>
      <c r="I926" s="10" t="s">
        <v>2097</v>
      </c>
      <c r="J926" s="10">
        <v>0.3</v>
      </c>
      <c r="K926" s="10">
        <v>0.3</v>
      </c>
      <c r="L926" s="43">
        <v>5</v>
      </c>
      <c r="M926" s="43"/>
      <c r="N926" s="12" t="s">
        <v>545</v>
      </c>
      <c r="P926" s="10">
        <v>1040</v>
      </c>
      <c r="Q926" s="10">
        <v>60</v>
      </c>
      <c r="T926" s="10">
        <v>120</v>
      </c>
      <c r="V926" s="45"/>
      <c r="X926" s="29">
        <v>5.2</v>
      </c>
      <c r="Y926" s="7" t="s">
        <v>52</v>
      </c>
    </row>
    <row r="927" spans="1:27" ht="23.1" customHeight="1" x14ac:dyDescent="0.25">
      <c r="A927" s="20" t="s">
        <v>909</v>
      </c>
      <c r="B927" s="7" t="s">
        <v>113</v>
      </c>
      <c r="C927" s="7">
        <v>121</v>
      </c>
      <c r="D927" s="7" t="s">
        <v>981</v>
      </c>
      <c r="E927" s="41" t="s">
        <v>982</v>
      </c>
      <c r="F927" s="21" t="s">
        <v>982</v>
      </c>
      <c r="G927" s="7" t="s">
        <v>250</v>
      </c>
      <c r="H927" s="7">
        <v>50</v>
      </c>
      <c r="I927" s="10" t="s">
        <v>2102</v>
      </c>
      <c r="L927" s="43"/>
      <c r="M927" s="43"/>
      <c r="N927" s="12" t="s">
        <v>199</v>
      </c>
      <c r="P927" s="10">
        <v>660</v>
      </c>
      <c r="Q927" s="10">
        <v>60</v>
      </c>
      <c r="T927" s="10">
        <v>120</v>
      </c>
      <c r="V927" s="45"/>
      <c r="W927" s="14">
        <v>5</v>
      </c>
      <c r="X927" s="32">
        <v>5</v>
      </c>
      <c r="Y927" s="7" t="s">
        <v>52</v>
      </c>
      <c r="Z927" t="s">
        <v>983</v>
      </c>
    </row>
    <row r="928" spans="1:27" ht="23.1" customHeight="1" x14ac:dyDescent="0.25">
      <c r="A928" s="20" t="s">
        <v>909</v>
      </c>
      <c r="B928" s="7" t="s">
        <v>113</v>
      </c>
      <c r="C928" s="7">
        <v>23</v>
      </c>
      <c r="D928" s="7" t="s">
        <v>984</v>
      </c>
      <c r="E928" s="41" t="s">
        <v>791</v>
      </c>
      <c r="F928" s="21" t="s">
        <v>791</v>
      </c>
      <c r="G928" s="7" t="s">
        <v>118</v>
      </c>
      <c r="H928" s="7">
        <v>70</v>
      </c>
      <c r="I928" s="10" t="s">
        <v>2103</v>
      </c>
      <c r="J928" s="10">
        <v>2</v>
      </c>
      <c r="K928" s="10">
        <v>2</v>
      </c>
      <c r="L928" s="43">
        <v>23</v>
      </c>
      <c r="M928" s="43">
        <v>23</v>
      </c>
      <c r="N928" s="12" t="s">
        <v>985</v>
      </c>
      <c r="P928" s="10">
        <v>60</v>
      </c>
      <c r="Q928" s="10">
        <v>60</v>
      </c>
      <c r="S928" s="11">
        <v>2</v>
      </c>
      <c r="T928" s="10">
        <v>60</v>
      </c>
      <c r="V928" s="45"/>
      <c r="X928" s="29">
        <v>4</v>
      </c>
      <c r="Y928" s="7" t="s">
        <v>33</v>
      </c>
    </row>
    <row r="929" spans="1:27" ht="23.1" customHeight="1" x14ac:dyDescent="0.25">
      <c r="A929" s="20" t="s">
        <v>909</v>
      </c>
      <c r="B929" s="7" t="s">
        <v>113</v>
      </c>
      <c r="C929" s="7">
        <v>23</v>
      </c>
      <c r="D929" s="7" t="s">
        <v>986</v>
      </c>
      <c r="E929" s="41" t="s">
        <v>791</v>
      </c>
      <c r="F929" s="21" t="s">
        <v>791</v>
      </c>
      <c r="G929" s="7" t="s">
        <v>118</v>
      </c>
      <c r="H929" s="7">
        <v>70</v>
      </c>
      <c r="I929" s="10" t="s">
        <v>2103</v>
      </c>
      <c r="J929" s="10">
        <v>2</v>
      </c>
      <c r="K929" s="10">
        <v>2</v>
      </c>
      <c r="L929" s="43">
        <v>23</v>
      </c>
      <c r="M929" s="43">
        <v>23</v>
      </c>
      <c r="N929" s="12" t="s">
        <v>985</v>
      </c>
      <c r="P929" s="10">
        <v>60</v>
      </c>
      <c r="Q929" s="10">
        <v>60</v>
      </c>
      <c r="S929" s="11">
        <v>2</v>
      </c>
      <c r="T929" s="10">
        <v>60</v>
      </c>
      <c r="V929" s="45"/>
      <c r="X929" s="29">
        <v>4</v>
      </c>
      <c r="Y929" s="7" t="s">
        <v>33</v>
      </c>
    </row>
    <row r="930" spans="1:27" ht="23.1" customHeight="1" x14ac:dyDescent="0.25">
      <c r="A930" s="20" t="s">
        <v>909</v>
      </c>
      <c r="B930" s="7" t="s">
        <v>113</v>
      </c>
      <c r="C930" s="7">
        <v>23</v>
      </c>
      <c r="D930" s="7" t="s">
        <v>987</v>
      </c>
      <c r="E930" s="41" t="s">
        <v>988</v>
      </c>
      <c r="F930" s="21" t="s">
        <v>988</v>
      </c>
      <c r="G930" s="7" t="s">
        <v>118</v>
      </c>
      <c r="H930" s="7">
        <v>5</v>
      </c>
      <c r="I930" s="10" t="s">
        <v>1930</v>
      </c>
      <c r="J930" s="10">
        <v>3</v>
      </c>
      <c r="K930" s="10">
        <v>3</v>
      </c>
      <c r="L930" s="43">
        <v>28</v>
      </c>
      <c r="M930" s="43">
        <v>28</v>
      </c>
      <c r="N930" s="12" t="s">
        <v>989</v>
      </c>
      <c r="P930" s="10">
        <v>150</v>
      </c>
      <c r="Q930" s="10">
        <v>60</v>
      </c>
      <c r="S930" s="11">
        <v>3</v>
      </c>
      <c r="T930" s="10">
        <v>60</v>
      </c>
      <c r="V930" s="45">
        <v>1</v>
      </c>
      <c r="X930" s="29">
        <v>11.5</v>
      </c>
      <c r="Y930" s="7" t="s">
        <v>33</v>
      </c>
    </row>
    <row r="931" spans="1:27" ht="23.1" customHeight="1" x14ac:dyDescent="0.25">
      <c r="A931" s="20" t="s">
        <v>909</v>
      </c>
      <c r="B931" s="7" t="s">
        <v>113</v>
      </c>
      <c r="C931" s="7">
        <v>23</v>
      </c>
      <c r="D931" s="7" t="s">
        <v>990</v>
      </c>
      <c r="E931" s="41" t="s">
        <v>991</v>
      </c>
      <c r="F931" s="21" t="s">
        <v>991</v>
      </c>
      <c r="G931" s="7" t="s">
        <v>118</v>
      </c>
      <c r="H931" s="7">
        <v>5</v>
      </c>
      <c r="I931" s="10" t="s">
        <v>1930</v>
      </c>
      <c r="J931" s="10">
        <v>3</v>
      </c>
      <c r="K931" s="10">
        <v>3</v>
      </c>
      <c r="L931" s="43">
        <v>28</v>
      </c>
      <c r="M931" s="43">
        <v>28</v>
      </c>
      <c r="N931" s="12" t="s">
        <v>989</v>
      </c>
      <c r="P931" s="10">
        <v>150</v>
      </c>
      <c r="Q931" s="10">
        <v>60</v>
      </c>
      <c r="S931" s="11">
        <v>3</v>
      </c>
      <c r="T931" s="10">
        <v>60</v>
      </c>
      <c r="V931" s="45">
        <v>1</v>
      </c>
      <c r="X931" s="29">
        <v>11.5</v>
      </c>
      <c r="Y931" s="7" t="s">
        <v>33</v>
      </c>
    </row>
    <row r="932" spans="1:27" ht="23.1" customHeight="1" x14ac:dyDescent="0.25">
      <c r="A932" s="20" t="s">
        <v>909</v>
      </c>
      <c r="B932" s="7" t="s">
        <v>113</v>
      </c>
      <c r="C932" s="7">
        <v>47</v>
      </c>
      <c r="D932" s="7" t="s">
        <v>826</v>
      </c>
      <c r="E932" s="41" t="s">
        <v>827</v>
      </c>
      <c r="F932" s="21" t="s">
        <v>827</v>
      </c>
      <c r="G932" s="7" t="s">
        <v>118</v>
      </c>
      <c r="H932" s="7">
        <v>15</v>
      </c>
      <c r="I932" s="10" t="s">
        <v>2071</v>
      </c>
      <c r="J932" s="10">
        <v>0.5</v>
      </c>
      <c r="K932" s="10">
        <v>0.6</v>
      </c>
      <c r="L932" s="43">
        <v>9</v>
      </c>
      <c r="M932" s="43"/>
      <c r="N932" s="12" t="s">
        <v>860</v>
      </c>
      <c r="P932" s="10">
        <v>1440</v>
      </c>
      <c r="Q932" s="10">
        <v>90</v>
      </c>
      <c r="T932" s="10">
        <v>90</v>
      </c>
      <c r="V932" s="45"/>
      <c r="X932" s="29">
        <v>14.4</v>
      </c>
      <c r="Y932" s="7" t="s">
        <v>33</v>
      </c>
    </row>
    <row r="933" spans="1:27" ht="23.1" customHeight="1" x14ac:dyDescent="0.25">
      <c r="A933" s="20" t="s">
        <v>909</v>
      </c>
      <c r="B933" s="7" t="s">
        <v>113</v>
      </c>
      <c r="C933" s="7">
        <v>17</v>
      </c>
      <c r="D933" s="7" t="s">
        <v>916</v>
      </c>
      <c r="E933" s="41" t="s">
        <v>917</v>
      </c>
      <c r="F933" s="21" t="s">
        <v>917</v>
      </c>
      <c r="G933" s="7" t="s">
        <v>250</v>
      </c>
      <c r="H933" s="7">
        <v>25</v>
      </c>
      <c r="I933" s="10" t="s">
        <v>2442</v>
      </c>
      <c r="K933" s="10">
        <v>6</v>
      </c>
      <c r="L933" s="43">
        <v>31</v>
      </c>
      <c r="M933" s="43">
        <v>19</v>
      </c>
      <c r="N933" s="12" t="s">
        <v>247</v>
      </c>
      <c r="P933" s="10">
        <v>100</v>
      </c>
      <c r="T933" s="10">
        <v>60</v>
      </c>
      <c r="V933" s="45">
        <v>1</v>
      </c>
      <c r="X933" s="29">
        <v>11</v>
      </c>
      <c r="Y933" s="7" t="s">
        <v>43</v>
      </c>
    </row>
    <row r="934" spans="1:27" ht="23.1" customHeight="1" x14ac:dyDescent="0.25">
      <c r="A934" s="20" t="s">
        <v>909</v>
      </c>
      <c r="B934" s="7" t="s">
        <v>113</v>
      </c>
      <c r="C934" s="7">
        <v>57</v>
      </c>
      <c r="D934" s="7" t="s">
        <v>698</v>
      </c>
      <c r="E934" s="41" t="s">
        <v>699</v>
      </c>
      <c r="F934" s="21" t="e">
        <v>#N/A</v>
      </c>
      <c r="G934" s="7" t="s">
        <v>123</v>
      </c>
      <c r="H934" s="7">
        <v>20</v>
      </c>
      <c r="I934" s="10" t="s">
        <v>2076</v>
      </c>
      <c r="J934" s="10">
        <v>3</v>
      </c>
      <c r="K934" s="10">
        <v>3.5</v>
      </c>
      <c r="L934" s="43">
        <v>28</v>
      </c>
      <c r="M934" s="43">
        <v>26</v>
      </c>
      <c r="N934" s="12" t="s">
        <v>914</v>
      </c>
      <c r="P934" s="10">
        <v>210</v>
      </c>
      <c r="T934" s="10">
        <v>90</v>
      </c>
      <c r="V934" s="45"/>
      <c r="X934" s="29">
        <v>12.3</v>
      </c>
      <c r="Y934" s="7" t="s">
        <v>57</v>
      </c>
    </row>
    <row r="935" spans="1:27" ht="23.1" customHeight="1" x14ac:dyDescent="0.25">
      <c r="A935" s="20" t="s">
        <v>909</v>
      </c>
      <c r="B935" s="7" t="s">
        <v>113</v>
      </c>
      <c r="C935" s="7">
        <v>108</v>
      </c>
      <c r="D935" s="7" t="s">
        <v>992</v>
      </c>
      <c r="E935" s="41" t="s">
        <v>993</v>
      </c>
      <c r="F935" s="21" t="s">
        <v>993</v>
      </c>
      <c r="G935" s="7" t="s">
        <v>154</v>
      </c>
      <c r="H935" s="7">
        <v>5</v>
      </c>
      <c r="I935" s="10" t="s">
        <v>1957</v>
      </c>
      <c r="J935" s="10">
        <v>1</v>
      </c>
      <c r="K935" s="10">
        <v>1</v>
      </c>
      <c r="L935" s="43">
        <v>26</v>
      </c>
      <c r="M935" s="43"/>
      <c r="N935" s="12" t="s">
        <v>159</v>
      </c>
      <c r="P935" s="10">
        <v>720</v>
      </c>
      <c r="Q935" s="10">
        <v>60</v>
      </c>
      <c r="S935" s="11">
        <v>1</v>
      </c>
      <c r="T935" s="10">
        <v>90</v>
      </c>
      <c r="V935" s="45">
        <v>1</v>
      </c>
      <c r="X935" s="29">
        <v>14.5</v>
      </c>
      <c r="Y935" s="7" t="s">
        <v>45</v>
      </c>
    </row>
    <row r="936" spans="1:27" ht="23.1" customHeight="1" x14ac:dyDescent="0.25">
      <c r="A936" s="20" t="s">
        <v>909</v>
      </c>
      <c r="B936" s="7" t="s">
        <v>113</v>
      </c>
      <c r="C936" s="7">
        <v>18</v>
      </c>
      <c r="D936" s="7" t="s">
        <v>598</v>
      </c>
      <c r="E936" s="41" t="s">
        <v>599</v>
      </c>
      <c r="F936" s="21" t="e">
        <v>#N/A</v>
      </c>
      <c r="H936" s="7">
        <v>30</v>
      </c>
      <c r="I936" s="10"/>
      <c r="K936" s="10">
        <v>0.5</v>
      </c>
      <c r="L936" s="43"/>
      <c r="M936" s="43"/>
      <c r="N936" s="12" t="s">
        <v>108</v>
      </c>
      <c r="V936" s="45"/>
      <c r="W936" s="14">
        <v>8</v>
      </c>
      <c r="X936" s="29">
        <v>8</v>
      </c>
      <c r="Y936" s="7" t="s">
        <v>43</v>
      </c>
      <c r="Z936" t="s">
        <v>994</v>
      </c>
      <c r="AA936" t="s">
        <v>957</v>
      </c>
    </row>
    <row r="937" spans="1:27" ht="23.1" customHeight="1" x14ac:dyDescent="0.25">
      <c r="A937" s="20" t="s">
        <v>909</v>
      </c>
      <c r="B937" s="7" t="s">
        <v>113</v>
      </c>
      <c r="C937" s="7">
        <v>11</v>
      </c>
      <c r="D937" s="7" t="s">
        <v>995</v>
      </c>
      <c r="E937" s="41" t="s">
        <v>996</v>
      </c>
      <c r="F937" s="21" t="e">
        <v>#N/A</v>
      </c>
      <c r="G937" s="7" t="s">
        <v>102</v>
      </c>
      <c r="I937" s="10"/>
      <c r="K937" s="10">
        <v>2</v>
      </c>
      <c r="L937" s="43"/>
      <c r="M937" s="43"/>
      <c r="N937" s="12" t="s">
        <v>108</v>
      </c>
      <c r="V937" s="45"/>
      <c r="W937" s="14">
        <v>15</v>
      </c>
      <c r="X937" s="29">
        <v>15</v>
      </c>
      <c r="Y937" s="7" t="s">
        <v>38</v>
      </c>
      <c r="Z937" t="s">
        <v>997</v>
      </c>
      <c r="AA937" t="s">
        <v>957</v>
      </c>
    </row>
    <row r="938" spans="1:27" ht="23.1" customHeight="1" x14ac:dyDescent="0.25">
      <c r="A938" s="20" t="s">
        <v>909</v>
      </c>
      <c r="B938" s="7" t="s">
        <v>113</v>
      </c>
      <c r="C938" s="7">
        <v>13</v>
      </c>
      <c r="D938" s="7" t="s">
        <v>654</v>
      </c>
      <c r="E938" s="41" t="s">
        <v>246</v>
      </c>
      <c r="F938" s="21" t="s">
        <v>246</v>
      </c>
      <c r="G938" s="7" t="s">
        <v>154</v>
      </c>
      <c r="H938" s="7">
        <v>40</v>
      </c>
      <c r="I938" s="10" t="s">
        <v>1902</v>
      </c>
      <c r="J938" s="10">
        <v>1</v>
      </c>
      <c r="K938" s="10">
        <v>1</v>
      </c>
      <c r="L938" s="43">
        <v>23</v>
      </c>
      <c r="M938" s="43"/>
      <c r="N938" s="12" t="s">
        <v>247</v>
      </c>
      <c r="P938" s="10">
        <v>230</v>
      </c>
      <c r="T938" s="10">
        <v>60</v>
      </c>
      <c r="V938" s="45"/>
      <c r="X938" s="29">
        <v>3.8</v>
      </c>
      <c r="Y938" s="7" t="s">
        <v>72</v>
      </c>
    </row>
    <row r="939" spans="1:27" ht="23.1" customHeight="1" x14ac:dyDescent="0.25">
      <c r="A939" s="20" t="s">
        <v>909</v>
      </c>
      <c r="B939" s="7" t="s">
        <v>113</v>
      </c>
      <c r="C939" s="7">
        <v>13</v>
      </c>
      <c r="D939" s="7" t="s">
        <v>654</v>
      </c>
      <c r="E939" s="41" t="s">
        <v>246</v>
      </c>
      <c r="F939" s="21" t="s">
        <v>246</v>
      </c>
      <c r="G939" s="7" t="s">
        <v>154</v>
      </c>
      <c r="H939" s="7">
        <v>45</v>
      </c>
      <c r="I939" s="10" t="s">
        <v>1954</v>
      </c>
      <c r="J939" s="10">
        <v>2</v>
      </c>
      <c r="K939" s="10">
        <v>3</v>
      </c>
      <c r="L939" s="43">
        <v>31</v>
      </c>
      <c r="M939" s="43">
        <v>19</v>
      </c>
      <c r="N939" s="12" t="s">
        <v>247</v>
      </c>
      <c r="P939" s="10">
        <v>250</v>
      </c>
      <c r="T939" s="10">
        <v>60</v>
      </c>
      <c r="V939" s="45">
        <v>1</v>
      </c>
      <c r="X939" s="29">
        <v>13.5</v>
      </c>
      <c r="Y939" s="7" t="s">
        <v>72</v>
      </c>
    </row>
    <row r="940" spans="1:27" ht="23.1" customHeight="1" x14ac:dyDescent="0.25">
      <c r="A940" s="20" t="s">
        <v>909</v>
      </c>
      <c r="B940" s="7" t="s">
        <v>113</v>
      </c>
      <c r="C940" s="7">
        <v>12</v>
      </c>
      <c r="D940" s="7" t="s">
        <v>735</v>
      </c>
      <c r="E940" s="41" t="s">
        <v>249</v>
      </c>
      <c r="F940" s="21" t="s">
        <v>249</v>
      </c>
      <c r="G940" s="7" t="s">
        <v>250</v>
      </c>
      <c r="H940" s="7">
        <v>15</v>
      </c>
      <c r="I940" s="10" t="s">
        <v>1903</v>
      </c>
      <c r="J940" s="10">
        <v>1.5</v>
      </c>
      <c r="K940" s="10">
        <v>1.5</v>
      </c>
      <c r="L940" s="43">
        <v>23</v>
      </c>
      <c r="M940" s="43">
        <v>19</v>
      </c>
      <c r="N940" s="12" t="s">
        <v>998</v>
      </c>
      <c r="P940" s="10">
        <v>600</v>
      </c>
      <c r="T940" s="10">
        <v>120</v>
      </c>
      <c r="V940" s="45"/>
      <c r="X940" s="29">
        <v>15</v>
      </c>
      <c r="Y940" s="7" t="s">
        <v>72</v>
      </c>
    </row>
    <row r="941" spans="1:27" ht="23.1" customHeight="1" x14ac:dyDescent="0.25">
      <c r="A941" s="20" t="s">
        <v>909</v>
      </c>
      <c r="B941" s="7" t="s">
        <v>113</v>
      </c>
      <c r="C941" s="7">
        <v>22</v>
      </c>
      <c r="D941" s="7" t="s">
        <v>635</v>
      </c>
      <c r="E941" s="41" t="s">
        <v>612</v>
      </c>
      <c r="F941" s="21" t="s">
        <v>612</v>
      </c>
      <c r="G941" s="7" t="s">
        <v>102</v>
      </c>
      <c r="H941" s="7">
        <v>5</v>
      </c>
      <c r="I941" s="10" t="s">
        <v>1957</v>
      </c>
      <c r="J941" s="10">
        <v>0.7</v>
      </c>
      <c r="K941" s="10">
        <v>0.7</v>
      </c>
      <c r="L941" s="43">
        <v>28</v>
      </c>
      <c r="M941" s="43"/>
      <c r="N941" s="12" t="s">
        <v>234</v>
      </c>
      <c r="P941" s="10">
        <v>2400</v>
      </c>
      <c r="Q941" s="10">
        <v>210</v>
      </c>
      <c r="T941" s="10">
        <v>210</v>
      </c>
      <c r="V941" s="45"/>
      <c r="X941" s="29">
        <v>28</v>
      </c>
      <c r="Y941" s="7" t="s">
        <v>58</v>
      </c>
    </row>
    <row r="942" spans="1:27" ht="23.1" customHeight="1" x14ac:dyDescent="0.25">
      <c r="A942" s="20" t="s">
        <v>909</v>
      </c>
      <c r="B942" s="7" t="s">
        <v>113</v>
      </c>
      <c r="C942" s="7">
        <v>22</v>
      </c>
      <c r="D942" s="7" t="s">
        <v>635</v>
      </c>
      <c r="E942" s="41" t="s">
        <v>612</v>
      </c>
      <c r="F942" s="21" t="s">
        <v>612</v>
      </c>
      <c r="G942" s="7" t="s">
        <v>102</v>
      </c>
      <c r="H942" s="7">
        <v>45</v>
      </c>
      <c r="I942" s="10" t="s">
        <v>2015</v>
      </c>
      <c r="J942" s="10">
        <v>0.3</v>
      </c>
      <c r="K942" s="10">
        <v>0.1</v>
      </c>
      <c r="L942" s="43">
        <v>5</v>
      </c>
      <c r="M942" s="43"/>
      <c r="N942" s="12" t="s">
        <v>999</v>
      </c>
      <c r="P942" s="10">
        <v>6000</v>
      </c>
      <c r="Q942" s="10">
        <v>180</v>
      </c>
      <c r="T942" s="10">
        <v>180</v>
      </c>
      <c r="V942" s="45"/>
      <c r="X942" s="29">
        <v>10</v>
      </c>
      <c r="Y942" s="7" t="s">
        <v>58</v>
      </c>
    </row>
    <row r="943" spans="1:27" ht="23.1" customHeight="1" x14ac:dyDescent="0.25">
      <c r="A943" s="20" t="s">
        <v>909</v>
      </c>
      <c r="B943" s="7" t="s">
        <v>113</v>
      </c>
      <c r="C943" s="7">
        <v>22</v>
      </c>
      <c r="D943" s="7" t="s">
        <v>611</v>
      </c>
      <c r="E943" s="41" t="s">
        <v>612</v>
      </c>
      <c r="F943" s="21" t="s">
        <v>612</v>
      </c>
      <c r="G943" s="7" t="s">
        <v>102</v>
      </c>
      <c r="H943" s="7">
        <v>5</v>
      </c>
      <c r="I943" s="10" t="s">
        <v>1957</v>
      </c>
      <c r="K943" s="10">
        <v>0.7</v>
      </c>
      <c r="L943" s="43">
        <v>37</v>
      </c>
      <c r="M943" s="43"/>
      <c r="N943" s="12" t="s">
        <v>159</v>
      </c>
      <c r="P943" s="10">
        <v>2400</v>
      </c>
      <c r="Q943" s="10">
        <v>210</v>
      </c>
      <c r="S943" s="11">
        <v>1</v>
      </c>
      <c r="T943" s="10">
        <v>210</v>
      </c>
      <c r="V943" s="45">
        <v>1</v>
      </c>
      <c r="X943" s="29">
        <v>35</v>
      </c>
      <c r="Y943" s="7" t="s">
        <v>58</v>
      </c>
    </row>
    <row r="944" spans="1:27" ht="23.1" customHeight="1" x14ac:dyDescent="0.25">
      <c r="A944" s="20" t="s">
        <v>909</v>
      </c>
      <c r="B944" s="7" t="s">
        <v>113</v>
      </c>
      <c r="C944" s="7">
        <v>21</v>
      </c>
      <c r="D944" s="7" t="s">
        <v>321</v>
      </c>
      <c r="E944" s="41" t="s">
        <v>322</v>
      </c>
      <c r="F944" s="21" t="s">
        <v>322</v>
      </c>
      <c r="G944" s="7" t="s">
        <v>323</v>
      </c>
      <c r="H944" s="7">
        <v>40</v>
      </c>
      <c r="I944" s="10" t="s">
        <v>2443</v>
      </c>
      <c r="J944" s="10">
        <v>0.3</v>
      </c>
      <c r="K944" s="10">
        <v>0.1</v>
      </c>
      <c r="L944" s="43">
        <v>5</v>
      </c>
      <c r="M944" s="43"/>
      <c r="N944" s="12" t="s">
        <v>860</v>
      </c>
      <c r="P944" s="10">
        <v>390</v>
      </c>
      <c r="Q944" s="10">
        <v>120</v>
      </c>
      <c r="T944" s="10">
        <v>180</v>
      </c>
      <c r="V944" s="45"/>
      <c r="X944" s="29">
        <v>0.7</v>
      </c>
      <c r="Y944" s="7" t="s">
        <v>58</v>
      </c>
    </row>
    <row r="945" spans="1:27" ht="23.1" customHeight="1" x14ac:dyDescent="0.25">
      <c r="A945" s="20" t="s">
        <v>909</v>
      </c>
      <c r="B945" s="7" t="s">
        <v>113</v>
      </c>
      <c r="C945" s="7">
        <v>21</v>
      </c>
      <c r="D945" s="7" t="s">
        <v>321</v>
      </c>
      <c r="E945" s="41" t="s">
        <v>322</v>
      </c>
      <c r="F945" s="21" t="s">
        <v>322</v>
      </c>
      <c r="G945" s="7" t="s">
        <v>323</v>
      </c>
      <c r="H945" s="7">
        <v>25</v>
      </c>
      <c r="I945" s="10" t="s">
        <v>2074</v>
      </c>
      <c r="J945" s="10">
        <v>1</v>
      </c>
      <c r="K945" s="10">
        <v>2</v>
      </c>
      <c r="L945" s="43">
        <v>28</v>
      </c>
      <c r="M945" s="43">
        <v>28</v>
      </c>
      <c r="N945" s="12" t="s">
        <v>1000</v>
      </c>
      <c r="P945" s="10">
        <v>360</v>
      </c>
      <c r="Q945" s="10">
        <v>120</v>
      </c>
      <c r="S945" s="11">
        <v>2</v>
      </c>
      <c r="T945" s="10">
        <v>180</v>
      </c>
      <c r="V945" s="45">
        <v>1</v>
      </c>
      <c r="X945" s="29">
        <v>19</v>
      </c>
      <c r="Y945" s="7" t="s">
        <v>58</v>
      </c>
    </row>
    <row r="946" spans="1:27" ht="23.1" customHeight="1" x14ac:dyDescent="0.25">
      <c r="A946" s="20" t="s">
        <v>909</v>
      </c>
      <c r="B946" s="7" t="s">
        <v>113</v>
      </c>
      <c r="C946" s="7">
        <v>11</v>
      </c>
      <c r="D946" s="7" t="s">
        <v>690</v>
      </c>
      <c r="E946" s="41" t="s">
        <v>691</v>
      </c>
      <c r="F946" s="21" t="s">
        <v>691</v>
      </c>
      <c r="G946" s="7" t="s">
        <v>123</v>
      </c>
      <c r="H946" s="7">
        <v>35</v>
      </c>
      <c r="I946" s="10" t="s">
        <v>2444</v>
      </c>
      <c r="J946" s="10">
        <v>1.3</v>
      </c>
      <c r="K946" s="10">
        <v>2</v>
      </c>
      <c r="L946" s="43">
        <v>9</v>
      </c>
      <c r="M946" s="43">
        <v>9</v>
      </c>
      <c r="N946" s="12" t="s">
        <v>1001</v>
      </c>
      <c r="P946" s="10">
        <v>410</v>
      </c>
      <c r="T946" s="10">
        <v>90</v>
      </c>
      <c r="V946" s="45"/>
      <c r="X946" s="29">
        <v>13.7</v>
      </c>
      <c r="Y946" s="7" t="s">
        <v>38</v>
      </c>
    </row>
    <row r="947" spans="1:27" ht="23.1" customHeight="1" x14ac:dyDescent="0.25">
      <c r="A947" s="20" t="s">
        <v>1002</v>
      </c>
      <c r="B947" s="7" t="s">
        <v>110</v>
      </c>
      <c r="C947" s="7">
        <v>21</v>
      </c>
      <c r="D947" s="7" t="s">
        <v>321</v>
      </c>
      <c r="E947" s="41" t="s">
        <v>322</v>
      </c>
      <c r="F947" s="21" t="s">
        <v>322</v>
      </c>
      <c r="G947" s="7" t="s">
        <v>323</v>
      </c>
      <c r="H947" s="7">
        <v>30</v>
      </c>
      <c r="I947" s="10" t="s">
        <v>2078</v>
      </c>
      <c r="J947" s="10">
        <v>0.7</v>
      </c>
      <c r="K947" s="10">
        <v>0.7</v>
      </c>
      <c r="L947" s="43">
        <v>9</v>
      </c>
      <c r="M947" s="43"/>
      <c r="N947" s="12" t="s">
        <v>1003</v>
      </c>
      <c r="P947" s="10">
        <v>360</v>
      </c>
      <c r="Q947" s="10">
        <v>120</v>
      </c>
      <c r="T947" s="10">
        <v>180</v>
      </c>
      <c r="V947" s="45"/>
      <c r="X947" s="29">
        <v>4.2</v>
      </c>
      <c r="Y947" s="7" t="s">
        <v>49</v>
      </c>
    </row>
    <row r="948" spans="1:27" ht="23.1" customHeight="1" x14ac:dyDescent="0.25">
      <c r="A948" s="20" t="s">
        <v>1002</v>
      </c>
      <c r="B948" s="7" t="s">
        <v>110</v>
      </c>
      <c r="C948" s="7">
        <v>21</v>
      </c>
      <c r="D948" s="7" t="s">
        <v>321</v>
      </c>
      <c r="E948" s="41" t="s">
        <v>322</v>
      </c>
      <c r="F948" s="21" t="s">
        <v>322</v>
      </c>
      <c r="G948" s="7" t="s">
        <v>323</v>
      </c>
      <c r="H948" s="7">
        <v>50</v>
      </c>
      <c r="I948" s="10" t="s">
        <v>1986</v>
      </c>
      <c r="J948" s="10">
        <v>0.5</v>
      </c>
      <c r="K948" s="10">
        <v>0.7</v>
      </c>
      <c r="L948" s="43">
        <v>5</v>
      </c>
      <c r="M948" s="43"/>
      <c r="N948" s="12" t="s">
        <v>860</v>
      </c>
      <c r="P948" s="10">
        <v>630</v>
      </c>
      <c r="Q948" s="10">
        <v>120</v>
      </c>
      <c r="T948" s="10">
        <v>180</v>
      </c>
      <c r="V948" s="45"/>
      <c r="X948" s="29">
        <v>7.4</v>
      </c>
      <c r="Y948" s="7" t="s">
        <v>49</v>
      </c>
    </row>
    <row r="949" spans="1:27" ht="23.1" customHeight="1" x14ac:dyDescent="0.25">
      <c r="A949" s="20" t="s">
        <v>1002</v>
      </c>
      <c r="B949" s="7" t="s">
        <v>110</v>
      </c>
      <c r="C949" s="7">
        <v>22</v>
      </c>
      <c r="D949" s="7" t="s">
        <v>611</v>
      </c>
      <c r="E949" s="41" t="s">
        <v>612</v>
      </c>
      <c r="F949" s="21" t="s">
        <v>612</v>
      </c>
      <c r="G949" s="7" t="s">
        <v>102</v>
      </c>
      <c r="H949" s="7">
        <v>5</v>
      </c>
      <c r="I949" s="10" t="s">
        <v>1957</v>
      </c>
      <c r="J949" s="10">
        <v>0.6</v>
      </c>
      <c r="K949" s="10">
        <v>0.6</v>
      </c>
      <c r="L949" s="43">
        <v>31</v>
      </c>
      <c r="M949" s="43"/>
      <c r="N949" s="12" t="s">
        <v>234</v>
      </c>
      <c r="P949" s="10">
        <v>2400</v>
      </c>
      <c r="Q949" s="10">
        <v>210</v>
      </c>
      <c r="S949" s="11">
        <v>1</v>
      </c>
      <c r="T949" s="10">
        <v>210</v>
      </c>
      <c r="V949" s="45">
        <v>1</v>
      </c>
      <c r="X949" s="29">
        <v>31</v>
      </c>
      <c r="Y949" s="7" t="s">
        <v>49</v>
      </c>
    </row>
    <row r="950" spans="1:27" ht="23.1" customHeight="1" x14ac:dyDescent="0.25">
      <c r="A950" s="20" t="s">
        <v>1002</v>
      </c>
      <c r="B950" s="7" t="s">
        <v>110</v>
      </c>
      <c r="C950" s="7">
        <v>57</v>
      </c>
      <c r="D950" s="7" t="s">
        <v>698</v>
      </c>
      <c r="E950" s="41" t="s">
        <v>699</v>
      </c>
      <c r="F950" s="21" t="e">
        <v>#N/A</v>
      </c>
      <c r="G950" s="7" t="s">
        <v>123</v>
      </c>
      <c r="H950" s="7">
        <v>20</v>
      </c>
      <c r="I950" s="10" t="s">
        <v>2076</v>
      </c>
      <c r="J950" s="10">
        <v>2</v>
      </c>
      <c r="K950" s="10">
        <v>1.5</v>
      </c>
      <c r="L950" s="43">
        <v>26</v>
      </c>
      <c r="M950" s="43">
        <v>26</v>
      </c>
      <c r="N950" s="12" t="s">
        <v>1004</v>
      </c>
      <c r="P950" s="10">
        <v>210</v>
      </c>
      <c r="T950" s="10">
        <v>90</v>
      </c>
      <c r="V950" s="45"/>
      <c r="X950" s="29">
        <v>5.3</v>
      </c>
      <c r="Y950" s="7" t="s">
        <v>0</v>
      </c>
    </row>
    <row r="951" spans="1:27" ht="23.1" customHeight="1" x14ac:dyDescent="0.25">
      <c r="A951" s="20" t="s">
        <v>1002</v>
      </c>
      <c r="B951" s="7" t="s">
        <v>110</v>
      </c>
      <c r="C951" s="7">
        <v>58</v>
      </c>
      <c r="D951" s="7" t="s">
        <v>899</v>
      </c>
      <c r="E951" s="41" t="s">
        <v>409</v>
      </c>
      <c r="F951" s="21" t="s">
        <v>409</v>
      </c>
      <c r="G951" s="7" t="s">
        <v>102</v>
      </c>
      <c r="H951" s="7">
        <v>40</v>
      </c>
      <c r="I951" s="44" t="s">
        <v>2080</v>
      </c>
      <c r="K951" s="10">
        <v>1</v>
      </c>
      <c r="L951" s="43">
        <v>9</v>
      </c>
      <c r="M951" s="43"/>
      <c r="N951" s="12" t="s">
        <v>596</v>
      </c>
      <c r="P951" s="10">
        <v>20</v>
      </c>
      <c r="T951" s="10">
        <v>60</v>
      </c>
      <c r="V951" s="45">
        <v>1</v>
      </c>
      <c r="X951" s="29">
        <v>1.3</v>
      </c>
      <c r="Y951" s="7" t="s">
        <v>0</v>
      </c>
    </row>
    <row r="952" spans="1:27" ht="23.1" customHeight="1" x14ac:dyDescent="0.25">
      <c r="A952" s="20" t="s">
        <v>1002</v>
      </c>
      <c r="B952" s="7" t="s">
        <v>110</v>
      </c>
      <c r="C952" s="7">
        <v>58</v>
      </c>
      <c r="D952" s="7" t="s">
        <v>899</v>
      </c>
      <c r="E952" s="41" t="s">
        <v>409</v>
      </c>
      <c r="F952" s="21" t="s">
        <v>409</v>
      </c>
      <c r="G952" s="7" t="s">
        <v>102</v>
      </c>
      <c r="H952" s="7">
        <v>50</v>
      </c>
      <c r="I952" s="44" t="s">
        <v>2000</v>
      </c>
      <c r="K952" s="10">
        <v>1</v>
      </c>
      <c r="L952" s="43">
        <v>9</v>
      </c>
      <c r="M952" s="43"/>
      <c r="N952" s="12" t="s">
        <v>596</v>
      </c>
      <c r="P952" s="10">
        <v>30</v>
      </c>
      <c r="T952" s="10">
        <v>60</v>
      </c>
      <c r="V952" s="45">
        <v>1</v>
      </c>
      <c r="W952" s="14">
        <v>3</v>
      </c>
      <c r="X952" s="29">
        <v>4.5</v>
      </c>
      <c r="Y952" s="7" t="s">
        <v>0</v>
      </c>
      <c r="Z952" t="s">
        <v>955</v>
      </c>
      <c r="AA952" s="1" t="s">
        <v>238</v>
      </c>
    </row>
    <row r="953" spans="1:27" ht="23.1" customHeight="1" x14ac:dyDescent="0.25">
      <c r="A953" s="20" t="s">
        <v>1002</v>
      </c>
      <c r="B953" s="7" t="s">
        <v>110</v>
      </c>
      <c r="C953" s="7">
        <v>58</v>
      </c>
      <c r="D953" s="7" t="s">
        <v>899</v>
      </c>
      <c r="E953" s="41" t="s">
        <v>409</v>
      </c>
      <c r="F953" s="21" t="s">
        <v>409</v>
      </c>
      <c r="G953" s="7" t="s">
        <v>102</v>
      </c>
      <c r="H953" s="7">
        <v>55</v>
      </c>
      <c r="I953" s="44" t="s">
        <v>2105</v>
      </c>
      <c r="K953" s="10">
        <v>1</v>
      </c>
      <c r="L953" s="43">
        <v>26</v>
      </c>
      <c r="M953" s="43"/>
      <c r="N953" s="12" t="s">
        <v>596</v>
      </c>
      <c r="P953" s="10">
        <v>30</v>
      </c>
      <c r="T953" s="10">
        <v>60</v>
      </c>
      <c r="V953" s="45">
        <v>1</v>
      </c>
      <c r="W953" s="14">
        <v>2</v>
      </c>
      <c r="X953" s="29">
        <v>3.5</v>
      </c>
      <c r="Y953" s="7" t="s">
        <v>0</v>
      </c>
      <c r="Z953" t="s">
        <v>926</v>
      </c>
      <c r="AA953" s="1" t="s">
        <v>238</v>
      </c>
    </row>
    <row r="954" spans="1:27" ht="23.1" customHeight="1" x14ac:dyDescent="0.25">
      <c r="A954" s="20" t="s">
        <v>1002</v>
      </c>
      <c r="B954" s="7" t="s">
        <v>110</v>
      </c>
      <c r="C954" s="7">
        <v>59</v>
      </c>
      <c r="D954" s="7" t="s">
        <v>753</v>
      </c>
      <c r="E954" s="41" t="s">
        <v>409</v>
      </c>
      <c r="F954" s="21" t="s">
        <v>409</v>
      </c>
      <c r="G954" s="7" t="s">
        <v>102</v>
      </c>
      <c r="H954" s="7">
        <v>20</v>
      </c>
      <c r="I954" s="10" t="s">
        <v>2106</v>
      </c>
      <c r="K954" s="10">
        <v>8</v>
      </c>
      <c r="L954" s="43">
        <v>19</v>
      </c>
      <c r="M954" s="43">
        <v>26</v>
      </c>
      <c r="N954" s="12" t="s">
        <v>596</v>
      </c>
      <c r="P954" s="10">
        <v>25</v>
      </c>
      <c r="T954" s="10">
        <v>60</v>
      </c>
      <c r="V954" s="45">
        <v>1</v>
      </c>
      <c r="W954" s="14">
        <v>5</v>
      </c>
      <c r="X954" s="29">
        <v>9.3000000000000007</v>
      </c>
      <c r="Y954" s="7" t="s">
        <v>6</v>
      </c>
      <c r="Z954" t="s">
        <v>1005</v>
      </c>
      <c r="AA954" t="s">
        <v>957</v>
      </c>
    </row>
    <row r="955" spans="1:27" ht="23.1" customHeight="1" x14ac:dyDescent="0.25">
      <c r="A955" s="20" t="s">
        <v>1002</v>
      </c>
      <c r="B955" s="7" t="s">
        <v>110</v>
      </c>
      <c r="C955" s="7">
        <v>14</v>
      </c>
      <c r="D955" s="7" t="s">
        <v>235</v>
      </c>
      <c r="E955" s="41" t="s">
        <v>236</v>
      </c>
      <c r="F955" s="21" t="s">
        <v>236</v>
      </c>
      <c r="G955" s="7" t="s">
        <v>154</v>
      </c>
      <c r="H955" s="7">
        <v>70</v>
      </c>
      <c r="I955" s="10" t="s">
        <v>1995</v>
      </c>
      <c r="J955" s="10">
        <v>0.7</v>
      </c>
      <c r="K955" s="10">
        <v>0.4</v>
      </c>
      <c r="L955" s="43">
        <v>9</v>
      </c>
      <c r="M955" s="43"/>
      <c r="N955" s="12" t="s">
        <v>234</v>
      </c>
      <c r="P955" s="10">
        <v>1320</v>
      </c>
      <c r="T955" s="10">
        <v>120</v>
      </c>
      <c r="V955" s="45"/>
      <c r="X955" s="29">
        <v>8.8000000000000007</v>
      </c>
      <c r="Y955" s="7" t="s">
        <v>60</v>
      </c>
    </row>
    <row r="956" spans="1:27" ht="23.1" customHeight="1" x14ac:dyDescent="0.25">
      <c r="A956" s="20" t="s">
        <v>1002</v>
      </c>
      <c r="B956" s="7" t="s">
        <v>110</v>
      </c>
      <c r="C956" s="7">
        <v>14</v>
      </c>
      <c r="D956" s="7" t="s">
        <v>235</v>
      </c>
      <c r="E956" s="41" t="s">
        <v>236</v>
      </c>
      <c r="F956" s="21" t="s">
        <v>236</v>
      </c>
      <c r="G956" s="7" t="s">
        <v>154</v>
      </c>
      <c r="H956" s="7">
        <v>75</v>
      </c>
      <c r="I956" s="10" t="s">
        <v>2041</v>
      </c>
      <c r="K956" s="10">
        <v>1</v>
      </c>
      <c r="L956" s="43">
        <v>23</v>
      </c>
      <c r="M956" s="43"/>
      <c r="N956" s="12" t="s">
        <v>234</v>
      </c>
      <c r="P956" s="10">
        <v>300</v>
      </c>
      <c r="T956" s="10">
        <v>120</v>
      </c>
      <c r="V956" s="45">
        <v>1</v>
      </c>
      <c r="W956" s="14">
        <v>3</v>
      </c>
      <c r="X956" s="29">
        <v>10</v>
      </c>
      <c r="Y956" s="7" t="s">
        <v>60</v>
      </c>
      <c r="Z956" t="s">
        <v>1006</v>
      </c>
    </row>
    <row r="957" spans="1:27" ht="23.1" customHeight="1" x14ac:dyDescent="0.25">
      <c r="A957" s="20" t="s">
        <v>1002</v>
      </c>
      <c r="B957" s="7" t="s">
        <v>110</v>
      </c>
      <c r="C957" s="7">
        <v>14</v>
      </c>
      <c r="D957" s="7" t="s">
        <v>116</v>
      </c>
      <c r="E957" s="41" t="s">
        <v>117</v>
      </c>
      <c r="F957" s="21" t="s">
        <v>117</v>
      </c>
      <c r="G957" s="7" t="s">
        <v>118</v>
      </c>
      <c r="H957" s="7">
        <v>5</v>
      </c>
      <c r="I957" s="10" t="s">
        <v>1930</v>
      </c>
      <c r="K957" s="10">
        <v>6</v>
      </c>
      <c r="L957" s="43">
        <v>19</v>
      </c>
      <c r="M957" s="43">
        <v>19</v>
      </c>
      <c r="N957" s="12" t="s">
        <v>256</v>
      </c>
      <c r="P957" s="10">
        <v>80</v>
      </c>
      <c r="T957" s="10">
        <v>60</v>
      </c>
      <c r="V957" s="45"/>
      <c r="X957" s="29">
        <v>8</v>
      </c>
      <c r="Y957" s="7" t="s">
        <v>60</v>
      </c>
    </row>
    <row r="958" spans="1:27" ht="23.1" customHeight="1" x14ac:dyDescent="0.25">
      <c r="A958" s="20" t="s">
        <v>1002</v>
      </c>
      <c r="B958" s="7" t="s">
        <v>110</v>
      </c>
      <c r="C958" s="7">
        <v>14</v>
      </c>
      <c r="D958" s="7" t="s">
        <v>116</v>
      </c>
      <c r="E958" s="41" t="s">
        <v>117</v>
      </c>
      <c r="F958" s="21" t="s">
        <v>117</v>
      </c>
      <c r="G958" s="7" t="s">
        <v>118</v>
      </c>
      <c r="H958" s="7">
        <v>7</v>
      </c>
      <c r="I958" s="10"/>
      <c r="K958" s="10">
        <v>6</v>
      </c>
      <c r="L958" s="43">
        <v>19</v>
      </c>
      <c r="M958" s="43">
        <v>19</v>
      </c>
      <c r="N958" s="12" t="s">
        <v>256</v>
      </c>
      <c r="O958" s="10">
        <v>80</v>
      </c>
      <c r="V958" s="45"/>
      <c r="X958" s="32">
        <v>8</v>
      </c>
      <c r="Y958" s="7" t="s">
        <v>60</v>
      </c>
    </row>
    <row r="959" spans="1:27" ht="23.1" customHeight="1" x14ac:dyDescent="0.25">
      <c r="A959" s="20" t="s">
        <v>1002</v>
      </c>
      <c r="B959" s="7" t="s">
        <v>110</v>
      </c>
      <c r="C959" s="7">
        <v>14</v>
      </c>
      <c r="D959" s="7" t="s">
        <v>116</v>
      </c>
      <c r="E959" s="41" t="s">
        <v>117</v>
      </c>
      <c r="F959" s="21" t="s">
        <v>117</v>
      </c>
      <c r="G959" s="7" t="s">
        <v>118</v>
      </c>
      <c r="H959" s="7">
        <v>8</v>
      </c>
      <c r="I959" s="10"/>
      <c r="K959" s="10">
        <v>6</v>
      </c>
      <c r="L959" s="43">
        <v>19</v>
      </c>
      <c r="M959" s="43">
        <v>19</v>
      </c>
      <c r="N959" s="12" t="s">
        <v>256</v>
      </c>
      <c r="O959" s="10">
        <v>90</v>
      </c>
      <c r="V959" s="45"/>
      <c r="X959" s="32">
        <v>9</v>
      </c>
      <c r="Y959" s="7" t="s">
        <v>60</v>
      </c>
    </row>
    <row r="960" spans="1:27" ht="23.1" customHeight="1" x14ac:dyDescent="0.25">
      <c r="A960" s="20" t="s">
        <v>1002</v>
      </c>
      <c r="B960" s="7" t="s">
        <v>110</v>
      </c>
      <c r="C960" s="7">
        <v>15</v>
      </c>
      <c r="D960" s="7" t="s">
        <v>116</v>
      </c>
      <c r="E960" s="41" t="s">
        <v>117</v>
      </c>
      <c r="F960" s="21" t="s">
        <v>117</v>
      </c>
      <c r="G960" s="7" t="s">
        <v>118</v>
      </c>
      <c r="H960" s="7">
        <v>5</v>
      </c>
      <c r="I960" s="10" t="s">
        <v>1930</v>
      </c>
      <c r="K960" s="10">
        <v>6</v>
      </c>
      <c r="L960" s="43">
        <v>19</v>
      </c>
      <c r="M960" s="43">
        <v>19</v>
      </c>
      <c r="N960" s="12" t="s">
        <v>256</v>
      </c>
      <c r="P960" s="10">
        <v>80</v>
      </c>
      <c r="T960" s="10">
        <v>60</v>
      </c>
      <c r="V960" s="45">
        <v>1</v>
      </c>
      <c r="X960" s="29">
        <v>9</v>
      </c>
      <c r="Y960" s="7" t="s">
        <v>60</v>
      </c>
    </row>
    <row r="961" spans="1:27" ht="23.1" customHeight="1" x14ac:dyDescent="0.25">
      <c r="A961" s="20" t="s">
        <v>1002</v>
      </c>
      <c r="B961" s="7" t="s">
        <v>110</v>
      </c>
      <c r="C961" s="7">
        <v>15</v>
      </c>
      <c r="D961" s="7" t="s">
        <v>116</v>
      </c>
      <c r="E961" s="41" t="s">
        <v>117</v>
      </c>
      <c r="F961" s="21" t="s">
        <v>117</v>
      </c>
      <c r="G961" s="7" t="s">
        <v>118</v>
      </c>
      <c r="H961" s="7">
        <v>7</v>
      </c>
      <c r="I961" s="10"/>
      <c r="K961" s="10">
        <v>6</v>
      </c>
      <c r="L961" s="43">
        <v>19</v>
      </c>
      <c r="M961" s="43">
        <v>19</v>
      </c>
      <c r="N961" s="12" t="s">
        <v>256</v>
      </c>
      <c r="O961" s="10">
        <v>80</v>
      </c>
      <c r="T961" s="10">
        <v>60</v>
      </c>
      <c r="V961" s="45">
        <v>1</v>
      </c>
      <c r="X961" s="32">
        <v>8</v>
      </c>
      <c r="Y961" s="7" t="s">
        <v>60</v>
      </c>
    </row>
    <row r="962" spans="1:27" ht="23.1" customHeight="1" x14ac:dyDescent="0.25">
      <c r="A962" s="20" t="s">
        <v>1002</v>
      </c>
      <c r="B962" s="7" t="s">
        <v>110</v>
      </c>
      <c r="C962" s="7">
        <v>15</v>
      </c>
      <c r="D962" s="7" t="s">
        <v>116</v>
      </c>
      <c r="E962" s="41" t="s">
        <v>117</v>
      </c>
      <c r="F962" s="21" t="s">
        <v>117</v>
      </c>
      <c r="G962" s="7" t="s">
        <v>118</v>
      </c>
      <c r="H962" s="7">
        <v>8</v>
      </c>
      <c r="I962" s="10"/>
      <c r="K962" s="10">
        <v>6</v>
      </c>
      <c r="L962" s="43">
        <v>19</v>
      </c>
      <c r="M962" s="43">
        <v>19</v>
      </c>
      <c r="N962" s="12" t="s">
        <v>256</v>
      </c>
      <c r="O962" s="10">
        <v>90</v>
      </c>
      <c r="T962" s="10">
        <v>60</v>
      </c>
      <c r="V962" s="45">
        <v>1</v>
      </c>
      <c r="X962" s="32">
        <v>9</v>
      </c>
      <c r="Y962" s="7" t="s">
        <v>60</v>
      </c>
    </row>
    <row r="963" spans="1:27" ht="23.1" customHeight="1" x14ac:dyDescent="0.25">
      <c r="A963" s="20" t="s">
        <v>1002</v>
      </c>
      <c r="B963" s="7" t="s">
        <v>110</v>
      </c>
      <c r="C963" s="7">
        <v>47</v>
      </c>
      <c r="D963" s="7" t="s">
        <v>826</v>
      </c>
      <c r="E963" s="41" t="s">
        <v>827</v>
      </c>
      <c r="F963" s="21" t="s">
        <v>827</v>
      </c>
      <c r="G963" s="7" t="s">
        <v>118</v>
      </c>
      <c r="H963" s="7">
        <v>15</v>
      </c>
      <c r="I963" s="10" t="s">
        <v>2071</v>
      </c>
      <c r="J963" s="10">
        <v>0.1</v>
      </c>
      <c r="K963" s="10">
        <v>0.1</v>
      </c>
      <c r="L963" s="43">
        <v>9</v>
      </c>
      <c r="M963" s="43"/>
      <c r="N963" s="12" t="s">
        <v>1007</v>
      </c>
      <c r="P963" s="10">
        <v>1440</v>
      </c>
      <c r="Q963" s="10">
        <v>90</v>
      </c>
      <c r="T963" s="10">
        <v>90</v>
      </c>
      <c r="V963" s="45"/>
      <c r="X963" s="29">
        <v>2.4</v>
      </c>
      <c r="Y963" s="7" t="s">
        <v>22</v>
      </c>
    </row>
    <row r="964" spans="1:27" ht="23.1" customHeight="1" x14ac:dyDescent="0.25">
      <c r="A964" s="20" t="s">
        <v>1002</v>
      </c>
      <c r="B964" s="7" t="s">
        <v>110</v>
      </c>
      <c r="C964" s="7">
        <v>47</v>
      </c>
      <c r="D964" s="7" t="s">
        <v>826</v>
      </c>
      <c r="E964" s="41" t="s">
        <v>827</v>
      </c>
      <c r="F964" s="21" t="s">
        <v>827</v>
      </c>
      <c r="G964" s="7" t="s">
        <v>118</v>
      </c>
      <c r="H964" s="7">
        <v>20</v>
      </c>
      <c r="I964" s="10" t="s">
        <v>2107</v>
      </c>
      <c r="J964" s="10">
        <v>0.8</v>
      </c>
      <c r="K964" s="10">
        <v>0.8</v>
      </c>
      <c r="L964" s="43">
        <v>28</v>
      </c>
      <c r="M964" s="43"/>
      <c r="N964" s="12" t="s">
        <v>780</v>
      </c>
      <c r="P964" s="10">
        <v>780</v>
      </c>
      <c r="Q964" s="10">
        <v>90</v>
      </c>
      <c r="S964" s="11">
        <v>1</v>
      </c>
      <c r="T964" s="10">
        <v>60</v>
      </c>
      <c r="V964" s="45">
        <v>1</v>
      </c>
      <c r="X964" s="29">
        <v>12.9</v>
      </c>
      <c r="Y964" s="7" t="s">
        <v>22</v>
      </c>
    </row>
    <row r="965" spans="1:27" ht="23.1" customHeight="1" x14ac:dyDescent="0.25">
      <c r="A965" s="20" t="s">
        <v>1002</v>
      </c>
      <c r="B965" s="7" t="s">
        <v>110</v>
      </c>
      <c r="C965" s="7">
        <v>23</v>
      </c>
      <c r="D965" s="7" t="s">
        <v>990</v>
      </c>
      <c r="E965" s="41" t="s">
        <v>991</v>
      </c>
      <c r="F965" s="21" t="s">
        <v>991</v>
      </c>
      <c r="G965" s="7" t="s">
        <v>118</v>
      </c>
      <c r="H965" s="7">
        <v>10</v>
      </c>
      <c r="I965" s="10" t="s">
        <v>2108</v>
      </c>
      <c r="J965" s="10">
        <v>3</v>
      </c>
      <c r="K965" s="10">
        <v>3</v>
      </c>
      <c r="L965" s="43">
        <v>9</v>
      </c>
      <c r="M965" s="43">
        <v>9</v>
      </c>
      <c r="N965" s="12" t="s">
        <v>1008</v>
      </c>
      <c r="P965" s="10">
        <v>150</v>
      </c>
      <c r="Q965" s="10">
        <v>60</v>
      </c>
      <c r="S965" s="11">
        <v>3</v>
      </c>
      <c r="T965" s="10">
        <v>90</v>
      </c>
      <c r="V965" s="45">
        <v>1</v>
      </c>
      <c r="W965" s="14">
        <v>2</v>
      </c>
      <c r="X965" s="29">
        <v>14</v>
      </c>
      <c r="Y965" s="7" t="s">
        <v>22</v>
      </c>
      <c r="Z965" t="s">
        <v>953</v>
      </c>
    </row>
    <row r="966" spans="1:27" ht="23.1" customHeight="1" x14ac:dyDescent="0.25">
      <c r="A966" s="20" t="s">
        <v>1002</v>
      </c>
      <c r="B966" s="7" t="s">
        <v>110</v>
      </c>
      <c r="C966" s="7">
        <v>23</v>
      </c>
      <c r="D966" s="7" t="s">
        <v>987</v>
      </c>
      <c r="E966" s="41" t="s">
        <v>988</v>
      </c>
      <c r="F966" s="21" t="s">
        <v>988</v>
      </c>
      <c r="G966" s="7" t="s">
        <v>118</v>
      </c>
      <c r="H966" s="7">
        <v>10</v>
      </c>
      <c r="I966" s="10" t="s">
        <v>2108</v>
      </c>
      <c r="J966" s="10">
        <v>1</v>
      </c>
      <c r="K966" s="10">
        <v>3</v>
      </c>
      <c r="L966" s="43">
        <v>9</v>
      </c>
      <c r="M966" s="43">
        <v>5</v>
      </c>
      <c r="N966" s="12" t="s">
        <v>256</v>
      </c>
      <c r="P966" s="10">
        <v>150</v>
      </c>
      <c r="Q966" s="10">
        <v>60</v>
      </c>
      <c r="S966" s="11">
        <v>3</v>
      </c>
      <c r="T966" s="10">
        <v>90</v>
      </c>
      <c r="V966" s="45">
        <v>1</v>
      </c>
      <c r="X966" s="29">
        <v>12</v>
      </c>
      <c r="Y966" s="7" t="s">
        <v>22</v>
      </c>
    </row>
    <row r="967" spans="1:27" ht="23.1" customHeight="1" x14ac:dyDescent="0.25">
      <c r="A967" s="20" t="s">
        <v>1002</v>
      </c>
      <c r="B967" s="7" t="s">
        <v>110</v>
      </c>
      <c r="C967" s="7">
        <v>78</v>
      </c>
      <c r="D967" s="7" t="s">
        <v>132</v>
      </c>
      <c r="E967" s="41" t="s">
        <v>133</v>
      </c>
      <c r="F967" s="21" t="s">
        <v>133</v>
      </c>
      <c r="G967" s="7" t="s">
        <v>102</v>
      </c>
      <c r="H967" s="7">
        <v>83</v>
      </c>
      <c r="I967" s="10"/>
      <c r="J967" s="10">
        <v>1</v>
      </c>
      <c r="K967" s="10">
        <v>1</v>
      </c>
      <c r="L967" s="43">
        <v>5</v>
      </c>
      <c r="M967" s="43"/>
      <c r="N967" s="12" t="s">
        <v>103</v>
      </c>
      <c r="S967" s="11">
        <v>1</v>
      </c>
      <c r="V967" s="45">
        <v>1</v>
      </c>
      <c r="W967" s="14">
        <v>18</v>
      </c>
      <c r="X967" s="32">
        <v>18</v>
      </c>
      <c r="Y967" s="7" t="s">
        <v>5</v>
      </c>
      <c r="Z967" t="s">
        <v>1009</v>
      </c>
      <c r="AA967" t="s">
        <v>957</v>
      </c>
    </row>
    <row r="968" spans="1:27" ht="23.1" customHeight="1" x14ac:dyDescent="0.25">
      <c r="A968" s="20" t="s">
        <v>1002</v>
      </c>
      <c r="B968" s="7" t="s">
        <v>110</v>
      </c>
      <c r="C968" s="7">
        <v>78</v>
      </c>
      <c r="D968" s="7" t="s">
        <v>261</v>
      </c>
      <c r="E968" s="41" t="s">
        <v>133</v>
      </c>
      <c r="F968" s="21" t="s">
        <v>133</v>
      </c>
      <c r="G968" s="7" t="s">
        <v>102</v>
      </c>
      <c r="H968" s="7">
        <v>83</v>
      </c>
      <c r="I968" s="10"/>
      <c r="J968" s="10">
        <v>1</v>
      </c>
      <c r="K968" s="10">
        <v>1</v>
      </c>
      <c r="L968" s="43">
        <v>5</v>
      </c>
      <c r="M968" s="43"/>
      <c r="N968" s="12" t="s">
        <v>103</v>
      </c>
      <c r="S968" s="11">
        <v>1</v>
      </c>
      <c r="V968" s="45">
        <v>1</v>
      </c>
      <c r="W968" s="14">
        <v>2</v>
      </c>
      <c r="X968" s="32">
        <v>2</v>
      </c>
      <c r="Y968" s="7" t="s">
        <v>5</v>
      </c>
      <c r="Z968" t="s">
        <v>1010</v>
      </c>
      <c r="AA968" s="1" t="s">
        <v>238</v>
      </c>
    </row>
    <row r="969" spans="1:27" ht="23.1" customHeight="1" x14ac:dyDescent="0.25">
      <c r="A969" s="20" t="s">
        <v>1002</v>
      </c>
      <c r="B969" s="7" t="s">
        <v>110</v>
      </c>
      <c r="C969" s="7">
        <v>84</v>
      </c>
      <c r="D969" s="7" t="s">
        <v>423</v>
      </c>
      <c r="E969" s="41" t="s">
        <v>424</v>
      </c>
      <c r="F969" s="21" t="s">
        <v>424</v>
      </c>
      <c r="G969" s="7" t="s">
        <v>107</v>
      </c>
      <c r="H969" s="7">
        <v>38</v>
      </c>
      <c r="I969" s="10"/>
      <c r="J969" s="10">
        <v>1</v>
      </c>
      <c r="K969" s="10">
        <v>1</v>
      </c>
      <c r="L969" s="43">
        <v>37</v>
      </c>
      <c r="M969" s="43">
        <v>37</v>
      </c>
      <c r="N969" s="12" t="s">
        <v>780</v>
      </c>
      <c r="O969" s="10">
        <v>90</v>
      </c>
      <c r="R969" s="10">
        <v>30</v>
      </c>
      <c r="S969" s="11">
        <v>1</v>
      </c>
      <c r="V969" s="45"/>
      <c r="W969" s="14">
        <v>3</v>
      </c>
      <c r="X969" s="32">
        <v>5</v>
      </c>
      <c r="Y969" s="7" t="s">
        <v>68</v>
      </c>
      <c r="Z969" t="s">
        <v>1011</v>
      </c>
    </row>
    <row r="970" spans="1:27" ht="23.1" customHeight="1" x14ac:dyDescent="0.25">
      <c r="A970" s="20" t="s">
        <v>1002</v>
      </c>
      <c r="B970" s="7" t="s">
        <v>110</v>
      </c>
      <c r="C970" s="7">
        <v>84</v>
      </c>
      <c r="D970" s="7" t="s">
        <v>423</v>
      </c>
      <c r="E970" s="41" t="s">
        <v>424</v>
      </c>
      <c r="F970" s="21" t="s">
        <v>424</v>
      </c>
      <c r="G970" s="7" t="s">
        <v>107</v>
      </c>
      <c r="H970" s="7">
        <v>40</v>
      </c>
      <c r="I970" s="10" t="s">
        <v>2096</v>
      </c>
      <c r="J970" s="10">
        <v>1</v>
      </c>
      <c r="K970" s="10">
        <v>1</v>
      </c>
      <c r="L970" s="43">
        <v>37</v>
      </c>
      <c r="M970" s="43">
        <v>37</v>
      </c>
      <c r="P970" s="10">
        <v>360</v>
      </c>
      <c r="Q970" s="10">
        <v>30</v>
      </c>
      <c r="T970" s="10">
        <v>120</v>
      </c>
      <c r="V970" s="45"/>
      <c r="X970" s="29">
        <v>6</v>
      </c>
      <c r="Y970" s="7" t="s">
        <v>68</v>
      </c>
    </row>
    <row r="971" spans="1:27" ht="23.1" customHeight="1" x14ac:dyDescent="0.25">
      <c r="A971" s="20" t="s">
        <v>1002</v>
      </c>
      <c r="B971" s="7" t="s">
        <v>110</v>
      </c>
      <c r="C971" s="7">
        <v>84</v>
      </c>
      <c r="D971" s="7" t="s">
        <v>958</v>
      </c>
      <c r="E971" s="41" t="s">
        <v>317</v>
      </c>
      <c r="F971" s="21" t="s">
        <v>317</v>
      </c>
      <c r="G971" s="7" t="s">
        <v>154</v>
      </c>
      <c r="H971" s="7">
        <v>30</v>
      </c>
      <c r="I971" s="10" t="s">
        <v>2072</v>
      </c>
      <c r="J971" s="10">
        <v>0.6</v>
      </c>
      <c r="K971" s="10">
        <v>0.8</v>
      </c>
      <c r="L971" s="43">
        <v>5</v>
      </c>
      <c r="M971" s="43"/>
      <c r="N971" s="12" t="s">
        <v>159</v>
      </c>
      <c r="P971" s="10">
        <v>600</v>
      </c>
      <c r="Q971" s="10">
        <v>60</v>
      </c>
      <c r="T971" s="10">
        <v>120</v>
      </c>
      <c r="V971" s="45"/>
      <c r="X971" s="29">
        <v>8</v>
      </c>
      <c r="Y971" s="7" t="s">
        <v>68</v>
      </c>
    </row>
    <row r="972" spans="1:27" ht="23.1" customHeight="1" x14ac:dyDescent="0.25">
      <c r="A972" s="20" t="s">
        <v>1002</v>
      </c>
      <c r="B972" s="7" t="s">
        <v>110</v>
      </c>
      <c r="C972" s="7">
        <v>69</v>
      </c>
      <c r="D972" s="7" t="s">
        <v>1012</v>
      </c>
      <c r="E972" s="41" t="s">
        <v>1013</v>
      </c>
      <c r="F972" s="21" t="s">
        <v>1013</v>
      </c>
      <c r="G972" s="7" t="s">
        <v>250</v>
      </c>
      <c r="H972" s="7">
        <v>35</v>
      </c>
      <c r="I972" s="10" t="s">
        <v>2109</v>
      </c>
      <c r="J972" s="10">
        <v>6</v>
      </c>
      <c r="K972" s="10">
        <v>6</v>
      </c>
      <c r="L972" s="43">
        <v>9</v>
      </c>
      <c r="M972" s="43">
        <v>28</v>
      </c>
      <c r="N972" s="12" t="s">
        <v>1014</v>
      </c>
      <c r="P972" s="10">
        <v>120</v>
      </c>
      <c r="Q972" s="10">
        <v>60</v>
      </c>
      <c r="S972" s="11">
        <v>6</v>
      </c>
      <c r="T972" s="10">
        <v>120</v>
      </c>
      <c r="V972" s="45">
        <v>1</v>
      </c>
      <c r="W972" s="10">
        <v>4</v>
      </c>
      <c r="X972" s="29">
        <v>24</v>
      </c>
      <c r="Y972" s="7" t="s">
        <v>68</v>
      </c>
      <c r="Z972" t="s">
        <v>1015</v>
      </c>
    </row>
    <row r="973" spans="1:27" ht="23.1" customHeight="1" x14ac:dyDescent="0.25">
      <c r="A973" s="20" t="s">
        <v>1002</v>
      </c>
      <c r="B973" s="7" t="s">
        <v>110</v>
      </c>
      <c r="C973" s="7">
        <v>69</v>
      </c>
      <c r="D973" s="7" t="s">
        <v>1012</v>
      </c>
      <c r="E973" s="41" t="s">
        <v>1013</v>
      </c>
      <c r="F973" s="21" t="s">
        <v>1013</v>
      </c>
      <c r="G973" s="7" t="s">
        <v>250</v>
      </c>
      <c r="H973" s="7">
        <v>35</v>
      </c>
      <c r="I973" s="10" t="s">
        <v>2109</v>
      </c>
      <c r="K973" s="10">
        <v>1</v>
      </c>
      <c r="L973" s="43">
        <v>37</v>
      </c>
      <c r="M973" s="43"/>
      <c r="N973" s="12" t="s">
        <v>1014</v>
      </c>
      <c r="P973" s="10">
        <v>120</v>
      </c>
      <c r="Q973" s="10">
        <v>60</v>
      </c>
      <c r="S973" s="11">
        <v>1</v>
      </c>
      <c r="T973" s="10">
        <v>120</v>
      </c>
      <c r="V973" s="45"/>
      <c r="X973" s="29">
        <v>3</v>
      </c>
      <c r="Y973" s="7" t="s">
        <v>68</v>
      </c>
    </row>
    <row r="974" spans="1:27" ht="23.1" customHeight="1" x14ac:dyDescent="0.25">
      <c r="A974" s="20" t="s">
        <v>1002</v>
      </c>
      <c r="B974" s="7" t="s">
        <v>110</v>
      </c>
      <c r="C974" s="7">
        <v>91</v>
      </c>
      <c r="D974" s="7" t="s">
        <v>931</v>
      </c>
      <c r="E974" s="41" t="s">
        <v>932</v>
      </c>
      <c r="F974" s="21" t="s">
        <v>932</v>
      </c>
      <c r="G974" s="7" t="s">
        <v>154</v>
      </c>
      <c r="H974" s="7">
        <v>60</v>
      </c>
      <c r="I974" s="10" t="s">
        <v>2095</v>
      </c>
      <c r="J974" s="10">
        <v>0.4</v>
      </c>
      <c r="K974" s="10">
        <v>0.4</v>
      </c>
      <c r="L974" s="43">
        <v>23</v>
      </c>
      <c r="M974" s="43">
        <v>5</v>
      </c>
      <c r="N974" s="12" t="s">
        <v>930</v>
      </c>
      <c r="P974" s="10">
        <v>1000</v>
      </c>
      <c r="T974" s="10">
        <v>90</v>
      </c>
      <c r="V974" s="45"/>
      <c r="W974" s="14">
        <v>3</v>
      </c>
      <c r="X974" s="29">
        <v>9.6999999999999993</v>
      </c>
      <c r="Y974" s="7" t="s">
        <v>68</v>
      </c>
      <c r="Z974" t="s">
        <v>1011</v>
      </c>
    </row>
    <row r="975" spans="1:27" ht="23.1" customHeight="1" x14ac:dyDescent="0.25">
      <c r="A975" s="20" t="s">
        <v>1002</v>
      </c>
      <c r="B975" s="7" t="s">
        <v>110</v>
      </c>
      <c r="C975" s="7">
        <v>91</v>
      </c>
      <c r="D975" s="42" t="s">
        <v>254</v>
      </c>
      <c r="E975" s="41" t="s">
        <v>1016</v>
      </c>
      <c r="F975" s="21" t="s">
        <v>1016</v>
      </c>
      <c r="G975" s="3" t="s">
        <v>375</v>
      </c>
      <c r="H975" s="7">
        <v>40</v>
      </c>
      <c r="I975" s="10" t="s">
        <v>2110</v>
      </c>
      <c r="L975" s="43"/>
      <c r="M975" s="43"/>
      <c r="N975" s="12" t="s">
        <v>1017</v>
      </c>
      <c r="P975" s="10">
        <v>3000</v>
      </c>
      <c r="Q975" s="10">
        <v>90</v>
      </c>
      <c r="T975" s="10">
        <v>120</v>
      </c>
      <c r="V975" s="45"/>
      <c r="W975" s="14">
        <v>5</v>
      </c>
      <c r="X975" s="29">
        <v>5</v>
      </c>
      <c r="Y975" s="7" t="s">
        <v>68</v>
      </c>
      <c r="Z975" t="s">
        <v>943</v>
      </c>
    </row>
    <row r="976" spans="1:27" ht="23.1" customHeight="1" x14ac:dyDescent="0.25">
      <c r="A976" s="20" t="s">
        <v>1002</v>
      </c>
      <c r="B976" s="7" t="s">
        <v>110</v>
      </c>
      <c r="C976" s="7">
        <v>24</v>
      </c>
      <c r="D976" s="7" t="s">
        <v>776</v>
      </c>
      <c r="E976" s="41" t="s">
        <v>777</v>
      </c>
      <c r="F976" s="21" t="s">
        <v>777</v>
      </c>
      <c r="G976" s="7" t="s">
        <v>107</v>
      </c>
      <c r="H976" s="7">
        <v>30</v>
      </c>
      <c r="I976" s="10" t="s">
        <v>2061</v>
      </c>
      <c r="J976" s="10">
        <v>0.4</v>
      </c>
      <c r="K976" s="10">
        <v>0.6</v>
      </c>
      <c r="L976" s="43">
        <v>37</v>
      </c>
      <c r="M976" s="43"/>
      <c r="N976" s="12" t="s">
        <v>840</v>
      </c>
      <c r="P976" s="10">
        <v>1700</v>
      </c>
      <c r="Q976" s="10">
        <v>120</v>
      </c>
      <c r="T976" s="10">
        <v>210</v>
      </c>
      <c r="V976" s="45"/>
      <c r="X976" s="29">
        <v>17</v>
      </c>
      <c r="Y976" s="7" t="s">
        <v>68</v>
      </c>
    </row>
    <row r="977" spans="1:27" ht="23.1" customHeight="1" x14ac:dyDescent="0.25">
      <c r="A977" s="20" t="s">
        <v>1002</v>
      </c>
      <c r="B977" s="7" t="s">
        <v>110</v>
      </c>
      <c r="C977" s="7">
        <v>24</v>
      </c>
      <c r="D977" s="7" t="s">
        <v>776</v>
      </c>
      <c r="E977" s="41" t="s">
        <v>777</v>
      </c>
      <c r="F977" s="21" t="s">
        <v>777</v>
      </c>
      <c r="G977" s="7" t="s">
        <v>107</v>
      </c>
      <c r="H977" s="7">
        <v>25</v>
      </c>
      <c r="I977" s="10" t="s">
        <v>2035</v>
      </c>
      <c r="J977" s="10">
        <v>1</v>
      </c>
      <c r="K977" s="10">
        <v>0.6</v>
      </c>
      <c r="L977" s="43">
        <v>28</v>
      </c>
      <c r="M977" s="43"/>
      <c r="N977" s="12" t="s">
        <v>1001</v>
      </c>
      <c r="P977" s="10">
        <v>840</v>
      </c>
      <c r="Q977" s="10">
        <v>120</v>
      </c>
      <c r="S977" s="11">
        <v>1</v>
      </c>
      <c r="T977" s="10">
        <v>150</v>
      </c>
      <c r="V977" s="45">
        <v>1</v>
      </c>
      <c r="X977" s="29">
        <v>12.9</v>
      </c>
      <c r="Y977" s="7" t="s">
        <v>68</v>
      </c>
    </row>
    <row r="978" spans="1:27" ht="23.1" customHeight="1" x14ac:dyDescent="0.25">
      <c r="A978" s="20" t="s">
        <v>1002</v>
      </c>
      <c r="B978" s="7" t="s">
        <v>110</v>
      </c>
      <c r="C978" s="7">
        <v>121</v>
      </c>
      <c r="D978" s="7" t="s">
        <v>981</v>
      </c>
      <c r="E978" s="41" t="s">
        <v>982</v>
      </c>
      <c r="F978" s="21" t="s">
        <v>982</v>
      </c>
      <c r="G978" s="7" t="s">
        <v>250</v>
      </c>
      <c r="H978" s="7">
        <v>50</v>
      </c>
      <c r="I978" s="10" t="s">
        <v>2102</v>
      </c>
      <c r="J978" s="10">
        <v>1</v>
      </c>
      <c r="K978" s="10">
        <v>1</v>
      </c>
      <c r="L978" s="43">
        <v>28</v>
      </c>
      <c r="M978" s="43"/>
      <c r="N978" s="12" t="s">
        <v>199</v>
      </c>
      <c r="P978" s="10">
        <v>660</v>
      </c>
      <c r="Q978" s="10">
        <v>60</v>
      </c>
      <c r="S978" s="11">
        <v>1</v>
      </c>
      <c r="T978" s="10">
        <v>120</v>
      </c>
      <c r="V978" s="45">
        <v>1</v>
      </c>
      <c r="W978" s="10">
        <v>4</v>
      </c>
      <c r="X978" s="29">
        <v>18</v>
      </c>
      <c r="Y978" s="7" t="s">
        <v>68</v>
      </c>
      <c r="Z978" t="s">
        <v>1015</v>
      </c>
    </row>
    <row r="979" spans="1:27" ht="23.1" customHeight="1" x14ac:dyDescent="0.25">
      <c r="A979" s="20" t="s">
        <v>1002</v>
      </c>
      <c r="B979" s="7" t="s">
        <v>110</v>
      </c>
      <c r="C979" s="7">
        <v>119</v>
      </c>
      <c r="D979" s="7" t="s">
        <v>978</v>
      </c>
      <c r="E979" s="41" t="s">
        <v>979</v>
      </c>
      <c r="F979" s="21" t="s">
        <v>979</v>
      </c>
      <c r="G979" s="7" t="s">
        <v>154</v>
      </c>
      <c r="H979" s="7">
        <v>55</v>
      </c>
      <c r="I979" s="10" t="s">
        <v>2010</v>
      </c>
      <c r="J979" s="10">
        <v>0.5</v>
      </c>
      <c r="K979" s="10">
        <v>0.4</v>
      </c>
      <c r="L979" s="43">
        <v>23</v>
      </c>
      <c r="M979" s="43"/>
      <c r="N979" s="12" t="s">
        <v>285</v>
      </c>
      <c r="P979" s="10">
        <v>540</v>
      </c>
      <c r="Q979" s="10">
        <v>180</v>
      </c>
      <c r="T979" s="10">
        <v>120</v>
      </c>
      <c r="V979" s="45">
        <v>1</v>
      </c>
      <c r="W979" s="14">
        <v>4</v>
      </c>
      <c r="X979" s="29">
        <v>9.6</v>
      </c>
      <c r="Y979" s="7" t="s">
        <v>68</v>
      </c>
      <c r="Z979" t="s">
        <v>1015</v>
      </c>
    </row>
    <row r="980" spans="1:27" ht="23.1" customHeight="1" x14ac:dyDescent="0.25">
      <c r="A980" s="20" t="s">
        <v>1002</v>
      </c>
      <c r="B980" s="7" t="s">
        <v>110</v>
      </c>
      <c r="C980" s="7">
        <v>119</v>
      </c>
      <c r="D980" s="7" t="s">
        <v>258</v>
      </c>
      <c r="E980" s="41" t="s">
        <v>284</v>
      </c>
      <c r="F980" s="21" t="s">
        <v>284</v>
      </c>
      <c r="G980" s="7" t="s">
        <v>154</v>
      </c>
      <c r="H980" s="7">
        <v>55</v>
      </c>
      <c r="I980" s="10" t="s">
        <v>2010</v>
      </c>
      <c r="J980" s="10">
        <v>0.5</v>
      </c>
      <c r="K980" s="10">
        <v>1.8</v>
      </c>
      <c r="L980" s="43">
        <v>23</v>
      </c>
      <c r="M980" s="43">
        <v>5</v>
      </c>
      <c r="N980" s="12" t="s">
        <v>1018</v>
      </c>
      <c r="P980" s="10">
        <v>540</v>
      </c>
      <c r="Q980" s="10">
        <v>180</v>
      </c>
      <c r="S980" s="11">
        <v>2</v>
      </c>
      <c r="T980" s="10">
        <v>120</v>
      </c>
      <c r="V980" s="45">
        <v>1</v>
      </c>
      <c r="X980" s="29">
        <v>24.2</v>
      </c>
      <c r="Y980" s="7" t="s">
        <v>68</v>
      </c>
    </row>
    <row r="981" spans="1:27" ht="23.1" customHeight="1" x14ac:dyDescent="0.25">
      <c r="A981" s="20" t="s">
        <v>1002</v>
      </c>
      <c r="B981" s="7" t="s">
        <v>110</v>
      </c>
      <c r="C981" s="7">
        <v>56</v>
      </c>
      <c r="D981" s="7" t="s">
        <v>273</v>
      </c>
      <c r="E981" s="41" t="s">
        <v>274</v>
      </c>
      <c r="F981" s="21" t="s">
        <v>274</v>
      </c>
      <c r="G981" s="7" t="s">
        <v>102</v>
      </c>
      <c r="H981" s="7">
        <v>37</v>
      </c>
      <c r="I981" s="10"/>
      <c r="K981" s="10">
        <v>20</v>
      </c>
      <c r="L981" s="43">
        <v>26</v>
      </c>
      <c r="M981" s="43"/>
      <c r="N981" s="12" t="s">
        <v>275</v>
      </c>
      <c r="O981" s="10">
        <v>10</v>
      </c>
      <c r="V981" s="45"/>
      <c r="X981" s="32">
        <v>3.3</v>
      </c>
      <c r="Y981" s="7" t="s">
        <v>18</v>
      </c>
    </row>
    <row r="982" spans="1:27" ht="23.1" customHeight="1" x14ac:dyDescent="0.25">
      <c r="A982" s="20" t="s">
        <v>1002</v>
      </c>
      <c r="B982" s="7" t="s">
        <v>110</v>
      </c>
      <c r="C982" s="7">
        <v>56</v>
      </c>
      <c r="D982" s="7" t="s">
        <v>273</v>
      </c>
      <c r="E982" s="41" t="s">
        <v>274</v>
      </c>
      <c r="F982" s="21" t="s">
        <v>274</v>
      </c>
      <c r="G982" s="7" t="s">
        <v>102</v>
      </c>
      <c r="H982" s="7">
        <v>38</v>
      </c>
      <c r="I982" s="10"/>
      <c r="K982" s="10">
        <v>9</v>
      </c>
      <c r="L982" s="43"/>
      <c r="M982" s="43"/>
      <c r="N982" s="12" t="s">
        <v>275</v>
      </c>
      <c r="O982" s="10">
        <v>40</v>
      </c>
      <c r="U982" s="10">
        <v>60</v>
      </c>
      <c r="V982" s="45">
        <v>1</v>
      </c>
      <c r="X982" s="32">
        <v>7</v>
      </c>
      <c r="Y982" s="7" t="s">
        <v>18</v>
      </c>
    </row>
    <row r="983" spans="1:27" ht="23.1" customHeight="1" x14ac:dyDescent="0.25">
      <c r="A983" s="20" t="s">
        <v>1002</v>
      </c>
      <c r="B983" s="7" t="s">
        <v>110</v>
      </c>
      <c r="C983" s="7">
        <v>107</v>
      </c>
      <c r="D983" s="7" t="s">
        <v>173</v>
      </c>
      <c r="E983" s="41" t="s">
        <v>174</v>
      </c>
      <c r="F983" s="21" t="s">
        <v>1246</v>
      </c>
      <c r="G983" s="7" t="s">
        <v>154</v>
      </c>
      <c r="H983" s="7">
        <v>45</v>
      </c>
      <c r="I983" s="10" t="s">
        <v>1866</v>
      </c>
      <c r="J983" s="10">
        <v>1</v>
      </c>
      <c r="K983" s="10">
        <v>0.6</v>
      </c>
      <c r="L983" s="43">
        <v>26</v>
      </c>
      <c r="M983" s="43">
        <v>26</v>
      </c>
      <c r="N983" s="12" t="s">
        <v>928</v>
      </c>
      <c r="P983" s="10">
        <v>1900</v>
      </c>
      <c r="Q983" s="10">
        <v>90</v>
      </c>
      <c r="S983" s="11">
        <v>1</v>
      </c>
      <c r="T983" s="10">
        <v>180</v>
      </c>
      <c r="V983" s="45"/>
      <c r="X983" s="29">
        <v>20.5</v>
      </c>
      <c r="Y983" s="7" t="s">
        <v>13</v>
      </c>
    </row>
    <row r="984" spans="1:27" ht="23.1" customHeight="1" x14ac:dyDescent="0.25">
      <c r="A984" s="20" t="s">
        <v>1002</v>
      </c>
      <c r="B984" s="7" t="s">
        <v>110</v>
      </c>
      <c r="C984" s="7">
        <v>13</v>
      </c>
      <c r="D984" s="7" t="s">
        <v>654</v>
      </c>
      <c r="E984" s="41" t="s">
        <v>246</v>
      </c>
      <c r="F984" s="21" t="s">
        <v>246</v>
      </c>
      <c r="G984" s="7" t="s">
        <v>154</v>
      </c>
      <c r="H984" s="7">
        <v>45</v>
      </c>
      <c r="I984" s="10" t="s">
        <v>1954</v>
      </c>
      <c r="J984" s="10">
        <v>3</v>
      </c>
      <c r="K984" s="10">
        <v>4</v>
      </c>
      <c r="L984" s="43">
        <v>26</v>
      </c>
      <c r="M984" s="43">
        <v>23</v>
      </c>
      <c r="N984" s="12" t="s">
        <v>247</v>
      </c>
      <c r="P984" s="10">
        <v>250</v>
      </c>
      <c r="T984" s="10">
        <v>60</v>
      </c>
      <c r="V984" s="45"/>
      <c r="X984" s="29">
        <v>16.7</v>
      </c>
      <c r="Y984" s="7" t="s">
        <v>10</v>
      </c>
    </row>
    <row r="985" spans="1:27" ht="23.1" customHeight="1" x14ac:dyDescent="0.25">
      <c r="A985" s="20" t="s">
        <v>1002</v>
      </c>
      <c r="B985" s="7" t="s">
        <v>110</v>
      </c>
      <c r="C985" s="7">
        <v>16</v>
      </c>
      <c r="D985" s="7" t="s">
        <v>959</v>
      </c>
      <c r="E985" s="41" t="s">
        <v>960</v>
      </c>
      <c r="F985" s="21" t="e">
        <v>#N/A</v>
      </c>
      <c r="G985" s="7" t="s">
        <v>102</v>
      </c>
      <c r="H985" s="7">
        <v>5</v>
      </c>
      <c r="I985" s="10"/>
      <c r="K985" s="10">
        <v>1</v>
      </c>
      <c r="L985" s="43">
        <v>26</v>
      </c>
      <c r="M985" s="43"/>
      <c r="N985" s="12" t="s">
        <v>108</v>
      </c>
      <c r="V985" s="45"/>
      <c r="W985" s="14">
        <v>6</v>
      </c>
      <c r="X985" s="29">
        <v>6</v>
      </c>
      <c r="Y985" s="7" t="s">
        <v>71</v>
      </c>
      <c r="Z985" t="s">
        <v>1019</v>
      </c>
      <c r="AA985" t="s">
        <v>957</v>
      </c>
    </row>
    <row r="986" spans="1:27" ht="23.1" customHeight="1" x14ac:dyDescent="0.25">
      <c r="A986" s="20" t="s">
        <v>1002</v>
      </c>
      <c r="B986" s="7" t="s">
        <v>110</v>
      </c>
      <c r="C986" s="7">
        <v>18</v>
      </c>
      <c r="D986" s="7" t="s">
        <v>598</v>
      </c>
      <c r="E986" s="41" t="s">
        <v>1020</v>
      </c>
      <c r="F986" s="21" t="e">
        <v>#N/A</v>
      </c>
      <c r="G986" s="7" t="s">
        <v>102</v>
      </c>
      <c r="H986" s="7">
        <v>30</v>
      </c>
      <c r="I986" s="10"/>
      <c r="L986" s="43"/>
      <c r="M986" s="43"/>
      <c r="N986" s="12" t="s">
        <v>108</v>
      </c>
      <c r="V986" s="45"/>
      <c r="W986" s="14">
        <v>15</v>
      </c>
      <c r="X986" s="29">
        <v>15</v>
      </c>
      <c r="Y986" s="7" t="s">
        <v>14</v>
      </c>
      <c r="Z986" t="s">
        <v>997</v>
      </c>
      <c r="AA986" t="s">
        <v>957</v>
      </c>
    </row>
    <row r="987" spans="1:27" ht="23.1" customHeight="1" x14ac:dyDescent="0.25">
      <c r="A987" s="20" t="s">
        <v>1002</v>
      </c>
      <c r="B987" s="7" t="s">
        <v>110</v>
      </c>
      <c r="C987" s="7">
        <v>18</v>
      </c>
      <c r="D987" s="7" t="s">
        <v>598</v>
      </c>
      <c r="E987" s="41" t="s">
        <v>1020</v>
      </c>
      <c r="F987" s="21" t="e">
        <v>#N/A</v>
      </c>
      <c r="G987" s="7" t="s">
        <v>102</v>
      </c>
      <c r="H987" s="7">
        <v>40</v>
      </c>
      <c r="I987" s="10"/>
      <c r="L987" s="43"/>
      <c r="M987" s="43"/>
      <c r="N987" s="12" t="s">
        <v>108</v>
      </c>
      <c r="V987" s="45"/>
      <c r="W987" s="14">
        <v>3</v>
      </c>
      <c r="X987" s="29">
        <v>3</v>
      </c>
      <c r="Y987" s="7" t="s">
        <v>14</v>
      </c>
      <c r="Z987" t="s">
        <v>1021</v>
      </c>
      <c r="AA987" s="1" t="s">
        <v>238</v>
      </c>
    </row>
    <row r="988" spans="1:27" ht="23.1" customHeight="1" x14ac:dyDescent="0.25">
      <c r="A988" s="20" t="s">
        <v>1002</v>
      </c>
      <c r="B988" s="7" t="s">
        <v>110</v>
      </c>
      <c r="C988" s="7">
        <v>17</v>
      </c>
      <c r="D988" s="7" t="s">
        <v>916</v>
      </c>
      <c r="E988" s="41" t="s">
        <v>917</v>
      </c>
      <c r="F988" s="21" t="s">
        <v>917</v>
      </c>
      <c r="G988" s="7" t="s">
        <v>250</v>
      </c>
      <c r="H988" s="7">
        <v>25</v>
      </c>
      <c r="I988" s="10" t="s">
        <v>2104</v>
      </c>
      <c r="J988" s="10">
        <v>6</v>
      </c>
      <c r="K988" s="10">
        <v>7</v>
      </c>
      <c r="L988" s="43">
        <v>19</v>
      </c>
      <c r="M988" s="43">
        <v>19</v>
      </c>
      <c r="N988" s="12" t="s">
        <v>247</v>
      </c>
      <c r="P988" s="10">
        <v>100</v>
      </c>
      <c r="T988" s="10">
        <v>60</v>
      </c>
      <c r="V988" s="45"/>
      <c r="X988" s="29">
        <v>11.7</v>
      </c>
      <c r="Y988" s="7" t="s">
        <v>14</v>
      </c>
    </row>
    <row r="989" spans="1:27" ht="23.1" customHeight="1" x14ac:dyDescent="0.25">
      <c r="A989" s="20" t="s">
        <v>1002</v>
      </c>
      <c r="B989" s="7" t="s">
        <v>110</v>
      </c>
      <c r="C989" s="7">
        <v>9</v>
      </c>
      <c r="D989" s="7" t="s">
        <v>911</v>
      </c>
      <c r="E989" s="41" t="s">
        <v>912</v>
      </c>
      <c r="F989" s="21" t="s">
        <v>912</v>
      </c>
      <c r="G989" s="7" t="s">
        <v>154</v>
      </c>
      <c r="H989" s="7">
        <v>15</v>
      </c>
      <c r="I989" s="10" t="s">
        <v>2111</v>
      </c>
      <c r="J989" s="10">
        <v>5</v>
      </c>
      <c r="K989" s="10">
        <v>6.5</v>
      </c>
      <c r="L989" s="43">
        <v>26</v>
      </c>
      <c r="M989" s="43">
        <v>26</v>
      </c>
      <c r="N989" s="12" t="s">
        <v>1022</v>
      </c>
      <c r="P989" s="10">
        <v>100</v>
      </c>
      <c r="T989" s="10">
        <v>60</v>
      </c>
      <c r="V989" s="45">
        <v>1</v>
      </c>
      <c r="X989" s="29">
        <v>11.8</v>
      </c>
      <c r="Y989" s="7" t="s">
        <v>23</v>
      </c>
    </row>
    <row r="990" spans="1:27" ht="23.1" customHeight="1" x14ac:dyDescent="0.25">
      <c r="A990" s="20" t="s">
        <v>1002</v>
      </c>
      <c r="B990" s="7" t="s">
        <v>110</v>
      </c>
      <c r="C990" s="7">
        <v>16</v>
      </c>
      <c r="D990" s="7" t="s">
        <v>892</v>
      </c>
      <c r="E990" s="41" t="s">
        <v>893</v>
      </c>
      <c r="F990" s="21" t="s">
        <v>893</v>
      </c>
      <c r="G990" s="7" t="s">
        <v>102</v>
      </c>
      <c r="H990" s="7">
        <v>20</v>
      </c>
      <c r="I990" s="10" t="s">
        <v>2087</v>
      </c>
      <c r="K990" s="10">
        <v>7</v>
      </c>
      <c r="L990" s="43">
        <v>26</v>
      </c>
      <c r="M990" s="43">
        <v>37</v>
      </c>
      <c r="N990" s="12" t="s">
        <v>596</v>
      </c>
      <c r="P990" s="10">
        <v>25</v>
      </c>
      <c r="T990" s="10">
        <v>60</v>
      </c>
      <c r="V990" s="45">
        <v>1</v>
      </c>
      <c r="W990" s="14">
        <v>2</v>
      </c>
      <c r="X990" s="29">
        <v>5.9</v>
      </c>
      <c r="Y990" s="7" t="s">
        <v>71</v>
      </c>
      <c r="Z990" t="s">
        <v>926</v>
      </c>
      <c r="AA990" s="1" t="s">
        <v>238</v>
      </c>
    </row>
    <row r="991" spans="1:27" ht="23.1" customHeight="1" x14ac:dyDescent="0.25">
      <c r="A991" s="20" t="s">
        <v>1002</v>
      </c>
      <c r="B991" s="7" t="s">
        <v>110</v>
      </c>
      <c r="C991" s="7">
        <v>11</v>
      </c>
      <c r="D991" s="7" t="s">
        <v>690</v>
      </c>
      <c r="E991" s="41" t="s">
        <v>691</v>
      </c>
      <c r="F991" s="21" t="s">
        <v>691</v>
      </c>
      <c r="G991" s="7" t="s">
        <v>123</v>
      </c>
      <c r="H991" s="7">
        <v>35</v>
      </c>
      <c r="I991" s="10" t="s">
        <v>2086</v>
      </c>
      <c r="J991" s="10">
        <v>1.3</v>
      </c>
      <c r="K991" s="10">
        <v>2</v>
      </c>
      <c r="L991" s="43">
        <v>9</v>
      </c>
      <c r="M991" s="43">
        <v>26</v>
      </c>
      <c r="N991" s="12" t="s">
        <v>801</v>
      </c>
      <c r="P991" s="10">
        <v>410</v>
      </c>
      <c r="T991" s="10">
        <v>90</v>
      </c>
      <c r="V991" s="45"/>
      <c r="X991" s="29">
        <v>13.7</v>
      </c>
      <c r="Y991" s="7" t="s">
        <v>71</v>
      </c>
    </row>
    <row r="992" spans="1:27" ht="23.1" customHeight="1" x14ac:dyDescent="0.25">
      <c r="A992" s="20" t="s">
        <v>1002</v>
      </c>
      <c r="B992" s="7" t="s">
        <v>110</v>
      </c>
      <c r="C992" s="7">
        <v>12</v>
      </c>
      <c r="D992" s="7" t="s">
        <v>735</v>
      </c>
      <c r="E992" s="41" t="s">
        <v>249</v>
      </c>
      <c r="F992" s="21" t="s">
        <v>249</v>
      </c>
      <c r="G992" s="7" t="s">
        <v>250</v>
      </c>
      <c r="H992" s="7">
        <v>20</v>
      </c>
      <c r="I992" s="10" t="s">
        <v>2445</v>
      </c>
      <c r="J992" s="10">
        <v>12</v>
      </c>
      <c r="K992" s="10">
        <v>12</v>
      </c>
      <c r="L992" s="43">
        <v>26</v>
      </c>
      <c r="M992" s="43">
        <v>5</v>
      </c>
      <c r="N992" s="12" t="s">
        <v>736</v>
      </c>
      <c r="P992" s="10">
        <v>40</v>
      </c>
      <c r="Q992" s="10">
        <v>60</v>
      </c>
      <c r="T992" s="10">
        <v>90</v>
      </c>
      <c r="V992" s="45">
        <v>1</v>
      </c>
      <c r="W992" s="14">
        <v>2</v>
      </c>
      <c r="X992" s="29">
        <v>11.5</v>
      </c>
      <c r="Y992" s="7" t="s">
        <v>10</v>
      </c>
      <c r="Z992" t="s">
        <v>941</v>
      </c>
      <c r="AA992" s="1" t="s">
        <v>238</v>
      </c>
    </row>
    <row r="993" spans="1:27" ht="23.1" customHeight="1" x14ac:dyDescent="0.25">
      <c r="A993" s="20" t="s">
        <v>1002</v>
      </c>
      <c r="B993" s="7" t="s">
        <v>110</v>
      </c>
      <c r="C993" s="7">
        <v>12</v>
      </c>
      <c r="D993" s="7" t="s">
        <v>735</v>
      </c>
      <c r="E993" s="41" t="s">
        <v>249</v>
      </c>
      <c r="F993" s="21" t="s">
        <v>249</v>
      </c>
      <c r="G993" s="7" t="s">
        <v>250</v>
      </c>
      <c r="H993" s="7">
        <v>23</v>
      </c>
      <c r="I993" s="10"/>
      <c r="J993" s="10">
        <v>12</v>
      </c>
      <c r="K993" s="10">
        <v>12</v>
      </c>
      <c r="L993" s="43">
        <v>26</v>
      </c>
      <c r="M993" s="43">
        <v>5</v>
      </c>
      <c r="N993" s="12" t="s">
        <v>736</v>
      </c>
      <c r="O993" s="10">
        <v>15</v>
      </c>
      <c r="R993" s="10">
        <v>60</v>
      </c>
      <c r="U993" s="10">
        <v>120</v>
      </c>
      <c r="V993" s="45">
        <v>1</v>
      </c>
      <c r="W993" s="10">
        <v>2</v>
      </c>
      <c r="X993" s="32">
        <v>7</v>
      </c>
      <c r="Y993" s="7" t="s">
        <v>10</v>
      </c>
      <c r="Z993" t="s">
        <v>637</v>
      </c>
    </row>
    <row r="994" spans="1:27" ht="23.1" customHeight="1" x14ac:dyDescent="0.25">
      <c r="A994" s="20" t="s">
        <v>1002</v>
      </c>
      <c r="B994" s="7" t="s">
        <v>110</v>
      </c>
      <c r="C994" s="7">
        <v>10</v>
      </c>
      <c r="D994" s="7" t="s">
        <v>946</v>
      </c>
      <c r="E994" s="41" t="s">
        <v>947</v>
      </c>
      <c r="F994" s="21" t="s">
        <v>947</v>
      </c>
      <c r="G994" s="7" t="s">
        <v>300</v>
      </c>
      <c r="H994" s="7">
        <v>15</v>
      </c>
      <c r="I994" s="10" t="s">
        <v>2112</v>
      </c>
      <c r="J994" s="10">
        <v>3</v>
      </c>
      <c r="K994" s="10">
        <v>8</v>
      </c>
      <c r="L994" s="43">
        <v>37</v>
      </c>
      <c r="M994" s="43">
        <v>37</v>
      </c>
      <c r="N994" s="12" t="s">
        <v>1023</v>
      </c>
      <c r="P994" s="10">
        <v>80</v>
      </c>
      <c r="T994" s="10">
        <v>60</v>
      </c>
      <c r="V994" s="45">
        <v>1</v>
      </c>
      <c r="X994" s="29">
        <v>11.7</v>
      </c>
      <c r="Y994" s="7" t="s">
        <v>23</v>
      </c>
    </row>
    <row r="995" spans="1:27" ht="23.1" customHeight="1" x14ac:dyDescent="0.25">
      <c r="A995" s="20" t="s">
        <v>1002</v>
      </c>
      <c r="B995" s="7" t="s">
        <v>110</v>
      </c>
      <c r="C995" s="7">
        <v>77</v>
      </c>
      <c r="D995" s="7" t="s">
        <v>1024</v>
      </c>
      <c r="E995" s="41" t="s">
        <v>1025</v>
      </c>
      <c r="F995" s="21" t="e">
        <v>#N/A</v>
      </c>
      <c r="G995" s="7" t="s">
        <v>102</v>
      </c>
      <c r="H995" s="7">
        <v>15</v>
      </c>
      <c r="I995" s="10"/>
      <c r="K995" s="10">
        <v>1</v>
      </c>
      <c r="L995" s="43"/>
      <c r="M995" s="43"/>
      <c r="N995" s="12" t="s">
        <v>108</v>
      </c>
      <c r="V995" s="45"/>
      <c r="W995" s="14">
        <v>5</v>
      </c>
      <c r="X995" s="29">
        <v>5</v>
      </c>
      <c r="Y995" s="7" t="s">
        <v>24</v>
      </c>
      <c r="Z995" t="s">
        <v>1026</v>
      </c>
      <c r="AA995" t="s">
        <v>957</v>
      </c>
    </row>
    <row r="996" spans="1:27" ht="23.1" customHeight="1" x14ac:dyDescent="0.25">
      <c r="A996" s="20" t="s">
        <v>1002</v>
      </c>
      <c r="B996" s="7" t="s">
        <v>110</v>
      </c>
      <c r="C996" s="7">
        <v>77</v>
      </c>
      <c r="D996" s="7" t="s">
        <v>968</v>
      </c>
      <c r="E996" s="41" t="s">
        <v>969</v>
      </c>
      <c r="F996" s="21" t="s">
        <v>969</v>
      </c>
      <c r="G996" s="7" t="s">
        <v>154</v>
      </c>
      <c r="H996" s="7">
        <v>75</v>
      </c>
      <c r="I996" s="10" t="s">
        <v>2446</v>
      </c>
      <c r="J996" s="10">
        <v>20</v>
      </c>
      <c r="K996" s="10">
        <v>1</v>
      </c>
      <c r="L996" s="43">
        <v>23</v>
      </c>
      <c r="M996" s="43"/>
      <c r="N996" s="12" t="s">
        <v>164</v>
      </c>
      <c r="P996" s="10">
        <v>30</v>
      </c>
      <c r="T996" s="10">
        <v>60</v>
      </c>
      <c r="V996" s="45">
        <v>1</v>
      </c>
      <c r="W996" s="14">
        <v>2</v>
      </c>
      <c r="X996" s="29">
        <v>3.5</v>
      </c>
      <c r="Y996" s="7" t="s">
        <v>24</v>
      </c>
      <c r="Z996" t="s">
        <v>926</v>
      </c>
      <c r="AA996" s="1" t="s">
        <v>238</v>
      </c>
    </row>
    <row r="997" spans="1:27" ht="23.1" customHeight="1" x14ac:dyDescent="0.25">
      <c r="A997" s="20" t="s">
        <v>1002</v>
      </c>
      <c r="B997" s="7" t="s">
        <v>110</v>
      </c>
      <c r="C997" s="7">
        <v>77</v>
      </c>
      <c r="D997" s="7" t="s">
        <v>968</v>
      </c>
      <c r="E997" s="41" t="s">
        <v>969</v>
      </c>
      <c r="F997" s="21" t="s">
        <v>969</v>
      </c>
      <c r="G997" s="7" t="s">
        <v>154</v>
      </c>
      <c r="H997" s="7">
        <v>70</v>
      </c>
      <c r="I997" s="10" t="s">
        <v>2101</v>
      </c>
      <c r="K997" s="10">
        <v>5</v>
      </c>
      <c r="L997" s="43">
        <v>19</v>
      </c>
      <c r="M997" s="43">
        <v>19</v>
      </c>
      <c r="N997" s="12" t="s">
        <v>164</v>
      </c>
      <c r="P997" s="10">
        <v>40</v>
      </c>
      <c r="T997" s="10">
        <v>60</v>
      </c>
      <c r="V997" s="45"/>
      <c r="X997" s="29">
        <v>3.3</v>
      </c>
      <c r="Y997" s="7" t="s">
        <v>24</v>
      </c>
    </row>
    <row r="998" spans="1:27" ht="23.1" customHeight="1" x14ac:dyDescent="0.25">
      <c r="A998" s="20" t="s">
        <v>1002</v>
      </c>
      <c r="B998" s="7" t="s">
        <v>137</v>
      </c>
      <c r="C998" s="7">
        <v>59</v>
      </c>
      <c r="D998" s="7" t="s">
        <v>924</v>
      </c>
      <c r="E998" s="41" t="s">
        <v>409</v>
      </c>
      <c r="F998" s="21" t="s">
        <v>409</v>
      </c>
      <c r="G998" s="7" t="s">
        <v>102</v>
      </c>
      <c r="H998" s="7">
        <v>25</v>
      </c>
      <c r="I998" s="10" t="s">
        <v>2113</v>
      </c>
      <c r="J998" s="10">
        <v>8</v>
      </c>
      <c r="K998" s="10">
        <v>8</v>
      </c>
      <c r="L998" s="43">
        <v>23</v>
      </c>
      <c r="M998" s="43">
        <v>28</v>
      </c>
      <c r="N998" s="12" t="s">
        <v>596</v>
      </c>
      <c r="P998" s="10">
        <v>120</v>
      </c>
      <c r="Q998" s="10">
        <v>60</v>
      </c>
      <c r="T998" s="10">
        <v>120</v>
      </c>
      <c r="V998" s="45">
        <v>1</v>
      </c>
      <c r="W998" s="14">
        <v>3</v>
      </c>
      <c r="X998" s="29">
        <v>21</v>
      </c>
      <c r="Y998" s="64" t="s">
        <v>1847</v>
      </c>
      <c r="Z998" t="s">
        <v>1027</v>
      </c>
      <c r="AA998" s="1" t="s">
        <v>238</v>
      </c>
    </row>
    <row r="999" spans="1:27" ht="23.1" customHeight="1" x14ac:dyDescent="0.25">
      <c r="A999" s="20" t="s">
        <v>1002</v>
      </c>
      <c r="B999" s="7" t="s">
        <v>137</v>
      </c>
      <c r="C999" s="7">
        <v>18</v>
      </c>
      <c r="D999" s="7" t="s">
        <v>108</v>
      </c>
      <c r="E999" s="41" t="s">
        <v>1028</v>
      </c>
      <c r="F999" s="21" t="e">
        <v>#N/A</v>
      </c>
      <c r="G999" s="7" t="s">
        <v>102</v>
      </c>
      <c r="H999" s="7">
        <v>40</v>
      </c>
      <c r="I999" s="10"/>
      <c r="J999" s="10">
        <v>1</v>
      </c>
      <c r="K999" s="10">
        <v>1</v>
      </c>
      <c r="L999" s="43"/>
      <c r="M999" s="43"/>
      <c r="N999" s="12" t="s">
        <v>108</v>
      </c>
      <c r="V999" s="45">
        <v>1</v>
      </c>
      <c r="W999" s="14">
        <v>15</v>
      </c>
      <c r="X999" s="29">
        <v>15</v>
      </c>
      <c r="Y999" s="7" t="s">
        <v>16</v>
      </c>
      <c r="Z999" t="s">
        <v>1029</v>
      </c>
      <c r="AA999" t="s">
        <v>957</v>
      </c>
    </row>
    <row r="1000" spans="1:27" ht="23.1" customHeight="1" x14ac:dyDescent="0.25">
      <c r="A1000" s="20" t="s">
        <v>1002</v>
      </c>
      <c r="B1000" s="7" t="s">
        <v>137</v>
      </c>
      <c r="C1000" s="7">
        <v>18</v>
      </c>
      <c r="D1000" s="7" t="s">
        <v>1030</v>
      </c>
      <c r="E1000" s="41" t="s">
        <v>919</v>
      </c>
      <c r="F1000" s="21" t="s">
        <v>919</v>
      </c>
      <c r="G1000" s="7" t="s">
        <v>323</v>
      </c>
      <c r="H1000" s="7">
        <v>5</v>
      </c>
      <c r="I1000" s="10" t="s">
        <v>1930</v>
      </c>
      <c r="J1000" s="10">
        <v>5</v>
      </c>
      <c r="K1000" s="10">
        <v>3</v>
      </c>
      <c r="L1000" s="43">
        <v>31</v>
      </c>
      <c r="M1000" s="43">
        <v>31</v>
      </c>
      <c r="N1000" s="12" t="s">
        <v>780</v>
      </c>
      <c r="P1000" s="10">
        <v>40</v>
      </c>
      <c r="T1000" s="10">
        <v>60</v>
      </c>
      <c r="V1000" s="45">
        <v>1</v>
      </c>
      <c r="X1000" s="29">
        <v>3</v>
      </c>
      <c r="Y1000" s="7" t="s">
        <v>16</v>
      </c>
    </row>
    <row r="1001" spans="1:27" ht="23.1" customHeight="1" x14ac:dyDescent="0.25">
      <c r="A1001" s="20" t="s">
        <v>1002</v>
      </c>
      <c r="B1001" s="7" t="s">
        <v>137</v>
      </c>
      <c r="C1001" s="7">
        <v>57</v>
      </c>
      <c r="D1001" s="7" t="s">
        <v>1031</v>
      </c>
      <c r="E1001" s="41" t="s">
        <v>1032</v>
      </c>
      <c r="F1001" s="21" t="s">
        <v>1032</v>
      </c>
      <c r="G1001" s="7" t="s">
        <v>107</v>
      </c>
      <c r="H1001" s="7">
        <v>10</v>
      </c>
      <c r="I1001" s="10" t="s">
        <v>2024</v>
      </c>
      <c r="J1001" s="10">
        <v>10</v>
      </c>
      <c r="K1001" s="10">
        <v>12</v>
      </c>
      <c r="L1001" s="43">
        <v>28</v>
      </c>
      <c r="M1001" s="43">
        <v>28</v>
      </c>
      <c r="N1001" s="12" t="s">
        <v>1033</v>
      </c>
      <c r="P1001" s="10">
        <v>90</v>
      </c>
      <c r="T1001" s="10">
        <v>90</v>
      </c>
      <c r="V1001" s="45">
        <v>1</v>
      </c>
      <c r="X1001" s="29">
        <v>19.5</v>
      </c>
      <c r="Y1001" s="7" t="s">
        <v>7</v>
      </c>
    </row>
    <row r="1002" spans="1:27" ht="23.1" customHeight="1" x14ac:dyDescent="0.25">
      <c r="A1002" s="20" t="s">
        <v>1002</v>
      </c>
      <c r="B1002" s="7" t="s">
        <v>137</v>
      </c>
      <c r="C1002" s="7">
        <v>16</v>
      </c>
      <c r="D1002" s="7" t="s">
        <v>892</v>
      </c>
      <c r="E1002" s="41" t="s">
        <v>893</v>
      </c>
      <c r="F1002" s="21" t="s">
        <v>893</v>
      </c>
      <c r="G1002" s="7" t="s">
        <v>102</v>
      </c>
      <c r="H1002" s="7">
        <v>20</v>
      </c>
      <c r="I1002" s="10" t="s">
        <v>2447</v>
      </c>
      <c r="J1002" s="10">
        <v>31</v>
      </c>
      <c r="K1002" s="10">
        <v>17</v>
      </c>
      <c r="L1002" s="43">
        <v>5</v>
      </c>
      <c r="M1002" s="43">
        <v>5</v>
      </c>
      <c r="N1002" s="12" t="s">
        <v>596</v>
      </c>
      <c r="P1002" s="10">
        <v>25</v>
      </c>
      <c r="T1002" s="10">
        <v>60</v>
      </c>
      <c r="V1002" s="45"/>
      <c r="X1002" s="29">
        <v>7.1</v>
      </c>
      <c r="Y1002" s="7" t="s">
        <v>63</v>
      </c>
    </row>
    <row r="1003" spans="1:27" ht="23.1" customHeight="1" x14ac:dyDescent="0.25">
      <c r="A1003" s="20" t="s">
        <v>1002</v>
      </c>
      <c r="B1003" s="7" t="s">
        <v>137</v>
      </c>
      <c r="C1003" s="7">
        <v>16</v>
      </c>
      <c r="D1003" s="7" t="s">
        <v>892</v>
      </c>
      <c r="E1003" s="41" t="s">
        <v>893</v>
      </c>
      <c r="F1003" s="21" t="s">
        <v>893</v>
      </c>
      <c r="G1003" s="7" t="s">
        <v>102</v>
      </c>
      <c r="H1003" s="7">
        <v>25</v>
      </c>
      <c r="I1003" s="10" t="s">
        <v>1850</v>
      </c>
      <c r="J1003" s="10">
        <v>10</v>
      </c>
      <c r="K1003" s="10">
        <v>20</v>
      </c>
      <c r="L1003" s="43">
        <v>5</v>
      </c>
      <c r="M1003" s="43">
        <v>28</v>
      </c>
      <c r="N1003" s="12" t="s">
        <v>596</v>
      </c>
      <c r="P1003" s="10">
        <v>20</v>
      </c>
      <c r="T1003" s="10">
        <v>60</v>
      </c>
      <c r="V1003" s="45">
        <v>1</v>
      </c>
      <c r="W1003" s="14">
        <v>3</v>
      </c>
      <c r="X1003" s="29">
        <v>10.7</v>
      </c>
      <c r="Y1003" s="7" t="s">
        <v>63</v>
      </c>
      <c r="Z1003" t="s">
        <v>1034</v>
      </c>
      <c r="AA1003" s="1" t="s">
        <v>238</v>
      </c>
    </row>
    <row r="1004" spans="1:27" ht="23.1" customHeight="1" x14ac:dyDescent="0.25">
      <c r="A1004" s="20" t="s">
        <v>1002</v>
      </c>
      <c r="B1004" s="7" t="s">
        <v>137</v>
      </c>
      <c r="C1004" s="7">
        <v>11</v>
      </c>
      <c r="D1004" s="7" t="s">
        <v>690</v>
      </c>
      <c r="E1004" s="41" t="s">
        <v>691</v>
      </c>
      <c r="F1004" s="21" t="s">
        <v>691</v>
      </c>
      <c r="G1004" s="7" t="s">
        <v>123</v>
      </c>
      <c r="H1004" s="7">
        <v>35</v>
      </c>
      <c r="I1004" s="10" t="s">
        <v>2086</v>
      </c>
      <c r="J1004" s="10">
        <v>1.3</v>
      </c>
      <c r="K1004" s="10">
        <v>2</v>
      </c>
      <c r="L1004" s="43">
        <v>28</v>
      </c>
      <c r="M1004" s="43">
        <v>28</v>
      </c>
      <c r="N1004" s="12" t="s">
        <v>1035</v>
      </c>
      <c r="P1004" s="10">
        <v>410</v>
      </c>
      <c r="T1004" s="10">
        <v>90</v>
      </c>
      <c r="V1004" s="45"/>
      <c r="X1004" s="29">
        <v>13.7</v>
      </c>
      <c r="Y1004" s="7" t="s">
        <v>63</v>
      </c>
    </row>
    <row r="1005" spans="1:27" ht="23.1" customHeight="1" x14ac:dyDescent="0.25">
      <c r="A1005" s="20" t="s">
        <v>1002</v>
      </c>
      <c r="B1005" s="7" t="s">
        <v>137</v>
      </c>
      <c r="C1005" s="7">
        <v>17</v>
      </c>
      <c r="D1005" s="7" t="s">
        <v>916</v>
      </c>
      <c r="E1005" s="41" t="s">
        <v>917</v>
      </c>
      <c r="F1005" s="21" t="s">
        <v>917</v>
      </c>
      <c r="G1005" s="7" t="s">
        <v>250</v>
      </c>
      <c r="H1005" s="7">
        <v>25</v>
      </c>
      <c r="I1005" s="10" t="s">
        <v>2104</v>
      </c>
      <c r="J1005" s="10">
        <v>6</v>
      </c>
      <c r="K1005" s="10">
        <v>7</v>
      </c>
      <c r="L1005" s="43">
        <v>31</v>
      </c>
      <c r="M1005" s="43">
        <v>31</v>
      </c>
      <c r="N1005" s="12" t="s">
        <v>247</v>
      </c>
      <c r="P1005" s="10">
        <v>100</v>
      </c>
      <c r="T1005" s="10">
        <v>60</v>
      </c>
      <c r="V1005" s="45"/>
      <c r="X1005" s="29">
        <v>11.7</v>
      </c>
      <c r="Y1005" s="7" t="s">
        <v>16</v>
      </c>
    </row>
    <row r="1006" spans="1:27" ht="23.1" customHeight="1" x14ac:dyDescent="0.25">
      <c r="A1006" s="20" t="s">
        <v>1002</v>
      </c>
      <c r="B1006" s="7" t="s">
        <v>113</v>
      </c>
      <c r="C1006" s="7">
        <v>18</v>
      </c>
      <c r="D1006" s="7" t="s">
        <v>1030</v>
      </c>
      <c r="E1006" s="41" t="s">
        <v>919</v>
      </c>
      <c r="F1006" s="21" t="s">
        <v>919</v>
      </c>
      <c r="G1006" s="7" t="s">
        <v>323</v>
      </c>
      <c r="H1006" s="7">
        <v>5</v>
      </c>
      <c r="I1006" s="10" t="s">
        <v>2448</v>
      </c>
      <c r="J1006" s="10">
        <v>5</v>
      </c>
      <c r="K1006" s="10">
        <v>7</v>
      </c>
      <c r="L1006" s="43">
        <v>31</v>
      </c>
      <c r="M1006" s="43">
        <v>31</v>
      </c>
      <c r="N1006" s="12" t="s">
        <v>780</v>
      </c>
      <c r="P1006" s="10">
        <v>40</v>
      </c>
      <c r="T1006" s="10">
        <v>60</v>
      </c>
      <c r="V1006" s="45"/>
      <c r="X1006" s="29">
        <v>4.7</v>
      </c>
      <c r="Y1006" s="7" t="s">
        <v>43</v>
      </c>
    </row>
    <row r="1007" spans="1:27" ht="23.1" customHeight="1" x14ac:dyDescent="0.25">
      <c r="A1007" s="20" t="s">
        <v>1002</v>
      </c>
      <c r="B1007" s="7" t="s">
        <v>113</v>
      </c>
      <c r="C1007" s="7">
        <v>18</v>
      </c>
      <c r="D1007" s="7" t="s">
        <v>1030</v>
      </c>
      <c r="E1007" s="41" t="s">
        <v>919</v>
      </c>
      <c r="F1007" s="21" t="s">
        <v>919</v>
      </c>
      <c r="G1007" s="7" t="s">
        <v>323</v>
      </c>
      <c r="H1007" s="7">
        <v>10</v>
      </c>
      <c r="I1007" s="10" t="s">
        <v>2114</v>
      </c>
      <c r="J1007" s="10">
        <v>7</v>
      </c>
      <c r="K1007" s="10">
        <v>10</v>
      </c>
      <c r="L1007" s="43">
        <v>31</v>
      </c>
      <c r="M1007" s="43">
        <v>19</v>
      </c>
      <c r="N1007" s="12" t="s">
        <v>780</v>
      </c>
      <c r="P1007" s="10">
        <v>60</v>
      </c>
      <c r="T1007" s="10">
        <v>90</v>
      </c>
      <c r="V1007" s="45">
        <v>1</v>
      </c>
      <c r="X1007" s="29">
        <v>11.5</v>
      </c>
      <c r="Y1007" s="7" t="s">
        <v>43</v>
      </c>
    </row>
    <row r="1008" spans="1:27" ht="23.1" customHeight="1" x14ac:dyDescent="0.25">
      <c r="A1008" s="20" t="s">
        <v>1002</v>
      </c>
      <c r="B1008" s="7" t="s">
        <v>113</v>
      </c>
      <c r="C1008" s="7">
        <v>21</v>
      </c>
      <c r="D1008" s="7" t="s">
        <v>321</v>
      </c>
      <c r="E1008" s="41" t="s">
        <v>322</v>
      </c>
      <c r="F1008" s="21" t="s">
        <v>322</v>
      </c>
      <c r="G1008" s="7" t="s">
        <v>323</v>
      </c>
      <c r="H1008" s="7">
        <v>50</v>
      </c>
      <c r="I1008" s="10" t="s">
        <v>1986</v>
      </c>
      <c r="J1008" s="10">
        <v>0.3</v>
      </c>
      <c r="K1008" s="10">
        <v>0.3</v>
      </c>
      <c r="L1008" s="43">
        <v>5</v>
      </c>
      <c r="M1008" s="43"/>
      <c r="N1008" s="12" t="s">
        <v>860</v>
      </c>
      <c r="P1008" s="10">
        <v>630</v>
      </c>
      <c r="Q1008" s="10">
        <v>120</v>
      </c>
      <c r="T1008" s="10">
        <v>180</v>
      </c>
      <c r="V1008" s="45"/>
      <c r="X1008" s="29">
        <v>3.2</v>
      </c>
      <c r="Y1008" s="7" t="s">
        <v>58</v>
      </c>
    </row>
    <row r="1009" spans="1:27" ht="23.1" customHeight="1" x14ac:dyDescent="0.25">
      <c r="A1009" s="20" t="s">
        <v>1002</v>
      </c>
      <c r="B1009" s="7" t="s">
        <v>113</v>
      </c>
      <c r="C1009" s="7">
        <v>21</v>
      </c>
      <c r="D1009" s="7" t="s">
        <v>321</v>
      </c>
      <c r="E1009" s="41" t="s">
        <v>322</v>
      </c>
      <c r="F1009" s="21" t="s">
        <v>322</v>
      </c>
      <c r="G1009" s="7" t="s">
        <v>323</v>
      </c>
      <c r="H1009" s="7">
        <v>55</v>
      </c>
      <c r="I1009" s="10" t="s">
        <v>2004</v>
      </c>
      <c r="J1009" s="10">
        <v>0.6</v>
      </c>
      <c r="K1009" s="10">
        <v>0.9</v>
      </c>
      <c r="L1009" s="43">
        <v>19</v>
      </c>
      <c r="M1009" s="43">
        <v>19</v>
      </c>
      <c r="N1009" s="12">
        <v>1</v>
      </c>
      <c r="P1009" s="10">
        <v>660</v>
      </c>
      <c r="Q1009" s="10">
        <v>120</v>
      </c>
      <c r="S1009" s="11">
        <v>1</v>
      </c>
      <c r="T1009" s="10">
        <v>180</v>
      </c>
      <c r="V1009" s="45"/>
      <c r="X1009" s="29">
        <v>11.9</v>
      </c>
      <c r="Y1009" s="7" t="s">
        <v>58</v>
      </c>
    </row>
    <row r="1010" spans="1:27" ht="23.1" customHeight="1" x14ac:dyDescent="0.25">
      <c r="A1010" s="20" t="s">
        <v>1002</v>
      </c>
      <c r="B1010" s="7" t="s">
        <v>113</v>
      </c>
      <c r="C1010" s="7">
        <v>13</v>
      </c>
      <c r="D1010" s="7" t="s">
        <v>654</v>
      </c>
      <c r="E1010" s="41" t="s">
        <v>246</v>
      </c>
      <c r="F1010" s="21" t="s">
        <v>246</v>
      </c>
      <c r="G1010" s="7" t="s">
        <v>154</v>
      </c>
      <c r="H1010" s="7">
        <v>45</v>
      </c>
      <c r="I1010" s="10" t="s">
        <v>1954</v>
      </c>
      <c r="J1010" s="10">
        <v>3</v>
      </c>
      <c r="K1010" s="10">
        <v>4</v>
      </c>
      <c r="L1010" s="43">
        <v>23</v>
      </c>
      <c r="M1010" s="43">
        <v>19</v>
      </c>
      <c r="N1010" s="12" t="s">
        <v>247</v>
      </c>
      <c r="P1010" s="10">
        <v>250</v>
      </c>
      <c r="T1010" s="10">
        <v>60</v>
      </c>
      <c r="V1010" s="45"/>
      <c r="X1010" s="29">
        <v>16.7</v>
      </c>
      <c r="Y1010" s="7" t="s">
        <v>72</v>
      </c>
    </row>
    <row r="1011" spans="1:27" ht="23.1" customHeight="1" x14ac:dyDescent="0.25">
      <c r="A1011" s="20" t="s">
        <v>1002</v>
      </c>
      <c r="B1011" s="7" t="s">
        <v>113</v>
      </c>
      <c r="C1011" s="7">
        <v>12</v>
      </c>
      <c r="D1011" s="7" t="s">
        <v>735</v>
      </c>
      <c r="E1011" s="41" t="s">
        <v>249</v>
      </c>
      <c r="F1011" s="21" t="s">
        <v>249</v>
      </c>
      <c r="G1011" s="7" t="s">
        <v>250</v>
      </c>
      <c r="H1011" s="7">
        <v>25</v>
      </c>
      <c r="I1011" s="10" t="s">
        <v>1923</v>
      </c>
      <c r="J1011" s="10">
        <v>1</v>
      </c>
      <c r="K1011" s="10">
        <v>1</v>
      </c>
      <c r="L1011" s="43">
        <v>19</v>
      </c>
      <c r="M1011" s="43">
        <v>19</v>
      </c>
      <c r="N1011" s="12" t="s">
        <v>1036</v>
      </c>
      <c r="P1011" s="10">
        <v>1080</v>
      </c>
      <c r="T1011" s="10">
        <v>120</v>
      </c>
      <c r="V1011" s="45">
        <v>1</v>
      </c>
      <c r="X1011" s="29">
        <v>20</v>
      </c>
      <c r="Y1011" s="7" t="s">
        <v>72</v>
      </c>
    </row>
    <row r="1012" spans="1:27" ht="23.1" customHeight="1" x14ac:dyDescent="0.25">
      <c r="A1012" s="20" t="s">
        <v>1002</v>
      </c>
      <c r="B1012" s="7" t="s">
        <v>113</v>
      </c>
      <c r="C1012" s="7">
        <v>107</v>
      </c>
      <c r="D1012" s="7" t="s">
        <v>173</v>
      </c>
      <c r="E1012" s="41" t="s">
        <v>174</v>
      </c>
      <c r="F1012" s="21" t="s">
        <v>1246</v>
      </c>
      <c r="G1012" s="7" t="s">
        <v>154</v>
      </c>
      <c r="H1012" s="7">
        <v>45</v>
      </c>
      <c r="I1012" s="10" t="s">
        <v>1866</v>
      </c>
      <c r="J1012" s="10">
        <v>1</v>
      </c>
      <c r="K1012" s="10">
        <v>0.6</v>
      </c>
      <c r="L1012" s="43">
        <v>26</v>
      </c>
      <c r="M1012" s="43"/>
      <c r="N1012" s="12" t="s">
        <v>1037</v>
      </c>
      <c r="P1012" s="10">
        <v>1900</v>
      </c>
      <c r="Q1012" s="10">
        <v>90</v>
      </c>
      <c r="T1012" s="10">
        <v>180</v>
      </c>
      <c r="V1012" s="45"/>
      <c r="X1012" s="29">
        <v>19</v>
      </c>
      <c r="Y1012" s="7" t="s">
        <v>45</v>
      </c>
    </row>
    <row r="1013" spans="1:27" ht="23.1" customHeight="1" x14ac:dyDescent="0.25">
      <c r="A1013" s="20" t="s">
        <v>1002</v>
      </c>
      <c r="B1013" s="7" t="s">
        <v>113</v>
      </c>
      <c r="C1013" s="7">
        <v>59</v>
      </c>
      <c r="D1013" s="7" t="s">
        <v>753</v>
      </c>
      <c r="E1013" s="41" t="s">
        <v>409</v>
      </c>
      <c r="F1013" s="21" t="s">
        <v>409</v>
      </c>
      <c r="G1013" s="7" t="s">
        <v>102</v>
      </c>
      <c r="H1013" s="7">
        <v>15</v>
      </c>
      <c r="I1013" s="10" t="s">
        <v>2115</v>
      </c>
      <c r="J1013" s="10">
        <v>7</v>
      </c>
      <c r="K1013" s="10">
        <v>8</v>
      </c>
      <c r="L1013" s="43">
        <v>31</v>
      </c>
      <c r="M1013" s="43">
        <v>28</v>
      </c>
      <c r="N1013" s="12" t="s">
        <v>596</v>
      </c>
      <c r="V1013" s="45">
        <v>1</v>
      </c>
      <c r="W1013" s="14">
        <v>2</v>
      </c>
      <c r="X1013" s="29">
        <v>2</v>
      </c>
      <c r="Y1013" s="7" t="s">
        <v>42</v>
      </c>
      <c r="Z1013" t="s">
        <v>1038</v>
      </c>
      <c r="AA1013" s="1" t="s">
        <v>238</v>
      </c>
    </row>
    <row r="1014" spans="1:27" ht="23.1" customHeight="1" x14ac:dyDescent="0.25">
      <c r="A1014" s="20" t="s">
        <v>1002</v>
      </c>
      <c r="B1014" s="7" t="s">
        <v>113</v>
      </c>
      <c r="C1014" s="7">
        <v>15</v>
      </c>
      <c r="D1014" s="7" t="s">
        <v>116</v>
      </c>
      <c r="E1014" s="41" t="s">
        <v>117</v>
      </c>
      <c r="F1014" s="21" t="s">
        <v>117</v>
      </c>
      <c r="G1014" s="7" t="s">
        <v>118</v>
      </c>
      <c r="H1014" s="7">
        <v>10</v>
      </c>
      <c r="I1014" s="10" t="s">
        <v>1867</v>
      </c>
      <c r="J1014" s="10">
        <v>5</v>
      </c>
      <c r="K1014" s="10">
        <v>11</v>
      </c>
      <c r="L1014" s="43">
        <v>5</v>
      </c>
      <c r="M1014" s="43">
        <v>31</v>
      </c>
      <c r="N1014" s="12" t="s">
        <v>1041</v>
      </c>
      <c r="P1014" s="10">
        <v>100</v>
      </c>
      <c r="T1014" s="10">
        <v>90</v>
      </c>
      <c r="V1014" s="45">
        <v>1</v>
      </c>
      <c r="X1014" s="29">
        <v>19.8</v>
      </c>
      <c r="Y1014" s="7" t="s">
        <v>31</v>
      </c>
    </row>
    <row r="1015" spans="1:27" ht="23.1" customHeight="1" x14ac:dyDescent="0.25">
      <c r="A1015" s="20" t="s">
        <v>1002</v>
      </c>
      <c r="B1015" s="7" t="s">
        <v>113</v>
      </c>
      <c r="C1015" s="7">
        <v>15</v>
      </c>
      <c r="D1015" s="7" t="s">
        <v>116</v>
      </c>
      <c r="E1015" s="41" t="s">
        <v>117</v>
      </c>
      <c r="F1015" s="21" t="s">
        <v>117</v>
      </c>
      <c r="G1015" s="7" t="s">
        <v>118</v>
      </c>
      <c r="H1015" s="7">
        <v>10</v>
      </c>
      <c r="I1015" s="10" t="s">
        <v>1867</v>
      </c>
      <c r="K1015" s="10">
        <v>1</v>
      </c>
      <c r="L1015" s="43">
        <v>31</v>
      </c>
      <c r="M1015" s="43"/>
      <c r="N1015" s="12" t="s">
        <v>128</v>
      </c>
      <c r="P1015" s="10">
        <v>100</v>
      </c>
      <c r="T1015" s="10">
        <v>90</v>
      </c>
      <c r="V1015" s="45">
        <v>1</v>
      </c>
      <c r="X1015" s="29">
        <v>3.2</v>
      </c>
      <c r="Y1015" s="7" t="s">
        <v>31</v>
      </c>
    </row>
    <row r="1016" spans="1:27" ht="23.1" customHeight="1" x14ac:dyDescent="0.25">
      <c r="A1016" s="20" t="s">
        <v>1002</v>
      </c>
      <c r="B1016" s="7" t="s">
        <v>113</v>
      </c>
      <c r="C1016" s="7">
        <v>57</v>
      </c>
      <c r="D1016" s="7" t="s">
        <v>1042</v>
      </c>
      <c r="E1016" s="41" t="s">
        <v>1032</v>
      </c>
      <c r="F1016" s="21" t="s">
        <v>1281</v>
      </c>
      <c r="G1016" s="65" t="s">
        <v>1837</v>
      </c>
      <c r="H1016" s="7">
        <v>5</v>
      </c>
      <c r="I1016" s="65" t="s">
        <v>1930</v>
      </c>
      <c r="K1016" s="10">
        <v>8</v>
      </c>
      <c r="L1016" s="43">
        <v>28</v>
      </c>
      <c r="M1016" s="43">
        <v>28</v>
      </c>
      <c r="N1016" s="12" t="s">
        <v>1043</v>
      </c>
      <c r="P1016" s="10">
        <v>120</v>
      </c>
      <c r="T1016" s="10">
        <v>60</v>
      </c>
      <c r="V1016" s="45">
        <v>1</v>
      </c>
      <c r="X1016" s="29">
        <v>17</v>
      </c>
      <c r="Y1016" s="7" t="s">
        <v>57</v>
      </c>
    </row>
    <row r="1017" spans="1:27" ht="23.1" customHeight="1" x14ac:dyDescent="0.25">
      <c r="A1017" s="20" t="s">
        <v>1002</v>
      </c>
      <c r="B1017" s="7" t="s">
        <v>113</v>
      </c>
      <c r="C1017" s="7">
        <v>57</v>
      </c>
      <c r="D1017" s="7" t="s">
        <v>1042</v>
      </c>
      <c r="E1017" s="41" t="s">
        <v>1032</v>
      </c>
      <c r="F1017" s="21" t="s">
        <v>1281</v>
      </c>
      <c r="G1017" s="65" t="s">
        <v>1837</v>
      </c>
      <c r="H1017" s="7">
        <v>10</v>
      </c>
      <c r="I1017" s="10" t="s">
        <v>2024</v>
      </c>
      <c r="K1017" s="10">
        <v>4</v>
      </c>
      <c r="L1017" s="43"/>
      <c r="M1017" s="43">
        <v>26</v>
      </c>
      <c r="N1017" s="12" t="s">
        <v>1043</v>
      </c>
      <c r="P1017" s="10">
        <v>90</v>
      </c>
      <c r="T1017" s="10">
        <v>90</v>
      </c>
      <c r="V1017" s="45">
        <v>1</v>
      </c>
      <c r="W1017" s="14">
        <v>1.5</v>
      </c>
      <c r="X1017" s="29">
        <v>9</v>
      </c>
      <c r="Y1017" s="7" t="s">
        <v>57</v>
      </c>
      <c r="Z1017" t="s">
        <v>1044</v>
      </c>
      <c r="AA1017" s="1" t="s">
        <v>238</v>
      </c>
    </row>
    <row r="1018" spans="1:27" ht="23.1" customHeight="1" x14ac:dyDescent="0.25">
      <c r="A1018" s="20" t="s">
        <v>1002</v>
      </c>
      <c r="B1018" s="7" t="s">
        <v>113</v>
      </c>
      <c r="C1018" s="7">
        <v>77</v>
      </c>
      <c r="D1018" s="7" t="s">
        <v>968</v>
      </c>
      <c r="E1018" s="41" t="s">
        <v>969</v>
      </c>
      <c r="F1018" s="21" t="s">
        <v>969</v>
      </c>
      <c r="G1018" s="7" t="s">
        <v>154</v>
      </c>
      <c r="H1018" s="7">
        <v>75</v>
      </c>
      <c r="I1018" s="10" t="s">
        <v>2041</v>
      </c>
      <c r="J1018" s="10">
        <v>15</v>
      </c>
      <c r="K1018" s="10">
        <v>19</v>
      </c>
      <c r="L1018" s="43">
        <v>5</v>
      </c>
      <c r="M1018" s="43">
        <v>31</v>
      </c>
      <c r="N1018" s="12" t="s">
        <v>247</v>
      </c>
      <c r="P1018" s="10">
        <v>30</v>
      </c>
      <c r="T1018" s="10">
        <v>60</v>
      </c>
      <c r="V1018" s="45"/>
      <c r="X1018" s="29">
        <v>9.5</v>
      </c>
      <c r="Y1018" s="7" t="s">
        <v>15</v>
      </c>
    </row>
    <row r="1019" spans="1:27" ht="23.1" customHeight="1" x14ac:dyDescent="0.25">
      <c r="A1019" s="20" t="s">
        <v>1002</v>
      </c>
      <c r="B1019" s="7" t="s">
        <v>113</v>
      </c>
      <c r="C1019" s="7">
        <v>17</v>
      </c>
      <c r="D1019" s="7" t="s">
        <v>916</v>
      </c>
      <c r="E1019" s="41" t="s">
        <v>917</v>
      </c>
      <c r="F1019" s="21" t="s">
        <v>917</v>
      </c>
      <c r="G1019" s="7" t="s">
        <v>250</v>
      </c>
      <c r="H1019" s="7">
        <v>30</v>
      </c>
      <c r="I1019" s="10" t="s">
        <v>2116</v>
      </c>
      <c r="J1019" s="10">
        <v>20</v>
      </c>
      <c r="K1019" s="10">
        <v>20</v>
      </c>
      <c r="L1019" s="43">
        <v>31</v>
      </c>
      <c r="M1019" s="43">
        <v>26</v>
      </c>
      <c r="N1019" s="12" t="s">
        <v>247</v>
      </c>
      <c r="P1019" s="10">
        <v>35</v>
      </c>
      <c r="T1019" s="10">
        <v>60</v>
      </c>
      <c r="V1019" s="45">
        <v>1</v>
      </c>
      <c r="X1019" s="29">
        <v>12.7</v>
      </c>
      <c r="Y1019" s="7" t="s">
        <v>43</v>
      </c>
    </row>
    <row r="1020" spans="1:27" ht="23.1" customHeight="1" x14ac:dyDescent="0.25">
      <c r="A1020" s="20" t="s">
        <v>1002</v>
      </c>
      <c r="B1020" s="7" t="s">
        <v>113</v>
      </c>
      <c r="C1020" s="7">
        <v>16</v>
      </c>
      <c r="D1020" s="7" t="s">
        <v>892</v>
      </c>
      <c r="E1020" s="41" t="s">
        <v>893</v>
      </c>
      <c r="F1020" s="21" t="s">
        <v>893</v>
      </c>
      <c r="G1020" s="7" t="s">
        <v>102</v>
      </c>
      <c r="H1020" s="7">
        <v>25</v>
      </c>
      <c r="I1020" s="10" t="s">
        <v>1850</v>
      </c>
      <c r="J1020" s="10">
        <v>21</v>
      </c>
      <c r="K1020" s="10">
        <v>11</v>
      </c>
      <c r="L1020" s="43">
        <v>31</v>
      </c>
      <c r="M1020" s="43">
        <v>28</v>
      </c>
      <c r="N1020" s="12" t="s">
        <v>596</v>
      </c>
      <c r="P1020" s="10">
        <v>20</v>
      </c>
      <c r="T1020" s="10">
        <v>60</v>
      </c>
      <c r="V1020" s="45"/>
      <c r="X1020" s="29">
        <v>3.7</v>
      </c>
      <c r="Y1020" s="7" t="s">
        <v>38</v>
      </c>
    </row>
    <row r="1021" spans="1:27" ht="23.1" customHeight="1" x14ac:dyDescent="0.25">
      <c r="A1021" s="20" t="s">
        <v>1002</v>
      </c>
      <c r="B1021" s="7" t="s">
        <v>113</v>
      </c>
      <c r="C1021" s="7">
        <v>16</v>
      </c>
      <c r="D1021" s="7" t="s">
        <v>1045</v>
      </c>
      <c r="E1021" s="41" t="s">
        <v>409</v>
      </c>
      <c r="F1021" s="21" t="s">
        <v>409</v>
      </c>
      <c r="G1021" s="7" t="s">
        <v>102</v>
      </c>
      <c r="H1021" s="7">
        <v>5</v>
      </c>
      <c r="I1021" s="10" t="s">
        <v>1957</v>
      </c>
      <c r="J1021" s="10">
        <v>8</v>
      </c>
      <c r="K1021" s="10">
        <v>8</v>
      </c>
      <c r="L1021" s="43">
        <v>31</v>
      </c>
      <c r="M1021" s="43">
        <v>9</v>
      </c>
      <c r="N1021" s="12" t="s">
        <v>596</v>
      </c>
      <c r="P1021" s="10">
        <v>40</v>
      </c>
      <c r="T1021" s="10">
        <v>60</v>
      </c>
      <c r="V1021" s="45"/>
      <c r="X1021" s="29">
        <v>5.3</v>
      </c>
      <c r="Y1021" s="7" t="s">
        <v>38</v>
      </c>
    </row>
    <row r="1022" spans="1:27" ht="23.1" customHeight="1" x14ac:dyDescent="0.25">
      <c r="A1022" s="20" t="s">
        <v>1002</v>
      </c>
      <c r="B1022" s="7" t="s">
        <v>113</v>
      </c>
      <c r="C1022" s="7">
        <v>11</v>
      </c>
      <c r="D1022" s="7" t="s">
        <v>690</v>
      </c>
      <c r="E1022" s="41" t="s">
        <v>691</v>
      </c>
      <c r="F1022" s="21" t="s">
        <v>691</v>
      </c>
      <c r="G1022" s="7" t="s">
        <v>123</v>
      </c>
      <c r="H1022" s="7">
        <v>35</v>
      </c>
      <c r="I1022" s="10" t="s">
        <v>2086</v>
      </c>
      <c r="J1022" s="10">
        <v>1.3</v>
      </c>
      <c r="K1022" s="10">
        <v>2</v>
      </c>
      <c r="L1022" s="43">
        <v>9</v>
      </c>
      <c r="M1022" s="43">
        <v>9</v>
      </c>
      <c r="N1022" s="12" t="s">
        <v>1046</v>
      </c>
      <c r="P1022" s="10">
        <v>410</v>
      </c>
      <c r="T1022" s="10">
        <v>90</v>
      </c>
      <c r="V1022" s="45"/>
      <c r="X1022" s="29">
        <v>13.7</v>
      </c>
      <c r="Y1022" s="7" t="s">
        <v>38</v>
      </c>
    </row>
    <row r="1023" spans="1:27" ht="23.1" customHeight="1" x14ac:dyDescent="0.25">
      <c r="A1023" s="20" t="s">
        <v>1002</v>
      </c>
      <c r="B1023" s="7" t="s">
        <v>113</v>
      </c>
      <c r="C1023" s="7">
        <v>58</v>
      </c>
      <c r="D1023" s="7" t="s">
        <v>1047</v>
      </c>
      <c r="E1023" s="41" t="s">
        <v>424</v>
      </c>
      <c r="F1023" s="21" t="s">
        <v>424</v>
      </c>
      <c r="G1023" s="7" t="s">
        <v>107</v>
      </c>
      <c r="H1023" s="7">
        <v>10</v>
      </c>
      <c r="I1023" s="10" t="s">
        <v>1949</v>
      </c>
      <c r="J1023" s="10">
        <v>10</v>
      </c>
      <c r="K1023" s="10">
        <v>7</v>
      </c>
      <c r="L1023" s="43">
        <v>28</v>
      </c>
      <c r="M1023" s="43">
        <v>28</v>
      </c>
      <c r="N1023" s="12" t="s">
        <v>1048</v>
      </c>
      <c r="P1023" s="10">
        <v>60</v>
      </c>
      <c r="T1023" s="10">
        <v>100</v>
      </c>
      <c r="V1023" s="45">
        <v>1</v>
      </c>
      <c r="W1023" s="14">
        <v>2</v>
      </c>
      <c r="X1023" s="29">
        <v>10.7</v>
      </c>
      <c r="Y1023" s="7" t="s">
        <v>57</v>
      </c>
      <c r="Z1023" t="s">
        <v>1038</v>
      </c>
      <c r="AA1023" s="1" t="s">
        <v>238</v>
      </c>
    </row>
    <row r="1024" spans="1:27" ht="23.1" customHeight="1" x14ac:dyDescent="0.25">
      <c r="A1024" s="20" t="s">
        <v>1002</v>
      </c>
      <c r="B1024" s="7" t="s">
        <v>113</v>
      </c>
      <c r="C1024" s="7">
        <v>58</v>
      </c>
      <c r="D1024" s="7" t="s">
        <v>1047</v>
      </c>
      <c r="E1024" s="41" t="s">
        <v>424</v>
      </c>
      <c r="F1024" s="21" t="s">
        <v>424</v>
      </c>
      <c r="G1024" s="7" t="s">
        <v>107</v>
      </c>
      <c r="H1024" s="7">
        <v>15</v>
      </c>
      <c r="I1024" s="10" t="s">
        <v>1961</v>
      </c>
      <c r="K1024" s="10">
        <v>0.5</v>
      </c>
      <c r="L1024" s="43">
        <v>9</v>
      </c>
      <c r="M1024" s="43"/>
      <c r="N1024" s="12" t="s">
        <v>1049</v>
      </c>
      <c r="P1024" s="10">
        <v>150</v>
      </c>
      <c r="T1024" s="10">
        <v>100</v>
      </c>
      <c r="V1024" s="45">
        <v>1</v>
      </c>
      <c r="W1024" s="14">
        <v>2</v>
      </c>
      <c r="X1024" s="29">
        <v>4.9000000000000004</v>
      </c>
      <c r="Y1024" s="7" t="s">
        <v>57</v>
      </c>
      <c r="Z1024" t="s">
        <v>926</v>
      </c>
      <c r="AA1024" s="1" t="s">
        <v>238</v>
      </c>
    </row>
    <row r="1025" spans="1:27" s="6" customFormat="1" ht="23.1" customHeight="1" x14ac:dyDescent="0.25">
      <c r="A1025" s="20" t="s">
        <v>796</v>
      </c>
      <c r="B1025" s="42" t="s">
        <v>113</v>
      </c>
      <c r="C1025" s="42">
        <v>9</v>
      </c>
      <c r="D1025" s="42" t="s">
        <v>229</v>
      </c>
      <c r="E1025" s="41" t="s">
        <v>230</v>
      </c>
      <c r="F1025" s="41" t="s">
        <v>230</v>
      </c>
      <c r="G1025" s="42" t="s">
        <v>154</v>
      </c>
      <c r="H1025" s="42">
        <v>30</v>
      </c>
      <c r="I1025" s="47" t="s">
        <v>2449</v>
      </c>
      <c r="J1025" s="47">
        <v>14</v>
      </c>
      <c r="K1025" s="47">
        <v>7</v>
      </c>
      <c r="L1025" s="48">
        <v>28</v>
      </c>
      <c r="M1025" s="48">
        <v>28</v>
      </c>
      <c r="N1025" s="12" t="s">
        <v>307</v>
      </c>
      <c r="O1025" s="47"/>
      <c r="P1025" s="47">
        <v>80</v>
      </c>
      <c r="Q1025" s="47"/>
      <c r="R1025" s="47"/>
      <c r="S1025" s="49"/>
      <c r="T1025" s="47">
        <v>60</v>
      </c>
      <c r="U1025" s="47"/>
      <c r="V1025" s="50"/>
      <c r="W1025" s="51"/>
      <c r="X1025" s="29">
        <v>9.3000000000000007</v>
      </c>
      <c r="Y1025" s="52" t="s">
        <v>55</v>
      </c>
      <c r="Z1025" s="6" t="s">
        <v>1050</v>
      </c>
    </row>
    <row r="1026" spans="1:27" s="6" customFormat="1" ht="23.1" customHeight="1" x14ac:dyDescent="0.25">
      <c r="A1026" s="20" t="s">
        <v>751</v>
      </c>
      <c r="B1026" s="42" t="s">
        <v>113</v>
      </c>
      <c r="C1026" s="42">
        <v>10</v>
      </c>
      <c r="D1026" s="42" t="s">
        <v>517</v>
      </c>
      <c r="E1026" s="41" t="s">
        <v>518</v>
      </c>
      <c r="F1026" s="41" t="s">
        <v>518</v>
      </c>
      <c r="G1026" s="42" t="s">
        <v>300</v>
      </c>
      <c r="H1026" s="42">
        <v>30</v>
      </c>
      <c r="I1026" s="47" t="s">
        <v>2040</v>
      </c>
      <c r="J1026" s="47">
        <v>2.2000000000000002</v>
      </c>
      <c r="K1026" s="47">
        <v>2.2000000000000002</v>
      </c>
      <c r="L1026" s="48">
        <v>28</v>
      </c>
      <c r="M1026" s="48">
        <v>19</v>
      </c>
      <c r="N1026" s="12" t="s">
        <v>1051</v>
      </c>
      <c r="O1026" s="47"/>
      <c r="P1026" s="47">
        <v>270</v>
      </c>
      <c r="Q1026" s="47"/>
      <c r="R1026" s="47"/>
      <c r="S1026" s="49"/>
      <c r="T1026" s="47">
        <v>90</v>
      </c>
      <c r="U1026" s="47"/>
      <c r="V1026" s="50"/>
      <c r="W1026" s="51"/>
      <c r="X1026" s="29">
        <v>9.9</v>
      </c>
      <c r="Y1026" s="52" t="s">
        <v>55</v>
      </c>
    </row>
    <row r="1027" spans="1:27" s="6" customFormat="1" ht="23.1" customHeight="1" x14ac:dyDescent="0.25">
      <c r="A1027" s="20" t="s">
        <v>870</v>
      </c>
      <c r="B1027" s="42" t="s">
        <v>110</v>
      </c>
      <c r="C1027" s="42">
        <v>9</v>
      </c>
      <c r="D1027" s="42" t="s">
        <v>229</v>
      </c>
      <c r="E1027" s="41" t="s">
        <v>230</v>
      </c>
      <c r="F1027" s="41" t="s">
        <v>230</v>
      </c>
      <c r="G1027" s="42" t="s">
        <v>154</v>
      </c>
      <c r="H1027" s="42">
        <v>30</v>
      </c>
      <c r="I1027" s="47" t="s">
        <v>2058</v>
      </c>
      <c r="J1027" s="47">
        <v>5</v>
      </c>
      <c r="K1027" s="47">
        <v>5</v>
      </c>
      <c r="L1027" s="48">
        <v>28</v>
      </c>
      <c r="M1027" s="48">
        <v>28</v>
      </c>
      <c r="N1027" s="12" t="s">
        <v>231</v>
      </c>
      <c r="O1027" s="47"/>
      <c r="P1027" s="47">
        <v>80</v>
      </c>
      <c r="Q1027" s="47"/>
      <c r="R1027" s="47"/>
      <c r="S1027" s="49"/>
      <c r="T1027" s="47">
        <v>60</v>
      </c>
      <c r="U1027" s="47"/>
      <c r="V1027" s="50"/>
      <c r="W1027" s="51"/>
      <c r="X1027" s="29">
        <v>6.7</v>
      </c>
      <c r="Y1027" s="52" t="s">
        <v>55</v>
      </c>
      <c r="Z1027" s="6" t="s">
        <v>1050</v>
      </c>
    </row>
    <row r="1028" spans="1:27" s="6" customFormat="1" ht="23.1" customHeight="1" x14ac:dyDescent="0.25">
      <c r="A1028" s="20" t="s">
        <v>870</v>
      </c>
      <c r="B1028" s="42" t="s">
        <v>113</v>
      </c>
      <c r="C1028" s="42">
        <v>10</v>
      </c>
      <c r="D1028" s="42" t="s">
        <v>517</v>
      </c>
      <c r="E1028" s="41" t="s">
        <v>518</v>
      </c>
      <c r="F1028" s="41" t="s">
        <v>518</v>
      </c>
      <c r="G1028" s="42" t="s">
        <v>300</v>
      </c>
      <c r="H1028" s="42">
        <v>30</v>
      </c>
      <c r="I1028" s="47" t="s">
        <v>2040</v>
      </c>
      <c r="J1028" s="47">
        <v>2.2000000000000002</v>
      </c>
      <c r="K1028" s="47">
        <v>3.5</v>
      </c>
      <c r="L1028" s="48">
        <v>28</v>
      </c>
      <c r="M1028" s="48">
        <v>19</v>
      </c>
      <c r="N1028" s="12" t="s">
        <v>1052</v>
      </c>
      <c r="O1028" s="47"/>
      <c r="P1028" s="47">
        <v>270</v>
      </c>
      <c r="Q1028" s="47"/>
      <c r="R1028" s="47"/>
      <c r="S1028" s="49"/>
      <c r="T1028" s="47">
        <v>90</v>
      </c>
      <c r="U1028" s="47"/>
      <c r="V1028" s="50"/>
      <c r="W1028" s="51"/>
      <c r="X1028" s="29">
        <v>15.8</v>
      </c>
      <c r="Y1028" s="52" t="s">
        <v>55</v>
      </c>
    </row>
    <row r="1029" spans="1:27" s="6" customFormat="1" ht="23.1" customHeight="1" x14ac:dyDescent="0.25">
      <c r="A1029" s="20" t="s">
        <v>748</v>
      </c>
      <c r="B1029" s="42" t="s">
        <v>113</v>
      </c>
      <c r="C1029" s="42">
        <v>9</v>
      </c>
      <c r="D1029" s="42" t="s">
        <v>911</v>
      </c>
      <c r="E1029" s="41" t="s">
        <v>912</v>
      </c>
      <c r="F1029" s="41" t="s">
        <v>912</v>
      </c>
      <c r="G1029" s="42" t="s">
        <v>154</v>
      </c>
      <c r="H1029" s="42">
        <v>15</v>
      </c>
      <c r="I1029" s="47" t="s">
        <v>2111</v>
      </c>
      <c r="J1029" s="47">
        <v>3</v>
      </c>
      <c r="K1029" s="47">
        <v>3.5</v>
      </c>
      <c r="L1029" s="48">
        <v>19</v>
      </c>
      <c r="M1029" s="48">
        <v>26</v>
      </c>
      <c r="N1029" s="12" t="s">
        <v>1053</v>
      </c>
      <c r="O1029" s="47"/>
      <c r="P1029" s="47">
        <v>100</v>
      </c>
      <c r="Q1029" s="47"/>
      <c r="R1029" s="47"/>
      <c r="S1029" s="49"/>
      <c r="T1029" s="47">
        <v>60</v>
      </c>
      <c r="U1029" s="47"/>
      <c r="V1029" s="50">
        <v>1</v>
      </c>
      <c r="W1029" s="51">
        <v>2</v>
      </c>
      <c r="X1029" s="29">
        <v>8.8000000000000007</v>
      </c>
      <c r="Y1029" s="52" t="s">
        <v>55</v>
      </c>
      <c r="Z1029" s="6" t="s">
        <v>1054</v>
      </c>
      <c r="AA1029" s="1" t="s">
        <v>238</v>
      </c>
    </row>
    <row r="1030" spans="1:27" s="6" customFormat="1" ht="23.1" customHeight="1" x14ac:dyDescent="0.25">
      <c r="A1030" s="20" t="s">
        <v>751</v>
      </c>
      <c r="B1030" s="42" t="s">
        <v>113</v>
      </c>
      <c r="C1030" s="42">
        <v>10</v>
      </c>
      <c r="D1030" s="42" t="s">
        <v>946</v>
      </c>
      <c r="E1030" s="41" t="s">
        <v>947</v>
      </c>
      <c r="F1030" s="41" t="s">
        <v>947</v>
      </c>
      <c r="G1030" s="42" t="s">
        <v>300</v>
      </c>
      <c r="H1030" s="42">
        <v>15</v>
      </c>
      <c r="I1030" s="47" t="s">
        <v>2112</v>
      </c>
      <c r="J1030" s="47">
        <v>3</v>
      </c>
      <c r="K1030" s="47">
        <v>1</v>
      </c>
      <c r="L1030" s="48">
        <v>37</v>
      </c>
      <c r="M1030" s="48"/>
      <c r="N1030" s="12" t="s">
        <v>1055</v>
      </c>
      <c r="O1030" s="47"/>
      <c r="P1030" s="47">
        <v>80</v>
      </c>
      <c r="Q1030" s="47"/>
      <c r="R1030" s="47"/>
      <c r="S1030" s="49"/>
      <c r="T1030" s="47">
        <v>60</v>
      </c>
      <c r="U1030" s="47"/>
      <c r="V1030" s="50">
        <v>1</v>
      </c>
      <c r="W1030" s="51"/>
      <c r="X1030" s="29">
        <v>2.2999999999999998</v>
      </c>
      <c r="Y1030" s="52" t="s">
        <v>55</v>
      </c>
      <c r="AA1030" s="1" t="s">
        <v>238</v>
      </c>
    </row>
    <row r="1031" spans="1:27" s="6" customFormat="1" ht="23.1" customHeight="1" x14ac:dyDescent="0.25">
      <c r="A1031" s="20" t="s">
        <v>575</v>
      </c>
      <c r="B1031" s="42" t="s">
        <v>110</v>
      </c>
      <c r="C1031" s="42">
        <v>9</v>
      </c>
      <c r="D1031" s="42" t="s">
        <v>598</v>
      </c>
      <c r="E1031" s="41" t="s">
        <v>599</v>
      </c>
      <c r="F1031" s="41" t="e">
        <v>#N/A</v>
      </c>
      <c r="G1031" s="42" t="s">
        <v>102</v>
      </c>
      <c r="H1031" s="42">
        <v>15</v>
      </c>
      <c r="I1031" s="47"/>
      <c r="J1031" s="47"/>
      <c r="K1031" s="47"/>
      <c r="L1031" s="48">
        <v>28</v>
      </c>
      <c r="M1031" s="48">
        <v>28</v>
      </c>
      <c r="N1031" s="12" t="s">
        <v>108</v>
      </c>
      <c r="O1031" s="47"/>
      <c r="P1031" s="47"/>
      <c r="Q1031" s="47"/>
      <c r="R1031" s="47"/>
      <c r="S1031" s="49"/>
      <c r="T1031" s="47"/>
      <c r="U1031" s="47"/>
      <c r="V1031" s="50"/>
      <c r="W1031" s="51">
        <v>3</v>
      </c>
      <c r="X1031" s="29">
        <v>3</v>
      </c>
      <c r="Y1031" s="52" t="s">
        <v>55</v>
      </c>
      <c r="Z1031" s="6" t="s">
        <v>1056</v>
      </c>
      <c r="AA1031" s="1" t="s">
        <v>238</v>
      </c>
    </row>
    <row r="1032" spans="1:27" s="6" customFormat="1" ht="23.1" customHeight="1" x14ac:dyDescent="0.25">
      <c r="A1032" s="20" t="s">
        <v>909</v>
      </c>
      <c r="B1032" s="42" t="s">
        <v>113</v>
      </c>
      <c r="C1032" s="42">
        <v>9</v>
      </c>
      <c r="D1032" s="42" t="s">
        <v>911</v>
      </c>
      <c r="E1032" s="41" t="s">
        <v>912</v>
      </c>
      <c r="F1032" s="41" t="s">
        <v>912</v>
      </c>
      <c r="G1032" s="42" t="s">
        <v>154</v>
      </c>
      <c r="H1032" s="42">
        <v>15</v>
      </c>
      <c r="I1032" s="47" t="s">
        <v>2111</v>
      </c>
      <c r="J1032" s="47"/>
      <c r="K1032" s="47"/>
      <c r="L1032" s="48"/>
      <c r="M1032" s="48"/>
      <c r="N1032" s="12" t="s">
        <v>108</v>
      </c>
      <c r="O1032" s="47"/>
      <c r="P1032" s="47">
        <v>100</v>
      </c>
      <c r="Q1032" s="47"/>
      <c r="R1032" s="47"/>
      <c r="S1032" s="49"/>
      <c r="T1032" s="47">
        <v>60</v>
      </c>
      <c r="U1032" s="47"/>
      <c r="V1032" s="50"/>
      <c r="W1032" s="51">
        <v>2</v>
      </c>
      <c r="X1032" s="29">
        <v>2</v>
      </c>
      <c r="Y1032" s="52" t="s">
        <v>55</v>
      </c>
      <c r="AA1032" s="1" t="s">
        <v>238</v>
      </c>
    </row>
    <row r="1033" spans="1:27" s="6" customFormat="1" ht="23.1" customHeight="1" x14ac:dyDescent="0.25">
      <c r="A1033" s="20" t="s">
        <v>909</v>
      </c>
      <c r="B1033" s="42" t="s">
        <v>113</v>
      </c>
      <c r="C1033" s="42">
        <v>10</v>
      </c>
      <c r="D1033" s="42" t="s">
        <v>946</v>
      </c>
      <c r="E1033" s="41" t="s">
        <v>947</v>
      </c>
      <c r="F1033" s="41" t="s">
        <v>947</v>
      </c>
      <c r="G1033" s="42" t="s">
        <v>300</v>
      </c>
      <c r="H1033" s="42">
        <v>15</v>
      </c>
      <c r="I1033" s="47" t="s">
        <v>2112</v>
      </c>
      <c r="J1033" s="47"/>
      <c r="K1033" s="47"/>
      <c r="L1033" s="48"/>
      <c r="M1033" s="48"/>
      <c r="N1033" s="12" t="s">
        <v>1055</v>
      </c>
      <c r="O1033" s="47"/>
      <c r="P1033" s="47">
        <v>80</v>
      </c>
      <c r="Q1033" s="47"/>
      <c r="R1033" s="47"/>
      <c r="S1033" s="49"/>
      <c r="T1033" s="47">
        <v>60</v>
      </c>
      <c r="U1033" s="47"/>
      <c r="V1033" s="50"/>
      <c r="W1033" s="51">
        <v>2</v>
      </c>
      <c r="X1033" s="29">
        <v>2</v>
      </c>
      <c r="Y1033" s="52" t="s">
        <v>55</v>
      </c>
      <c r="Z1033" s="6" t="s">
        <v>1054</v>
      </c>
      <c r="AA1033" s="1" t="s">
        <v>238</v>
      </c>
    </row>
    <row r="1034" spans="1:27" s="6" customFormat="1" ht="23.1" customHeight="1" x14ac:dyDescent="0.25">
      <c r="A1034" s="20" t="s">
        <v>909</v>
      </c>
      <c r="B1034" s="42" t="s">
        <v>110</v>
      </c>
      <c r="C1034" s="42">
        <v>76</v>
      </c>
      <c r="D1034" s="42" t="s">
        <v>1057</v>
      </c>
      <c r="E1034" s="41" t="s">
        <v>625</v>
      </c>
      <c r="F1034" s="41" t="s">
        <v>625</v>
      </c>
      <c r="G1034" s="42" t="s">
        <v>102</v>
      </c>
      <c r="H1034" s="42">
        <v>10</v>
      </c>
      <c r="I1034" s="47" t="s">
        <v>1916</v>
      </c>
      <c r="J1034" s="47">
        <v>8</v>
      </c>
      <c r="K1034" s="47">
        <v>8</v>
      </c>
      <c r="L1034" s="48">
        <v>19</v>
      </c>
      <c r="M1034" s="48">
        <v>19</v>
      </c>
      <c r="N1034" s="12" t="s">
        <v>596</v>
      </c>
      <c r="O1034" s="47"/>
      <c r="P1034" s="47">
        <v>35</v>
      </c>
      <c r="Q1034" s="47"/>
      <c r="R1034" s="47"/>
      <c r="S1034" s="49"/>
      <c r="T1034" s="47">
        <v>60</v>
      </c>
      <c r="U1034" s="47"/>
      <c r="V1034" s="50"/>
      <c r="W1034" s="51"/>
      <c r="X1034" s="29">
        <v>4.7</v>
      </c>
      <c r="Y1034" s="52" t="s">
        <v>12</v>
      </c>
    </row>
    <row r="1035" spans="1:27" s="6" customFormat="1" ht="23.1" customHeight="1" x14ac:dyDescent="0.25">
      <c r="A1035" s="20" t="s">
        <v>909</v>
      </c>
      <c r="B1035" s="42" t="s">
        <v>110</v>
      </c>
      <c r="C1035" s="42">
        <v>76</v>
      </c>
      <c r="D1035" s="42" t="s">
        <v>1057</v>
      </c>
      <c r="E1035" s="41" t="s">
        <v>625</v>
      </c>
      <c r="F1035" s="41" t="s">
        <v>625</v>
      </c>
      <c r="G1035" s="42" t="s">
        <v>102</v>
      </c>
      <c r="H1035" s="42">
        <v>15</v>
      </c>
      <c r="I1035" s="47" t="s">
        <v>1864</v>
      </c>
      <c r="J1035" s="47">
        <v>8</v>
      </c>
      <c r="K1035" s="47">
        <v>8</v>
      </c>
      <c r="L1035" s="48">
        <v>19</v>
      </c>
      <c r="M1035" s="48">
        <v>5</v>
      </c>
      <c r="N1035" s="12" t="s">
        <v>596</v>
      </c>
      <c r="O1035" s="47"/>
      <c r="P1035" s="47">
        <v>35</v>
      </c>
      <c r="Q1035" s="47"/>
      <c r="R1035" s="47"/>
      <c r="S1035" s="49"/>
      <c r="T1035" s="47">
        <v>90</v>
      </c>
      <c r="U1035" s="47"/>
      <c r="V1035" s="50">
        <v>1</v>
      </c>
      <c r="W1035" s="51"/>
      <c r="X1035" s="29">
        <v>6.2</v>
      </c>
      <c r="Y1035" s="52" t="s">
        <v>12</v>
      </c>
    </row>
    <row r="1036" spans="1:27" s="6" customFormat="1" ht="23.1" customHeight="1" x14ac:dyDescent="0.25">
      <c r="A1036" s="20" t="s">
        <v>870</v>
      </c>
      <c r="B1036" s="42" t="s">
        <v>113</v>
      </c>
      <c r="C1036" s="42">
        <v>76</v>
      </c>
      <c r="D1036" s="42" t="s">
        <v>364</v>
      </c>
      <c r="E1036" s="41" t="s">
        <v>365</v>
      </c>
      <c r="F1036" s="41" t="s">
        <v>365</v>
      </c>
      <c r="G1036" s="42" t="s">
        <v>154</v>
      </c>
      <c r="H1036" s="42">
        <v>40</v>
      </c>
      <c r="I1036" s="47" t="s">
        <v>1915</v>
      </c>
      <c r="J1036" s="47"/>
      <c r="K1036" s="47">
        <v>48</v>
      </c>
      <c r="L1036" s="48">
        <v>31</v>
      </c>
      <c r="M1036" s="48">
        <v>31</v>
      </c>
      <c r="N1036" s="12" t="s">
        <v>221</v>
      </c>
      <c r="O1036" s="47"/>
      <c r="P1036" s="47">
        <v>20</v>
      </c>
      <c r="Q1036" s="47"/>
      <c r="R1036" s="47"/>
      <c r="S1036" s="49"/>
      <c r="T1036" s="47">
        <v>90</v>
      </c>
      <c r="U1036" s="47"/>
      <c r="V1036" s="50">
        <v>1</v>
      </c>
      <c r="W1036" s="51"/>
      <c r="X1036" s="29">
        <v>17.5</v>
      </c>
      <c r="Y1036" s="52" t="s">
        <v>46</v>
      </c>
    </row>
    <row r="1037" spans="1:27" s="6" customFormat="1" ht="23.1" customHeight="1" x14ac:dyDescent="0.25">
      <c r="A1037" s="20" t="s">
        <v>870</v>
      </c>
      <c r="B1037" s="42" t="s">
        <v>113</v>
      </c>
      <c r="C1037" s="42">
        <v>77</v>
      </c>
      <c r="D1037" s="42" t="s">
        <v>364</v>
      </c>
      <c r="E1037" s="41" t="s">
        <v>365</v>
      </c>
      <c r="F1037" s="41" t="s">
        <v>365</v>
      </c>
      <c r="G1037" s="42" t="s">
        <v>154</v>
      </c>
      <c r="H1037" s="42">
        <v>35</v>
      </c>
      <c r="I1037" s="47" t="s">
        <v>2073</v>
      </c>
      <c r="J1037" s="47"/>
      <c r="K1037" s="47">
        <v>18</v>
      </c>
      <c r="L1037" s="48">
        <v>31</v>
      </c>
      <c r="M1037" s="48">
        <v>31</v>
      </c>
      <c r="N1037" s="12" t="s">
        <v>221</v>
      </c>
      <c r="O1037" s="47"/>
      <c r="P1037" s="47">
        <v>15</v>
      </c>
      <c r="Q1037" s="47"/>
      <c r="R1037" s="47"/>
      <c r="S1037" s="49"/>
      <c r="T1037" s="47">
        <v>60</v>
      </c>
      <c r="U1037" s="47"/>
      <c r="V1037" s="50"/>
      <c r="W1037" s="51"/>
      <c r="X1037" s="29">
        <v>4.5</v>
      </c>
      <c r="Y1037" s="52" t="s">
        <v>46</v>
      </c>
    </row>
    <row r="1038" spans="1:27" s="6" customFormat="1" ht="23.1" customHeight="1" x14ac:dyDescent="0.25">
      <c r="A1038" s="20" t="s">
        <v>909</v>
      </c>
      <c r="B1038" s="42" t="s">
        <v>113</v>
      </c>
      <c r="C1038" s="42">
        <v>76</v>
      </c>
      <c r="D1038" s="42" t="s">
        <v>1057</v>
      </c>
      <c r="E1038" s="41" t="s">
        <v>625</v>
      </c>
      <c r="F1038" s="41" t="s">
        <v>625</v>
      </c>
      <c r="G1038" s="42" t="s">
        <v>102</v>
      </c>
      <c r="H1038" s="42">
        <v>20</v>
      </c>
      <c r="I1038" s="47" t="s">
        <v>2117</v>
      </c>
      <c r="J1038" s="47">
        <v>8</v>
      </c>
      <c r="K1038" s="47">
        <v>8</v>
      </c>
      <c r="L1038" s="48">
        <v>5</v>
      </c>
      <c r="M1038" s="48">
        <v>28</v>
      </c>
      <c r="N1038" s="12" t="s">
        <v>596</v>
      </c>
      <c r="O1038" s="47"/>
      <c r="P1038" s="47">
        <v>75</v>
      </c>
      <c r="Q1038" s="47"/>
      <c r="R1038" s="47"/>
      <c r="S1038" s="49"/>
      <c r="T1038" s="47">
        <v>90</v>
      </c>
      <c r="U1038" s="47"/>
      <c r="V1038" s="50">
        <v>1</v>
      </c>
      <c r="W1038" s="51"/>
      <c r="X1038" s="29">
        <v>11.5</v>
      </c>
      <c r="Y1038" s="52" t="s">
        <v>46</v>
      </c>
      <c r="Z1038" s="6" t="s">
        <v>1058</v>
      </c>
    </row>
    <row r="1039" spans="1:27" s="6" customFormat="1" ht="23.1" customHeight="1" x14ac:dyDescent="0.25">
      <c r="A1039" s="20" t="s">
        <v>870</v>
      </c>
      <c r="B1039" s="42" t="s">
        <v>137</v>
      </c>
      <c r="C1039" s="42">
        <v>18</v>
      </c>
      <c r="D1039" s="42" t="s">
        <v>205</v>
      </c>
      <c r="E1039" s="41" t="s">
        <v>206</v>
      </c>
      <c r="F1039" s="41" t="s">
        <v>206</v>
      </c>
      <c r="G1039" s="42" t="s">
        <v>102</v>
      </c>
      <c r="H1039" s="42">
        <v>70</v>
      </c>
      <c r="I1039" s="47" t="s">
        <v>2450</v>
      </c>
      <c r="J1039" s="47">
        <v>2</v>
      </c>
      <c r="K1039" s="47">
        <v>2</v>
      </c>
      <c r="L1039" s="48">
        <v>23</v>
      </c>
      <c r="M1039" s="48">
        <v>23</v>
      </c>
      <c r="N1039" s="12" t="s">
        <v>1059</v>
      </c>
      <c r="O1039" s="47"/>
      <c r="P1039" s="47">
        <v>300</v>
      </c>
      <c r="Q1039" s="47"/>
      <c r="R1039" s="47"/>
      <c r="S1039" s="49"/>
      <c r="T1039" s="47">
        <v>120</v>
      </c>
      <c r="U1039" s="47"/>
      <c r="V1039" s="50"/>
      <c r="W1039" s="51"/>
      <c r="X1039" s="29">
        <v>10</v>
      </c>
      <c r="Y1039" s="52" t="s">
        <v>16</v>
      </c>
    </row>
    <row r="1040" spans="1:27" s="6" customFormat="1" ht="23.1" customHeight="1" x14ac:dyDescent="0.25">
      <c r="A1040" s="20" t="s">
        <v>870</v>
      </c>
      <c r="B1040" s="42" t="s">
        <v>137</v>
      </c>
      <c r="C1040" s="42">
        <v>18</v>
      </c>
      <c r="D1040" s="42" t="s">
        <v>920</v>
      </c>
      <c r="E1040" s="41" t="s">
        <v>919</v>
      </c>
      <c r="F1040" s="41" t="s">
        <v>919</v>
      </c>
      <c r="G1040" s="42" t="s">
        <v>323</v>
      </c>
      <c r="H1040" s="42">
        <v>5</v>
      </c>
      <c r="I1040" s="47" t="s">
        <v>2448</v>
      </c>
      <c r="J1040" s="47">
        <v>2</v>
      </c>
      <c r="K1040" s="47">
        <v>10</v>
      </c>
      <c r="L1040" s="48"/>
      <c r="M1040" s="48"/>
      <c r="N1040" s="12" t="s">
        <v>860</v>
      </c>
      <c r="O1040" s="47"/>
      <c r="P1040" s="47">
        <v>40</v>
      </c>
      <c r="Q1040" s="47"/>
      <c r="R1040" s="47"/>
      <c r="S1040" s="49"/>
      <c r="T1040" s="47">
        <v>60</v>
      </c>
      <c r="U1040" s="47"/>
      <c r="V1040" s="50"/>
      <c r="W1040" s="51"/>
      <c r="X1040" s="29">
        <v>6.7</v>
      </c>
      <c r="Y1040" s="52" t="s">
        <v>16</v>
      </c>
      <c r="Z1040" s="6" t="s">
        <v>1060</v>
      </c>
      <c r="AA1040" s="6" t="s">
        <v>957</v>
      </c>
    </row>
    <row r="1041" spans="1:27" s="6" customFormat="1" ht="23.1" customHeight="1" x14ac:dyDescent="0.25">
      <c r="A1041" s="20" t="s">
        <v>870</v>
      </c>
      <c r="B1041" s="42" t="s">
        <v>113</v>
      </c>
      <c r="C1041" s="42">
        <v>18</v>
      </c>
      <c r="D1041" s="46" t="s">
        <v>1061</v>
      </c>
      <c r="E1041" s="41" t="s">
        <v>919</v>
      </c>
      <c r="F1041" s="41" t="e">
        <v>#N/A</v>
      </c>
      <c r="G1041" s="42" t="s">
        <v>323</v>
      </c>
      <c r="H1041" s="42">
        <v>5</v>
      </c>
      <c r="I1041" s="47"/>
      <c r="J1041" s="47">
        <v>8</v>
      </c>
      <c r="K1041" s="47">
        <v>30</v>
      </c>
      <c r="L1041" s="48"/>
      <c r="M1041" s="48"/>
      <c r="N1041" s="12" t="s">
        <v>951</v>
      </c>
      <c r="O1041" s="47"/>
      <c r="P1041" s="47"/>
      <c r="Q1041" s="47"/>
      <c r="R1041" s="47"/>
      <c r="S1041" s="49"/>
      <c r="T1041" s="47"/>
      <c r="U1041" s="47"/>
      <c r="V1041" s="50"/>
      <c r="W1041" s="51">
        <v>10</v>
      </c>
      <c r="X1041" s="29">
        <v>10</v>
      </c>
      <c r="Y1041" s="52" t="s">
        <v>43</v>
      </c>
      <c r="Z1041" s="6" t="s">
        <v>1062</v>
      </c>
      <c r="AA1041" s="6" t="s">
        <v>957</v>
      </c>
    </row>
    <row r="1042" spans="1:27" s="6" customFormat="1" ht="23.1" customHeight="1" x14ac:dyDescent="0.25">
      <c r="A1042" s="20" t="s">
        <v>870</v>
      </c>
      <c r="B1042" s="42" t="s">
        <v>113</v>
      </c>
      <c r="C1042" s="42">
        <v>17</v>
      </c>
      <c r="D1042" s="42" t="s">
        <v>916</v>
      </c>
      <c r="E1042" s="41" t="s">
        <v>917</v>
      </c>
      <c r="F1042" s="41" t="s">
        <v>917</v>
      </c>
      <c r="G1042" s="42" t="s">
        <v>250</v>
      </c>
      <c r="H1042" s="42"/>
      <c r="I1042" s="47"/>
      <c r="J1042" s="47"/>
      <c r="K1042" s="47"/>
      <c r="L1042" s="48"/>
      <c r="M1042" s="48"/>
      <c r="N1042" s="12" t="s">
        <v>247</v>
      </c>
      <c r="O1042" s="47"/>
      <c r="P1042" s="47"/>
      <c r="Q1042" s="47"/>
      <c r="R1042" s="47"/>
      <c r="S1042" s="49"/>
      <c r="T1042" s="47"/>
      <c r="U1042" s="47"/>
      <c r="V1042" s="50"/>
      <c r="W1042" s="51">
        <v>6</v>
      </c>
      <c r="X1042" s="29">
        <v>6</v>
      </c>
      <c r="Y1042" s="52" t="s">
        <v>43</v>
      </c>
      <c r="Z1042" s="6" t="s">
        <v>1063</v>
      </c>
      <c r="AA1042" s="6" t="s">
        <v>957</v>
      </c>
    </row>
    <row r="1043" spans="1:27" s="6" customFormat="1" ht="23.1" customHeight="1" x14ac:dyDescent="0.25">
      <c r="A1043" s="20" t="s">
        <v>329</v>
      </c>
      <c r="B1043" s="42" t="s">
        <v>110</v>
      </c>
      <c r="C1043" s="42">
        <v>97</v>
      </c>
      <c r="D1043" s="42" t="s">
        <v>1064</v>
      </c>
      <c r="E1043" s="41" t="s">
        <v>1065</v>
      </c>
      <c r="F1043" s="41" t="s">
        <v>1065</v>
      </c>
      <c r="G1043" s="42" t="s">
        <v>250</v>
      </c>
      <c r="H1043" s="42">
        <v>50</v>
      </c>
      <c r="I1043" s="47" t="s">
        <v>2118</v>
      </c>
      <c r="J1043" s="47">
        <v>1</v>
      </c>
      <c r="K1043" s="47">
        <v>1.3</v>
      </c>
      <c r="L1043" s="48">
        <v>32</v>
      </c>
      <c r="M1043" s="48">
        <v>32</v>
      </c>
      <c r="N1043" s="12" t="s">
        <v>186</v>
      </c>
      <c r="O1043" s="47"/>
      <c r="P1043" s="47">
        <v>420</v>
      </c>
      <c r="Q1043" s="47">
        <v>60</v>
      </c>
      <c r="R1043" s="47"/>
      <c r="S1043" s="49">
        <v>2</v>
      </c>
      <c r="T1043" s="47">
        <v>90</v>
      </c>
      <c r="U1043" s="47"/>
      <c r="V1043" s="50"/>
      <c r="W1043" s="51"/>
      <c r="X1043" s="29">
        <v>11.1</v>
      </c>
      <c r="Y1043" s="52" t="s">
        <v>36</v>
      </c>
      <c r="AA1043" s="6" t="s">
        <v>1066</v>
      </c>
    </row>
    <row r="1044" spans="1:27" s="6" customFormat="1" ht="23.1" customHeight="1" x14ac:dyDescent="0.25">
      <c r="A1044" s="20" t="s">
        <v>329</v>
      </c>
      <c r="B1044" s="42" t="s">
        <v>110</v>
      </c>
      <c r="C1044" s="42">
        <v>97</v>
      </c>
      <c r="D1044" s="42" t="s">
        <v>1064</v>
      </c>
      <c r="E1044" s="41" t="s">
        <v>1065</v>
      </c>
      <c r="F1044" s="41" t="s">
        <v>1065</v>
      </c>
      <c r="G1044" s="42" t="s">
        <v>250</v>
      </c>
      <c r="H1044" s="42">
        <v>55</v>
      </c>
      <c r="I1044" s="47" t="s">
        <v>2119</v>
      </c>
      <c r="J1044" s="47">
        <v>1</v>
      </c>
      <c r="K1044" s="47">
        <v>1</v>
      </c>
      <c r="L1044" s="48">
        <v>32</v>
      </c>
      <c r="M1044" s="48">
        <v>32</v>
      </c>
      <c r="N1044" s="12" t="s">
        <v>292</v>
      </c>
      <c r="O1044" s="47"/>
      <c r="P1044" s="47">
        <v>60</v>
      </c>
      <c r="Q1044" s="47">
        <v>60</v>
      </c>
      <c r="R1044" s="47"/>
      <c r="S1044" s="49">
        <v>1</v>
      </c>
      <c r="T1044" s="47">
        <v>60</v>
      </c>
      <c r="U1044" s="47"/>
      <c r="V1044" s="50"/>
      <c r="W1044" s="51"/>
      <c r="X1044" s="29">
        <v>2</v>
      </c>
      <c r="Y1044" s="52" t="s">
        <v>36</v>
      </c>
    </row>
    <row r="1045" spans="1:27" s="6" customFormat="1" ht="23.1" customHeight="1" x14ac:dyDescent="0.25">
      <c r="A1045" s="20" t="s">
        <v>329</v>
      </c>
      <c r="B1045" s="42" t="s">
        <v>110</v>
      </c>
      <c r="C1045" s="42">
        <v>100</v>
      </c>
      <c r="D1045" s="42" t="s">
        <v>643</v>
      </c>
      <c r="E1045" s="41" t="s">
        <v>644</v>
      </c>
      <c r="F1045" s="41" t="s">
        <v>644</v>
      </c>
      <c r="G1045" s="42" t="s">
        <v>154</v>
      </c>
      <c r="H1045" s="42">
        <v>40</v>
      </c>
      <c r="I1045" s="47" t="s">
        <v>2120</v>
      </c>
      <c r="J1045" s="47">
        <v>0.25</v>
      </c>
      <c r="K1045" s="47">
        <v>0.25</v>
      </c>
      <c r="L1045" s="48">
        <v>32</v>
      </c>
      <c r="M1045" s="48">
        <v>32</v>
      </c>
      <c r="N1045" s="12" t="s">
        <v>399</v>
      </c>
      <c r="O1045" s="47"/>
      <c r="P1045" s="47">
        <v>2640</v>
      </c>
      <c r="Q1045" s="47">
        <v>90</v>
      </c>
      <c r="R1045" s="47"/>
      <c r="S1045" s="49">
        <v>1</v>
      </c>
      <c r="T1045" s="47">
        <v>180</v>
      </c>
      <c r="U1045" s="47"/>
      <c r="V1045" s="50"/>
      <c r="W1045" s="51"/>
      <c r="X1045" s="29">
        <v>12.5</v>
      </c>
      <c r="Y1045" s="52" t="s">
        <v>36</v>
      </c>
    </row>
    <row r="1046" spans="1:27" s="6" customFormat="1" ht="23.1" customHeight="1" x14ac:dyDescent="0.25">
      <c r="A1046" s="20" t="s">
        <v>329</v>
      </c>
      <c r="B1046" s="42" t="s">
        <v>110</v>
      </c>
      <c r="C1046" s="42">
        <v>102</v>
      </c>
      <c r="D1046" s="42" t="s">
        <v>1067</v>
      </c>
      <c r="E1046" s="41" t="s">
        <v>1068</v>
      </c>
      <c r="F1046" s="41" t="s">
        <v>1068</v>
      </c>
      <c r="G1046" s="42" t="s">
        <v>323</v>
      </c>
      <c r="H1046" s="42">
        <v>40</v>
      </c>
      <c r="I1046" s="47" t="s">
        <v>2122</v>
      </c>
      <c r="J1046" s="47">
        <v>8</v>
      </c>
      <c r="K1046" s="47">
        <v>8</v>
      </c>
      <c r="L1046" s="48">
        <v>32</v>
      </c>
      <c r="M1046" s="48">
        <v>32</v>
      </c>
      <c r="N1046" s="12" t="s">
        <v>1069</v>
      </c>
      <c r="O1046" s="47"/>
      <c r="P1046" s="47">
        <v>90</v>
      </c>
      <c r="Q1046" s="47">
        <v>60</v>
      </c>
      <c r="R1046" s="47"/>
      <c r="S1046" s="49">
        <v>8</v>
      </c>
      <c r="T1046" s="47">
        <v>120</v>
      </c>
      <c r="U1046" s="47"/>
      <c r="V1046" s="50"/>
      <c r="W1046" s="51"/>
      <c r="X1046" s="29">
        <v>20</v>
      </c>
      <c r="Y1046" s="52" t="s">
        <v>36</v>
      </c>
    </row>
    <row r="1047" spans="1:27" s="6" customFormat="1" ht="23.1" customHeight="1" x14ac:dyDescent="0.25">
      <c r="A1047" s="20" t="s">
        <v>329</v>
      </c>
      <c r="B1047" s="42" t="s">
        <v>110</v>
      </c>
      <c r="C1047" s="42">
        <v>106</v>
      </c>
      <c r="D1047" s="42" t="s">
        <v>1070</v>
      </c>
      <c r="E1047" s="41" t="s">
        <v>101</v>
      </c>
      <c r="F1047" s="41" t="s">
        <v>101</v>
      </c>
      <c r="G1047" s="42" t="s">
        <v>300</v>
      </c>
      <c r="H1047" s="42">
        <v>15</v>
      </c>
      <c r="I1047" s="47" t="s">
        <v>2451</v>
      </c>
      <c r="J1047" s="47">
        <v>0.5</v>
      </c>
      <c r="K1047" s="47">
        <v>0.6</v>
      </c>
      <c r="L1047" s="48">
        <v>32</v>
      </c>
      <c r="M1047" s="48">
        <v>32</v>
      </c>
      <c r="N1047" s="12" t="s">
        <v>247</v>
      </c>
      <c r="O1047" s="47"/>
      <c r="P1047" s="47">
        <v>2150</v>
      </c>
      <c r="Q1047" s="47">
        <v>180</v>
      </c>
      <c r="R1047" s="47"/>
      <c r="S1047" s="49">
        <v>1</v>
      </c>
      <c r="T1047" s="47">
        <v>180</v>
      </c>
      <c r="U1047" s="47"/>
      <c r="V1047" s="50"/>
      <c r="W1047" s="51"/>
      <c r="X1047" s="29">
        <v>24.5</v>
      </c>
      <c r="Y1047" s="52" t="s">
        <v>36</v>
      </c>
    </row>
    <row r="1048" spans="1:27" s="6" customFormat="1" ht="23.1" customHeight="1" x14ac:dyDescent="0.25">
      <c r="A1048" s="20" t="s">
        <v>329</v>
      </c>
      <c r="B1048" s="42" t="s">
        <v>110</v>
      </c>
      <c r="C1048" s="42">
        <v>19</v>
      </c>
      <c r="D1048" s="42" t="s">
        <v>1071</v>
      </c>
      <c r="E1048" s="41" t="s">
        <v>1072</v>
      </c>
      <c r="F1048" s="41" t="e">
        <v>#N/A</v>
      </c>
      <c r="G1048" s="42" t="s">
        <v>250</v>
      </c>
      <c r="H1048" s="42">
        <v>30</v>
      </c>
      <c r="I1048" s="47" t="s">
        <v>2123</v>
      </c>
      <c r="J1048" s="47">
        <v>1</v>
      </c>
      <c r="K1048" s="47">
        <v>1.9</v>
      </c>
      <c r="L1048" s="48">
        <v>32</v>
      </c>
      <c r="M1048" s="48">
        <v>32</v>
      </c>
      <c r="N1048" s="12" t="s">
        <v>1073</v>
      </c>
      <c r="O1048" s="47"/>
      <c r="P1048" s="47">
        <v>650</v>
      </c>
      <c r="Q1048" s="47">
        <v>90</v>
      </c>
      <c r="R1048" s="47"/>
      <c r="S1048" s="49">
        <v>2</v>
      </c>
      <c r="T1048" s="47">
        <v>60</v>
      </c>
      <c r="U1048" s="47"/>
      <c r="V1048" s="50"/>
      <c r="W1048" s="51"/>
      <c r="X1048" s="29">
        <v>23.6</v>
      </c>
      <c r="Y1048" s="52" t="s">
        <v>36</v>
      </c>
    </row>
    <row r="1049" spans="1:27" s="6" customFormat="1" ht="23.1" customHeight="1" x14ac:dyDescent="0.25">
      <c r="A1049" s="20" t="s">
        <v>329</v>
      </c>
      <c r="B1049" s="42" t="s">
        <v>110</v>
      </c>
      <c r="C1049" s="42">
        <v>44</v>
      </c>
      <c r="D1049" s="42" t="s">
        <v>1074</v>
      </c>
      <c r="E1049" s="41" t="s">
        <v>1075</v>
      </c>
      <c r="F1049" s="41" t="s">
        <v>1075</v>
      </c>
      <c r="G1049" s="42" t="s">
        <v>154</v>
      </c>
      <c r="H1049" s="42">
        <v>40</v>
      </c>
      <c r="I1049" s="47" t="s">
        <v>2452</v>
      </c>
      <c r="J1049" s="47">
        <v>4</v>
      </c>
      <c r="K1049" s="47">
        <v>4</v>
      </c>
      <c r="L1049" s="48">
        <v>32</v>
      </c>
      <c r="M1049" s="48">
        <v>32</v>
      </c>
      <c r="N1049" s="12" t="s">
        <v>526</v>
      </c>
      <c r="O1049" s="47"/>
      <c r="P1049" s="47">
        <v>100</v>
      </c>
      <c r="Q1049" s="47"/>
      <c r="R1049" s="47"/>
      <c r="S1049" s="49">
        <v>1</v>
      </c>
      <c r="T1049" s="47">
        <v>60</v>
      </c>
      <c r="U1049" s="47"/>
      <c r="V1049" s="50">
        <v>1</v>
      </c>
      <c r="W1049" s="51"/>
      <c r="X1049" s="29">
        <v>7.7</v>
      </c>
      <c r="Y1049" s="52" t="s">
        <v>36</v>
      </c>
    </row>
    <row r="1050" spans="1:27" s="6" customFormat="1" ht="23.1" customHeight="1" x14ac:dyDescent="0.25">
      <c r="A1050" s="20" t="s">
        <v>329</v>
      </c>
      <c r="B1050" s="42" t="s">
        <v>110</v>
      </c>
      <c r="C1050" s="42">
        <v>44</v>
      </c>
      <c r="D1050" s="42" t="s">
        <v>1074</v>
      </c>
      <c r="E1050" s="41" t="s">
        <v>1075</v>
      </c>
      <c r="F1050" s="41" t="s">
        <v>1075</v>
      </c>
      <c r="G1050" s="42" t="s">
        <v>154</v>
      </c>
      <c r="H1050" s="42">
        <v>45</v>
      </c>
      <c r="I1050" s="47" t="s">
        <v>2453</v>
      </c>
      <c r="J1050" s="47"/>
      <c r="K1050" s="47">
        <v>0.1</v>
      </c>
      <c r="L1050" s="48">
        <v>32</v>
      </c>
      <c r="M1050" s="48">
        <v>32</v>
      </c>
      <c r="N1050" s="12" t="s">
        <v>357</v>
      </c>
      <c r="O1050" s="47"/>
      <c r="P1050" s="47">
        <v>600</v>
      </c>
      <c r="Q1050" s="47"/>
      <c r="R1050" s="47"/>
      <c r="S1050" s="49"/>
      <c r="T1050" s="47">
        <v>120</v>
      </c>
      <c r="U1050" s="47"/>
      <c r="V1050" s="50"/>
      <c r="W1050" s="51"/>
      <c r="X1050" s="29">
        <v>1</v>
      </c>
      <c r="Y1050" s="52" t="s">
        <v>36</v>
      </c>
    </row>
    <row r="1051" spans="1:27" s="6" customFormat="1" ht="23.1" customHeight="1" x14ac:dyDescent="0.25">
      <c r="A1051" s="20" t="s">
        <v>539</v>
      </c>
      <c r="B1051" s="42" t="s">
        <v>110</v>
      </c>
      <c r="C1051" s="42">
        <v>97</v>
      </c>
      <c r="D1051" s="42" t="s">
        <v>1076</v>
      </c>
      <c r="E1051" s="41" t="s">
        <v>1065</v>
      </c>
      <c r="F1051" s="41" t="s">
        <v>1065</v>
      </c>
      <c r="G1051" s="42" t="s">
        <v>250</v>
      </c>
      <c r="H1051" s="42">
        <v>50</v>
      </c>
      <c r="I1051" s="47" t="s">
        <v>2118</v>
      </c>
      <c r="J1051" s="47">
        <v>1</v>
      </c>
      <c r="K1051" s="47">
        <v>1.3</v>
      </c>
      <c r="L1051" s="48">
        <v>32</v>
      </c>
      <c r="M1051" s="48">
        <v>32</v>
      </c>
      <c r="N1051" s="12" t="s">
        <v>1077</v>
      </c>
      <c r="O1051" s="47"/>
      <c r="P1051" s="47">
        <v>420</v>
      </c>
      <c r="Q1051" s="47">
        <v>60</v>
      </c>
      <c r="R1051" s="47"/>
      <c r="S1051" s="49">
        <v>2</v>
      </c>
      <c r="T1051" s="47">
        <v>90</v>
      </c>
      <c r="U1051" s="47"/>
      <c r="V1051" s="50"/>
      <c r="W1051" s="51"/>
      <c r="X1051" s="29">
        <v>11.1</v>
      </c>
      <c r="Y1051" s="52" t="s">
        <v>36</v>
      </c>
      <c r="AA1051" s="6" t="s">
        <v>1066</v>
      </c>
    </row>
    <row r="1052" spans="1:27" s="6" customFormat="1" ht="23.1" customHeight="1" x14ac:dyDescent="0.25">
      <c r="A1052" s="20" t="s">
        <v>539</v>
      </c>
      <c r="B1052" s="42" t="s">
        <v>110</v>
      </c>
      <c r="C1052" s="42">
        <v>97</v>
      </c>
      <c r="D1052" s="42" t="s">
        <v>1076</v>
      </c>
      <c r="E1052" s="41" t="s">
        <v>1065</v>
      </c>
      <c r="F1052" s="41" t="s">
        <v>1065</v>
      </c>
      <c r="G1052" s="42" t="s">
        <v>250</v>
      </c>
      <c r="H1052" s="42">
        <v>55</v>
      </c>
      <c r="I1052" s="47" t="s">
        <v>2119</v>
      </c>
      <c r="J1052" s="47">
        <v>1</v>
      </c>
      <c r="K1052" s="47">
        <v>2</v>
      </c>
      <c r="L1052" s="48">
        <v>32</v>
      </c>
      <c r="M1052" s="48">
        <v>32</v>
      </c>
      <c r="N1052" s="12" t="s">
        <v>1077</v>
      </c>
      <c r="O1052" s="47"/>
      <c r="P1052" s="47">
        <v>60</v>
      </c>
      <c r="Q1052" s="47">
        <v>60</v>
      </c>
      <c r="R1052" s="47"/>
      <c r="S1052" s="49">
        <v>2</v>
      </c>
      <c r="T1052" s="47">
        <v>60</v>
      </c>
      <c r="U1052" s="47"/>
      <c r="V1052" s="50"/>
      <c r="W1052" s="51"/>
      <c r="X1052" s="29">
        <v>4</v>
      </c>
      <c r="Y1052" s="52" t="s">
        <v>36</v>
      </c>
    </row>
    <row r="1053" spans="1:27" s="6" customFormat="1" ht="23.1" customHeight="1" x14ac:dyDescent="0.25">
      <c r="A1053" s="20" t="s">
        <v>539</v>
      </c>
      <c r="B1053" s="42" t="s">
        <v>110</v>
      </c>
      <c r="C1053" s="42">
        <v>100</v>
      </c>
      <c r="D1053" s="42" t="s">
        <v>937</v>
      </c>
      <c r="E1053" s="41" t="s">
        <v>938</v>
      </c>
      <c r="F1053" s="41" t="s">
        <v>938</v>
      </c>
      <c r="G1053" s="42" t="s">
        <v>939</v>
      </c>
      <c r="H1053" s="42">
        <v>50</v>
      </c>
      <c r="I1053" s="47" t="s">
        <v>2126</v>
      </c>
      <c r="J1053" s="47"/>
      <c r="K1053" s="47">
        <v>1</v>
      </c>
      <c r="L1053" s="48">
        <v>32</v>
      </c>
      <c r="M1053" s="48">
        <v>32</v>
      </c>
      <c r="N1053" s="12" t="s">
        <v>421</v>
      </c>
      <c r="O1053" s="47"/>
      <c r="P1053" s="47">
        <v>60</v>
      </c>
      <c r="Q1053" s="47">
        <v>60</v>
      </c>
      <c r="R1053" s="47"/>
      <c r="S1053" s="49">
        <v>1</v>
      </c>
      <c r="T1053" s="47">
        <v>60</v>
      </c>
      <c r="U1053" s="47"/>
      <c r="V1053" s="50">
        <v>1</v>
      </c>
      <c r="W1053" s="51">
        <v>3</v>
      </c>
      <c r="X1053" s="29">
        <v>6</v>
      </c>
      <c r="Y1053" s="52" t="s">
        <v>36</v>
      </c>
      <c r="Z1053" s="6" t="s">
        <v>1078</v>
      </c>
    </row>
    <row r="1054" spans="1:27" s="6" customFormat="1" ht="23.1" customHeight="1" x14ac:dyDescent="0.25">
      <c r="A1054" s="20" t="s">
        <v>539</v>
      </c>
      <c r="B1054" s="42" t="s">
        <v>110</v>
      </c>
      <c r="C1054" s="42">
        <v>100</v>
      </c>
      <c r="D1054" s="42" t="s">
        <v>937</v>
      </c>
      <c r="E1054" s="41" t="s">
        <v>938</v>
      </c>
      <c r="F1054" s="41" t="s">
        <v>938</v>
      </c>
      <c r="G1054" s="42" t="s">
        <v>939</v>
      </c>
      <c r="H1054" s="42">
        <v>55</v>
      </c>
      <c r="I1054" s="47" t="s">
        <v>2004</v>
      </c>
      <c r="J1054" s="47"/>
      <c r="K1054" s="47">
        <v>0.4</v>
      </c>
      <c r="L1054" s="48">
        <v>32</v>
      </c>
      <c r="M1054" s="48">
        <v>32</v>
      </c>
      <c r="N1054" s="12" t="s">
        <v>421</v>
      </c>
      <c r="O1054" s="47"/>
      <c r="P1054" s="47">
        <v>600</v>
      </c>
      <c r="Q1054" s="47">
        <v>60</v>
      </c>
      <c r="R1054" s="47"/>
      <c r="S1054" s="49">
        <v>1</v>
      </c>
      <c r="T1054" s="47">
        <v>90</v>
      </c>
      <c r="U1054" s="47"/>
      <c r="V1054" s="50">
        <v>1</v>
      </c>
      <c r="W1054" s="51">
        <v>3</v>
      </c>
      <c r="X1054" s="29">
        <v>9.5</v>
      </c>
      <c r="Y1054" s="52" t="s">
        <v>36</v>
      </c>
      <c r="Z1054" s="6" t="s">
        <v>1078</v>
      </c>
    </row>
    <row r="1055" spans="1:27" s="6" customFormat="1" ht="23.1" customHeight="1" x14ac:dyDescent="0.25">
      <c r="A1055" s="20" t="s">
        <v>539</v>
      </c>
      <c r="B1055" s="42" t="s">
        <v>110</v>
      </c>
      <c r="C1055" s="42">
        <v>102</v>
      </c>
      <c r="D1055" s="42" t="s">
        <v>1067</v>
      </c>
      <c r="E1055" s="41" t="s">
        <v>1068</v>
      </c>
      <c r="F1055" s="41" t="s">
        <v>1068</v>
      </c>
      <c r="G1055" s="42" t="s">
        <v>323</v>
      </c>
      <c r="H1055" s="42">
        <v>40</v>
      </c>
      <c r="I1055" s="47" t="s">
        <v>2122</v>
      </c>
      <c r="J1055" s="47">
        <v>0.8</v>
      </c>
      <c r="K1055" s="47">
        <v>0.7</v>
      </c>
      <c r="L1055" s="48">
        <v>32</v>
      </c>
      <c r="M1055" s="48">
        <v>32</v>
      </c>
      <c r="N1055" s="12" t="s">
        <v>282</v>
      </c>
      <c r="O1055" s="47"/>
      <c r="P1055" s="47">
        <v>1080</v>
      </c>
      <c r="Q1055" s="47">
        <v>60</v>
      </c>
      <c r="R1055" s="47"/>
      <c r="S1055" s="49"/>
      <c r="T1055" s="47">
        <v>120</v>
      </c>
      <c r="U1055" s="47"/>
      <c r="V1055" s="50"/>
      <c r="W1055" s="51"/>
      <c r="X1055" s="29">
        <v>12.6</v>
      </c>
      <c r="Y1055" s="52" t="s">
        <v>36</v>
      </c>
      <c r="Z1055" s="6" t="s">
        <v>1079</v>
      </c>
    </row>
    <row r="1056" spans="1:27" s="6" customFormat="1" ht="23.1" customHeight="1" x14ac:dyDescent="0.25">
      <c r="A1056" s="20" t="s">
        <v>539</v>
      </c>
      <c r="B1056" s="42" t="s">
        <v>110</v>
      </c>
      <c r="C1056" s="42">
        <v>106</v>
      </c>
      <c r="D1056" s="42" t="s">
        <v>1070</v>
      </c>
      <c r="E1056" s="41" t="s">
        <v>101</v>
      </c>
      <c r="F1056" s="41" t="s">
        <v>101</v>
      </c>
      <c r="G1056" s="42" t="s">
        <v>300</v>
      </c>
      <c r="H1056" s="42">
        <v>30</v>
      </c>
      <c r="I1056" s="47" t="s">
        <v>2127</v>
      </c>
      <c r="J1056" s="47">
        <v>0.5</v>
      </c>
      <c r="K1056" s="47">
        <v>0.5</v>
      </c>
      <c r="L1056" s="48">
        <v>32</v>
      </c>
      <c r="M1056" s="48">
        <v>32</v>
      </c>
      <c r="N1056" s="12" t="s">
        <v>292</v>
      </c>
      <c r="O1056" s="47"/>
      <c r="P1056" s="47">
        <v>1500</v>
      </c>
      <c r="Q1056" s="47">
        <v>180</v>
      </c>
      <c r="R1056" s="47"/>
      <c r="S1056" s="49">
        <v>1</v>
      </c>
      <c r="T1056" s="47">
        <v>180</v>
      </c>
      <c r="U1056" s="47"/>
      <c r="V1056" s="50">
        <v>1</v>
      </c>
      <c r="W1056" s="51"/>
      <c r="X1056" s="29">
        <v>18.5</v>
      </c>
      <c r="Y1056" s="52" t="s">
        <v>36</v>
      </c>
    </row>
    <row r="1057" spans="1:26" s="6" customFormat="1" ht="23.1" customHeight="1" x14ac:dyDescent="0.25">
      <c r="A1057" s="20" t="s">
        <v>539</v>
      </c>
      <c r="B1057" s="42" t="s">
        <v>110</v>
      </c>
      <c r="C1057" s="42">
        <v>19</v>
      </c>
      <c r="D1057" s="42" t="s">
        <v>1071</v>
      </c>
      <c r="E1057" s="41" t="s">
        <v>1072</v>
      </c>
      <c r="F1057" s="41" t="e">
        <v>#N/A</v>
      </c>
      <c r="G1057" s="42" t="s">
        <v>250</v>
      </c>
      <c r="H1057" s="42">
        <v>30</v>
      </c>
      <c r="I1057" s="47" t="s">
        <v>2123</v>
      </c>
      <c r="J1057" s="47">
        <v>1</v>
      </c>
      <c r="K1057" s="47">
        <v>0.8</v>
      </c>
      <c r="L1057" s="48">
        <v>32</v>
      </c>
      <c r="M1057" s="48">
        <v>32</v>
      </c>
      <c r="N1057" s="12" t="s">
        <v>1080</v>
      </c>
      <c r="O1057" s="47"/>
      <c r="P1057" s="47">
        <v>650</v>
      </c>
      <c r="Q1057" s="47">
        <v>90</v>
      </c>
      <c r="R1057" s="47"/>
      <c r="S1057" s="49">
        <v>1</v>
      </c>
      <c r="T1057" s="47">
        <v>60</v>
      </c>
      <c r="U1057" s="47"/>
      <c r="V1057" s="50"/>
      <c r="W1057" s="51"/>
      <c r="X1057" s="29">
        <v>10.199999999999999</v>
      </c>
      <c r="Y1057" s="52" t="s">
        <v>36</v>
      </c>
    </row>
    <row r="1058" spans="1:26" s="6" customFormat="1" ht="23.1" customHeight="1" x14ac:dyDescent="0.25">
      <c r="A1058" s="20" t="s">
        <v>539</v>
      </c>
      <c r="B1058" s="42" t="s">
        <v>110</v>
      </c>
      <c r="C1058" s="42">
        <v>117</v>
      </c>
      <c r="D1058" s="42" t="s">
        <v>1081</v>
      </c>
      <c r="E1058" s="41" t="s">
        <v>1082</v>
      </c>
      <c r="F1058" s="41" t="s">
        <v>1082</v>
      </c>
      <c r="G1058" s="42" t="s">
        <v>123</v>
      </c>
      <c r="H1058" s="42">
        <v>10</v>
      </c>
      <c r="I1058" s="47" t="s">
        <v>1916</v>
      </c>
      <c r="J1058" s="47"/>
      <c r="K1058" s="47">
        <v>6</v>
      </c>
      <c r="L1058" s="48">
        <v>32</v>
      </c>
      <c r="M1058" s="48">
        <v>32</v>
      </c>
      <c r="N1058" s="12" t="s">
        <v>1001</v>
      </c>
      <c r="O1058" s="47"/>
      <c r="P1058" s="47">
        <v>120</v>
      </c>
      <c r="Q1058" s="47">
        <v>60</v>
      </c>
      <c r="R1058" s="47"/>
      <c r="S1058" s="49">
        <v>6</v>
      </c>
      <c r="T1058" s="47">
        <v>60</v>
      </c>
      <c r="U1058" s="47"/>
      <c r="V1058" s="50">
        <v>1</v>
      </c>
      <c r="W1058" s="51"/>
      <c r="X1058" s="29">
        <v>19</v>
      </c>
      <c r="Y1058" s="52" t="s">
        <v>36</v>
      </c>
    </row>
    <row r="1059" spans="1:26" s="6" customFormat="1" ht="23.1" customHeight="1" x14ac:dyDescent="0.25">
      <c r="A1059" s="20" t="s">
        <v>539</v>
      </c>
      <c r="B1059" s="42" t="s">
        <v>110</v>
      </c>
      <c r="C1059" s="42">
        <v>117</v>
      </c>
      <c r="D1059" s="42" t="s">
        <v>1083</v>
      </c>
      <c r="E1059" s="41" t="s">
        <v>1082</v>
      </c>
      <c r="F1059" s="41" t="s">
        <v>1082</v>
      </c>
      <c r="G1059" s="42" t="s">
        <v>123</v>
      </c>
      <c r="H1059" s="42">
        <v>10</v>
      </c>
      <c r="I1059" s="47" t="s">
        <v>1916</v>
      </c>
      <c r="J1059" s="47"/>
      <c r="K1059" s="47">
        <v>2</v>
      </c>
      <c r="L1059" s="48">
        <v>32</v>
      </c>
      <c r="M1059" s="48">
        <v>32</v>
      </c>
      <c r="N1059" s="12" t="s">
        <v>860</v>
      </c>
      <c r="O1059" s="47"/>
      <c r="P1059" s="47">
        <v>120</v>
      </c>
      <c r="Q1059" s="47">
        <v>60</v>
      </c>
      <c r="R1059" s="47"/>
      <c r="S1059" s="49">
        <v>2</v>
      </c>
      <c r="T1059" s="47">
        <v>60</v>
      </c>
      <c r="U1059" s="47"/>
      <c r="V1059" s="50">
        <v>1</v>
      </c>
      <c r="W1059" s="51"/>
      <c r="X1059" s="29">
        <v>7</v>
      </c>
      <c r="Y1059" s="52" t="s">
        <v>36</v>
      </c>
    </row>
    <row r="1060" spans="1:26" s="6" customFormat="1" ht="23.1" customHeight="1" x14ac:dyDescent="0.25">
      <c r="A1060" s="20" t="s">
        <v>188</v>
      </c>
      <c r="B1060" s="42" t="s">
        <v>110</v>
      </c>
      <c r="C1060" s="42">
        <v>19</v>
      </c>
      <c r="D1060" s="42" t="s">
        <v>1071</v>
      </c>
      <c r="E1060" s="41" t="s">
        <v>1072</v>
      </c>
      <c r="F1060" s="41" t="e">
        <v>#N/A</v>
      </c>
      <c r="G1060" s="42" t="s">
        <v>250</v>
      </c>
      <c r="H1060" s="42">
        <v>30</v>
      </c>
      <c r="I1060" s="47" t="s">
        <v>2123</v>
      </c>
      <c r="J1060" s="47">
        <v>1</v>
      </c>
      <c r="K1060" s="47">
        <v>1.7</v>
      </c>
      <c r="L1060" s="48">
        <v>32</v>
      </c>
      <c r="M1060" s="48">
        <v>32</v>
      </c>
      <c r="N1060" s="12" t="s">
        <v>1084</v>
      </c>
      <c r="O1060" s="47"/>
      <c r="P1060" s="47">
        <v>650</v>
      </c>
      <c r="Q1060" s="47">
        <v>90</v>
      </c>
      <c r="R1060" s="47"/>
      <c r="S1060" s="49">
        <v>2</v>
      </c>
      <c r="T1060" s="47">
        <v>60</v>
      </c>
      <c r="U1060" s="47"/>
      <c r="V1060" s="50"/>
      <c r="W1060" s="51"/>
      <c r="X1060" s="29">
        <v>21.4</v>
      </c>
      <c r="Y1060" s="52" t="s">
        <v>37</v>
      </c>
    </row>
    <row r="1061" spans="1:26" s="6" customFormat="1" ht="23.1" customHeight="1" x14ac:dyDescent="0.25">
      <c r="A1061" s="20" t="s">
        <v>188</v>
      </c>
      <c r="B1061" s="42" t="s">
        <v>110</v>
      </c>
      <c r="C1061" s="42">
        <v>44</v>
      </c>
      <c r="D1061" s="42" t="s">
        <v>1074</v>
      </c>
      <c r="E1061" s="41" t="s">
        <v>1075</v>
      </c>
      <c r="F1061" s="41" t="s">
        <v>1075</v>
      </c>
      <c r="G1061" s="42" t="s">
        <v>154</v>
      </c>
      <c r="H1061" s="42">
        <v>45</v>
      </c>
      <c r="I1061" s="47" t="s">
        <v>2125</v>
      </c>
      <c r="J1061" s="47">
        <v>1</v>
      </c>
      <c r="K1061" s="47">
        <v>0.7</v>
      </c>
      <c r="L1061" s="48">
        <v>32</v>
      </c>
      <c r="M1061" s="48">
        <v>32</v>
      </c>
      <c r="N1061" s="12" t="s">
        <v>399</v>
      </c>
      <c r="O1061" s="47"/>
      <c r="P1061" s="47">
        <v>600</v>
      </c>
      <c r="Q1061" s="47"/>
      <c r="R1061" s="47"/>
      <c r="S1061" s="49">
        <v>1</v>
      </c>
      <c r="T1061" s="47">
        <v>120</v>
      </c>
      <c r="U1061" s="47"/>
      <c r="V1061" s="50"/>
      <c r="W1061" s="51"/>
      <c r="X1061" s="29">
        <v>7</v>
      </c>
      <c r="Y1061" s="4" t="s">
        <v>37</v>
      </c>
      <c r="Z1061" s="6" t="s">
        <v>1085</v>
      </c>
    </row>
    <row r="1062" spans="1:26" s="6" customFormat="1" ht="23.1" customHeight="1" x14ac:dyDescent="0.25">
      <c r="A1062" s="20" t="s">
        <v>188</v>
      </c>
      <c r="B1062" s="42" t="s">
        <v>110</v>
      </c>
      <c r="C1062" s="42">
        <v>97</v>
      </c>
      <c r="D1062" s="42" t="s">
        <v>1064</v>
      </c>
      <c r="E1062" s="41" t="s">
        <v>1065</v>
      </c>
      <c r="F1062" s="41" t="s">
        <v>1065</v>
      </c>
      <c r="G1062" s="42" t="s">
        <v>250</v>
      </c>
      <c r="H1062" s="42">
        <v>50</v>
      </c>
      <c r="I1062" s="47" t="s">
        <v>2382</v>
      </c>
      <c r="J1062" s="47">
        <v>1</v>
      </c>
      <c r="K1062" s="47">
        <v>1</v>
      </c>
      <c r="L1062" s="48">
        <v>32</v>
      </c>
      <c r="M1062" s="48">
        <v>32</v>
      </c>
      <c r="N1062" s="12" t="s">
        <v>1086</v>
      </c>
      <c r="O1062" s="47"/>
      <c r="P1062" s="47">
        <v>420</v>
      </c>
      <c r="Q1062" s="47">
        <v>60</v>
      </c>
      <c r="R1062" s="47"/>
      <c r="S1062" s="49">
        <v>1</v>
      </c>
      <c r="T1062" s="47">
        <v>90</v>
      </c>
      <c r="U1062" s="47"/>
      <c r="V1062" s="50"/>
      <c r="W1062" s="51"/>
      <c r="X1062" s="29">
        <v>8</v>
      </c>
      <c r="Y1062" s="4" t="s">
        <v>37</v>
      </c>
    </row>
    <row r="1063" spans="1:26" s="6" customFormat="1" ht="23.1" customHeight="1" x14ac:dyDescent="0.25">
      <c r="A1063" s="20" t="s">
        <v>188</v>
      </c>
      <c r="B1063" s="42" t="s">
        <v>110</v>
      </c>
      <c r="C1063" s="42">
        <v>97</v>
      </c>
      <c r="D1063" s="42" t="s">
        <v>1064</v>
      </c>
      <c r="E1063" s="41" t="s">
        <v>1065</v>
      </c>
      <c r="F1063" s="41" t="s">
        <v>1065</v>
      </c>
      <c r="G1063" s="42" t="s">
        <v>250</v>
      </c>
      <c r="H1063" s="42">
        <v>55</v>
      </c>
      <c r="I1063" s="47" t="s">
        <v>2119</v>
      </c>
      <c r="J1063" s="47">
        <v>1</v>
      </c>
      <c r="K1063" s="47">
        <v>1</v>
      </c>
      <c r="L1063" s="48">
        <v>32</v>
      </c>
      <c r="M1063" s="48">
        <v>32</v>
      </c>
      <c r="N1063" s="12" t="s">
        <v>1086</v>
      </c>
      <c r="O1063" s="47"/>
      <c r="P1063" s="47">
        <v>60</v>
      </c>
      <c r="Q1063" s="47">
        <v>60</v>
      </c>
      <c r="R1063" s="47"/>
      <c r="S1063" s="49">
        <v>1</v>
      </c>
      <c r="T1063" s="47">
        <v>60</v>
      </c>
      <c r="U1063" s="47"/>
      <c r="V1063" s="50"/>
      <c r="W1063" s="51"/>
      <c r="X1063" s="29">
        <v>2</v>
      </c>
      <c r="Y1063" s="4" t="s">
        <v>37</v>
      </c>
    </row>
    <row r="1064" spans="1:26" s="6" customFormat="1" ht="23.1" customHeight="1" x14ac:dyDescent="0.25">
      <c r="A1064" s="20" t="s">
        <v>188</v>
      </c>
      <c r="B1064" s="42" t="s">
        <v>110</v>
      </c>
      <c r="C1064" s="42">
        <v>97</v>
      </c>
      <c r="D1064" s="42" t="s">
        <v>1076</v>
      </c>
      <c r="E1064" s="41" t="s">
        <v>1065</v>
      </c>
      <c r="F1064" s="41" t="s">
        <v>1065</v>
      </c>
      <c r="G1064" s="42" t="s">
        <v>250</v>
      </c>
      <c r="H1064" s="42">
        <v>50</v>
      </c>
      <c r="I1064" s="47" t="s">
        <v>2118</v>
      </c>
      <c r="J1064" s="47"/>
      <c r="K1064" s="47">
        <v>0.1</v>
      </c>
      <c r="L1064" s="48">
        <v>32</v>
      </c>
      <c r="M1064" s="48">
        <v>32</v>
      </c>
      <c r="N1064" s="12" t="s">
        <v>292</v>
      </c>
      <c r="O1064" s="47"/>
      <c r="P1064" s="47">
        <v>420</v>
      </c>
      <c r="Q1064" s="47">
        <v>60</v>
      </c>
      <c r="R1064" s="47"/>
      <c r="S1064" s="49">
        <v>1</v>
      </c>
      <c r="T1064" s="47">
        <v>90</v>
      </c>
      <c r="U1064" s="47"/>
      <c r="V1064" s="50">
        <v>1</v>
      </c>
      <c r="W1064" s="51"/>
      <c r="X1064" s="29">
        <v>3.2</v>
      </c>
      <c r="Y1064" s="4" t="s">
        <v>37</v>
      </c>
    </row>
    <row r="1065" spans="1:26" s="6" customFormat="1" ht="23.1" customHeight="1" x14ac:dyDescent="0.25">
      <c r="A1065" s="20" t="s">
        <v>188</v>
      </c>
      <c r="B1065" s="42" t="s">
        <v>110</v>
      </c>
      <c r="C1065" s="42">
        <v>100</v>
      </c>
      <c r="D1065" s="42" t="s">
        <v>643</v>
      </c>
      <c r="E1065" s="41" t="s">
        <v>644</v>
      </c>
      <c r="F1065" s="41" t="s">
        <v>644</v>
      </c>
      <c r="G1065" s="42" t="s">
        <v>154</v>
      </c>
      <c r="H1065" s="42">
        <v>40</v>
      </c>
      <c r="I1065" s="47" t="s">
        <v>2120</v>
      </c>
      <c r="J1065" s="47">
        <v>0.25</v>
      </c>
      <c r="K1065" s="47">
        <v>0.25</v>
      </c>
      <c r="L1065" s="48">
        <v>32</v>
      </c>
      <c r="M1065" s="48">
        <v>32</v>
      </c>
      <c r="N1065" s="12" t="s">
        <v>419</v>
      </c>
      <c r="O1065" s="47"/>
      <c r="P1065" s="47">
        <v>2640</v>
      </c>
      <c r="Q1065" s="47">
        <v>90</v>
      </c>
      <c r="R1065" s="47"/>
      <c r="S1065" s="49"/>
      <c r="T1065" s="47">
        <v>180</v>
      </c>
      <c r="U1065" s="47"/>
      <c r="V1065" s="50"/>
      <c r="W1065" s="51"/>
      <c r="X1065" s="29">
        <v>11</v>
      </c>
      <c r="Y1065" s="4" t="s">
        <v>37</v>
      </c>
    </row>
    <row r="1066" spans="1:26" s="6" customFormat="1" ht="23.1" customHeight="1" x14ac:dyDescent="0.25">
      <c r="A1066" s="20" t="s">
        <v>188</v>
      </c>
      <c r="B1066" s="42" t="s">
        <v>110</v>
      </c>
      <c r="C1066" s="42">
        <v>102</v>
      </c>
      <c r="D1066" s="42" t="s">
        <v>1067</v>
      </c>
      <c r="E1066" s="41" t="s">
        <v>1068</v>
      </c>
      <c r="F1066" s="41" t="s">
        <v>1068</v>
      </c>
      <c r="G1066" s="42" t="s">
        <v>323</v>
      </c>
      <c r="H1066" s="42">
        <v>30</v>
      </c>
      <c r="I1066" s="47" t="s">
        <v>2128</v>
      </c>
      <c r="J1066" s="47">
        <v>5</v>
      </c>
      <c r="K1066" s="47">
        <v>9</v>
      </c>
      <c r="L1066" s="48">
        <v>32</v>
      </c>
      <c r="M1066" s="48">
        <v>32</v>
      </c>
      <c r="N1066" s="12" t="s">
        <v>1069</v>
      </c>
      <c r="O1066" s="47"/>
      <c r="P1066" s="47">
        <v>90</v>
      </c>
      <c r="Q1066" s="47">
        <v>60</v>
      </c>
      <c r="R1066" s="47"/>
      <c r="S1066" s="49">
        <v>9</v>
      </c>
      <c r="T1066" s="47"/>
      <c r="U1066" s="47"/>
      <c r="V1066" s="50">
        <v>1</v>
      </c>
      <c r="W1066" s="51"/>
      <c r="X1066" s="29">
        <v>22.5</v>
      </c>
      <c r="Y1066" s="4" t="s">
        <v>37</v>
      </c>
    </row>
    <row r="1067" spans="1:26" s="6" customFormat="1" ht="23.1" customHeight="1" x14ac:dyDescent="0.25">
      <c r="A1067" s="20" t="s">
        <v>188</v>
      </c>
      <c r="B1067" s="42" t="s">
        <v>110</v>
      </c>
      <c r="C1067" s="42">
        <v>106</v>
      </c>
      <c r="D1067" s="42" t="s">
        <v>1070</v>
      </c>
      <c r="E1067" s="41" t="s">
        <v>101</v>
      </c>
      <c r="F1067" s="41" t="s">
        <v>101</v>
      </c>
      <c r="G1067" s="42" t="s">
        <v>300</v>
      </c>
      <c r="H1067" s="42">
        <v>15</v>
      </c>
      <c r="I1067" s="47" t="s">
        <v>1868</v>
      </c>
      <c r="J1067" s="47">
        <v>0.5</v>
      </c>
      <c r="K1067" s="47">
        <v>0.4</v>
      </c>
      <c r="L1067" s="48">
        <v>32</v>
      </c>
      <c r="M1067" s="48">
        <v>32</v>
      </c>
      <c r="N1067" s="12"/>
      <c r="O1067" s="47"/>
      <c r="P1067" s="47">
        <v>2150</v>
      </c>
      <c r="Q1067" s="47">
        <v>180</v>
      </c>
      <c r="R1067" s="47"/>
      <c r="S1067" s="49"/>
      <c r="T1067" s="47">
        <v>180</v>
      </c>
      <c r="U1067" s="47"/>
      <c r="V1067" s="50"/>
      <c r="W1067" s="51"/>
      <c r="X1067" s="29">
        <v>14.3</v>
      </c>
      <c r="Y1067" s="4" t="s">
        <v>37</v>
      </c>
    </row>
    <row r="1068" spans="1:26" s="6" customFormat="1" ht="23.1" customHeight="1" x14ac:dyDescent="0.25">
      <c r="A1068" s="20" t="s">
        <v>188</v>
      </c>
      <c r="B1068" s="42" t="s">
        <v>110</v>
      </c>
      <c r="C1068" s="42">
        <v>20</v>
      </c>
      <c r="D1068" s="42" t="s">
        <v>1087</v>
      </c>
      <c r="E1068" s="41" t="s">
        <v>1088</v>
      </c>
      <c r="F1068" s="41" t="s">
        <v>1088</v>
      </c>
      <c r="G1068" s="42" t="s">
        <v>300</v>
      </c>
      <c r="H1068" s="42">
        <v>30</v>
      </c>
      <c r="I1068" s="47"/>
      <c r="J1068" s="47">
        <v>2</v>
      </c>
      <c r="K1068" s="47">
        <v>5</v>
      </c>
      <c r="L1068" s="48">
        <v>32</v>
      </c>
      <c r="M1068" s="48">
        <v>32</v>
      </c>
      <c r="N1068" s="12" t="s">
        <v>1089</v>
      </c>
      <c r="O1068" s="47"/>
      <c r="P1068" s="47"/>
      <c r="Q1068" s="47"/>
      <c r="R1068" s="47"/>
      <c r="S1068" s="49">
        <v>5</v>
      </c>
      <c r="T1068" s="47"/>
      <c r="U1068" s="47"/>
      <c r="V1068" s="50"/>
      <c r="W1068" s="51">
        <v>3</v>
      </c>
      <c r="X1068" s="29">
        <v>3</v>
      </c>
      <c r="Y1068" s="4" t="s">
        <v>64</v>
      </c>
      <c r="Z1068" s="6" t="s">
        <v>1078</v>
      </c>
    </row>
    <row r="1069" spans="1:26" s="6" customFormat="1" ht="23.1" customHeight="1" x14ac:dyDescent="0.25">
      <c r="A1069" s="20" t="s">
        <v>188</v>
      </c>
      <c r="B1069" s="42" t="s">
        <v>110</v>
      </c>
      <c r="C1069" s="42">
        <v>103</v>
      </c>
      <c r="D1069" s="42" t="s">
        <v>776</v>
      </c>
      <c r="E1069" s="41" t="s">
        <v>777</v>
      </c>
      <c r="F1069" s="41" t="s">
        <v>777</v>
      </c>
      <c r="G1069" s="42" t="s">
        <v>107</v>
      </c>
      <c r="H1069" s="42">
        <v>20</v>
      </c>
      <c r="I1069" s="47" t="s">
        <v>2129</v>
      </c>
      <c r="J1069" s="47">
        <v>1.5</v>
      </c>
      <c r="K1069" s="47">
        <v>1.1000000000000001</v>
      </c>
      <c r="L1069" s="48">
        <v>32</v>
      </c>
      <c r="M1069" s="48">
        <v>32</v>
      </c>
      <c r="N1069" s="12" t="s">
        <v>1090</v>
      </c>
      <c r="O1069" s="47"/>
      <c r="P1069" s="47">
        <v>420</v>
      </c>
      <c r="Q1069" s="47">
        <v>60</v>
      </c>
      <c r="R1069" s="47"/>
      <c r="S1069" s="49">
        <v>2</v>
      </c>
      <c r="T1069" s="47">
        <v>120</v>
      </c>
      <c r="U1069" s="47"/>
      <c r="V1069" s="50">
        <v>1</v>
      </c>
      <c r="W1069" s="51">
        <v>3</v>
      </c>
      <c r="X1069" s="29">
        <v>14.7</v>
      </c>
      <c r="Y1069" s="4" t="s">
        <v>61</v>
      </c>
      <c r="Z1069" s="6" t="s">
        <v>1078</v>
      </c>
    </row>
    <row r="1070" spans="1:26" s="6" customFormat="1" ht="23.1" customHeight="1" x14ac:dyDescent="0.25">
      <c r="A1070" s="20" t="s">
        <v>188</v>
      </c>
      <c r="B1070" s="42" t="s">
        <v>110</v>
      </c>
      <c r="C1070" s="42">
        <v>99</v>
      </c>
      <c r="D1070" s="42" t="s">
        <v>1091</v>
      </c>
      <c r="E1070" s="41" t="s">
        <v>1092</v>
      </c>
      <c r="F1070" s="41" t="s">
        <v>1092</v>
      </c>
      <c r="G1070" s="42" t="s">
        <v>118</v>
      </c>
      <c r="H1070" s="42">
        <v>25</v>
      </c>
      <c r="I1070" s="47" t="s">
        <v>2130</v>
      </c>
      <c r="J1070" s="47">
        <v>5</v>
      </c>
      <c r="K1070" s="47">
        <v>3.5</v>
      </c>
      <c r="L1070" s="48">
        <v>32</v>
      </c>
      <c r="M1070" s="48">
        <v>32</v>
      </c>
      <c r="N1070" s="12" t="s">
        <v>1093</v>
      </c>
      <c r="O1070" s="47"/>
      <c r="P1070" s="47">
        <v>240</v>
      </c>
      <c r="Q1070" s="47">
        <v>60</v>
      </c>
      <c r="R1070" s="47"/>
      <c r="S1070" s="49">
        <v>4</v>
      </c>
      <c r="T1070" s="47">
        <v>120</v>
      </c>
      <c r="U1070" s="47"/>
      <c r="V1070" s="50"/>
      <c r="W1070" s="51"/>
      <c r="X1070" s="29">
        <v>18</v>
      </c>
      <c r="Y1070" s="4" t="s">
        <v>29</v>
      </c>
    </row>
    <row r="1071" spans="1:26" s="6" customFormat="1" ht="23.1" customHeight="1" x14ac:dyDescent="0.25">
      <c r="A1071" s="20" t="s">
        <v>188</v>
      </c>
      <c r="B1071" s="42" t="s">
        <v>110</v>
      </c>
      <c r="C1071" s="42">
        <v>98</v>
      </c>
      <c r="D1071" s="42" t="s">
        <v>404</v>
      </c>
      <c r="E1071" s="41" t="s">
        <v>405</v>
      </c>
      <c r="F1071" s="41" t="s">
        <v>405</v>
      </c>
      <c r="G1071" s="42" t="s">
        <v>118</v>
      </c>
      <c r="H1071" s="42">
        <v>13</v>
      </c>
      <c r="I1071" s="47"/>
      <c r="J1071" s="47">
        <v>2</v>
      </c>
      <c r="K1071" s="47">
        <v>1.8</v>
      </c>
      <c r="L1071" s="48">
        <v>32</v>
      </c>
      <c r="M1071" s="48">
        <v>32</v>
      </c>
      <c r="N1071" s="12" t="s">
        <v>1094</v>
      </c>
      <c r="O1071" s="47">
        <v>300</v>
      </c>
      <c r="P1071" s="47"/>
      <c r="Q1071" s="47"/>
      <c r="R1071" s="47">
        <v>60</v>
      </c>
      <c r="S1071" s="49">
        <v>2</v>
      </c>
      <c r="T1071" s="47"/>
      <c r="U1071" s="47">
        <v>120</v>
      </c>
      <c r="V1071" s="50">
        <v>1</v>
      </c>
      <c r="W1071" s="51"/>
      <c r="X1071" s="32">
        <v>13</v>
      </c>
      <c r="Y1071" s="4" t="s">
        <v>39</v>
      </c>
    </row>
    <row r="1072" spans="1:26" s="6" customFormat="1" ht="23.1" customHeight="1" x14ac:dyDescent="0.25">
      <c r="A1072" s="20" t="s">
        <v>188</v>
      </c>
      <c r="B1072" s="42" t="s">
        <v>110</v>
      </c>
      <c r="C1072" s="42">
        <v>83</v>
      </c>
      <c r="D1072" s="42" t="s">
        <v>1095</v>
      </c>
      <c r="E1072" s="41" t="s">
        <v>1096</v>
      </c>
      <c r="F1072" s="41" t="s">
        <v>1096</v>
      </c>
      <c r="G1072" s="42" t="s">
        <v>658</v>
      </c>
      <c r="H1072" s="42">
        <v>30</v>
      </c>
      <c r="I1072" s="47" t="s">
        <v>2131</v>
      </c>
      <c r="J1072" s="47">
        <v>1.3</v>
      </c>
      <c r="K1072" s="47">
        <v>1</v>
      </c>
      <c r="L1072" s="48">
        <v>32</v>
      </c>
      <c r="M1072" s="48">
        <v>32</v>
      </c>
      <c r="N1072" s="12" t="s">
        <v>282</v>
      </c>
      <c r="O1072" s="47"/>
      <c r="P1072" s="47">
        <v>570</v>
      </c>
      <c r="Q1072" s="47">
        <v>60</v>
      </c>
      <c r="R1072" s="47"/>
      <c r="S1072" s="49">
        <v>1</v>
      </c>
      <c r="T1072" s="47">
        <v>120</v>
      </c>
      <c r="U1072" s="47"/>
      <c r="V1072" s="50"/>
      <c r="W1072" s="51"/>
      <c r="X1072" s="29">
        <v>10.5</v>
      </c>
      <c r="Y1072" s="4" t="s">
        <v>17</v>
      </c>
    </row>
    <row r="1073" spans="1:26" s="6" customFormat="1" ht="23.1" customHeight="1" x14ac:dyDescent="0.25">
      <c r="A1073" s="20" t="s">
        <v>188</v>
      </c>
      <c r="B1073" s="42" t="s">
        <v>110</v>
      </c>
      <c r="C1073" s="42">
        <v>105</v>
      </c>
      <c r="D1073" s="42" t="s">
        <v>1097</v>
      </c>
      <c r="E1073" s="41" t="s">
        <v>1098</v>
      </c>
      <c r="F1073" s="41" t="s">
        <v>1098</v>
      </c>
      <c r="G1073" s="42" t="s">
        <v>250</v>
      </c>
      <c r="H1073" s="42">
        <v>20</v>
      </c>
      <c r="I1073" s="47" t="s">
        <v>2132</v>
      </c>
      <c r="J1073" s="47">
        <v>0.8</v>
      </c>
      <c r="K1073" s="47">
        <v>1</v>
      </c>
      <c r="L1073" s="48">
        <v>32</v>
      </c>
      <c r="M1073" s="48">
        <v>32</v>
      </c>
      <c r="N1073" s="12" t="s">
        <v>292</v>
      </c>
      <c r="O1073" s="47"/>
      <c r="P1073" s="47">
        <v>770</v>
      </c>
      <c r="Q1073" s="47">
        <v>60</v>
      </c>
      <c r="R1073" s="47"/>
      <c r="S1073" s="49">
        <v>1</v>
      </c>
      <c r="T1073" s="47">
        <v>90</v>
      </c>
      <c r="U1073" s="47"/>
      <c r="V1073" s="50"/>
      <c r="W1073" s="51"/>
      <c r="X1073" s="29">
        <v>13.8</v>
      </c>
      <c r="Y1073" s="4" t="s">
        <v>9</v>
      </c>
    </row>
    <row r="1074" spans="1:26" s="6" customFormat="1" ht="23.1" customHeight="1" x14ac:dyDescent="0.25">
      <c r="A1074" s="20" t="s">
        <v>188</v>
      </c>
      <c r="B1074" s="42" t="s">
        <v>110</v>
      </c>
      <c r="C1074" s="42">
        <v>101</v>
      </c>
      <c r="D1074" s="42" t="s">
        <v>1099</v>
      </c>
      <c r="E1074" s="41" t="s">
        <v>760</v>
      </c>
      <c r="F1074" s="41" t="e">
        <v>#N/A</v>
      </c>
      <c r="G1074" s="42" t="s">
        <v>300</v>
      </c>
      <c r="H1074" s="42">
        <v>30</v>
      </c>
      <c r="I1074" s="47" t="s">
        <v>2454</v>
      </c>
      <c r="J1074" s="47">
        <v>0.7</v>
      </c>
      <c r="K1074" s="47">
        <v>0.9</v>
      </c>
      <c r="L1074" s="48">
        <v>32</v>
      </c>
      <c r="M1074" s="48">
        <v>32</v>
      </c>
      <c r="N1074" s="12" t="s">
        <v>1004</v>
      </c>
      <c r="O1074" s="47"/>
      <c r="P1074" s="47">
        <v>700</v>
      </c>
      <c r="Q1074" s="47">
        <v>60</v>
      </c>
      <c r="R1074" s="47"/>
      <c r="S1074" s="49">
        <v>1</v>
      </c>
      <c r="T1074" s="47">
        <v>120</v>
      </c>
      <c r="U1074" s="47"/>
      <c r="V1074" s="50">
        <v>1</v>
      </c>
      <c r="W1074" s="51"/>
      <c r="X1074" s="29">
        <v>13.5</v>
      </c>
      <c r="Y1074" s="4" t="s">
        <v>47</v>
      </c>
    </row>
    <row r="1075" spans="1:26" s="6" customFormat="1" ht="23.1" customHeight="1" x14ac:dyDescent="0.25">
      <c r="A1075" s="20" t="s">
        <v>188</v>
      </c>
      <c r="B1075" s="42" t="s">
        <v>113</v>
      </c>
      <c r="C1075" s="42">
        <v>44</v>
      </c>
      <c r="D1075" s="42" t="s">
        <v>1074</v>
      </c>
      <c r="E1075" s="41" t="s">
        <v>1075</v>
      </c>
      <c r="F1075" s="41" t="s">
        <v>1075</v>
      </c>
      <c r="G1075" s="42" t="s">
        <v>154</v>
      </c>
      <c r="H1075" s="42">
        <v>45</v>
      </c>
      <c r="I1075" s="47" t="s">
        <v>2125</v>
      </c>
      <c r="J1075" s="47">
        <v>1</v>
      </c>
      <c r="K1075" s="47">
        <v>1.2</v>
      </c>
      <c r="L1075" s="48">
        <v>25</v>
      </c>
      <c r="M1075" s="48">
        <v>25</v>
      </c>
      <c r="N1075" s="12" t="s">
        <v>1100</v>
      </c>
      <c r="O1075" s="47"/>
      <c r="P1075" s="47">
        <v>600</v>
      </c>
      <c r="Q1075" s="47"/>
      <c r="R1075" s="47"/>
      <c r="S1075" s="49">
        <v>1</v>
      </c>
      <c r="T1075" s="47">
        <v>120</v>
      </c>
      <c r="U1075" s="47"/>
      <c r="V1075" s="50"/>
      <c r="W1075" s="51"/>
      <c r="X1075" s="29">
        <v>12</v>
      </c>
      <c r="Y1075" s="4" t="s">
        <v>56</v>
      </c>
    </row>
    <row r="1076" spans="1:26" s="6" customFormat="1" ht="23.1" customHeight="1" x14ac:dyDescent="0.25">
      <c r="A1076" s="20" t="s">
        <v>188</v>
      </c>
      <c r="B1076" s="42" t="s">
        <v>113</v>
      </c>
      <c r="C1076" s="42">
        <v>105</v>
      </c>
      <c r="D1076" s="42" t="s">
        <v>1097</v>
      </c>
      <c r="E1076" s="41" t="s">
        <v>1098</v>
      </c>
      <c r="F1076" s="41" t="s">
        <v>1098</v>
      </c>
      <c r="G1076" s="42" t="s">
        <v>250</v>
      </c>
      <c r="H1076" s="42">
        <v>20</v>
      </c>
      <c r="I1076" s="47" t="s">
        <v>2455</v>
      </c>
      <c r="J1076" s="47">
        <v>0.8</v>
      </c>
      <c r="K1076" s="47">
        <v>1.4</v>
      </c>
      <c r="L1076" s="48">
        <v>25</v>
      </c>
      <c r="M1076" s="48">
        <v>25</v>
      </c>
      <c r="N1076" s="12" t="s">
        <v>292</v>
      </c>
      <c r="O1076" s="47"/>
      <c r="P1076" s="47">
        <v>770</v>
      </c>
      <c r="Q1076" s="47">
        <v>60</v>
      </c>
      <c r="R1076" s="47"/>
      <c r="S1076" s="49">
        <v>1</v>
      </c>
      <c r="T1076" s="47">
        <v>90</v>
      </c>
      <c r="U1076" s="47"/>
      <c r="V1076" s="50"/>
      <c r="W1076" s="51"/>
      <c r="X1076" s="29">
        <v>19</v>
      </c>
      <c r="Y1076" s="4" t="s">
        <v>28</v>
      </c>
    </row>
    <row r="1077" spans="1:26" s="6" customFormat="1" ht="23.1" customHeight="1" x14ac:dyDescent="0.25">
      <c r="A1077" s="20" t="s">
        <v>188</v>
      </c>
      <c r="B1077" s="42" t="s">
        <v>113</v>
      </c>
      <c r="C1077" s="42">
        <v>99</v>
      </c>
      <c r="D1077" s="42" t="s">
        <v>1091</v>
      </c>
      <c r="E1077" s="41" t="s">
        <v>1092</v>
      </c>
      <c r="F1077" s="41" t="s">
        <v>1092</v>
      </c>
      <c r="G1077" s="42" t="s">
        <v>118</v>
      </c>
      <c r="H1077" s="42">
        <v>25</v>
      </c>
      <c r="I1077" s="47" t="s">
        <v>2130</v>
      </c>
      <c r="J1077" s="47">
        <v>2</v>
      </c>
      <c r="K1077" s="47">
        <v>2.5</v>
      </c>
      <c r="L1077" s="48">
        <v>25</v>
      </c>
      <c r="M1077" s="48" t="s">
        <v>1101</v>
      </c>
      <c r="N1077" s="12" t="s">
        <v>1093</v>
      </c>
      <c r="O1077" s="47"/>
      <c r="P1077" s="47">
        <v>240</v>
      </c>
      <c r="Q1077" s="47">
        <v>60</v>
      </c>
      <c r="R1077" s="47"/>
      <c r="S1077" s="49">
        <v>2</v>
      </c>
      <c r="T1077" s="47">
        <v>120</v>
      </c>
      <c r="U1077" s="47"/>
      <c r="V1077" s="50"/>
      <c r="W1077" s="51"/>
      <c r="X1077" s="29">
        <v>12</v>
      </c>
      <c r="Y1077" s="4" t="s">
        <v>21</v>
      </c>
      <c r="Z1077" s="6" t="s">
        <v>1102</v>
      </c>
    </row>
    <row r="1078" spans="1:26" s="6" customFormat="1" ht="23.1" customHeight="1" x14ac:dyDescent="0.25">
      <c r="A1078" s="20" t="s">
        <v>188</v>
      </c>
      <c r="B1078" s="42" t="s">
        <v>113</v>
      </c>
      <c r="C1078" s="42">
        <v>99</v>
      </c>
      <c r="D1078" s="42" t="s">
        <v>1091</v>
      </c>
      <c r="E1078" s="41" t="s">
        <v>1092</v>
      </c>
      <c r="F1078" s="41" t="s">
        <v>1092</v>
      </c>
      <c r="G1078" s="42" t="s">
        <v>118</v>
      </c>
      <c r="H1078" s="42">
        <v>30</v>
      </c>
      <c r="I1078" s="47" t="s">
        <v>1863</v>
      </c>
      <c r="J1078" s="47">
        <v>2</v>
      </c>
      <c r="K1078" s="47">
        <v>3</v>
      </c>
      <c r="L1078" s="48">
        <v>25</v>
      </c>
      <c r="M1078" s="48">
        <v>25</v>
      </c>
      <c r="N1078" s="12" t="s">
        <v>1103</v>
      </c>
      <c r="O1078" s="47"/>
      <c r="P1078" s="47">
        <v>150</v>
      </c>
      <c r="Q1078" s="47">
        <v>60</v>
      </c>
      <c r="R1078" s="47"/>
      <c r="S1078" s="49">
        <v>3</v>
      </c>
      <c r="T1078" s="47">
        <v>120</v>
      </c>
      <c r="U1078" s="47"/>
      <c r="V1078" s="50">
        <v>1</v>
      </c>
      <c r="W1078" s="51"/>
      <c r="X1078" s="29">
        <v>12.5</v>
      </c>
      <c r="Y1078" s="4" t="s">
        <v>21</v>
      </c>
    </row>
    <row r="1079" spans="1:26" s="6" customFormat="1" ht="23.1" customHeight="1" x14ac:dyDescent="0.25">
      <c r="A1079" s="20" t="s">
        <v>188</v>
      </c>
      <c r="B1079" s="42" t="s">
        <v>113</v>
      </c>
      <c r="C1079" s="42">
        <v>98</v>
      </c>
      <c r="D1079" s="42" t="s">
        <v>404</v>
      </c>
      <c r="E1079" s="41" t="s">
        <v>405</v>
      </c>
      <c r="F1079" s="41" t="s">
        <v>405</v>
      </c>
      <c r="G1079" s="42" t="s">
        <v>118</v>
      </c>
      <c r="H1079" s="42">
        <v>13</v>
      </c>
      <c r="I1079" s="47"/>
      <c r="J1079" s="47">
        <v>3</v>
      </c>
      <c r="K1079" s="47">
        <v>2.1</v>
      </c>
      <c r="L1079" s="48">
        <v>25</v>
      </c>
      <c r="M1079" s="48">
        <v>25</v>
      </c>
      <c r="N1079" s="12" t="s">
        <v>1104</v>
      </c>
      <c r="O1079" s="47">
        <v>300</v>
      </c>
      <c r="P1079" s="47"/>
      <c r="Q1079" s="47"/>
      <c r="R1079" s="47">
        <v>60</v>
      </c>
      <c r="S1079" s="49">
        <v>2</v>
      </c>
      <c r="T1079" s="47"/>
      <c r="U1079" s="47"/>
      <c r="V1079" s="50"/>
      <c r="W1079" s="51"/>
      <c r="X1079" s="32">
        <v>12.5</v>
      </c>
      <c r="Y1079" s="4" t="s">
        <v>1</v>
      </c>
      <c r="Z1079" s="6" t="s">
        <v>1105</v>
      </c>
    </row>
    <row r="1080" spans="1:26" s="6" customFormat="1" ht="23.1" customHeight="1" x14ac:dyDescent="0.25">
      <c r="A1080" s="20" t="s">
        <v>188</v>
      </c>
      <c r="B1080" s="42" t="s">
        <v>113</v>
      </c>
      <c r="C1080" s="42">
        <v>103</v>
      </c>
      <c r="D1080" s="42" t="s">
        <v>776</v>
      </c>
      <c r="E1080" s="41" t="s">
        <v>777</v>
      </c>
      <c r="F1080" s="41" t="s">
        <v>777</v>
      </c>
      <c r="G1080" s="42" t="s">
        <v>107</v>
      </c>
      <c r="H1080" s="42">
        <v>20</v>
      </c>
      <c r="I1080" s="47" t="s">
        <v>2129</v>
      </c>
      <c r="J1080" s="47">
        <v>2</v>
      </c>
      <c r="K1080" s="47">
        <v>2.7</v>
      </c>
      <c r="L1080" s="48">
        <v>25</v>
      </c>
      <c r="M1080" s="48">
        <v>25</v>
      </c>
      <c r="N1080" s="12" t="s">
        <v>1106</v>
      </c>
      <c r="O1080" s="47"/>
      <c r="P1080" s="47">
        <v>420</v>
      </c>
      <c r="Q1080" s="47">
        <v>60</v>
      </c>
      <c r="R1080" s="47"/>
      <c r="S1080" s="49">
        <v>2</v>
      </c>
      <c r="T1080" s="47">
        <v>120</v>
      </c>
      <c r="U1080" s="47"/>
      <c r="V1080" s="50"/>
      <c r="W1080" s="51"/>
      <c r="X1080" s="29">
        <v>20.9</v>
      </c>
      <c r="Y1080" s="4" t="s">
        <v>62</v>
      </c>
    </row>
    <row r="1081" spans="1:26" s="6" customFormat="1" ht="23.1" customHeight="1" x14ac:dyDescent="0.25">
      <c r="A1081" s="20" t="s">
        <v>188</v>
      </c>
      <c r="B1081" s="42" t="s">
        <v>113</v>
      </c>
      <c r="C1081" s="42">
        <v>20</v>
      </c>
      <c r="D1081" s="42" t="s">
        <v>484</v>
      </c>
      <c r="E1081" s="41" t="s">
        <v>485</v>
      </c>
      <c r="F1081" s="41" t="s">
        <v>485</v>
      </c>
      <c r="G1081" s="42" t="s">
        <v>300</v>
      </c>
      <c r="H1081" s="42">
        <v>15</v>
      </c>
      <c r="I1081" s="47" t="s">
        <v>2134</v>
      </c>
      <c r="J1081" s="47">
        <v>1</v>
      </c>
      <c r="K1081" s="47">
        <v>1</v>
      </c>
      <c r="L1081" s="48">
        <v>25</v>
      </c>
      <c r="M1081" s="48">
        <v>25</v>
      </c>
      <c r="N1081" s="12" t="s">
        <v>216</v>
      </c>
      <c r="O1081" s="47"/>
      <c r="P1081" s="47">
        <v>120</v>
      </c>
      <c r="Q1081" s="47">
        <v>60</v>
      </c>
      <c r="R1081" s="47"/>
      <c r="S1081" s="49">
        <v>1</v>
      </c>
      <c r="T1081" s="47">
        <v>90</v>
      </c>
      <c r="U1081" s="47"/>
      <c r="V1081" s="50">
        <v>1</v>
      </c>
      <c r="W1081" s="51">
        <v>3</v>
      </c>
      <c r="X1081" s="29">
        <v>7.5</v>
      </c>
      <c r="Y1081" s="4" t="s">
        <v>66</v>
      </c>
      <c r="Z1081" s="6" t="s">
        <v>1078</v>
      </c>
    </row>
    <row r="1082" spans="1:26" s="6" customFormat="1" ht="23.1" customHeight="1" x14ac:dyDescent="0.25">
      <c r="A1082" s="20" t="s">
        <v>188</v>
      </c>
      <c r="B1082" s="42" t="s">
        <v>113</v>
      </c>
      <c r="C1082" s="42">
        <v>20</v>
      </c>
      <c r="D1082" s="42" t="s">
        <v>484</v>
      </c>
      <c r="E1082" s="41" t="s">
        <v>485</v>
      </c>
      <c r="F1082" s="41" t="s">
        <v>485</v>
      </c>
      <c r="G1082" s="42" t="s">
        <v>300</v>
      </c>
      <c r="H1082" s="42">
        <v>20</v>
      </c>
      <c r="I1082" s="47" t="s">
        <v>2135</v>
      </c>
      <c r="J1082" s="47">
        <v>1</v>
      </c>
      <c r="K1082" s="47">
        <v>0.9</v>
      </c>
      <c r="L1082" s="48">
        <v>25</v>
      </c>
      <c r="M1082" s="48">
        <v>25</v>
      </c>
      <c r="N1082" s="12" t="s">
        <v>216</v>
      </c>
      <c r="O1082" s="47"/>
      <c r="P1082" s="47">
        <v>420</v>
      </c>
      <c r="Q1082" s="47">
        <v>60</v>
      </c>
      <c r="R1082" s="47"/>
      <c r="S1082" s="49">
        <v>1</v>
      </c>
      <c r="T1082" s="47">
        <v>90</v>
      </c>
      <c r="U1082" s="47"/>
      <c r="V1082" s="50">
        <v>1</v>
      </c>
      <c r="W1082" s="51"/>
      <c r="X1082" s="29">
        <v>8.8000000000000007</v>
      </c>
      <c r="Y1082" s="52" t="s">
        <v>66</v>
      </c>
    </row>
    <row r="1083" spans="1:26" s="6" customFormat="1" ht="23.1" customHeight="1" x14ac:dyDescent="0.25">
      <c r="A1083" s="20" t="s">
        <v>188</v>
      </c>
      <c r="B1083" s="42" t="s">
        <v>113</v>
      </c>
      <c r="C1083" s="42">
        <v>20</v>
      </c>
      <c r="D1083" s="42" t="s">
        <v>484</v>
      </c>
      <c r="E1083" s="41" t="s">
        <v>485</v>
      </c>
      <c r="F1083" s="41" t="s">
        <v>485</v>
      </c>
      <c r="G1083" s="42" t="s">
        <v>300</v>
      </c>
      <c r="H1083" s="42">
        <v>6</v>
      </c>
      <c r="I1083" s="47"/>
      <c r="J1083" s="47"/>
      <c r="K1083" s="47">
        <v>1</v>
      </c>
      <c r="L1083" s="48">
        <v>25</v>
      </c>
      <c r="M1083" s="48">
        <v>25</v>
      </c>
      <c r="N1083" s="12" t="s">
        <v>216</v>
      </c>
      <c r="O1083" s="47">
        <v>60</v>
      </c>
      <c r="P1083" s="47"/>
      <c r="Q1083" s="47"/>
      <c r="R1083" s="47">
        <v>60</v>
      </c>
      <c r="S1083" s="49">
        <v>1</v>
      </c>
      <c r="T1083" s="47"/>
      <c r="U1083" s="47">
        <v>60</v>
      </c>
      <c r="V1083" s="50">
        <v>1</v>
      </c>
      <c r="W1083" s="51"/>
      <c r="X1083" s="32">
        <v>3</v>
      </c>
      <c r="Y1083" s="52" t="s">
        <v>66</v>
      </c>
    </row>
    <row r="1084" spans="1:26" s="6" customFormat="1" ht="23.1" customHeight="1" x14ac:dyDescent="0.25">
      <c r="A1084" s="20" t="s">
        <v>188</v>
      </c>
      <c r="B1084" s="42" t="s">
        <v>113</v>
      </c>
      <c r="C1084" s="42">
        <v>20</v>
      </c>
      <c r="D1084" s="42" t="s">
        <v>484</v>
      </c>
      <c r="E1084" s="41" t="s">
        <v>485</v>
      </c>
      <c r="F1084" s="41" t="s">
        <v>485</v>
      </c>
      <c r="G1084" s="42" t="s">
        <v>300</v>
      </c>
      <c r="H1084" s="42">
        <v>7</v>
      </c>
      <c r="I1084" s="47"/>
      <c r="J1084" s="47"/>
      <c r="K1084" s="47">
        <v>1</v>
      </c>
      <c r="L1084" s="48">
        <v>25</v>
      </c>
      <c r="M1084" s="48">
        <v>25</v>
      </c>
      <c r="N1084" s="12" t="s">
        <v>216</v>
      </c>
      <c r="O1084" s="47">
        <v>60</v>
      </c>
      <c r="P1084" s="47"/>
      <c r="Q1084" s="47"/>
      <c r="R1084" s="47">
        <v>60</v>
      </c>
      <c r="S1084" s="49">
        <v>1</v>
      </c>
      <c r="T1084" s="47"/>
      <c r="U1084" s="47">
        <v>60</v>
      </c>
      <c r="V1084" s="50">
        <v>1</v>
      </c>
      <c r="W1084" s="51"/>
      <c r="X1084" s="32">
        <v>3</v>
      </c>
      <c r="Y1084" s="52" t="s">
        <v>66</v>
      </c>
    </row>
    <row r="1085" spans="1:26" s="6" customFormat="1" ht="23.1" customHeight="1" x14ac:dyDescent="0.25">
      <c r="A1085" s="20" t="s">
        <v>188</v>
      </c>
      <c r="B1085" s="42" t="s">
        <v>113</v>
      </c>
      <c r="C1085" s="42">
        <v>20</v>
      </c>
      <c r="D1085" s="42" t="s">
        <v>484</v>
      </c>
      <c r="E1085" s="41" t="s">
        <v>485</v>
      </c>
      <c r="F1085" s="41" t="s">
        <v>485</v>
      </c>
      <c r="G1085" s="42" t="s">
        <v>300</v>
      </c>
      <c r="H1085" s="42">
        <v>8</v>
      </c>
      <c r="I1085" s="47"/>
      <c r="J1085" s="47"/>
      <c r="K1085" s="47">
        <v>1</v>
      </c>
      <c r="L1085" s="48">
        <v>25</v>
      </c>
      <c r="M1085" s="48">
        <v>25</v>
      </c>
      <c r="N1085" s="12" t="s">
        <v>216</v>
      </c>
      <c r="O1085" s="47">
        <v>60</v>
      </c>
      <c r="P1085" s="47"/>
      <c r="Q1085" s="47"/>
      <c r="R1085" s="47">
        <v>60</v>
      </c>
      <c r="S1085" s="49">
        <v>1</v>
      </c>
      <c r="T1085" s="47"/>
      <c r="U1085" s="47">
        <v>60</v>
      </c>
      <c r="V1085" s="50">
        <v>1</v>
      </c>
      <c r="W1085" s="51"/>
      <c r="X1085" s="32">
        <v>3</v>
      </c>
      <c r="Y1085" s="52" t="s">
        <v>66</v>
      </c>
    </row>
    <row r="1086" spans="1:26" s="6" customFormat="1" ht="23.1" customHeight="1" x14ac:dyDescent="0.25">
      <c r="A1086" s="20" t="s">
        <v>188</v>
      </c>
      <c r="B1086" s="42" t="s">
        <v>113</v>
      </c>
      <c r="C1086" s="42">
        <v>20</v>
      </c>
      <c r="D1086" s="42" t="s">
        <v>484</v>
      </c>
      <c r="E1086" s="41" t="s">
        <v>485</v>
      </c>
      <c r="F1086" s="41" t="s">
        <v>485</v>
      </c>
      <c r="G1086" s="42" t="s">
        <v>300</v>
      </c>
      <c r="H1086" s="42">
        <v>10</v>
      </c>
      <c r="I1086" s="47" t="s">
        <v>2136</v>
      </c>
      <c r="J1086" s="47"/>
      <c r="K1086" s="47">
        <v>1</v>
      </c>
      <c r="L1086" s="48">
        <v>25</v>
      </c>
      <c r="M1086" s="48">
        <v>25</v>
      </c>
      <c r="N1086" s="12" t="s">
        <v>216</v>
      </c>
      <c r="O1086" s="47"/>
      <c r="P1086" s="47">
        <v>180</v>
      </c>
      <c r="Q1086" s="47">
        <v>60</v>
      </c>
      <c r="R1086" s="47"/>
      <c r="S1086" s="49">
        <v>1</v>
      </c>
      <c r="T1086" s="47">
        <v>90</v>
      </c>
      <c r="U1086" s="47"/>
      <c r="V1086" s="50">
        <v>1</v>
      </c>
      <c r="W1086" s="51"/>
      <c r="X1086" s="29">
        <v>5.5</v>
      </c>
      <c r="Y1086" s="52" t="s">
        <v>66</v>
      </c>
    </row>
    <row r="1087" spans="1:26" s="6" customFormat="1" ht="23.1" customHeight="1" x14ac:dyDescent="0.25">
      <c r="A1087" s="20" t="s">
        <v>188</v>
      </c>
      <c r="B1087" s="42" t="s">
        <v>113</v>
      </c>
      <c r="C1087" s="42">
        <v>83</v>
      </c>
      <c r="D1087" s="42" t="s">
        <v>1095</v>
      </c>
      <c r="E1087" s="41" t="s">
        <v>1096</v>
      </c>
      <c r="F1087" s="41" t="s">
        <v>1096</v>
      </c>
      <c r="G1087" s="42" t="s">
        <v>658</v>
      </c>
      <c r="H1087" s="42">
        <v>30</v>
      </c>
      <c r="I1087" s="47" t="s">
        <v>2304</v>
      </c>
      <c r="J1087" s="47">
        <v>1.3</v>
      </c>
      <c r="K1087" s="47">
        <v>1.5</v>
      </c>
      <c r="L1087" s="48">
        <v>25</v>
      </c>
      <c r="M1087" s="48">
        <v>25</v>
      </c>
      <c r="N1087" s="12" t="s">
        <v>282</v>
      </c>
      <c r="O1087" s="47"/>
      <c r="P1087" s="47">
        <v>570</v>
      </c>
      <c r="Q1087" s="47">
        <v>60</v>
      </c>
      <c r="R1087" s="47"/>
      <c r="S1087" s="49">
        <v>2</v>
      </c>
      <c r="T1087" s="47">
        <v>120</v>
      </c>
      <c r="U1087" s="47"/>
      <c r="V1087" s="50"/>
      <c r="W1087" s="51"/>
      <c r="X1087" s="29">
        <v>16.3</v>
      </c>
      <c r="Y1087" s="52" t="s">
        <v>66</v>
      </c>
    </row>
    <row r="1088" spans="1:26" s="6" customFormat="1" ht="23.1" customHeight="1" x14ac:dyDescent="0.25">
      <c r="A1088" s="20" t="s">
        <v>188</v>
      </c>
      <c r="B1088" s="42" t="s">
        <v>113</v>
      </c>
      <c r="C1088" s="42">
        <v>97</v>
      </c>
      <c r="D1088" s="42" t="s">
        <v>1076</v>
      </c>
      <c r="E1088" s="41" t="s">
        <v>1065</v>
      </c>
      <c r="F1088" s="41" t="s">
        <v>1065</v>
      </c>
      <c r="G1088" s="42" t="s">
        <v>250</v>
      </c>
      <c r="H1088" s="42">
        <v>50</v>
      </c>
      <c r="I1088" s="47" t="s">
        <v>2118</v>
      </c>
      <c r="J1088" s="47">
        <v>1</v>
      </c>
      <c r="K1088" s="47">
        <v>0.9</v>
      </c>
      <c r="L1088" s="48">
        <v>25</v>
      </c>
      <c r="M1088" s="48">
        <v>25</v>
      </c>
      <c r="N1088" s="12" t="s">
        <v>292</v>
      </c>
      <c r="O1088" s="47"/>
      <c r="P1088" s="47">
        <v>420</v>
      </c>
      <c r="Q1088" s="47">
        <v>60</v>
      </c>
      <c r="R1088" s="47"/>
      <c r="S1088" s="49"/>
      <c r="T1088" s="47">
        <v>90</v>
      </c>
      <c r="U1088" s="47"/>
      <c r="V1088" s="50"/>
      <c r="W1088" s="51"/>
      <c r="X1088" s="29">
        <v>6.3</v>
      </c>
      <c r="Y1088" s="52" t="s">
        <v>66</v>
      </c>
    </row>
    <row r="1089" spans="1:26" s="6" customFormat="1" ht="23.1" customHeight="1" x14ac:dyDescent="0.25">
      <c r="A1089" s="20" t="s">
        <v>188</v>
      </c>
      <c r="B1089" s="42" t="s">
        <v>113</v>
      </c>
      <c r="C1089" s="42">
        <v>97</v>
      </c>
      <c r="D1089" s="42" t="s">
        <v>1076</v>
      </c>
      <c r="E1089" s="41" t="s">
        <v>1065</v>
      </c>
      <c r="F1089" s="41" t="s">
        <v>1065</v>
      </c>
      <c r="G1089" s="42" t="s">
        <v>250</v>
      </c>
      <c r="H1089" s="42">
        <v>55</v>
      </c>
      <c r="I1089" s="47" t="s">
        <v>2119</v>
      </c>
      <c r="J1089" s="47">
        <v>1</v>
      </c>
      <c r="K1089" s="47">
        <v>1</v>
      </c>
      <c r="L1089" s="48">
        <v>25</v>
      </c>
      <c r="M1089" s="48">
        <v>25</v>
      </c>
      <c r="N1089" s="12" t="s">
        <v>292</v>
      </c>
      <c r="O1089" s="47"/>
      <c r="P1089" s="47">
        <v>60</v>
      </c>
      <c r="Q1089" s="47">
        <v>60</v>
      </c>
      <c r="R1089" s="47"/>
      <c r="S1089" s="49">
        <v>1</v>
      </c>
      <c r="T1089" s="47">
        <v>60</v>
      </c>
      <c r="U1089" s="47"/>
      <c r="V1089" s="50">
        <v>1</v>
      </c>
      <c r="W1089" s="51"/>
      <c r="X1089" s="29">
        <v>3</v>
      </c>
      <c r="Y1089" s="52" t="s">
        <v>66</v>
      </c>
    </row>
    <row r="1090" spans="1:26" s="6" customFormat="1" ht="23.1" customHeight="1" x14ac:dyDescent="0.25">
      <c r="A1090" s="20" t="s">
        <v>188</v>
      </c>
      <c r="B1090" s="42" t="s">
        <v>113</v>
      </c>
      <c r="C1090" s="42">
        <v>100</v>
      </c>
      <c r="D1090" s="42" t="s">
        <v>643</v>
      </c>
      <c r="E1090" s="41" t="s">
        <v>644</v>
      </c>
      <c r="F1090" s="41" t="s">
        <v>644</v>
      </c>
      <c r="G1090" s="42" t="s">
        <v>154</v>
      </c>
      <c r="H1090" s="42">
        <v>40</v>
      </c>
      <c r="I1090" s="47" t="s">
        <v>2120</v>
      </c>
      <c r="J1090" s="47">
        <v>0.25</v>
      </c>
      <c r="K1090" s="47">
        <v>0.25</v>
      </c>
      <c r="L1090" s="48">
        <v>25</v>
      </c>
      <c r="M1090" s="48">
        <v>25</v>
      </c>
      <c r="N1090" s="12" t="s">
        <v>419</v>
      </c>
      <c r="O1090" s="47"/>
      <c r="P1090" s="47">
        <v>2640</v>
      </c>
      <c r="Q1090" s="47">
        <v>90</v>
      </c>
      <c r="R1090" s="47"/>
      <c r="S1090" s="49"/>
      <c r="T1090" s="47">
        <v>180</v>
      </c>
      <c r="U1090" s="47"/>
      <c r="V1090" s="50"/>
      <c r="W1090" s="51"/>
      <c r="X1090" s="29">
        <v>11</v>
      </c>
      <c r="Y1090" s="52" t="s">
        <v>66</v>
      </c>
    </row>
    <row r="1091" spans="1:26" s="6" customFormat="1" ht="23.1" customHeight="1" x14ac:dyDescent="0.25">
      <c r="A1091" s="20" t="s">
        <v>188</v>
      </c>
      <c r="B1091" s="42" t="s">
        <v>113</v>
      </c>
      <c r="C1091" s="42">
        <v>101</v>
      </c>
      <c r="D1091" s="42" t="s">
        <v>1099</v>
      </c>
      <c r="E1091" s="41" t="s">
        <v>760</v>
      </c>
      <c r="F1091" s="41" t="e">
        <v>#N/A</v>
      </c>
      <c r="G1091" s="42" t="s">
        <v>300</v>
      </c>
      <c r="H1091" s="42">
        <v>30</v>
      </c>
      <c r="I1091" s="47" t="s">
        <v>2133</v>
      </c>
      <c r="J1091" s="47">
        <v>0.9</v>
      </c>
      <c r="K1091" s="47">
        <v>1</v>
      </c>
      <c r="L1091" s="48">
        <v>25</v>
      </c>
      <c r="M1091" s="48">
        <v>25</v>
      </c>
      <c r="N1091" s="12" t="s">
        <v>1004</v>
      </c>
      <c r="O1091" s="47"/>
      <c r="P1091" s="47">
        <v>700</v>
      </c>
      <c r="Q1091" s="47">
        <v>60</v>
      </c>
      <c r="R1091" s="47"/>
      <c r="S1091" s="49">
        <v>1</v>
      </c>
      <c r="T1091" s="47">
        <v>120</v>
      </c>
      <c r="U1091" s="47"/>
      <c r="V1091" s="50"/>
      <c r="W1091" s="51"/>
      <c r="X1091" s="29">
        <v>12.7</v>
      </c>
      <c r="Y1091" s="52" t="s">
        <v>66</v>
      </c>
      <c r="Z1091" s="6" t="s">
        <v>1107</v>
      </c>
    </row>
    <row r="1092" spans="1:26" s="6" customFormat="1" ht="23.1" customHeight="1" x14ac:dyDescent="0.25">
      <c r="A1092" s="20" t="s">
        <v>188</v>
      </c>
      <c r="B1092" s="42" t="s">
        <v>113</v>
      </c>
      <c r="C1092" s="42">
        <v>102</v>
      </c>
      <c r="D1092" s="42" t="s">
        <v>1108</v>
      </c>
      <c r="E1092" s="41" t="s">
        <v>1109</v>
      </c>
      <c r="F1092" s="41" t="s">
        <v>1109</v>
      </c>
      <c r="G1092" s="42" t="s">
        <v>658</v>
      </c>
      <c r="H1092" s="42">
        <v>40</v>
      </c>
      <c r="I1092" s="47" t="s">
        <v>2122</v>
      </c>
      <c r="J1092" s="47">
        <v>8</v>
      </c>
      <c r="K1092" s="47">
        <v>8</v>
      </c>
      <c r="L1092" s="48">
        <v>25</v>
      </c>
      <c r="M1092" s="48">
        <v>25</v>
      </c>
      <c r="N1092" s="12" t="s">
        <v>1110</v>
      </c>
      <c r="O1092" s="47"/>
      <c r="P1092" s="47">
        <v>65</v>
      </c>
      <c r="Q1092" s="47">
        <v>60</v>
      </c>
      <c r="R1092" s="47"/>
      <c r="S1092" s="49">
        <v>8</v>
      </c>
      <c r="T1092" s="47">
        <v>120</v>
      </c>
      <c r="U1092" s="47"/>
      <c r="V1092" s="50">
        <v>1</v>
      </c>
      <c r="W1092" s="51"/>
      <c r="X1092" s="29">
        <v>18.7</v>
      </c>
      <c r="Y1092" s="52" t="s">
        <v>66</v>
      </c>
    </row>
    <row r="1093" spans="1:26" s="6" customFormat="1" ht="23.1" customHeight="1" x14ac:dyDescent="0.25">
      <c r="A1093" s="20" t="s">
        <v>188</v>
      </c>
      <c r="B1093" s="42" t="s">
        <v>113</v>
      </c>
      <c r="C1093" s="42">
        <v>102</v>
      </c>
      <c r="D1093" s="42" t="s">
        <v>1108</v>
      </c>
      <c r="E1093" s="41" t="s">
        <v>1109</v>
      </c>
      <c r="F1093" s="41" t="s">
        <v>1109</v>
      </c>
      <c r="G1093" s="42" t="s">
        <v>658</v>
      </c>
      <c r="H1093" s="42">
        <v>40</v>
      </c>
      <c r="I1093" s="47" t="s">
        <v>2122</v>
      </c>
      <c r="J1093" s="47"/>
      <c r="K1093" s="47">
        <v>0.9</v>
      </c>
      <c r="L1093" s="48">
        <v>25</v>
      </c>
      <c r="M1093" s="48">
        <v>25</v>
      </c>
      <c r="N1093" s="12" t="s">
        <v>1069</v>
      </c>
      <c r="O1093" s="47"/>
      <c r="P1093" s="47">
        <v>65</v>
      </c>
      <c r="Q1093" s="47">
        <v>60</v>
      </c>
      <c r="R1093" s="47"/>
      <c r="S1093" s="49">
        <v>1</v>
      </c>
      <c r="T1093" s="47">
        <v>120</v>
      </c>
      <c r="U1093" s="47"/>
      <c r="V1093" s="50">
        <v>1</v>
      </c>
      <c r="W1093" s="51"/>
      <c r="X1093" s="29">
        <v>4</v>
      </c>
      <c r="Y1093" s="52" t="s">
        <v>66</v>
      </c>
    </row>
    <row r="1094" spans="1:26" s="6" customFormat="1" ht="23.1" customHeight="1" x14ac:dyDescent="0.25">
      <c r="A1094" s="20" t="s">
        <v>188</v>
      </c>
      <c r="B1094" s="42" t="s">
        <v>113</v>
      </c>
      <c r="C1094" s="42">
        <v>106</v>
      </c>
      <c r="D1094" s="42" t="s">
        <v>1111</v>
      </c>
      <c r="E1094" s="41" t="s">
        <v>101</v>
      </c>
      <c r="F1094" s="41" t="s">
        <v>101</v>
      </c>
      <c r="G1094" s="42" t="s">
        <v>300</v>
      </c>
      <c r="H1094" s="42">
        <v>15</v>
      </c>
      <c r="I1094" s="47" t="s">
        <v>1868</v>
      </c>
      <c r="J1094" s="47">
        <v>0.5</v>
      </c>
      <c r="K1094" s="47">
        <v>0.4</v>
      </c>
      <c r="L1094" s="48">
        <v>25</v>
      </c>
      <c r="M1094" s="48">
        <v>25</v>
      </c>
      <c r="N1094" s="12" t="s">
        <v>247</v>
      </c>
      <c r="O1094" s="47"/>
      <c r="P1094" s="47">
        <v>2150</v>
      </c>
      <c r="Q1094" s="47">
        <v>180</v>
      </c>
      <c r="R1094" s="47"/>
      <c r="S1094" s="49">
        <v>1</v>
      </c>
      <c r="T1094" s="47">
        <v>180</v>
      </c>
      <c r="U1094" s="47"/>
      <c r="V1094" s="50">
        <v>1</v>
      </c>
      <c r="W1094" s="51">
        <v>3</v>
      </c>
      <c r="X1094" s="29">
        <v>23.3</v>
      </c>
      <c r="Y1094" s="52" t="s">
        <v>66</v>
      </c>
      <c r="Z1094" s="6" t="s">
        <v>1078</v>
      </c>
    </row>
    <row r="1095" spans="1:26" s="6" customFormat="1" ht="23.1" customHeight="1" x14ac:dyDescent="0.25">
      <c r="A1095" s="20" t="s">
        <v>188</v>
      </c>
      <c r="B1095" s="42" t="s">
        <v>113</v>
      </c>
      <c r="C1095" s="42">
        <v>106</v>
      </c>
      <c r="D1095" s="42" t="s">
        <v>1070</v>
      </c>
      <c r="E1095" s="41" t="s">
        <v>101</v>
      </c>
      <c r="F1095" s="41" t="s">
        <v>101</v>
      </c>
      <c r="G1095" s="42" t="s">
        <v>300</v>
      </c>
      <c r="H1095" s="42">
        <v>15</v>
      </c>
      <c r="I1095" s="47" t="s">
        <v>1868</v>
      </c>
      <c r="J1095" s="47"/>
      <c r="K1095" s="47">
        <v>0.1</v>
      </c>
      <c r="L1095" s="48">
        <v>25</v>
      </c>
      <c r="M1095" s="48">
        <v>25</v>
      </c>
      <c r="N1095" s="12" t="s">
        <v>164</v>
      </c>
      <c r="O1095" s="47"/>
      <c r="P1095" s="47">
        <v>2150</v>
      </c>
      <c r="Q1095" s="47">
        <v>180</v>
      </c>
      <c r="R1095" s="47"/>
      <c r="S1095" s="49"/>
      <c r="T1095" s="47">
        <v>180</v>
      </c>
      <c r="U1095" s="47"/>
      <c r="V1095" s="50"/>
      <c r="W1095" s="51">
        <v>2</v>
      </c>
      <c r="X1095" s="29">
        <v>5.6</v>
      </c>
      <c r="Y1095" s="52" t="s">
        <v>66</v>
      </c>
      <c r="Z1095" s="6" t="s">
        <v>953</v>
      </c>
    </row>
    <row r="1096" spans="1:26" s="6" customFormat="1" ht="23.1" customHeight="1" x14ac:dyDescent="0.25">
      <c r="A1096" s="20" t="s">
        <v>329</v>
      </c>
      <c r="B1096" s="42" t="s">
        <v>113</v>
      </c>
      <c r="C1096" s="42">
        <v>101</v>
      </c>
      <c r="D1096" s="42" t="s">
        <v>1099</v>
      </c>
      <c r="E1096" s="41" t="s">
        <v>760</v>
      </c>
      <c r="F1096" s="41" t="e">
        <v>#N/A</v>
      </c>
      <c r="G1096" s="42" t="s">
        <v>300</v>
      </c>
      <c r="H1096" s="42">
        <v>30</v>
      </c>
      <c r="I1096" s="47" t="s">
        <v>2133</v>
      </c>
      <c r="J1096" s="47">
        <v>0.9</v>
      </c>
      <c r="K1096" s="47">
        <v>1.5</v>
      </c>
      <c r="L1096" s="48">
        <v>25</v>
      </c>
      <c r="M1096" s="48">
        <v>25</v>
      </c>
      <c r="N1096" s="12" t="s">
        <v>1112</v>
      </c>
      <c r="O1096" s="47"/>
      <c r="P1096" s="47">
        <v>700</v>
      </c>
      <c r="Q1096" s="47">
        <v>60</v>
      </c>
      <c r="R1096" s="47"/>
      <c r="S1096" s="49">
        <v>1</v>
      </c>
      <c r="T1096" s="47">
        <v>120</v>
      </c>
      <c r="U1096" s="47"/>
      <c r="V1096" s="50"/>
      <c r="W1096" s="51"/>
      <c r="X1096" s="29">
        <v>18.5</v>
      </c>
      <c r="Y1096" s="52" t="s">
        <v>66</v>
      </c>
    </row>
    <row r="1097" spans="1:26" s="6" customFormat="1" ht="23.1" customHeight="1" x14ac:dyDescent="0.25">
      <c r="A1097" s="20" t="s">
        <v>329</v>
      </c>
      <c r="B1097" s="42" t="s">
        <v>113</v>
      </c>
      <c r="C1097" s="42">
        <v>100</v>
      </c>
      <c r="D1097" s="42" t="s">
        <v>643</v>
      </c>
      <c r="E1097" s="41" t="s">
        <v>644</v>
      </c>
      <c r="F1097" s="41" t="s">
        <v>644</v>
      </c>
      <c r="G1097" s="42" t="s">
        <v>154</v>
      </c>
      <c r="H1097" s="42">
        <v>40</v>
      </c>
      <c r="I1097" s="47" t="s">
        <v>2120</v>
      </c>
      <c r="J1097" s="47">
        <v>0.25</v>
      </c>
      <c r="K1097" s="47">
        <v>0.25</v>
      </c>
      <c r="L1097" s="48">
        <v>25</v>
      </c>
      <c r="M1097" s="48">
        <v>25</v>
      </c>
      <c r="N1097" s="12" t="s">
        <v>399</v>
      </c>
      <c r="O1097" s="47"/>
      <c r="P1097" s="47">
        <v>2640</v>
      </c>
      <c r="Q1097" s="47">
        <v>90</v>
      </c>
      <c r="R1097" s="47"/>
      <c r="S1097" s="49"/>
      <c r="T1097" s="47">
        <v>180</v>
      </c>
      <c r="U1097" s="47"/>
      <c r="V1097" s="50"/>
      <c r="W1097" s="51"/>
      <c r="X1097" s="29">
        <v>11</v>
      </c>
      <c r="Y1097" s="52" t="s">
        <v>66</v>
      </c>
    </row>
    <row r="1098" spans="1:26" s="6" customFormat="1" ht="23.1" customHeight="1" x14ac:dyDescent="0.25">
      <c r="A1098" s="20" t="s">
        <v>329</v>
      </c>
      <c r="B1098" s="42" t="s">
        <v>113</v>
      </c>
      <c r="C1098" s="42">
        <v>102</v>
      </c>
      <c r="D1098" s="42" t="s">
        <v>1067</v>
      </c>
      <c r="E1098" s="41" t="s">
        <v>1068</v>
      </c>
      <c r="F1098" s="41" t="s">
        <v>1068</v>
      </c>
      <c r="G1098" s="42" t="s">
        <v>323</v>
      </c>
      <c r="H1098" s="42">
        <v>45</v>
      </c>
      <c r="I1098" s="47" t="s">
        <v>2138</v>
      </c>
      <c r="J1098" s="47">
        <v>0.6</v>
      </c>
      <c r="K1098" s="47">
        <v>0.8</v>
      </c>
      <c r="L1098" s="48">
        <v>25</v>
      </c>
      <c r="M1098" s="48">
        <v>25</v>
      </c>
      <c r="N1098" s="12" t="s">
        <v>316</v>
      </c>
      <c r="O1098" s="47"/>
      <c r="P1098" s="47">
        <v>1080</v>
      </c>
      <c r="Q1098" s="47">
        <v>60</v>
      </c>
      <c r="R1098" s="47"/>
      <c r="S1098" s="49">
        <v>1</v>
      </c>
      <c r="T1098" s="47">
        <v>150</v>
      </c>
      <c r="U1098" s="47"/>
      <c r="V1098" s="50">
        <v>1</v>
      </c>
      <c r="W1098" s="51"/>
      <c r="X1098" s="29">
        <v>17.899999999999999</v>
      </c>
      <c r="Y1098" s="52" t="s">
        <v>67</v>
      </c>
    </row>
    <row r="1099" spans="1:26" s="6" customFormat="1" ht="23.1" customHeight="1" x14ac:dyDescent="0.25">
      <c r="A1099" s="20" t="s">
        <v>329</v>
      </c>
      <c r="B1099" s="42" t="s">
        <v>113</v>
      </c>
      <c r="C1099" s="42">
        <v>97</v>
      </c>
      <c r="D1099" s="42" t="s">
        <v>1076</v>
      </c>
      <c r="E1099" s="41" t="s">
        <v>1065</v>
      </c>
      <c r="F1099" s="41" t="s">
        <v>1065</v>
      </c>
      <c r="G1099" s="42" t="s">
        <v>250</v>
      </c>
      <c r="H1099" s="42">
        <v>50</v>
      </c>
      <c r="I1099" s="47" t="s">
        <v>2118</v>
      </c>
      <c r="J1099" s="47">
        <v>1</v>
      </c>
      <c r="K1099" s="47">
        <v>1.7</v>
      </c>
      <c r="L1099" s="48">
        <v>25</v>
      </c>
      <c r="M1099" s="48">
        <v>25</v>
      </c>
      <c r="N1099" s="12" t="s">
        <v>1077</v>
      </c>
      <c r="O1099" s="47"/>
      <c r="P1099" s="47">
        <v>420</v>
      </c>
      <c r="Q1099" s="47">
        <v>60</v>
      </c>
      <c r="R1099" s="47"/>
      <c r="S1099" s="49">
        <v>1</v>
      </c>
      <c r="T1099" s="47">
        <v>90</v>
      </c>
      <c r="U1099" s="47"/>
      <c r="V1099" s="50"/>
      <c r="W1099" s="51"/>
      <c r="X1099" s="29">
        <v>12.9</v>
      </c>
      <c r="Y1099" s="52" t="s">
        <v>67</v>
      </c>
    </row>
    <row r="1100" spans="1:26" s="6" customFormat="1" ht="23.1" customHeight="1" x14ac:dyDescent="0.25">
      <c r="A1100" s="20" t="s">
        <v>329</v>
      </c>
      <c r="B1100" s="42" t="s">
        <v>113</v>
      </c>
      <c r="C1100" s="42">
        <v>97</v>
      </c>
      <c r="D1100" s="42" t="s">
        <v>1076</v>
      </c>
      <c r="E1100" s="41" t="s">
        <v>1065</v>
      </c>
      <c r="F1100" s="41" t="s">
        <v>1065</v>
      </c>
      <c r="G1100" s="42" t="s">
        <v>250</v>
      </c>
      <c r="H1100" s="42">
        <v>55</v>
      </c>
      <c r="I1100" s="47" t="s">
        <v>2119</v>
      </c>
      <c r="J1100" s="47">
        <v>1</v>
      </c>
      <c r="K1100" s="47">
        <v>1</v>
      </c>
      <c r="L1100" s="48">
        <v>25</v>
      </c>
      <c r="M1100" s="48">
        <v>25</v>
      </c>
      <c r="N1100" s="12" t="s">
        <v>1077</v>
      </c>
      <c r="O1100" s="47"/>
      <c r="P1100" s="47">
        <v>60</v>
      </c>
      <c r="Q1100" s="47">
        <v>60</v>
      </c>
      <c r="R1100" s="47"/>
      <c r="S1100" s="49">
        <v>1</v>
      </c>
      <c r="T1100" s="47">
        <v>60</v>
      </c>
      <c r="U1100" s="47"/>
      <c r="V1100" s="50"/>
      <c r="W1100" s="51"/>
      <c r="X1100" s="29">
        <v>2</v>
      </c>
      <c r="Y1100" s="52" t="s">
        <v>67</v>
      </c>
    </row>
    <row r="1101" spans="1:26" s="6" customFormat="1" ht="23.1" customHeight="1" x14ac:dyDescent="0.25">
      <c r="A1101" s="20" t="s">
        <v>329</v>
      </c>
      <c r="B1101" s="42" t="s">
        <v>113</v>
      </c>
      <c r="C1101" s="42">
        <v>83</v>
      </c>
      <c r="D1101" s="42" t="s">
        <v>1095</v>
      </c>
      <c r="E1101" s="41" t="s">
        <v>1096</v>
      </c>
      <c r="F1101" s="41" t="s">
        <v>1096</v>
      </c>
      <c r="G1101" s="42" t="s">
        <v>658</v>
      </c>
      <c r="H1101" s="42">
        <v>35</v>
      </c>
      <c r="I1101" s="47" t="s">
        <v>2139</v>
      </c>
      <c r="J1101" s="47">
        <v>1</v>
      </c>
      <c r="K1101" s="47">
        <v>1.5</v>
      </c>
      <c r="L1101" s="48">
        <v>25</v>
      </c>
      <c r="M1101" s="48">
        <v>25</v>
      </c>
      <c r="N1101" s="12" t="s">
        <v>282</v>
      </c>
      <c r="O1101" s="47"/>
      <c r="P1101" s="47">
        <v>600</v>
      </c>
      <c r="Q1101" s="47">
        <v>60</v>
      </c>
      <c r="R1101" s="47"/>
      <c r="S1101" s="49">
        <v>2</v>
      </c>
      <c r="T1101" s="47">
        <v>120</v>
      </c>
      <c r="U1101" s="47"/>
      <c r="V1101" s="50">
        <v>1</v>
      </c>
      <c r="W1101" s="51"/>
      <c r="X1101" s="29">
        <v>19</v>
      </c>
      <c r="Y1101" s="52" t="s">
        <v>67</v>
      </c>
    </row>
    <row r="1102" spans="1:26" s="6" customFormat="1" ht="23.1" customHeight="1" x14ac:dyDescent="0.25">
      <c r="A1102" s="20" t="s">
        <v>329</v>
      </c>
      <c r="B1102" s="42" t="s">
        <v>113</v>
      </c>
      <c r="C1102" s="42">
        <v>106</v>
      </c>
      <c r="D1102" s="42" t="s">
        <v>1070</v>
      </c>
      <c r="E1102" s="41" t="s">
        <v>101</v>
      </c>
      <c r="F1102" s="41" t="s">
        <v>101</v>
      </c>
      <c r="G1102" s="42" t="s">
        <v>300</v>
      </c>
      <c r="H1102" s="42">
        <v>15</v>
      </c>
      <c r="I1102" s="47" t="s">
        <v>1868</v>
      </c>
      <c r="J1102" s="47">
        <v>0.5</v>
      </c>
      <c r="K1102" s="47">
        <v>0.5</v>
      </c>
      <c r="L1102" s="48">
        <v>25</v>
      </c>
      <c r="M1102" s="48">
        <v>25</v>
      </c>
      <c r="N1102" s="12" t="s">
        <v>476</v>
      </c>
      <c r="O1102" s="47"/>
      <c r="P1102" s="47">
        <v>2150</v>
      </c>
      <c r="Q1102" s="47">
        <v>180</v>
      </c>
      <c r="R1102" s="47"/>
      <c r="S1102" s="49">
        <v>1</v>
      </c>
      <c r="T1102" s="47">
        <v>180</v>
      </c>
      <c r="U1102" s="47"/>
      <c r="V1102" s="50"/>
      <c r="W1102" s="51"/>
      <c r="X1102" s="29">
        <v>20.9</v>
      </c>
      <c r="Y1102" s="52" t="s">
        <v>67</v>
      </c>
    </row>
    <row r="1103" spans="1:26" s="6" customFormat="1" ht="23.1" customHeight="1" x14ac:dyDescent="0.25">
      <c r="A1103" s="20" t="s">
        <v>329</v>
      </c>
      <c r="B1103" s="42" t="s">
        <v>113</v>
      </c>
      <c r="C1103" s="42">
        <v>20</v>
      </c>
      <c r="D1103" s="42" t="s">
        <v>484</v>
      </c>
      <c r="E1103" s="41" t="s">
        <v>485</v>
      </c>
      <c r="F1103" s="41" t="s">
        <v>485</v>
      </c>
      <c r="G1103" s="42" t="s">
        <v>300</v>
      </c>
      <c r="H1103" s="42">
        <v>25</v>
      </c>
      <c r="I1103" s="47" t="s">
        <v>2140</v>
      </c>
      <c r="J1103" s="47">
        <v>0.7</v>
      </c>
      <c r="K1103" s="47">
        <v>0.6</v>
      </c>
      <c r="L1103" s="48">
        <v>25</v>
      </c>
      <c r="M1103" s="48">
        <v>25</v>
      </c>
      <c r="N1103" s="12" t="s">
        <v>216</v>
      </c>
      <c r="O1103" s="47"/>
      <c r="P1103" s="47">
        <v>660</v>
      </c>
      <c r="Q1103" s="47">
        <v>60</v>
      </c>
      <c r="R1103" s="47"/>
      <c r="S1103" s="49"/>
      <c r="T1103" s="47">
        <v>180</v>
      </c>
      <c r="U1103" s="47"/>
      <c r="V1103" s="50"/>
      <c r="W1103" s="51"/>
      <c r="X1103" s="29">
        <v>6.6</v>
      </c>
      <c r="Y1103" s="52" t="s">
        <v>67</v>
      </c>
    </row>
    <row r="1104" spans="1:26" s="6" customFormat="1" ht="23.1" customHeight="1" x14ac:dyDescent="0.25">
      <c r="A1104" s="20" t="s">
        <v>329</v>
      </c>
      <c r="B1104" s="42" t="s">
        <v>113</v>
      </c>
      <c r="C1104" s="42">
        <v>20</v>
      </c>
      <c r="D1104" s="42" t="s">
        <v>484</v>
      </c>
      <c r="E1104" s="41" t="s">
        <v>485</v>
      </c>
      <c r="F1104" s="41" t="s">
        <v>485</v>
      </c>
      <c r="G1104" s="42" t="s">
        <v>300</v>
      </c>
      <c r="H1104" s="42">
        <v>10</v>
      </c>
      <c r="I1104" s="47" t="s">
        <v>2136</v>
      </c>
      <c r="J1104" s="47">
        <v>1</v>
      </c>
      <c r="K1104" s="47">
        <v>1.9</v>
      </c>
      <c r="L1104" s="48">
        <v>25</v>
      </c>
      <c r="M1104" s="48">
        <v>25</v>
      </c>
      <c r="N1104" s="12" t="s">
        <v>1113</v>
      </c>
      <c r="O1104" s="47"/>
      <c r="P1104" s="47">
        <v>180</v>
      </c>
      <c r="Q1104" s="47">
        <v>60</v>
      </c>
      <c r="R1104" s="47"/>
      <c r="S1104" s="49">
        <v>2</v>
      </c>
      <c r="T1104" s="47">
        <v>90</v>
      </c>
      <c r="U1104" s="47"/>
      <c r="V1104" s="50">
        <v>1</v>
      </c>
      <c r="W1104" s="51"/>
      <c r="X1104" s="29">
        <v>9.1999999999999993</v>
      </c>
      <c r="Y1104" s="52" t="s">
        <v>67</v>
      </c>
    </row>
    <row r="1105" spans="1:26" s="6" customFormat="1" ht="23.1" customHeight="1" x14ac:dyDescent="0.25">
      <c r="A1105" s="20" t="s">
        <v>329</v>
      </c>
      <c r="B1105" s="42" t="s">
        <v>113</v>
      </c>
      <c r="C1105" s="42">
        <v>98</v>
      </c>
      <c r="D1105" s="42" t="s">
        <v>481</v>
      </c>
      <c r="E1105" s="41" t="s">
        <v>482</v>
      </c>
      <c r="F1105" s="41" t="s">
        <v>482</v>
      </c>
      <c r="G1105" s="42" t="s">
        <v>118</v>
      </c>
      <c r="H1105" s="42">
        <v>13</v>
      </c>
      <c r="I1105" s="47"/>
      <c r="J1105" s="47">
        <v>2.5</v>
      </c>
      <c r="K1105" s="47">
        <v>2.7</v>
      </c>
      <c r="L1105" s="48">
        <v>25</v>
      </c>
      <c r="M1105" s="48">
        <v>25</v>
      </c>
      <c r="N1105" s="12" t="s">
        <v>1114</v>
      </c>
      <c r="O1105" s="47">
        <v>300</v>
      </c>
      <c r="P1105" s="47"/>
      <c r="Q1105" s="47"/>
      <c r="R1105" s="47">
        <v>60</v>
      </c>
      <c r="S1105" s="49">
        <v>2</v>
      </c>
      <c r="T1105" s="47"/>
      <c r="U1105" s="47"/>
      <c r="V1105" s="50"/>
      <c r="W1105" s="51"/>
      <c r="X1105" s="32">
        <v>15.5</v>
      </c>
      <c r="Y1105" s="52" t="s">
        <v>1</v>
      </c>
    </row>
    <row r="1106" spans="1:26" s="6" customFormat="1" ht="23.1" customHeight="1" x14ac:dyDescent="0.25">
      <c r="A1106" s="20" t="s">
        <v>329</v>
      </c>
      <c r="B1106" s="42" t="s">
        <v>113</v>
      </c>
      <c r="C1106" s="42">
        <v>99</v>
      </c>
      <c r="D1106" s="42" t="s">
        <v>1091</v>
      </c>
      <c r="E1106" s="41" t="s">
        <v>1092</v>
      </c>
      <c r="F1106" s="41" t="s">
        <v>1092</v>
      </c>
      <c r="G1106" s="42" t="s">
        <v>118</v>
      </c>
      <c r="H1106" s="42">
        <v>35</v>
      </c>
      <c r="I1106" s="47" t="s">
        <v>2141</v>
      </c>
      <c r="J1106" s="47">
        <v>1.5</v>
      </c>
      <c r="K1106" s="47">
        <v>1.9</v>
      </c>
      <c r="L1106" s="48">
        <v>25</v>
      </c>
      <c r="M1106" s="48">
        <v>25</v>
      </c>
      <c r="N1106" s="12" t="s">
        <v>1115</v>
      </c>
      <c r="O1106" s="47"/>
      <c r="P1106" s="47">
        <v>480</v>
      </c>
      <c r="Q1106" s="47">
        <v>60</v>
      </c>
      <c r="R1106" s="47"/>
      <c r="S1106" s="49">
        <v>2</v>
      </c>
      <c r="T1106" s="47">
        <v>120</v>
      </c>
      <c r="U1106" s="47"/>
      <c r="V1106" s="50">
        <v>1</v>
      </c>
      <c r="W1106" s="51"/>
      <c r="X1106" s="29">
        <v>19.2</v>
      </c>
      <c r="Y1106" s="52" t="s">
        <v>21</v>
      </c>
    </row>
    <row r="1107" spans="1:26" s="6" customFormat="1" ht="23.1" customHeight="1" x14ac:dyDescent="0.25">
      <c r="A1107" s="20" t="s">
        <v>329</v>
      </c>
      <c r="B1107" s="42" t="s">
        <v>113</v>
      </c>
      <c r="C1107" s="42">
        <v>103</v>
      </c>
      <c r="D1107" s="42" t="s">
        <v>738</v>
      </c>
      <c r="E1107" s="41" t="s">
        <v>739</v>
      </c>
      <c r="F1107" s="41" t="s">
        <v>739</v>
      </c>
      <c r="G1107" s="42" t="s">
        <v>107</v>
      </c>
      <c r="H1107" s="42">
        <v>15</v>
      </c>
      <c r="I1107" s="47" t="s">
        <v>2142</v>
      </c>
      <c r="J1107" s="47">
        <v>2</v>
      </c>
      <c r="K1107" s="47">
        <v>2</v>
      </c>
      <c r="L1107" s="48">
        <v>25</v>
      </c>
      <c r="M1107" s="48">
        <v>25</v>
      </c>
      <c r="N1107" s="12" t="s">
        <v>1106</v>
      </c>
      <c r="O1107" s="47"/>
      <c r="P1107" s="47">
        <v>480</v>
      </c>
      <c r="Q1107" s="47">
        <v>60</v>
      </c>
      <c r="R1107" s="47"/>
      <c r="S1107" s="49">
        <v>2</v>
      </c>
      <c r="T1107" s="47">
        <v>120</v>
      </c>
      <c r="U1107" s="47"/>
      <c r="V1107" s="50"/>
      <c r="W1107" s="51"/>
      <c r="X1107" s="29">
        <v>18</v>
      </c>
      <c r="Y1107" s="52" t="s">
        <v>62</v>
      </c>
    </row>
    <row r="1108" spans="1:26" s="6" customFormat="1" ht="23.1" customHeight="1" x14ac:dyDescent="0.25">
      <c r="A1108" s="20" t="s">
        <v>329</v>
      </c>
      <c r="B1108" s="42" t="s">
        <v>113</v>
      </c>
      <c r="C1108" s="42">
        <v>44</v>
      </c>
      <c r="D1108" s="42" t="s">
        <v>1074</v>
      </c>
      <c r="E1108" s="41" t="s">
        <v>1075</v>
      </c>
      <c r="F1108" s="41" t="s">
        <v>1075</v>
      </c>
      <c r="G1108" s="42" t="s">
        <v>154</v>
      </c>
      <c r="H1108" s="42">
        <v>45</v>
      </c>
      <c r="I1108" s="47" t="s">
        <v>2125</v>
      </c>
      <c r="J1108" s="47">
        <v>1</v>
      </c>
      <c r="K1108" s="47">
        <v>1.3</v>
      </c>
      <c r="L1108" s="48">
        <v>25</v>
      </c>
      <c r="M1108" s="48">
        <v>25</v>
      </c>
      <c r="N1108" s="12" t="s">
        <v>247</v>
      </c>
      <c r="O1108" s="47"/>
      <c r="P1108" s="47">
        <v>600</v>
      </c>
      <c r="Q1108" s="47"/>
      <c r="R1108" s="47"/>
      <c r="S1108" s="49">
        <v>2</v>
      </c>
      <c r="T1108" s="47">
        <v>120</v>
      </c>
      <c r="U1108" s="47"/>
      <c r="V1108" s="50">
        <v>1</v>
      </c>
      <c r="W1108" s="51"/>
      <c r="X1108" s="29">
        <v>15</v>
      </c>
      <c r="Y1108" s="52" t="s">
        <v>56</v>
      </c>
      <c r="Z1108" s="6" t="s">
        <v>1116</v>
      </c>
    </row>
    <row r="1109" spans="1:26" s="6" customFormat="1" ht="23.1" customHeight="1" x14ac:dyDescent="0.25">
      <c r="A1109" s="20" t="s">
        <v>329</v>
      </c>
      <c r="B1109" s="42" t="s">
        <v>113</v>
      </c>
      <c r="C1109" s="42">
        <v>19</v>
      </c>
      <c r="D1109" s="42" t="s">
        <v>1071</v>
      </c>
      <c r="E1109" s="41" t="s">
        <v>1072</v>
      </c>
      <c r="F1109" s="41" t="e">
        <v>#N/A</v>
      </c>
      <c r="G1109" s="42" t="s">
        <v>250</v>
      </c>
      <c r="H1109" s="42">
        <v>25</v>
      </c>
      <c r="I1109" s="47" t="s">
        <v>2143</v>
      </c>
      <c r="J1109" s="47">
        <v>0.4</v>
      </c>
      <c r="K1109" s="47">
        <v>0.2</v>
      </c>
      <c r="L1109" s="48">
        <v>25</v>
      </c>
      <c r="M1109" s="48">
        <v>25</v>
      </c>
      <c r="N1109" s="12" t="s">
        <v>1117</v>
      </c>
      <c r="O1109" s="47"/>
      <c r="P1109" s="47">
        <v>360</v>
      </c>
      <c r="Q1109" s="47">
        <v>90</v>
      </c>
      <c r="R1109" s="47"/>
      <c r="S1109" s="49"/>
      <c r="T1109" s="47">
        <v>60</v>
      </c>
      <c r="U1109" s="47"/>
      <c r="V1109" s="50"/>
      <c r="W1109" s="51"/>
      <c r="X1109" s="29">
        <v>1.2</v>
      </c>
      <c r="Y1109" s="52" t="s">
        <v>11</v>
      </c>
    </row>
    <row r="1110" spans="1:26" s="6" customFormat="1" ht="23.1" customHeight="1" x14ac:dyDescent="0.25">
      <c r="A1110" s="20" t="s">
        <v>329</v>
      </c>
      <c r="B1110" s="42" t="s">
        <v>113</v>
      </c>
      <c r="C1110" s="42">
        <v>19</v>
      </c>
      <c r="D1110" s="42" t="s">
        <v>1071</v>
      </c>
      <c r="E1110" s="41" t="s">
        <v>1072</v>
      </c>
      <c r="F1110" s="41" t="e">
        <v>#N/A</v>
      </c>
      <c r="G1110" s="42" t="s">
        <v>250</v>
      </c>
      <c r="H1110" s="42">
        <v>30</v>
      </c>
      <c r="I1110" s="47" t="s">
        <v>2123</v>
      </c>
      <c r="J1110" s="47">
        <v>0.7</v>
      </c>
      <c r="K1110" s="47">
        <v>0.47</v>
      </c>
      <c r="L1110" s="48">
        <v>25</v>
      </c>
      <c r="M1110" s="48">
        <v>25</v>
      </c>
      <c r="N1110" s="12" t="s">
        <v>1117</v>
      </c>
      <c r="O1110" s="47"/>
      <c r="P1110" s="47">
        <v>650</v>
      </c>
      <c r="Q1110" s="47">
        <v>90</v>
      </c>
      <c r="R1110" s="47"/>
      <c r="S1110" s="49">
        <v>1</v>
      </c>
      <c r="T1110" s="47">
        <v>60</v>
      </c>
      <c r="U1110" s="47"/>
      <c r="V1110" s="50">
        <v>1</v>
      </c>
      <c r="W1110" s="51"/>
      <c r="X1110" s="29">
        <v>7.6</v>
      </c>
      <c r="Y1110" s="52" t="s">
        <v>11</v>
      </c>
    </row>
    <row r="1111" spans="1:26" s="6" customFormat="1" ht="23.1" customHeight="1" x14ac:dyDescent="0.25">
      <c r="A1111" s="20" t="s">
        <v>329</v>
      </c>
      <c r="B1111" s="42" t="s">
        <v>113</v>
      </c>
      <c r="C1111" s="42">
        <v>105</v>
      </c>
      <c r="D1111" s="42" t="s">
        <v>1097</v>
      </c>
      <c r="E1111" s="41" t="s">
        <v>1098</v>
      </c>
      <c r="F1111" s="41" t="s">
        <v>1098</v>
      </c>
      <c r="G1111" s="42" t="s">
        <v>250</v>
      </c>
      <c r="H1111" s="42">
        <v>20</v>
      </c>
      <c r="I1111" s="47" t="s">
        <v>2132</v>
      </c>
      <c r="J1111" s="47">
        <v>0.8</v>
      </c>
      <c r="K1111" s="47">
        <v>1.1000000000000001</v>
      </c>
      <c r="L1111" s="48">
        <v>25</v>
      </c>
      <c r="M1111" s="48">
        <v>25</v>
      </c>
      <c r="N1111" s="12" t="s">
        <v>292</v>
      </c>
      <c r="O1111" s="47"/>
      <c r="P1111" s="47">
        <v>770</v>
      </c>
      <c r="Q1111" s="47">
        <v>60</v>
      </c>
      <c r="R1111" s="47"/>
      <c r="S1111" s="49">
        <v>1</v>
      </c>
      <c r="T1111" s="47">
        <v>90</v>
      </c>
      <c r="U1111" s="47"/>
      <c r="V1111" s="50"/>
      <c r="W1111" s="51"/>
      <c r="X1111" s="29">
        <v>15.1</v>
      </c>
      <c r="Y1111" s="52" t="s">
        <v>28</v>
      </c>
    </row>
    <row r="1112" spans="1:26" s="6" customFormat="1" ht="23.1" customHeight="1" x14ac:dyDescent="0.25">
      <c r="A1112" s="20" t="s">
        <v>329</v>
      </c>
      <c r="B1112" s="42" t="s">
        <v>110</v>
      </c>
      <c r="C1112" s="42">
        <v>98</v>
      </c>
      <c r="D1112" s="42" t="s">
        <v>481</v>
      </c>
      <c r="E1112" s="41" t="s">
        <v>482</v>
      </c>
      <c r="F1112" s="41" t="s">
        <v>482</v>
      </c>
      <c r="G1112" s="42" t="s">
        <v>118</v>
      </c>
      <c r="H1112" s="42">
        <v>13</v>
      </c>
      <c r="I1112" s="47"/>
      <c r="J1112" s="47">
        <v>2.5</v>
      </c>
      <c r="K1112" s="47">
        <v>1.2</v>
      </c>
      <c r="L1112" s="48">
        <v>32</v>
      </c>
      <c r="M1112" s="48">
        <v>32</v>
      </c>
      <c r="N1112" s="12" t="s">
        <v>1118</v>
      </c>
      <c r="O1112" s="47">
        <v>300</v>
      </c>
      <c r="P1112" s="47"/>
      <c r="Q1112" s="47"/>
      <c r="R1112" s="47">
        <v>60</v>
      </c>
      <c r="S1112" s="49">
        <v>2</v>
      </c>
      <c r="T1112" s="47"/>
      <c r="U1112" s="47">
        <v>120</v>
      </c>
      <c r="V1112" s="50">
        <v>1</v>
      </c>
      <c r="W1112" s="51"/>
      <c r="X1112" s="32">
        <v>10</v>
      </c>
      <c r="Y1112" s="52" t="s">
        <v>39</v>
      </c>
    </row>
    <row r="1113" spans="1:26" s="6" customFormat="1" ht="23.1" customHeight="1" x14ac:dyDescent="0.25">
      <c r="A1113" s="20" t="s">
        <v>329</v>
      </c>
      <c r="B1113" s="42" t="s">
        <v>110</v>
      </c>
      <c r="C1113" s="42">
        <v>98</v>
      </c>
      <c r="D1113" s="42" t="s">
        <v>404</v>
      </c>
      <c r="E1113" s="41" t="s">
        <v>405</v>
      </c>
      <c r="F1113" s="41" t="s">
        <v>405</v>
      </c>
      <c r="G1113" s="42" t="s">
        <v>118</v>
      </c>
      <c r="H1113" s="42">
        <v>13</v>
      </c>
      <c r="I1113" s="47"/>
      <c r="J1113" s="47">
        <v>1.1000000000000001</v>
      </c>
      <c r="K1113" s="47">
        <v>1.1000000000000001</v>
      </c>
      <c r="L1113" s="48">
        <v>32</v>
      </c>
      <c r="M1113" s="48">
        <v>32</v>
      </c>
      <c r="N1113" s="12" t="s">
        <v>1119</v>
      </c>
      <c r="O1113" s="47">
        <v>300</v>
      </c>
      <c r="P1113" s="47"/>
      <c r="Q1113" s="47"/>
      <c r="R1113" s="47">
        <v>60</v>
      </c>
      <c r="S1113" s="49">
        <v>1</v>
      </c>
      <c r="T1113" s="47"/>
      <c r="U1113" s="47"/>
      <c r="V1113" s="50"/>
      <c r="W1113" s="51"/>
      <c r="X1113" s="32">
        <v>6.5</v>
      </c>
      <c r="Y1113" s="52" t="s">
        <v>39</v>
      </c>
    </row>
    <row r="1114" spans="1:26" s="6" customFormat="1" ht="23.1" customHeight="1" x14ac:dyDescent="0.25">
      <c r="A1114" s="20" t="s">
        <v>329</v>
      </c>
      <c r="B1114" s="42" t="s">
        <v>110</v>
      </c>
      <c r="C1114" s="42">
        <v>103</v>
      </c>
      <c r="D1114" s="42" t="s">
        <v>776</v>
      </c>
      <c r="E1114" s="41" t="s">
        <v>777</v>
      </c>
      <c r="F1114" s="41" t="s">
        <v>777</v>
      </c>
      <c r="G1114" s="42" t="s">
        <v>107</v>
      </c>
      <c r="H1114" s="42">
        <v>20</v>
      </c>
      <c r="I1114" s="47" t="s">
        <v>2129</v>
      </c>
      <c r="J1114" s="47">
        <v>0.5</v>
      </c>
      <c r="K1114" s="47">
        <v>0.2</v>
      </c>
      <c r="L1114" s="48">
        <v>32</v>
      </c>
      <c r="M1114" s="48">
        <v>32</v>
      </c>
      <c r="N1114" s="12" t="s">
        <v>1001</v>
      </c>
      <c r="O1114" s="47"/>
      <c r="P1114" s="47">
        <v>420</v>
      </c>
      <c r="Q1114" s="47">
        <v>60</v>
      </c>
      <c r="R1114" s="47"/>
      <c r="S1114" s="49"/>
      <c r="T1114" s="47">
        <v>120</v>
      </c>
      <c r="U1114" s="47"/>
      <c r="V1114" s="50"/>
      <c r="W1114" s="51"/>
      <c r="X1114" s="29">
        <v>1.4</v>
      </c>
      <c r="Y1114" s="52" t="s">
        <v>61</v>
      </c>
    </row>
    <row r="1115" spans="1:26" s="6" customFormat="1" ht="23.1" customHeight="1" x14ac:dyDescent="0.25">
      <c r="A1115" s="20" t="s">
        <v>329</v>
      </c>
      <c r="B1115" s="42" t="s">
        <v>110</v>
      </c>
      <c r="C1115" s="42">
        <v>103</v>
      </c>
      <c r="D1115" s="42" t="s">
        <v>738</v>
      </c>
      <c r="E1115" s="41" t="s">
        <v>739</v>
      </c>
      <c r="F1115" s="41" t="s">
        <v>739</v>
      </c>
      <c r="G1115" s="42" t="s">
        <v>107</v>
      </c>
      <c r="H1115" s="42">
        <v>15</v>
      </c>
      <c r="I1115" s="47" t="s">
        <v>2142</v>
      </c>
      <c r="J1115" s="47">
        <v>1</v>
      </c>
      <c r="K1115" s="47">
        <v>2</v>
      </c>
      <c r="L1115" s="48">
        <v>32</v>
      </c>
      <c r="M1115" s="48">
        <v>32</v>
      </c>
      <c r="N1115" s="12" t="s">
        <v>1090</v>
      </c>
      <c r="O1115" s="47"/>
      <c r="P1115" s="47">
        <v>480</v>
      </c>
      <c r="Q1115" s="47">
        <v>60</v>
      </c>
      <c r="R1115" s="47"/>
      <c r="S1115" s="49">
        <v>2</v>
      </c>
      <c r="T1115" s="47">
        <v>120</v>
      </c>
      <c r="U1115" s="47"/>
      <c r="V1115" s="50">
        <v>1</v>
      </c>
      <c r="W1115" s="51"/>
      <c r="X1115" s="29">
        <v>20</v>
      </c>
      <c r="Y1115" s="52" t="s">
        <v>61</v>
      </c>
    </row>
    <row r="1116" spans="1:26" s="6" customFormat="1" ht="23.1" customHeight="1" x14ac:dyDescent="0.25">
      <c r="A1116" s="20" t="s">
        <v>329</v>
      </c>
      <c r="B1116" s="42" t="s">
        <v>110</v>
      </c>
      <c r="C1116" s="42">
        <v>101</v>
      </c>
      <c r="D1116" s="42" t="s">
        <v>1099</v>
      </c>
      <c r="E1116" s="41" t="s">
        <v>760</v>
      </c>
      <c r="F1116" s="41" t="e">
        <v>#N/A</v>
      </c>
      <c r="G1116" s="42" t="s">
        <v>300</v>
      </c>
      <c r="H1116" s="42">
        <v>30</v>
      </c>
      <c r="I1116" s="47" t="s">
        <v>2133</v>
      </c>
      <c r="J1116" s="47">
        <v>0.9</v>
      </c>
      <c r="K1116" s="47">
        <v>1.2</v>
      </c>
      <c r="L1116" s="48">
        <v>32</v>
      </c>
      <c r="M1116" s="48">
        <v>32</v>
      </c>
      <c r="N1116" s="12" t="s">
        <v>1120</v>
      </c>
      <c r="O1116" s="47"/>
      <c r="P1116" s="47">
        <v>700</v>
      </c>
      <c r="Q1116" s="47">
        <v>60</v>
      </c>
      <c r="R1116" s="47"/>
      <c r="S1116" s="49"/>
      <c r="T1116" s="47">
        <v>120</v>
      </c>
      <c r="U1116" s="47"/>
      <c r="V1116" s="50"/>
      <c r="W1116" s="51"/>
      <c r="X1116" s="29">
        <v>14</v>
      </c>
      <c r="Y1116" s="52" t="s">
        <v>47</v>
      </c>
    </row>
    <row r="1117" spans="1:26" s="6" customFormat="1" ht="23.1" customHeight="1" x14ac:dyDescent="0.25">
      <c r="A1117" s="20" t="s">
        <v>329</v>
      </c>
      <c r="B1117" s="42" t="s">
        <v>110</v>
      </c>
      <c r="C1117" s="42">
        <v>99</v>
      </c>
      <c r="D1117" s="42" t="s">
        <v>1091</v>
      </c>
      <c r="E1117" s="41" t="s">
        <v>1092</v>
      </c>
      <c r="F1117" s="41" t="s">
        <v>1092</v>
      </c>
      <c r="G1117" s="42" t="s">
        <v>118</v>
      </c>
      <c r="H1117" s="42">
        <v>30</v>
      </c>
      <c r="I1117" s="47" t="s">
        <v>1863</v>
      </c>
      <c r="J1117" s="47">
        <v>4</v>
      </c>
      <c r="K1117" s="47">
        <v>5</v>
      </c>
      <c r="L1117" s="48">
        <v>32</v>
      </c>
      <c r="M1117" s="48">
        <v>32</v>
      </c>
      <c r="N1117" s="12" t="s">
        <v>318</v>
      </c>
      <c r="O1117" s="47"/>
      <c r="P1117" s="47">
        <v>150</v>
      </c>
      <c r="Q1117" s="47">
        <v>60</v>
      </c>
      <c r="R1117" s="47"/>
      <c r="S1117" s="49">
        <v>5</v>
      </c>
      <c r="T1117" s="47">
        <v>120</v>
      </c>
      <c r="U1117" s="47"/>
      <c r="V1117" s="50"/>
      <c r="W1117" s="51"/>
      <c r="X1117" s="29">
        <v>17.5</v>
      </c>
      <c r="Y1117" s="52" t="s">
        <v>29</v>
      </c>
    </row>
    <row r="1118" spans="1:26" s="6" customFormat="1" ht="23.1" customHeight="1" x14ac:dyDescent="0.25">
      <c r="A1118" s="20" t="s">
        <v>329</v>
      </c>
      <c r="B1118" s="42" t="s">
        <v>110</v>
      </c>
      <c r="C1118" s="42">
        <v>20</v>
      </c>
      <c r="D1118" s="42" t="s">
        <v>484</v>
      </c>
      <c r="E1118" s="41" t="s">
        <v>485</v>
      </c>
      <c r="F1118" s="41" t="s">
        <v>485</v>
      </c>
      <c r="G1118" s="42" t="s">
        <v>300</v>
      </c>
      <c r="H1118" s="42">
        <v>25</v>
      </c>
      <c r="I1118" s="47" t="s">
        <v>2140</v>
      </c>
      <c r="J1118" s="47">
        <v>1</v>
      </c>
      <c r="K1118" s="47">
        <v>0.4</v>
      </c>
      <c r="L1118" s="48">
        <v>32</v>
      </c>
      <c r="M1118" s="48">
        <v>32</v>
      </c>
      <c r="N1118" s="12" t="s">
        <v>216</v>
      </c>
      <c r="O1118" s="47"/>
      <c r="P1118" s="47">
        <v>660</v>
      </c>
      <c r="Q1118" s="47">
        <v>60</v>
      </c>
      <c r="R1118" s="47"/>
      <c r="S1118" s="49">
        <v>1</v>
      </c>
      <c r="T1118" s="47">
        <v>180</v>
      </c>
      <c r="U1118" s="47"/>
      <c r="V1118" s="50">
        <v>1</v>
      </c>
      <c r="W1118" s="51"/>
      <c r="X1118" s="29">
        <v>8.4</v>
      </c>
      <c r="Y1118" s="52" t="s">
        <v>64</v>
      </c>
    </row>
    <row r="1119" spans="1:26" s="6" customFormat="1" ht="23.1" customHeight="1" x14ac:dyDescent="0.25">
      <c r="A1119" s="20" t="s">
        <v>329</v>
      </c>
      <c r="B1119" s="42" t="s">
        <v>110</v>
      </c>
      <c r="C1119" s="42">
        <v>83</v>
      </c>
      <c r="D1119" s="42" t="s">
        <v>1095</v>
      </c>
      <c r="E1119" s="41" t="s">
        <v>1096</v>
      </c>
      <c r="F1119" s="41" t="s">
        <v>1096</v>
      </c>
      <c r="G1119" s="42" t="s">
        <v>658</v>
      </c>
      <c r="H1119" s="42">
        <v>30</v>
      </c>
      <c r="I1119" s="47" t="s">
        <v>2131</v>
      </c>
      <c r="J1119" s="47">
        <v>1.3</v>
      </c>
      <c r="K1119" s="47">
        <v>1.5</v>
      </c>
      <c r="L1119" s="48">
        <v>32</v>
      </c>
      <c r="M1119" s="48">
        <v>32</v>
      </c>
      <c r="N1119" s="12" t="s">
        <v>282</v>
      </c>
      <c r="O1119" s="47"/>
      <c r="P1119" s="47">
        <v>570</v>
      </c>
      <c r="Q1119" s="47">
        <v>60</v>
      </c>
      <c r="R1119" s="47"/>
      <c r="S1119" s="49">
        <v>1</v>
      </c>
      <c r="T1119" s="47">
        <v>120</v>
      </c>
      <c r="U1119" s="47"/>
      <c r="V1119" s="50"/>
      <c r="W1119" s="51"/>
      <c r="X1119" s="29">
        <v>15.3</v>
      </c>
      <c r="Y1119" s="52" t="s">
        <v>17</v>
      </c>
    </row>
    <row r="1120" spans="1:26" s="6" customFormat="1" ht="23.1" customHeight="1" x14ac:dyDescent="0.25">
      <c r="A1120" s="20" t="s">
        <v>329</v>
      </c>
      <c r="B1120" s="42" t="s">
        <v>110</v>
      </c>
      <c r="C1120" s="42">
        <v>105</v>
      </c>
      <c r="D1120" s="42" t="s">
        <v>1097</v>
      </c>
      <c r="E1120" s="41" t="s">
        <v>1098</v>
      </c>
      <c r="F1120" s="41" t="s">
        <v>1098</v>
      </c>
      <c r="G1120" s="42" t="s">
        <v>250</v>
      </c>
      <c r="H1120" s="42">
        <v>20</v>
      </c>
      <c r="I1120" s="47" t="s">
        <v>2132</v>
      </c>
      <c r="J1120" s="47">
        <v>0.8</v>
      </c>
      <c r="K1120" s="47">
        <v>0.9</v>
      </c>
      <c r="L1120" s="48">
        <v>32</v>
      </c>
      <c r="M1120" s="48">
        <v>32</v>
      </c>
      <c r="N1120" s="12" t="s">
        <v>292</v>
      </c>
      <c r="O1120" s="47"/>
      <c r="P1120" s="47">
        <v>770</v>
      </c>
      <c r="Q1120" s="47">
        <v>60</v>
      </c>
      <c r="R1120" s="47"/>
      <c r="S1120" s="49">
        <v>1</v>
      </c>
      <c r="T1120" s="47">
        <v>90</v>
      </c>
      <c r="U1120" s="47"/>
      <c r="V1120" s="50"/>
      <c r="W1120" s="51"/>
      <c r="X1120" s="29">
        <v>12.6</v>
      </c>
      <c r="Y1120" s="52" t="s">
        <v>9</v>
      </c>
    </row>
    <row r="1121" spans="1:26" s="6" customFormat="1" ht="23.1" customHeight="1" x14ac:dyDescent="0.25">
      <c r="A1121" s="20" t="s">
        <v>452</v>
      </c>
      <c r="B1121" s="42" t="s">
        <v>110</v>
      </c>
      <c r="C1121" s="42">
        <v>98</v>
      </c>
      <c r="D1121" s="42" t="s">
        <v>481</v>
      </c>
      <c r="E1121" s="41" t="s">
        <v>482</v>
      </c>
      <c r="F1121" s="41" t="s">
        <v>482</v>
      </c>
      <c r="G1121" s="42" t="s">
        <v>118</v>
      </c>
      <c r="H1121" s="42">
        <v>13</v>
      </c>
      <c r="I1121" s="47"/>
      <c r="J1121" s="47">
        <v>1</v>
      </c>
      <c r="K1121" s="47">
        <v>1.1000000000000001</v>
      </c>
      <c r="L1121" s="48">
        <v>32</v>
      </c>
      <c r="M1121" s="48">
        <v>32</v>
      </c>
      <c r="N1121" s="12" t="s">
        <v>1121</v>
      </c>
      <c r="O1121" s="47">
        <v>300</v>
      </c>
      <c r="P1121" s="47"/>
      <c r="Q1121" s="47"/>
      <c r="R1121" s="47">
        <v>60</v>
      </c>
      <c r="S1121" s="49">
        <v>1</v>
      </c>
      <c r="T1121" s="47"/>
      <c r="U1121" s="47"/>
      <c r="V1121" s="50"/>
      <c r="W1121" s="51"/>
      <c r="X1121" s="32">
        <v>6.5</v>
      </c>
      <c r="Y1121" s="52" t="s">
        <v>39</v>
      </c>
    </row>
    <row r="1122" spans="1:26" s="6" customFormat="1" ht="23.1" customHeight="1" x14ac:dyDescent="0.25">
      <c r="A1122" s="20" t="s">
        <v>452</v>
      </c>
      <c r="B1122" s="42" t="s">
        <v>110</v>
      </c>
      <c r="C1122" s="42">
        <v>98</v>
      </c>
      <c r="D1122" s="42" t="s">
        <v>481</v>
      </c>
      <c r="E1122" s="41" t="s">
        <v>482</v>
      </c>
      <c r="F1122" s="41" t="s">
        <v>482</v>
      </c>
      <c r="G1122" s="42" t="s">
        <v>118</v>
      </c>
      <c r="H1122" s="42">
        <v>15</v>
      </c>
      <c r="I1122" s="47" t="s">
        <v>2144</v>
      </c>
      <c r="J1122" s="47">
        <v>0.5</v>
      </c>
      <c r="K1122" s="47">
        <v>0.4</v>
      </c>
      <c r="L1122" s="48">
        <v>32</v>
      </c>
      <c r="M1122" s="48">
        <v>32</v>
      </c>
      <c r="N1122" s="12" t="s">
        <v>722</v>
      </c>
      <c r="O1122" s="47"/>
      <c r="P1122" s="47">
        <v>720</v>
      </c>
      <c r="Q1122" s="47">
        <v>60</v>
      </c>
      <c r="R1122" s="47"/>
      <c r="S1122" s="49">
        <v>1</v>
      </c>
      <c r="T1122" s="47">
        <v>120</v>
      </c>
      <c r="U1122" s="47"/>
      <c r="V1122" s="50">
        <v>1</v>
      </c>
      <c r="W1122" s="51"/>
      <c r="X1122" s="29">
        <v>7.8</v>
      </c>
      <c r="Y1122" s="52" t="s">
        <v>39</v>
      </c>
    </row>
    <row r="1123" spans="1:26" s="6" customFormat="1" ht="23.1" customHeight="1" x14ac:dyDescent="0.25">
      <c r="A1123" s="20" t="s">
        <v>452</v>
      </c>
      <c r="B1123" s="42" t="s">
        <v>110</v>
      </c>
      <c r="C1123" s="42">
        <v>99</v>
      </c>
      <c r="D1123" s="42" t="s">
        <v>1091</v>
      </c>
      <c r="E1123" s="41" t="s">
        <v>1092</v>
      </c>
      <c r="F1123" s="41" t="s">
        <v>1092</v>
      </c>
      <c r="G1123" s="42" t="s">
        <v>118</v>
      </c>
      <c r="H1123" s="42">
        <v>35</v>
      </c>
      <c r="I1123" s="47" t="s">
        <v>2141</v>
      </c>
      <c r="J1123" s="47">
        <v>0.5</v>
      </c>
      <c r="K1123" s="47">
        <v>0.1</v>
      </c>
      <c r="L1123" s="48">
        <v>32</v>
      </c>
      <c r="M1123" s="48">
        <v>32</v>
      </c>
      <c r="N1123" s="12" t="s">
        <v>842</v>
      </c>
      <c r="O1123" s="47"/>
      <c r="P1123" s="47">
        <v>480</v>
      </c>
      <c r="Q1123" s="47">
        <v>60</v>
      </c>
      <c r="R1123" s="47"/>
      <c r="S1123" s="49"/>
      <c r="T1123" s="47">
        <v>120</v>
      </c>
      <c r="U1123" s="47"/>
      <c r="V1123" s="50"/>
      <c r="W1123" s="51"/>
      <c r="X1123" s="29">
        <v>0.8</v>
      </c>
      <c r="Y1123" s="52" t="s">
        <v>29</v>
      </c>
    </row>
    <row r="1124" spans="1:26" s="6" customFormat="1" ht="23.1" customHeight="1" x14ac:dyDescent="0.25">
      <c r="A1124" s="20" t="s">
        <v>452</v>
      </c>
      <c r="B1124" s="42" t="s">
        <v>110</v>
      </c>
      <c r="C1124" s="42">
        <v>99</v>
      </c>
      <c r="D1124" s="42" t="s">
        <v>1091</v>
      </c>
      <c r="E1124" s="41" t="s">
        <v>1092</v>
      </c>
      <c r="F1124" s="41" t="s">
        <v>1092</v>
      </c>
      <c r="G1124" s="42" t="s">
        <v>118</v>
      </c>
      <c r="H1124" s="42">
        <v>40</v>
      </c>
      <c r="I1124" s="47" t="s">
        <v>2145</v>
      </c>
      <c r="J1124" s="47">
        <v>1</v>
      </c>
      <c r="K1124" s="47">
        <v>1</v>
      </c>
      <c r="L1124" s="48">
        <v>32</v>
      </c>
      <c r="M1124" s="48">
        <v>32</v>
      </c>
      <c r="N1124" s="12" t="s">
        <v>842</v>
      </c>
      <c r="O1124" s="47"/>
      <c r="P1124" s="47">
        <v>390</v>
      </c>
      <c r="Q1124" s="47">
        <v>60</v>
      </c>
      <c r="R1124" s="47"/>
      <c r="S1124" s="49">
        <v>1</v>
      </c>
      <c r="T1124" s="47">
        <v>120</v>
      </c>
      <c r="U1124" s="47"/>
      <c r="V1124" s="50">
        <v>1</v>
      </c>
      <c r="W1124" s="51">
        <v>2</v>
      </c>
      <c r="X1124" s="29">
        <v>11.5</v>
      </c>
      <c r="Y1124" s="52" t="s">
        <v>29</v>
      </c>
      <c r="Z1124" s="6" t="s">
        <v>941</v>
      </c>
    </row>
    <row r="1125" spans="1:26" s="6" customFormat="1" ht="23.1" customHeight="1" x14ac:dyDescent="0.25">
      <c r="A1125" s="20" t="s">
        <v>452</v>
      </c>
      <c r="B1125" s="42" t="s">
        <v>110</v>
      </c>
      <c r="C1125" s="42">
        <v>101</v>
      </c>
      <c r="D1125" s="42" t="s">
        <v>1099</v>
      </c>
      <c r="E1125" s="41" t="s">
        <v>760</v>
      </c>
      <c r="F1125" s="41" t="e">
        <v>#N/A</v>
      </c>
      <c r="G1125" s="42" t="s">
        <v>300</v>
      </c>
      <c r="H1125" s="42">
        <v>30</v>
      </c>
      <c r="I1125" s="47" t="s">
        <v>2133</v>
      </c>
      <c r="J1125" s="47">
        <v>0.9</v>
      </c>
      <c r="K1125" s="47">
        <v>1</v>
      </c>
      <c r="L1125" s="48">
        <v>32</v>
      </c>
      <c r="M1125" s="48">
        <v>32</v>
      </c>
      <c r="N1125" s="12" t="s">
        <v>1119</v>
      </c>
      <c r="O1125" s="47"/>
      <c r="P1125" s="47">
        <v>700</v>
      </c>
      <c r="Q1125" s="47">
        <v>60</v>
      </c>
      <c r="R1125" s="47"/>
      <c r="S1125" s="49">
        <v>1</v>
      </c>
      <c r="T1125" s="47">
        <v>120</v>
      </c>
      <c r="U1125" s="47"/>
      <c r="V1125" s="50"/>
      <c r="W1125" s="51"/>
      <c r="X1125" s="29">
        <v>12.7</v>
      </c>
      <c r="Y1125" s="52" t="s">
        <v>47</v>
      </c>
    </row>
    <row r="1126" spans="1:26" s="6" customFormat="1" ht="23.1" customHeight="1" x14ac:dyDescent="0.25">
      <c r="A1126" s="20" t="s">
        <v>452</v>
      </c>
      <c r="B1126" s="42" t="s">
        <v>110</v>
      </c>
      <c r="C1126" s="42">
        <v>103</v>
      </c>
      <c r="D1126" s="42" t="s">
        <v>738</v>
      </c>
      <c r="E1126" s="41" t="s">
        <v>739</v>
      </c>
      <c r="F1126" s="41" t="s">
        <v>739</v>
      </c>
      <c r="G1126" s="42" t="s">
        <v>107</v>
      </c>
      <c r="H1126" s="42">
        <v>20</v>
      </c>
      <c r="I1126" s="47" t="s">
        <v>2129</v>
      </c>
      <c r="J1126" s="47">
        <v>1.5</v>
      </c>
      <c r="K1126" s="47">
        <v>2</v>
      </c>
      <c r="L1126" s="48">
        <v>32</v>
      </c>
      <c r="M1126" s="48">
        <v>32</v>
      </c>
      <c r="N1126" s="12" t="s">
        <v>1106</v>
      </c>
      <c r="O1126" s="47"/>
      <c r="P1126" s="47">
        <v>420</v>
      </c>
      <c r="Q1126" s="47">
        <v>60</v>
      </c>
      <c r="R1126" s="47"/>
      <c r="S1126" s="49">
        <v>2</v>
      </c>
      <c r="T1126" s="47">
        <v>120</v>
      </c>
      <c r="U1126" s="47"/>
      <c r="V1126" s="50">
        <v>1</v>
      </c>
      <c r="W1126" s="51"/>
      <c r="X1126" s="29">
        <v>18</v>
      </c>
      <c r="Y1126" s="52" t="s">
        <v>61</v>
      </c>
    </row>
    <row r="1127" spans="1:26" s="6" customFormat="1" ht="23.1" customHeight="1" x14ac:dyDescent="0.25">
      <c r="A1127" s="20" t="s">
        <v>452</v>
      </c>
      <c r="B1127" s="42" t="s">
        <v>110</v>
      </c>
      <c r="C1127" s="42">
        <v>105</v>
      </c>
      <c r="D1127" s="42" t="s">
        <v>1097</v>
      </c>
      <c r="E1127" s="41" t="s">
        <v>1098</v>
      </c>
      <c r="F1127" s="41" t="s">
        <v>1098</v>
      </c>
      <c r="G1127" s="42" t="s">
        <v>250</v>
      </c>
      <c r="H1127" s="42">
        <v>20</v>
      </c>
      <c r="I1127" s="47" t="s">
        <v>2132</v>
      </c>
      <c r="J1127" s="47">
        <v>0.8</v>
      </c>
      <c r="K1127" s="47">
        <v>1.1000000000000001</v>
      </c>
      <c r="L1127" s="48">
        <v>32</v>
      </c>
      <c r="M1127" s="48">
        <v>32</v>
      </c>
      <c r="N1127" s="12" t="s">
        <v>292</v>
      </c>
      <c r="O1127" s="47"/>
      <c r="P1127" s="47">
        <v>770</v>
      </c>
      <c r="Q1127" s="47">
        <v>60</v>
      </c>
      <c r="R1127" s="47"/>
      <c r="S1127" s="49">
        <v>1</v>
      </c>
      <c r="T1127" s="47">
        <v>90</v>
      </c>
      <c r="U1127" s="47"/>
      <c r="V1127" s="50"/>
      <c r="W1127" s="51"/>
      <c r="X1127" s="29">
        <v>15.1</v>
      </c>
      <c r="Y1127" s="52" t="s">
        <v>9</v>
      </c>
    </row>
    <row r="1128" spans="1:26" s="6" customFormat="1" ht="23.1" customHeight="1" x14ac:dyDescent="0.25">
      <c r="A1128" s="20" t="s">
        <v>452</v>
      </c>
      <c r="B1128" s="42" t="s">
        <v>110</v>
      </c>
      <c r="C1128" s="42">
        <v>83</v>
      </c>
      <c r="D1128" s="42" t="s">
        <v>1095</v>
      </c>
      <c r="E1128" s="41" t="s">
        <v>1096</v>
      </c>
      <c r="F1128" s="41" t="s">
        <v>1096</v>
      </c>
      <c r="G1128" s="42" t="s">
        <v>658</v>
      </c>
      <c r="H1128" s="42">
        <v>35</v>
      </c>
      <c r="I1128" s="47" t="s">
        <v>2139</v>
      </c>
      <c r="J1128" s="47">
        <v>1.3</v>
      </c>
      <c r="K1128" s="47">
        <v>1.5</v>
      </c>
      <c r="L1128" s="48">
        <v>32</v>
      </c>
      <c r="M1128" s="48">
        <v>32</v>
      </c>
      <c r="N1128" s="12" t="s">
        <v>282</v>
      </c>
      <c r="O1128" s="47"/>
      <c r="P1128" s="47">
        <v>600</v>
      </c>
      <c r="Q1128" s="47">
        <v>60</v>
      </c>
      <c r="R1128" s="47"/>
      <c r="S1128" s="49">
        <v>1</v>
      </c>
      <c r="T1128" s="47">
        <v>120</v>
      </c>
      <c r="U1128" s="47"/>
      <c r="V1128" s="50"/>
      <c r="W1128" s="51"/>
      <c r="X1128" s="29">
        <v>16</v>
      </c>
      <c r="Y1128" s="52" t="s">
        <v>17</v>
      </c>
    </row>
    <row r="1129" spans="1:26" s="6" customFormat="1" ht="23.1" customHeight="1" x14ac:dyDescent="0.25">
      <c r="A1129" s="20" t="s">
        <v>452</v>
      </c>
      <c r="B1129" s="42" t="s">
        <v>110</v>
      </c>
      <c r="C1129" s="42">
        <v>20</v>
      </c>
      <c r="D1129" s="42" t="s">
        <v>484</v>
      </c>
      <c r="E1129" s="41" t="s">
        <v>485</v>
      </c>
      <c r="F1129" s="41" t="s">
        <v>485</v>
      </c>
      <c r="G1129" s="42" t="s">
        <v>300</v>
      </c>
      <c r="H1129" s="42">
        <v>10</v>
      </c>
      <c r="I1129" s="47" t="s">
        <v>2136</v>
      </c>
      <c r="J1129" s="47">
        <v>2</v>
      </c>
      <c r="K1129" s="47">
        <v>1.1000000000000001</v>
      </c>
      <c r="L1129" s="48">
        <v>32</v>
      </c>
      <c r="M1129" s="48">
        <v>32</v>
      </c>
      <c r="N1129" s="12" t="s">
        <v>247</v>
      </c>
      <c r="O1129" s="47"/>
      <c r="P1129" s="47">
        <v>180</v>
      </c>
      <c r="Q1129" s="47">
        <v>60</v>
      </c>
      <c r="R1129" s="47"/>
      <c r="S1129" s="49">
        <v>1</v>
      </c>
      <c r="T1129" s="47">
        <v>90</v>
      </c>
      <c r="U1129" s="47"/>
      <c r="V1129" s="50"/>
      <c r="W1129" s="51"/>
      <c r="X1129" s="29">
        <v>4.3</v>
      </c>
      <c r="Y1129" s="52" t="s">
        <v>64</v>
      </c>
    </row>
    <row r="1130" spans="1:26" s="6" customFormat="1" ht="23.1" customHeight="1" x14ac:dyDescent="0.25">
      <c r="A1130" s="20" t="s">
        <v>452</v>
      </c>
      <c r="B1130" s="42" t="s">
        <v>110</v>
      </c>
      <c r="C1130" s="42">
        <v>20</v>
      </c>
      <c r="D1130" s="42" t="s">
        <v>298</v>
      </c>
      <c r="E1130" s="41" t="s">
        <v>299</v>
      </c>
      <c r="F1130" s="41" t="s">
        <v>299</v>
      </c>
      <c r="G1130" s="42" t="s">
        <v>300</v>
      </c>
      <c r="H1130" s="42">
        <v>10</v>
      </c>
      <c r="I1130" s="47" t="s">
        <v>2136</v>
      </c>
      <c r="J1130" s="47">
        <v>1</v>
      </c>
      <c r="K1130" s="47">
        <v>3</v>
      </c>
      <c r="L1130" s="48">
        <v>32</v>
      </c>
      <c r="M1130" s="48">
        <v>32</v>
      </c>
      <c r="N1130" s="12" t="s">
        <v>319</v>
      </c>
      <c r="O1130" s="47"/>
      <c r="P1130" s="47">
        <v>180</v>
      </c>
      <c r="Q1130" s="47">
        <v>60</v>
      </c>
      <c r="R1130" s="47"/>
      <c r="S1130" s="49">
        <v>3</v>
      </c>
      <c r="T1130" s="47">
        <v>90</v>
      </c>
      <c r="U1130" s="47"/>
      <c r="V1130" s="50">
        <v>1</v>
      </c>
      <c r="W1130" s="51"/>
      <c r="X1130" s="29">
        <v>13.5</v>
      </c>
      <c r="Y1130" s="52" t="s">
        <v>64</v>
      </c>
    </row>
    <row r="1131" spans="1:26" s="6" customFormat="1" ht="23.1" customHeight="1" x14ac:dyDescent="0.25">
      <c r="A1131" s="20" t="s">
        <v>452</v>
      </c>
      <c r="B1131" s="42" t="s">
        <v>113</v>
      </c>
      <c r="C1131" s="42">
        <v>102</v>
      </c>
      <c r="D1131" s="42" t="s">
        <v>1067</v>
      </c>
      <c r="E1131" s="41" t="s">
        <v>1068</v>
      </c>
      <c r="F1131" s="41" t="s">
        <v>1068</v>
      </c>
      <c r="G1131" s="42" t="s">
        <v>323</v>
      </c>
      <c r="H1131" s="42">
        <v>40</v>
      </c>
      <c r="I1131" s="47" t="s">
        <v>2122</v>
      </c>
      <c r="J1131" s="47">
        <v>0.8</v>
      </c>
      <c r="K1131" s="47">
        <v>1</v>
      </c>
      <c r="L1131" s="48">
        <v>25</v>
      </c>
      <c r="M1131" s="48">
        <v>25</v>
      </c>
      <c r="N1131" s="12" t="s">
        <v>1122</v>
      </c>
      <c r="O1131" s="47"/>
      <c r="P1131" s="47">
        <v>90</v>
      </c>
      <c r="Q1131" s="47">
        <v>60</v>
      </c>
      <c r="R1131" s="47"/>
      <c r="S1131" s="49">
        <v>1</v>
      </c>
      <c r="T1131" s="47">
        <v>120</v>
      </c>
      <c r="U1131" s="47"/>
      <c r="V1131" s="50"/>
      <c r="W1131" s="51"/>
      <c r="X1131" s="29">
        <v>2.5</v>
      </c>
      <c r="Y1131" s="52" t="s">
        <v>67</v>
      </c>
      <c r="Z1131" s="6" t="s">
        <v>1123</v>
      </c>
    </row>
    <row r="1132" spans="1:26" s="6" customFormat="1" ht="23.1" customHeight="1" x14ac:dyDescent="0.25">
      <c r="A1132" s="20" t="s">
        <v>452</v>
      </c>
      <c r="B1132" s="42" t="s">
        <v>113</v>
      </c>
      <c r="C1132" s="42">
        <v>101</v>
      </c>
      <c r="D1132" s="42" t="s">
        <v>1099</v>
      </c>
      <c r="E1132" s="41" t="s">
        <v>760</v>
      </c>
      <c r="F1132" s="41" t="e">
        <v>#N/A</v>
      </c>
      <c r="G1132" s="42" t="s">
        <v>300</v>
      </c>
      <c r="H1132" s="42">
        <v>32</v>
      </c>
      <c r="I1132" s="47"/>
      <c r="J1132" s="47">
        <v>5</v>
      </c>
      <c r="K1132" s="47">
        <v>4</v>
      </c>
      <c r="L1132" s="48">
        <v>25</v>
      </c>
      <c r="M1132" s="48">
        <v>25</v>
      </c>
      <c r="N1132" s="12" t="s">
        <v>773</v>
      </c>
      <c r="O1132" s="47">
        <v>150</v>
      </c>
      <c r="P1132" s="47"/>
      <c r="Q1132" s="47"/>
      <c r="R1132" s="47">
        <v>60</v>
      </c>
      <c r="S1132" s="49">
        <v>4</v>
      </c>
      <c r="T1132" s="47">
        <v>120</v>
      </c>
      <c r="U1132" s="47"/>
      <c r="V1132" s="50">
        <v>1</v>
      </c>
      <c r="W1132" s="51">
        <v>2</v>
      </c>
      <c r="X1132" s="32">
        <v>16</v>
      </c>
      <c r="Y1132" s="52" t="s">
        <v>67</v>
      </c>
      <c r="Z1132" s="6" t="s">
        <v>1124</v>
      </c>
    </row>
    <row r="1133" spans="1:26" s="6" customFormat="1" ht="23.1" customHeight="1" x14ac:dyDescent="0.25">
      <c r="A1133" s="20" t="s">
        <v>452</v>
      </c>
      <c r="B1133" s="42" t="s">
        <v>113</v>
      </c>
      <c r="C1133" s="42">
        <v>101</v>
      </c>
      <c r="D1133" s="42" t="s">
        <v>1099</v>
      </c>
      <c r="E1133" s="41" t="s">
        <v>760</v>
      </c>
      <c r="F1133" s="41" t="e">
        <v>#N/A</v>
      </c>
      <c r="G1133" s="42" t="s">
        <v>300</v>
      </c>
      <c r="H1133" s="42">
        <v>30</v>
      </c>
      <c r="I1133" s="47" t="s">
        <v>2133</v>
      </c>
      <c r="J1133" s="47"/>
      <c r="K1133" s="47">
        <v>0.4</v>
      </c>
      <c r="L1133" s="48">
        <v>25</v>
      </c>
      <c r="M1133" s="48">
        <v>25</v>
      </c>
      <c r="N1133" s="12" t="s">
        <v>1125</v>
      </c>
      <c r="O1133" s="47"/>
      <c r="P1133" s="47">
        <v>700</v>
      </c>
      <c r="Q1133" s="47">
        <v>60</v>
      </c>
      <c r="R1133" s="47"/>
      <c r="S1133" s="49"/>
      <c r="T1133" s="47">
        <v>120</v>
      </c>
      <c r="U1133" s="47"/>
      <c r="V1133" s="50"/>
      <c r="W1133" s="51"/>
      <c r="X1133" s="29">
        <v>4.7</v>
      </c>
      <c r="Y1133" s="52" t="s">
        <v>67</v>
      </c>
    </row>
    <row r="1134" spans="1:26" s="6" customFormat="1" ht="23.1" customHeight="1" x14ac:dyDescent="0.25">
      <c r="A1134" s="20" t="s">
        <v>452</v>
      </c>
      <c r="B1134" s="42" t="s">
        <v>113</v>
      </c>
      <c r="C1134" s="42">
        <v>100</v>
      </c>
      <c r="D1134" s="42" t="s">
        <v>643</v>
      </c>
      <c r="E1134" s="41" t="s">
        <v>644</v>
      </c>
      <c r="F1134" s="41" t="s">
        <v>644</v>
      </c>
      <c r="G1134" s="42" t="s">
        <v>154</v>
      </c>
      <c r="H1134" s="42">
        <v>40</v>
      </c>
      <c r="I1134" s="47" t="s">
        <v>2120</v>
      </c>
      <c r="J1134" s="47">
        <v>0.25</v>
      </c>
      <c r="K1134" s="47">
        <v>0.25</v>
      </c>
      <c r="L1134" s="48">
        <v>25</v>
      </c>
      <c r="M1134" s="48">
        <v>25</v>
      </c>
      <c r="N1134" s="12" t="s">
        <v>399</v>
      </c>
      <c r="O1134" s="47"/>
      <c r="P1134" s="47">
        <v>2640</v>
      </c>
      <c r="Q1134" s="47">
        <v>90</v>
      </c>
      <c r="R1134" s="47"/>
      <c r="S1134" s="49"/>
      <c r="T1134" s="47">
        <v>180</v>
      </c>
      <c r="U1134" s="47"/>
      <c r="V1134" s="50"/>
      <c r="W1134" s="51"/>
      <c r="X1134" s="29">
        <v>11</v>
      </c>
      <c r="Y1134" s="52" t="s">
        <v>67</v>
      </c>
    </row>
    <row r="1135" spans="1:26" s="6" customFormat="1" ht="23.1" customHeight="1" x14ac:dyDescent="0.25">
      <c r="A1135" s="20" t="s">
        <v>452</v>
      </c>
      <c r="B1135" s="42" t="s">
        <v>113</v>
      </c>
      <c r="C1135" s="42">
        <v>97</v>
      </c>
      <c r="D1135" s="42" t="s">
        <v>1076</v>
      </c>
      <c r="E1135" s="41" t="s">
        <v>1065</v>
      </c>
      <c r="F1135" s="41" t="s">
        <v>1065</v>
      </c>
      <c r="G1135" s="42" t="s">
        <v>250</v>
      </c>
      <c r="H1135" s="42">
        <v>50</v>
      </c>
      <c r="I1135" s="47" t="s">
        <v>2118</v>
      </c>
      <c r="J1135" s="47">
        <v>1</v>
      </c>
      <c r="K1135" s="47">
        <v>1.7</v>
      </c>
      <c r="L1135" s="48">
        <v>25</v>
      </c>
      <c r="M1135" s="48">
        <v>25</v>
      </c>
      <c r="N1135" s="12" t="s">
        <v>1077</v>
      </c>
      <c r="O1135" s="47"/>
      <c r="P1135" s="47">
        <v>420</v>
      </c>
      <c r="Q1135" s="47">
        <v>60</v>
      </c>
      <c r="R1135" s="47"/>
      <c r="S1135" s="49">
        <v>2</v>
      </c>
      <c r="T1135" s="47">
        <v>90</v>
      </c>
      <c r="U1135" s="47"/>
      <c r="V1135" s="50"/>
      <c r="W1135" s="51"/>
      <c r="X1135" s="29">
        <v>13.9</v>
      </c>
      <c r="Y1135" s="52" t="s">
        <v>67</v>
      </c>
    </row>
    <row r="1136" spans="1:26" s="6" customFormat="1" ht="23.1" customHeight="1" x14ac:dyDescent="0.25">
      <c r="A1136" s="20" t="s">
        <v>452</v>
      </c>
      <c r="B1136" s="42" t="s">
        <v>113</v>
      </c>
      <c r="C1136" s="42">
        <v>97</v>
      </c>
      <c r="D1136" s="42" t="s">
        <v>1076</v>
      </c>
      <c r="E1136" s="41" t="s">
        <v>1065</v>
      </c>
      <c r="F1136" s="41" t="s">
        <v>1065</v>
      </c>
      <c r="G1136" s="42" t="s">
        <v>250</v>
      </c>
      <c r="H1136" s="42">
        <v>55</v>
      </c>
      <c r="I1136" s="47" t="s">
        <v>2119</v>
      </c>
      <c r="J1136" s="47">
        <v>1</v>
      </c>
      <c r="K1136" s="47">
        <v>2</v>
      </c>
      <c r="L1136" s="48">
        <v>25</v>
      </c>
      <c r="M1136" s="48">
        <v>25</v>
      </c>
      <c r="N1136" s="12" t="s">
        <v>1077</v>
      </c>
      <c r="O1136" s="47"/>
      <c r="P1136" s="47">
        <v>60</v>
      </c>
      <c r="Q1136" s="47">
        <v>60</v>
      </c>
      <c r="R1136" s="47"/>
      <c r="S1136" s="49">
        <v>2</v>
      </c>
      <c r="T1136" s="47">
        <v>60</v>
      </c>
      <c r="U1136" s="47"/>
      <c r="V1136" s="50"/>
      <c r="W1136" s="51"/>
      <c r="X1136" s="29">
        <v>4</v>
      </c>
      <c r="Y1136" s="52" t="s">
        <v>67</v>
      </c>
    </row>
    <row r="1137" spans="1:26" s="6" customFormat="1" ht="23.1" customHeight="1" x14ac:dyDescent="0.25">
      <c r="A1137" s="20" t="s">
        <v>452</v>
      </c>
      <c r="B1137" s="42" t="s">
        <v>113</v>
      </c>
      <c r="C1137" s="42">
        <v>83</v>
      </c>
      <c r="D1137" s="42" t="s">
        <v>1095</v>
      </c>
      <c r="E1137" s="41" t="s">
        <v>1096</v>
      </c>
      <c r="F1137" s="41" t="s">
        <v>1096</v>
      </c>
      <c r="G1137" s="42" t="s">
        <v>658</v>
      </c>
      <c r="H1137" s="42">
        <v>35</v>
      </c>
      <c r="I1137" s="47" t="s">
        <v>2139</v>
      </c>
      <c r="J1137" s="47">
        <v>1.5</v>
      </c>
      <c r="K1137" s="47">
        <v>1.7</v>
      </c>
      <c r="L1137" s="48">
        <v>25</v>
      </c>
      <c r="M1137" s="48">
        <v>25</v>
      </c>
      <c r="N1137" s="12" t="s">
        <v>282</v>
      </c>
      <c r="O1137" s="47"/>
      <c r="P1137" s="47">
        <v>600</v>
      </c>
      <c r="Q1137" s="47">
        <v>60</v>
      </c>
      <c r="R1137" s="47"/>
      <c r="S1137" s="49">
        <v>2</v>
      </c>
      <c r="T1137" s="47">
        <v>120</v>
      </c>
      <c r="U1137" s="47"/>
      <c r="V1137" s="50"/>
      <c r="W1137" s="51"/>
      <c r="X1137" s="29">
        <v>19</v>
      </c>
      <c r="Y1137" s="52" t="s">
        <v>67</v>
      </c>
    </row>
    <row r="1138" spans="1:26" s="6" customFormat="1" ht="23.1" customHeight="1" x14ac:dyDescent="0.25">
      <c r="A1138" s="20" t="s">
        <v>452</v>
      </c>
      <c r="B1138" s="42" t="s">
        <v>113</v>
      </c>
      <c r="C1138" s="42">
        <v>20</v>
      </c>
      <c r="D1138" s="42" t="s">
        <v>484</v>
      </c>
      <c r="E1138" s="41" t="s">
        <v>485</v>
      </c>
      <c r="F1138" s="41" t="s">
        <v>485</v>
      </c>
      <c r="G1138" s="42" t="s">
        <v>300</v>
      </c>
      <c r="H1138" s="42">
        <v>15</v>
      </c>
      <c r="I1138" s="47" t="s">
        <v>2134</v>
      </c>
      <c r="J1138" s="47"/>
      <c r="K1138" s="47">
        <v>1</v>
      </c>
      <c r="L1138" s="48">
        <v>25</v>
      </c>
      <c r="M1138" s="48">
        <v>25</v>
      </c>
      <c r="N1138" s="12" t="s">
        <v>247</v>
      </c>
      <c r="O1138" s="47"/>
      <c r="P1138" s="47">
        <v>120</v>
      </c>
      <c r="Q1138" s="47">
        <v>60</v>
      </c>
      <c r="R1138" s="47"/>
      <c r="S1138" s="49">
        <v>1</v>
      </c>
      <c r="T1138" s="47">
        <v>90</v>
      </c>
      <c r="U1138" s="47"/>
      <c r="V1138" s="50">
        <v>1</v>
      </c>
      <c r="W1138" s="51">
        <v>3</v>
      </c>
      <c r="X1138" s="29">
        <v>7.5</v>
      </c>
      <c r="Y1138" s="52" t="s">
        <v>67</v>
      </c>
      <c r="Z1138" s="6" t="s">
        <v>1078</v>
      </c>
    </row>
    <row r="1139" spans="1:26" s="6" customFormat="1" ht="23.1" customHeight="1" x14ac:dyDescent="0.25">
      <c r="A1139" s="20" t="s">
        <v>452</v>
      </c>
      <c r="B1139" s="42" t="s">
        <v>113</v>
      </c>
      <c r="C1139" s="42">
        <v>20</v>
      </c>
      <c r="D1139" s="42" t="s">
        <v>484</v>
      </c>
      <c r="E1139" s="41" t="s">
        <v>485</v>
      </c>
      <c r="F1139" s="41" t="s">
        <v>485</v>
      </c>
      <c r="G1139" s="42" t="s">
        <v>300</v>
      </c>
      <c r="H1139" s="42">
        <v>20</v>
      </c>
      <c r="I1139" s="47" t="s">
        <v>2135</v>
      </c>
      <c r="J1139" s="47"/>
      <c r="K1139" s="47">
        <v>0.3</v>
      </c>
      <c r="L1139" s="48">
        <v>25</v>
      </c>
      <c r="M1139" s="48">
        <v>25</v>
      </c>
      <c r="N1139" s="12" t="s">
        <v>247</v>
      </c>
      <c r="O1139" s="47"/>
      <c r="P1139" s="47">
        <v>420</v>
      </c>
      <c r="Q1139" s="47">
        <v>60</v>
      </c>
      <c r="R1139" s="47"/>
      <c r="S1139" s="49">
        <v>1</v>
      </c>
      <c r="T1139" s="47">
        <v>90</v>
      </c>
      <c r="U1139" s="47"/>
      <c r="V1139" s="50">
        <v>1</v>
      </c>
      <c r="W1139" s="51"/>
      <c r="X1139" s="29">
        <v>4.5999999999999996</v>
      </c>
      <c r="Y1139" s="52" t="s">
        <v>67</v>
      </c>
    </row>
    <row r="1140" spans="1:26" s="6" customFormat="1" ht="23.1" customHeight="1" x14ac:dyDescent="0.25">
      <c r="A1140" s="20" t="s">
        <v>452</v>
      </c>
      <c r="B1140" s="42" t="s">
        <v>113</v>
      </c>
      <c r="C1140" s="42">
        <v>98</v>
      </c>
      <c r="D1140" s="42" t="s">
        <v>481</v>
      </c>
      <c r="E1140" s="41" t="s">
        <v>482</v>
      </c>
      <c r="F1140" s="41" t="s">
        <v>482</v>
      </c>
      <c r="G1140" s="42" t="s">
        <v>118</v>
      </c>
      <c r="H1140" s="42">
        <v>15</v>
      </c>
      <c r="I1140" s="47" t="s">
        <v>2144</v>
      </c>
      <c r="J1140" s="47">
        <v>0.8</v>
      </c>
      <c r="K1140" s="47">
        <v>1.1000000000000001</v>
      </c>
      <c r="L1140" s="48">
        <v>25</v>
      </c>
      <c r="M1140" s="48">
        <v>25</v>
      </c>
      <c r="N1140" s="12" t="s">
        <v>1126</v>
      </c>
      <c r="O1140" s="47"/>
      <c r="P1140" s="47">
        <v>720</v>
      </c>
      <c r="Q1140" s="47">
        <v>60</v>
      </c>
      <c r="R1140" s="47"/>
      <c r="S1140" s="49">
        <v>1</v>
      </c>
      <c r="T1140" s="47">
        <v>120</v>
      </c>
      <c r="U1140" s="47"/>
      <c r="V1140" s="50"/>
      <c r="W1140" s="51"/>
      <c r="X1140" s="29">
        <v>14.2</v>
      </c>
      <c r="Y1140" s="52" t="s">
        <v>1</v>
      </c>
    </row>
    <row r="1141" spans="1:26" s="6" customFormat="1" ht="23.1" customHeight="1" x14ac:dyDescent="0.25">
      <c r="A1141" s="20" t="s">
        <v>452</v>
      </c>
      <c r="B1141" s="42" t="s">
        <v>113</v>
      </c>
      <c r="C1141" s="42">
        <v>103</v>
      </c>
      <c r="D1141" s="42" t="s">
        <v>738</v>
      </c>
      <c r="E1141" s="41" t="s">
        <v>739</v>
      </c>
      <c r="F1141" s="41" t="s">
        <v>739</v>
      </c>
      <c r="G1141" s="42" t="s">
        <v>107</v>
      </c>
      <c r="H1141" s="42">
        <v>20</v>
      </c>
      <c r="I1141" s="47" t="s">
        <v>2129</v>
      </c>
      <c r="J1141" s="47">
        <v>2</v>
      </c>
      <c r="K1141" s="47">
        <v>2</v>
      </c>
      <c r="L1141" s="48">
        <v>25</v>
      </c>
      <c r="M1141" s="48">
        <v>25</v>
      </c>
      <c r="N1141" s="12" t="s">
        <v>1090</v>
      </c>
      <c r="O1141" s="47"/>
      <c r="P1141" s="47">
        <v>420</v>
      </c>
      <c r="Q1141" s="47">
        <v>60</v>
      </c>
      <c r="R1141" s="47"/>
      <c r="S1141" s="49">
        <v>2</v>
      </c>
      <c r="T1141" s="47">
        <v>120</v>
      </c>
      <c r="U1141" s="47"/>
      <c r="V1141" s="50"/>
      <c r="W1141" s="51"/>
      <c r="X1141" s="29">
        <v>16</v>
      </c>
      <c r="Y1141" s="52" t="s">
        <v>62</v>
      </c>
    </row>
    <row r="1142" spans="1:26" s="6" customFormat="1" ht="23.1" customHeight="1" x14ac:dyDescent="0.25">
      <c r="A1142" s="20" t="s">
        <v>452</v>
      </c>
      <c r="B1142" s="42" t="s">
        <v>113</v>
      </c>
      <c r="C1142" s="42">
        <v>105</v>
      </c>
      <c r="D1142" s="42" t="s">
        <v>1097</v>
      </c>
      <c r="E1142" s="41" t="s">
        <v>1098</v>
      </c>
      <c r="F1142" s="41" t="s">
        <v>1098</v>
      </c>
      <c r="G1142" s="42" t="s">
        <v>250</v>
      </c>
      <c r="H1142" s="42">
        <v>20</v>
      </c>
      <c r="I1142" s="47" t="s">
        <v>2132</v>
      </c>
      <c r="J1142" s="47">
        <v>0.8</v>
      </c>
      <c r="K1142" s="47">
        <v>1</v>
      </c>
      <c r="L1142" s="48">
        <v>25</v>
      </c>
      <c r="M1142" s="48">
        <v>25</v>
      </c>
      <c r="N1142" s="12" t="s">
        <v>292</v>
      </c>
      <c r="O1142" s="47"/>
      <c r="P1142" s="47">
        <v>770</v>
      </c>
      <c r="Q1142" s="47">
        <v>60</v>
      </c>
      <c r="R1142" s="47"/>
      <c r="S1142" s="49">
        <v>1</v>
      </c>
      <c r="T1142" s="47">
        <v>90</v>
      </c>
      <c r="U1142" s="47"/>
      <c r="V1142" s="50"/>
      <c r="W1142" s="51"/>
      <c r="X1142" s="29">
        <v>13.8</v>
      </c>
      <c r="Y1142" s="52" t="s">
        <v>28</v>
      </c>
    </row>
    <row r="1143" spans="1:26" s="6" customFormat="1" ht="23.1" customHeight="1" x14ac:dyDescent="0.25">
      <c r="A1143" s="20" t="s">
        <v>452</v>
      </c>
      <c r="B1143" s="42" t="s">
        <v>113</v>
      </c>
      <c r="C1143" s="42">
        <v>99</v>
      </c>
      <c r="D1143" s="42" t="s">
        <v>1091</v>
      </c>
      <c r="E1143" s="41" t="s">
        <v>1092</v>
      </c>
      <c r="F1143" s="41" t="s">
        <v>1092</v>
      </c>
      <c r="G1143" s="42" t="s">
        <v>118</v>
      </c>
      <c r="H1143" s="42">
        <v>40</v>
      </c>
      <c r="I1143" s="47" t="s">
        <v>2145</v>
      </c>
      <c r="J1143" s="47">
        <v>1</v>
      </c>
      <c r="K1143" s="47">
        <v>1</v>
      </c>
      <c r="L1143" s="48">
        <v>25</v>
      </c>
      <c r="M1143" s="48">
        <v>25</v>
      </c>
      <c r="N1143" s="12" t="s">
        <v>509</v>
      </c>
      <c r="O1143" s="47"/>
      <c r="P1143" s="47">
        <v>390</v>
      </c>
      <c r="Q1143" s="47">
        <v>60</v>
      </c>
      <c r="R1143" s="47"/>
      <c r="S1143" s="49">
        <v>1</v>
      </c>
      <c r="T1143" s="47">
        <v>120</v>
      </c>
      <c r="U1143" s="47"/>
      <c r="V1143" s="50"/>
      <c r="W1143" s="51"/>
      <c r="X1143" s="29">
        <v>7.5</v>
      </c>
      <c r="Y1143" s="52" t="s">
        <v>21</v>
      </c>
    </row>
    <row r="1144" spans="1:26" s="6" customFormat="1" ht="23.1" customHeight="1" x14ac:dyDescent="0.25">
      <c r="A1144" s="20" t="s">
        <v>452</v>
      </c>
      <c r="B1144" s="42" t="s">
        <v>113</v>
      </c>
      <c r="C1144" s="42">
        <v>99</v>
      </c>
      <c r="D1144" s="42" t="s">
        <v>1091</v>
      </c>
      <c r="E1144" s="41" t="s">
        <v>1092</v>
      </c>
      <c r="F1144" s="41" t="s">
        <v>1092</v>
      </c>
      <c r="G1144" s="42" t="s">
        <v>118</v>
      </c>
      <c r="H1144" s="42">
        <v>45</v>
      </c>
      <c r="I1144" s="47" t="s">
        <v>2146</v>
      </c>
      <c r="J1144" s="47">
        <v>2</v>
      </c>
      <c r="K1144" s="47">
        <v>2</v>
      </c>
      <c r="L1144" s="48">
        <v>25</v>
      </c>
      <c r="M1144" s="48">
        <v>25</v>
      </c>
      <c r="N1144" s="12" t="s">
        <v>1093</v>
      </c>
      <c r="O1144" s="47"/>
      <c r="P1144" s="47">
        <v>60</v>
      </c>
      <c r="Q1144" s="47">
        <v>60</v>
      </c>
      <c r="R1144" s="47"/>
      <c r="S1144" s="49">
        <v>2</v>
      </c>
      <c r="T1144" s="47">
        <v>120</v>
      </c>
      <c r="U1144" s="47"/>
      <c r="V1144" s="50">
        <v>1</v>
      </c>
      <c r="W1144" s="51"/>
      <c r="X1144" s="29">
        <v>6</v>
      </c>
      <c r="Y1144" s="52" t="s">
        <v>21</v>
      </c>
    </row>
    <row r="1145" spans="1:26" s="6" customFormat="1" ht="23.1" customHeight="1" x14ac:dyDescent="0.25">
      <c r="A1145" s="20" t="s">
        <v>452</v>
      </c>
      <c r="B1145" s="42" t="s">
        <v>113</v>
      </c>
      <c r="C1145" s="42">
        <v>44</v>
      </c>
      <c r="D1145" s="42" t="s">
        <v>1074</v>
      </c>
      <c r="E1145" s="41" t="s">
        <v>1075</v>
      </c>
      <c r="F1145" s="41" t="s">
        <v>1075</v>
      </c>
      <c r="G1145" s="42" t="s">
        <v>154</v>
      </c>
      <c r="H1145" s="42">
        <v>45</v>
      </c>
      <c r="I1145" s="47" t="s">
        <v>2125</v>
      </c>
      <c r="J1145" s="47">
        <v>1</v>
      </c>
      <c r="K1145" s="47">
        <v>1.3</v>
      </c>
      <c r="L1145" s="48">
        <v>25</v>
      </c>
      <c r="M1145" s="48">
        <v>25</v>
      </c>
      <c r="N1145" s="12" t="s">
        <v>1127</v>
      </c>
      <c r="O1145" s="47"/>
      <c r="P1145" s="47">
        <v>600</v>
      </c>
      <c r="Q1145" s="47"/>
      <c r="R1145" s="47"/>
      <c r="S1145" s="49">
        <v>2</v>
      </c>
      <c r="T1145" s="47">
        <v>120</v>
      </c>
      <c r="U1145" s="47"/>
      <c r="V1145" s="50"/>
      <c r="W1145" s="51"/>
      <c r="X1145" s="29">
        <v>13</v>
      </c>
      <c r="Y1145" s="52" t="s">
        <v>56</v>
      </c>
    </row>
    <row r="1146" spans="1:26" s="6" customFormat="1" ht="23.1" customHeight="1" x14ac:dyDescent="0.25">
      <c r="A1146" s="20" t="s">
        <v>452</v>
      </c>
      <c r="B1146" s="42" t="s">
        <v>113</v>
      </c>
      <c r="C1146" s="42">
        <v>19</v>
      </c>
      <c r="D1146" s="42" t="s">
        <v>1071</v>
      </c>
      <c r="E1146" s="41" t="s">
        <v>1072</v>
      </c>
      <c r="F1146" s="41" t="e">
        <v>#N/A</v>
      </c>
      <c r="G1146" s="42" t="s">
        <v>250</v>
      </c>
      <c r="H1146" s="42">
        <v>30</v>
      </c>
      <c r="I1146" s="47" t="s">
        <v>2123</v>
      </c>
      <c r="J1146" s="47">
        <v>1</v>
      </c>
      <c r="K1146" s="47">
        <v>0.9</v>
      </c>
      <c r="L1146" s="48">
        <v>25</v>
      </c>
      <c r="M1146" s="48">
        <v>25</v>
      </c>
      <c r="N1146" s="12" t="s">
        <v>1121</v>
      </c>
      <c r="O1146" s="47"/>
      <c r="P1146" s="47">
        <v>650</v>
      </c>
      <c r="Q1146" s="47">
        <v>90</v>
      </c>
      <c r="R1146" s="47"/>
      <c r="S1146" s="49">
        <v>1</v>
      </c>
      <c r="T1146" s="47">
        <v>60</v>
      </c>
      <c r="U1146" s="47"/>
      <c r="V1146" s="50"/>
      <c r="W1146" s="51"/>
      <c r="X1146" s="29">
        <v>11.3</v>
      </c>
      <c r="Y1146" s="52" t="s">
        <v>11</v>
      </c>
    </row>
    <row r="1147" spans="1:26" s="6" customFormat="1" ht="23.1" customHeight="1" x14ac:dyDescent="0.25">
      <c r="A1147" s="20" t="s">
        <v>539</v>
      </c>
      <c r="B1147" s="42" t="s">
        <v>113</v>
      </c>
      <c r="C1147" s="42">
        <v>102</v>
      </c>
      <c r="D1147" s="42" t="s">
        <v>1067</v>
      </c>
      <c r="E1147" s="41" t="s">
        <v>1068</v>
      </c>
      <c r="F1147" s="41" t="s">
        <v>1068</v>
      </c>
      <c r="G1147" s="42" t="s">
        <v>323</v>
      </c>
      <c r="H1147" s="42">
        <v>40</v>
      </c>
      <c r="I1147" s="47" t="s">
        <v>2122</v>
      </c>
      <c r="J1147" s="47">
        <v>0.7</v>
      </c>
      <c r="K1147" s="47">
        <v>0.9</v>
      </c>
      <c r="L1147" s="48">
        <v>25</v>
      </c>
      <c r="M1147" s="48">
        <v>25</v>
      </c>
      <c r="N1147" s="12" t="s">
        <v>463</v>
      </c>
      <c r="O1147" s="47"/>
      <c r="P1147" s="47">
        <v>90</v>
      </c>
      <c r="Q1147" s="47">
        <v>60</v>
      </c>
      <c r="R1147" s="47"/>
      <c r="S1147" s="49">
        <v>1</v>
      </c>
      <c r="T1147" s="47">
        <v>120</v>
      </c>
      <c r="U1147" s="47"/>
      <c r="V1147" s="50"/>
      <c r="W1147" s="51"/>
      <c r="X1147" s="29">
        <v>2.4</v>
      </c>
      <c r="Y1147" s="52" t="s">
        <v>67</v>
      </c>
    </row>
    <row r="1148" spans="1:26" s="6" customFormat="1" ht="23.1" customHeight="1" x14ac:dyDescent="0.25">
      <c r="A1148" s="20" t="s">
        <v>539</v>
      </c>
      <c r="B1148" s="42" t="s">
        <v>113</v>
      </c>
      <c r="C1148" s="42">
        <v>101</v>
      </c>
      <c r="D1148" s="42" t="s">
        <v>1128</v>
      </c>
      <c r="E1148" s="41" t="s">
        <v>708</v>
      </c>
      <c r="F1148" s="41" t="e">
        <v>#N/A</v>
      </c>
      <c r="G1148" s="42" t="s">
        <v>250</v>
      </c>
      <c r="H1148" s="42">
        <v>20</v>
      </c>
      <c r="I1148" s="47" t="s">
        <v>1950</v>
      </c>
      <c r="J1148" s="47">
        <v>2</v>
      </c>
      <c r="K1148" s="47">
        <v>2.9</v>
      </c>
      <c r="L1148" s="48">
        <v>25</v>
      </c>
      <c r="M1148" s="48">
        <v>25</v>
      </c>
      <c r="N1148" s="12" t="s">
        <v>1129</v>
      </c>
      <c r="O1148" s="47"/>
      <c r="P1148" s="47">
        <v>300</v>
      </c>
      <c r="Q1148" s="47">
        <v>60</v>
      </c>
      <c r="R1148" s="47"/>
      <c r="S1148" s="49">
        <v>3</v>
      </c>
      <c r="T1148" s="47">
        <v>60</v>
      </c>
      <c r="U1148" s="47"/>
      <c r="V1148" s="50"/>
      <c r="W1148" s="51"/>
      <c r="X1148" s="29">
        <v>17.5</v>
      </c>
      <c r="Y1148" s="52" t="s">
        <v>67</v>
      </c>
      <c r="Z1148" s="6" t="s">
        <v>1130</v>
      </c>
    </row>
    <row r="1149" spans="1:26" s="6" customFormat="1" ht="23.1" customHeight="1" x14ac:dyDescent="0.25">
      <c r="A1149" s="20" t="s">
        <v>539</v>
      </c>
      <c r="B1149" s="42" t="s">
        <v>113</v>
      </c>
      <c r="C1149" s="42">
        <v>100</v>
      </c>
      <c r="D1149" s="42" t="s">
        <v>937</v>
      </c>
      <c r="E1149" s="41" t="s">
        <v>938</v>
      </c>
      <c r="F1149" s="41" t="s">
        <v>938</v>
      </c>
      <c r="G1149" s="42" t="s">
        <v>939</v>
      </c>
      <c r="H1149" s="42">
        <v>50</v>
      </c>
      <c r="I1149" s="47" t="s">
        <v>2126</v>
      </c>
      <c r="J1149" s="47">
        <v>0.5</v>
      </c>
      <c r="K1149" s="47">
        <v>0.6</v>
      </c>
      <c r="L1149" s="48">
        <v>25</v>
      </c>
      <c r="M1149" s="48">
        <v>25</v>
      </c>
      <c r="N1149" s="12" t="s">
        <v>421</v>
      </c>
      <c r="O1149" s="47"/>
      <c r="P1149" s="47">
        <v>60</v>
      </c>
      <c r="Q1149" s="47">
        <v>60</v>
      </c>
      <c r="R1149" s="47"/>
      <c r="S1149" s="49"/>
      <c r="T1149" s="47">
        <v>60</v>
      </c>
      <c r="U1149" s="47"/>
      <c r="V1149" s="50"/>
      <c r="W1149" s="51">
        <v>3</v>
      </c>
      <c r="X1149" s="29">
        <v>3.6</v>
      </c>
      <c r="Y1149" s="52" t="s">
        <v>67</v>
      </c>
      <c r="Z1149" s="6" t="s">
        <v>1078</v>
      </c>
    </row>
    <row r="1150" spans="1:26" s="6" customFormat="1" ht="23.1" customHeight="1" x14ac:dyDescent="0.25">
      <c r="A1150" s="20" t="s">
        <v>539</v>
      </c>
      <c r="B1150" s="42" t="s">
        <v>113</v>
      </c>
      <c r="C1150" s="42">
        <v>97</v>
      </c>
      <c r="D1150" s="42" t="s">
        <v>1076</v>
      </c>
      <c r="E1150" s="41" t="s">
        <v>1065</v>
      </c>
      <c r="F1150" s="41" t="s">
        <v>1065</v>
      </c>
      <c r="G1150" s="42" t="s">
        <v>250</v>
      </c>
      <c r="H1150" s="42">
        <v>50</v>
      </c>
      <c r="I1150" s="47" t="s">
        <v>2118</v>
      </c>
      <c r="J1150" s="47">
        <v>1</v>
      </c>
      <c r="K1150" s="47">
        <v>1.7</v>
      </c>
      <c r="L1150" s="48">
        <v>25</v>
      </c>
      <c r="M1150" s="48">
        <v>25</v>
      </c>
      <c r="N1150" s="12" t="s">
        <v>1077</v>
      </c>
      <c r="O1150" s="47"/>
      <c r="P1150" s="47">
        <v>420</v>
      </c>
      <c r="Q1150" s="47">
        <v>60</v>
      </c>
      <c r="R1150" s="47"/>
      <c r="S1150" s="49">
        <v>2</v>
      </c>
      <c r="T1150" s="47">
        <v>90</v>
      </c>
      <c r="U1150" s="47"/>
      <c r="V1150" s="50"/>
      <c r="W1150" s="51"/>
      <c r="X1150" s="29">
        <v>13.9</v>
      </c>
      <c r="Y1150" s="52" t="s">
        <v>67</v>
      </c>
    </row>
    <row r="1151" spans="1:26" s="6" customFormat="1" ht="23.1" customHeight="1" x14ac:dyDescent="0.25">
      <c r="A1151" s="20" t="s">
        <v>539</v>
      </c>
      <c r="B1151" s="42" t="s">
        <v>113</v>
      </c>
      <c r="C1151" s="42">
        <v>97</v>
      </c>
      <c r="D1151" s="42" t="s">
        <v>1076</v>
      </c>
      <c r="E1151" s="41" t="s">
        <v>1065</v>
      </c>
      <c r="F1151" s="41" t="s">
        <v>1065</v>
      </c>
      <c r="G1151" s="42" t="s">
        <v>250</v>
      </c>
      <c r="H1151" s="42">
        <v>55</v>
      </c>
      <c r="I1151" s="47" t="s">
        <v>2119</v>
      </c>
      <c r="J1151" s="47">
        <v>1</v>
      </c>
      <c r="K1151" s="47">
        <v>1</v>
      </c>
      <c r="L1151" s="48">
        <v>25</v>
      </c>
      <c r="M1151" s="48">
        <v>25</v>
      </c>
      <c r="N1151" s="12" t="s">
        <v>1077</v>
      </c>
      <c r="O1151" s="47"/>
      <c r="P1151" s="47">
        <v>60</v>
      </c>
      <c r="Q1151" s="47">
        <v>60</v>
      </c>
      <c r="R1151" s="47"/>
      <c r="S1151" s="49">
        <v>2</v>
      </c>
      <c r="T1151" s="47">
        <v>60</v>
      </c>
      <c r="U1151" s="47"/>
      <c r="V1151" s="50"/>
      <c r="W1151" s="51"/>
      <c r="X1151" s="29">
        <v>3</v>
      </c>
      <c r="Y1151" s="52" t="s">
        <v>67</v>
      </c>
    </row>
    <row r="1152" spans="1:26" s="6" customFormat="1" ht="23.1" customHeight="1" x14ac:dyDescent="0.25">
      <c r="A1152" s="20" t="s">
        <v>539</v>
      </c>
      <c r="B1152" s="42" t="s">
        <v>113</v>
      </c>
      <c r="C1152" s="42">
        <v>83</v>
      </c>
      <c r="D1152" s="42" t="s">
        <v>1095</v>
      </c>
      <c r="E1152" s="41" t="s">
        <v>1096</v>
      </c>
      <c r="F1152" s="41" t="s">
        <v>1096</v>
      </c>
      <c r="G1152" s="42" t="s">
        <v>658</v>
      </c>
      <c r="H1152" s="42">
        <v>35</v>
      </c>
      <c r="I1152" s="47" t="s">
        <v>2139</v>
      </c>
      <c r="J1152" s="47">
        <v>1.5</v>
      </c>
      <c r="K1152" s="47">
        <v>1.7</v>
      </c>
      <c r="L1152" s="48">
        <v>25</v>
      </c>
      <c r="M1152" s="48">
        <v>25</v>
      </c>
      <c r="N1152" s="12" t="s">
        <v>282</v>
      </c>
      <c r="O1152" s="47"/>
      <c r="P1152" s="47">
        <v>600</v>
      </c>
      <c r="Q1152" s="47">
        <v>60</v>
      </c>
      <c r="R1152" s="47"/>
      <c r="S1152" s="49">
        <v>1</v>
      </c>
      <c r="T1152" s="47">
        <v>120</v>
      </c>
      <c r="U1152" s="47"/>
      <c r="V1152" s="50"/>
      <c r="W1152" s="51"/>
      <c r="X1152" s="29">
        <v>18</v>
      </c>
      <c r="Y1152" s="52" t="s">
        <v>67</v>
      </c>
    </row>
    <row r="1153" spans="1:26" s="6" customFormat="1" ht="23.1" customHeight="1" x14ac:dyDescent="0.25">
      <c r="A1153" s="20" t="s">
        <v>539</v>
      </c>
      <c r="B1153" s="42" t="s">
        <v>113</v>
      </c>
      <c r="C1153" s="42">
        <v>99</v>
      </c>
      <c r="D1153" s="42" t="s">
        <v>1091</v>
      </c>
      <c r="E1153" s="41" t="s">
        <v>1092</v>
      </c>
      <c r="F1153" s="41" t="s">
        <v>1092</v>
      </c>
      <c r="G1153" s="42" t="s">
        <v>118</v>
      </c>
      <c r="H1153" s="42">
        <v>35</v>
      </c>
      <c r="I1153" s="47" t="s">
        <v>2141</v>
      </c>
      <c r="J1153" s="47">
        <v>1.5</v>
      </c>
      <c r="K1153" s="47">
        <v>2.6</v>
      </c>
      <c r="L1153" s="48">
        <v>25</v>
      </c>
      <c r="M1153" s="48">
        <v>25</v>
      </c>
      <c r="N1153" s="12" t="s">
        <v>1131</v>
      </c>
      <c r="O1153" s="47"/>
      <c r="P1153" s="47">
        <v>480</v>
      </c>
      <c r="Q1153" s="47">
        <v>60</v>
      </c>
      <c r="R1153" s="47"/>
      <c r="S1153" s="49">
        <v>2</v>
      </c>
      <c r="T1153" s="47">
        <v>120</v>
      </c>
      <c r="U1153" s="47"/>
      <c r="V1153" s="50"/>
      <c r="W1153" s="51"/>
      <c r="X1153" s="29">
        <v>22.8</v>
      </c>
      <c r="Y1153" s="52" t="s">
        <v>21</v>
      </c>
    </row>
    <row r="1154" spans="1:26" s="6" customFormat="1" ht="23.1" customHeight="1" x14ac:dyDescent="0.25">
      <c r="A1154" s="20" t="s">
        <v>539</v>
      </c>
      <c r="B1154" s="42" t="s">
        <v>113</v>
      </c>
      <c r="C1154" s="42">
        <v>103</v>
      </c>
      <c r="D1154" s="42" t="s">
        <v>395</v>
      </c>
      <c r="E1154" s="41" t="s">
        <v>396</v>
      </c>
      <c r="F1154" s="41" t="e">
        <v>#N/A</v>
      </c>
      <c r="G1154" s="42" t="s">
        <v>300</v>
      </c>
      <c r="H1154" s="42">
        <v>40</v>
      </c>
      <c r="I1154" s="47" t="s">
        <v>2147</v>
      </c>
      <c r="J1154" s="47">
        <v>0.5</v>
      </c>
      <c r="K1154" s="47">
        <v>1</v>
      </c>
      <c r="L1154" s="48">
        <v>25</v>
      </c>
      <c r="M1154" s="48">
        <v>25</v>
      </c>
      <c r="N1154" s="12" t="s">
        <v>1132</v>
      </c>
      <c r="O1154" s="47"/>
      <c r="P1154" s="47">
        <v>420</v>
      </c>
      <c r="Q1154" s="47">
        <v>90</v>
      </c>
      <c r="R1154" s="47"/>
      <c r="S1154" s="49">
        <v>1</v>
      </c>
      <c r="T1154" s="47">
        <v>180</v>
      </c>
      <c r="U1154" s="47"/>
      <c r="V1154" s="50"/>
      <c r="W1154" s="51">
        <v>5</v>
      </c>
      <c r="X1154" s="29">
        <v>13.5</v>
      </c>
      <c r="Y1154" s="52" t="s">
        <v>62</v>
      </c>
      <c r="Z1154" s="6" t="s">
        <v>1133</v>
      </c>
    </row>
    <row r="1155" spans="1:26" s="6" customFormat="1" ht="23.1" customHeight="1" x14ac:dyDescent="0.25">
      <c r="A1155" s="20" t="s">
        <v>539</v>
      </c>
      <c r="B1155" s="42" t="s">
        <v>113</v>
      </c>
      <c r="C1155" s="42">
        <v>19</v>
      </c>
      <c r="D1155" s="42" t="s">
        <v>1071</v>
      </c>
      <c r="E1155" s="41" t="s">
        <v>1072</v>
      </c>
      <c r="F1155" s="41" t="e">
        <v>#N/A</v>
      </c>
      <c r="G1155" s="42" t="s">
        <v>250</v>
      </c>
      <c r="H1155" s="42">
        <v>30</v>
      </c>
      <c r="I1155" s="47" t="s">
        <v>2123</v>
      </c>
      <c r="J1155" s="47">
        <v>0.9</v>
      </c>
      <c r="K1155" s="47">
        <v>1</v>
      </c>
      <c r="L1155" s="48">
        <v>25</v>
      </c>
      <c r="M1155" s="48">
        <v>25</v>
      </c>
      <c r="N1155" s="12" t="s">
        <v>1134</v>
      </c>
      <c r="O1155" s="47"/>
      <c r="P1155" s="47">
        <v>650</v>
      </c>
      <c r="Q1155" s="47">
        <v>90</v>
      </c>
      <c r="R1155" s="47"/>
      <c r="S1155" s="49">
        <v>1</v>
      </c>
      <c r="T1155" s="47">
        <v>60</v>
      </c>
      <c r="U1155" s="47"/>
      <c r="V1155" s="50"/>
      <c r="W1155" s="51"/>
      <c r="X1155" s="29">
        <v>12.3</v>
      </c>
      <c r="Y1155" s="52" t="s">
        <v>11</v>
      </c>
    </row>
    <row r="1156" spans="1:26" s="6" customFormat="1" ht="23.1" customHeight="1" x14ac:dyDescent="0.25">
      <c r="A1156" s="20" t="s">
        <v>539</v>
      </c>
      <c r="B1156" s="42" t="s">
        <v>113</v>
      </c>
      <c r="C1156" s="42">
        <v>44</v>
      </c>
      <c r="D1156" s="42" t="s">
        <v>1074</v>
      </c>
      <c r="E1156" s="41" t="s">
        <v>1075</v>
      </c>
      <c r="F1156" s="41" t="s">
        <v>1075</v>
      </c>
      <c r="G1156" s="42" t="s">
        <v>154</v>
      </c>
      <c r="H1156" s="42">
        <v>50</v>
      </c>
      <c r="I1156" s="47" t="s">
        <v>2148</v>
      </c>
      <c r="J1156" s="47">
        <v>1</v>
      </c>
      <c r="K1156" s="47">
        <v>1.1000000000000001</v>
      </c>
      <c r="L1156" s="48">
        <v>25</v>
      </c>
      <c r="M1156" s="48">
        <v>25</v>
      </c>
      <c r="N1156" s="12" t="s">
        <v>1127</v>
      </c>
      <c r="O1156" s="47"/>
      <c r="P1156" s="47">
        <v>500</v>
      </c>
      <c r="Q1156" s="47"/>
      <c r="R1156" s="47"/>
      <c r="S1156" s="49">
        <v>1</v>
      </c>
      <c r="T1156" s="47">
        <v>120</v>
      </c>
      <c r="U1156" s="47"/>
      <c r="V1156" s="50"/>
      <c r="W1156" s="51"/>
      <c r="X1156" s="29">
        <v>9.1999999999999993</v>
      </c>
      <c r="Y1156" s="52" t="s">
        <v>56</v>
      </c>
    </row>
    <row r="1157" spans="1:26" s="6" customFormat="1" ht="23.1" customHeight="1" x14ac:dyDescent="0.25">
      <c r="A1157" s="20" t="s">
        <v>539</v>
      </c>
      <c r="B1157" s="42" t="s">
        <v>113</v>
      </c>
      <c r="C1157" s="42">
        <v>105</v>
      </c>
      <c r="D1157" s="42" t="s">
        <v>1097</v>
      </c>
      <c r="E1157" s="41" t="s">
        <v>1098</v>
      </c>
      <c r="F1157" s="41" t="s">
        <v>1098</v>
      </c>
      <c r="G1157" s="42" t="s">
        <v>250</v>
      </c>
      <c r="H1157" s="42">
        <v>25</v>
      </c>
      <c r="I1157" s="47" t="s">
        <v>2149</v>
      </c>
      <c r="J1157" s="47">
        <v>3</v>
      </c>
      <c r="K1157" s="47">
        <v>3</v>
      </c>
      <c r="L1157" s="48">
        <v>25</v>
      </c>
      <c r="M1157" s="48">
        <v>25</v>
      </c>
      <c r="N1157" s="12" t="s">
        <v>292</v>
      </c>
      <c r="O1157" s="47"/>
      <c r="P1157" s="47">
        <v>210</v>
      </c>
      <c r="Q1157" s="47">
        <v>60</v>
      </c>
      <c r="R1157" s="47"/>
      <c r="S1157" s="49">
        <v>3</v>
      </c>
      <c r="T1157" s="47">
        <v>60</v>
      </c>
      <c r="U1157" s="47"/>
      <c r="V1157" s="50">
        <v>1</v>
      </c>
      <c r="W1157" s="51"/>
      <c r="X1157" s="29">
        <v>14.5</v>
      </c>
      <c r="Y1157" s="52" t="s">
        <v>28</v>
      </c>
    </row>
    <row r="1158" spans="1:26" s="6" customFormat="1" ht="23.1" customHeight="1" x14ac:dyDescent="0.25">
      <c r="A1158" s="20" t="s">
        <v>539</v>
      </c>
      <c r="B1158" s="42" t="s">
        <v>113</v>
      </c>
      <c r="C1158" s="42">
        <v>105</v>
      </c>
      <c r="D1158" s="42" t="s">
        <v>1097</v>
      </c>
      <c r="E1158" s="41" t="s">
        <v>1098</v>
      </c>
      <c r="F1158" s="41" t="s">
        <v>1098</v>
      </c>
      <c r="G1158" s="42" t="s">
        <v>250</v>
      </c>
      <c r="H1158" s="42">
        <v>20</v>
      </c>
      <c r="I1158" s="47" t="s">
        <v>2132</v>
      </c>
      <c r="J1158" s="47"/>
      <c r="K1158" s="47">
        <v>0.1</v>
      </c>
      <c r="L1158" s="48">
        <v>25</v>
      </c>
      <c r="M1158" s="48">
        <v>25</v>
      </c>
      <c r="N1158" s="12" t="s">
        <v>292</v>
      </c>
      <c r="O1158" s="47"/>
      <c r="P1158" s="47">
        <v>770</v>
      </c>
      <c r="Q1158" s="47">
        <v>60</v>
      </c>
      <c r="R1158" s="47"/>
      <c r="S1158" s="49"/>
      <c r="T1158" s="47">
        <v>90</v>
      </c>
      <c r="U1158" s="47"/>
      <c r="V1158" s="50"/>
      <c r="W1158" s="51"/>
      <c r="X1158" s="29">
        <v>1.3</v>
      </c>
      <c r="Y1158" s="52" t="s">
        <v>28</v>
      </c>
    </row>
    <row r="1159" spans="1:26" s="6" customFormat="1" ht="23.1" customHeight="1" x14ac:dyDescent="0.25">
      <c r="A1159" s="20" t="s">
        <v>539</v>
      </c>
      <c r="B1159" s="42" t="s">
        <v>113</v>
      </c>
      <c r="C1159" s="42">
        <v>98</v>
      </c>
      <c r="D1159" s="42" t="s">
        <v>481</v>
      </c>
      <c r="E1159" s="41" t="s">
        <v>482</v>
      </c>
      <c r="F1159" s="41" t="s">
        <v>482</v>
      </c>
      <c r="G1159" s="42" t="s">
        <v>118</v>
      </c>
      <c r="H1159" s="42">
        <v>15</v>
      </c>
      <c r="I1159" s="47" t="s">
        <v>2144</v>
      </c>
      <c r="J1159" s="47">
        <v>0.8</v>
      </c>
      <c r="K1159" s="47">
        <v>1.2</v>
      </c>
      <c r="L1159" s="48">
        <v>25</v>
      </c>
      <c r="M1159" s="48">
        <v>25</v>
      </c>
      <c r="N1159" s="12" t="s">
        <v>1135</v>
      </c>
      <c r="O1159" s="47"/>
      <c r="P1159" s="47">
        <v>720</v>
      </c>
      <c r="Q1159" s="47">
        <v>60</v>
      </c>
      <c r="R1159" s="47"/>
      <c r="S1159" s="49">
        <v>1</v>
      </c>
      <c r="T1159" s="47">
        <v>120</v>
      </c>
      <c r="U1159" s="47"/>
      <c r="V1159" s="50"/>
      <c r="W1159" s="51"/>
      <c r="X1159" s="29">
        <v>15.4</v>
      </c>
      <c r="Y1159" s="52" t="s">
        <v>1</v>
      </c>
    </row>
    <row r="1160" spans="1:26" s="6" customFormat="1" ht="23.1" customHeight="1" x14ac:dyDescent="0.25">
      <c r="A1160" s="20" t="s">
        <v>539</v>
      </c>
      <c r="B1160" s="42" t="s">
        <v>110</v>
      </c>
      <c r="C1160" s="42">
        <v>98</v>
      </c>
      <c r="D1160" s="42" t="s">
        <v>481</v>
      </c>
      <c r="E1160" s="41" t="s">
        <v>482</v>
      </c>
      <c r="F1160" s="41" t="s">
        <v>482</v>
      </c>
      <c r="G1160" s="42" t="s">
        <v>118</v>
      </c>
      <c r="H1160" s="42">
        <v>15</v>
      </c>
      <c r="I1160" s="47" t="s">
        <v>2144</v>
      </c>
      <c r="J1160" s="47">
        <v>0.8</v>
      </c>
      <c r="K1160" s="47">
        <v>1</v>
      </c>
      <c r="L1160" s="48">
        <v>32</v>
      </c>
      <c r="M1160" s="48">
        <v>32</v>
      </c>
      <c r="N1160" s="12" t="s">
        <v>1119</v>
      </c>
      <c r="O1160" s="47"/>
      <c r="P1160" s="47">
        <v>720</v>
      </c>
      <c r="Q1160" s="47">
        <v>60</v>
      </c>
      <c r="R1160" s="47"/>
      <c r="S1160" s="49">
        <v>1</v>
      </c>
      <c r="T1160" s="47">
        <v>120</v>
      </c>
      <c r="U1160" s="47"/>
      <c r="V1160" s="50"/>
      <c r="W1160" s="51"/>
      <c r="X1160" s="29">
        <v>13</v>
      </c>
      <c r="Y1160" s="52" t="s">
        <v>39</v>
      </c>
    </row>
    <row r="1161" spans="1:26" s="6" customFormat="1" ht="23.1" customHeight="1" x14ac:dyDescent="0.25">
      <c r="A1161" s="20" t="s">
        <v>539</v>
      </c>
      <c r="B1161" s="42" t="s">
        <v>110</v>
      </c>
      <c r="C1161" s="42">
        <v>99</v>
      </c>
      <c r="D1161" s="42" t="s">
        <v>1091</v>
      </c>
      <c r="E1161" s="41" t="s">
        <v>1092</v>
      </c>
      <c r="F1161" s="41" t="s">
        <v>1092</v>
      </c>
      <c r="G1161" s="42" t="s">
        <v>118</v>
      </c>
      <c r="H1161" s="42">
        <v>35</v>
      </c>
      <c r="I1161" s="47" t="s">
        <v>2141</v>
      </c>
      <c r="J1161" s="47">
        <v>1.5</v>
      </c>
      <c r="K1161" s="47">
        <v>1.4</v>
      </c>
      <c r="L1161" s="48">
        <v>32</v>
      </c>
      <c r="M1161" s="48">
        <v>32</v>
      </c>
      <c r="N1161" s="12" t="s">
        <v>1136</v>
      </c>
      <c r="O1161" s="47"/>
      <c r="P1161" s="47">
        <v>480</v>
      </c>
      <c r="Q1161" s="47">
        <v>60</v>
      </c>
      <c r="R1161" s="47"/>
      <c r="S1161" s="49">
        <v>2</v>
      </c>
      <c r="T1161" s="47">
        <v>120</v>
      </c>
      <c r="U1161" s="47"/>
      <c r="V1161" s="50">
        <v>1</v>
      </c>
      <c r="W1161" s="51"/>
      <c r="X1161" s="29">
        <v>15.2</v>
      </c>
      <c r="Y1161" s="52" t="s">
        <v>29</v>
      </c>
    </row>
    <row r="1162" spans="1:26" s="6" customFormat="1" ht="23.1" customHeight="1" x14ac:dyDescent="0.25">
      <c r="A1162" s="20" t="s">
        <v>539</v>
      </c>
      <c r="B1162" s="42" t="s">
        <v>110</v>
      </c>
      <c r="C1162" s="42">
        <v>101</v>
      </c>
      <c r="D1162" s="42" t="s">
        <v>1099</v>
      </c>
      <c r="E1162" s="41" t="s">
        <v>760</v>
      </c>
      <c r="F1162" s="41" t="e">
        <v>#N/A</v>
      </c>
      <c r="G1162" s="42" t="s">
        <v>300</v>
      </c>
      <c r="H1162" s="42">
        <v>32</v>
      </c>
      <c r="I1162" s="47"/>
      <c r="J1162" s="47">
        <v>1</v>
      </c>
      <c r="K1162" s="47">
        <v>2</v>
      </c>
      <c r="L1162" s="48">
        <v>32</v>
      </c>
      <c r="M1162" s="48">
        <v>32</v>
      </c>
      <c r="N1162" s="12" t="s">
        <v>1137</v>
      </c>
      <c r="O1162" s="47">
        <v>150</v>
      </c>
      <c r="P1162" s="47"/>
      <c r="Q1162" s="47"/>
      <c r="R1162" s="47">
        <v>60</v>
      </c>
      <c r="S1162" s="49">
        <v>2</v>
      </c>
      <c r="T1162" s="47">
        <v>120</v>
      </c>
      <c r="U1162" s="47"/>
      <c r="V1162" s="50"/>
      <c r="W1162" s="51"/>
      <c r="X1162" s="32">
        <v>7</v>
      </c>
      <c r="Y1162" s="52" t="s">
        <v>47</v>
      </c>
    </row>
    <row r="1163" spans="1:26" s="6" customFormat="1" ht="23.1" customHeight="1" x14ac:dyDescent="0.25">
      <c r="A1163" s="20" t="s">
        <v>539</v>
      </c>
      <c r="B1163" s="42" t="s">
        <v>110</v>
      </c>
      <c r="C1163" s="42">
        <v>101</v>
      </c>
      <c r="D1163" s="42" t="s">
        <v>1099</v>
      </c>
      <c r="E1163" s="41" t="s">
        <v>760</v>
      </c>
      <c r="F1163" s="41" t="e">
        <v>#N/A</v>
      </c>
      <c r="G1163" s="42" t="s">
        <v>300</v>
      </c>
      <c r="H1163" s="42">
        <v>20</v>
      </c>
      <c r="I1163" s="47" t="s">
        <v>2150</v>
      </c>
      <c r="J1163" s="47">
        <v>1.5</v>
      </c>
      <c r="K1163" s="47">
        <v>0.9</v>
      </c>
      <c r="L1163" s="48">
        <v>32</v>
      </c>
      <c r="M1163" s="48">
        <v>32</v>
      </c>
      <c r="N1163" s="12" t="s">
        <v>519</v>
      </c>
      <c r="O1163" s="47"/>
      <c r="P1163" s="47">
        <v>300</v>
      </c>
      <c r="Q1163" s="47">
        <v>60</v>
      </c>
      <c r="R1163" s="47"/>
      <c r="S1163" s="49">
        <v>1</v>
      </c>
      <c r="T1163" s="47">
        <v>120</v>
      </c>
      <c r="U1163" s="47"/>
      <c r="V1163" s="50">
        <v>1</v>
      </c>
      <c r="W1163" s="51">
        <v>3</v>
      </c>
      <c r="X1163" s="29">
        <v>10.5</v>
      </c>
      <c r="Y1163" s="52" t="s">
        <v>47</v>
      </c>
      <c r="Z1163" s="6" t="s">
        <v>1138</v>
      </c>
    </row>
    <row r="1164" spans="1:26" s="6" customFormat="1" ht="23.1" customHeight="1" x14ac:dyDescent="0.25">
      <c r="A1164" s="20" t="s">
        <v>539</v>
      </c>
      <c r="B1164" s="42" t="s">
        <v>110</v>
      </c>
      <c r="C1164" s="42">
        <v>103</v>
      </c>
      <c r="D1164" s="42" t="s">
        <v>395</v>
      </c>
      <c r="E1164" s="41" t="s">
        <v>396</v>
      </c>
      <c r="F1164" s="41" t="e">
        <v>#N/A</v>
      </c>
      <c r="G1164" s="42" t="s">
        <v>300</v>
      </c>
      <c r="H1164" s="42">
        <v>40</v>
      </c>
      <c r="I1164" s="47" t="s">
        <v>2147</v>
      </c>
      <c r="J1164" s="47">
        <v>1.5</v>
      </c>
      <c r="K1164" s="47">
        <v>1</v>
      </c>
      <c r="L1164" s="48">
        <v>32</v>
      </c>
      <c r="M1164" s="48">
        <v>32</v>
      </c>
      <c r="N1164" s="12" t="s">
        <v>419</v>
      </c>
      <c r="O1164" s="47"/>
      <c r="P1164" s="47">
        <v>420</v>
      </c>
      <c r="Q1164" s="47">
        <v>90</v>
      </c>
      <c r="R1164" s="47"/>
      <c r="S1164" s="49">
        <v>1</v>
      </c>
      <c r="T1164" s="47">
        <v>180</v>
      </c>
      <c r="U1164" s="47"/>
      <c r="V1164" s="50">
        <v>1</v>
      </c>
      <c r="W1164" s="51">
        <v>4</v>
      </c>
      <c r="X1164" s="29">
        <v>15.5</v>
      </c>
      <c r="Y1164" s="52" t="s">
        <v>61</v>
      </c>
      <c r="Z1164" s="6" t="s">
        <v>1139</v>
      </c>
    </row>
    <row r="1165" spans="1:26" s="6" customFormat="1" ht="23.1" customHeight="1" x14ac:dyDescent="0.25">
      <c r="A1165" s="20" t="s">
        <v>539</v>
      </c>
      <c r="B1165" s="42" t="s">
        <v>110</v>
      </c>
      <c r="C1165" s="42">
        <v>105</v>
      </c>
      <c r="D1165" s="42" t="s">
        <v>1097</v>
      </c>
      <c r="E1165" s="41" t="s">
        <v>1098</v>
      </c>
      <c r="F1165" s="41" t="s">
        <v>1098</v>
      </c>
      <c r="G1165" s="42" t="s">
        <v>250</v>
      </c>
      <c r="H1165" s="42">
        <v>20</v>
      </c>
      <c r="I1165" s="47" t="s">
        <v>2132</v>
      </c>
      <c r="J1165" s="47">
        <v>0.8</v>
      </c>
      <c r="K1165" s="47">
        <v>0.9</v>
      </c>
      <c r="L1165" s="48">
        <v>32</v>
      </c>
      <c r="M1165" s="48">
        <v>32</v>
      </c>
      <c r="N1165" s="12" t="s">
        <v>292</v>
      </c>
      <c r="O1165" s="47"/>
      <c r="P1165" s="47">
        <v>770</v>
      </c>
      <c r="Q1165" s="47">
        <v>60</v>
      </c>
      <c r="R1165" s="47"/>
      <c r="S1165" s="49">
        <v>1</v>
      </c>
      <c r="T1165" s="47">
        <v>90</v>
      </c>
      <c r="U1165" s="47"/>
      <c r="V1165" s="50"/>
      <c r="W1165" s="51"/>
      <c r="X1165" s="29">
        <v>12.6</v>
      </c>
      <c r="Y1165" s="52" t="s">
        <v>9</v>
      </c>
    </row>
    <row r="1166" spans="1:26" s="6" customFormat="1" ht="23.1" customHeight="1" x14ac:dyDescent="0.25">
      <c r="A1166" s="20" t="s">
        <v>539</v>
      </c>
      <c r="B1166" s="42" t="s">
        <v>110</v>
      </c>
      <c r="C1166" s="42">
        <v>83</v>
      </c>
      <c r="D1166" s="42" t="s">
        <v>1095</v>
      </c>
      <c r="E1166" s="41" t="s">
        <v>1096</v>
      </c>
      <c r="F1166" s="41" t="s">
        <v>1096</v>
      </c>
      <c r="G1166" s="42" t="s">
        <v>658</v>
      </c>
      <c r="H1166" s="42">
        <v>35</v>
      </c>
      <c r="I1166" s="47" t="s">
        <v>2139</v>
      </c>
      <c r="J1166" s="47">
        <v>1.5</v>
      </c>
      <c r="K1166" s="47">
        <v>1.5</v>
      </c>
      <c r="L1166" s="48">
        <v>32</v>
      </c>
      <c r="M1166" s="48">
        <v>32</v>
      </c>
      <c r="N1166" s="12" t="s">
        <v>282</v>
      </c>
      <c r="O1166" s="47"/>
      <c r="P1166" s="47">
        <v>600</v>
      </c>
      <c r="Q1166" s="47">
        <v>60</v>
      </c>
      <c r="R1166" s="47"/>
      <c r="S1166" s="49">
        <v>2</v>
      </c>
      <c r="T1166" s="47">
        <v>120</v>
      </c>
      <c r="U1166" s="47"/>
      <c r="V1166" s="50"/>
      <c r="W1166" s="51"/>
      <c r="X1166" s="29">
        <v>17</v>
      </c>
      <c r="Y1166" s="52" t="s">
        <v>17</v>
      </c>
    </row>
    <row r="1167" spans="1:26" s="6" customFormat="1" ht="23.1" customHeight="1" x14ac:dyDescent="0.25">
      <c r="A1167" s="20" t="s">
        <v>539</v>
      </c>
      <c r="B1167" s="42" t="s">
        <v>110</v>
      </c>
      <c r="C1167" s="42">
        <v>44</v>
      </c>
      <c r="D1167" s="42" t="s">
        <v>1074</v>
      </c>
      <c r="E1167" s="41" t="s">
        <v>1075</v>
      </c>
      <c r="F1167" s="41" t="s">
        <v>1075</v>
      </c>
      <c r="G1167" s="42" t="s">
        <v>154</v>
      </c>
      <c r="H1167" s="42">
        <v>45</v>
      </c>
      <c r="I1167" s="47" t="s">
        <v>2125</v>
      </c>
      <c r="J1167" s="47">
        <v>1</v>
      </c>
      <c r="K1167" s="47">
        <v>0.7</v>
      </c>
      <c r="L1167" s="48">
        <v>32</v>
      </c>
      <c r="M1167" s="48">
        <v>32</v>
      </c>
      <c r="N1167" s="12" t="s">
        <v>418</v>
      </c>
      <c r="O1167" s="47"/>
      <c r="P1167" s="47">
        <v>600</v>
      </c>
      <c r="Q1167" s="47"/>
      <c r="R1167" s="47"/>
      <c r="S1167" s="49"/>
      <c r="T1167" s="47">
        <v>120</v>
      </c>
      <c r="U1167" s="47"/>
      <c r="V1167" s="50"/>
      <c r="W1167" s="51"/>
      <c r="X1167" s="29">
        <v>7</v>
      </c>
      <c r="Y1167" s="52" t="s">
        <v>64</v>
      </c>
    </row>
    <row r="1168" spans="1:26" s="6" customFormat="1" ht="23.1" customHeight="1" x14ac:dyDescent="0.25">
      <c r="A1168" s="53" t="s">
        <v>539</v>
      </c>
      <c r="B1168" s="47" t="s">
        <v>110</v>
      </c>
      <c r="C1168" s="47">
        <v>44</v>
      </c>
      <c r="D1168" s="47" t="s">
        <v>1074</v>
      </c>
      <c r="E1168" s="41" t="s">
        <v>1075</v>
      </c>
      <c r="F1168" s="41" t="s">
        <v>1075</v>
      </c>
      <c r="G1168" s="42" t="s">
        <v>154</v>
      </c>
      <c r="H1168" s="42">
        <v>50</v>
      </c>
      <c r="I1168" s="47" t="s">
        <v>2148</v>
      </c>
      <c r="J1168" s="47"/>
      <c r="K1168" s="47"/>
      <c r="L1168" s="48">
        <v>32</v>
      </c>
      <c r="M1168" s="48"/>
      <c r="N1168" s="12" t="s">
        <v>456</v>
      </c>
      <c r="O1168" s="47"/>
      <c r="P1168" s="47">
        <v>500</v>
      </c>
      <c r="Q1168" s="47"/>
      <c r="R1168" s="47"/>
      <c r="S1168" s="49">
        <v>1</v>
      </c>
      <c r="T1168" s="47">
        <v>120</v>
      </c>
      <c r="U1168" s="47"/>
      <c r="V1168" s="50">
        <v>1</v>
      </c>
      <c r="W1168" s="51">
        <v>3</v>
      </c>
      <c r="X1168" s="29">
        <v>5</v>
      </c>
      <c r="Y1168" s="52" t="s">
        <v>64</v>
      </c>
      <c r="Z1168" s="6" t="s">
        <v>1138</v>
      </c>
    </row>
    <row r="1169" spans="1:27" s="6" customFormat="1" ht="23.1" customHeight="1" x14ac:dyDescent="0.25">
      <c r="A1169" s="53" t="s">
        <v>575</v>
      </c>
      <c r="B1169" s="47" t="s">
        <v>110</v>
      </c>
      <c r="C1169" s="47">
        <v>97</v>
      </c>
      <c r="D1169" s="47" t="s">
        <v>1076</v>
      </c>
      <c r="E1169" s="41" t="s">
        <v>1065</v>
      </c>
      <c r="F1169" s="41" t="s">
        <v>1065</v>
      </c>
      <c r="G1169" s="42" t="s">
        <v>250</v>
      </c>
      <c r="H1169" s="42">
        <v>50</v>
      </c>
      <c r="I1169" s="47" t="s">
        <v>2118</v>
      </c>
      <c r="J1169" s="47">
        <v>1</v>
      </c>
      <c r="K1169" s="47">
        <v>1.3</v>
      </c>
      <c r="L1169" s="48">
        <v>32</v>
      </c>
      <c r="M1169" s="48">
        <v>32</v>
      </c>
      <c r="N1169" s="12" t="s">
        <v>1077</v>
      </c>
      <c r="O1169" s="47"/>
      <c r="P1169" s="47">
        <v>420</v>
      </c>
      <c r="Q1169" s="47">
        <v>60</v>
      </c>
      <c r="R1169" s="47"/>
      <c r="S1169" s="49">
        <v>1</v>
      </c>
      <c r="T1169" s="47">
        <v>90</v>
      </c>
      <c r="U1169" s="47"/>
      <c r="V1169" s="50"/>
      <c r="W1169" s="51"/>
      <c r="X1169" s="29">
        <v>10.1</v>
      </c>
      <c r="Y1169" s="4" t="s">
        <v>36</v>
      </c>
      <c r="AA1169" s="6" t="s">
        <v>1066</v>
      </c>
    </row>
    <row r="1170" spans="1:27" s="6" customFormat="1" ht="23.1" customHeight="1" x14ac:dyDescent="0.25">
      <c r="A1170" s="53" t="s">
        <v>575</v>
      </c>
      <c r="B1170" s="47" t="s">
        <v>110</v>
      </c>
      <c r="C1170" s="47">
        <v>97</v>
      </c>
      <c r="D1170" s="47" t="s">
        <v>1076</v>
      </c>
      <c r="E1170" s="41" t="s">
        <v>1065</v>
      </c>
      <c r="F1170" s="41" t="s">
        <v>1065</v>
      </c>
      <c r="G1170" s="42" t="s">
        <v>250</v>
      </c>
      <c r="H1170" s="42">
        <v>55</v>
      </c>
      <c r="I1170" s="47" t="s">
        <v>2119</v>
      </c>
      <c r="J1170" s="47">
        <v>1</v>
      </c>
      <c r="K1170" s="47">
        <v>2</v>
      </c>
      <c r="L1170" s="48">
        <v>32</v>
      </c>
      <c r="M1170" s="48">
        <v>32</v>
      </c>
      <c r="N1170" s="12" t="s">
        <v>1077</v>
      </c>
      <c r="O1170" s="47"/>
      <c r="P1170" s="47">
        <v>60</v>
      </c>
      <c r="Q1170" s="47">
        <v>60</v>
      </c>
      <c r="R1170" s="47"/>
      <c r="S1170" s="49">
        <v>1</v>
      </c>
      <c r="T1170" s="47">
        <v>60</v>
      </c>
      <c r="U1170" s="47"/>
      <c r="V1170" s="50"/>
      <c r="W1170" s="51"/>
      <c r="X1170" s="29">
        <v>3</v>
      </c>
      <c r="Y1170" s="4" t="s">
        <v>36</v>
      </c>
    </row>
    <row r="1171" spans="1:27" s="6" customFormat="1" ht="23.1" customHeight="1" x14ac:dyDescent="0.25">
      <c r="A1171" s="53" t="s">
        <v>575</v>
      </c>
      <c r="B1171" s="47" t="s">
        <v>110</v>
      </c>
      <c r="C1171" s="47">
        <v>100</v>
      </c>
      <c r="D1171" s="47" t="s">
        <v>937</v>
      </c>
      <c r="E1171" s="41" t="s">
        <v>938</v>
      </c>
      <c r="F1171" s="41" t="s">
        <v>938</v>
      </c>
      <c r="G1171" s="42" t="s">
        <v>939</v>
      </c>
      <c r="H1171" s="42">
        <v>10</v>
      </c>
      <c r="I1171" s="47" t="s">
        <v>1916</v>
      </c>
      <c r="J1171" s="47">
        <v>2</v>
      </c>
      <c r="K1171" s="47">
        <v>5</v>
      </c>
      <c r="L1171" s="48">
        <v>32</v>
      </c>
      <c r="M1171" s="48">
        <v>32</v>
      </c>
      <c r="N1171" s="12" t="s">
        <v>1140</v>
      </c>
      <c r="O1171" s="47"/>
      <c r="P1171" s="47">
        <v>120</v>
      </c>
      <c r="Q1171" s="47">
        <v>60</v>
      </c>
      <c r="R1171" s="47"/>
      <c r="S1171" s="49">
        <v>5</v>
      </c>
      <c r="T1171" s="47">
        <v>60</v>
      </c>
      <c r="U1171" s="47"/>
      <c r="V1171" s="50">
        <v>1</v>
      </c>
      <c r="W1171" s="51"/>
      <c r="X1171" s="29">
        <v>16</v>
      </c>
      <c r="Y1171" s="4" t="s">
        <v>36</v>
      </c>
    </row>
    <row r="1172" spans="1:27" s="6" customFormat="1" ht="23.1" customHeight="1" x14ac:dyDescent="0.25">
      <c r="A1172" s="53" t="s">
        <v>575</v>
      </c>
      <c r="B1172" s="47" t="s">
        <v>110</v>
      </c>
      <c r="C1172" s="47">
        <v>100</v>
      </c>
      <c r="D1172" s="47" t="s">
        <v>937</v>
      </c>
      <c r="E1172" s="41" t="s">
        <v>938</v>
      </c>
      <c r="F1172" s="41" t="s">
        <v>938</v>
      </c>
      <c r="G1172" s="42" t="s">
        <v>939</v>
      </c>
      <c r="H1172" s="42">
        <v>15</v>
      </c>
      <c r="I1172" s="47" t="s">
        <v>2151</v>
      </c>
      <c r="J1172" s="47">
        <v>5</v>
      </c>
      <c r="K1172" s="47">
        <v>5</v>
      </c>
      <c r="L1172" s="48">
        <v>32</v>
      </c>
      <c r="M1172" s="48">
        <v>32</v>
      </c>
      <c r="N1172" s="12" t="s">
        <v>1140</v>
      </c>
      <c r="O1172" s="47"/>
      <c r="P1172" s="47">
        <v>80</v>
      </c>
      <c r="Q1172" s="47">
        <v>60</v>
      </c>
      <c r="R1172" s="47"/>
      <c r="S1172" s="49">
        <v>5</v>
      </c>
      <c r="T1172" s="47">
        <v>90</v>
      </c>
      <c r="U1172" s="47"/>
      <c r="V1172" s="50">
        <v>1</v>
      </c>
      <c r="W1172" s="51"/>
      <c r="X1172" s="29">
        <v>13.2</v>
      </c>
      <c r="Y1172" s="4" t="s">
        <v>36</v>
      </c>
    </row>
    <row r="1173" spans="1:27" s="6" customFormat="1" ht="23.1" customHeight="1" x14ac:dyDescent="0.25">
      <c r="A1173" s="53" t="s">
        <v>575</v>
      </c>
      <c r="B1173" s="47" t="s">
        <v>110</v>
      </c>
      <c r="C1173" s="47">
        <v>102</v>
      </c>
      <c r="D1173" s="47" t="s">
        <v>1067</v>
      </c>
      <c r="E1173" s="41" t="s">
        <v>1068</v>
      </c>
      <c r="F1173" s="41" t="s">
        <v>1068</v>
      </c>
      <c r="G1173" s="42" t="s">
        <v>323</v>
      </c>
      <c r="H1173" s="42">
        <v>40</v>
      </c>
      <c r="I1173" s="47" t="s">
        <v>2122</v>
      </c>
      <c r="J1173" s="47">
        <v>0.7</v>
      </c>
      <c r="K1173" s="47">
        <v>0.8</v>
      </c>
      <c r="L1173" s="48">
        <v>32</v>
      </c>
      <c r="M1173" s="48">
        <v>32</v>
      </c>
      <c r="N1173" s="12" t="s">
        <v>1141</v>
      </c>
      <c r="O1173" s="47"/>
      <c r="P1173" s="47">
        <v>1080</v>
      </c>
      <c r="Q1173" s="47">
        <v>60</v>
      </c>
      <c r="R1173" s="47"/>
      <c r="S1173" s="49"/>
      <c r="T1173" s="47">
        <v>120</v>
      </c>
      <c r="U1173" s="47"/>
      <c r="V1173" s="50"/>
      <c r="W1173" s="51">
        <v>24</v>
      </c>
      <c r="X1173" s="29">
        <v>38.4</v>
      </c>
      <c r="Y1173" s="4" t="s">
        <v>36</v>
      </c>
      <c r="Z1173" s="6" t="s">
        <v>1142</v>
      </c>
    </row>
    <row r="1174" spans="1:27" s="6" customFormat="1" ht="23.1" customHeight="1" x14ac:dyDescent="0.25">
      <c r="A1174" s="53" t="s">
        <v>575</v>
      </c>
      <c r="B1174" s="47" t="s">
        <v>110</v>
      </c>
      <c r="C1174" s="47">
        <v>106</v>
      </c>
      <c r="D1174" s="47" t="s">
        <v>1070</v>
      </c>
      <c r="E1174" s="41" t="s">
        <v>101</v>
      </c>
      <c r="F1174" s="41" t="s">
        <v>101</v>
      </c>
      <c r="G1174" s="42" t="s">
        <v>300</v>
      </c>
      <c r="H1174" s="42">
        <v>30</v>
      </c>
      <c r="I1174" s="47" t="s">
        <v>2127</v>
      </c>
      <c r="J1174" s="47">
        <v>0.5</v>
      </c>
      <c r="K1174" s="47">
        <v>0.5</v>
      </c>
      <c r="L1174" s="48">
        <v>32</v>
      </c>
      <c r="M1174" s="48">
        <v>32</v>
      </c>
      <c r="N1174" s="12" t="s">
        <v>292</v>
      </c>
      <c r="O1174" s="47"/>
      <c r="P1174" s="47">
        <v>1500</v>
      </c>
      <c r="Q1174" s="47">
        <v>180</v>
      </c>
      <c r="R1174" s="47"/>
      <c r="S1174" s="49"/>
      <c r="T1174" s="47">
        <v>180</v>
      </c>
      <c r="U1174" s="47"/>
      <c r="V1174" s="50"/>
      <c r="W1174" s="51"/>
      <c r="X1174" s="29">
        <v>12.5</v>
      </c>
      <c r="Y1174" s="4" t="s">
        <v>36</v>
      </c>
    </row>
    <row r="1175" spans="1:27" s="6" customFormat="1" ht="23.1" customHeight="1" x14ac:dyDescent="0.25">
      <c r="A1175" s="53" t="s">
        <v>575</v>
      </c>
      <c r="B1175" s="47" t="s">
        <v>110</v>
      </c>
      <c r="C1175" s="47">
        <v>19</v>
      </c>
      <c r="D1175" s="47" t="s">
        <v>1071</v>
      </c>
      <c r="E1175" s="41" t="s">
        <v>1072</v>
      </c>
      <c r="F1175" s="41" t="e">
        <v>#N/A</v>
      </c>
      <c r="G1175" s="42" t="s">
        <v>250</v>
      </c>
      <c r="H1175" s="42">
        <v>30</v>
      </c>
      <c r="I1175" s="47" t="s">
        <v>2123</v>
      </c>
      <c r="J1175" s="47">
        <v>0.9</v>
      </c>
      <c r="K1175" s="47">
        <v>0.9</v>
      </c>
      <c r="L1175" s="48">
        <v>32</v>
      </c>
      <c r="M1175" s="48">
        <v>32</v>
      </c>
      <c r="N1175" s="12" t="s">
        <v>1143</v>
      </c>
      <c r="O1175" s="47"/>
      <c r="P1175" s="47">
        <v>650</v>
      </c>
      <c r="Q1175" s="47">
        <v>90</v>
      </c>
      <c r="R1175" s="47"/>
      <c r="S1175" s="49"/>
      <c r="T1175" s="47">
        <v>60</v>
      </c>
      <c r="U1175" s="47"/>
      <c r="V1175" s="50"/>
      <c r="W1175" s="51"/>
      <c r="X1175" s="29">
        <v>9.8000000000000007</v>
      </c>
      <c r="Y1175" s="4" t="s">
        <v>36</v>
      </c>
    </row>
    <row r="1176" spans="1:27" s="6" customFormat="1" ht="23.1" customHeight="1" x14ac:dyDescent="0.25">
      <c r="A1176" s="53" t="s">
        <v>575</v>
      </c>
      <c r="B1176" s="47" t="s">
        <v>110</v>
      </c>
      <c r="C1176" s="47">
        <v>117</v>
      </c>
      <c r="D1176" s="47" t="s">
        <v>1083</v>
      </c>
      <c r="E1176" s="41" t="s">
        <v>1082</v>
      </c>
      <c r="F1176" s="41" t="s">
        <v>1082</v>
      </c>
      <c r="G1176" s="42" t="s">
        <v>123</v>
      </c>
      <c r="H1176" s="42">
        <v>10</v>
      </c>
      <c r="I1176" s="47" t="s">
        <v>1916</v>
      </c>
      <c r="J1176" s="47"/>
      <c r="K1176" s="47">
        <v>4</v>
      </c>
      <c r="L1176" s="48">
        <v>32</v>
      </c>
      <c r="M1176" s="48">
        <v>32</v>
      </c>
      <c r="N1176" s="12" t="s">
        <v>1144</v>
      </c>
      <c r="O1176" s="47"/>
      <c r="P1176" s="47">
        <v>120</v>
      </c>
      <c r="Q1176" s="47">
        <v>60</v>
      </c>
      <c r="R1176" s="47"/>
      <c r="S1176" s="49">
        <v>4</v>
      </c>
      <c r="T1176" s="47">
        <v>60</v>
      </c>
      <c r="U1176" s="47"/>
      <c r="V1176" s="50"/>
      <c r="W1176" s="51"/>
      <c r="X1176" s="29">
        <v>12</v>
      </c>
      <c r="Y1176" s="4" t="s">
        <v>36</v>
      </c>
    </row>
    <row r="1177" spans="1:27" s="6" customFormat="1" ht="23.1" customHeight="1" x14ac:dyDescent="0.25">
      <c r="A1177" s="53" t="s">
        <v>575</v>
      </c>
      <c r="B1177" s="47" t="s">
        <v>110</v>
      </c>
      <c r="C1177" s="47">
        <v>117</v>
      </c>
      <c r="D1177" s="47" t="s">
        <v>1083</v>
      </c>
      <c r="E1177" s="41" t="s">
        <v>1082</v>
      </c>
      <c r="F1177" s="41" t="s">
        <v>1082</v>
      </c>
      <c r="G1177" s="42" t="s">
        <v>123</v>
      </c>
      <c r="H1177" s="42">
        <v>15</v>
      </c>
      <c r="I1177" s="47" t="s">
        <v>2152</v>
      </c>
      <c r="J1177" s="47"/>
      <c r="K1177" s="47">
        <v>2</v>
      </c>
      <c r="L1177" s="48">
        <v>32</v>
      </c>
      <c r="M1177" s="48">
        <v>32</v>
      </c>
      <c r="N1177" s="12" t="s">
        <v>1144</v>
      </c>
      <c r="O1177" s="47"/>
      <c r="P1177" s="47">
        <v>100</v>
      </c>
      <c r="Q1177" s="47">
        <v>60</v>
      </c>
      <c r="R1177" s="47"/>
      <c r="S1177" s="49">
        <v>2</v>
      </c>
      <c r="T1177" s="47">
        <v>90</v>
      </c>
      <c r="U1177" s="47"/>
      <c r="V1177" s="50">
        <v>1</v>
      </c>
      <c r="W1177" s="51"/>
      <c r="X1177" s="29">
        <v>6.8</v>
      </c>
      <c r="Y1177" s="4" t="s">
        <v>36</v>
      </c>
    </row>
    <row r="1178" spans="1:27" s="6" customFormat="1" ht="23.1" customHeight="1" x14ac:dyDescent="0.25">
      <c r="A1178" s="53" t="s">
        <v>575</v>
      </c>
      <c r="B1178" s="47" t="s">
        <v>110</v>
      </c>
      <c r="C1178" s="47">
        <v>20</v>
      </c>
      <c r="D1178" s="47" t="s">
        <v>1074</v>
      </c>
      <c r="E1178" s="41" t="s">
        <v>1075</v>
      </c>
      <c r="F1178" s="41" t="s">
        <v>1075</v>
      </c>
      <c r="G1178" s="42" t="s">
        <v>154</v>
      </c>
      <c r="H1178" s="42">
        <v>50</v>
      </c>
      <c r="I1178" s="47" t="s">
        <v>2148</v>
      </c>
      <c r="J1178" s="47">
        <v>1.5</v>
      </c>
      <c r="K1178" s="47">
        <v>1.5</v>
      </c>
      <c r="L1178" s="48">
        <v>32</v>
      </c>
      <c r="M1178" s="48">
        <v>32</v>
      </c>
      <c r="N1178" s="12" t="s">
        <v>1145</v>
      </c>
      <c r="O1178" s="47"/>
      <c r="P1178" s="47">
        <v>500</v>
      </c>
      <c r="Q1178" s="47"/>
      <c r="R1178" s="47"/>
      <c r="S1178" s="49">
        <v>1</v>
      </c>
      <c r="T1178" s="47">
        <v>120</v>
      </c>
      <c r="U1178" s="47"/>
      <c r="V1178" s="50"/>
      <c r="W1178" s="51"/>
      <c r="X1178" s="29">
        <v>12.5</v>
      </c>
      <c r="Y1178" s="4" t="s">
        <v>64</v>
      </c>
    </row>
    <row r="1179" spans="1:27" s="6" customFormat="1" ht="23.1" customHeight="1" x14ac:dyDescent="0.25">
      <c r="A1179" s="53" t="s">
        <v>575</v>
      </c>
      <c r="B1179" s="47" t="s">
        <v>110</v>
      </c>
      <c r="C1179" s="47">
        <v>99</v>
      </c>
      <c r="D1179" s="47" t="s">
        <v>1091</v>
      </c>
      <c r="E1179" s="41" t="s">
        <v>1092</v>
      </c>
      <c r="F1179" s="41" t="s">
        <v>1092</v>
      </c>
      <c r="G1179" s="42" t="s">
        <v>118</v>
      </c>
      <c r="H1179" s="42">
        <v>35</v>
      </c>
      <c r="I1179" s="47" t="s">
        <v>2141</v>
      </c>
      <c r="J1179" s="47">
        <v>1.5</v>
      </c>
      <c r="K1179" s="47">
        <v>1.9</v>
      </c>
      <c r="L1179" s="48">
        <v>32</v>
      </c>
      <c r="M1179" s="48">
        <v>32</v>
      </c>
      <c r="N1179" s="12" t="s">
        <v>1146</v>
      </c>
      <c r="O1179" s="47"/>
      <c r="P1179" s="47">
        <v>480</v>
      </c>
      <c r="Q1179" s="47">
        <v>60</v>
      </c>
      <c r="R1179" s="47"/>
      <c r="S1179" s="49"/>
      <c r="T1179" s="47">
        <v>120</v>
      </c>
      <c r="U1179" s="47"/>
      <c r="V1179" s="50"/>
      <c r="W1179" s="51"/>
      <c r="X1179" s="29">
        <v>15.2</v>
      </c>
      <c r="Y1179" s="4" t="s">
        <v>29</v>
      </c>
    </row>
    <row r="1180" spans="1:27" s="6" customFormat="1" ht="23.1" customHeight="1" x14ac:dyDescent="0.25">
      <c r="A1180" s="53" t="s">
        <v>575</v>
      </c>
      <c r="B1180" s="47" t="s">
        <v>110</v>
      </c>
      <c r="C1180" s="47">
        <v>98</v>
      </c>
      <c r="D1180" s="47" t="s">
        <v>481</v>
      </c>
      <c r="E1180" s="41" t="s">
        <v>482</v>
      </c>
      <c r="F1180" s="41" t="s">
        <v>482</v>
      </c>
      <c r="G1180" s="42" t="s">
        <v>118</v>
      </c>
      <c r="H1180" s="42">
        <v>15</v>
      </c>
      <c r="I1180" s="47" t="s">
        <v>2144</v>
      </c>
      <c r="J1180" s="47">
        <v>0.8</v>
      </c>
      <c r="K1180" s="47">
        <v>1.1000000000000001</v>
      </c>
      <c r="L1180" s="48">
        <v>32</v>
      </c>
      <c r="M1180" s="48">
        <v>32</v>
      </c>
      <c r="N1180" s="12" t="s">
        <v>1118</v>
      </c>
      <c r="O1180" s="47"/>
      <c r="P1180" s="47">
        <v>720</v>
      </c>
      <c r="Q1180" s="47">
        <v>60</v>
      </c>
      <c r="R1180" s="47"/>
      <c r="S1180" s="49">
        <v>1</v>
      </c>
      <c r="T1180" s="47">
        <v>120</v>
      </c>
      <c r="U1180" s="47"/>
      <c r="V1180" s="50"/>
      <c r="W1180" s="51"/>
      <c r="X1180" s="29">
        <v>14.2</v>
      </c>
      <c r="Y1180" s="4" t="s">
        <v>39</v>
      </c>
    </row>
    <row r="1181" spans="1:27" s="6" customFormat="1" ht="23.1" customHeight="1" x14ac:dyDescent="0.25">
      <c r="A1181" s="53" t="s">
        <v>575</v>
      </c>
      <c r="B1181" s="47" t="s">
        <v>110</v>
      </c>
      <c r="C1181" s="47">
        <v>83</v>
      </c>
      <c r="D1181" s="47" t="s">
        <v>1095</v>
      </c>
      <c r="E1181" s="41" t="s">
        <v>1096</v>
      </c>
      <c r="F1181" s="41" t="s">
        <v>1096</v>
      </c>
      <c r="G1181" s="42" t="s">
        <v>658</v>
      </c>
      <c r="H1181" s="42">
        <v>35</v>
      </c>
      <c r="I1181" s="47" t="s">
        <v>2139</v>
      </c>
      <c r="J1181" s="47">
        <v>1.5</v>
      </c>
      <c r="K1181" s="47">
        <v>1.5</v>
      </c>
      <c r="L1181" s="48">
        <v>32</v>
      </c>
      <c r="M1181" s="48">
        <v>32</v>
      </c>
      <c r="N1181" s="12" t="s">
        <v>282</v>
      </c>
      <c r="O1181" s="47"/>
      <c r="P1181" s="47">
        <v>600</v>
      </c>
      <c r="Q1181" s="47">
        <v>60</v>
      </c>
      <c r="R1181" s="47"/>
      <c r="S1181" s="49">
        <v>2</v>
      </c>
      <c r="T1181" s="47">
        <v>120</v>
      </c>
      <c r="U1181" s="47"/>
      <c r="V1181" s="50"/>
      <c r="W1181" s="51"/>
      <c r="X1181" s="29">
        <v>17</v>
      </c>
      <c r="Y1181" s="4" t="s">
        <v>17</v>
      </c>
    </row>
    <row r="1182" spans="1:27" s="6" customFormat="1" ht="23.1" customHeight="1" x14ac:dyDescent="0.25">
      <c r="A1182" s="53" t="s">
        <v>575</v>
      </c>
      <c r="B1182" s="42" t="s">
        <v>110</v>
      </c>
      <c r="C1182" s="42">
        <v>105</v>
      </c>
      <c r="D1182" s="42" t="s">
        <v>1097</v>
      </c>
      <c r="E1182" s="41" t="s">
        <v>1098</v>
      </c>
      <c r="F1182" s="41" t="s">
        <v>1098</v>
      </c>
      <c r="G1182" s="42" t="s">
        <v>250</v>
      </c>
      <c r="H1182" s="42">
        <v>25</v>
      </c>
      <c r="I1182" s="47" t="s">
        <v>2149</v>
      </c>
      <c r="J1182" s="47">
        <v>3</v>
      </c>
      <c r="K1182" s="47">
        <v>4</v>
      </c>
      <c r="L1182" s="48">
        <v>32</v>
      </c>
      <c r="M1182" s="48">
        <v>32</v>
      </c>
      <c r="N1182" s="12" t="s">
        <v>292</v>
      </c>
      <c r="O1182" s="47"/>
      <c r="P1182" s="47">
        <v>210</v>
      </c>
      <c r="Q1182" s="47">
        <v>60</v>
      </c>
      <c r="R1182" s="47"/>
      <c r="S1182" s="49">
        <v>4</v>
      </c>
      <c r="T1182" s="47">
        <v>60</v>
      </c>
      <c r="U1182" s="47"/>
      <c r="V1182" s="50"/>
      <c r="W1182" s="51"/>
      <c r="X1182" s="29">
        <v>18</v>
      </c>
      <c r="Y1182" s="4" t="s">
        <v>9</v>
      </c>
    </row>
    <row r="1183" spans="1:27" s="6" customFormat="1" ht="23.1" customHeight="1" x14ac:dyDescent="0.25">
      <c r="A1183" s="53" t="s">
        <v>575</v>
      </c>
      <c r="B1183" s="42" t="s">
        <v>110</v>
      </c>
      <c r="C1183" s="42">
        <v>101</v>
      </c>
      <c r="D1183" s="42" t="s">
        <v>1128</v>
      </c>
      <c r="E1183" s="41" t="s">
        <v>708</v>
      </c>
      <c r="F1183" s="41" t="e">
        <v>#N/A</v>
      </c>
      <c r="G1183" s="42" t="s">
        <v>250</v>
      </c>
      <c r="H1183" s="42">
        <v>20</v>
      </c>
      <c r="I1183" s="47" t="s">
        <v>1950</v>
      </c>
      <c r="J1183" s="47">
        <v>0.1</v>
      </c>
      <c r="K1183" s="47">
        <v>0.1</v>
      </c>
      <c r="L1183" s="48">
        <v>32</v>
      </c>
      <c r="M1183" s="48">
        <v>32</v>
      </c>
      <c r="N1183" s="12" t="s">
        <v>722</v>
      </c>
      <c r="O1183" s="47"/>
      <c r="P1183" s="47">
        <v>300</v>
      </c>
      <c r="Q1183" s="47">
        <v>60</v>
      </c>
      <c r="R1183" s="47"/>
      <c r="S1183" s="49"/>
      <c r="T1183" s="47">
        <v>60</v>
      </c>
      <c r="U1183" s="47"/>
      <c r="V1183" s="50"/>
      <c r="W1183" s="51"/>
      <c r="X1183" s="29">
        <v>0.5</v>
      </c>
      <c r="Y1183" s="4" t="s">
        <v>47</v>
      </c>
    </row>
    <row r="1184" spans="1:27" s="6" customFormat="1" ht="23.1" customHeight="1" x14ac:dyDescent="0.25">
      <c r="A1184" s="53" t="s">
        <v>575</v>
      </c>
      <c r="B1184" s="42" t="s">
        <v>110</v>
      </c>
      <c r="C1184" s="42">
        <v>101</v>
      </c>
      <c r="D1184" s="42" t="s">
        <v>1128</v>
      </c>
      <c r="E1184" s="41" t="s">
        <v>708</v>
      </c>
      <c r="F1184" s="41" t="e">
        <v>#N/A</v>
      </c>
      <c r="G1184" s="42" t="s">
        <v>250</v>
      </c>
      <c r="H1184" s="42">
        <v>25</v>
      </c>
      <c r="I1184" s="47" t="s">
        <v>2154</v>
      </c>
      <c r="J1184" s="47">
        <v>0.5</v>
      </c>
      <c r="K1184" s="47">
        <v>0.7</v>
      </c>
      <c r="L1184" s="48">
        <v>32</v>
      </c>
      <c r="M1184" s="48">
        <v>32</v>
      </c>
      <c r="N1184" s="12" t="s">
        <v>519</v>
      </c>
      <c r="O1184" s="47"/>
      <c r="P1184" s="47">
        <v>1020</v>
      </c>
      <c r="Q1184" s="47">
        <v>60</v>
      </c>
      <c r="R1184" s="47"/>
      <c r="S1184" s="49">
        <v>1</v>
      </c>
      <c r="T1184" s="47">
        <v>180</v>
      </c>
      <c r="U1184" s="47"/>
      <c r="V1184" s="50">
        <v>1</v>
      </c>
      <c r="W1184" s="51">
        <v>2</v>
      </c>
      <c r="X1184" s="29">
        <v>17.899999999999999</v>
      </c>
      <c r="Y1184" s="4" t="s">
        <v>47</v>
      </c>
      <c r="Z1184" s="6" t="s">
        <v>1147</v>
      </c>
    </row>
    <row r="1185" spans="1:26" s="6" customFormat="1" ht="23.1" customHeight="1" x14ac:dyDescent="0.25">
      <c r="A1185" s="53" t="s">
        <v>575</v>
      </c>
      <c r="B1185" s="47" t="s">
        <v>110</v>
      </c>
      <c r="C1185" s="47">
        <v>103</v>
      </c>
      <c r="D1185" s="47" t="s">
        <v>1148</v>
      </c>
      <c r="E1185" s="41" t="s">
        <v>1149</v>
      </c>
      <c r="F1185" s="41" t="s">
        <v>1149</v>
      </c>
      <c r="G1185" s="42" t="s">
        <v>300</v>
      </c>
      <c r="H1185" s="42">
        <v>2</v>
      </c>
      <c r="I1185" s="47"/>
      <c r="J1185" s="47">
        <v>1</v>
      </c>
      <c r="K1185" s="47">
        <v>3</v>
      </c>
      <c r="L1185" s="48">
        <v>32</v>
      </c>
      <c r="M1185" s="48">
        <v>32</v>
      </c>
      <c r="N1185" s="12" t="s">
        <v>1150</v>
      </c>
      <c r="O1185" s="47">
        <v>240</v>
      </c>
      <c r="P1185" s="47">
        <v>240</v>
      </c>
      <c r="Q1185" s="47"/>
      <c r="R1185" s="47">
        <v>90</v>
      </c>
      <c r="S1185" s="49">
        <v>3</v>
      </c>
      <c r="T1185" s="47"/>
      <c r="U1185" s="47">
        <v>60</v>
      </c>
      <c r="V1185" s="50">
        <v>1</v>
      </c>
      <c r="W1185" s="51">
        <v>2</v>
      </c>
      <c r="X1185" s="29">
        <v>14</v>
      </c>
      <c r="Y1185" s="52" t="s">
        <v>61</v>
      </c>
      <c r="Z1185" s="6" t="s">
        <v>1151</v>
      </c>
    </row>
    <row r="1186" spans="1:26" s="6" customFormat="1" ht="23.1" customHeight="1" x14ac:dyDescent="0.25">
      <c r="A1186" s="53" t="s">
        <v>575</v>
      </c>
      <c r="B1186" s="47" t="s">
        <v>110</v>
      </c>
      <c r="C1186" s="47">
        <v>103</v>
      </c>
      <c r="D1186" s="47" t="s">
        <v>1152</v>
      </c>
      <c r="E1186" s="41" t="s">
        <v>1149</v>
      </c>
      <c r="F1186" s="41" t="s">
        <v>1149</v>
      </c>
      <c r="G1186" s="42" t="s">
        <v>300</v>
      </c>
      <c r="H1186" s="42">
        <v>2</v>
      </c>
      <c r="I1186" s="47"/>
      <c r="J1186" s="47"/>
      <c r="K1186" s="47">
        <v>1.5</v>
      </c>
      <c r="L1186" s="48">
        <v>32</v>
      </c>
      <c r="M1186" s="48">
        <v>32</v>
      </c>
      <c r="N1186" s="12" t="s">
        <v>1153</v>
      </c>
      <c r="O1186" s="47">
        <v>240</v>
      </c>
      <c r="P1186" s="47">
        <v>240</v>
      </c>
      <c r="Q1186" s="47"/>
      <c r="R1186" s="47">
        <v>90</v>
      </c>
      <c r="S1186" s="49">
        <v>2</v>
      </c>
      <c r="T1186" s="47"/>
      <c r="U1186" s="47">
        <v>60</v>
      </c>
      <c r="V1186" s="50">
        <v>1</v>
      </c>
      <c r="W1186" s="51"/>
      <c r="X1186" s="32">
        <v>10</v>
      </c>
      <c r="Y1186" s="52" t="s">
        <v>61</v>
      </c>
    </row>
    <row r="1187" spans="1:26" s="6" customFormat="1" ht="23.1" customHeight="1" x14ac:dyDescent="0.25">
      <c r="A1187" s="53" t="s">
        <v>575</v>
      </c>
      <c r="B1187" s="47" t="s">
        <v>113</v>
      </c>
      <c r="C1187" s="47">
        <v>102</v>
      </c>
      <c r="D1187" s="47" t="s">
        <v>1067</v>
      </c>
      <c r="E1187" s="41" t="s">
        <v>1068</v>
      </c>
      <c r="F1187" s="41" t="s">
        <v>1068</v>
      </c>
      <c r="G1187" s="42" t="s">
        <v>323</v>
      </c>
      <c r="H1187" s="42">
        <v>45</v>
      </c>
      <c r="I1187" s="47" t="s">
        <v>2137</v>
      </c>
      <c r="J1187" s="47">
        <v>0.7</v>
      </c>
      <c r="K1187" s="47">
        <v>1</v>
      </c>
      <c r="L1187" s="48">
        <v>25</v>
      </c>
      <c r="M1187" s="48">
        <v>25</v>
      </c>
      <c r="N1187" s="12" t="s">
        <v>1154</v>
      </c>
      <c r="O1187" s="47"/>
      <c r="P1187" s="47">
        <v>1080</v>
      </c>
      <c r="Q1187" s="47">
        <v>60</v>
      </c>
      <c r="R1187" s="47"/>
      <c r="S1187" s="49">
        <v>1</v>
      </c>
      <c r="T1187" s="47">
        <v>150</v>
      </c>
      <c r="U1187" s="47"/>
      <c r="V1187" s="50"/>
      <c r="W1187" s="51"/>
      <c r="X1187" s="29">
        <v>19</v>
      </c>
      <c r="Y1187" s="52" t="s">
        <v>67</v>
      </c>
    </row>
    <row r="1188" spans="1:26" s="6" customFormat="1" ht="23.1" customHeight="1" x14ac:dyDescent="0.25">
      <c r="A1188" s="53" t="s">
        <v>575</v>
      </c>
      <c r="B1188" s="47" t="s">
        <v>113</v>
      </c>
      <c r="C1188" s="47">
        <v>101</v>
      </c>
      <c r="D1188" s="47" t="s">
        <v>1128</v>
      </c>
      <c r="E1188" s="41" t="s">
        <v>708</v>
      </c>
      <c r="F1188" s="41" t="e">
        <v>#N/A</v>
      </c>
      <c r="G1188" s="42" t="s">
        <v>250</v>
      </c>
      <c r="H1188" s="42">
        <v>25</v>
      </c>
      <c r="I1188" s="47" t="s">
        <v>2153</v>
      </c>
      <c r="J1188" s="47">
        <v>0.8</v>
      </c>
      <c r="K1188" s="47">
        <v>1.3</v>
      </c>
      <c r="L1188" s="48">
        <v>25</v>
      </c>
      <c r="M1188" s="48">
        <v>25</v>
      </c>
      <c r="N1188" s="12" t="s">
        <v>1137</v>
      </c>
      <c r="O1188" s="47"/>
      <c r="P1188" s="47">
        <v>1020</v>
      </c>
      <c r="Q1188" s="47">
        <v>60</v>
      </c>
      <c r="R1188" s="47"/>
      <c r="S1188" s="49">
        <v>1</v>
      </c>
      <c r="T1188" s="47">
        <v>180</v>
      </c>
      <c r="U1188" s="47"/>
      <c r="V1188" s="50"/>
      <c r="W1188" s="51"/>
      <c r="X1188" s="29">
        <v>23.1</v>
      </c>
      <c r="Y1188" s="52" t="s">
        <v>67</v>
      </c>
      <c r="Z1188" s="6" t="s">
        <v>2545</v>
      </c>
    </row>
    <row r="1189" spans="1:26" s="6" customFormat="1" ht="23.1" customHeight="1" x14ac:dyDescent="0.25">
      <c r="A1189" s="53" t="s">
        <v>575</v>
      </c>
      <c r="B1189" s="47" t="s">
        <v>113</v>
      </c>
      <c r="C1189" s="47">
        <v>100</v>
      </c>
      <c r="D1189" s="47" t="s">
        <v>937</v>
      </c>
      <c r="E1189" s="41" t="s">
        <v>938</v>
      </c>
      <c r="F1189" s="41" t="s">
        <v>938</v>
      </c>
      <c r="G1189" s="42" t="s">
        <v>939</v>
      </c>
      <c r="H1189" s="42">
        <v>20</v>
      </c>
      <c r="I1189" s="47" t="s">
        <v>2155</v>
      </c>
      <c r="J1189" s="47">
        <v>3</v>
      </c>
      <c r="K1189" s="47">
        <v>1.9</v>
      </c>
      <c r="L1189" s="48">
        <v>25</v>
      </c>
      <c r="M1189" s="48">
        <v>25</v>
      </c>
      <c r="N1189" s="12" t="s">
        <v>1155</v>
      </c>
      <c r="O1189" s="47"/>
      <c r="P1189" s="47">
        <v>330</v>
      </c>
      <c r="Q1189" s="47">
        <v>90</v>
      </c>
      <c r="R1189" s="47"/>
      <c r="S1189" s="49">
        <v>2</v>
      </c>
      <c r="T1189" s="47">
        <v>90</v>
      </c>
      <c r="U1189" s="47"/>
      <c r="V1189" s="50">
        <v>1</v>
      </c>
      <c r="W1189" s="51">
        <v>3</v>
      </c>
      <c r="X1189" s="29">
        <v>18</v>
      </c>
      <c r="Y1189" s="52" t="s">
        <v>67</v>
      </c>
      <c r="Z1189" s="6" t="s">
        <v>1078</v>
      </c>
    </row>
    <row r="1190" spans="1:26" s="6" customFormat="1" ht="23.1" customHeight="1" x14ac:dyDescent="0.25">
      <c r="A1190" s="53" t="s">
        <v>575</v>
      </c>
      <c r="B1190" s="47" t="s">
        <v>113</v>
      </c>
      <c r="C1190" s="47">
        <v>97</v>
      </c>
      <c r="D1190" s="47" t="s">
        <v>1076</v>
      </c>
      <c r="E1190" s="41" t="s">
        <v>1065</v>
      </c>
      <c r="F1190" s="41" t="s">
        <v>1065</v>
      </c>
      <c r="G1190" s="42" t="s">
        <v>250</v>
      </c>
      <c r="H1190" s="42">
        <v>60</v>
      </c>
      <c r="I1190" s="47" t="s">
        <v>2156</v>
      </c>
      <c r="J1190" s="47">
        <v>1.2</v>
      </c>
      <c r="K1190" s="47">
        <v>0.7</v>
      </c>
      <c r="L1190" s="48">
        <v>25</v>
      </c>
      <c r="M1190" s="48">
        <v>25</v>
      </c>
      <c r="N1190" s="12" t="s">
        <v>292</v>
      </c>
      <c r="O1190" s="47"/>
      <c r="P1190" s="47">
        <v>570</v>
      </c>
      <c r="Q1190" s="47">
        <v>60</v>
      </c>
      <c r="R1190" s="47"/>
      <c r="S1190" s="49">
        <v>1</v>
      </c>
      <c r="T1190" s="47">
        <v>60</v>
      </c>
      <c r="U1190" s="47"/>
      <c r="V1190" s="50">
        <v>1</v>
      </c>
      <c r="W1190" s="51"/>
      <c r="X1190" s="29">
        <v>8.6999999999999993</v>
      </c>
      <c r="Y1190" s="52" t="s">
        <v>67</v>
      </c>
    </row>
    <row r="1191" spans="1:26" s="6" customFormat="1" ht="23.1" customHeight="1" x14ac:dyDescent="0.25">
      <c r="A1191" s="53" t="s">
        <v>575</v>
      </c>
      <c r="B1191" s="47" t="s">
        <v>113</v>
      </c>
      <c r="C1191" s="47">
        <v>83</v>
      </c>
      <c r="D1191" s="47" t="s">
        <v>1095</v>
      </c>
      <c r="E1191" s="41" t="s">
        <v>1096</v>
      </c>
      <c r="F1191" s="41" t="s">
        <v>1096</v>
      </c>
      <c r="G1191" s="42" t="s">
        <v>658</v>
      </c>
      <c r="H1191" s="42">
        <v>35</v>
      </c>
      <c r="I1191" s="47" t="s">
        <v>2139</v>
      </c>
      <c r="J1191" s="47">
        <v>1.5</v>
      </c>
      <c r="K1191" s="47">
        <v>1.5</v>
      </c>
      <c r="L1191" s="48">
        <v>25</v>
      </c>
      <c r="M1191" s="48">
        <v>25</v>
      </c>
      <c r="N1191" s="12" t="s">
        <v>282</v>
      </c>
      <c r="O1191" s="47"/>
      <c r="P1191" s="47">
        <v>600</v>
      </c>
      <c r="Q1191" s="47">
        <v>60</v>
      </c>
      <c r="R1191" s="47"/>
      <c r="S1191" s="49">
        <v>1</v>
      </c>
      <c r="T1191" s="47">
        <v>120</v>
      </c>
      <c r="U1191" s="47"/>
      <c r="V1191" s="50"/>
      <c r="W1191" s="51"/>
      <c r="X1191" s="29">
        <v>16</v>
      </c>
      <c r="Y1191" s="52" t="s">
        <v>67</v>
      </c>
    </row>
    <row r="1192" spans="1:26" s="6" customFormat="1" ht="23.1" customHeight="1" x14ac:dyDescent="0.25">
      <c r="A1192" s="53" t="s">
        <v>575</v>
      </c>
      <c r="B1192" s="47" t="s">
        <v>113</v>
      </c>
      <c r="C1192" s="47">
        <v>106</v>
      </c>
      <c r="D1192" s="47" t="s">
        <v>1070</v>
      </c>
      <c r="E1192" s="41" t="s">
        <v>101</v>
      </c>
      <c r="F1192" s="41" t="s">
        <v>101</v>
      </c>
      <c r="G1192" s="42" t="s">
        <v>300</v>
      </c>
      <c r="H1192" s="42">
        <v>35</v>
      </c>
      <c r="I1192" s="47" t="s">
        <v>2157</v>
      </c>
      <c r="J1192" s="47">
        <v>0.5</v>
      </c>
      <c r="K1192" s="47">
        <v>0.7</v>
      </c>
      <c r="L1192" s="48">
        <v>25</v>
      </c>
      <c r="M1192" s="48">
        <v>25</v>
      </c>
      <c r="N1192" s="12" t="s">
        <v>292</v>
      </c>
      <c r="O1192" s="47"/>
      <c r="P1192" s="47">
        <v>1200</v>
      </c>
      <c r="Q1192" s="47">
        <v>150</v>
      </c>
      <c r="R1192" s="47"/>
      <c r="S1192" s="49">
        <v>1</v>
      </c>
      <c r="T1192" s="47">
        <v>180</v>
      </c>
      <c r="U1192" s="47"/>
      <c r="V1192" s="50">
        <v>1</v>
      </c>
      <c r="W1192" s="51"/>
      <c r="X1192" s="29">
        <v>19.5</v>
      </c>
      <c r="Y1192" s="52" t="s">
        <v>67</v>
      </c>
    </row>
    <row r="1193" spans="1:26" s="6" customFormat="1" ht="23.1" customHeight="1" x14ac:dyDescent="0.25">
      <c r="A1193" s="53" t="s">
        <v>575</v>
      </c>
      <c r="B1193" s="47" t="s">
        <v>113</v>
      </c>
      <c r="C1193" s="47">
        <v>99</v>
      </c>
      <c r="D1193" s="47" t="s">
        <v>1091</v>
      </c>
      <c r="E1193" s="41" t="s">
        <v>1092</v>
      </c>
      <c r="F1193" s="41" t="s">
        <v>1092</v>
      </c>
      <c r="G1193" s="42" t="s">
        <v>118</v>
      </c>
      <c r="H1193" s="42">
        <v>35</v>
      </c>
      <c r="I1193" s="47" t="s">
        <v>2141</v>
      </c>
      <c r="J1193" s="47">
        <v>1.6</v>
      </c>
      <c r="K1193" s="47">
        <v>0.1</v>
      </c>
      <c r="L1193" s="48">
        <v>25</v>
      </c>
      <c r="M1193" s="48">
        <v>25</v>
      </c>
      <c r="N1193" s="12" t="s">
        <v>1146</v>
      </c>
      <c r="O1193" s="47"/>
      <c r="P1193" s="47">
        <v>480</v>
      </c>
      <c r="Q1193" s="47">
        <v>60</v>
      </c>
      <c r="R1193" s="47"/>
      <c r="S1193" s="49">
        <v>1</v>
      </c>
      <c r="T1193" s="47">
        <v>120</v>
      </c>
      <c r="U1193" s="47"/>
      <c r="V1193" s="50"/>
      <c r="W1193" s="51"/>
      <c r="X1193" s="29">
        <v>1.8</v>
      </c>
      <c r="Y1193" s="52" t="s">
        <v>21</v>
      </c>
    </row>
    <row r="1194" spans="1:26" s="6" customFormat="1" ht="23.1" customHeight="1" x14ac:dyDescent="0.25">
      <c r="A1194" s="53" t="s">
        <v>575</v>
      </c>
      <c r="B1194" s="47" t="s">
        <v>113</v>
      </c>
      <c r="C1194" s="47">
        <v>99</v>
      </c>
      <c r="D1194" s="47" t="s">
        <v>1091</v>
      </c>
      <c r="E1194" s="41" t="s">
        <v>1092</v>
      </c>
      <c r="F1194" s="41" t="s">
        <v>1092</v>
      </c>
      <c r="G1194" s="42" t="s">
        <v>118</v>
      </c>
      <c r="H1194" s="42">
        <v>40</v>
      </c>
      <c r="I1194" s="47" t="s">
        <v>2145</v>
      </c>
      <c r="J1194" s="47">
        <v>1.6</v>
      </c>
      <c r="K1194" s="47">
        <v>1.9</v>
      </c>
      <c r="L1194" s="48">
        <v>25</v>
      </c>
      <c r="M1194" s="48">
        <v>25</v>
      </c>
      <c r="N1194" s="12" t="s">
        <v>1146</v>
      </c>
      <c r="O1194" s="47"/>
      <c r="P1194" s="47">
        <v>390</v>
      </c>
      <c r="Q1194" s="47">
        <v>60</v>
      </c>
      <c r="R1194" s="47"/>
      <c r="S1194" s="49">
        <v>1</v>
      </c>
      <c r="T1194" s="47">
        <v>120</v>
      </c>
      <c r="U1194" s="47"/>
      <c r="V1194" s="50">
        <v>1</v>
      </c>
      <c r="W1194" s="51">
        <v>2</v>
      </c>
      <c r="X1194" s="29">
        <v>17.399999999999999</v>
      </c>
      <c r="Y1194" s="52" t="s">
        <v>21</v>
      </c>
      <c r="Z1194" s="6" t="s">
        <v>941</v>
      </c>
    </row>
    <row r="1195" spans="1:26" s="6" customFormat="1" ht="23.1" customHeight="1" x14ac:dyDescent="0.25">
      <c r="A1195" s="53" t="s">
        <v>575</v>
      </c>
      <c r="B1195" s="47" t="s">
        <v>113</v>
      </c>
      <c r="C1195" s="47">
        <v>103</v>
      </c>
      <c r="D1195" s="47" t="s">
        <v>1148</v>
      </c>
      <c r="E1195" s="41" t="s">
        <v>1149</v>
      </c>
      <c r="F1195" s="41" t="s">
        <v>1149</v>
      </c>
      <c r="G1195" s="42" t="s">
        <v>300</v>
      </c>
      <c r="H1195" s="42">
        <v>2</v>
      </c>
      <c r="I1195" s="47"/>
      <c r="J1195" s="47">
        <v>3</v>
      </c>
      <c r="K1195" s="47">
        <v>2.5</v>
      </c>
      <c r="L1195" s="48">
        <v>25</v>
      </c>
      <c r="M1195" s="48">
        <v>25</v>
      </c>
      <c r="N1195" s="12" t="s">
        <v>1156</v>
      </c>
      <c r="O1195" s="47">
        <v>240</v>
      </c>
      <c r="P1195" s="47"/>
      <c r="Q1195" s="47"/>
      <c r="R1195" s="47">
        <v>90</v>
      </c>
      <c r="S1195" s="49">
        <v>2</v>
      </c>
      <c r="T1195" s="47"/>
      <c r="U1195" s="47"/>
      <c r="V1195" s="50"/>
      <c r="W1195" s="51">
        <v>5</v>
      </c>
      <c r="X1195" s="29">
        <v>5</v>
      </c>
      <c r="Y1195" s="52" t="s">
        <v>62</v>
      </c>
      <c r="Z1195" s="6" t="s">
        <v>1133</v>
      </c>
    </row>
    <row r="1196" spans="1:26" s="6" customFormat="1" ht="23.1" customHeight="1" x14ac:dyDescent="0.25">
      <c r="A1196" s="53" t="s">
        <v>575</v>
      </c>
      <c r="B1196" s="47" t="s">
        <v>113</v>
      </c>
      <c r="C1196" s="47">
        <v>19</v>
      </c>
      <c r="D1196" s="47" t="s">
        <v>1071</v>
      </c>
      <c r="E1196" s="41" t="s">
        <v>1072</v>
      </c>
      <c r="F1196" s="41" t="e">
        <v>#N/A</v>
      </c>
      <c r="G1196" s="42" t="s">
        <v>250</v>
      </c>
      <c r="H1196" s="42">
        <v>30</v>
      </c>
      <c r="I1196" s="47" t="s">
        <v>2123</v>
      </c>
      <c r="J1196" s="47">
        <v>0.9</v>
      </c>
      <c r="K1196" s="47">
        <v>1</v>
      </c>
      <c r="L1196" s="48">
        <v>25</v>
      </c>
      <c r="M1196" s="48">
        <v>25</v>
      </c>
      <c r="N1196" s="12" t="s">
        <v>1157</v>
      </c>
      <c r="O1196" s="47"/>
      <c r="P1196" s="47">
        <v>650</v>
      </c>
      <c r="Q1196" s="47">
        <v>90</v>
      </c>
      <c r="R1196" s="47"/>
      <c r="S1196" s="49"/>
      <c r="T1196" s="47">
        <v>60</v>
      </c>
      <c r="U1196" s="47"/>
      <c r="V1196" s="50"/>
      <c r="W1196" s="51"/>
      <c r="X1196" s="29">
        <v>10.8</v>
      </c>
      <c r="Y1196" s="52" t="s">
        <v>11</v>
      </c>
    </row>
    <row r="1197" spans="1:26" s="6" customFormat="1" ht="23.1" customHeight="1" x14ac:dyDescent="0.25">
      <c r="A1197" s="53" t="s">
        <v>575</v>
      </c>
      <c r="B1197" s="47" t="s">
        <v>113</v>
      </c>
      <c r="C1197" s="47">
        <v>44</v>
      </c>
      <c r="D1197" s="47" t="s">
        <v>1074</v>
      </c>
      <c r="E1197" s="41" t="s">
        <v>1075</v>
      </c>
      <c r="F1197" s="41" t="s">
        <v>1075</v>
      </c>
      <c r="G1197" s="42" t="s">
        <v>154</v>
      </c>
      <c r="H1197" s="42">
        <v>50</v>
      </c>
      <c r="I1197" s="47" t="s">
        <v>2456</v>
      </c>
      <c r="J1197" s="47">
        <v>1.5</v>
      </c>
      <c r="K1197" s="47">
        <v>1.8</v>
      </c>
      <c r="L1197" s="48">
        <v>25</v>
      </c>
      <c r="M1197" s="48">
        <v>25</v>
      </c>
      <c r="N1197" s="12" t="s">
        <v>1158</v>
      </c>
      <c r="O1197" s="47"/>
      <c r="P1197" s="47">
        <v>500</v>
      </c>
      <c r="Q1197" s="47"/>
      <c r="R1197" s="47"/>
      <c r="S1197" s="49">
        <v>2</v>
      </c>
      <c r="T1197" s="47">
        <v>120</v>
      </c>
      <c r="U1197" s="47"/>
      <c r="V1197" s="50"/>
      <c r="W1197" s="51"/>
      <c r="X1197" s="29">
        <v>15</v>
      </c>
      <c r="Y1197" s="52" t="s">
        <v>56</v>
      </c>
    </row>
    <row r="1198" spans="1:26" s="6" customFormat="1" ht="23.1" customHeight="1" x14ac:dyDescent="0.25">
      <c r="A1198" s="53" t="s">
        <v>575</v>
      </c>
      <c r="B1198" s="42" t="s">
        <v>113</v>
      </c>
      <c r="C1198" s="42">
        <v>105</v>
      </c>
      <c r="D1198" s="42" t="s">
        <v>1097</v>
      </c>
      <c r="E1198" s="41" t="s">
        <v>1098</v>
      </c>
      <c r="F1198" s="41" t="s">
        <v>1098</v>
      </c>
      <c r="G1198" s="42" t="s">
        <v>250</v>
      </c>
      <c r="H1198" s="42">
        <v>25</v>
      </c>
      <c r="I1198" s="47" t="s">
        <v>2149</v>
      </c>
      <c r="J1198" s="47">
        <v>2</v>
      </c>
      <c r="K1198" s="47">
        <v>2</v>
      </c>
      <c r="L1198" s="48">
        <v>25</v>
      </c>
      <c r="M1198" s="48">
        <v>25</v>
      </c>
      <c r="N1198" s="12" t="s">
        <v>1159</v>
      </c>
      <c r="O1198" s="47"/>
      <c r="P1198" s="47">
        <v>210</v>
      </c>
      <c r="Q1198" s="47">
        <v>60</v>
      </c>
      <c r="R1198" s="47"/>
      <c r="S1198" s="49"/>
      <c r="T1198" s="47">
        <v>60</v>
      </c>
      <c r="U1198" s="47"/>
      <c r="V1198" s="50"/>
      <c r="W1198" s="51"/>
      <c r="X1198" s="29">
        <v>7</v>
      </c>
      <c r="Y1198" s="52" t="s">
        <v>28</v>
      </c>
    </row>
    <row r="1199" spans="1:26" s="6" customFormat="1" ht="23.1" customHeight="1" x14ac:dyDescent="0.25">
      <c r="A1199" s="53" t="s">
        <v>575</v>
      </c>
      <c r="B1199" s="42" t="s">
        <v>113</v>
      </c>
      <c r="C1199" s="42">
        <v>105</v>
      </c>
      <c r="D1199" s="42" t="s">
        <v>1097</v>
      </c>
      <c r="E1199" s="41" t="s">
        <v>1098</v>
      </c>
      <c r="F1199" s="41" t="s">
        <v>1098</v>
      </c>
      <c r="G1199" s="42" t="s">
        <v>250</v>
      </c>
      <c r="H1199" s="42">
        <v>25</v>
      </c>
      <c r="I1199" s="47" t="s">
        <v>2149</v>
      </c>
      <c r="J1199" s="47">
        <v>1</v>
      </c>
      <c r="K1199" s="47">
        <v>1.9</v>
      </c>
      <c r="L1199" s="48">
        <v>25</v>
      </c>
      <c r="M1199" s="48">
        <v>25</v>
      </c>
      <c r="N1199" s="12" t="s">
        <v>429</v>
      </c>
      <c r="O1199" s="47"/>
      <c r="P1199" s="47">
        <v>210</v>
      </c>
      <c r="Q1199" s="47">
        <v>60</v>
      </c>
      <c r="R1199" s="47"/>
      <c r="S1199" s="49">
        <v>2</v>
      </c>
      <c r="T1199" s="47">
        <v>60</v>
      </c>
      <c r="U1199" s="47"/>
      <c r="V1199" s="50">
        <v>1</v>
      </c>
      <c r="W1199" s="51"/>
      <c r="X1199" s="29">
        <v>9.6999999999999993</v>
      </c>
      <c r="Y1199" s="52" t="s">
        <v>28</v>
      </c>
    </row>
    <row r="1200" spans="1:26" s="6" customFormat="1" ht="23.1" customHeight="1" x14ac:dyDescent="0.25">
      <c r="A1200" s="53" t="s">
        <v>575</v>
      </c>
      <c r="B1200" s="42" t="s">
        <v>113</v>
      </c>
      <c r="C1200" s="42">
        <v>98</v>
      </c>
      <c r="D1200" s="42" t="s">
        <v>481</v>
      </c>
      <c r="E1200" s="41" t="s">
        <v>482</v>
      </c>
      <c r="F1200" s="41" t="s">
        <v>482</v>
      </c>
      <c r="G1200" s="42" t="s">
        <v>118</v>
      </c>
      <c r="H1200" s="42">
        <v>15</v>
      </c>
      <c r="I1200" s="47" t="s">
        <v>2144</v>
      </c>
      <c r="J1200" s="47">
        <v>0.2</v>
      </c>
      <c r="K1200" s="47">
        <v>0.2</v>
      </c>
      <c r="L1200" s="48">
        <v>25</v>
      </c>
      <c r="M1200" s="48">
        <v>25</v>
      </c>
      <c r="N1200" s="12" t="s">
        <v>219</v>
      </c>
      <c r="O1200" s="47"/>
      <c r="P1200" s="47">
        <v>720</v>
      </c>
      <c r="Q1200" s="47">
        <v>60</v>
      </c>
      <c r="R1200" s="47"/>
      <c r="S1200" s="49"/>
      <c r="T1200" s="47">
        <v>120</v>
      </c>
      <c r="U1200" s="47"/>
      <c r="V1200" s="50"/>
      <c r="W1200" s="51"/>
      <c r="X1200" s="29">
        <v>2.4</v>
      </c>
      <c r="Y1200" s="52" t="s">
        <v>1</v>
      </c>
    </row>
    <row r="1201" spans="1:27" s="6" customFormat="1" ht="23.1" customHeight="1" x14ac:dyDescent="0.25">
      <c r="A1201" s="53" t="s">
        <v>575</v>
      </c>
      <c r="B1201" s="42" t="s">
        <v>113</v>
      </c>
      <c r="C1201" s="42">
        <v>98</v>
      </c>
      <c r="D1201" s="42" t="s">
        <v>481</v>
      </c>
      <c r="E1201" s="41" t="s">
        <v>482</v>
      </c>
      <c r="F1201" s="41" t="s">
        <v>482</v>
      </c>
      <c r="G1201" s="42" t="s">
        <v>118</v>
      </c>
      <c r="H1201" s="42">
        <v>15</v>
      </c>
      <c r="I1201" s="47" t="s">
        <v>2144</v>
      </c>
      <c r="J1201" s="47">
        <v>0.6</v>
      </c>
      <c r="K1201" s="47">
        <v>0.7</v>
      </c>
      <c r="L1201" s="48">
        <v>25</v>
      </c>
      <c r="M1201" s="48">
        <v>25</v>
      </c>
      <c r="N1201" s="12" t="s">
        <v>199</v>
      </c>
      <c r="O1201" s="47"/>
      <c r="P1201" s="47">
        <v>720</v>
      </c>
      <c r="Q1201" s="47">
        <v>60</v>
      </c>
      <c r="R1201" s="47"/>
      <c r="S1201" s="49">
        <v>1</v>
      </c>
      <c r="T1201" s="47">
        <v>120</v>
      </c>
      <c r="U1201" s="47"/>
      <c r="V1201" s="50">
        <v>1</v>
      </c>
      <c r="W1201" s="51"/>
      <c r="X1201" s="29">
        <v>11.4</v>
      </c>
      <c r="Y1201" s="52" t="s">
        <v>1</v>
      </c>
    </row>
    <row r="1202" spans="1:27" s="6" customFormat="1" ht="23.1" customHeight="1" x14ac:dyDescent="0.25">
      <c r="A1202" s="53" t="s">
        <v>653</v>
      </c>
      <c r="B1202" s="42" t="s">
        <v>113</v>
      </c>
      <c r="C1202" s="42">
        <v>19</v>
      </c>
      <c r="D1202" s="42" t="s">
        <v>1071</v>
      </c>
      <c r="E1202" s="41" t="s">
        <v>1072</v>
      </c>
      <c r="F1202" s="41" t="e">
        <v>#N/A</v>
      </c>
      <c r="G1202" s="42" t="s">
        <v>250</v>
      </c>
      <c r="H1202" s="42">
        <v>30</v>
      </c>
      <c r="I1202" s="47" t="s">
        <v>2123</v>
      </c>
      <c r="J1202" s="47">
        <v>0.9</v>
      </c>
      <c r="K1202" s="47">
        <v>1</v>
      </c>
      <c r="L1202" s="48">
        <v>25</v>
      </c>
      <c r="M1202" s="48">
        <v>25</v>
      </c>
      <c r="N1202" s="12" t="s">
        <v>1160</v>
      </c>
      <c r="O1202" s="47"/>
      <c r="P1202" s="47">
        <v>650</v>
      </c>
      <c r="Q1202" s="47">
        <v>90</v>
      </c>
      <c r="R1202" s="47"/>
      <c r="S1202" s="49">
        <v>1</v>
      </c>
      <c r="T1202" s="47">
        <v>60</v>
      </c>
      <c r="U1202" s="47"/>
      <c r="V1202" s="50"/>
      <c r="W1202" s="51"/>
      <c r="X1202" s="29">
        <v>12.3</v>
      </c>
      <c r="Y1202" s="52" t="s">
        <v>11</v>
      </c>
    </row>
    <row r="1203" spans="1:27" s="6" customFormat="1" ht="23.1" customHeight="1" x14ac:dyDescent="0.25">
      <c r="A1203" s="53" t="s">
        <v>653</v>
      </c>
      <c r="B1203" s="42" t="s">
        <v>113</v>
      </c>
      <c r="C1203" s="42">
        <v>103</v>
      </c>
      <c r="D1203" s="42" t="s">
        <v>1148</v>
      </c>
      <c r="E1203" s="41" t="s">
        <v>1149</v>
      </c>
      <c r="F1203" s="41" t="s">
        <v>1149</v>
      </c>
      <c r="G1203" s="42" t="s">
        <v>300</v>
      </c>
      <c r="H1203" s="42">
        <v>5</v>
      </c>
      <c r="I1203" s="47" t="s">
        <v>2158</v>
      </c>
      <c r="J1203" s="47">
        <v>1</v>
      </c>
      <c r="K1203" s="47">
        <v>1</v>
      </c>
      <c r="L1203" s="48">
        <v>25</v>
      </c>
      <c r="M1203" s="48">
        <v>25</v>
      </c>
      <c r="N1203" s="12" t="s">
        <v>1161</v>
      </c>
      <c r="O1203" s="47"/>
      <c r="P1203" s="47">
        <v>240</v>
      </c>
      <c r="Q1203" s="47">
        <v>120</v>
      </c>
      <c r="R1203" s="47"/>
      <c r="S1203" s="49">
        <v>1</v>
      </c>
      <c r="T1203" s="47">
        <v>90</v>
      </c>
      <c r="U1203" s="47"/>
      <c r="V1203" s="50"/>
      <c r="W1203" s="51"/>
      <c r="X1203" s="29">
        <v>6</v>
      </c>
      <c r="Y1203" s="52" t="s">
        <v>62</v>
      </c>
    </row>
    <row r="1204" spans="1:27" s="6" customFormat="1" ht="23.1" customHeight="1" x14ac:dyDescent="0.25">
      <c r="A1204" s="53" t="s">
        <v>653</v>
      </c>
      <c r="B1204" s="42" t="s">
        <v>113</v>
      </c>
      <c r="C1204" s="42">
        <v>105</v>
      </c>
      <c r="D1204" s="42" t="s">
        <v>1097</v>
      </c>
      <c r="E1204" s="41" t="s">
        <v>1098</v>
      </c>
      <c r="F1204" s="41" t="s">
        <v>1098</v>
      </c>
      <c r="G1204" s="42" t="s">
        <v>250</v>
      </c>
      <c r="H1204" s="42">
        <v>25</v>
      </c>
      <c r="I1204" s="47" t="s">
        <v>2149</v>
      </c>
      <c r="J1204" s="47">
        <v>3</v>
      </c>
      <c r="K1204" s="47">
        <v>4.9000000000000004</v>
      </c>
      <c r="L1204" s="48">
        <v>25</v>
      </c>
      <c r="M1204" s="48">
        <v>25</v>
      </c>
      <c r="N1204" s="12" t="s">
        <v>429</v>
      </c>
      <c r="O1204" s="47"/>
      <c r="P1204" s="47">
        <v>210</v>
      </c>
      <c r="Q1204" s="47">
        <v>60</v>
      </c>
      <c r="R1204" s="47"/>
      <c r="S1204" s="49">
        <v>5</v>
      </c>
      <c r="T1204" s="47">
        <v>60</v>
      </c>
      <c r="U1204" s="47"/>
      <c r="V1204" s="50"/>
      <c r="W1204" s="51"/>
      <c r="X1204" s="29">
        <v>22.2</v>
      </c>
      <c r="Y1204" s="52" t="s">
        <v>28</v>
      </c>
    </row>
    <row r="1205" spans="1:27" s="6" customFormat="1" ht="23.1" customHeight="1" x14ac:dyDescent="0.25">
      <c r="A1205" s="53" t="s">
        <v>653</v>
      </c>
      <c r="B1205" s="42" t="s">
        <v>113</v>
      </c>
      <c r="C1205" s="42">
        <v>99</v>
      </c>
      <c r="D1205" s="42" t="s">
        <v>1091</v>
      </c>
      <c r="E1205" s="41" t="s">
        <v>1092</v>
      </c>
      <c r="F1205" s="41" t="s">
        <v>1092</v>
      </c>
      <c r="G1205" s="42" t="s">
        <v>118</v>
      </c>
      <c r="H1205" s="42">
        <v>40</v>
      </c>
      <c r="I1205" s="47" t="s">
        <v>2145</v>
      </c>
      <c r="J1205" s="47">
        <v>2</v>
      </c>
      <c r="K1205" s="47">
        <v>2</v>
      </c>
      <c r="L1205" s="48">
        <v>25</v>
      </c>
      <c r="M1205" s="48">
        <v>25</v>
      </c>
      <c r="N1205" s="12" t="s">
        <v>1136</v>
      </c>
      <c r="O1205" s="47"/>
      <c r="P1205" s="47">
        <v>390</v>
      </c>
      <c r="Q1205" s="47">
        <v>60</v>
      </c>
      <c r="R1205" s="47"/>
      <c r="S1205" s="49">
        <v>2</v>
      </c>
      <c r="T1205" s="47">
        <v>120</v>
      </c>
      <c r="U1205" s="47"/>
      <c r="V1205" s="50"/>
      <c r="W1205" s="51"/>
      <c r="X1205" s="29">
        <v>15</v>
      </c>
      <c r="Y1205" s="52" t="s">
        <v>21</v>
      </c>
    </row>
    <row r="1206" spans="1:27" s="6" customFormat="1" ht="23.1" customHeight="1" x14ac:dyDescent="0.25">
      <c r="A1206" s="53" t="s">
        <v>653</v>
      </c>
      <c r="B1206" s="47" t="s">
        <v>113</v>
      </c>
      <c r="C1206" s="47">
        <v>98</v>
      </c>
      <c r="D1206" s="47" t="s">
        <v>404</v>
      </c>
      <c r="E1206" s="41" t="s">
        <v>405</v>
      </c>
      <c r="F1206" s="41" t="s">
        <v>405</v>
      </c>
      <c r="G1206" s="42" t="s">
        <v>118</v>
      </c>
      <c r="H1206" s="42">
        <v>15</v>
      </c>
      <c r="I1206" s="47" t="s">
        <v>2144</v>
      </c>
      <c r="J1206" s="47">
        <v>0.8</v>
      </c>
      <c r="K1206" s="47">
        <v>1.9</v>
      </c>
      <c r="L1206" s="48">
        <v>25</v>
      </c>
      <c r="M1206" s="48">
        <v>25</v>
      </c>
      <c r="N1206" s="12" t="s">
        <v>1137</v>
      </c>
      <c r="O1206" s="47"/>
      <c r="P1206" s="47">
        <v>720</v>
      </c>
      <c r="Q1206" s="47">
        <v>60</v>
      </c>
      <c r="R1206" s="47"/>
      <c r="S1206" s="49">
        <v>1</v>
      </c>
      <c r="T1206" s="47">
        <v>120</v>
      </c>
      <c r="U1206" s="47"/>
      <c r="V1206" s="50"/>
      <c r="W1206" s="51"/>
      <c r="X1206" s="29">
        <v>23.8</v>
      </c>
      <c r="Y1206" s="52" t="s">
        <v>1</v>
      </c>
    </row>
    <row r="1207" spans="1:27" s="6" customFormat="1" ht="23.1" customHeight="1" x14ac:dyDescent="0.25">
      <c r="A1207" s="53" t="s">
        <v>653</v>
      </c>
      <c r="B1207" s="47" t="s">
        <v>113</v>
      </c>
      <c r="C1207" s="47">
        <v>44</v>
      </c>
      <c r="D1207" s="47" t="s">
        <v>1074</v>
      </c>
      <c r="E1207" s="41" t="s">
        <v>1075</v>
      </c>
      <c r="F1207" s="41" t="s">
        <v>1075</v>
      </c>
      <c r="G1207" s="42" t="s">
        <v>154</v>
      </c>
      <c r="H1207" s="42">
        <v>50</v>
      </c>
      <c r="I1207" s="47" t="s">
        <v>2148</v>
      </c>
      <c r="J1207" s="47">
        <v>1.1000000000000001</v>
      </c>
      <c r="K1207" s="47">
        <v>1.1000000000000001</v>
      </c>
      <c r="L1207" s="48">
        <v>25</v>
      </c>
      <c r="M1207" s="48">
        <v>25</v>
      </c>
      <c r="N1207" s="12" t="s">
        <v>1100</v>
      </c>
      <c r="O1207" s="47"/>
      <c r="P1207" s="47">
        <v>500</v>
      </c>
      <c r="Q1207" s="47"/>
      <c r="R1207" s="47"/>
      <c r="S1207" s="49">
        <v>1</v>
      </c>
      <c r="T1207" s="47">
        <v>120</v>
      </c>
      <c r="U1207" s="47"/>
      <c r="V1207" s="50"/>
      <c r="W1207" s="51">
        <v>2</v>
      </c>
      <c r="X1207" s="29">
        <v>11.2</v>
      </c>
      <c r="Y1207" s="52" t="s">
        <v>56</v>
      </c>
      <c r="Z1207" s="6" t="s">
        <v>953</v>
      </c>
    </row>
    <row r="1208" spans="1:27" s="6" customFormat="1" ht="23.1" customHeight="1" x14ac:dyDescent="0.25">
      <c r="A1208" s="53" t="s">
        <v>653</v>
      </c>
      <c r="B1208" s="47" t="s">
        <v>113</v>
      </c>
      <c r="C1208" s="47">
        <v>102</v>
      </c>
      <c r="D1208" s="47" t="s">
        <v>1095</v>
      </c>
      <c r="E1208" s="41" t="s">
        <v>1096</v>
      </c>
      <c r="F1208" s="41" t="s">
        <v>1096</v>
      </c>
      <c r="G1208" s="42" t="s">
        <v>658</v>
      </c>
      <c r="H1208" s="42">
        <v>45</v>
      </c>
      <c r="I1208" s="47" t="s">
        <v>1870</v>
      </c>
      <c r="J1208" s="47">
        <v>2.5</v>
      </c>
      <c r="K1208" s="47">
        <v>3</v>
      </c>
      <c r="L1208" s="48">
        <v>25</v>
      </c>
      <c r="M1208" s="48">
        <v>25</v>
      </c>
      <c r="N1208" s="12" t="s">
        <v>282</v>
      </c>
      <c r="O1208" s="47"/>
      <c r="P1208" s="47">
        <v>270</v>
      </c>
      <c r="Q1208" s="47">
        <v>90</v>
      </c>
      <c r="R1208" s="47"/>
      <c r="S1208" s="49">
        <v>3</v>
      </c>
      <c r="T1208" s="47">
        <v>60</v>
      </c>
      <c r="U1208" s="47"/>
      <c r="V1208" s="50"/>
      <c r="W1208" s="51"/>
      <c r="X1208" s="29">
        <v>18</v>
      </c>
      <c r="Y1208" s="52" t="s">
        <v>67</v>
      </c>
    </row>
    <row r="1209" spans="1:27" s="6" customFormat="1" ht="23.1" customHeight="1" x14ac:dyDescent="0.25">
      <c r="A1209" s="53" t="s">
        <v>653</v>
      </c>
      <c r="B1209" s="47" t="s">
        <v>113</v>
      </c>
      <c r="C1209" s="47">
        <v>101</v>
      </c>
      <c r="D1209" s="47" t="s">
        <v>1128</v>
      </c>
      <c r="E1209" s="41" t="s">
        <v>708</v>
      </c>
      <c r="F1209" s="41" t="e">
        <v>#N/A</v>
      </c>
      <c r="G1209" s="42" t="s">
        <v>250</v>
      </c>
      <c r="H1209" s="42">
        <v>25</v>
      </c>
      <c r="I1209" s="47" t="s">
        <v>2154</v>
      </c>
      <c r="J1209" s="47">
        <v>0.8</v>
      </c>
      <c r="K1209" s="47">
        <v>1.2</v>
      </c>
      <c r="L1209" s="48">
        <v>25</v>
      </c>
      <c r="M1209" s="48">
        <v>25</v>
      </c>
      <c r="N1209" s="12" t="s">
        <v>1121</v>
      </c>
      <c r="O1209" s="47"/>
      <c r="P1209" s="47">
        <v>1020</v>
      </c>
      <c r="Q1209" s="47">
        <v>60</v>
      </c>
      <c r="R1209" s="47"/>
      <c r="S1209" s="49">
        <v>1</v>
      </c>
      <c r="T1209" s="47">
        <v>180</v>
      </c>
      <c r="U1209" s="47"/>
      <c r="V1209" s="50"/>
      <c r="W1209" s="51"/>
      <c r="X1209" s="29">
        <v>21.4</v>
      </c>
      <c r="Y1209" s="52" t="s">
        <v>67</v>
      </c>
    </row>
    <row r="1210" spans="1:27" s="6" customFormat="1" ht="23.1" customHeight="1" x14ac:dyDescent="0.25">
      <c r="A1210" s="53" t="s">
        <v>653</v>
      </c>
      <c r="B1210" s="47" t="s">
        <v>113</v>
      </c>
      <c r="C1210" s="47">
        <v>100</v>
      </c>
      <c r="D1210" s="47" t="s">
        <v>937</v>
      </c>
      <c r="E1210" s="41" t="s">
        <v>938</v>
      </c>
      <c r="F1210" s="41" t="s">
        <v>938</v>
      </c>
      <c r="G1210" s="42" t="s">
        <v>939</v>
      </c>
      <c r="H1210" s="42">
        <v>20</v>
      </c>
      <c r="I1210" s="47" t="s">
        <v>2155</v>
      </c>
      <c r="J1210" s="47">
        <v>1</v>
      </c>
      <c r="K1210" s="47">
        <v>1.1000000000000001</v>
      </c>
      <c r="L1210" s="48">
        <v>25</v>
      </c>
      <c r="M1210" s="48">
        <v>25</v>
      </c>
      <c r="N1210" s="12" t="s">
        <v>1162</v>
      </c>
      <c r="O1210" s="47"/>
      <c r="P1210" s="47">
        <v>330</v>
      </c>
      <c r="Q1210" s="47">
        <v>90</v>
      </c>
      <c r="R1210" s="47"/>
      <c r="S1210" s="49">
        <v>1</v>
      </c>
      <c r="T1210" s="47">
        <v>90</v>
      </c>
      <c r="U1210" s="47"/>
      <c r="V1210" s="50"/>
      <c r="W1210" s="51">
        <v>5</v>
      </c>
      <c r="X1210" s="29">
        <v>12.6</v>
      </c>
      <c r="Y1210" s="52" t="s">
        <v>67</v>
      </c>
      <c r="Z1210" s="6" t="s">
        <v>1163</v>
      </c>
    </row>
    <row r="1211" spans="1:27" s="6" customFormat="1" ht="23.1" customHeight="1" x14ac:dyDescent="0.25">
      <c r="A1211" s="53" t="s">
        <v>653</v>
      </c>
      <c r="B1211" s="47" t="s">
        <v>113</v>
      </c>
      <c r="C1211" s="47">
        <v>100</v>
      </c>
      <c r="D1211" s="47" t="s">
        <v>937</v>
      </c>
      <c r="E1211" s="41" t="s">
        <v>938</v>
      </c>
      <c r="F1211" s="41" t="s">
        <v>938</v>
      </c>
      <c r="G1211" s="42" t="s">
        <v>939</v>
      </c>
      <c r="H1211" s="42">
        <v>25</v>
      </c>
      <c r="I1211" s="47" t="s">
        <v>2160</v>
      </c>
      <c r="J1211" s="47">
        <v>1.6</v>
      </c>
      <c r="K1211" s="47">
        <v>0.9</v>
      </c>
      <c r="L1211" s="48">
        <v>25</v>
      </c>
      <c r="M1211" s="48">
        <v>25</v>
      </c>
      <c r="N1211" s="12" t="s">
        <v>470</v>
      </c>
      <c r="O1211" s="47"/>
      <c r="P1211" s="47">
        <v>270</v>
      </c>
      <c r="Q1211" s="47">
        <v>60</v>
      </c>
      <c r="R1211" s="47"/>
      <c r="S1211" s="49">
        <v>1</v>
      </c>
      <c r="T1211" s="47">
        <v>90</v>
      </c>
      <c r="U1211" s="47"/>
      <c r="V1211" s="50">
        <v>1</v>
      </c>
      <c r="W1211" s="51"/>
      <c r="X1211" s="29">
        <v>6.6</v>
      </c>
      <c r="Y1211" s="52" t="s">
        <v>67</v>
      </c>
    </row>
    <row r="1212" spans="1:27" s="6" customFormat="1" ht="23.1" customHeight="1" x14ac:dyDescent="0.25">
      <c r="A1212" s="53" t="s">
        <v>653</v>
      </c>
      <c r="B1212" s="47" t="s">
        <v>113</v>
      </c>
      <c r="C1212" s="47">
        <v>97</v>
      </c>
      <c r="D1212" s="47" t="s">
        <v>1076</v>
      </c>
      <c r="E1212" s="41" t="s">
        <v>1065</v>
      </c>
      <c r="F1212" s="41" t="s">
        <v>1065</v>
      </c>
      <c r="G1212" s="42" t="s">
        <v>250</v>
      </c>
      <c r="H1212" s="42">
        <v>60</v>
      </c>
      <c r="I1212" s="47" t="s">
        <v>2156</v>
      </c>
      <c r="J1212" s="47">
        <v>1.3</v>
      </c>
      <c r="K1212" s="47">
        <v>1.3</v>
      </c>
      <c r="L1212" s="48">
        <v>25</v>
      </c>
      <c r="M1212" s="48">
        <v>25</v>
      </c>
      <c r="N1212" s="12" t="s">
        <v>429</v>
      </c>
      <c r="O1212" s="47"/>
      <c r="P1212" s="47">
        <v>570</v>
      </c>
      <c r="Q1212" s="47">
        <v>60</v>
      </c>
      <c r="R1212" s="47"/>
      <c r="S1212" s="49">
        <v>1</v>
      </c>
      <c r="T1212" s="47">
        <v>60</v>
      </c>
      <c r="U1212" s="47"/>
      <c r="V1212" s="50"/>
      <c r="W1212" s="51"/>
      <c r="X1212" s="29">
        <v>13.4</v>
      </c>
      <c r="Y1212" s="52" t="s">
        <v>67</v>
      </c>
    </row>
    <row r="1213" spans="1:27" s="6" customFormat="1" ht="23.1" customHeight="1" x14ac:dyDescent="0.25">
      <c r="A1213" s="53" t="s">
        <v>653</v>
      </c>
      <c r="B1213" s="47" t="s">
        <v>113</v>
      </c>
      <c r="C1213" s="47">
        <v>106</v>
      </c>
      <c r="D1213" s="47" t="s">
        <v>1070</v>
      </c>
      <c r="E1213" s="41" t="s">
        <v>101</v>
      </c>
      <c r="F1213" s="41" t="s">
        <v>101</v>
      </c>
      <c r="G1213" s="42" t="s">
        <v>300</v>
      </c>
      <c r="H1213" s="42">
        <v>25</v>
      </c>
      <c r="I1213" s="47" t="s">
        <v>2163</v>
      </c>
      <c r="J1213" s="47">
        <v>0.2</v>
      </c>
      <c r="K1213" s="47">
        <v>0.2</v>
      </c>
      <c r="L1213" s="48">
        <v>25</v>
      </c>
      <c r="M1213" s="48">
        <v>25</v>
      </c>
      <c r="N1213" s="12" t="s">
        <v>247</v>
      </c>
      <c r="O1213" s="47"/>
      <c r="P1213" s="47">
        <v>4800</v>
      </c>
      <c r="Q1213" s="47">
        <v>180</v>
      </c>
      <c r="R1213" s="47"/>
      <c r="S1213" s="49"/>
      <c r="T1213" s="47">
        <v>180</v>
      </c>
      <c r="U1213" s="47"/>
      <c r="V1213" s="50"/>
      <c r="W1213" s="51"/>
      <c r="X1213" s="29">
        <v>16</v>
      </c>
      <c r="Y1213" s="52" t="s">
        <v>67</v>
      </c>
    </row>
    <row r="1214" spans="1:27" s="6" customFormat="1" ht="23.1" customHeight="1" x14ac:dyDescent="0.25">
      <c r="A1214" s="53" t="s">
        <v>653</v>
      </c>
      <c r="B1214" s="47" t="s">
        <v>113</v>
      </c>
      <c r="C1214" s="47">
        <v>102</v>
      </c>
      <c r="D1214" s="47" t="s">
        <v>1067</v>
      </c>
      <c r="E1214" s="41" t="s">
        <v>1068</v>
      </c>
      <c r="F1214" s="41" t="s">
        <v>1068</v>
      </c>
      <c r="G1214" s="42" t="s">
        <v>323</v>
      </c>
      <c r="H1214" s="42">
        <v>45</v>
      </c>
      <c r="I1214" s="47" t="s">
        <v>2457</v>
      </c>
      <c r="J1214" s="47">
        <v>0.7</v>
      </c>
      <c r="K1214" s="47">
        <v>1</v>
      </c>
      <c r="L1214" s="48">
        <v>25</v>
      </c>
      <c r="M1214" s="48">
        <v>25</v>
      </c>
      <c r="N1214" s="12" t="s">
        <v>1164</v>
      </c>
      <c r="O1214" s="47"/>
      <c r="P1214" s="47">
        <v>1080</v>
      </c>
      <c r="Q1214" s="47">
        <v>60</v>
      </c>
      <c r="R1214" s="47"/>
      <c r="S1214" s="49">
        <v>1</v>
      </c>
      <c r="T1214" s="47">
        <v>150</v>
      </c>
      <c r="U1214" s="47"/>
      <c r="V1214" s="50"/>
      <c r="W1214" s="51"/>
      <c r="X1214" s="29">
        <v>19</v>
      </c>
      <c r="Y1214" s="52" t="s">
        <v>67</v>
      </c>
    </row>
    <row r="1215" spans="1:27" s="6" customFormat="1" ht="23.1" customHeight="1" x14ac:dyDescent="0.25">
      <c r="A1215" s="53" t="s">
        <v>653</v>
      </c>
      <c r="B1215" s="47" t="s">
        <v>110</v>
      </c>
      <c r="C1215" s="47">
        <v>97</v>
      </c>
      <c r="D1215" s="47" t="s">
        <v>1076</v>
      </c>
      <c r="E1215" s="41" t="s">
        <v>1065</v>
      </c>
      <c r="F1215" s="41" t="s">
        <v>1065</v>
      </c>
      <c r="G1215" s="42" t="s">
        <v>250</v>
      </c>
      <c r="H1215" s="42">
        <v>60</v>
      </c>
      <c r="I1215" s="47" t="s">
        <v>2156</v>
      </c>
      <c r="J1215" s="47">
        <v>1.3</v>
      </c>
      <c r="K1215" s="47">
        <v>0.8</v>
      </c>
      <c r="L1215" s="48">
        <v>32</v>
      </c>
      <c r="M1215" s="48">
        <v>32</v>
      </c>
      <c r="N1215" s="12" t="s">
        <v>1165</v>
      </c>
      <c r="O1215" s="47"/>
      <c r="P1215" s="47">
        <v>570</v>
      </c>
      <c r="Q1215" s="47">
        <v>60</v>
      </c>
      <c r="R1215" s="47"/>
      <c r="S1215" s="49">
        <v>1</v>
      </c>
      <c r="T1215" s="47">
        <v>60</v>
      </c>
      <c r="U1215" s="47"/>
      <c r="V1215" s="50"/>
      <c r="W1215" s="51"/>
      <c r="X1215" s="29">
        <v>8.6</v>
      </c>
      <c r="Y1215" s="4" t="s">
        <v>36</v>
      </c>
      <c r="Z1215" s="6" t="s">
        <v>1166</v>
      </c>
      <c r="AA1215" s="6" t="s">
        <v>1066</v>
      </c>
    </row>
    <row r="1216" spans="1:27" s="6" customFormat="1" ht="23.1" customHeight="1" x14ac:dyDescent="0.25">
      <c r="A1216" s="53" t="s">
        <v>653</v>
      </c>
      <c r="B1216" s="47" t="s">
        <v>110</v>
      </c>
      <c r="C1216" s="47">
        <v>100</v>
      </c>
      <c r="D1216" s="47" t="s">
        <v>937</v>
      </c>
      <c r="E1216" s="41" t="s">
        <v>938</v>
      </c>
      <c r="F1216" s="41" t="s">
        <v>938</v>
      </c>
      <c r="G1216" s="42" t="s">
        <v>939</v>
      </c>
      <c r="H1216" s="42">
        <v>20</v>
      </c>
      <c r="I1216" s="47" t="s">
        <v>2164</v>
      </c>
      <c r="J1216" s="47">
        <v>2</v>
      </c>
      <c r="K1216" s="47">
        <v>2</v>
      </c>
      <c r="L1216" s="48">
        <v>32</v>
      </c>
      <c r="M1216" s="48">
        <v>32</v>
      </c>
      <c r="N1216" s="12" t="s">
        <v>1167</v>
      </c>
      <c r="O1216" s="47"/>
      <c r="P1216" s="47">
        <v>1080</v>
      </c>
      <c r="Q1216" s="47">
        <v>90</v>
      </c>
      <c r="R1216" s="47"/>
      <c r="S1216" s="49">
        <v>2</v>
      </c>
      <c r="T1216" s="47">
        <v>90</v>
      </c>
      <c r="U1216" s="47"/>
      <c r="V1216" s="50"/>
      <c r="W1216" s="51"/>
      <c r="X1216" s="29">
        <v>39</v>
      </c>
      <c r="Y1216" s="4" t="s">
        <v>36</v>
      </c>
    </row>
    <row r="1217" spans="1:26" s="6" customFormat="1" ht="23.1" customHeight="1" x14ac:dyDescent="0.25">
      <c r="A1217" s="53" t="s">
        <v>653</v>
      </c>
      <c r="B1217" s="47" t="s">
        <v>110</v>
      </c>
      <c r="C1217" s="47">
        <v>102</v>
      </c>
      <c r="D1217" s="47" t="s">
        <v>1067</v>
      </c>
      <c r="E1217" s="41" t="s">
        <v>1068</v>
      </c>
      <c r="F1217" s="41" t="s">
        <v>1068</v>
      </c>
      <c r="G1217" s="42" t="s">
        <v>323</v>
      </c>
      <c r="H1217" s="42">
        <v>45</v>
      </c>
      <c r="I1217" s="47" t="s">
        <v>2121</v>
      </c>
      <c r="J1217" s="47">
        <v>0.7</v>
      </c>
      <c r="K1217" s="47">
        <v>0.7</v>
      </c>
      <c r="L1217" s="48">
        <v>32</v>
      </c>
      <c r="M1217" s="48">
        <v>32</v>
      </c>
      <c r="N1217" s="12" t="s">
        <v>330</v>
      </c>
      <c r="O1217" s="47"/>
      <c r="P1217" s="47">
        <v>1080</v>
      </c>
      <c r="Q1217" s="47">
        <v>60</v>
      </c>
      <c r="R1217" s="47"/>
      <c r="S1217" s="49">
        <v>1</v>
      </c>
      <c r="T1217" s="47">
        <v>120</v>
      </c>
      <c r="U1217" s="47"/>
      <c r="V1217" s="50"/>
      <c r="W1217" s="51"/>
      <c r="X1217" s="29">
        <v>13.6</v>
      </c>
      <c r="Y1217" s="4" t="s">
        <v>36</v>
      </c>
    </row>
    <row r="1218" spans="1:26" s="6" customFormat="1" ht="23.1" customHeight="1" x14ac:dyDescent="0.25">
      <c r="A1218" s="53" t="s">
        <v>653</v>
      </c>
      <c r="B1218" s="47" t="s">
        <v>110</v>
      </c>
      <c r="C1218" s="47">
        <v>106</v>
      </c>
      <c r="D1218" s="47" t="s">
        <v>1070</v>
      </c>
      <c r="E1218" s="41" t="s">
        <v>101</v>
      </c>
      <c r="F1218" s="41" t="s">
        <v>101</v>
      </c>
      <c r="G1218" s="42" t="s">
        <v>300</v>
      </c>
      <c r="H1218" s="42">
        <v>35</v>
      </c>
      <c r="I1218" s="47" t="s">
        <v>2157</v>
      </c>
      <c r="J1218" s="47">
        <v>0.5</v>
      </c>
      <c r="K1218" s="47">
        <v>0.3</v>
      </c>
      <c r="L1218" s="48">
        <v>32</v>
      </c>
      <c r="M1218" s="48">
        <v>32</v>
      </c>
      <c r="N1218" s="12" t="s">
        <v>292</v>
      </c>
      <c r="O1218" s="47"/>
      <c r="P1218" s="47">
        <v>1200</v>
      </c>
      <c r="Q1218" s="47">
        <v>150</v>
      </c>
      <c r="R1218" s="47"/>
      <c r="S1218" s="49"/>
      <c r="T1218" s="47">
        <v>180</v>
      </c>
      <c r="U1218" s="47"/>
      <c r="V1218" s="50"/>
      <c r="W1218" s="51"/>
      <c r="X1218" s="29">
        <v>6</v>
      </c>
      <c r="Y1218" s="4" t="s">
        <v>36</v>
      </c>
    </row>
    <row r="1219" spans="1:26" s="6" customFormat="1" ht="23.1" customHeight="1" x14ac:dyDescent="0.25">
      <c r="A1219" s="53" t="s">
        <v>653</v>
      </c>
      <c r="B1219" s="47" t="s">
        <v>110</v>
      </c>
      <c r="C1219" s="47">
        <v>106</v>
      </c>
      <c r="D1219" s="47" t="s">
        <v>1070</v>
      </c>
      <c r="E1219" s="41" t="s">
        <v>101</v>
      </c>
      <c r="F1219" s="41" t="s">
        <v>101</v>
      </c>
      <c r="G1219" s="42" t="s">
        <v>300</v>
      </c>
      <c r="H1219" s="42">
        <v>25</v>
      </c>
      <c r="I1219" s="47" t="s">
        <v>2163</v>
      </c>
      <c r="J1219" s="47">
        <v>0.1</v>
      </c>
      <c r="K1219" s="47">
        <v>0.1</v>
      </c>
      <c r="L1219" s="48">
        <v>32</v>
      </c>
      <c r="M1219" s="48">
        <v>32</v>
      </c>
      <c r="N1219" s="12" t="s">
        <v>247</v>
      </c>
      <c r="O1219" s="47"/>
      <c r="P1219" s="47">
        <v>4800</v>
      </c>
      <c r="Q1219" s="47">
        <v>180</v>
      </c>
      <c r="R1219" s="47"/>
      <c r="S1219" s="49">
        <v>1</v>
      </c>
      <c r="T1219" s="47">
        <v>180</v>
      </c>
      <c r="U1219" s="47"/>
      <c r="V1219" s="50">
        <v>1</v>
      </c>
      <c r="W1219" s="51"/>
      <c r="X1219" s="29">
        <v>14</v>
      </c>
      <c r="Y1219" s="4" t="s">
        <v>36</v>
      </c>
    </row>
    <row r="1220" spans="1:26" s="6" customFormat="1" ht="23.1" customHeight="1" x14ac:dyDescent="0.25">
      <c r="A1220" s="53" t="s">
        <v>653</v>
      </c>
      <c r="B1220" s="42" t="s">
        <v>110</v>
      </c>
      <c r="C1220" s="42">
        <v>117</v>
      </c>
      <c r="D1220" s="42" t="s">
        <v>1083</v>
      </c>
      <c r="E1220" s="41" t="s">
        <v>1082</v>
      </c>
      <c r="F1220" s="41" t="s">
        <v>1082</v>
      </c>
      <c r="G1220" s="42" t="s">
        <v>123</v>
      </c>
      <c r="H1220" s="42">
        <v>15</v>
      </c>
      <c r="I1220" s="47" t="s">
        <v>2152</v>
      </c>
      <c r="J1220" s="47"/>
      <c r="K1220" s="47">
        <v>4</v>
      </c>
      <c r="L1220" s="48">
        <v>32</v>
      </c>
      <c r="M1220" s="48">
        <v>32</v>
      </c>
      <c r="N1220" s="12" t="s">
        <v>1168</v>
      </c>
      <c r="O1220" s="47"/>
      <c r="P1220" s="47">
        <v>100</v>
      </c>
      <c r="Q1220" s="47">
        <v>60</v>
      </c>
      <c r="R1220" s="47"/>
      <c r="S1220" s="49">
        <v>4</v>
      </c>
      <c r="T1220" s="47">
        <v>90</v>
      </c>
      <c r="U1220" s="47"/>
      <c r="V1220" s="50"/>
      <c r="W1220" s="51"/>
      <c r="X1220" s="29">
        <v>10.7</v>
      </c>
      <c r="Y1220" s="4" t="s">
        <v>36</v>
      </c>
    </row>
    <row r="1221" spans="1:26" s="6" customFormat="1" ht="23.1" customHeight="1" x14ac:dyDescent="0.25">
      <c r="A1221" s="53" t="s">
        <v>653</v>
      </c>
      <c r="B1221" s="42" t="s">
        <v>110</v>
      </c>
      <c r="C1221" s="42">
        <v>117</v>
      </c>
      <c r="D1221" s="42" t="s">
        <v>1081</v>
      </c>
      <c r="E1221" s="41" t="s">
        <v>1082</v>
      </c>
      <c r="F1221" s="41" t="s">
        <v>1082</v>
      </c>
      <c r="G1221" s="42" t="s">
        <v>123</v>
      </c>
      <c r="H1221" s="42">
        <v>15</v>
      </c>
      <c r="I1221" s="47" t="s">
        <v>2152</v>
      </c>
      <c r="J1221" s="47"/>
      <c r="K1221" s="47">
        <v>6</v>
      </c>
      <c r="L1221" s="48">
        <v>32</v>
      </c>
      <c r="M1221" s="48">
        <v>32</v>
      </c>
      <c r="N1221" s="12" t="s">
        <v>1169</v>
      </c>
      <c r="O1221" s="47"/>
      <c r="P1221" s="47">
        <v>100</v>
      </c>
      <c r="Q1221" s="47">
        <v>60</v>
      </c>
      <c r="R1221" s="47"/>
      <c r="S1221" s="49"/>
      <c r="T1221" s="47">
        <v>90</v>
      </c>
      <c r="U1221" s="47"/>
      <c r="V1221" s="50">
        <v>1</v>
      </c>
      <c r="W1221" s="51"/>
      <c r="X1221" s="29">
        <v>11.5</v>
      </c>
      <c r="Y1221" s="4" t="s">
        <v>36</v>
      </c>
    </row>
    <row r="1222" spans="1:26" s="6" customFormat="1" ht="23.1" customHeight="1" x14ac:dyDescent="0.25">
      <c r="A1222" s="53" t="s">
        <v>653</v>
      </c>
      <c r="B1222" s="42" t="s">
        <v>110</v>
      </c>
      <c r="C1222" s="42">
        <v>19</v>
      </c>
      <c r="D1222" s="42" t="s">
        <v>1071</v>
      </c>
      <c r="E1222" s="41" t="s">
        <v>1072</v>
      </c>
      <c r="F1222" s="41" t="e">
        <v>#N/A</v>
      </c>
      <c r="G1222" s="42" t="s">
        <v>250</v>
      </c>
      <c r="H1222" s="42">
        <v>30</v>
      </c>
      <c r="I1222" s="47" t="s">
        <v>2123</v>
      </c>
      <c r="J1222" s="47">
        <v>0.9</v>
      </c>
      <c r="K1222" s="47">
        <v>0.1</v>
      </c>
      <c r="L1222" s="48">
        <v>32</v>
      </c>
      <c r="M1222" s="48">
        <v>32</v>
      </c>
      <c r="N1222" s="12" t="s">
        <v>1170</v>
      </c>
      <c r="O1222" s="47"/>
      <c r="P1222" s="47">
        <v>650</v>
      </c>
      <c r="Q1222" s="47">
        <v>90</v>
      </c>
      <c r="R1222" s="47"/>
      <c r="S1222" s="49">
        <v>1</v>
      </c>
      <c r="T1222" s="47">
        <v>60</v>
      </c>
      <c r="U1222" s="47"/>
      <c r="V1222" s="50"/>
      <c r="W1222" s="51"/>
      <c r="X1222" s="29">
        <v>2.6</v>
      </c>
      <c r="Y1222" s="4" t="s">
        <v>36</v>
      </c>
    </row>
    <row r="1223" spans="1:26" s="6" customFormat="1" ht="23.1" customHeight="1" x14ac:dyDescent="0.25">
      <c r="A1223" s="53" t="s">
        <v>653</v>
      </c>
      <c r="B1223" s="42" t="s">
        <v>110</v>
      </c>
      <c r="C1223" s="42">
        <v>118</v>
      </c>
      <c r="D1223" s="42" t="s">
        <v>1171</v>
      </c>
      <c r="E1223" s="41" t="s">
        <v>1172</v>
      </c>
      <c r="F1223" s="41" t="s">
        <v>1172</v>
      </c>
      <c r="G1223" s="42" t="s">
        <v>300</v>
      </c>
      <c r="H1223" s="42">
        <v>15</v>
      </c>
      <c r="I1223" s="47" t="s">
        <v>1931</v>
      </c>
      <c r="J1223" s="47">
        <v>1</v>
      </c>
      <c r="K1223" s="47">
        <v>1</v>
      </c>
      <c r="L1223" s="48">
        <v>32</v>
      </c>
      <c r="M1223" s="48">
        <v>32</v>
      </c>
      <c r="N1223" s="12" t="s">
        <v>1164</v>
      </c>
      <c r="O1223" s="47"/>
      <c r="P1223" s="47">
        <v>900</v>
      </c>
      <c r="Q1223" s="47">
        <v>120</v>
      </c>
      <c r="R1223" s="47"/>
      <c r="S1223" s="49">
        <v>1</v>
      </c>
      <c r="T1223" s="47">
        <v>60</v>
      </c>
      <c r="U1223" s="47"/>
      <c r="V1223" s="50">
        <v>1</v>
      </c>
      <c r="W1223" s="51"/>
      <c r="X1223" s="29">
        <v>18</v>
      </c>
      <c r="Y1223" s="4" t="s">
        <v>36</v>
      </c>
    </row>
    <row r="1224" spans="1:26" s="6" customFormat="1" ht="23.1" customHeight="1" x14ac:dyDescent="0.25">
      <c r="A1224" s="53" t="s">
        <v>653</v>
      </c>
      <c r="B1224" s="42" t="s">
        <v>110</v>
      </c>
      <c r="C1224" s="42">
        <v>98</v>
      </c>
      <c r="D1224" s="42" t="s">
        <v>404</v>
      </c>
      <c r="E1224" s="41" t="s">
        <v>405</v>
      </c>
      <c r="F1224" s="41" t="s">
        <v>405</v>
      </c>
      <c r="G1224" s="42" t="s">
        <v>118</v>
      </c>
      <c r="H1224" s="42">
        <v>15</v>
      </c>
      <c r="I1224" s="47" t="s">
        <v>1869</v>
      </c>
      <c r="J1224" s="47">
        <v>0.8</v>
      </c>
      <c r="K1224" s="47">
        <v>1.2</v>
      </c>
      <c r="L1224" s="48">
        <v>32</v>
      </c>
      <c r="M1224" s="48">
        <v>32</v>
      </c>
      <c r="N1224" s="12" t="s">
        <v>1173</v>
      </c>
      <c r="O1224" s="47"/>
      <c r="P1224" s="47">
        <v>720</v>
      </c>
      <c r="Q1224" s="47">
        <v>60</v>
      </c>
      <c r="R1224" s="47"/>
      <c r="S1224" s="49">
        <v>1</v>
      </c>
      <c r="T1224" s="47">
        <v>120</v>
      </c>
      <c r="U1224" s="47"/>
      <c r="V1224" s="50"/>
      <c r="W1224" s="51"/>
      <c r="X1224" s="29">
        <v>15.4</v>
      </c>
      <c r="Y1224" s="52" t="s">
        <v>39</v>
      </c>
    </row>
    <row r="1225" spans="1:26" s="6" customFormat="1" ht="23.1" customHeight="1" x14ac:dyDescent="0.25">
      <c r="A1225" s="53" t="s">
        <v>653</v>
      </c>
      <c r="B1225" s="42" t="s">
        <v>110</v>
      </c>
      <c r="C1225" s="42">
        <v>99</v>
      </c>
      <c r="D1225" s="42" t="s">
        <v>1091</v>
      </c>
      <c r="E1225" s="41" t="s">
        <v>1092</v>
      </c>
      <c r="F1225" s="41" t="s">
        <v>1092</v>
      </c>
      <c r="G1225" s="42" t="s">
        <v>118</v>
      </c>
      <c r="H1225" s="42">
        <v>40</v>
      </c>
      <c r="I1225" s="47" t="s">
        <v>2145</v>
      </c>
      <c r="J1225" s="47">
        <v>2</v>
      </c>
      <c r="K1225" s="47">
        <v>2.1</v>
      </c>
      <c r="L1225" s="48">
        <v>32</v>
      </c>
      <c r="M1225" s="48">
        <v>32</v>
      </c>
      <c r="N1225" s="12" t="s">
        <v>1170</v>
      </c>
      <c r="O1225" s="47"/>
      <c r="P1225" s="47">
        <v>390</v>
      </c>
      <c r="Q1225" s="47">
        <v>60</v>
      </c>
      <c r="R1225" s="47"/>
      <c r="S1225" s="49">
        <v>2</v>
      </c>
      <c r="T1225" s="47">
        <v>120</v>
      </c>
      <c r="U1225" s="47"/>
      <c r="V1225" s="50"/>
      <c r="W1225" s="51"/>
      <c r="X1225" s="29">
        <v>15.7</v>
      </c>
      <c r="Y1225" s="52" t="s">
        <v>29</v>
      </c>
    </row>
    <row r="1226" spans="1:26" s="6" customFormat="1" ht="23.1" customHeight="1" x14ac:dyDescent="0.25">
      <c r="A1226" s="53" t="s">
        <v>653</v>
      </c>
      <c r="B1226" s="42" t="s">
        <v>110</v>
      </c>
      <c r="C1226" s="42">
        <v>101</v>
      </c>
      <c r="D1226" s="42" t="s">
        <v>1128</v>
      </c>
      <c r="E1226" s="41" t="s">
        <v>708</v>
      </c>
      <c r="F1226" s="41" t="e">
        <v>#N/A</v>
      </c>
      <c r="G1226" s="42" t="s">
        <v>250</v>
      </c>
      <c r="H1226" s="42">
        <v>25</v>
      </c>
      <c r="I1226" s="47" t="s">
        <v>2302</v>
      </c>
      <c r="J1226" s="47">
        <v>0.8</v>
      </c>
      <c r="K1226" s="47">
        <v>0.8</v>
      </c>
      <c r="L1226" s="48">
        <v>32</v>
      </c>
      <c r="M1226" s="48">
        <v>32</v>
      </c>
      <c r="N1226" s="12" t="s">
        <v>1119</v>
      </c>
      <c r="O1226" s="47"/>
      <c r="P1226" s="47">
        <v>1020</v>
      </c>
      <c r="Q1226" s="47">
        <v>60</v>
      </c>
      <c r="R1226" s="47"/>
      <c r="S1226" s="49">
        <v>1</v>
      </c>
      <c r="T1226" s="47">
        <v>180</v>
      </c>
      <c r="U1226" s="47"/>
      <c r="V1226" s="50"/>
      <c r="W1226" s="51"/>
      <c r="X1226" s="29">
        <v>14.6</v>
      </c>
      <c r="Y1226" s="52" t="s">
        <v>47</v>
      </c>
    </row>
    <row r="1227" spans="1:26" s="6" customFormat="1" ht="23.1" customHeight="1" x14ac:dyDescent="0.25">
      <c r="A1227" s="53" t="s">
        <v>653</v>
      </c>
      <c r="B1227" s="42" t="s">
        <v>110</v>
      </c>
      <c r="C1227" s="42">
        <v>103</v>
      </c>
      <c r="D1227" s="42" t="s">
        <v>1148</v>
      </c>
      <c r="E1227" s="41" t="s">
        <v>1149</v>
      </c>
      <c r="F1227" s="41" t="s">
        <v>1149</v>
      </c>
      <c r="G1227" s="42" t="s">
        <v>300</v>
      </c>
      <c r="H1227" s="42">
        <v>5</v>
      </c>
      <c r="I1227" s="47" t="s">
        <v>2158</v>
      </c>
      <c r="J1227" s="47"/>
      <c r="K1227" s="47">
        <v>1</v>
      </c>
      <c r="L1227" s="48">
        <v>32</v>
      </c>
      <c r="M1227" s="48">
        <v>32</v>
      </c>
      <c r="N1227" s="12" t="s">
        <v>1174</v>
      </c>
      <c r="O1227" s="47"/>
      <c r="P1227" s="47">
        <v>240</v>
      </c>
      <c r="Q1227" s="47">
        <v>120</v>
      </c>
      <c r="R1227" s="47"/>
      <c r="S1227" s="49">
        <v>1</v>
      </c>
      <c r="T1227" s="47">
        <v>90</v>
      </c>
      <c r="U1227" s="47"/>
      <c r="V1227" s="50">
        <v>1</v>
      </c>
      <c r="W1227" s="51">
        <v>1</v>
      </c>
      <c r="X1227" s="29">
        <v>8.5</v>
      </c>
      <c r="Y1227" s="52" t="s">
        <v>61</v>
      </c>
      <c r="Z1227" s="6" t="s">
        <v>1175</v>
      </c>
    </row>
    <row r="1228" spans="1:26" s="6" customFormat="1" ht="23.1" customHeight="1" x14ac:dyDescent="0.25">
      <c r="A1228" s="53" t="s">
        <v>653</v>
      </c>
      <c r="B1228" s="42" t="s">
        <v>110</v>
      </c>
      <c r="C1228" s="42">
        <v>105</v>
      </c>
      <c r="D1228" s="42" t="s">
        <v>1176</v>
      </c>
      <c r="E1228" s="41" t="s">
        <v>1098</v>
      </c>
      <c r="F1228" s="41" t="s">
        <v>1098</v>
      </c>
      <c r="G1228" s="42" t="s">
        <v>250</v>
      </c>
      <c r="H1228" s="42">
        <v>25</v>
      </c>
      <c r="I1228" s="47" t="s">
        <v>2149</v>
      </c>
      <c r="J1228" s="47">
        <v>3</v>
      </c>
      <c r="K1228" s="47">
        <v>3.1</v>
      </c>
      <c r="L1228" s="48">
        <v>32</v>
      </c>
      <c r="M1228" s="48">
        <v>32</v>
      </c>
      <c r="N1228" s="12" t="s">
        <v>429</v>
      </c>
      <c r="O1228" s="47"/>
      <c r="P1228" s="47">
        <v>210</v>
      </c>
      <c r="Q1228" s="47">
        <v>60</v>
      </c>
      <c r="R1228" s="47"/>
      <c r="S1228" s="49">
        <v>3</v>
      </c>
      <c r="T1228" s="47">
        <v>60</v>
      </c>
      <c r="U1228" s="47"/>
      <c r="V1228" s="50"/>
      <c r="W1228" s="51"/>
      <c r="X1228" s="29">
        <v>13.9</v>
      </c>
      <c r="Y1228" s="52" t="s">
        <v>9</v>
      </c>
    </row>
    <row r="1229" spans="1:26" s="6" customFormat="1" ht="23.1" customHeight="1" x14ac:dyDescent="0.25">
      <c r="A1229" s="53" t="s">
        <v>653</v>
      </c>
      <c r="B1229" s="42" t="s">
        <v>110</v>
      </c>
      <c r="C1229" s="42">
        <v>83</v>
      </c>
      <c r="D1229" s="42" t="s">
        <v>1095</v>
      </c>
      <c r="E1229" s="41" t="s">
        <v>1096</v>
      </c>
      <c r="F1229" s="41" t="s">
        <v>1096</v>
      </c>
      <c r="G1229" s="42" t="s">
        <v>658</v>
      </c>
      <c r="H1229" s="42">
        <v>45</v>
      </c>
      <c r="I1229" s="47" t="s">
        <v>2159</v>
      </c>
      <c r="J1229" s="47">
        <v>1</v>
      </c>
      <c r="K1229" s="47">
        <v>1</v>
      </c>
      <c r="L1229" s="48">
        <v>32</v>
      </c>
      <c r="M1229" s="48">
        <v>32</v>
      </c>
      <c r="N1229" s="12" t="s">
        <v>282</v>
      </c>
      <c r="O1229" s="47"/>
      <c r="P1229" s="47">
        <v>270</v>
      </c>
      <c r="Q1229" s="47">
        <v>90</v>
      </c>
      <c r="R1229" s="47"/>
      <c r="S1229" s="49">
        <v>1</v>
      </c>
      <c r="T1229" s="47">
        <v>60</v>
      </c>
      <c r="U1229" s="47"/>
      <c r="V1229" s="50">
        <v>1</v>
      </c>
      <c r="W1229" s="51"/>
      <c r="X1229" s="29">
        <v>7</v>
      </c>
      <c r="Y1229" s="52" t="s">
        <v>17</v>
      </c>
    </row>
    <row r="1230" spans="1:26" s="6" customFormat="1" ht="23.1" customHeight="1" x14ac:dyDescent="0.25">
      <c r="A1230" s="53" t="s">
        <v>653</v>
      </c>
      <c r="B1230" s="42" t="s">
        <v>110</v>
      </c>
      <c r="C1230" s="42">
        <v>83</v>
      </c>
      <c r="D1230" s="42" t="s">
        <v>1095</v>
      </c>
      <c r="E1230" s="41" t="s">
        <v>1096</v>
      </c>
      <c r="F1230" s="41" t="s">
        <v>1096</v>
      </c>
      <c r="G1230" s="42" t="s">
        <v>658</v>
      </c>
      <c r="H1230" s="42">
        <v>45</v>
      </c>
      <c r="I1230" s="47" t="s">
        <v>2159</v>
      </c>
      <c r="J1230" s="47"/>
      <c r="K1230" s="47">
        <v>0.5</v>
      </c>
      <c r="L1230" s="48">
        <v>32</v>
      </c>
      <c r="M1230" s="48">
        <v>32</v>
      </c>
      <c r="N1230" s="12" t="s">
        <v>282</v>
      </c>
      <c r="O1230" s="47"/>
      <c r="P1230" s="47">
        <v>270</v>
      </c>
      <c r="Q1230" s="47">
        <v>90</v>
      </c>
      <c r="R1230" s="47"/>
      <c r="S1230" s="49">
        <v>1</v>
      </c>
      <c r="T1230" s="47">
        <v>60</v>
      </c>
      <c r="U1230" s="47"/>
      <c r="V1230" s="50">
        <v>1</v>
      </c>
      <c r="W1230" s="51"/>
      <c r="X1230" s="29">
        <v>4.8</v>
      </c>
      <c r="Y1230" s="52" t="s">
        <v>17</v>
      </c>
    </row>
    <row r="1231" spans="1:26" s="6" customFormat="1" ht="23.1" customHeight="1" x14ac:dyDescent="0.25">
      <c r="A1231" s="53" t="s">
        <v>653</v>
      </c>
      <c r="B1231" s="42" t="s">
        <v>110</v>
      </c>
      <c r="C1231" s="42">
        <v>20</v>
      </c>
      <c r="D1231" s="42" t="s">
        <v>1074</v>
      </c>
      <c r="E1231" s="41" t="s">
        <v>1075</v>
      </c>
      <c r="F1231" s="41" t="s">
        <v>1075</v>
      </c>
      <c r="G1231" s="42" t="s">
        <v>154</v>
      </c>
      <c r="H1231" s="42">
        <v>50</v>
      </c>
      <c r="I1231" s="47" t="s">
        <v>2148</v>
      </c>
      <c r="J1231" s="47">
        <v>1.5</v>
      </c>
      <c r="K1231" s="47">
        <v>1.5</v>
      </c>
      <c r="L1231" s="48">
        <v>32</v>
      </c>
      <c r="M1231" s="48">
        <v>32</v>
      </c>
      <c r="N1231" s="12" t="s">
        <v>1177</v>
      </c>
      <c r="O1231" s="47"/>
      <c r="P1231" s="47">
        <v>500</v>
      </c>
      <c r="Q1231" s="47"/>
      <c r="R1231" s="47"/>
      <c r="S1231" s="49">
        <v>1</v>
      </c>
      <c r="T1231" s="47">
        <v>120</v>
      </c>
      <c r="U1231" s="47"/>
      <c r="V1231" s="50"/>
      <c r="W1231" s="51"/>
      <c r="X1231" s="29">
        <v>12.5</v>
      </c>
      <c r="Y1231" s="52" t="s">
        <v>64</v>
      </c>
    </row>
    <row r="1232" spans="1:26" s="6" customFormat="1" ht="23.1" customHeight="1" x14ac:dyDescent="0.25">
      <c r="A1232" s="53" t="s">
        <v>748</v>
      </c>
      <c r="B1232" s="42" t="s">
        <v>110</v>
      </c>
      <c r="C1232" s="42">
        <v>44</v>
      </c>
      <c r="D1232" s="42" t="s">
        <v>266</v>
      </c>
      <c r="E1232" s="41" t="s">
        <v>267</v>
      </c>
      <c r="F1232" s="41" t="s">
        <v>267</v>
      </c>
      <c r="G1232" s="42" t="s">
        <v>118</v>
      </c>
      <c r="H1232" s="42">
        <v>55</v>
      </c>
      <c r="I1232" s="47" t="s">
        <v>2166</v>
      </c>
      <c r="J1232" s="47">
        <v>0.4</v>
      </c>
      <c r="K1232" s="47"/>
      <c r="L1232" s="48">
        <v>32</v>
      </c>
      <c r="M1232" s="48">
        <v>32</v>
      </c>
      <c r="N1232" s="12" t="s">
        <v>429</v>
      </c>
      <c r="O1232" s="47"/>
      <c r="P1232" s="47">
        <v>1260</v>
      </c>
      <c r="Q1232" s="47">
        <v>90</v>
      </c>
      <c r="R1232" s="47"/>
      <c r="S1232" s="49">
        <v>1</v>
      </c>
      <c r="T1232" s="47">
        <v>60</v>
      </c>
      <c r="U1232" s="47"/>
      <c r="V1232" s="50"/>
      <c r="W1232" s="51">
        <v>3</v>
      </c>
      <c r="X1232" s="29">
        <v>4.5</v>
      </c>
      <c r="Y1232" s="52" t="s">
        <v>64</v>
      </c>
      <c r="Z1232" s="6" t="s">
        <v>1078</v>
      </c>
    </row>
    <row r="1233" spans="1:27" s="6" customFormat="1" ht="23.1" customHeight="1" x14ac:dyDescent="0.25">
      <c r="A1233" s="53" t="s">
        <v>748</v>
      </c>
      <c r="B1233" s="42" t="s">
        <v>110</v>
      </c>
      <c r="C1233" s="42">
        <v>103</v>
      </c>
      <c r="D1233" s="42" t="s">
        <v>1152</v>
      </c>
      <c r="E1233" s="41" t="s">
        <v>1149</v>
      </c>
      <c r="F1233" s="41" t="s">
        <v>1149</v>
      </c>
      <c r="G1233" s="42" t="s">
        <v>300</v>
      </c>
      <c r="H1233" s="42">
        <v>5</v>
      </c>
      <c r="I1233" s="47" t="s">
        <v>2165</v>
      </c>
      <c r="J1233" s="47">
        <v>2</v>
      </c>
      <c r="K1233" s="47">
        <v>0.5</v>
      </c>
      <c r="L1233" s="48">
        <v>32</v>
      </c>
      <c r="M1233" s="48">
        <v>32</v>
      </c>
      <c r="N1233" s="12" t="s">
        <v>1174</v>
      </c>
      <c r="O1233" s="47"/>
      <c r="P1233" s="47">
        <v>240</v>
      </c>
      <c r="Q1233" s="47">
        <v>120</v>
      </c>
      <c r="R1233" s="47"/>
      <c r="S1233" s="49">
        <v>1</v>
      </c>
      <c r="T1233" s="47">
        <v>90</v>
      </c>
      <c r="U1233" s="47"/>
      <c r="V1233" s="50">
        <v>1</v>
      </c>
      <c r="W1233" s="51"/>
      <c r="X1233" s="29">
        <v>5.5</v>
      </c>
      <c r="Y1233" s="52" t="s">
        <v>61</v>
      </c>
    </row>
    <row r="1234" spans="1:27" s="6" customFormat="1" ht="23.1" customHeight="1" x14ac:dyDescent="0.25">
      <c r="A1234" s="53" t="s">
        <v>748</v>
      </c>
      <c r="B1234" s="42" t="s">
        <v>110</v>
      </c>
      <c r="C1234" s="42">
        <v>103</v>
      </c>
      <c r="D1234" s="42" t="s">
        <v>1152</v>
      </c>
      <c r="E1234" s="41" t="s">
        <v>1149</v>
      </c>
      <c r="F1234" s="41" t="s">
        <v>1149</v>
      </c>
      <c r="G1234" s="42" t="s">
        <v>300</v>
      </c>
      <c r="H1234" s="42">
        <v>5</v>
      </c>
      <c r="I1234" s="47" t="s">
        <v>2165</v>
      </c>
      <c r="J1234" s="47"/>
      <c r="K1234" s="47">
        <v>2</v>
      </c>
      <c r="L1234" s="48">
        <v>32</v>
      </c>
      <c r="M1234" s="48">
        <v>32</v>
      </c>
      <c r="N1234" s="12" t="s">
        <v>1153</v>
      </c>
      <c r="O1234" s="47"/>
      <c r="P1234" s="47">
        <v>240</v>
      </c>
      <c r="Q1234" s="47">
        <v>120</v>
      </c>
      <c r="R1234" s="47"/>
      <c r="S1234" s="49">
        <v>2</v>
      </c>
      <c r="T1234" s="47">
        <v>90</v>
      </c>
      <c r="U1234" s="47"/>
      <c r="V1234" s="50"/>
      <c r="W1234" s="51">
        <v>1</v>
      </c>
      <c r="X1234" s="29">
        <v>13</v>
      </c>
      <c r="Y1234" s="52" t="s">
        <v>61</v>
      </c>
      <c r="Z1234" s="6" t="s">
        <v>1175</v>
      </c>
    </row>
    <row r="1235" spans="1:27" s="6" customFormat="1" ht="23.1" customHeight="1" x14ac:dyDescent="0.25">
      <c r="A1235" s="53" t="s">
        <v>748</v>
      </c>
      <c r="B1235" s="42" t="s">
        <v>110</v>
      </c>
      <c r="C1235" s="42">
        <v>105</v>
      </c>
      <c r="D1235" s="42" t="s">
        <v>1176</v>
      </c>
      <c r="E1235" s="41" t="s">
        <v>1098</v>
      </c>
      <c r="F1235" s="41" t="s">
        <v>1098</v>
      </c>
      <c r="G1235" s="7" t="s">
        <v>250</v>
      </c>
      <c r="H1235" s="42">
        <v>25</v>
      </c>
      <c r="I1235" s="47" t="s">
        <v>2149</v>
      </c>
      <c r="J1235" s="47">
        <v>2.5</v>
      </c>
      <c r="K1235" s="47">
        <v>1</v>
      </c>
      <c r="L1235" s="48">
        <v>32</v>
      </c>
      <c r="M1235" s="48">
        <v>32</v>
      </c>
      <c r="N1235" s="12" t="s">
        <v>216</v>
      </c>
      <c r="O1235" s="47"/>
      <c r="P1235" s="47">
        <v>210</v>
      </c>
      <c r="Q1235" s="47">
        <v>60</v>
      </c>
      <c r="R1235" s="47"/>
      <c r="S1235" s="49">
        <v>5</v>
      </c>
      <c r="T1235" s="47">
        <v>60</v>
      </c>
      <c r="U1235" s="47"/>
      <c r="V1235" s="50">
        <v>1</v>
      </c>
      <c r="W1235" s="51"/>
      <c r="X1235" s="29">
        <v>9.5</v>
      </c>
      <c r="Y1235" s="52" t="s">
        <v>9</v>
      </c>
    </row>
    <row r="1236" spans="1:27" s="6" customFormat="1" ht="23.1" customHeight="1" x14ac:dyDescent="0.25">
      <c r="A1236" s="53" t="s">
        <v>748</v>
      </c>
      <c r="B1236" s="42" t="s">
        <v>110</v>
      </c>
      <c r="C1236" s="42">
        <v>101</v>
      </c>
      <c r="D1236" s="42" t="s">
        <v>1128</v>
      </c>
      <c r="E1236" s="41" t="s">
        <v>708</v>
      </c>
      <c r="F1236" s="41" t="e">
        <v>#N/A</v>
      </c>
      <c r="G1236" s="42" t="s">
        <v>250</v>
      </c>
      <c r="H1236" s="42">
        <v>25</v>
      </c>
      <c r="I1236" s="47" t="s">
        <v>2302</v>
      </c>
      <c r="J1236" s="47">
        <v>0.6</v>
      </c>
      <c r="K1236" s="47">
        <v>0.1</v>
      </c>
      <c r="L1236" s="48">
        <v>32</v>
      </c>
      <c r="M1236" s="48">
        <v>32</v>
      </c>
      <c r="N1236" s="12" t="s">
        <v>722</v>
      </c>
      <c r="O1236" s="47"/>
      <c r="P1236" s="47">
        <v>1020</v>
      </c>
      <c r="Q1236" s="47">
        <v>60</v>
      </c>
      <c r="R1236" s="47"/>
      <c r="S1236" s="49"/>
      <c r="T1236" s="47">
        <v>180</v>
      </c>
      <c r="U1236" s="47"/>
      <c r="V1236" s="50"/>
      <c r="W1236" s="51"/>
      <c r="X1236" s="29">
        <v>1.7</v>
      </c>
      <c r="Y1236" s="52" t="s">
        <v>47</v>
      </c>
    </row>
    <row r="1237" spans="1:27" s="6" customFormat="1" ht="23.1" customHeight="1" x14ac:dyDescent="0.25">
      <c r="A1237" s="53" t="s">
        <v>748</v>
      </c>
      <c r="B1237" s="42" t="s">
        <v>110</v>
      </c>
      <c r="C1237" s="42">
        <v>101</v>
      </c>
      <c r="D1237" s="42" t="s">
        <v>1128</v>
      </c>
      <c r="E1237" s="41" t="s">
        <v>708</v>
      </c>
      <c r="F1237" s="41" t="e">
        <v>#N/A</v>
      </c>
      <c r="G1237" s="42" t="s">
        <v>250</v>
      </c>
      <c r="H1237" s="42">
        <v>20</v>
      </c>
      <c r="I1237" s="47" t="s">
        <v>1950</v>
      </c>
      <c r="J1237" s="47">
        <v>4</v>
      </c>
      <c r="K1237" s="47">
        <v>4</v>
      </c>
      <c r="L1237" s="48">
        <v>32</v>
      </c>
      <c r="M1237" s="48">
        <v>32</v>
      </c>
      <c r="N1237" s="12" t="s">
        <v>1129</v>
      </c>
      <c r="O1237" s="47"/>
      <c r="P1237" s="47">
        <v>300</v>
      </c>
      <c r="Q1237" s="47">
        <v>60</v>
      </c>
      <c r="R1237" s="47"/>
      <c r="S1237" s="49">
        <v>4</v>
      </c>
      <c r="T1237" s="47">
        <v>60</v>
      </c>
      <c r="U1237" s="47"/>
      <c r="V1237" s="50">
        <v>1</v>
      </c>
      <c r="W1237" s="51"/>
      <c r="X1237" s="29">
        <v>25</v>
      </c>
      <c r="Y1237" s="52" t="s">
        <v>47</v>
      </c>
    </row>
    <row r="1238" spans="1:27" s="6" customFormat="1" ht="23.1" customHeight="1" x14ac:dyDescent="0.25">
      <c r="A1238" s="53" t="s">
        <v>748</v>
      </c>
      <c r="B1238" s="42" t="s">
        <v>110</v>
      </c>
      <c r="C1238" s="42">
        <v>99</v>
      </c>
      <c r="D1238" s="42" t="s">
        <v>1091</v>
      </c>
      <c r="E1238" s="41" t="s">
        <v>1092</v>
      </c>
      <c r="F1238" s="41" t="s">
        <v>1092</v>
      </c>
      <c r="G1238" s="42" t="s">
        <v>118</v>
      </c>
      <c r="H1238" s="42">
        <v>45</v>
      </c>
      <c r="I1238" s="47" t="s">
        <v>2146</v>
      </c>
      <c r="J1238" s="47">
        <v>2.1</v>
      </c>
      <c r="K1238" s="47">
        <v>1</v>
      </c>
      <c r="L1238" s="48">
        <v>32</v>
      </c>
      <c r="M1238" s="48">
        <v>32</v>
      </c>
      <c r="N1238" s="12" t="s">
        <v>1136</v>
      </c>
      <c r="O1238" s="47"/>
      <c r="P1238" s="47">
        <v>60</v>
      </c>
      <c r="Q1238" s="47">
        <v>60</v>
      </c>
      <c r="R1238" s="47"/>
      <c r="S1238" s="49">
        <v>1</v>
      </c>
      <c r="T1238" s="47">
        <v>120</v>
      </c>
      <c r="U1238" s="47"/>
      <c r="V1238" s="50">
        <v>1</v>
      </c>
      <c r="W1238" s="51"/>
      <c r="X1238" s="29">
        <v>4</v>
      </c>
      <c r="Y1238" s="52" t="s">
        <v>29</v>
      </c>
    </row>
    <row r="1239" spans="1:27" s="6" customFormat="1" ht="23.1" customHeight="1" x14ac:dyDescent="0.25">
      <c r="A1239" s="53" t="s">
        <v>748</v>
      </c>
      <c r="B1239" s="42" t="s">
        <v>110</v>
      </c>
      <c r="C1239" s="42">
        <v>83</v>
      </c>
      <c r="D1239" s="42" t="s">
        <v>1095</v>
      </c>
      <c r="E1239" s="41" t="s">
        <v>1096</v>
      </c>
      <c r="F1239" s="41" t="s">
        <v>1096</v>
      </c>
      <c r="G1239" s="42" t="s">
        <v>658</v>
      </c>
      <c r="H1239" s="42">
        <v>45</v>
      </c>
      <c r="I1239" s="47" t="s">
        <v>1870</v>
      </c>
      <c r="J1239" s="47">
        <v>2</v>
      </c>
      <c r="K1239" s="47">
        <v>3</v>
      </c>
      <c r="L1239" s="48">
        <v>32</v>
      </c>
      <c r="M1239" s="48">
        <v>32</v>
      </c>
      <c r="N1239" s="12" t="s">
        <v>282</v>
      </c>
      <c r="O1239" s="47"/>
      <c r="P1239" s="47">
        <v>270</v>
      </c>
      <c r="Q1239" s="47">
        <v>90</v>
      </c>
      <c r="R1239" s="47"/>
      <c r="S1239" s="49">
        <v>3</v>
      </c>
      <c r="T1239" s="47">
        <v>60</v>
      </c>
      <c r="U1239" s="47"/>
      <c r="V1239" s="50"/>
      <c r="W1239" s="51"/>
      <c r="X1239" s="29">
        <v>18</v>
      </c>
      <c r="Y1239" s="52" t="s">
        <v>17</v>
      </c>
    </row>
    <row r="1240" spans="1:27" s="6" customFormat="1" ht="23.1" customHeight="1" x14ac:dyDescent="0.25">
      <c r="A1240" s="53" t="s">
        <v>748</v>
      </c>
      <c r="B1240" s="47" t="s">
        <v>110</v>
      </c>
      <c r="C1240" s="47">
        <v>98</v>
      </c>
      <c r="D1240" s="47" t="s">
        <v>404</v>
      </c>
      <c r="E1240" s="41" t="s">
        <v>405</v>
      </c>
      <c r="F1240" s="41" t="s">
        <v>405</v>
      </c>
      <c r="G1240" s="42" t="s">
        <v>118</v>
      </c>
      <c r="H1240" s="42">
        <v>15</v>
      </c>
      <c r="I1240" s="47" t="s">
        <v>2144</v>
      </c>
      <c r="J1240" s="47">
        <v>0.7</v>
      </c>
      <c r="K1240" s="47">
        <v>0.9</v>
      </c>
      <c r="L1240" s="48">
        <v>32</v>
      </c>
      <c r="M1240" s="48">
        <v>32</v>
      </c>
      <c r="N1240" s="12" t="s">
        <v>1118</v>
      </c>
      <c r="O1240" s="47"/>
      <c r="P1240" s="47">
        <v>720</v>
      </c>
      <c r="Q1240" s="47">
        <v>60</v>
      </c>
      <c r="R1240" s="47"/>
      <c r="S1240" s="49">
        <v>1</v>
      </c>
      <c r="T1240" s="47">
        <v>120</v>
      </c>
      <c r="U1240" s="47"/>
      <c r="V1240" s="50"/>
      <c r="W1240" s="51"/>
      <c r="X1240" s="29">
        <v>11.8</v>
      </c>
      <c r="Y1240" s="52" t="s">
        <v>39</v>
      </c>
    </row>
    <row r="1241" spans="1:27" s="6" customFormat="1" ht="23.1" customHeight="1" x14ac:dyDescent="0.25">
      <c r="A1241" s="53" t="s">
        <v>748</v>
      </c>
      <c r="B1241" s="47" t="s">
        <v>110</v>
      </c>
      <c r="C1241" s="47">
        <v>97</v>
      </c>
      <c r="D1241" s="47" t="s">
        <v>1076</v>
      </c>
      <c r="E1241" s="41" t="s">
        <v>1065</v>
      </c>
      <c r="F1241" s="41" t="s">
        <v>1065</v>
      </c>
      <c r="G1241" s="42" t="s">
        <v>250</v>
      </c>
      <c r="H1241" s="42">
        <v>60</v>
      </c>
      <c r="I1241" s="47" t="s">
        <v>2156</v>
      </c>
      <c r="J1241" s="47">
        <v>1</v>
      </c>
      <c r="K1241" s="47">
        <v>1</v>
      </c>
      <c r="L1241" s="48">
        <v>32</v>
      </c>
      <c r="M1241" s="48">
        <v>32</v>
      </c>
      <c r="N1241" s="12" t="s">
        <v>429</v>
      </c>
      <c r="O1241" s="47"/>
      <c r="P1241" s="47">
        <v>570</v>
      </c>
      <c r="Q1241" s="47">
        <v>60</v>
      </c>
      <c r="R1241" s="47"/>
      <c r="S1241" s="49">
        <v>1</v>
      </c>
      <c r="T1241" s="47">
        <v>60</v>
      </c>
      <c r="U1241" s="47"/>
      <c r="V1241" s="50"/>
      <c r="W1241" s="51"/>
      <c r="X1241" s="29">
        <v>10.5</v>
      </c>
      <c r="Y1241" s="4" t="s">
        <v>34</v>
      </c>
      <c r="Z1241" s="6" t="s">
        <v>1166</v>
      </c>
      <c r="AA1241" s="6" t="s">
        <v>1066</v>
      </c>
    </row>
    <row r="1242" spans="1:27" s="6" customFormat="1" ht="23.1" customHeight="1" x14ac:dyDescent="0.25">
      <c r="A1242" s="53" t="s">
        <v>748</v>
      </c>
      <c r="B1242" s="47" t="s">
        <v>110</v>
      </c>
      <c r="C1242" s="47">
        <v>100</v>
      </c>
      <c r="D1242" s="47" t="s">
        <v>937</v>
      </c>
      <c r="E1242" s="41" t="s">
        <v>938</v>
      </c>
      <c r="F1242" s="41" t="s">
        <v>938</v>
      </c>
      <c r="G1242" s="42" t="s">
        <v>939</v>
      </c>
      <c r="H1242" s="42">
        <v>25</v>
      </c>
      <c r="I1242" s="47" t="s">
        <v>2160</v>
      </c>
      <c r="J1242" s="47">
        <v>2.4</v>
      </c>
      <c r="K1242" s="47">
        <v>2</v>
      </c>
      <c r="L1242" s="48">
        <v>32</v>
      </c>
      <c r="M1242" s="48">
        <v>32</v>
      </c>
      <c r="N1242" s="12" t="s">
        <v>1167</v>
      </c>
      <c r="O1242" s="47"/>
      <c r="P1242" s="47">
        <v>270</v>
      </c>
      <c r="Q1242" s="47">
        <v>60</v>
      </c>
      <c r="R1242" s="47"/>
      <c r="S1242" s="49"/>
      <c r="T1242" s="47">
        <v>90</v>
      </c>
      <c r="U1242" s="47"/>
      <c r="V1242" s="50"/>
      <c r="W1242" s="51"/>
      <c r="X1242" s="29">
        <v>9</v>
      </c>
      <c r="Y1242" s="4" t="s">
        <v>34</v>
      </c>
    </row>
    <row r="1243" spans="1:27" s="6" customFormat="1" ht="23.1" customHeight="1" x14ac:dyDescent="0.25">
      <c r="A1243" s="53" t="s">
        <v>748</v>
      </c>
      <c r="B1243" s="47" t="s">
        <v>110</v>
      </c>
      <c r="C1243" s="47">
        <v>102</v>
      </c>
      <c r="D1243" s="47" t="s">
        <v>1067</v>
      </c>
      <c r="E1243" s="41" t="s">
        <v>1068</v>
      </c>
      <c r="F1243" s="41" t="s">
        <v>1068</v>
      </c>
      <c r="G1243" s="42" t="s">
        <v>323</v>
      </c>
      <c r="H1243" s="42">
        <v>40</v>
      </c>
      <c r="I1243" s="47" t="s">
        <v>2122</v>
      </c>
      <c r="J1243" s="47">
        <v>0.5</v>
      </c>
      <c r="K1243" s="47">
        <v>0.6</v>
      </c>
      <c r="L1243" s="48">
        <v>32</v>
      </c>
      <c r="M1243" s="48">
        <v>32</v>
      </c>
      <c r="N1243" s="12" t="s">
        <v>251</v>
      </c>
      <c r="O1243" s="47"/>
      <c r="P1243" s="47">
        <v>1080</v>
      </c>
      <c r="Q1243" s="47">
        <v>60</v>
      </c>
      <c r="R1243" s="47"/>
      <c r="S1243" s="49"/>
      <c r="T1243" s="47">
        <v>120</v>
      </c>
      <c r="U1243" s="47"/>
      <c r="V1243" s="50"/>
      <c r="W1243" s="51"/>
      <c r="X1243" s="29">
        <v>10.8</v>
      </c>
      <c r="Y1243" s="4" t="s">
        <v>34</v>
      </c>
    </row>
    <row r="1244" spans="1:27" s="6" customFormat="1" ht="23.1" customHeight="1" x14ac:dyDescent="0.25">
      <c r="A1244" s="53" t="s">
        <v>748</v>
      </c>
      <c r="B1244" s="47" t="s">
        <v>110</v>
      </c>
      <c r="C1244" s="47">
        <v>106</v>
      </c>
      <c r="D1244" s="47" t="s">
        <v>1070</v>
      </c>
      <c r="E1244" s="41" t="s">
        <v>101</v>
      </c>
      <c r="F1244" s="41" t="s">
        <v>101</v>
      </c>
      <c r="G1244" s="42" t="s">
        <v>300</v>
      </c>
      <c r="H1244" s="42">
        <v>25</v>
      </c>
      <c r="I1244" s="47" t="s">
        <v>2163</v>
      </c>
      <c r="J1244" s="47">
        <v>0.15</v>
      </c>
      <c r="K1244" s="47">
        <v>0.15</v>
      </c>
      <c r="L1244" s="48">
        <v>32</v>
      </c>
      <c r="M1244" s="48">
        <v>32</v>
      </c>
      <c r="N1244" s="12" t="s">
        <v>247</v>
      </c>
      <c r="O1244" s="47"/>
      <c r="P1244" s="47">
        <v>4800</v>
      </c>
      <c r="Q1244" s="47">
        <v>180</v>
      </c>
      <c r="R1244" s="47"/>
      <c r="S1244" s="49"/>
      <c r="T1244" s="47">
        <v>180</v>
      </c>
      <c r="U1244" s="47"/>
      <c r="V1244" s="50"/>
      <c r="W1244" s="51"/>
      <c r="X1244" s="29">
        <v>12</v>
      </c>
      <c r="Y1244" s="4" t="s">
        <v>34</v>
      </c>
    </row>
    <row r="1245" spans="1:27" s="6" customFormat="1" ht="23.1" customHeight="1" x14ac:dyDescent="0.25">
      <c r="A1245" s="53" t="s">
        <v>748</v>
      </c>
      <c r="B1245" s="47" t="s">
        <v>110</v>
      </c>
      <c r="C1245" s="47">
        <v>19</v>
      </c>
      <c r="D1245" s="47" t="s">
        <v>1071</v>
      </c>
      <c r="E1245" s="41" t="s">
        <v>1072</v>
      </c>
      <c r="F1245" s="41" t="e">
        <v>#N/A</v>
      </c>
      <c r="G1245" s="42" t="s">
        <v>250</v>
      </c>
      <c r="H1245" s="42">
        <v>30</v>
      </c>
      <c r="I1245" s="47" t="s">
        <v>2123</v>
      </c>
      <c r="J1245" s="47">
        <v>0.5</v>
      </c>
      <c r="K1245" s="47">
        <v>0.4</v>
      </c>
      <c r="L1245" s="48">
        <v>32</v>
      </c>
      <c r="M1245" s="48">
        <v>32</v>
      </c>
      <c r="N1245" s="12"/>
      <c r="O1245" s="47"/>
      <c r="P1245" s="47">
        <v>650</v>
      </c>
      <c r="Q1245" s="47">
        <v>90</v>
      </c>
      <c r="R1245" s="47"/>
      <c r="S1245" s="49"/>
      <c r="T1245" s="47">
        <v>60</v>
      </c>
      <c r="U1245" s="47"/>
      <c r="V1245" s="50"/>
      <c r="W1245" s="51">
        <v>3</v>
      </c>
      <c r="X1245" s="29">
        <v>7.3</v>
      </c>
      <c r="Y1245" s="4" t="s">
        <v>34</v>
      </c>
      <c r="Z1245" s="6" t="s">
        <v>1078</v>
      </c>
    </row>
    <row r="1246" spans="1:27" s="6" customFormat="1" ht="23.1" customHeight="1" x14ac:dyDescent="0.25">
      <c r="A1246" s="53" t="s">
        <v>748</v>
      </c>
      <c r="B1246" s="47" t="s">
        <v>110</v>
      </c>
      <c r="C1246" s="47">
        <v>97</v>
      </c>
      <c r="D1246" s="47" t="s">
        <v>1076</v>
      </c>
      <c r="E1246" s="41" t="s">
        <v>1065</v>
      </c>
      <c r="F1246" s="41" t="s">
        <v>1065</v>
      </c>
      <c r="G1246" s="42" t="s">
        <v>250</v>
      </c>
      <c r="H1246" s="42">
        <v>50</v>
      </c>
      <c r="I1246" s="47" t="s">
        <v>2118</v>
      </c>
      <c r="J1246" s="47">
        <v>1</v>
      </c>
      <c r="K1246" s="47">
        <v>1</v>
      </c>
      <c r="L1246" s="48">
        <v>32</v>
      </c>
      <c r="M1246" s="48">
        <v>32</v>
      </c>
      <c r="N1246" s="12" t="s">
        <v>1077</v>
      </c>
      <c r="O1246" s="47"/>
      <c r="P1246" s="47">
        <v>420</v>
      </c>
      <c r="Q1246" s="47">
        <v>60</v>
      </c>
      <c r="R1246" s="47"/>
      <c r="S1246" s="49">
        <v>1</v>
      </c>
      <c r="T1246" s="47">
        <v>90</v>
      </c>
      <c r="U1246" s="47"/>
      <c r="V1246" s="50"/>
      <c r="W1246" s="51"/>
      <c r="X1246" s="29">
        <v>8</v>
      </c>
      <c r="Y1246" s="52" t="s">
        <v>74</v>
      </c>
    </row>
    <row r="1247" spans="1:27" s="6" customFormat="1" ht="23.1" customHeight="1" x14ac:dyDescent="0.25">
      <c r="A1247" s="53" t="s">
        <v>748</v>
      </c>
      <c r="B1247" s="47" t="s">
        <v>110</v>
      </c>
      <c r="C1247" s="47">
        <v>97</v>
      </c>
      <c r="D1247" s="47" t="s">
        <v>1064</v>
      </c>
      <c r="E1247" s="41" t="s">
        <v>1065</v>
      </c>
      <c r="F1247" s="41" t="s">
        <v>1065</v>
      </c>
      <c r="G1247" s="42" t="s">
        <v>250</v>
      </c>
      <c r="H1247" s="42">
        <v>55</v>
      </c>
      <c r="I1247" s="47" t="s">
        <v>2119</v>
      </c>
      <c r="J1247" s="47">
        <v>1</v>
      </c>
      <c r="K1247" s="47">
        <v>1</v>
      </c>
      <c r="L1247" s="48">
        <v>32</v>
      </c>
      <c r="M1247" s="48">
        <v>32</v>
      </c>
      <c r="N1247" s="12" t="s">
        <v>1086</v>
      </c>
      <c r="O1247" s="47"/>
      <c r="P1247" s="47">
        <v>60</v>
      </c>
      <c r="Q1247" s="47">
        <v>60</v>
      </c>
      <c r="R1247" s="47"/>
      <c r="S1247" s="49">
        <v>1</v>
      </c>
      <c r="T1247" s="47">
        <v>60</v>
      </c>
      <c r="U1247" s="47"/>
      <c r="V1247" s="50"/>
      <c r="W1247" s="51"/>
      <c r="X1247" s="29">
        <v>2</v>
      </c>
      <c r="Y1247" s="52" t="s">
        <v>74</v>
      </c>
    </row>
    <row r="1248" spans="1:27" s="6" customFormat="1" ht="23.1" customHeight="1" x14ac:dyDescent="0.25">
      <c r="A1248" s="53" t="s">
        <v>748</v>
      </c>
      <c r="B1248" s="47" t="s">
        <v>110</v>
      </c>
      <c r="C1248" s="47">
        <v>100</v>
      </c>
      <c r="D1248" s="47" t="s">
        <v>643</v>
      </c>
      <c r="E1248" s="41" t="s">
        <v>644</v>
      </c>
      <c r="F1248" s="41" t="s">
        <v>644</v>
      </c>
      <c r="G1248" s="42" t="s">
        <v>154</v>
      </c>
      <c r="H1248" s="42">
        <v>40</v>
      </c>
      <c r="I1248" s="47" t="s">
        <v>2120</v>
      </c>
      <c r="J1248" s="47">
        <v>0.25</v>
      </c>
      <c r="K1248" s="47">
        <v>0.25</v>
      </c>
      <c r="L1248" s="48">
        <v>32</v>
      </c>
      <c r="M1248" s="48">
        <v>32</v>
      </c>
      <c r="N1248" s="12" t="s">
        <v>399</v>
      </c>
      <c r="O1248" s="47"/>
      <c r="P1248" s="47">
        <v>2640</v>
      </c>
      <c r="Q1248" s="47">
        <v>90</v>
      </c>
      <c r="R1248" s="47"/>
      <c r="S1248" s="49"/>
      <c r="T1248" s="47">
        <v>180</v>
      </c>
      <c r="U1248" s="47"/>
      <c r="V1248" s="50"/>
      <c r="W1248" s="51"/>
      <c r="X1248" s="29">
        <v>11</v>
      </c>
      <c r="Y1248" s="52" t="s">
        <v>74</v>
      </c>
    </row>
    <row r="1249" spans="1:26" s="6" customFormat="1" ht="23.1" customHeight="1" x14ac:dyDescent="0.25">
      <c r="A1249" s="53" t="s">
        <v>748</v>
      </c>
      <c r="B1249" s="42" t="s">
        <v>110</v>
      </c>
      <c r="C1249" s="42">
        <v>102</v>
      </c>
      <c r="D1249" s="42" t="s">
        <v>1067</v>
      </c>
      <c r="E1249" s="41" t="s">
        <v>1068</v>
      </c>
      <c r="F1249" s="41" t="s">
        <v>1068</v>
      </c>
      <c r="G1249" s="42" t="s">
        <v>323</v>
      </c>
      <c r="H1249" s="42">
        <v>45</v>
      </c>
      <c r="I1249" s="47" t="s">
        <v>2138</v>
      </c>
      <c r="J1249" s="47">
        <v>0.8</v>
      </c>
      <c r="K1249" s="47">
        <v>0.5</v>
      </c>
      <c r="L1249" s="48">
        <v>32</v>
      </c>
      <c r="M1249" s="48">
        <v>32</v>
      </c>
      <c r="N1249" s="12" t="s">
        <v>697</v>
      </c>
      <c r="O1249" s="47"/>
      <c r="P1249" s="47">
        <v>1080</v>
      </c>
      <c r="Q1249" s="47">
        <v>60</v>
      </c>
      <c r="R1249" s="47"/>
      <c r="S1249" s="49">
        <v>1</v>
      </c>
      <c r="T1249" s="47">
        <v>150</v>
      </c>
      <c r="U1249" s="47"/>
      <c r="V1249" s="50"/>
      <c r="W1249" s="51"/>
      <c r="X1249" s="29">
        <v>10</v>
      </c>
      <c r="Y1249" s="52" t="s">
        <v>74</v>
      </c>
      <c r="Z1249" s="6" t="s">
        <v>1178</v>
      </c>
    </row>
    <row r="1250" spans="1:26" s="6" customFormat="1" ht="23.1" customHeight="1" x14ac:dyDescent="0.25">
      <c r="A1250" s="53" t="s">
        <v>748</v>
      </c>
      <c r="B1250" s="42" t="s">
        <v>110</v>
      </c>
      <c r="C1250" s="42">
        <v>19</v>
      </c>
      <c r="D1250" s="42" t="s">
        <v>1071</v>
      </c>
      <c r="E1250" s="41" t="s">
        <v>1072</v>
      </c>
      <c r="F1250" s="41" t="e">
        <v>#N/A</v>
      </c>
      <c r="G1250" s="42" t="s">
        <v>250</v>
      </c>
      <c r="H1250" s="42">
        <v>30</v>
      </c>
      <c r="I1250" s="47" t="s">
        <v>2123</v>
      </c>
      <c r="J1250" s="47">
        <v>1</v>
      </c>
      <c r="K1250" s="47">
        <v>0.3</v>
      </c>
      <c r="L1250" s="48">
        <v>32</v>
      </c>
      <c r="M1250" s="48">
        <v>32</v>
      </c>
      <c r="N1250" s="12" t="s">
        <v>1179</v>
      </c>
      <c r="O1250" s="47"/>
      <c r="P1250" s="47">
        <v>650</v>
      </c>
      <c r="Q1250" s="47">
        <v>90</v>
      </c>
      <c r="R1250" s="47"/>
      <c r="S1250" s="49"/>
      <c r="T1250" s="47">
        <v>60</v>
      </c>
      <c r="U1250" s="47"/>
      <c r="V1250" s="50"/>
      <c r="W1250" s="51"/>
      <c r="X1250" s="29">
        <v>3.3</v>
      </c>
      <c r="Y1250" s="52" t="s">
        <v>74</v>
      </c>
    </row>
    <row r="1251" spans="1:26" s="6" customFormat="1" ht="23.1" customHeight="1" x14ac:dyDescent="0.25">
      <c r="A1251" s="53" t="s">
        <v>748</v>
      </c>
      <c r="B1251" s="42" t="s">
        <v>110</v>
      </c>
      <c r="C1251" s="42">
        <v>44</v>
      </c>
      <c r="D1251" s="42" t="s">
        <v>1074</v>
      </c>
      <c r="E1251" s="41" t="s">
        <v>1075</v>
      </c>
      <c r="F1251" s="41" t="s">
        <v>1075</v>
      </c>
      <c r="G1251" s="42" t="s">
        <v>154</v>
      </c>
      <c r="H1251" s="42">
        <v>45</v>
      </c>
      <c r="I1251" s="47" t="s">
        <v>2125</v>
      </c>
      <c r="J1251" s="47">
        <v>1</v>
      </c>
      <c r="K1251" s="47">
        <v>0.7</v>
      </c>
      <c r="L1251" s="48">
        <v>32</v>
      </c>
      <c r="M1251" s="48">
        <v>32</v>
      </c>
      <c r="N1251" s="12" t="s">
        <v>164</v>
      </c>
      <c r="O1251" s="47"/>
      <c r="P1251" s="47">
        <v>600</v>
      </c>
      <c r="Q1251" s="47"/>
      <c r="R1251" s="47"/>
      <c r="S1251" s="49"/>
      <c r="T1251" s="47">
        <v>120</v>
      </c>
      <c r="U1251" s="47"/>
      <c r="V1251" s="50"/>
      <c r="W1251" s="51"/>
      <c r="X1251" s="29">
        <v>7</v>
      </c>
      <c r="Y1251" s="52" t="s">
        <v>74</v>
      </c>
    </row>
    <row r="1252" spans="1:26" s="6" customFormat="1" ht="23.1" customHeight="1" x14ac:dyDescent="0.25">
      <c r="A1252" s="53" t="s">
        <v>748</v>
      </c>
      <c r="B1252" s="42" t="s">
        <v>113</v>
      </c>
      <c r="C1252" s="42">
        <v>103</v>
      </c>
      <c r="D1252" s="42" t="s">
        <v>1152</v>
      </c>
      <c r="E1252" s="41" t="s">
        <v>1149</v>
      </c>
      <c r="F1252" s="41" t="s">
        <v>1149</v>
      </c>
      <c r="G1252" s="42" t="s">
        <v>300</v>
      </c>
      <c r="H1252" s="42">
        <v>5</v>
      </c>
      <c r="I1252" s="47" t="s">
        <v>2158</v>
      </c>
      <c r="J1252" s="47">
        <v>2</v>
      </c>
      <c r="K1252" s="47">
        <v>2</v>
      </c>
      <c r="L1252" s="48">
        <v>25</v>
      </c>
      <c r="M1252" s="48">
        <v>25</v>
      </c>
      <c r="N1252" s="12" t="s">
        <v>1180</v>
      </c>
      <c r="O1252" s="47"/>
      <c r="P1252" s="47">
        <v>240</v>
      </c>
      <c r="Q1252" s="47">
        <v>120</v>
      </c>
      <c r="R1252" s="47"/>
      <c r="S1252" s="49">
        <v>2</v>
      </c>
      <c r="T1252" s="47">
        <v>90</v>
      </c>
      <c r="U1252" s="47"/>
      <c r="V1252" s="50"/>
      <c r="W1252" s="51"/>
      <c r="X1252" s="29">
        <v>12</v>
      </c>
      <c r="Y1252" s="52" t="s">
        <v>62</v>
      </c>
    </row>
    <row r="1253" spans="1:26" s="6" customFormat="1" ht="23.1" customHeight="1" x14ac:dyDescent="0.25">
      <c r="A1253" s="53" t="s">
        <v>748</v>
      </c>
      <c r="B1253" s="42" t="s">
        <v>113</v>
      </c>
      <c r="C1253" s="42">
        <v>44</v>
      </c>
      <c r="D1253" s="42" t="s">
        <v>266</v>
      </c>
      <c r="E1253" s="41" t="s">
        <v>267</v>
      </c>
      <c r="F1253" s="41" t="s">
        <v>267</v>
      </c>
      <c r="G1253" s="42" t="s">
        <v>118</v>
      </c>
      <c r="H1253" s="42">
        <v>55</v>
      </c>
      <c r="I1253" s="47" t="s">
        <v>2166</v>
      </c>
      <c r="J1253" s="47">
        <v>0.4</v>
      </c>
      <c r="K1253" s="47">
        <v>0.3</v>
      </c>
      <c r="L1253" s="48">
        <v>25</v>
      </c>
      <c r="M1253" s="48">
        <v>25</v>
      </c>
      <c r="N1253" s="12" t="s">
        <v>429</v>
      </c>
      <c r="O1253" s="47"/>
      <c r="P1253" s="47">
        <v>1260</v>
      </c>
      <c r="Q1253" s="47">
        <v>90</v>
      </c>
      <c r="R1253" s="47"/>
      <c r="S1253" s="49">
        <v>1</v>
      </c>
      <c r="T1253" s="47">
        <v>60</v>
      </c>
      <c r="U1253" s="47"/>
      <c r="V1253" s="50"/>
      <c r="W1253" s="51"/>
      <c r="X1253" s="29">
        <v>7.8</v>
      </c>
      <c r="Y1253" s="52" t="s">
        <v>56</v>
      </c>
    </row>
    <row r="1254" spans="1:26" s="6" customFormat="1" ht="23.1" customHeight="1" x14ac:dyDescent="0.25">
      <c r="A1254" s="53" t="s">
        <v>748</v>
      </c>
      <c r="B1254" s="42" t="s">
        <v>113</v>
      </c>
      <c r="C1254" s="42">
        <v>105</v>
      </c>
      <c r="D1254" s="42" t="s">
        <v>1176</v>
      </c>
      <c r="E1254" s="41" t="s">
        <v>1098</v>
      </c>
      <c r="F1254" s="41" t="s">
        <v>1098</v>
      </c>
      <c r="G1254" s="7" t="s">
        <v>250</v>
      </c>
      <c r="H1254" s="42">
        <v>35</v>
      </c>
      <c r="I1254" s="47" t="s">
        <v>2073</v>
      </c>
      <c r="J1254" s="47">
        <v>4</v>
      </c>
      <c r="K1254" s="47">
        <v>5</v>
      </c>
      <c r="L1254" s="48">
        <v>25</v>
      </c>
      <c r="M1254" s="48">
        <v>25</v>
      </c>
      <c r="N1254" s="12" t="s">
        <v>429</v>
      </c>
      <c r="O1254" s="47"/>
      <c r="P1254" s="47">
        <v>90</v>
      </c>
      <c r="Q1254" s="47">
        <v>60</v>
      </c>
      <c r="R1254" s="47"/>
      <c r="S1254" s="49">
        <v>5</v>
      </c>
      <c r="T1254" s="47">
        <v>60</v>
      </c>
      <c r="U1254" s="47"/>
      <c r="V1254" s="50">
        <v>1</v>
      </c>
      <c r="W1254" s="51">
        <v>4</v>
      </c>
      <c r="X1254" s="29">
        <v>17.5</v>
      </c>
      <c r="Y1254" s="52" t="s">
        <v>28</v>
      </c>
      <c r="Z1254" s="6" t="s">
        <v>1181</v>
      </c>
    </row>
    <row r="1255" spans="1:26" s="6" customFormat="1" ht="23.1" customHeight="1" x14ac:dyDescent="0.25">
      <c r="A1255" s="53" t="s">
        <v>748</v>
      </c>
      <c r="B1255" s="42" t="s">
        <v>113</v>
      </c>
      <c r="C1255" s="42">
        <v>99</v>
      </c>
      <c r="D1255" s="42" t="s">
        <v>1091</v>
      </c>
      <c r="E1255" s="41" t="s">
        <v>1092</v>
      </c>
      <c r="F1255" s="41" t="s">
        <v>1092</v>
      </c>
      <c r="G1255" s="42" t="s">
        <v>118</v>
      </c>
      <c r="H1255" s="42">
        <v>45</v>
      </c>
      <c r="I1255" s="47" t="s">
        <v>2146</v>
      </c>
      <c r="J1255" s="47">
        <v>4</v>
      </c>
      <c r="K1255" s="47">
        <v>5</v>
      </c>
      <c r="L1255" s="48">
        <v>25</v>
      </c>
      <c r="M1255" s="48">
        <v>25</v>
      </c>
      <c r="N1255" s="12" t="s">
        <v>318</v>
      </c>
      <c r="O1255" s="47"/>
      <c r="P1255" s="47">
        <v>60</v>
      </c>
      <c r="Q1255" s="47">
        <v>60</v>
      </c>
      <c r="R1255" s="47"/>
      <c r="S1255" s="49">
        <v>5</v>
      </c>
      <c r="T1255" s="47">
        <v>120</v>
      </c>
      <c r="U1255" s="47"/>
      <c r="V1255" s="50"/>
      <c r="W1255" s="51"/>
      <c r="X1255" s="29">
        <v>10</v>
      </c>
      <c r="Y1255" s="52" t="s">
        <v>21</v>
      </c>
    </row>
    <row r="1256" spans="1:26" s="6" customFormat="1" ht="23.1" customHeight="1" x14ac:dyDescent="0.25">
      <c r="A1256" s="53" t="s">
        <v>748</v>
      </c>
      <c r="B1256" s="42" t="s">
        <v>113</v>
      </c>
      <c r="C1256" s="42">
        <v>99</v>
      </c>
      <c r="D1256" s="42" t="s">
        <v>604</v>
      </c>
      <c r="E1256" s="41" t="s">
        <v>605</v>
      </c>
      <c r="F1256" s="41" t="s">
        <v>605</v>
      </c>
      <c r="G1256" s="42" t="s">
        <v>107</v>
      </c>
      <c r="H1256" s="42">
        <v>53</v>
      </c>
      <c r="I1256" s="47"/>
      <c r="J1256" s="47">
        <v>0.6</v>
      </c>
      <c r="K1256" s="47"/>
      <c r="L1256" s="48">
        <v>25</v>
      </c>
      <c r="M1256" s="48">
        <v>25</v>
      </c>
      <c r="N1256" s="12"/>
      <c r="O1256" s="47"/>
      <c r="P1256" s="47"/>
      <c r="Q1256" s="47"/>
      <c r="R1256" s="47"/>
      <c r="S1256" s="49"/>
      <c r="T1256" s="47"/>
      <c r="U1256" s="47"/>
      <c r="V1256" s="50">
        <v>1</v>
      </c>
      <c r="W1256" s="51">
        <v>3</v>
      </c>
      <c r="X1256" s="32">
        <v>3</v>
      </c>
      <c r="Y1256" s="52" t="s">
        <v>21</v>
      </c>
      <c r="Z1256" s="6" t="s">
        <v>1138</v>
      </c>
    </row>
    <row r="1257" spans="1:26" s="6" customFormat="1" ht="23.1" customHeight="1" x14ac:dyDescent="0.25">
      <c r="A1257" s="53" t="s">
        <v>748</v>
      </c>
      <c r="B1257" s="42" t="s">
        <v>113</v>
      </c>
      <c r="C1257" s="42">
        <v>19</v>
      </c>
      <c r="D1257" s="42" t="s">
        <v>169</v>
      </c>
      <c r="E1257" s="41" t="s">
        <v>170</v>
      </c>
      <c r="F1257" s="41" t="e">
        <v>#N/A</v>
      </c>
      <c r="G1257" s="1" t="s">
        <v>118</v>
      </c>
      <c r="H1257" s="42">
        <v>30</v>
      </c>
      <c r="I1257" s="47" t="s">
        <v>2167</v>
      </c>
      <c r="J1257" s="47">
        <v>1.3</v>
      </c>
      <c r="K1257" s="47">
        <v>0.3</v>
      </c>
      <c r="L1257" s="48">
        <v>25</v>
      </c>
      <c r="M1257" s="48">
        <v>25</v>
      </c>
      <c r="N1257" s="12" t="s">
        <v>301</v>
      </c>
      <c r="O1257" s="47"/>
      <c r="P1257" s="47">
        <v>420</v>
      </c>
      <c r="Q1257" s="47">
        <v>60</v>
      </c>
      <c r="R1257" s="47"/>
      <c r="S1257" s="49">
        <v>1</v>
      </c>
      <c r="T1257" s="47">
        <v>60</v>
      </c>
      <c r="U1257" s="47"/>
      <c r="V1257" s="50">
        <v>1</v>
      </c>
      <c r="W1257" s="51">
        <v>2</v>
      </c>
      <c r="X1257" s="29">
        <v>6.1</v>
      </c>
      <c r="Y1257" s="52" t="s">
        <v>11</v>
      </c>
      <c r="Z1257" s="6" t="s">
        <v>929</v>
      </c>
    </row>
    <row r="1258" spans="1:26" s="6" customFormat="1" ht="23.1" customHeight="1" x14ac:dyDescent="0.25">
      <c r="A1258" s="53" t="s">
        <v>748</v>
      </c>
      <c r="B1258" s="42" t="s">
        <v>113</v>
      </c>
      <c r="C1258" s="42">
        <v>98</v>
      </c>
      <c r="D1258" s="42" t="s">
        <v>404</v>
      </c>
      <c r="E1258" s="41" t="s">
        <v>405</v>
      </c>
      <c r="F1258" s="41" t="s">
        <v>405</v>
      </c>
      <c r="G1258" s="42" t="s">
        <v>118</v>
      </c>
      <c r="H1258" s="42">
        <v>15</v>
      </c>
      <c r="I1258" s="47" t="s">
        <v>2144</v>
      </c>
      <c r="J1258" s="47">
        <v>0.7</v>
      </c>
      <c r="K1258" s="47">
        <v>1.2</v>
      </c>
      <c r="L1258" s="48">
        <v>25</v>
      </c>
      <c r="M1258" s="48">
        <v>25</v>
      </c>
      <c r="N1258" s="12" t="s">
        <v>1094</v>
      </c>
      <c r="O1258" s="47"/>
      <c r="P1258" s="47">
        <v>720</v>
      </c>
      <c r="Q1258" s="47">
        <v>60</v>
      </c>
      <c r="R1258" s="47"/>
      <c r="S1258" s="49">
        <v>1</v>
      </c>
      <c r="T1258" s="47">
        <v>120</v>
      </c>
      <c r="U1258" s="47"/>
      <c r="V1258" s="50"/>
      <c r="W1258" s="51"/>
      <c r="X1258" s="29">
        <v>15.4</v>
      </c>
      <c r="Y1258" s="52" t="s">
        <v>1</v>
      </c>
    </row>
    <row r="1259" spans="1:26" s="6" customFormat="1" ht="23.1" customHeight="1" x14ac:dyDescent="0.25">
      <c r="A1259" s="53" t="s">
        <v>748</v>
      </c>
      <c r="B1259" s="42" t="s">
        <v>113</v>
      </c>
      <c r="C1259" s="42">
        <v>101</v>
      </c>
      <c r="D1259" s="42" t="s">
        <v>1128</v>
      </c>
      <c r="E1259" s="41" t="s">
        <v>708</v>
      </c>
      <c r="F1259" s="41" t="e">
        <v>#N/A</v>
      </c>
      <c r="G1259" s="42" t="s">
        <v>250</v>
      </c>
      <c r="H1259" s="42">
        <v>40</v>
      </c>
      <c r="I1259" s="47" t="s">
        <v>1935</v>
      </c>
      <c r="J1259" s="47">
        <v>1.5</v>
      </c>
      <c r="K1259" s="47">
        <v>2</v>
      </c>
      <c r="L1259" s="48">
        <v>25</v>
      </c>
      <c r="M1259" s="48">
        <v>25</v>
      </c>
      <c r="N1259" s="12" t="s">
        <v>1113</v>
      </c>
      <c r="O1259" s="47"/>
      <c r="P1259" s="47">
        <v>300</v>
      </c>
      <c r="Q1259" s="47">
        <v>60</v>
      </c>
      <c r="R1259" s="47"/>
      <c r="S1259" s="49">
        <v>2</v>
      </c>
      <c r="T1259" s="47">
        <v>60</v>
      </c>
      <c r="U1259" s="47"/>
      <c r="V1259" s="50">
        <v>1</v>
      </c>
      <c r="W1259" s="51">
        <v>2</v>
      </c>
      <c r="X1259" s="29">
        <v>15</v>
      </c>
      <c r="Y1259" s="52" t="s">
        <v>66</v>
      </c>
      <c r="Z1259" s="6" t="s">
        <v>929</v>
      </c>
    </row>
    <row r="1260" spans="1:26" s="6" customFormat="1" ht="23.1" customHeight="1" x14ac:dyDescent="0.25">
      <c r="A1260" s="53" t="s">
        <v>748</v>
      </c>
      <c r="B1260" s="42" t="s">
        <v>113</v>
      </c>
      <c r="C1260" s="42">
        <v>102</v>
      </c>
      <c r="D1260" s="42" t="s">
        <v>1067</v>
      </c>
      <c r="E1260" s="41" t="s">
        <v>1068</v>
      </c>
      <c r="F1260" s="41" t="s">
        <v>1068</v>
      </c>
      <c r="G1260" s="42" t="s">
        <v>323</v>
      </c>
      <c r="H1260" s="42">
        <v>40</v>
      </c>
      <c r="I1260" s="47" t="s">
        <v>2122</v>
      </c>
      <c r="J1260" s="47">
        <v>0.5</v>
      </c>
      <c r="K1260" s="47">
        <v>1</v>
      </c>
      <c r="L1260" s="48">
        <v>25</v>
      </c>
      <c r="M1260" s="48">
        <v>25</v>
      </c>
      <c r="N1260" s="12" t="s">
        <v>998</v>
      </c>
      <c r="O1260" s="47"/>
      <c r="P1260" s="47">
        <v>90</v>
      </c>
      <c r="Q1260" s="47">
        <v>60</v>
      </c>
      <c r="R1260" s="47"/>
      <c r="S1260" s="49">
        <v>1</v>
      </c>
      <c r="T1260" s="47">
        <v>120</v>
      </c>
      <c r="U1260" s="47"/>
      <c r="V1260" s="50"/>
      <c r="W1260" s="51"/>
      <c r="X1260" s="29">
        <v>2.5</v>
      </c>
      <c r="Y1260" s="52" t="s">
        <v>66</v>
      </c>
    </row>
    <row r="1261" spans="1:26" s="6" customFormat="1" ht="23.1" customHeight="1" x14ac:dyDescent="0.25">
      <c r="A1261" s="53" t="s">
        <v>748</v>
      </c>
      <c r="B1261" s="42" t="s">
        <v>113</v>
      </c>
      <c r="C1261" s="42">
        <v>83</v>
      </c>
      <c r="D1261" s="42" t="s">
        <v>1095</v>
      </c>
      <c r="E1261" s="41" t="s">
        <v>1096</v>
      </c>
      <c r="F1261" s="41" t="s">
        <v>1096</v>
      </c>
      <c r="G1261" s="42" t="s">
        <v>658</v>
      </c>
      <c r="H1261" s="42">
        <v>45</v>
      </c>
      <c r="I1261" s="47" t="s">
        <v>2159</v>
      </c>
      <c r="J1261" s="47">
        <v>2</v>
      </c>
      <c r="K1261" s="47">
        <v>2</v>
      </c>
      <c r="L1261" s="48">
        <v>25</v>
      </c>
      <c r="M1261" s="48">
        <v>25</v>
      </c>
      <c r="N1261" s="12" t="s">
        <v>282</v>
      </c>
      <c r="O1261" s="47"/>
      <c r="P1261" s="47">
        <v>270</v>
      </c>
      <c r="Q1261" s="47">
        <v>90</v>
      </c>
      <c r="R1261" s="47"/>
      <c r="S1261" s="49">
        <v>2</v>
      </c>
      <c r="T1261" s="47">
        <v>60</v>
      </c>
      <c r="U1261" s="47"/>
      <c r="V1261" s="50"/>
      <c r="W1261" s="51"/>
      <c r="X1261" s="29">
        <v>12</v>
      </c>
      <c r="Y1261" s="52" t="s">
        <v>66</v>
      </c>
    </row>
    <row r="1262" spans="1:26" s="6" customFormat="1" ht="23.1" customHeight="1" x14ac:dyDescent="0.25">
      <c r="A1262" s="53" t="s">
        <v>748</v>
      </c>
      <c r="B1262" s="42" t="s">
        <v>113</v>
      </c>
      <c r="C1262" s="42">
        <v>106</v>
      </c>
      <c r="D1262" s="42" t="s">
        <v>1070</v>
      </c>
      <c r="E1262" s="41" t="s">
        <v>101</v>
      </c>
      <c r="F1262" s="41" t="s">
        <v>101</v>
      </c>
      <c r="G1262" s="42" t="s">
        <v>300</v>
      </c>
      <c r="H1262" s="42">
        <v>25</v>
      </c>
      <c r="I1262" s="47" t="s">
        <v>2163</v>
      </c>
      <c r="J1262" s="47">
        <v>0.15</v>
      </c>
      <c r="K1262" s="47">
        <v>0.15</v>
      </c>
      <c r="L1262" s="48">
        <v>25</v>
      </c>
      <c r="M1262" s="48">
        <v>25</v>
      </c>
      <c r="N1262" s="12" t="s">
        <v>247</v>
      </c>
      <c r="O1262" s="47"/>
      <c r="P1262" s="47">
        <v>4800</v>
      </c>
      <c r="Q1262" s="47">
        <v>180</v>
      </c>
      <c r="R1262" s="47"/>
      <c r="S1262" s="49"/>
      <c r="T1262" s="47">
        <v>180</v>
      </c>
      <c r="U1262" s="47"/>
      <c r="V1262" s="50"/>
      <c r="W1262" s="51"/>
      <c r="X1262" s="29">
        <v>12</v>
      </c>
      <c r="Y1262" s="52" t="s">
        <v>66</v>
      </c>
    </row>
    <row r="1263" spans="1:26" s="6" customFormat="1" ht="23.1" customHeight="1" x14ac:dyDescent="0.25">
      <c r="A1263" s="53" t="s">
        <v>748</v>
      </c>
      <c r="B1263" s="42" t="s">
        <v>113</v>
      </c>
      <c r="C1263" s="42">
        <v>100</v>
      </c>
      <c r="D1263" s="42" t="s">
        <v>937</v>
      </c>
      <c r="E1263" s="41" t="s">
        <v>938</v>
      </c>
      <c r="F1263" s="41" t="s">
        <v>938</v>
      </c>
      <c r="G1263" s="42" t="s">
        <v>939</v>
      </c>
      <c r="H1263" s="42">
        <v>25</v>
      </c>
      <c r="I1263" s="47" t="s">
        <v>2160</v>
      </c>
      <c r="J1263" s="47">
        <v>2</v>
      </c>
      <c r="K1263" s="47">
        <v>2.1</v>
      </c>
      <c r="L1263" s="48">
        <v>25</v>
      </c>
      <c r="M1263" s="48">
        <v>25</v>
      </c>
      <c r="N1263" s="12" t="s">
        <v>1182</v>
      </c>
      <c r="O1263" s="47"/>
      <c r="P1263" s="47">
        <v>270</v>
      </c>
      <c r="Q1263" s="47">
        <v>60</v>
      </c>
      <c r="R1263" s="47"/>
      <c r="S1263" s="49">
        <v>2</v>
      </c>
      <c r="T1263" s="47">
        <v>90</v>
      </c>
      <c r="U1263" s="47"/>
      <c r="V1263" s="50"/>
      <c r="W1263" s="51"/>
      <c r="X1263" s="29">
        <v>11.5</v>
      </c>
      <c r="Y1263" s="52" t="s">
        <v>66</v>
      </c>
    </row>
    <row r="1264" spans="1:26" s="6" customFormat="1" ht="23.1" customHeight="1" x14ac:dyDescent="0.25">
      <c r="A1264" s="53" t="s">
        <v>748</v>
      </c>
      <c r="B1264" s="42" t="s">
        <v>113</v>
      </c>
      <c r="C1264" s="42">
        <v>97</v>
      </c>
      <c r="D1264" s="42" t="s">
        <v>1076</v>
      </c>
      <c r="E1264" s="41" t="s">
        <v>1065</v>
      </c>
      <c r="F1264" s="41" t="s">
        <v>1065</v>
      </c>
      <c r="G1264" s="42" t="s">
        <v>250</v>
      </c>
      <c r="H1264" s="42">
        <v>60</v>
      </c>
      <c r="I1264" s="47" t="s">
        <v>2156</v>
      </c>
      <c r="J1264" s="47">
        <v>1</v>
      </c>
      <c r="K1264" s="47">
        <v>1.1000000000000001</v>
      </c>
      <c r="L1264" s="48">
        <v>25</v>
      </c>
      <c r="M1264" s="48">
        <v>25</v>
      </c>
      <c r="N1264" s="12" t="s">
        <v>1077</v>
      </c>
      <c r="O1264" s="47"/>
      <c r="P1264" s="47">
        <v>570</v>
      </c>
      <c r="Q1264" s="47">
        <v>60</v>
      </c>
      <c r="R1264" s="47"/>
      <c r="S1264" s="49">
        <v>1</v>
      </c>
      <c r="T1264" s="47">
        <v>60</v>
      </c>
      <c r="U1264" s="47"/>
      <c r="V1264" s="50"/>
      <c r="W1264" s="51"/>
      <c r="X1264" s="29">
        <v>11.5</v>
      </c>
      <c r="Y1264" s="52" t="s">
        <v>66</v>
      </c>
    </row>
    <row r="1265" spans="1:26" ht="23.1" customHeight="1" x14ac:dyDescent="0.25">
      <c r="A1265" s="20" t="s">
        <v>796</v>
      </c>
      <c r="B1265" s="7" t="s">
        <v>113</v>
      </c>
      <c r="C1265" s="7">
        <v>82</v>
      </c>
      <c r="D1265" s="7" t="s">
        <v>1095</v>
      </c>
      <c r="E1265" s="41" t="s">
        <v>1096</v>
      </c>
      <c r="F1265" s="41" t="s">
        <v>1096</v>
      </c>
      <c r="G1265" s="7" t="s">
        <v>658</v>
      </c>
      <c r="H1265" s="7">
        <v>55</v>
      </c>
      <c r="I1265" s="10" t="s">
        <v>2168</v>
      </c>
      <c r="J1265" s="10">
        <v>6</v>
      </c>
      <c r="K1265" s="10">
        <v>7</v>
      </c>
      <c r="L1265" s="43">
        <v>32</v>
      </c>
      <c r="M1265" s="43">
        <v>32</v>
      </c>
      <c r="N1265" s="12" t="s">
        <v>282</v>
      </c>
      <c r="P1265" s="10">
        <v>90</v>
      </c>
      <c r="Q1265" s="10">
        <v>60</v>
      </c>
      <c r="S1265" s="11">
        <v>7</v>
      </c>
      <c r="T1265" s="10">
        <v>60</v>
      </c>
      <c r="V1265" s="45">
        <v>1</v>
      </c>
      <c r="W1265" s="10">
        <v>2</v>
      </c>
      <c r="X1265" s="29">
        <v>20.5</v>
      </c>
      <c r="Y1265" s="54" t="s">
        <v>35</v>
      </c>
      <c r="Z1265" t="s">
        <v>941</v>
      </c>
    </row>
    <row r="1266" spans="1:26" ht="23.1" customHeight="1" x14ac:dyDescent="0.25">
      <c r="A1266" s="20" t="s">
        <v>796</v>
      </c>
      <c r="B1266" s="7" t="s">
        <v>113</v>
      </c>
      <c r="C1266" s="7">
        <v>83</v>
      </c>
      <c r="D1266" s="7" t="s">
        <v>1095</v>
      </c>
      <c r="E1266" s="41" t="s">
        <v>1096</v>
      </c>
      <c r="F1266" s="41" t="s">
        <v>1096</v>
      </c>
      <c r="G1266" s="7" t="s">
        <v>658</v>
      </c>
      <c r="H1266" s="7">
        <v>50</v>
      </c>
      <c r="I1266" s="10" t="s">
        <v>2032</v>
      </c>
      <c r="J1266" s="10">
        <v>9</v>
      </c>
      <c r="K1266" s="10">
        <v>9</v>
      </c>
      <c r="L1266" s="43">
        <v>32</v>
      </c>
      <c r="M1266" s="43">
        <v>32</v>
      </c>
      <c r="N1266" s="12" t="s">
        <v>282</v>
      </c>
      <c r="P1266" s="10">
        <v>60</v>
      </c>
      <c r="Q1266" s="10">
        <v>60</v>
      </c>
      <c r="S1266" s="11">
        <v>9</v>
      </c>
      <c r="T1266" s="10">
        <v>60</v>
      </c>
      <c r="V1266" s="45">
        <v>1</v>
      </c>
      <c r="X1266" s="29">
        <v>19</v>
      </c>
      <c r="Y1266" s="54" t="s">
        <v>35</v>
      </c>
    </row>
    <row r="1267" spans="1:26" ht="23.1" customHeight="1" x14ac:dyDescent="0.25">
      <c r="A1267" s="20" t="s">
        <v>796</v>
      </c>
      <c r="B1267" s="7" t="s">
        <v>113</v>
      </c>
      <c r="C1267" s="7">
        <v>98</v>
      </c>
      <c r="D1267" s="7" t="s">
        <v>404</v>
      </c>
      <c r="E1267" s="41" t="s">
        <v>405</v>
      </c>
      <c r="F1267" s="41" t="s">
        <v>405</v>
      </c>
      <c r="G1267" s="7" t="s">
        <v>118</v>
      </c>
      <c r="H1267" s="7">
        <v>20</v>
      </c>
      <c r="I1267" s="10" t="s">
        <v>2378</v>
      </c>
      <c r="J1267" s="10">
        <v>3</v>
      </c>
      <c r="K1267" s="10">
        <v>2</v>
      </c>
      <c r="L1267" s="43">
        <v>32</v>
      </c>
      <c r="M1267" s="43">
        <v>32</v>
      </c>
      <c r="N1267" s="12" t="s">
        <v>1119</v>
      </c>
      <c r="P1267" s="10">
        <v>80</v>
      </c>
      <c r="Q1267" s="10">
        <v>60</v>
      </c>
      <c r="S1267" s="11">
        <v>2</v>
      </c>
      <c r="T1267" s="10">
        <v>120</v>
      </c>
      <c r="V1267" s="45">
        <v>1</v>
      </c>
      <c r="X1267" s="29">
        <v>6.7</v>
      </c>
      <c r="Y1267" s="54" t="s">
        <v>35</v>
      </c>
    </row>
    <row r="1268" spans="1:26" ht="23.1" customHeight="1" x14ac:dyDescent="0.25">
      <c r="A1268" s="20" t="s">
        <v>796</v>
      </c>
      <c r="B1268" s="7" t="s">
        <v>113</v>
      </c>
      <c r="C1268" s="7">
        <v>98</v>
      </c>
      <c r="D1268" s="7" t="s">
        <v>404</v>
      </c>
      <c r="E1268" s="41" t="s">
        <v>405</v>
      </c>
      <c r="F1268" s="41" t="s">
        <v>405</v>
      </c>
      <c r="G1268" s="7" t="s">
        <v>118</v>
      </c>
      <c r="H1268" s="7">
        <v>25</v>
      </c>
      <c r="I1268" s="10" t="s">
        <v>2169</v>
      </c>
      <c r="J1268" s="10">
        <v>3</v>
      </c>
      <c r="K1268" s="10">
        <v>2</v>
      </c>
      <c r="L1268" s="43">
        <v>32</v>
      </c>
      <c r="M1268" s="43">
        <v>32</v>
      </c>
      <c r="N1268" s="12" t="s">
        <v>1119</v>
      </c>
      <c r="P1268" s="10">
        <v>100</v>
      </c>
      <c r="Q1268" s="10">
        <v>60</v>
      </c>
      <c r="S1268" s="11">
        <v>2</v>
      </c>
      <c r="T1268" s="10">
        <v>120</v>
      </c>
      <c r="V1268" s="45">
        <v>1</v>
      </c>
      <c r="X1268" s="29">
        <v>7.3</v>
      </c>
      <c r="Y1268" s="54" t="s">
        <v>35</v>
      </c>
    </row>
    <row r="1269" spans="1:26" ht="23.1" customHeight="1" x14ac:dyDescent="0.25">
      <c r="A1269" s="20" t="s">
        <v>796</v>
      </c>
      <c r="B1269" s="7" t="s">
        <v>113</v>
      </c>
      <c r="C1269" s="7">
        <v>98</v>
      </c>
      <c r="D1269" s="7" t="s">
        <v>404</v>
      </c>
      <c r="E1269" s="41" t="s">
        <v>405</v>
      </c>
      <c r="F1269" s="41" t="s">
        <v>405</v>
      </c>
      <c r="G1269" s="7" t="s">
        <v>118</v>
      </c>
      <c r="H1269" s="7">
        <v>30</v>
      </c>
      <c r="I1269" s="10" t="s">
        <v>1891</v>
      </c>
      <c r="J1269" s="10">
        <v>3</v>
      </c>
      <c r="K1269" s="10">
        <v>2</v>
      </c>
      <c r="L1269" s="43">
        <v>32</v>
      </c>
      <c r="M1269" s="43">
        <v>32</v>
      </c>
      <c r="N1269" s="12" t="s">
        <v>1119</v>
      </c>
      <c r="P1269" s="10">
        <v>100</v>
      </c>
      <c r="Q1269" s="10">
        <v>60</v>
      </c>
      <c r="S1269" s="11">
        <v>2</v>
      </c>
      <c r="T1269" s="10">
        <v>120</v>
      </c>
      <c r="V1269" s="45">
        <v>1</v>
      </c>
      <c r="X1269" s="29">
        <v>7.3</v>
      </c>
      <c r="Y1269" s="54" t="s">
        <v>35</v>
      </c>
    </row>
    <row r="1270" spans="1:26" ht="23.1" customHeight="1" x14ac:dyDescent="0.25">
      <c r="A1270" s="20" t="s">
        <v>796</v>
      </c>
      <c r="B1270" s="7" t="s">
        <v>113</v>
      </c>
      <c r="C1270" s="7">
        <v>98</v>
      </c>
      <c r="D1270" s="7" t="s">
        <v>481</v>
      </c>
      <c r="E1270" s="41" t="s">
        <v>482</v>
      </c>
      <c r="F1270" s="41" t="s">
        <v>482</v>
      </c>
      <c r="G1270" s="7" t="s">
        <v>118</v>
      </c>
      <c r="H1270" s="7">
        <v>20</v>
      </c>
      <c r="I1270" s="10" t="s">
        <v>2034</v>
      </c>
      <c r="J1270" s="10">
        <v>1</v>
      </c>
      <c r="K1270" s="10">
        <v>3</v>
      </c>
      <c r="L1270" s="43">
        <v>32</v>
      </c>
      <c r="M1270" s="43">
        <v>32</v>
      </c>
      <c r="N1270" s="12" t="s">
        <v>1114</v>
      </c>
      <c r="P1270" s="10">
        <v>80</v>
      </c>
      <c r="Q1270" s="10">
        <v>60</v>
      </c>
      <c r="S1270" s="11">
        <v>3</v>
      </c>
      <c r="T1270" s="10">
        <v>120</v>
      </c>
      <c r="V1270" s="45">
        <v>1</v>
      </c>
      <c r="X1270" s="29">
        <v>9</v>
      </c>
      <c r="Y1270" s="54" t="s">
        <v>35</v>
      </c>
    </row>
    <row r="1271" spans="1:26" ht="23.1" customHeight="1" x14ac:dyDescent="0.25">
      <c r="A1271" s="20" t="s">
        <v>796</v>
      </c>
      <c r="B1271" s="7" t="s">
        <v>113</v>
      </c>
      <c r="C1271" s="7">
        <v>98</v>
      </c>
      <c r="D1271" s="7" t="s">
        <v>481</v>
      </c>
      <c r="E1271" s="41" t="s">
        <v>482</v>
      </c>
      <c r="F1271" s="41" t="s">
        <v>482</v>
      </c>
      <c r="G1271" s="7" t="s">
        <v>118</v>
      </c>
      <c r="H1271" s="7">
        <v>25</v>
      </c>
      <c r="I1271" s="10" t="s">
        <v>2458</v>
      </c>
      <c r="J1271" s="10">
        <v>1</v>
      </c>
      <c r="K1271" s="10">
        <v>3</v>
      </c>
      <c r="L1271" s="43">
        <v>32</v>
      </c>
      <c r="M1271" s="43">
        <v>32</v>
      </c>
      <c r="N1271" s="12" t="s">
        <v>1114</v>
      </c>
      <c r="P1271" s="10">
        <v>100</v>
      </c>
      <c r="Q1271" s="10">
        <v>60</v>
      </c>
      <c r="S1271" s="11">
        <v>3</v>
      </c>
      <c r="T1271" s="10">
        <v>120</v>
      </c>
      <c r="V1271" s="45">
        <v>1</v>
      </c>
      <c r="X1271" s="29">
        <v>10</v>
      </c>
      <c r="Y1271" s="54" t="s">
        <v>35</v>
      </c>
    </row>
    <row r="1272" spans="1:26" ht="23.1" customHeight="1" x14ac:dyDescent="0.25">
      <c r="A1272" s="20" t="s">
        <v>796</v>
      </c>
      <c r="B1272" s="7" t="s">
        <v>113</v>
      </c>
      <c r="C1272" s="7">
        <v>98</v>
      </c>
      <c r="D1272" s="7" t="s">
        <v>481</v>
      </c>
      <c r="E1272" s="41" t="s">
        <v>482</v>
      </c>
      <c r="F1272" s="41" t="s">
        <v>482</v>
      </c>
      <c r="G1272" s="7" t="s">
        <v>118</v>
      </c>
      <c r="H1272" s="7">
        <v>30</v>
      </c>
      <c r="I1272" s="10" t="s">
        <v>1891</v>
      </c>
      <c r="J1272" s="10">
        <v>1</v>
      </c>
      <c r="K1272" s="10">
        <v>3</v>
      </c>
      <c r="L1272" s="43">
        <v>32</v>
      </c>
      <c r="M1272" s="43">
        <v>32</v>
      </c>
      <c r="N1272" s="12" t="s">
        <v>1114</v>
      </c>
      <c r="P1272" s="10">
        <v>100</v>
      </c>
      <c r="Q1272" s="10">
        <v>60</v>
      </c>
      <c r="S1272" s="11">
        <v>3</v>
      </c>
      <c r="T1272" s="10">
        <v>120</v>
      </c>
      <c r="V1272" s="45">
        <v>1</v>
      </c>
      <c r="X1272" s="29">
        <v>10</v>
      </c>
      <c r="Y1272" s="54" t="s">
        <v>35</v>
      </c>
    </row>
    <row r="1273" spans="1:26" ht="23.1" customHeight="1" x14ac:dyDescent="0.25">
      <c r="A1273" s="20" t="s">
        <v>796</v>
      </c>
      <c r="B1273" s="7" t="s">
        <v>113</v>
      </c>
      <c r="C1273" s="7">
        <v>106</v>
      </c>
      <c r="D1273" s="7" t="s">
        <v>1070</v>
      </c>
      <c r="E1273" s="41" t="s">
        <v>101</v>
      </c>
      <c r="F1273" s="41" t="s">
        <v>101</v>
      </c>
      <c r="G1273" s="7" t="s">
        <v>300</v>
      </c>
      <c r="H1273" s="7">
        <v>25</v>
      </c>
      <c r="I1273" s="10" t="s">
        <v>2163</v>
      </c>
      <c r="J1273" s="10">
        <v>0.2</v>
      </c>
      <c r="K1273" s="10">
        <v>0.2</v>
      </c>
      <c r="L1273" s="43">
        <v>32</v>
      </c>
      <c r="M1273" s="43">
        <v>32</v>
      </c>
      <c r="N1273" s="12" t="s">
        <v>247</v>
      </c>
      <c r="P1273" s="10">
        <v>4800</v>
      </c>
      <c r="Q1273" s="10">
        <v>180</v>
      </c>
      <c r="T1273" s="10">
        <v>180</v>
      </c>
      <c r="V1273" s="45"/>
      <c r="X1273" s="29">
        <v>16</v>
      </c>
      <c r="Y1273" s="54" t="s">
        <v>35</v>
      </c>
    </row>
    <row r="1274" spans="1:26" ht="23.1" customHeight="1" x14ac:dyDescent="0.25">
      <c r="A1274" s="20" t="s">
        <v>796</v>
      </c>
      <c r="B1274" s="7" t="s">
        <v>113</v>
      </c>
      <c r="C1274" s="7">
        <v>118</v>
      </c>
      <c r="D1274" s="7" t="s">
        <v>1171</v>
      </c>
      <c r="E1274" s="41" t="s">
        <v>1172</v>
      </c>
      <c r="F1274" s="41" t="s">
        <v>1172</v>
      </c>
      <c r="G1274" s="7" t="s">
        <v>300</v>
      </c>
      <c r="H1274" s="7">
        <v>30</v>
      </c>
      <c r="I1274" s="10" t="s">
        <v>2170</v>
      </c>
      <c r="J1274" s="10">
        <v>0.3</v>
      </c>
      <c r="K1274" s="10">
        <v>0.3</v>
      </c>
      <c r="L1274" s="43">
        <v>32</v>
      </c>
      <c r="M1274" s="43">
        <v>32</v>
      </c>
      <c r="N1274" s="12" t="s">
        <v>330</v>
      </c>
      <c r="P1274" s="10">
        <v>1500</v>
      </c>
      <c r="Q1274" s="10">
        <v>60</v>
      </c>
      <c r="T1274" s="10">
        <v>120</v>
      </c>
      <c r="V1274" s="45"/>
      <c r="X1274" s="29">
        <v>7.5</v>
      </c>
      <c r="Y1274" s="54" t="s">
        <v>35</v>
      </c>
    </row>
    <row r="1275" spans="1:26" ht="23.1" customHeight="1" x14ac:dyDescent="0.25">
      <c r="A1275" s="20" t="s">
        <v>796</v>
      </c>
      <c r="B1275" s="7" t="s">
        <v>113</v>
      </c>
      <c r="C1275" s="7">
        <v>117</v>
      </c>
      <c r="D1275" s="7" t="s">
        <v>1081</v>
      </c>
      <c r="E1275" s="41" t="s">
        <v>1082</v>
      </c>
      <c r="F1275" s="41" t="s">
        <v>1082</v>
      </c>
      <c r="G1275" s="7" t="s">
        <v>123</v>
      </c>
      <c r="H1275" s="7">
        <v>20</v>
      </c>
      <c r="I1275" s="10" t="s">
        <v>2171</v>
      </c>
      <c r="J1275" s="10">
        <v>0.6</v>
      </c>
      <c r="K1275" s="10">
        <v>0.6</v>
      </c>
      <c r="L1275" s="43">
        <v>32</v>
      </c>
      <c r="M1275" s="43">
        <v>32</v>
      </c>
      <c r="N1275" s="12" t="s">
        <v>860</v>
      </c>
      <c r="P1275" s="10">
        <v>590</v>
      </c>
      <c r="Q1275" s="10">
        <v>60</v>
      </c>
      <c r="S1275" s="11">
        <v>1</v>
      </c>
      <c r="T1275" s="10">
        <v>90</v>
      </c>
      <c r="V1275" s="45">
        <v>1</v>
      </c>
      <c r="X1275" s="29">
        <v>8.4</v>
      </c>
      <c r="Y1275" s="54" t="s">
        <v>35</v>
      </c>
    </row>
    <row r="1276" spans="1:26" ht="23.1" customHeight="1" x14ac:dyDescent="0.25">
      <c r="A1276" s="20" t="s">
        <v>796</v>
      </c>
      <c r="B1276" s="7" t="s">
        <v>113</v>
      </c>
      <c r="C1276" s="7">
        <v>102</v>
      </c>
      <c r="D1276" s="7" t="s">
        <v>1097</v>
      </c>
      <c r="E1276" s="41" t="s">
        <v>1098</v>
      </c>
      <c r="F1276" s="41" t="s">
        <v>1098</v>
      </c>
      <c r="G1276" s="7" t="s">
        <v>250</v>
      </c>
      <c r="H1276" s="7">
        <v>40</v>
      </c>
      <c r="I1276" s="10" t="s">
        <v>2172</v>
      </c>
      <c r="J1276" s="10">
        <v>1.3</v>
      </c>
      <c r="K1276" s="10">
        <v>1.3</v>
      </c>
      <c r="L1276" s="43">
        <v>32</v>
      </c>
      <c r="M1276" s="43">
        <v>32</v>
      </c>
      <c r="N1276" s="12" t="s">
        <v>1159</v>
      </c>
      <c r="P1276" s="10">
        <v>450</v>
      </c>
      <c r="Q1276" s="10">
        <v>60</v>
      </c>
      <c r="S1276" s="11">
        <v>1</v>
      </c>
      <c r="T1276" s="10">
        <v>120</v>
      </c>
      <c r="V1276" s="45"/>
      <c r="X1276" s="29">
        <v>10.8</v>
      </c>
      <c r="Y1276" s="54" t="s">
        <v>35</v>
      </c>
    </row>
    <row r="1277" spans="1:26" ht="23.1" customHeight="1" x14ac:dyDescent="0.25">
      <c r="A1277" s="20" t="s">
        <v>796</v>
      </c>
      <c r="B1277" s="7" t="s">
        <v>113</v>
      </c>
      <c r="C1277" s="7">
        <v>100</v>
      </c>
      <c r="D1277" s="7" t="s">
        <v>937</v>
      </c>
      <c r="E1277" s="41" t="s">
        <v>938</v>
      </c>
      <c r="F1277" s="41" t="s">
        <v>938</v>
      </c>
      <c r="G1277" s="42" t="s">
        <v>939</v>
      </c>
      <c r="H1277" s="7">
        <v>40</v>
      </c>
      <c r="I1277" s="10" t="s">
        <v>2173</v>
      </c>
      <c r="J1277" s="10">
        <v>0.8</v>
      </c>
      <c r="K1277" s="10">
        <v>0.6</v>
      </c>
      <c r="L1277" s="43">
        <v>32</v>
      </c>
      <c r="M1277" s="43">
        <v>32</v>
      </c>
      <c r="N1277" s="12" t="s">
        <v>470</v>
      </c>
      <c r="P1277" s="10">
        <v>840</v>
      </c>
      <c r="Q1277" s="10">
        <v>60</v>
      </c>
      <c r="S1277" s="11">
        <v>1</v>
      </c>
      <c r="T1277" s="10">
        <v>120</v>
      </c>
      <c r="V1277" s="45">
        <v>1</v>
      </c>
      <c r="X1277" s="29">
        <v>11.4</v>
      </c>
      <c r="Y1277" s="54" t="s">
        <v>35</v>
      </c>
    </row>
    <row r="1278" spans="1:26" ht="23.1" customHeight="1" x14ac:dyDescent="0.25">
      <c r="A1278" s="20" t="s">
        <v>796</v>
      </c>
      <c r="B1278" s="7" t="s">
        <v>113</v>
      </c>
      <c r="C1278" s="7">
        <v>101</v>
      </c>
      <c r="D1278" s="7" t="s">
        <v>1128</v>
      </c>
      <c r="E1278" s="41" t="s">
        <v>708</v>
      </c>
      <c r="F1278" s="41" t="e">
        <v>#N/A</v>
      </c>
      <c r="G1278" s="7" t="s">
        <v>250</v>
      </c>
      <c r="H1278" s="7">
        <v>40</v>
      </c>
      <c r="I1278" s="10" t="s">
        <v>1935</v>
      </c>
      <c r="J1278" s="10">
        <v>2</v>
      </c>
      <c r="K1278" s="10">
        <v>2.4</v>
      </c>
      <c r="L1278" s="43">
        <v>32</v>
      </c>
      <c r="M1278" s="43">
        <v>32</v>
      </c>
      <c r="N1278" s="12" t="s">
        <v>1183</v>
      </c>
      <c r="P1278" s="10">
        <v>300</v>
      </c>
      <c r="Q1278" s="10">
        <v>60</v>
      </c>
      <c r="S1278" s="11">
        <v>2</v>
      </c>
      <c r="T1278" s="10">
        <v>60</v>
      </c>
      <c r="V1278" s="45"/>
      <c r="X1278" s="29">
        <v>14</v>
      </c>
      <c r="Y1278" s="54" t="s">
        <v>47</v>
      </c>
    </row>
    <row r="1279" spans="1:26" ht="23.1" customHeight="1" x14ac:dyDescent="0.25">
      <c r="A1279" s="20" t="s">
        <v>796</v>
      </c>
      <c r="B1279" s="7" t="s">
        <v>113</v>
      </c>
      <c r="C1279" s="7">
        <v>19</v>
      </c>
      <c r="D1279" s="7" t="s">
        <v>169</v>
      </c>
      <c r="E1279" s="41" t="s">
        <v>170</v>
      </c>
      <c r="F1279" s="41" t="e">
        <v>#N/A</v>
      </c>
      <c r="G1279" s="7" t="s">
        <v>118</v>
      </c>
      <c r="H1279" s="7">
        <v>30</v>
      </c>
      <c r="I1279" s="10" t="s">
        <v>2167</v>
      </c>
      <c r="J1279" s="10">
        <v>1.5</v>
      </c>
      <c r="K1279" s="10">
        <v>1.6</v>
      </c>
      <c r="L1279" s="43">
        <v>32</v>
      </c>
      <c r="M1279" s="43">
        <v>32</v>
      </c>
      <c r="N1279" s="12" t="s">
        <v>1184</v>
      </c>
      <c r="P1279" s="10">
        <v>420</v>
      </c>
      <c r="Q1279" s="10">
        <v>60</v>
      </c>
      <c r="S1279" s="11">
        <v>2</v>
      </c>
      <c r="T1279" s="10">
        <v>60</v>
      </c>
      <c r="V1279" s="45"/>
      <c r="X1279" s="29">
        <v>13.2</v>
      </c>
      <c r="Y1279" s="54" t="s">
        <v>17</v>
      </c>
    </row>
    <row r="1280" spans="1:26" ht="23.1" customHeight="1" x14ac:dyDescent="0.25">
      <c r="A1280" s="20" t="s">
        <v>796</v>
      </c>
      <c r="B1280" s="7" t="s">
        <v>113</v>
      </c>
      <c r="C1280" s="7">
        <v>44</v>
      </c>
      <c r="D1280" s="7" t="s">
        <v>266</v>
      </c>
      <c r="E1280" s="41" t="s">
        <v>267</v>
      </c>
      <c r="F1280" s="41" t="s">
        <v>267</v>
      </c>
      <c r="G1280" s="7" t="s">
        <v>118</v>
      </c>
      <c r="H1280" s="7">
        <v>55</v>
      </c>
      <c r="I1280" s="10" t="s">
        <v>2166</v>
      </c>
      <c r="J1280" s="10">
        <v>0.6</v>
      </c>
      <c r="K1280" s="10">
        <v>0.1</v>
      </c>
      <c r="L1280" s="43">
        <v>32</v>
      </c>
      <c r="M1280" s="43">
        <v>32</v>
      </c>
      <c r="N1280" s="12" t="s">
        <v>429</v>
      </c>
      <c r="P1280" s="10">
        <v>1260</v>
      </c>
      <c r="Q1280" s="10">
        <v>90</v>
      </c>
      <c r="T1280" s="10">
        <v>60</v>
      </c>
      <c r="V1280" s="45"/>
      <c r="X1280" s="29">
        <v>2.1</v>
      </c>
      <c r="Y1280" s="54" t="s">
        <v>64</v>
      </c>
    </row>
    <row r="1281" spans="1:26" ht="23.1" customHeight="1" x14ac:dyDescent="0.25">
      <c r="A1281" s="20" t="s">
        <v>796</v>
      </c>
      <c r="B1281" s="7" t="s">
        <v>113</v>
      </c>
      <c r="C1281" s="7">
        <v>105</v>
      </c>
      <c r="D1281" s="7" t="s">
        <v>1176</v>
      </c>
      <c r="E1281" s="41" t="s">
        <v>1098</v>
      </c>
      <c r="F1281" s="41" t="s">
        <v>1098</v>
      </c>
      <c r="G1281" s="7" t="s">
        <v>250</v>
      </c>
      <c r="H1281" s="7">
        <v>40</v>
      </c>
      <c r="I1281" s="10" t="s">
        <v>2172</v>
      </c>
      <c r="J1281" s="10">
        <v>1.3</v>
      </c>
      <c r="K1281" s="10">
        <v>1.2</v>
      </c>
      <c r="L1281" s="43">
        <v>32</v>
      </c>
      <c r="M1281" s="43">
        <v>32</v>
      </c>
      <c r="N1281" s="12" t="s">
        <v>429</v>
      </c>
      <c r="P1281" s="10">
        <v>450</v>
      </c>
      <c r="Q1281" s="10">
        <v>60</v>
      </c>
      <c r="T1281" s="10">
        <v>120</v>
      </c>
      <c r="V1281" s="45"/>
      <c r="X1281" s="29">
        <v>9</v>
      </c>
      <c r="Y1281" s="54" t="s">
        <v>9</v>
      </c>
    </row>
    <row r="1282" spans="1:26" ht="23.1" customHeight="1" x14ac:dyDescent="0.25">
      <c r="A1282" s="20" t="s">
        <v>796</v>
      </c>
      <c r="B1282" s="7" t="s">
        <v>113</v>
      </c>
      <c r="C1282" s="7">
        <v>97</v>
      </c>
      <c r="D1282" s="7" t="s">
        <v>1064</v>
      </c>
      <c r="E1282" s="41" t="s">
        <v>1065</v>
      </c>
      <c r="F1282" s="41" t="s">
        <v>1065</v>
      </c>
      <c r="G1282" s="7" t="s">
        <v>250</v>
      </c>
      <c r="H1282" s="7">
        <v>60</v>
      </c>
      <c r="I1282" s="10" t="s">
        <v>2156</v>
      </c>
      <c r="J1282" s="10">
        <v>1.3</v>
      </c>
      <c r="K1282" s="10">
        <v>1</v>
      </c>
      <c r="L1282" s="43">
        <v>32</v>
      </c>
      <c r="M1282" s="43">
        <v>32</v>
      </c>
      <c r="N1282" s="12" t="s">
        <v>429</v>
      </c>
      <c r="P1282" s="10">
        <v>570</v>
      </c>
      <c r="Q1282" s="10">
        <v>60</v>
      </c>
      <c r="S1282" s="11">
        <v>1</v>
      </c>
      <c r="T1282" s="10">
        <v>60</v>
      </c>
      <c r="V1282" s="45"/>
      <c r="X1282" s="29">
        <v>10.5</v>
      </c>
      <c r="Y1282" s="54" t="s">
        <v>39</v>
      </c>
    </row>
    <row r="1283" spans="1:26" ht="23.1" customHeight="1" x14ac:dyDescent="0.25">
      <c r="A1283" s="20" t="s">
        <v>796</v>
      </c>
      <c r="B1283" s="7" t="s">
        <v>110</v>
      </c>
      <c r="C1283" s="7">
        <v>44</v>
      </c>
      <c r="D1283" s="7" t="s">
        <v>266</v>
      </c>
      <c r="E1283" s="41" t="s">
        <v>267</v>
      </c>
      <c r="F1283" s="41" t="s">
        <v>267</v>
      </c>
      <c r="G1283" s="7" t="s">
        <v>118</v>
      </c>
      <c r="H1283" s="7">
        <v>55</v>
      </c>
      <c r="I1283" s="10" t="s">
        <v>2166</v>
      </c>
      <c r="J1283" s="10">
        <v>0.6</v>
      </c>
      <c r="K1283" s="10">
        <v>0.6</v>
      </c>
      <c r="L1283" s="43">
        <v>25</v>
      </c>
      <c r="M1283" s="43">
        <v>25</v>
      </c>
      <c r="N1283" s="12" t="s">
        <v>429</v>
      </c>
      <c r="P1283" s="10">
        <v>1260</v>
      </c>
      <c r="Q1283" s="10">
        <v>90</v>
      </c>
      <c r="T1283" s="10">
        <v>60</v>
      </c>
      <c r="V1283" s="45"/>
      <c r="X1283" s="29">
        <v>12.6</v>
      </c>
      <c r="Y1283" s="54" t="s">
        <v>59</v>
      </c>
    </row>
    <row r="1284" spans="1:26" ht="23.1" customHeight="1" x14ac:dyDescent="0.25">
      <c r="A1284" s="20" t="s">
        <v>796</v>
      </c>
      <c r="B1284" s="7" t="s">
        <v>110</v>
      </c>
      <c r="C1284" s="7">
        <v>100</v>
      </c>
      <c r="D1284" s="7" t="s">
        <v>937</v>
      </c>
      <c r="E1284" s="41" t="s">
        <v>938</v>
      </c>
      <c r="F1284" s="41" t="s">
        <v>938</v>
      </c>
      <c r="G1284" s="7" t="s">
        <v>939</v>
      </c>
      <c r="H1284" s="7">
        <v>35</v>
      </c>
      <c r="I1284" s="10" t="s">
        <v>2073</v>
      </c>
      <c r="J1284" s="10">
        <v>3</v>
      </c>
      <c r="K1284" s="10">
        <v>5</v>
      </c>
      <c r="L1284" s="43">
        <v>25</v>
      </c>
      <c r="M1284" s="43">
        <v>25</v>
      </c>
      <c r="N1284" s="12" t="s">
        <v>1185</v>
      </c>
      <c r="P1284" s="10">
        <v>90</v>
      </c>
      <c r="Q1284" s="10">
        <v>60</v>
      </c>
      <c r="S1284" s="11">
        <v>5</v>
      </c>
      <c r="T1284" s="10">
        <v>60</v>
      </c>
      <c r="V1284" s="45">
        <v>1</v>
      </c>
      <c r="X1284" s="29">
        <v>13.5</v>
      </c>
      <c r="Y1284" s="54" t="s">
        <v>59</v>
      </c>
    </row>
    <row r="1285" spans="1:26" ht="23.1" customHeight="1" x14ac:dyDescent="0.25">
      <c r="A1285" s="20" t="s">
        <v>796</v>
      </c>
      <c r="B1285" s="7" t="s">
        <v>110</v>
      </c>
      <c r="C1285" s="7">
        <v>101</v>
      </c>
      <c r="D1285" s="7" t="s">
        <v>1128</v>
      </c>
      <c r="E1285" s="41" t="s">
        <v>708</v>
      </c>
      <c r="F1285" s="41" t="e">
        <v>#N/A</v>
      </c>
      <c r="G1285" s="7" t="s">
        <v>250</v>
      </c>
      <c r="H1285" s="7">
        <v>40</v>
      </c>
      <c r="I1285" s="10" t="s">
        <v>1935</v>
      </c>
      <c r="J1285" s="10">
        <v>2</v>
      </c>
      <c r="K1285" s="10">
        <v>2.2000000000000002</v>
      </c>
      <c r="L1285" s="43">
        <v>25</v>
      </c>
      <c r="M1285" s="43">
        <v>25</v>
      </c>
      <c r="N1285" s="12" t="s">
        <v>1186</v>
      </c>
      <c r="P1285" s="10">
        <v>300</v>
      </c>
      <c r="Q1285" s="10">
        <v>60</v>
      </c>
      <c r="S1285" s="11">
        <v>3</v>
      </c>
      <c r="T1285" s="10">
        <v>60</v>
      </c>
      <c r="V1285" s="45"/>
      <c r="X1285" s="29">
        <v>14</v>
      </c>
      <c r="Y1285" s="54" t="s">
        <v>59</v>
      </c>
    </row>
    <row r="1286" spans="1:26" ht="23.1" customHeight="1" x14ac:dyDescent="0.25">
      <c r="A1286" s="20" t="s">
        <v>796</v>
      </c>
      <c r="B1286" s="7" t="s">
        <v>110</v>
      </c>
      <c r="C1286" s="7">
        <v>102</v>
      </c>
      <c r="D1286" s="7" t="s">
        <v>1097</v>
      </c>
      <c r="E1286" s="41" t="s">
        <v>1098</v>
      </c>
      <c r="F1286" s="41" t="s">
        <v>1098</v>
      </c>
      <c r="G1286" s="7" t="s">
        <v>250</v>
      </c>
      <c r="H1286" s="7">
        <v>40</v>
      </c>
      <c r="I1286" s="10" t="s">
        <v>2172</v>
      </c>
      <c r="J1286" s="10">
        <v>0.2</v>
      </c>
      <c r="K1286" s="10">
        <v>0.7</v>
      </c>
      <c r="L1286" s="43">
        <v>25</v>
      </c>
      <c r="M1286" s="43">
        <v>25</v>
      </c>
      <c r="N1286" s="12" t="s">
        <v>216</v>
      </c>
      <c r="P1286" s="10">
        <v>450</v>
      </c>
      <c r="Q1286" s="10">
        <v>60</v>
      </c>
      <c r="S1286" s="11">
        <v>1</v>
      </c>
      <c r="T1286" s="10">
        <v>120</v>
      </c>
      <c r="V1286" s="45">
        <v>1</v>
      </c>
      <c r="W1286" s="10">
        <v>3</v>
      </c>
      <c r="X1286" s="29">
        <v>11.3</v>
      </c>
      <c r="Y1286" s="54" t="s">
        <v>59</v>
      </c>
      <c r="Z1286" t="s">
        <v>1138</v>
      </c>
    </row>
    <row r="1287" spans="1:26" ht="23.1" customHeight="1" x14ac:dyDescent="0.25">
      <c r="A1287" s="20" t="s">
        <v>796</v>
      </c>
      <c r="B1287" s="7" t="s">
        <v>110</v>
      </c>
      <c r="C1287" s="7">
        <v>83</v>
      </c>
      <c r="D1287" s="7" t="s">
        <v>1095</v>
      </c>
      <c r="E1287" s="41" t="s">
        <v>1096</v>
      </c>
      <c r="F1287" s="41" t="s">
        <v>1096</v>
      </c>
      <c r="G1287" s="7" t="s">
        <v>658</v>
      </c>
      <c r="H1287" s="7">
        <v>45</v>
      </c>
      <c r="I1287" s="10" t="s">
        <v>2159</v>
      </c>
      <c r="J1287" s="10">
        <v>2</v>
      </c>
      <c r="K1287" s="10">
        <v>2.5</v>
      </c>
      <c r="L1287" s="43">
        <v>25</v>
      </c>
      <c r="M1287" s="43">
        <v>25</v>
      </c>
      <c r="N1287" s="12" t="s">
        <v>282</v>
      </c>
      <c r="P1287" s="10">
        <v>270</v>
      </c>
      <c r="Q1287" s="10">
        <v>90</v>
      </c>
      <c r="S1287" s="11">
        <v>2</v>
      </c>
      <c r="T1287" s="10">
        <v>60</v>
      </c>
      <c r="V1287" s="45"/>
      <c r="X1287" s="29">
        <v>14.3</v>
      </c>
      <c r="Y1287" s="54" t="s">
        <v>59</v>
      </c>
    </row>
    <row r="1288" spans="1:26" ht="23.1" customHeight="1" x14ac:dyDescent="0.25">
      <c r="A1288" s="20" t="s">
        <v>796</v>
      </c>
      <c r="B1288" s="7" t="s">
        <v>110</v>
      </c>
      <c r="C1288" s="7">
        <v>98</v>
      </c>
      <c r="D1288" s="7" t="s">
        <v>404</v>
      </c>
      <c r="E1288" s="41" t="s">
        <v>405</v>
      </c>
      <c r="F1288" s="41" t="s">
        <v>405</v>
      </c>
      <c r="G1288" s="7" t="s">
        <v>118</v>
      </c>
      <c r="H1288" s="7">
        <v>20</v>
      </c>
      <c r="I1288" s="10" t="s">
        <v>2034</v>
      </c>
      <c r="J1288" s="10">
        <v>0.8</v>
      </c>
      <c r="K1288" s="10">
        <v>3</v>
      </c>
      <c r="L1288" s="43">
        <v>25</v>
      </c>
      <c r="M1288" s="43">
        <v>25</v>
      </c>
      <c r="N1288" s="12" t="s">
        <v>1120</v>
      </c>
      <c r="P1288" s="10">
        <v>80</v>
      </c>
      <c r="Q1288" s="10">
        <v>60</v>
      </c>
      <c r="S1288" s="11">
        <v>3</v>
      </c>
      <c r="T1288" s="10">
        <v>120</v>
      </c>
      <c r="V1288" s="45">
        <v>1</v>
      </c>
      <c r="X1288" s="29">
        <v>9</v>
      </c>
      <c r="Y1288" s="54" t="s">
        <v>59</v>
      </c>
    </row>
    <row r="1289" spans="1:26" ht="23.1" customHeight="1" x14ac:dyDescent="0.25">
      <c r="A1289" s="20" t="s">
        <v>796</v>
      </c>
      <c r="B1289" s="7" t="s">
        <v>110</v>
      </c>
      <c r="C1289" s="7">
        <v>98</v>
      </c>
      <c r="D1289" s="7" t="s">
        <v>404</v>
      </c>
      <c r="E1289" s="41" t="s">
        <v>405</v>
      </c>
      <c r="F1289" s="41" t="s">
        <v>405</v>
      </c>
      <c r="G1289" s="7" t="s">
        <v>118</v>
      </c>
      <c r="H1289" s="7">
        <v>25</v>
      </c>
      <c r="I1289" s="10" t="s">
        <v>2169</v>
      </c>
      <c r="J1289" s="10">
        <v>0.8</v>
      </c>
      <c r="K1289" s="10">
        <v>3</v>
      </c>
      <c r="L1289" s="43">
        <v>25</v>
      </c>
      <c r="M1289" s="43">
        <v>25</v>
      </c>
      <c r="N1289" s="12" t="s">
        <v>1120</v>
      </c>
      <c r="P1289" s="10">
        <v>100</v>
      </c>
      <c r="Q1289" s="10">
        <v>60</v>
      </c>
      <c r="S1289" s="11">
        <v>3</v>
      </c>
      <c r="T1289" s="10">
        <v>120</v>
      </c>
      <c r="V1289" s="45">
        <v>1</v>
      </c>
      <c r="X1289" s="29">
        <v>10</v>
      </c>
      <c r="Y1289" s="54" t="s">
        <v>59</v>
      </c>
    </row>
    <row r="1290" spans="1:26" ht="23.1" customHeight="1" x14ac:dyDescent="0.25">
      <c r="A1290" s="20" t="s">
        <v>796</v>
      </c>
      <c r="B1290" s="7" t="s">
        <v>110</v>
      </c>
      <c r="C1290" s="7">
        <v>98</v>
      </c>
      <c r="D1290" s="7" t="s">
        <v>404</v>
      </c>
      <c r="E1290" s="41" t="s">
        <v>405</v>
      </c>
      <c r="F1290" s="41" t="s">
        <v>405</v>
      </c>
      <c r="G1290" s="7" t="s">
        <v>118</v>
      </c>
      <c r="H1290" s="7">
        <v>30</v>
      </c>
      <c r="I1290" s="10" t="s">
        <v>1891</v>
      </c>
      <c r="J1290" s="10">
        <v>0.8</v>
      </c>
      <c r="K1290" s="10">
        <v>3</v>
      </c>
      <c r="L1290" s="43">
        <v>25</v>
      </c>
      <c r="M1290" s="43">
        <v>25</v>
      </c>
      <c r="N1290" s="12" t="s">
        <v>1120</v>
      </c>
      <c r="P1290" s="10">
        <v>100</v>
      </c>
      <c r="Q1290" s="10">
        <v>60</v>
      </c>
      <c r="S1290" s="11">
        <v>3</v>
      </c>
      <c r="T1290" s="10">
        <v>120</v>
      </c>
      <c r="V1290" s="45">
        <v>1</v>
      </c>
      <c r="X1290" s="29">
        <v>10</v>
      </c>
      <c r="Y1290" s="54" t="s">
        <v>59</v>
      </c>
    </row>
    <row r="1291" spans="1:26" ht="23.1" customHeight="1" x14ac:dyDescent="0.25">
      <c r="A1291" s="20" t="s">
        <v>870</v>
      </c>
      <c r="B1291" s="7" t="s">
        <v>110</v>
      </c>
      <c r="C1291" s="7">
        <v>83</v>
      </c>
      <c r="D1291" s="7" t="s">
        <v>1095</v>
      </c>
      <c r="E1291" s="41" t="s">
        <v>1096</v>
      </c>
      <c r="F1291" s="41" t="s">
        <v>1096</v>
      </c>
      <c r="G1291" s="7" t="s">
        <v>658</v>
      </c>
      <c r="H1291" s="7">
        <v>50</v>
      </c>
      <c r="I1291" s="10" t="s">
        <v>2032</v>
      </c>
      <c r="J1291" s="10">
        <v>2</v>
      </c>
      <c r="K1291" s="10">
        <v>2</v>
      </c>
      <c r="L1291" s="43">
        <v>25</v>
      </c>
      <c r="M1291" s="43">
        <v>25</v>
      </c>
      <c r="N1291" s="12" t="s">
        <v>282</v>
      </c>
      <c r="P1291" s="10">
        <v>60</v>
      </c>
      <c r="Q1291" s="10">
        <v>60</v>
      </c>
      <c r="S1291" s="11">
        <v>2</v>
      </c>
      <c r="T1291" s="10">
        <v>60</v>
      </c>
      <c r="V1291" s="45"/>
      <c r="W1291" s="14">
        <v>2</v>
      </c>
      <c r="X1291" s="29">
        <v>6</v>
      </c>
      <c r="Y1291" s="54" t="s">
        <v>67</v>
      </c>
      <c r="Z1291" t="s">
        <v>1011</v>
      </c>
    </row>
    <row r="1292" spans="1:26" ht="23.1" customHeight="1" x14ac:dyDescent="0.25">
      <c r="A1292" s="20" t="s">
        <v>870</v>
      </c>
      <c r="B1292" s="7" t="s">
        <v>110</v>
      </c>
      <c r="C1292" s="7">
        <v>106</v>
      </c>
      <c r="D1292" s="7" t="s">
        <v>1070</v>
      </c>
      <c r="E1292" s="41" t="s">
        <v>101</v>
      </c>
      <c r="F1292" s="41" t="s">
        <v>101</v>
      </c>
      <c r="G1292" s="7" t="s">
        <v>300</v>
      </c>
      <c r="H1292" s="7">
        <v>25</v>
      </c>
      <c r="I1292" s="10" t="s">
        <v>2163</v>
      </c>
      <c r="J1292" s="10">
        <v>0.2</v>
      </c>
      <c r="K1292" s="10">
        <v>0.2</v>
      </c>
      <c r="L1292" s="43">
        <v>25</v>
      </c>
      <c r="M1292" s="43">
        <v>25</v>
      </c>
      <c r="N1292" s="12" t="s">
        <v>247</v>
      </c>
      <c r="P1292" s="10">
        <v>4800</v>
      </c>
      <c r="Q1292" s="10">
        <v>180</v>
      </c>
      <c r="T1292" s="10">
        <v>180</v>
      </c>
      <c r="V1292" s="45"/>
      <c r="X1292" s="29">
        <v>16</v>
      </c>
      <c r="Y1292" s="54" t="s">
        <v>67</v>
      </c>
    </row>
    <row r="1293" spans="1:26" ht="23.1" customHeight="1" x14ac:dyDescent="0.25">
      <c r="A1293" s="20" t="s">
        <v>870</v>
      </c>
      <c r="B1293" s="7" t="s">
        <v>110</v>
      </c>
      <c r="C1293" s="7">
        <v>44</v>
      </c>
      <c r="D1293" s="7" t="s">
        <v>266</v>
      </c>
      <c r="E1293" s="41" t="s">
        <v>267</v>
      </c>
      <c r="F1293" s="41" t="s">
        <v>267</v>
      </c>
      <c r="G1293" s="7" t="s">
        <v>118</v>
      </c>
      <c r="H1293" s="7">
        <v>55</v>
      </c>
      <c r="I1293" s="10" t="s">
        <v>2166</v>
      </c>
      <c r="J1293" s="10">
        <v>0.6</v>
      </c>
      <c r="K1293" s="10">
        <v>0.6</v>
      </c>
      <c r="L1293" s="43">
        <v>25</v>
      </c>
      <c r="M1293" s="43">
        <v>25</v>
      </c>
      <c r="N1293" s="12" t="s">
        <v>429</v>
      </c>
      <c r="P1293" s="10">
        <v>1260</v>
      </c>
      <c r="Q1293" s="10">
        <v>90</v>
      </c>
      <c r="S1293" s="11">
        <v>1</v>
      </c>
      <c r="T1293" s="10">
        <v>60</v>
      </c>
      <c r="V1293" s="45"/>
      <c r="X1293" s="29">
        <v>14.1</v>
      </c>
      <c r="Y1293" s="54" t="s">
        <v>67</v>
      </c>
    </row>
    <row r="1294" spans="1:26" ht="23.1" customHeight="1" x14ac:dyDescent="0.25">
      <c r="A1294" s="20" t="s">
        <v>870</v>
      </c>
      <c r="B1294" s="7" t="s">
        <v>110</v>
      </c>
      <c r="C1294" s="7">
        <v>100</v>
      </c>
      <c r="D1294" s="7" t="s">
        <v>937</v>
      </c>
      <c r="E1294" s="41" t="s">
        <v>938</v>
      </c>
      <c r="F1294" s="41" t="s">
        <v>938</v>
      </c>
      <c r="G1294" s="7" t="s">
        <v>939</v>
      </c>
      <c r="H1294" s="7">
        <v>40</v>
      </c>
      <c r="I1294" s="10" t="s">
        <v>2173</v>
      </c>
      <c r="J1294" s="10">
        <v>1</v>
      </c>
      <c r="K1294" s="10">
        <v>0.9</v>
      </c>
      <c r="L1294" s="43">
        <v>25</v>
      </c>
      <c r="M1294" s="43">
        <v>25</v>
      </c>
      <c r="N1294" s="12" t="s">
        <v>1187</v>
      </c>
      <c r="P1294" s="10">
        <v>840</v>
      </c>
      <c r="Q1294" s="10">
        <v>60</v>
      </c>
      <c r="S1294" s="11">
        <v>1</v>
      </c>
      <c r="T1294" s="10">
        <v>120</v>
      </c>
      <c r="V1294" s="45"/>
      <c r="W1294" s="14">
        <v>2</v>
      </c>
      <c r="X1294" s="29">
        <v>15.6</v>
      </c>
      <c r="Y1294" s="54" t="s">
        <v>67</v>
      </c>
      <c r="Z1294" t="s">
        <v>1188</v>
      </c>
    </row>
    <row r="1295" spans="1:26" ht="23.1" customHeight="1" x14ac:dyDescent="0.25">
      <c r="A1295" s="20" t="s">
        <v>870</v>
      </c>
      <c r="B1295" s="7" t="s">
        <v>110</v>
      </c>
      <c r="C1295" s="7">
        <v>102</v>
      </c>
      <c r="D1295" s="7" t="s">
        <v>1097</v>
      </c>
      <c r="E1295" s="41" t="s">
        <v>1098</v>
      </c>
      <c r="F1295" s="41" t="s">
        <v>1098</v>
      </c>
      <c r="G1295" s="7" t="s">
        <v>250</v>
      </c>
      <c r="H1295" s="7">
        <v>40</v>
      </c>
      <c r="I1295" s="10" t="s">
        <v>2172</v>
      </c>
      <c r="J1295" s="10">
        <v>1.3</v>
      </c>
      <c r="K1295" s="10">
        <v>1.4</v>
      </c>
      <c r="L1295" s="43">
        <v>25</v>
      </c>
      <c r="M1295" s="43">
        <v>25</v>
      </c>
      <c r="N1295" s="12" t="s">
        <v>292</v>
      </c>
      <c r="P1295" s="10">
        <v>450</v>
      </c>
      <c r="Q1295" s="10">
        <v>60</v>
      </c>
      <c r="S1295" s="11">
        <v>2</v>
      </c>
      <c r="T1295" s="10">
        <v>120</v>
      </c>
      <c r="V1295" s="45"/>
      <c r="X1295" s="29">
        <v>12.5</v>
      </c>
      <c r="Y1295" s="54" t="s">
        <v>67</v>
      </c>
    </row>
    <row r="1296" spans="1:26" ht="23.1" customHeight="1" x14ac:dyDescent="0.25">
      <c r="A1296" s="20" t="s">
        <v>870</v>
      </c>
      <c r="B1296" s="7" t="s">
        <v>110</v>
      </c>
      <c r="C1296" s="7">
        <v>101</v>
      </c>
      <c r="D1296" s="7" t="s">
        <v>1128</v>
      </c>
      <c r="E1296" s="41" t="s">
        <v>708</v>
      </c>
      <c r="F1296" s="41" t="e">
        <v>#N/A</v>
      </c>
      <c r="G1296" s="7" t="s">
        <v>250</v>
      </c>
      <c r="H1296" s="7">
        <v>40</v>
      </c>
      <c r="I1296" s="10" t="s">
        <v>1935</v>
      </c>
      <c r="J1296" s="10">
        <v>2</v>
      </c>
      <c r="K1296" s="10">
        <v>2.7</v>
      </c>
      <c r="L1296" s="43">
        <v>25</v>
      </c>
      <c r="M1296" s="43">
        <v>25</v>
      </c>
      <c r="N1296" s="12" t="s">
        <v>755</v>
      </c>
      <c r="P1296" s="10">
        <v>300</v>
      </c>
      <c r="Q1296" s="10">
        <v>60</v>
      </c>
      <c r="S1296" s="11">
        <v>3</v>
      </c>
      <c r="T1296" s="10">
        <v>60</v>
      </c>
      <c r="V1296" s="45"/>
      <c r="X1296" s="29">
        <v>16.5</v>
      </c>
      <c r="Y1296" s="54" t="s">
        <v>67</v>
      </c>
    </row>
    <row r="1297" spans="1:26" ht="23.1" customHeight="1" x14ac:dyDescent="0.25">
      <c r="A1297" s="20" t="s">
        <v>870</v>
      </c>
      <c r="B1297" s="7" t="s">
        <v>110</v>
      </c>
      <c r="C1297" s="7">
        <v>98</v>
      </c>
      <c r="D1297" s="7" t="s">
        <v>481</v>
      </c>
      <c r="E1297" s="41" t="s">
        <v>482</v>
      </c>
      <c r="F1297" s="41" t="s">
        <v>482</v>
      </c>
      <c r="G1297" s="7" t="s">
        <v>118</v>
      </c>
      <c r="H1297" s="7">
        <v>20</v>
      </c>
      <c r="I1297" s="10" t="s">
        <v>2034</v>
      </c>
      <c r="J1297" s="10">
        <v>2</v>
      </c>
      <c r="K1297" s="10">
        <v>2</v>
      </c>
      <c r="L1297" s="43">
        <v>25</v>
      </c>
      <c r="M1297" s="43">
        <v>25</v>
      </c>
      <c r="N1297" s="12" t="s">
        <v>1121</v>
      </c>
      <c r="P1297" s="10">
        <v>80</v>
      </c>
      <c r="Q1297" s="10">
        <v>60</v>
      </c>
      <c r="S1297" s="11">
        <v>2</v>
      </c>
      <c r="T1297" s="10">
        <v>120</v>
      </c>
      <c r="V1297" s="45"/>
      <c r="X1297" s="29">
        <v>4.7</v>
      </c>
      <c r="Y1297" s="54" t="s">
        <v>67</v>
      </c>
    </row>
    <row r="1298" spans="1:26" ht="23.1" customHeight="1" x14ac:dyDescent="0.25">
      <c r="A1298" s="20" t="s">
        <v>870</v>
      </c>
      <c r="B1298" s="7" t="s">
        <v>110</v>
      </c>
      <c r="C1298" s="7">
        <v>98</v>
      </c>
      <c r="D1298" s="7" t="s">
        <v>481</v>
      </c>
      <c r="E1298" s="41" t="s">
        <v>482</v>
      </c>
      <c r="F1298" s="41" t="s">
        <v>482</v>
      </c>
      <c r="G1298" s="7" t="s">
        <v>118</v>
      </c>
      <c r="H1298" s="7">
        <v>25</v>
      </c>
      <c r="I1298" s="10" t="s">
        <v>2169</v>
      </c>
      <c r="J1298" s="10">
        <v>2</v>
      </c>
      <c r="K1298" s="10">
        <v>2</v>
      </c>
      <c r="L1298" s="43">
        <v>25</v>
      </c>
      <c r="M1298" s="43">
        <v>25</v>
      </c>
      <c r="N1298" s="12" t="s">
        <v>1121</v>
      </c>
      <c r="P1298" s="10">
        <v>100</v>
      </c>
      <c r="Q1298" s="10">
        <v>60</v>
      </c>
      <c r="S1298" s="11">
        <v>2</v>
      </c>
      <c r="T1298" s="10">
        <v>120</v>
      </c>
      <c r="V1298" s="45"/>
      <c r="X1298" s="29">
        <v>5.3</v>
      </c>
      <c r="Y1298" s="54" t="s">
        <v>67</v>
      </c>
    </row>
    <row r="1299" spans="1:26" ht="23.1" customHeight="1" x14ac:dyDescent="0.25">
      <c r="A1299" s="20" t="s">
        <v>870</v>
      </c>
      <c r="B1299" s="7" t="s">
        <v>110</v>
      </c>
      <c r="C1299" s="7">
        <v>98</v>
      </c>
      <c r="D1299" s="7" t="s">
        <v>481</v>
      </c>
      <c r="E1299" s="41" t="s">
        <v>482</v>
      </c>
      <c r="F1299" s="41" t="s">
        <v>482</v>
      </c>
      <c r="G1299" s="7" t="s">
        <v>118</v>
      </c>
      <c r="H1299" s="7">
        <v>30</v>
      </c>
      <c r="I1299" s="10" t="s">
        <v>1891</v>
      </c>
      <c r="J1299" s="10">
        <v>2</v>
      </c>
      <c r="K1299" s="10">
        <v>2</v>
      </c>
      <c r="L1299" s="43">
        <v>25</v>
      </c>
      <c r="M1299" s="43">
        <v>25</v>
      </c>
      <c r="N1299" s="12" t="s">
        <v>1121</v>
      </c>
      <c r="P1299" s="10">
        <v>100</v>
      </c>
      <c r="Q1299" s="10">
        <v>60</v>
      </c>
      <c r="S1299" s="11">
        <v>2</v>
      </c>
      <c r="T1299" s="10">
        <v>120</v>
      </c>
      <c r="V1299" s="45"/>
      <c r="X1299" s="29">
        <v>5.3</v>
      </c>
      <c r="Y1299" s="54" t="s">
        <v>67</v>
      </c>
    </row>
    <row r="1300" spans="1:26" ht="23.1" customHeight="1" x14ac:dyDescent="0.25">
      <c r="A1300" s="20" t="s">
        <v>870</v>
      </c>
      <c r="B1300" s="7" t="s">
        <v>110</v>
      </c>
      <c r="C1300" s="7">
        <v>98</v>
      </c>
      <c r="D1300" s="7" t="s">
        <v>481</v>
      </c>
      <c r="E1300" s="41" t="s">
        <v>482</v>
      </c>
      <c r="F1300" s="41" t="s">
        <v>482</v>
      </c>
      <c r="G1300" s="7" t="s">
        <v>118</v>
      </c>
      <c r="H1300" s="7">
        <v>35</v>
      </c>
      <c r="I1300" s="10" t="s">
        <v>2174</v>
      </c>
      <c r="K1300" s="10">
        <v>0.4</v>
      </c>
      <c r="L1300" s="43">
        <v>25</v>
      </c>
      <c r="M1300" s="43">
        <v>25</v>
      </c>
      <c r="N1300" s="12" t="s">
        <v>722</v>
      </c>
      <c r="P1300" s="10">
        <v>800</v>
      </c>
      <c r="Q1300" s="10">
        <v>60</v>
      </c>
      <c r="S1300" s="11">
        <v>1</v>
      </c>
      <c r="T1300" s="10">
        <v>120</v>
      </c>
      <c r="V1300" s="45">
        <v>1</v>
      </c>
      <c r="X1300" s="29">
        <v>8.3000000000000007</v>
      </c>
      <c r="Y1300" s="54" t="s">
        <v>67</v>
      </c>
    </row>
    <row r="1301" spans="1:26" ht="23.1" customHeight="1" x14ac:dyDescent="0.25">
      <c r="A1301" s="20" t="s">
        <v>796</v>
      </c>
      <c r="B1301" s="7" t="s">
        <v>110</v>
      </c>
      <c r="C1301" s="7">
        <v>99</v>
      </c>
      <c r="D1301" s="7" t="s">
        <v>604</v>
      </c>
      <c r="E1301" s="41" t="s">
        <v>605</v>
      </c>
      <c r="F1301" s="41" t="s">
        <v>605</v>
      </c>
      <c r="G1301" s="7" t="s">
        <v>107</v>
      </c>
      <c r="H1301" s="7">
        <v>53</v>
      </c>
      <c r="I1301" s="10"/>
      <c r="J1301" s="10">
        <v>2</v>
      </c>
      <c r="K1301" s="10">
        <v>2.7</v>
      </c>
      <c r="L1301" s="43">
        <v>25</v>
      </c>
      <c r="M1301" s="43">
        <v>25</v>
      </c>
      <c r="N1301" s="12" t="s">
        <v>1189</v>
      </c>
      <c r="V1301" s="45"/>
      <c r="W1301" s="14">
        <v>15</v>
      </c>
      <c r="X1301" s="32">
        <v>15</v>
      </c>
      <c r="Y1301" s="54" t="s">
        <v>21</v>
      </c>
    </row>
    <row r="1302" spans="1:26" ht="23.1" customHeight="1" x14ac:dyDescent="0.25">
      <c r="A1302" s="20" t="s">
        <v>796</v>
      </c>
      <c r="B1302" s="7" t="s">
        <v>110</v>
      </c>
      <c r="C1302" s="7">
        <v>97</v>
      </c>
      <c r="D1302" s="7" t="s">
        <v>1064</v>
      </c>
      <c r="E1302" s="41" t="s">
        <v>1065</v>
      </c>
      <c r="F1302" s="41" t="s">
        <v>1065</v>
      </c>
      <c r="G1302" s="7" t="s">
        <v>250</v>
      </c>
      <c r="H1302" s="7">
        <v>60</v>
      </c>
      <c r="I1302" s="10" t="s">
        <v>2156</v>
      </c>
      <c r="J1302" s="10">
        <v>1.3</v>
      </c>
      <c r="K1302" s="10">
        <v>1</v>
      </c>
      <c r="L1302" s="43">
        <v>25</v>
      </c>
      <c r="M1302" s="43">
        <v>25</v>
      </c>
      <c r="N1302" s="12" t="s">
        <v>429</v>
      </c>
      <c r="P1302" s="10">
        <v>570</v>
      </c>
      <c r="Q1302" s="10">
        <v>60</v>
      </c>
      <c r="S1302" s="11">
        <v>1</v>
      </c>
      <c r="T1302" s="10">
        <v>60</v>
      </c>
      <c r="V1302" s="45">
        <v>1</v>
      </c>
      <c r="W1302" s="10">
        <v>3</v>
      </c>
      <c r="X1302" s="29">
        <v>14.5</v>
      </c>
      <c r="Y1302" s="54" t="s">
        <v>1</v>
      </c>
      <c r="Z1302" t="s">
        <v>1138</v>
      </c>
    </row>
    <row r="1303" spans="1:26" ht="23.1" customHeight="1" x14ac:dyDescent="0.25">
      <c r="A1303" s="20" t="s">
        <v>796</v>
      </c>
      <c r="B1303" s="7" t="s">
        <v>110</v>
      </c>
      <c r="C1303" s="7">
        <v>103</v>
      </c>
      <c r="D1303" s="7" t="s">
        <v>1152</v>
      </c>
      <c r="E1303" s="41" t="s">
        <v>1149</v>
      </c>
      <c r="F1303" s="41" t="s">
        <v>1149</v>
      </c>
      <c r="G1303" s="7" t="s">
        <v>300</v>
      </c>
      <c r="H1303" s="7">
        <v>5</v>
      </c>
      <c r="I1303" s="10" t="s">
        <v>2158</v>
      </c>
      <c r="J1303" s="10">
        <v>2</v>
      </c>
      <c r="K1303" s="10">
        <v>1.5</v>
      </c>
      <c r="L1303" s="43">
        <v>25</v>
      </c>
      <c r="M1303" s="43">
        <v>25</v>
      </c>
      <c r="N1303" s="12" t="s">
        <v>1153</v>
      </c>
      <c r="P1303" s="10">
        <v>240</v>
      </c>
      <c r="Q1303" s="10">
        <v>120</v>
      </c>
      <c r="S1303" s="11">
        <v>1</v>
      </c>
      <c r="T1303" s="10">
        <v>90</v>
      </c>
      <c r="V1303" s="45"/>
      <c r="X1303" s="29">
        <v>8</v>
      </c>
      <c r="Y1303" s="54" t="s">
        <v>62</v>
      </c>
    </row>
    <row r="1304" spans="1:26" ht="23.1" customHeight="1" x14ac:dyDescent="0.25">
      <c r="A1304" s="20" t="s">
        <v>796</v>
      </c>
      <c r="B1304" s="7" t="s">
        <v>110</v>
      </c>
      <c r="C1304" s="7">
        <v>105</v>
      </c>
      <c r="D1304" s="7" t="s">
        <v>1176</v>
      </c>
      <c r="E1304" s="41" t="s">
        <v>1098</v>
      </c>
      <c r="F1304" s="41" t="s">
        <v>1098</v>
      </c>
      <c r="G1304" s="7" t="s">
        <v>250</v>
      </c>
      <c r="H1304" s="7">
        <v>40</v>
      </c>
      <c r="I1304" s="10" t="s">
        <v>2172</v>
      </c>
      <c r="K1304" s="10">
        <v>0.8</v>
      </c>
      <c r="L1304" s="43">
        <v>25</v>
      </c>
      <c r="M1304" s="43">
        <v>25</v>
      </c>
      <c r="N1304" s="12" t="s">
        <v>429</v>
      </c>
      <c r="P1304" s="10">
        <v>450</v>
      </c>
      <c r="Q1304" s="10">
        <v>60</v>
      </c>
      <c r="S1304" s="11">
        <v>1</v>
      </c>
      <c r="T1304" s="10">
        <v>120</v>
      </c>
      <c r="V1304" s="45">
        <v>1</v>
      </c>
      <c r="X1304" s="29">
        <v>9</v>
      </c>
      <c r="Y1304" s="54" t="s">
        <v>28</v>
      </c>
    </row>
    <row r="1305" spans="1:26" ht="23.1" customHeight="1" x14ac:dyDescent="0.25">
      <c r="A1305" s="20" t="s">
        <v>796</v>
      </c>
      <c r="B1305" s="7" t="s">
        <v>110</v>
      </c>
      <c r="C1305" s="7">
        <v>19</v>
      </c>
      <c r="D1305" s="7" t="s">
        <v>169</v>
      </c>
      <c r="E1305" s="41" t="s">
        <v>170</v>
      </c>
      <c r="F1305" s="41" t="e">
        <v>#N/A</v>
      </c>
      <c r="G1305" s="7" t="s">
        <v>118</v>
      </c>
      <c r="H1305" s="7">
        <v>30</v>
      </c>
      <c r="I1305" s="10" t="s">
        <v>2167</v>
      </c>
      <c r="J1305" s="10">
        <v>1.5</v>
      </c>
      <c r="K1305" s="10">
        <v>1.7</v>
      </c>
      <c r="L1305" s="43">
        <v>25</v>
      </c>
      <c r="M1305" s="43">
        <v>25</v>
      </c>
      <c r="N1305" s="12" t="s">
        <v>1190</v>
      </c>
      <c r="P1305" s="10">
        <v>420</v>
      </c>
      <c r="Q1305" s="10">
        <v>60</v>
      </c>
      <c r="S1305" s="11">
        <v>1</v>
      </c>
      <c r="T1305" s="10">
        <v>60</v>
      </c>
      <c r="V1305" s="45"/>
      <c r="X1305" s="29">
        <v>12.9</v>
      </c>
      <c r="Y1305" s="54" t="s">
        <v>11</v>
      </c>
    </row>
    <row r="1306" spans="1:26" ht="23.1" customHeight="1" x14ac:dyDescent="0.25">
      <c r="A1306" s="20" t="s">
        <v>796</v>
      </c>
      <c r="B1306" s="7" t="s">
        <v>110</v>
      </c>
      <c r="C1306" s="7">
        <v>118</v>
      </c>
      <c r="D1306" s="7" t="s">
        <v>1171</v>
      </c>
      <c r="E1306" s="41" t="s">
        <v>1172</v>
      </c>
      <c r="F1306" s="41" t="s">
        <v>1172</v>
      </c>
      <c r="G1306" s="7" t="s">
        <v>300</v>
      </c>
      <c r="H1306" s="7">
        <v>25</v>
      </c>
      <c r="I1306" s="10" t="s">
        <v>2175</v>
      </c>
      <c r="K1306" s="10">
        <v>1</v>
      </c>
      <c r="L1306" s="43">
        <v>25</v>
      </c>
      <c r="M1306" s="43">
        <v>25</v>
      </c>
      <c r="N1306" s="12" t="s">
        <v>330</v>
      </c>
      <c r="P1306" s="10">
        <v>240</v>
      </c>
      <c r="Q1306" s="10">
        <v>60</v>
      </c>
      <c r="S1306" s="11">
        <v>1</v>
      </c>
      <c r="T1306" s="10">
        <v>60</v>
      </c>
      <c r="V1306" s="45">
        <v>1</v>
      </c>
      <c r="X1306" s="29">
        <v>6</v>
      </c>
      <c r="Y1306" s="54" t="s">
        <v>32</v>
      </c>
    </row>
    <row r="1307" spans="1:26" ht="23.1" customHeight="1" x14ac:dyDescent="0.25">
      <c r="A1307" s="20" t="s">
        <v>796</v>
      </c>
      <c r="B1307" s="7" t="s">
        <v>110</v>
      </c>
      <c r="C1307" s="7">
        <v>118</v>
      </c>
      <c r="D1307" s="7" t="s">
        <v>1171</v>
      </c>
      <c r="E1307" s="41" t="s">
        <v>1172</v>
      </c>
      <c r="F1307" s="41" t="s">
        <v>1172</v>
      </c>
      <c r="G1307" s="7" t="s">
        <v>300</v>
      </c>
      <c r="H1307" s="7">
        <v>25</v>
      </c>
      <c r="I1307" s="10" t="s">
        <v>2175</v>
      </c>
      <c r="K1307" s="10">
        <v>1</v>
      </c>
      <c r="L1307" s="43">
        <v>25</v>
      </c>
      <c r="M1307" s="43">
        <v>25</v>
      </c>
      <c r="N1307" s="12" t="s">
        <v>330</v>
      </c>
      <c r="P1307" s="10">
        <v>240</v>
      </c>
      <c r="Q1307" s="10">
        <v>60</v>
      </c>
      <c r="S1307" s="11">
        <v>1</v>
      </c>
      <c r="T1307" s="10">
        <v>60</v>
      </c>
      <c r="V1307" s="45">
        <v>1</v>
      </c>
      <c r="X1307" s="29">
        <v>6</v>
      </c>
      <c r="Y1307" s="54" t="s">
        <v>32</v>
      </c>
    </row>
    <row r="1308" spans="1:26" ht="23.1" customHeight="1" x14ac:dyDescent="0.25">
      <c r="A1308" s="20" t="s">
        <v>796</v>
      </c>
      <c r="B1308" s="7" t="s">
        <v>110</v>
      </c>
      <c r="C1308" s="7">
        <v>118</v>
      </c>
      <c r="D1308" s="7" t="s">
        <v>1171</v>
      </c>
      <c r="E1308" s="41" t="s">
        <v>1172</v>
      </c>
      <c r="F1308" s="41" t="s">
        <v>1172</v>
      </c>
      <c r="G1308" s="7" t="s">
        <v>300</v>
      </c>
      <c r="H1308" s="7">
        <v>30</v>
      </c>
      <c r="I1308" s="10" t="s">
        <v>2170</v>
      </c>
      <c r="K1308" s="10">
        <v>0.1</v>
      </c>
      <c r="L1308" s="43">
        <v>25</v>
      </c>
      <c r="M1308" s="43">
        <v>25</v>
      </c>
      <c r="N1308" s="12" t="s">
        <v>330</v>
      </c>
      <c r="P1308" s="10">
        <v>1500</v>
      </c>
      <c r="Q1308" s="10">
        <v>60</v>
      </c>
      <c r="S1308" s="11">
        <v>1</v>
      </c>
      <c r="T1308" s="10">
        <v>120</v>
      </c>
      <c r="V1308" s="45">
        <v>1</v>
      </c>
      <c r="X1308" s="29">
        <v>5.5</v>
      </c>
      <c r="Y1308" s="54" t="s">
        <v>32</v>
      </c>
    </row>
    <row r="1309" spans="1:26" ht="23.1" customHeight="1" x14ac:dyDescent="0.25">
      <c r="A1309" s="20" t="s">
        <v>796</v>
      </c>
      <c r="B1309" s="7" t="s">
        <v>110</v>
      </c>
      <c r="C1309" s="7">
        <v>117</v>
      </c>
      <c r="D1309" s="7" t="s">
        <v>1081</v>
      </c>
      <c r="E1309" s="41" t="s">
        <v>1082</v>
      </c>
      <c r="F1309" s="41" t="s">
        <v>1082</v>
      </c>
      <c r="G1309" s="7" t="s">
        <v>123</v>
      </c>
      <c r="H1309" s="7">
        <v>20</v>
      </c>
      <c r="I1309" s="10" t="s">
        <v>2171</v>
      </c>
      <c r="L1309" s="43">
        <v>25</v>
      </c>
      <c r="M1309" s="43">
        <v>25</v>
      </c>
      <c r="P1309" s="10">
        <v>590</v>
      </c>
      <c r="Q1309" s="10">
        <v>60</v>
      </c>
      <c r="T1309" s="10">
        <v>90</v>
      </c>
      <c r="V1309" s="45">
        <v>1</v>
      </c>
      <c r="W1309" s="14">
        <v>2</v>
      </c>
      <c r="X1309" s="29">
        <v>3.5</v>
      </c>
      <c r="Y1309" s="54" t="s">
        <v>32</v>
      </c>
      <c r="Z1309" t="s">
        <v>929</v>
      </c>
    </row>
    <row r="1310" spans="1:26" ht="23.1" customHeight="1" x14ac:dyDescent="0.25">
      <c r="A1310" s="20" t="s">
        <v>870</v>
      </c>
      <c r="B1310" s="7" t="s">
        <v>110</v>
      </c>
      <c r="C1310" s="7">
        <v>99</v>
      </c>
      <c r="D1310" s="7" t="s">
        <v>1191</v>
      </c>
      <c r="E1310" s="41" t="s">
        <v>1192</v>
      </c>
      <c r="F1310" s="41" t="s">
        <v>1192</v>
      </c>
      <c r="G1310" s="7" t="s">
        <v>300</v>
      </c>
      <c r="H1310" s="7">
        <v>5</v>
      </c>
      <c r="I1310" s="10" t="s">
        <v>1930</v>
      </c>
      <c r="J1310" s="10">
        <v>1</v>
      </c>
      <c r="K1310" s="10">
        <v>1</v>
      </c>
      <c r="L1310" s="43">
        <v>25</v>
      </c>
      <c r="M1310" s="43">
        <v>25</v>
      </c>
      <c r="N1310" s="12" t="s">
        <v>470</v>
      </c>
      <c r="P1310" s="10">
        <v>150</v>
      </c>
      <c r="Q1310" s="10">
        <v>60</v>
      </c>
      <c r="S1310" s="11">
        <v>1</v>
      </c>
      <c r="T1310" s="10">
        <v>60</v>
      </c>
      <c r="V1310" s="45">
        <v>1</v>
      </c>
      <c r="X1310" s="29">
        <v>4.5</v>
      </c>
      <c r="Y1310" s="54" t="s">
        <v>21</v>
      </c>
    </row>
    <row r="1311" spans="1:26" ht="23.1" customHeight="1" x14ac:dyDescent="0.25">
      <c r="A1311" s="20" t="s">
        <v>870</v>
      </c>
      <c r="B1311" s="7" t="s">
        <v>110</v>
      </c>
      <c r="C1311" s="7">
        <v>99</v>
      </c>
      <c r="D1311" s="7" t="s">
        <v>1191</v>
      </c>
      <c r="E1311" s="41" t="s">
        <v>1192</v>
      </c>
      <c r="F1311" s="41" t="s">
        <v>1192</v>
      </c>
      <c r="G1311" s="7" t="s">
        <v>300</v>
      </c>
      <c r="H1311" s="7">
        <v>10</v>
      </c>
      <c r="I1311" s="10" t="s">
        <v>2176</v>
      </c>
      <c r="J1311" s="10">
        <v>1</v>
      </c>
      <c r="K1311" s="10">
        <v>1</v>
      </c>
      <c r="L1311" s="43">
        <v>25</v>
      </c>
      <c r="M1311" s="43">
        <v>25</v>
      </c>
      <c r="N1311" s="12" t="s">
        <v>470</v>
      </c>
      <c r="P1311" s="10">
        <v>200</v>
      </c>
      <c r="Q1311" s="10">
        <v>60</v>
      </c>
      <c r="S1311" s="11">
        <v>1</v>
      </c>
      <c r="T1311" s="10">
        <v>90</v>
      </c>
      <c r="V1311" s="45">
        <v>1</v>
      </c>
      <c r="W1311" s="10">
        <v>3</v>
      </c>
      <c r="X1311" s="29">
        <v>8.8000000000000007</v>
      </c>
      <c r="Y1311" s="54" t="s">
        <v>21</v>
      </c>
      <c r="Z1311" t="s">
        <v>1193</v>
      </c>
    </row>
    <row r="1312" spans="1:26" ht="23.1" customHeight="1" x14ac:dyDescent="0.25">
      <c r="A1312" s="20" t="s">
        <v>870</v>
      </c>
      <c r="B1312" s="7" t="s">
        <v>110</v>
      </c>
      <c r="C1312" s="7">
        <v>99</v>
      </c>
      <c r="D1312" s="7" t="s">
        <v>1191</v>
      </c>
      <c r="E1312" s="41" t="s">
        <v>1192</v>
      </c>
      <c r="F1312" s="41" t="s">
        <v>1192</v>
      </c>
      <c r="G1312" s="7" t="s">
        <v>300</v>
      </c>
      <c r="H1312" s="7">
        <v>15</v>
      </c>
      <c r="I1312" s="10" t="s">
        <v>2177</v>
      </c>
      <c r="J1312" s="10">
        <v>0.5</v>
      </c>
      <c r="K1312" s="10">
        <v>0.4</v>
      </c>
      <c r="L1312" s="43">
        <v>25</v>
      </c>
      <c r="M1312" s="43">
        <v>25</v>
      </c>
      <c r="N1312" s="12" t="s">
        <v>470</v>
      </c>
      <c r="P1312" s="10">
        <v>360</v>
      </c>
      <c r="Q1312" s="10">
        <v>60</v>
      </c>
      <c r="S1312" s="11">
        <v>1</v>
      </c>
      <c r="T1312" s="10">
        <v>90</v>
      </c>
      <c r="V1312" s="45"/>
      <c r="W1312" s="14">
        <v>2</v>
      </c>
      <c r="X1312" s="29">
        <v>5.4</v>
      </c>
      <c r="Y1312" s="54" t="s">
        <v>21</v>
      </c>
      <c r="Z1312" t="s">
        <v>929</v>
      </c>
    </row>
    <row r="1313" spans="1:26" ht="23.1" customHeight="1" x14ac:dyDescent="0.25">
      <c r="A1313" s="20" t="s">
        <v>870</v>
      </c>
      <c r="B1313" s="7" t="s">
        <v>110</v>
      </c>
      <c r="C1313" s="7">
        <v>103</v>
      </c>
      <c r="D1313" s="7" t="s">
        <v>1152</v>
      </c>
      <c r="E1313" s="41" t="s">
        <v>1149</v>
      </c>
      <c r="F1313" s="41" t="s">
        <v>1149</v>
      </c>
      <c r="G1313" s="7" t="s">
        <v>300</v>
      </c>
      <c r="H1313" s="7">
        <v>10</v>
      </c>
      <c r="I1313" s="10" t="s">
        <v>2176</v>
      </c>
      <c r="J1313" s="10">
        <v>2</v>
      </c>
      <c r="K1313" s="10">
        <v>0.8</v>
      </c>
      <c r="L1313" s="43">
        <v>25</v>
      </c>
      <c r="M1313" s="43">
        <v>25</v>
      </c>
      <c r="N1313" s="12" t="s">
        <v>1161</v>
      </c>
      <c r="P1313" s="10">
        <v>480</v>
      </c>
      <c r="Q1313" s="10">
        <v>120</v>
      </c>
      <c r="S1313" s="11">
        <v>1</v>
      </c>
      <c r="T1313" s="10">
        <v>120</v>
      </c>
      <c r="V1313" s="45">
        <v>1</v>
      </c>
      <c r="W1313" s="10">
        <v>3</v>
      </c>
      <c r="X1313" s="29">
        <v>13.4</v>
      </c>
      <c r="Y1313" s="54" t="s">
        <v>62</v>
      </c>
      <c r="Z1313" t="s">
        <v>1194</v>
      </c>
    </row>
    <row r="1314" spans="1:26" ht="23.1" customHeight="1" x14ac:dyDescent="0.25">
      <c r="A1314" s="20" t="s">
        <v>870</v>
      </c>
      <c r="B1314" s="7" t="s">
        <v>110</v>
      </c>
      <c r="C1314" s="7">
        <v>97</v>
      </c>
      <c r="D1314" s="7" t="s">
        <v>1064</v>
      </c>
      <c r="E1314" s="41" t="s">
        <v>1065</v>
      </c>
      <c r="F1314" s="41" t="s">
        <v>1065</v>
      </c>
      <c r="G1314" s="7" t="s">
        <v>250</v>
      </c>
      <c r="H1314" s="7">
        <v>60</v>
      </c>
      <c r="I1314" s="10" t="s">
        <v>2156</v>
      </c>
      <c r="J1314" s="10">
        <v>1.3</v>
      </c>
      <c r="K1314" s="10">
        <v>1.1000000000000001</v>
      </c>
      <c r="L1314" s="43">
        <v>25</v>
      </c>
      <c r="M1314" s="43">
        <v>25</v>
      </c>
      <c r="N1314" s="12" t="s">
        <v>429</v>
      </c>
      <c r="P1314" s="10">
        <v>570</v>
      </c>
      <c r="Q1314" s="10">
        <v>60</v>
      </c>
      <c r="S1314" s="11">
        <v>1</v>
      </c>
      <c r="T1314" s="10">
        <v>60</v>
      </c>
      <c r="V1314" s="45"/>
      <c r="X1314" s="29">
        <v>11.5</v>
      </c>
      <c r="Y1314" s="54" t="s">
        <v>1</v>
      </c>
    </row>
    <row r="1315" spans="1:26" ht="23.1" customHeight="1" x14ac:dyDescent="0.25">
      <c r="A1315" s="20" t="s">
        <v>870</v>
      </c>
      <c r="B1315" s="7" t="s">
        <v>110</v>
      </c>
      <c r="C1315" s="7">
        <v>82</v>
      </c>
      <c r="D1315" s="7" t="s">
        <v>1095</v>
      </c>
      <c r="E1315" s="41" t="s">
        <v>1096</v>
      </c>
      <c r="F1315" s="41" t="s">
        <v>1096</v>
      </c>
      <c r="G1315" s="7" t="s">
        <v>658</v>
      </c>
      <c r="H1315" s="7">
        <v>55</v>
      </c>
      <c r="I1315" s="10" t="s">
        <v>2168</v>
      </c>
      <c r="J1315" s="10">
        <v>5</v>
      </c>
      <c r="K1315" s="10">
        <v>4</v>
      </c>
      <c r="L1315" s="43">
        <v>25</v>
      </c>
      <c r="M1315" s="43">
        <v>25</v>
      </c>
      <c r="N1315" s="12" t="s">
        <v>282</v>
      </c>
      <c r="P1315" s="10">
        <v>90</v>
      </c>
      <c r="Q1315" s="10">
        <v>60</v>
      </c>
      <c r="S1315" s="11">
        <v>4</v>
      </c>
      <c r="T1315" s="10">
        <v>60</v>
      </c>
      <c r="V1315" s="45"/>
      <c r="X1315" s="29">
        <v>10</v>
      </c>
      <c r="Y1315" s="54" t="s">
        <v>56</v>
      </c>
    </row>
    <row r="1316" spans="1:26" ht="23.1" customHeight="1" x14ac:dyDescent="0.25">
      <c r="A1316" s="20" t="s">
        <v>870</v>
      </c>
      <c r="B1316" s="7" t="s">
        <v>110</v>
      </c>
      <c r="C1316" s="7">
        <v>82</v>
      </c>
      <c r="D1316" s="7" t="s">
        <v>1095</v>
      </c>
      <c r="E1316" s="41" t="s">
        <v>1096</v>
      </c>
      <c r="F1316" s="41" t="s">
        <v>1096</v>
      </c>
      <c r="G1316" s="7" t="s">
        <v>658</v>
      </c>
      <c r="H1316" s="7">
        <v>60</v>
      </c>
      <c r="I1316" s="10" t="s">
        <v>2178</v>
      </c>
      <c r="J1316" s="10">
        <v>4</v>
      </c>
      <c r="K1316" s="10">
        <v>6</v>
      </c>
      <c r="L1316" s="43">
        <v>25</v>
      </c>
      <c r="M1316" s="43">
        <v>25</v>
      </c>
      <c r="N1316" s="12" t="s">
        <v>282</v>
      </c>
      <c r="P1316" s="10">
        <v>70</v>
      </c>
      <c r="Q1316" s="10">
        <v>60</v>
      </c>
      <c r="S1316" s="11">
        <v>6</v>
      </c>
      <c r="T1316" s="10">
        <v>60</v>
      </c>
      <c r="V1316" s="45">
        <v>1</v>
      </c>
      <c r="X1316" s="29">
        <v>14</v>
      </c>
      <c r="Y1316" s="54" t="s">
        <v>56</v>
      </c>
    </row>
    <row r="1317" spans="1:26" ht="23.1" customHeight="1" x14ac:dyDescent="0.25">
      <c r="A1317" s="20" t="s">
        <v>870</v>
      </c>
      <c r="B1317" s="7" t="s">
        <v>110</v>
      </c>
      <c r="C1317" s="7">
        <v>105</v>
      </c>
      <c r="D1317" s="7" t="s">
        <v>1176</v>
      </c>
      <c r="E1317" s="41" t="s">
        <v>1098</v>
      </c>
      <c r="F1317" s="41" t="s">
        <v>1098</v>
      </c>
      <c r="G1317" s="7" t="s">
        <v>250</v>
      </c>
      <c r="H1317" s="7">
        <v>40</v>
      </c>
      <c r="I1317" s="10" t="s">
        <v>2172</v>
      </c>
      <c r="J1317" s="10">
        <v>1.3</v>
      </c>
      <c r="K1317" s="10">
        <v>1.2</v>
      </c>
      <c r="L1317" s="43">
        <v>25</v>
      </c>
      <c r="M1317" s="43">
        <v>25</v>
      </c>
      <c r="N1317" s="12" t="s">
        <v>429</v>
      </c>
      <c r="P1317" s="10">
        <v>450</v>
      </c>
      <c r="Q1317" s="10">
        <v>60</v>
      </c>
      <c r="S1317" s="11">
        <v>2</v>
      </c>
      <c r="T1317" s="10">
        <v>120</v>
      </c>
      <c r="V1317" s="45"/>
      <c r="X1317" s="29">
        <v>11</v>
      </c>
      <c r="Y1317" s="54" t="s">
        <v>28</v>
      </c>
    </row>
    <row r="1318" spans="1:26" ht="23.1" customHeight="1" x14ac:dyDescent="0.25">
      <c r="A1318" s="20" t="s">
        <v>870</v>
      </c>
      <c r="B1318" s="7" t="s">
        <v>110</v>
      </c>
      <c r="C1318" s="7">
        <v>19</v>
      </c>
      <c r="D1318" s="7" t="s">
        <v>169</v>
      </c>
      <c r="E1318" s="41" t="s">
        <v>170</v>
      </c>
      <c r="F1318" s="41" t="e">
        <v>#N/A</v>
      </c>
      <c r="G1318" s="7" t="s">
        <v>118</v>
      </c>
      <c r="H1318" s="7">
        <v>30</v>
      </c>
      <c r="I1318" s="10" t="s">
        <v>2167</v>
      </c>
      <c r="J1318" s="10">
        <v>1.5</v>
      </c>
      <c r="K1318" s="10">
        <v>1.7</v>
      </c>
      <c r="L1318" s="43">
        <v>25</v>
      </c>
      <c r="M1318" s="43">
        <v>25</v>
      </c>
      <c r="N1318" s="12" t="s">
        <v>1195</v>
      </c>
      <c r="P1318" s="10">
        <v>420</v>
      </c>
      <c r="Q1318" s="10">
        <v>60</v>
      </c>
      <c r="S1318" s="11">
        <v>2</v>
      </c>
      <c r="T1318" s="10">
        <v>60</v>
      </c>
      <c r="V1318" s="45"/>
      <c r="X1318" s="29">
        <v>13.9</v>
      </c>
      <c r="Y1318" s="54" t="s">
        <v>11</v>
      </c>
    </row>
    <row r="1319" spans="1:26" ht="23.1" customHeight="1" x14ac:dyDescent="0.25">
      <c r="A1319" s="53" t="s">
        <v>870</v>
      </c>
      <c r="B1319" s="10" t="s">
        <v>110</v>
      </c>
      <c r="C1319" s="7">
        <v>117</v>
      </c>
      <c r="D1319" s="7" t="s">
        <v>1081</v>
      </c>
      <c r="E1319" s="41" t="s">
        <v>1082</v>
      </c>
      <c r="F1319" s="41" t="s">
        <v>1082</v>
      </c>
      <c r="G1319" s="7" t="s">
        <v>123</v>
      </c>
      <c r="H1319" s="7">
        <v>20</v>
      </c>
      <c r="I1319" s="10" t="s">
        <v>2171</v>
      </c>
      <c r="K1319" s="10">
        <v>0.6</v>
      </c>
      <c r="L1319" s="43">
        <v>25</v>
      </c>
      <c r="M1319" s="43">
        <v>25</v>
      </c>
      <c r="N1319" s="12" t="s">
        <v>1196</v>
      </c>
      <c r="P1319" s="10">
        <v>590</v>
      </c>
      <c r="Q1319" s="10">
        <v>60</v>
      </c>
      <c r="S1319" s="11">
        <v>1</v>
      </c>
      <c r="T1319" s="10">
        <v>90</v>
      </c>
      <c r="V1319" s="45"/>
      <c r="X1319" s="29">
        <v>6.9</v>
      </c>
      <c r="Y1319" s="54" t="s">
        <v>32</v>
      </c>
    </row>
    <row r="1320" spans="1:26" ht="23.1" customHeight="1" x14ac:dyDescent="0.25">
      <c r="A1320" s="53" t="s">
        <v>870</v>
      </c>
      <c r="B1320" s="10" t="s">
        <v>110</v>
      </c>
      <c r="C1320" s="7">
        <v>118</v>
      </c>
      <c r="D1320" s="7" t="s">
        <v>1171</v>
      </c>
      <c r="E1320" s="41" t="s">
        <v>1172</v>
      </c>
      <c r="F1320" s="41" t="s">
        <v>1172</v>
      </c>
      <c r="G1320" s="7" t="s">
        <v>300</v>
      </c>
      <c r="H1320" s="7">
        <v>30</v>
      </c>
      <c r="I1320" s="10" t="s">
        <v>2170</v>
      </c>
      <c r="K1320" s="10">
        <v>0.6</v>
      </c>
      <c r="L1320" s="43">
        <v>25</v>
      </c>
      <c r="M1320" s="43">
        <v>25</v>
      </c>
      <c r="N1320" s="12" t="s">
        <v>251</v>
      </c>
      <c r="P1320" s="10">
        <v>1500</v>
      </c>
      <c r="Q1320" s="10">
        <v>60</v>
      </c>
      <c r="T1320" s="10">
        <v>120</v>
      </c>
      <c r="V1320" s="45"/>
      <c r="X1320" s="29">
        <v>15</v>
      </c>
      <c r="Y1320" s="54" t="s">
        <v>32</v>
      </c>
    </row>
    <row r="1321" spans="1:26" ht="23.1" customHeight="1" x14ac:dyDescent="0.25">
      <c r="A1321" s="53" t="s">
        <v>870</v>
      </c>
      <c r="B1321" s="10" t="s">
        <v>113</v>
      </c>
      <c r="C1321" s="7">
        <v>102</v>
      </c>
      <c r="D1321" s="7" t="s">
        <v>1097</v>
      </c>
      <c r="E1321" s="41" t="s">
        <v>1098</v>
      </c>
      <c r="F1321" s="41" t="s">
        <v>1098</v>
      </c>
      <c r="G1321" s="7" t="s">
        <v>250</v>
      </c>
      <c r="H1321" s="7">
        <v>40</v>
      </c>
      <c r="I1321" s="10" t="s">
        <v>2172</v>
      </c>
      <c r="J1321" s="10">
        <v>1.3</v>
      </c>
      <c r="K1321" s="10">
        <v>1.5</v>
      </c>
      <c r="L1321" s="43">
        <v>32</v>
      </c>
      <c r="M1321" s="43">
        <v>32</v>
      </c>
      <c r="N1321" s="12" t="s">
        <v>292</v>
      </c>
      <c r="P1321" s="10">
        <v>450</v>
      </c>
      <c r="Q1321" s="10">
        <v>60</v>
      </c>
      <c r="S1321" s="11">
        <v>1</v>
      </c>
      <c r="T1321" s="10">
        <v>120</v>
      </c>
      <c r="V1321" s="45"/>
      <c r="X1321" s="29">
        <v>12.3</v>
      </c>
      <c r="Y1321" s="54" t="s">
        <v>73</v>
      </c>
    </row>
    <row r="1322" spans="1:26" ht="23.1" customHeight="1" x14ac:dyDescent="0.25">
      <c r="A1322" s="20" t="s">
        <v>870</v>
      </c>
      <c r="B1322" s="7" t="s">
        <v>113</v>
      </c>
      <c r="C1322" s="7">
        <v>100</v>
      </c>
      <c r="D1322" s="7" t="s">
        <v>937</v>
      </c>
      <c r="E1322" s="41" t="s">
        <v>938</v>
      </c>
      <c r="F1322" s="41" t="s">
        <v>938</v>
      </c>
      <c r="G1322" s="7" t="s">
        <v>939</v>
      </c>
      <c r="H1322" s="7">
        <v>40</v>
      </c>
      <c r="I1322" s="10" t="s">
        <v>2173</v>
      </c>
      <c r="J1322" s="10">
        <v>1</v>
      </c>
      <c r="K1322" s="10">
        <v>1.3</v>
      </c>
      <c r="L1322" s="43">
        <v>32</v>
      </c>
      <c r="M1322" s="43">
        <v>32</v>
      </c>
      <c r="N1322" s="12" t="s">
        <v>425</v>
      </c>
      <c r="P1322" s="10">
        <v>840</v>
      </c>
      <c r="Q1322" s="10">
        <v>60</v>
      </c>
      <c r="S1322" s="11">
        <v>1</v>
      </c>
      <c r="T1322" s="10">
        <v>120</v>
      </c>
      <c r="V1322" s="45"/>
      <c r="X1322" s="29">
        <v>19.2</v>
      </c>
      <c r="Y1322" s="54" t="s">
        <v>73</v>
      </c>
    </row>
    <row r="1323" spans="1:26" ht="23.1" customHeight="1" x14ac:dyDescent="0.25">
      <c r="A1323" s="20" t="s">
        <v>870</v>
      </c>
      <c r="B1323" s="7" t="s">
        <v>113</v>
      </c>
      <c r="C1323" s="7">
        <v>98</v>
      </c>
      <c r="D1323" s="7" t="s">
        <v>481</v>
      </c>
      <c r="E1323" s="41" t="s">
        <v>482</v>
      </c>
      <c r="F1323" s="41" t="s">
        <v>482</v>
      </c>
      <c r="G1323" s="7" t="s">
        <v>118</v>
      </c>
      <c r="H1323" s="7">
        <v>35</v>
      </c>
      <c r="I1323" s="10" t="s">
        <v>2174</v>
      </c>
      <c r="J1323" s="10">
        <v>0.8</v>
      </c>
      <c r="K1323" s="10">
        <v>1.3</v>
      </c>
      <c r="L1323" s="43">
        <v>32</v>
      </c>
      <c r="M1323" s="43">
        <v>32</v>
      </c>
      <c r="N1323" s="12" t="s">
        <v>199</v>
      </c>
      <c r="P1323" s="10">
        <v>800</v>
      </c>
      <c r="Q1323" s="10">
        <v>60</v>
      </c>
      <c r="S1323" s="11">
        <v>1</v>
      </c>
      <c r="T1323" s="10">
        <v>120</v>
      </c>
      <c r="V1323" s="45"/>
      <c r="X1323" s="29">
        <v>18.3</v>
      </c>
      <c r="Y1323" s="54" t="s">
        <v>73</v>
      </c>
    </row>
    <row r="1324" spans="1:26" ht="23.1" customHeight="1" x14ac:dyDescent="0.25">
      <c r="A1324" s="20" t="s">
        <v>870</v>
      </c>
      <c r="B1324" s="7" t="s">
        <v>113</v>
      </c>
      <c r="C1324" s="7">
        <v>106</v>
      </c>
      <c r="D1324" s="7" t="s">
        <v>1070</v>
      </c>
      <c r="E1324" s="41" t="s">
        <v>101</v>
      </c>
      <c r="F1324" s="41" t="s">
        <v>101</v>
      </c>
      <c r="G1324" s="7" t="s">
        <v>300</v>
      </c>
      <c r="H1324" s="7">
        <v>30</v>
      </c>
      <c r="I1324" s="10" t="s">
        <v>2127</v>
      </c>
      <c r="J1324" s="10">
        <v>0.5</v>
      </c>
      <c r="K1324" s="10">
        <v>0.5</v>
      </c>
      <c r="L1324" s="43">
        <v>32</v>
      </c>
      <c r="M1324" s="43">
        <v>32</v>
      </c>
      <c r="N1324" s="12" t="s">
        <v>247</v>
      </c>
      <c r="P1324" s="10">
        <v>1500</v>
      </c>
      <c r="Q1324" s="10">
        <v>180</v>
      </c>
      <c r="S1324" s="11">
        <v>1</v>
      </c>
      <c r="T1324" s="10">
        <v>180</v>
      </c>
      <c r="V1324" s="45">
        <v>1</v>
      </c>
      <c r="X1324" s="29">
        <v>18.5</v>
      </c>
      <c r="Y1324" s="54" t="s">
        <v>73</v>
      </c>
    </row>
    <row r="1325" spans="1:26" ht="23.1" customHeight="1" x14ac:dyDescent="0.25">
      <c r="A1325" s="20" t="s">
        <v>870</v>
      </c>
      <c r="B1325" s="7" t="s">
        <v>113</v>
      </c>
      <c r="C1325" s="7">
        <v>83</v>
      </c>
      <c r="D1325" s="7" t="s">
        <v>1197</v>
      </c>
      <c r="E1325" s="41" t="s">
        <v>1198</v>
      </c>
      <c r="F1325" s="41" t="s">
        <v>1198</v>
      </c>
      <c r="G1325" s="7" t="s">
        <v>658</v>
      </c>
      <c r="H1325" s="7">
        <v>5</v>
      </c>
      <c r="I1325" s="10" t="s">
        <v>2179</v>
      </c>
      <c r="J1325" s="10">
        <v>8</v>
      </c>
      <c r="K1325" s="10">
        <v>8</v>
      </c>
      <c r="L1325" s="43">
        <v>32</v>
      </c>
      <c r="M1325" s="43">
        <v>32</v>
      </c>
      <c r="N1325" s="12" t="s">
        <v>282</v>
      </c>
      <c r="P1325" s="10">
        <v>90</v>
      </c>
      <c r="Q1325" s="10">
        <v>60</v>
      </c>
      <c r="S1325" s="11">
        <v>8</v>
      </c>
      <c r="T1325" s="10">
        <v>60</v>
      </c>
      <c r="V1325" s="45">
        <v>1</v>
      </c>
      <c r="X1325" s="29">
        <v>21</v>
      </c>
      <c r="Y1325" s="54" t="s">
        <v>73</v>
      </c>
    </row>
    <row r="1326" spans="1:26" ht="23.1" customHeight="1" x14ac:dyDescent="0.25">
      <c r="A1326" s="20" t="s">
        <v>870</v>
      </c>
      <c r="B1326" s="7" t="s">
        <v>113</v>
      </c>
      <c r="C1326" s="7">
        <v>83</v>
      </c>
      <c r="D1326" s="7" t="s">
        <v>1197</v>
      </c>
      <c r="E1326" s="41" t="s">
        <v>1198</v>
      </c>
      <c r="F1326" s="41" t="s">
        <v>1198</v>
      </c>
      <c r="G1326" s="7" t="s">
        <v>658</v>
      </c>
      <c r="H1326" s="7">
        <v>5</v>
      </c>
      <c r="I1326" s="10" t="s">
        <v>2179</v>
      </c>
      <c r="K1326" s="10">
        <v>4</v>
      </c>
      <c r="L1326" s="43">
        <v>32</v>
      </c>
      <c r="M1326" s="43">
        <v>32</v>
      </c>
      <c r="N1326" s="12" t="s">
        <v>412</v>
      </c>
      <c r="P1326" s="10">
        <v>90</v>
      </c>
      <c r="Q1326" s="10">
        <v>60</v>
      </c>
      <c r="S1326" s="11">
        <v>4</v>
      </c>
      <c r="T1326" s="10">
        <v>60</v>
      </c>
      <c r="V1326" s="45">
        <v>1</v>
      </c>
      <c r="X1326" s="29">
        <v>11</v>
      </c>
      <c r="Y1326" s="54" t="s">
        <v>73</v>
      </c>
    </row>
    <row r="1327" spans="1:26" ht="23.1" customHeight="1" x14ac:dyDescent="0.25">
      <c r="A1327" s="20" t="s">
        <v>870</v>
      </c>
      <c r="B1327" s="7" t="s">
        <v>113</v>
      </c>
      <c r="C1327" s="7">
        <v>82</v>
      </c>
      <c r="D1327" s="7" t="s">
        <v>1095</v>
      </c>
      <c r="E1327" s="41" t="s">
        <v>1096</v>
      </c>
      <c r="F1327" s="41" t="s">
        <v>1096</v>
      </c>
      <c r="G1327" s="7" t="s">
        <v>658</v>
      </c>
      <c r="H1327" s="7">
        <v>60</v>
      </c>
      <c r="I1327" s="10" t="s">
        <v>2178</v>
      </c>
      <c r="J1327" s="10">
        <v>7</v>
      </c>
      <c r="K1327" s="10">
        <v>5</v>
      </c>
      <c r="L1327" s="43">
        <v>32</v>
      </c>
      <c r="M1327" s="43">
        <v>32</v>
      </c>
      <c r="N1327" s="12" t="s">
        <v>282</v>
      </c>
      <c r="P1327" s="10">
        <v>70</v>
      </c>
      <c r="Q1327" s="10">
        <v>60</v>
      </c>
      <c r="S1327" s="11">
        <v>5</v>
      </c>
      <c r="T1327" s="10">
        <v>60</v>
      </c>
      <c r="V1327" s="45"/>
      <c r="X1327" s="29">
        <v>10.8</v>
      </c>
      <c r="Y1327" s="54" t="s">
        <v>73</v>
      </c>
    </row>
    <row r="1328" spans="1:26" ht="23.1" customHeight="1" x14ac:dyDescent="0.25">
      <c r="A1328" s="20" t="s">
        <v>870</v>
      </c>
      <c r="B1328" s="7" t="s">
        <v>113</v>
      </c>
      <c r="C1328" s="7">
        <v>118</v>
      </c>
      <c r="D1328" s="7" t="s">
        <v>1171</v>
      </c>
      <c r="E1328" s="41" t="s">
        <v>1172</v>
      </c>
      <c r="F1328" s="41" t="s">
        <v>1172</v>
      </c>
      <c r="G1328" s="7" t="s">
        <v>300</v>
      </c>
      <c r="H1328" s="7">
        <v>33</v>
      </c>
      <c r="I1328" s="10"/>
      <c r="K1328" s="10">
        <v>1</v>
      </c>
      <c r="L1328" s="43">
        <v>32</v>
      </c>
      <c r="M1328" s="43">
        <v>32</v>
      </c>
      <c r="N1328" s="12" t="s">
        <v>330</v>
      </c>
      <c r="O1328" s="10">
        <v>120</v>
      </c>
      <c r="R1328" s="10">
        <v>60</v>
      </c>
      <c r="S1328" s="11">
        <v>1</v>
      </c>
      <c r="U1328" s="10">
        <v>120</v>
      </c>
      <c r="V1328" s="45">
        <v>1</v>
      </c>
      <c r="X1328" s="32">
        <v>5</v>
      </c>
      <c r="Y1328" s="54" t="s">
        <v>73</v>
      </c>
    </row>
    <row r="1329" spans="1:26" ht="23.1" customHeight="1" x14ac:dyDescent="0.25">
      <c r="A1329" s="20" t="s">
        <v>870</v>
      </c>
      <c r="B1329" s="7" t="s">
        <v>113</v>
      </c>
      <c r="C1329" s="7">
        <v>117</v>
      </c>
      <c r="D1329" s="7" t="s">
        <v>1081</v>
      </c>
      <c r="E1329" s="41" t="s">
        <v>1082</v>
      </c>
      <c r="F1329" s="41" t="s">
        <v>1082</v>
      </c>
      <c r="G1329" s="7" t="s">
        <v>123</v>
      </c>
      <c r="H1329" s="7">
        <v>20</v>
      </c>
      <c r="I1329" s="10" t="s">
        <v>2171</v>
      </c>
      <c r="K1329" s="10">
        <v>0.7</v>
      </c>
      <c r="L1329" s="43">
        <v>32</v>
      </c>
      <c r="M1329" s="43">
        <v>32</v>
      </c>
      <c r="N1329" s="12" t="s">
        <v>780</v>
      </c>
      <c r="P1329" s="10">
        <v>590</v>
      </c>
      <c r="Q1329" s="10">
        <v>60</v>
      </c>
      <c r="T1329" s="10">
        <v>90</v>
      </c>
      <c r="V1329" s="45"/>
      <c r="X1329" s="29">
        <v>6.9</v>
      </c>
      <c r="Y1329" s="54" t="s">
        <v>73</v>
      </c>
    </row>
    <row r="1330" spans="1:26" ht="23.1" customHeight="1" x14ac:dyDescent="0.25">
      <c r="A1330" s="20" t="s">
        <v>870</v>
      </c>
      <c r="B1330" s="7" t="s">
        <v>113</v>
      </c>
      <c r="C1330" s="7">
        <v>19</v>
      </c>
      <c r="D1330" s="7" t="s">
        <v>169</v>
      </c>
      <c r="E1330" s="41" t="s">
        <v>170</v>
      </c>
      <c r="F1330" s="41" t="e">
        <v>#N/A</v>
      </c>
      <c r="G1330" s="7" t="s">
        <v>118</v>
      </c>
      <c r="H1330" s="7">
        <v>30</v>
      </c>
      <c r="I1330" s="10" t="s">
        <v>2167</v>
      </c>
      <c r="J1330" s="10">
        <v>0.2</v>
      </c>
      <c r="K1330" s="10">
        <v>0.7</v>
      </c>
      <c r="L1330" s="43">
        <v>32</v>
      </c>
      <c r="M1330" s="43">
        <v>32</v>
      </c>
      <c r="N1330" s="12" t="s">
        <v>1199</v>
      </c>
      <c r="P1330" s="10">
        <v>420</v>
      </c>
      <c r="Q1330" s="10">
        <v>60</v>
      </c>
      <c r="T1330" s="10">
        <v>60</v>
      </c>
      <c r="V1330" s="45"/>
      <c r="W1330" s="14">
        <v>3</v>
      </c>
      <c r="X1330" s="29">
        <v>7.9</v>
      </c>
      <c r="Y1330" s="54" t="s">
        <v>17</v>
      </c>
      <c r="Z1330" t="s">
        <v>1200</v>
      </c>
    </row>
    <row r="1331" spans="1:26" ht="23.1" customHeight="1" x14ac:dyDescent="0.25">
      <c r="A1331" s="20" t="s">
        <v>870</v>
      </c>
      <c r="B1331" s="7" t="s">
        <v>113</v>
      </c>
      <c r="C1331" s="7">
        <v>19</v>
      </c>
      <c r="D1331" s="7" t="s">
        <v>169</v>
      </c>
      <c r="E1331" s="41" t="s">
        <v>170</v>
      </c>
      <c r="F1331" s="41" t="e">
        <v>#N/A</v>
      </c>
      <c r="G1331" s="1" t="s">
        <v>118</v>
      </c>
      <c r="H1331" s="7">
        <v>6</v>
      </c>
      <c r="I1331" s="10"/>
      <c r="J1331" s="10">
        <v>2</v>
      </c>
      <c r="K1331" s="10">
        <v>1</v>
      </c>
      <c r="L1331" s="43">
        <v>32</v>
      </c>
      <c r="M1331" s="43">
        <v>32</v>
      </c>
      <c r="N1331" s="12" t="s">
        <v>199</v>
      </c>
      <c r="O1331" s="10">
        <v>90</v>
      </c>
      <c r="R1331" s="10">
        <v>60</v>
      </c>
      <c r="V1331" s="45"/>
      <c r="X1331" s="32">
        <v>1.5</v>
      </c>
      <c r="Y1331" s="54" t="s">
        <v>17</v>
      </c>
    </row>
    <row r="1332" spans="1:26" ht="23.1" customHeight="1" x14ac:dyDescent="0.25">
      <c r="A1332" s="20" t="s">
        <v>870</v>
      </c>
      <c r="B1332" s="7" t="s">
        <v>113</v>
      </c>
      <c r="C1332" s="7">
        <v>19</v>
      </c>
      <c r="D1332" s="7" t="s">
        <v>169</v>
      </c>
      <c r="E1332" s="41" t="s">
        <v>170</v>
      </c>
      <c r="F1332" s="41" t="e">
        <v>#N/A</v>
      </c>
      <c r="G1332" s="1" t="s">
        <v>118</v>
      </c>
      <c r="H1332" s="7">
        <v>8</v>
      </c>
      <c r="I1332" s="10"/>
      <c r="J1332" s="10">
        <v>2</v>
      </c>
      <c r="K1332" s="10">
        <v>1</v>
      </c>
      <c r="L1332" s="43">
        <v>32</v>
      </c>
      <c r="M1332" s="43">
        <v>32</v>
      </c>
      <c r="N1332" s="12" t="s">
        <v>199</v>
      </c>
      <c r="O1332" s="10">
        <v>90</v>
      </c>
      <c r="R1332" s="10">
        <v>60</v>
      </c>
      <c r="V1332" s="45"/>
      <c r="X1332" s="32">
        <v>1.5</v>
      </c>
      <c r="Y1332" s="54" t="s">
        <v>17</v>
      </c>
    </row>
    <row r="1333" spans="1:26" ht="23.1" customHeight="1" x14ac:dyDescent="0.25">
      <c r="A1333" s="20" t="s">
        <v>870</v>
      </c>
      <c r="B1333" s="7" t="s">
        <v>113</v>
      </c>
      <c r="C1333" s="7">
        <v>19</v>
      </c>
      <c r="D1333" s="7" t="s">
        <v>169</v>
      </c>
      <c r="E1333" s="41" t="s">
        <v>170</v>
      </c>
      <c r="F1333" s="41" t="e">
        <v>#N/A</v>
      </c>
      <c r="G1333" s="1" t="s">
        <v>118</v>
      </c>
      <c r="H1333" s="7">
        <v>10</v>
      </c>
      <c r="I1333" s="10" t="s">
        <v>2136</v>
      </c>
      <c r="J1333" s="10">
        <v>2</v>
      </c>
      <c r="K1333" s="10">
        <v>1</v>
      </c>
      <c r="L1333" s="43">
        <v>32</v>
      </c>
      <c r="M1333" s="43">
        <v>32</v>
      </c>
      <c r="N1333" s="12" t="s">
        <v>199</v>
      </c>
      <c r="P1333" s="10">
        <v>150</v>
      </c>
      <c r="Q1333" s="10">
        <v>90</v>
      </c>
      <c r="T1333" s="10">
        <v>60</v>
      </c>
      <c r="V1333" s="45"/>
      <c r="X1333" s="29">
        <v>2.5</v>
      </c>
      <c r="Y1333" s="54" t="s">
        <v>17</v>
      </c>
    </row>
    <row r="1334" spans="1:26" ht="23.1" customHeight="1" x14ac:dyDescent="0.25">
      <c r="A1334" s="20" t="s">
        <v>870</v>
      </c>
      <c r="B1334" s="7" t="s">
        <v>113</v>
      </c>
      <c r="C1334" s="7">
        <v>19</v>
      </c>
      <c r="D1334" s="7" t="s">
        <v>169</v>
      </c>
      <c r="E1334" s="41" t="s">
        <v>170</v>
      </c>
      <c r="F1334" s="41" t="e">
        <v>#N/A</v>
      </c>
      <c r="G1334" s="1" t="s">
        <v>118</v>
      </c>
      <c r="H1334" s="7">
        <v>15</v>
      </c>
      <c r="I1334" s="10" t="s">
        <v>2180</v>
      </c>
      <c r="J1334" s="10">
        <v>2</v>
      </c>
      <c r="K1334" s="10">
        <v>1</v>
      </c>
      <c r="L1334" s="43">
        <v>32</v>
      </c>
      <c r="M1334" s="43">
        <v>32</v>
      </c>
      <c r="N1334" s="12" t="s">
        <v>199</v>
      </c>
      <c r="P1334" s="10">
        <v>210</v>
      </c>
      <c r="Q1334" s="10">
        <v>90</v>
      </c>
      <c r="T1334" s="10">
        <v>60</v>
      </c>
      <c r="V1334" s="45"/>
      <c r="X1334" s="29">
        <v>3.5</v>
      </c>
      <c r="Y1334" s="54" t="s">
        <v>17</v>
      </c>
    </row>
    <row r="1335" spans="1:26" ht="23.1" customHeight="1" x14ac:dyDescent="0.25">
      <c r="A1335" s="20" t="s">
        <v>870</v>
      </c>
      <c r="B1335" s="7" t="s">
        <v>113</v>
      </c>
      <c r="C1335" s="7">
        <v>44</v>
      </c>
      <c r="D1335" s="7" t="s">
        <v>266</v>
      </c>
      <c r="E1335" s="41" t="s">
        <v>267</v>
      </c>
      <c r="F1335" s="41" t="s">
        <v>267</v>
      </c>
      <c r="G1335" s="7" t="s">
        <v>118</v>
      </c>
      <c r="H1335" s="7">
        <v>55</v>
      </c>
      <c r="I1335" s="10" t="s">
        <v>2166</v>
      </c>
      <c r="J1335" s="10">
        <v>0.6</v>
      </c>
      <c r="K1335" s="10">
        <v>0.3</v>
      </c>
      <c r="L1335" s="43">
        <v>32</v>
      </c>
      <c r="M1335" s="43">
        <v>32</v>
      </c>
      <c r="N1335" s="12" t="s">
        <v>429</v>
      </c>
      <c r="P1335" s="10">
        <v>1260</v>
      </c>
      <c r="Q1335" s="10">
        <v>90</v>
      </c>
      <c r="T1335" s="10">
        <v>60</v>
      </c>
      <c r="V1335" s="45"/>
      <c r="X1335" s="29">
        <v>6.3</v>
      </c>
      <c r="Y1335" s="54" t="s">
        <v>64</v>
      </c>
    </row>
    <row r="1336" spans="1:26" ht="23.1" customHeight="1" x14ac:dyDescent="0.25">
      <c r="A1336" s="20" t="s">
        <v>870</v>
      </c>
      <c r="B1336" s="7" t="s">
        <v>113</v>
      </c>
      <c r="C1336" s="7">
        <v>97</v>
      </c>
      <c r="D1336" s="7" t="s">
        <v>1064</v>
      </c>
      <c r="E1336" s="41" t="s">
        <v>1065</v>
      </c>
      <c r="F1336" s="41" t="s">
        <v>1065</v>
      </c>
      <c r="G1336" s="7" t="s">
        <v>250</v>
      </c>
      <c r="H1336" s="7">
        <v>60</v>
      </c>
      <c r="I1336" s="10" t="s">
        <v>2156</v>
      </c>
      <c r="J1336" s="10">
        <v>1.3</v>
      </c>
      <c r="K1336" s="10">
        <v>1</v>
      </c>
      <c r="L1336" s="43">
        <v>32</v>
      </c>
      <c r="M1336" s="43">
        <v>32</v>
      </c>
      <c r="N1336" s="12" t="s">
        <v>429</v>
      </c>
      <c r="P1336" s="10">
        <v>570</v>
      </c>
      <c r="Q1336" s="10">
        <v>60</v>
      </c>
      <c r="S1336" s="11">
        <v>1</v>
      </c>
      <c r="T1336" s="10">
        <v>60</v>
      </c>
      <c r="V1336" s="45"/>
      <c r="X1336" s="29">
        <v>10.5</v>
      </c>
      <c r="Y1336" s="54" t="s">
        <v>39</v>
      </c>
    </row>
    <row r="1337" spans="1:26" ht="23.1" customHeight="1" x14ac:dyDescent="0.25">
      <c r="A1337" s="20" t="s">
        <v>870</v>
      </c>
      <c r="B1337" s="7" t="s">
        <v>113</v>
      </c>
      <c r="C1337" s="7">
        <v>101</v>
      </c>
      <c r="D1337" s="7" t="s">
        <v>1128</v>
      </c>
      <c r="E1337" s="41" t="s">
        <v>708</v>
      </c>
      <c r="F1337" s="41" t="e">
        <v>#N/A</v>
      </c>
      <c r="G1337" s="7" t="s">
        <v>250</v>
      </c>
      <c r="H1337" s="7">
        <v>40</v>
      </c>
      <c r="I1337" s="10" t="s">
        <v>1935</v>
      </c>
      <c r="J1337" s="10">
        <v>1</v>
      </c>
      <c r="K1337" s="10">
        <v>0.7</v>
      </c>
      <c r="L1337" s="43">
        <v>32</v>
      </c>
      <c r="M1337" s="43">
        <v>32</v>
      </c>
      <c r="N1337" s="12" t="s">
        <v>219</v>
      </c>
      <c r="P1337" s="10">
        <v>300</v>
      </c>
      <c r="Q1337" s="10">
        <v>60</v>
      </c>
      <c r="T1337" s="10">
        <v>60</v>
      </c>
      <c r="V1337" s="45"/>
      <c r="X1337" s="29">
        <v>3.5</v>
      </c>
      <c r="Y1337" s="54" t="s">
        <v>47</v>
      </c>
    </row>
    <row r="1338" spans="1:26" ht="23.1" customHeight="1" x14ac:dyDescent="0.25">
      <c r="A1338" s="20" t="s">
        <v>870</v>
      </c>
      <c r="B1338" s="7" t="s">
        <v>113</v>
      </c>
      <c r="C1338" s="7">
        <v>101</v>
      </c>
      <c r="D1338" s="7" t="s">
        <v>1128</v>
      </c>
      <c r="E1338" s="41" t="s">
        <v>708</v>
      </c>
      <c r="F1338" s="41" t="e">
        <v>#N/A</v>
      </c>
      <c r="G1338" s="7" t="s">
        <v>250</v>
      </c>
      <c r="H1338" s="7">
        <v>45</v>
      </c>
      <c r="I1338" s="10" t="s">
        <v>2146</v>
      </c>
      <c r="J1338" s="10">
        <v>5</v>
      </c>
      <c r="K1338" s="10">
        <v>7</v>
      </c>
      <c r="L1338" s="43">
        <v>32</v>
      </c>
      <c r="M1338" s="43">
        <v>32</v>
      </c>
      <c r="N1338" s="12" t="s">
        <v>1201</v>
      </c>
      <c r="P1338" s="10">
        <v>50</v>
      </c>
      <c r="Q1338" s="10">
        <v>60</v>
      </c>
      <c r="S1338" s="11">
        <v>7</v>
      </c>
      <c r="T1338" s="10">
        <v>60</v>
      </c>
      <c r="V1338" s="45">
        <v>1</v>
      </c>
      <c r="X1338" s="29">
        <v>13.8</v>
      </c>
      <c r="Y1338" s="54" t="s">
        <v>47</v>
      </c>
    </row>
    <row r="1339" spans="1:26" ht="23.1" customHeight="1" x14ac:dyDescent="0.25">
      <c r="A1339" s="20" t="s">
        <v>870</v>
      </c>
      <c r="B1339" s="7" t="s">
        <v>113</v>
      </c>
      <c r="C1339" s="7">
        <v>105</v>
      </c>
      <c r="D1339" s="7" t="s">
        <v>1176</v>
      </c>
      <c r="E1339" s="41" t="s">
        <v>1098</v>
      </c>
      <c r="F1339" s="41" t="s">
        <v>1098</v>
      </c>
      <c r="G1339" s="7" t="s">
        <v>250</v>
      </c>
      <c r="H1339" s="7">
        <v>40</v>
      </c>
      <c r="I1339" s="10" t="s">
        <v>2172</v>
      </c>
      <c r="J1339" s="10">
        <v>1.3</v>
      </c>
      <c r="K1339" s="10">
        <v>1.4</v>
      </c>
      <c r="L1339" s="43">
        <v>32</v>
      </c>
      <c r="M1339" s="43">
        <v>32</v>
      </c>
      <c r="N1339" s="12" t="s">
        <v>429</v>
      </c>
      <c r="P1339" s="10">
        <v>450</v>
      </c>
      <c r="Q1339" s="10">
        <v>60</v>
      </c>
      <c r="S1339" s="11">
        <v>1</v>
      </c>
      <c r="T1339" s="10">
        <v>120</v>
      </c>
      <c r="V1339" s="45"/>
      <c r="X1339" s="29">
        <v>11.5</v>
      </c>
      <c r="Y1339" s="54" t="s">
        <v>9</v>
      </c>
    </row>
    <row r="1340" spans="1:26" ht="23.1" customHeight="1" x14ac:dyDescent="0.25">
      <c r="A1340" s="20" t="s">
        <v>870</v>
      </c>
      <c r="B1340" s="7" t="s">
        <v>113</v>
      </c>
      <c r="C1340" s="7">
        <v>99</v>
      </c>
      <c r="D1340" s="7" t="s">
        <v>1191</v>
      </c>
      <c r="E1340" s="41" t="s">
        <v>1192</v>
      </c>
      <c r="F1340" s="41" t="s">
        <v>1192</v>
      </c>
      <c r="G1340" s="7" t="s">
        <v>300</v>
      </c>
      <c r="H1340" s="7">
        <v>15</v>
      </c>
      <c r="I1340" s="10" t="s">
        <v>2177</v>
      </c>
      <c r="J1340" s="10">
        <v>0.7</v>
      </c>
      <c r="K1340" s="10">
        <v>0.4</v>
      </c>
      <c r="L1340" s="43">
        <v>32</v>
      </c>
      <c r="M1340" s="43">
        <v>32</v>
      </c>
      <c r="N1340" s="12" t="s">
        <v>470</v>
      </c>
      <c r="P1340" s="10">
        <v>360</v>
      </c>
      <c r="Q1340" s="10">
        <v>60</v>
      </c>
      <c r="T1340" s="10">
        <v>90</v>
      </c>
      <c r="V1340" s="45"/>
      <c r="X1340" s="29">
        <v>2.4</v>
      </c>
      <c r="Y1340" s="54" t="s">
        <v>29</v>
      </c>
    </row>
    <row r="1341" spans="1:26" ht="23.1" customHeight="1" x14ac:dyDescent="0.25">
      <c r="A1341" s="20" t="s">
        <v>870</v>
      </c>
      <c r="B1341" s="7" t="s">
        <v>113</v>
      </c>
      <c r="C1341" s="7">
        <v>99</v>
      </c>
      <c r="D1341" s="7" t="s">
        <v>1191</v>
      </c>
      <c r="E1341" s="41" t="s">
        <v>1192</v>
      </c>
      <c r="F1341" s="41" t="s">
        <v>1192</v>
      </c>
      <c r="G1341" s="7" t="s">
        <v>300</v>
      </c>
      <c r="H1341" s="7">
        <v>20</v>
      </c>
      <c r="I1341" s="10" t="s">
        <v>2181</v>
      </c>
      <c r="K1341" s="10">
        <v>1</v>
      </c>
      <c r="L1341" s="43">
        <v>32</v>
      </c>
      <c r="M1341" s="43">
        <v>32</v>
      </c>
      <c r="N1341" s="12" t="s">
        <v>470</v>
      </c>
      <c r="P1341" s="10">
        <v>450</v>
      </c>
      <c r="Q1341" s="10">
        <v>60</v>
      </c>
      <c r="S1341" s="11">
        <v>1</v>
      </c>
      <c r="T1341" s="10">
        <v>90</v>
      </c>
      <c r="V1341" s="45">
        <v>1</v>
      </c>
      <c r="X1341" s="29">
        <v>10</v>
      </c>
      <c r="Y1341" s="54" t="s">
        <v>29</v>
      </c>
    </row>
    <row r="1342" spans="1:26" ht="23.1" customHeight="1" x14ac:dyDescent="0.25">
      <c r="A1342" s="20" t="s">
        <v>870</v>
      </c>
      <c r="B1342" s="7" t="s">
        <v>113</v>
      </c>
      <c r="C1342" s="7">
        <v>99</v>
      </c>
      <c r="D1342" s="7" t="s">
        <v>1191</v>
      </c>
      <c r="E1342" s="41" t="s">
        <v>1192</v>
      </c>
      <c r="F1342" s="41" t="s">
        <v>1192</v>
      </c>
      <c r="G1342" s="7" t="s">
        <v>300</v>
      </c>
      <c r="H1342" s="7">
        <v>25</v>
      </c>
      <c r="I1342" s="10" t="s">
        <v>2182</v>
      </c>
      <c r="J1342" s="10">
        <v>0.8</v>
      </c>
      <c r="K1342" s="10">
        <v>1</v>
      </c>
      <c r="L1342" s="43">
        <v>32</v>
      </c>
      <c r="M1342" s="43">
        <v>32</v>
      </c>
      <c r="N1342" s="12" t="s">
        <v>470</v>
      </c>
      <c r="P1342" s="10">
        <v>120</v>
      </c>
      <c r="Q1342" s="10">
        <v>60</v>
      </c>
      <c r="T1342" s="10">
        <v>60</v>
      </c>
      <c r="V1342" s="45">
        <v>1</v>
      </c>
      <c r="X1342" s="29">
        <v>3</v>
      </c>
      <c r="Y1342" s="54" t="s">
        <v>29</v>
      </c>
    </row>
    <row r="1343" spans="1:26" ht="23.1" customHeight="1" x14ac:dyDescent="0.25">
      <c r="A1343" s="20" t="s">
        <v>909</v>
      </c>
      <c r="B1343" s="7" t="s">
        <v>113</v>
      </c>
      <c r="C1343" s="7">
        <v>19</v>
      </c>
      <c r="D1343" s="7" t="s">
        <v>169</v>
      </c>
      <c r="E1343" s="41" t="s">
        <v>170</v>
      </c>
      <c r="F1343" s="41" t="e">
        <v>#N/A</v>
      </c>
      <c r="G1343" s="1" t="s">
        <v>118</v>
      </c>
      <c r="H1343" s="7">
        <v>20</v>
      </c>
      <c r="I1343" s="10" t="s">
        <v>2183</v>
      </c>
      <c r="J1343" s="10">
        <v>1</v>
      </c>
      <c r="K1343" s="10">
        <v>1</v>
      </c>
      <c r="L1343" s="43">
        <v>32</v>
      </c>
      <c r="M1343" s="43">
        <v>32</v>
      </c>
      <c r="N1343" s="12" t="s">
        <v>722</v>
      </c>
      <c r="P1343" s="10">
        <v>720</v>
      </c>
      <c r="Q1343" s="10">
        <v>90</v>
      </c>
      <c r="S1343" s="11">
        <v>1</v>
      </c>
      <c r="T1343" s="10">
        <v>60</v>
      </c>
      <c r="V1343" s="45"/>
      <c r="X1343" s="29">
        <v>13.5</v>
      </c>
      <c r="Y1343" s="54" t="s">
        <v>17</v>
      </c>
    </row>
    <row r="1344" spans="1:26" ht="23.1" customHeight="1" x14ac:dyDescent="0.25">
      <c r="A1344" s="20" t="s">
        <v>909</v>
      </c>
      <c r="B1344" s="7" t="s">
        <v>113</v>
      </c>
      <c r="C1344" s="7">
        <v>19</v>
      </c>
      <c r="D1344" s="7" t="s">
        <v>169</v>
      </c>
      <c r="E1344" s="41" t="s">
        <v>170</v>
      </c>
      <c r="F1344" s="41" t="e">
        <v>#N/A</v>
      </c>
      <c r="G1344" s="1" t="s">
        <v>118</v>
      </c>
      <c r="H1344" s="7">
        <v>25</v>
      </c>
      <c r="I1344" s="10" t="s">
        <v>1887</v>
      </c>
      <c r="J1344" s="10">
        <v>2</v>
      </c>
      <c r="K1344" s="10">
        <v>1.5</v>
      </c>
      <c r="L1344" s="43">
        <v>32</v>
      </c>
      <c r="M1344" s="43">
        <v>32</v>
      </c>
      <c r="N1344" s="12" t="s">
        <v>1121</v>
      </c>
      <c r="P1344" s="10">
        <v>630</v>
      </c>
      <c r="Q1344" s="10">
        <v>90</v>
      </c>
      <c r="S1344" s="11">
        <v>2</v>
      </c>
      <c r="T1344" s="10">
        <v>180</v>
      </c>
      <c r="V1344" s="45">
        <v>1</v>
      </c>
      <c r="X1344" s="29">
        <v>21.8</v>
      </c>
      <c r="Y1344" s="54" t="s">
        <v>17</v>
      </c>
    </row>
    <row r="1345" spans="1:26" ht="23.1" customHeight="1" x14ac:dyDescent="0.25">
      <c r="A1345" s="20" t="s">
        <v>909</v>
      </c>
      <c r="B1345" s="7" t="s">
        <v>113</v>
      </c>
      <c r="C1345" s="7">
        <v>44</v>
      </c>
      <c r="D1345" s="7" t="s">
        <v>266</v>
      </c>
      <c r="E1345" s="41" t="s">
        <v>267</v>
      </c>
      <c r="F1345" s="41" t="s">
        <v>267</v>
      </c>
      <c r="G1345" s="7" t="s">
        <v>118</v>
      </c>
      <c r="H1345" s="7">
        <v>55</v>
      </c>
      <c r="I1345" s="10" t="s">
        <v>2166</v>
      </c>
      <c r="J1345" s="10">
        <v>0.6</v>
      </c>
      <c r="K1345" s="10">
        <v>0.6</v>
      </c>
      <c r="L1345" s="43">
        <v>32</v>
      </c>
      <c r="M1345" s="43">
        <v>32</v>
      </c>
      <c r="N1345" s="12" t="s">
        <v>429</v>
      </c>
      <c r="P1345" s="10">
        <v>1260</v>
      </c>
      <c r="Q1345" s="10">
        <v>90</v>
      </c>
      <c r="T1345" s="10">
        <v>60</v>
      </c>
      <c r="V1345" s="45"/>
      <c r="X1345" s="29">
        <v>12.6</v>
      </c>
      <c r="Y1345" s="54" t="s">
        <v>64</v>
      </c>
    </row>
    <row r="1346" spans="1:26" ht="23.1" customHeight="1" x14ac:dyDescent="0.25">
      <c r="A1346" s="20" t="s">
        <v>909</v>
      </c>
      <c r="B1346" s="7" t="s">
        <v>113</v>
      </c>
      <c r="C1346" s="7">
        <v>97</v>
      </c>
      <c r="D1346" s="7" t="s">
        <v>1064</v>
      </c>
      <c r="E1346" s="41" t="s">
        <v>1065</v>
      </c>
      <c r="F1346" s="41" t="s">
        <v>1065</v>
      </c>
      <c r="G1346" s="7" t="s">
        <v>250</v>
      </c>
      <c r="H1346" s="7">
        <v>65</v>
      </c>
      <c r="I1346" s="10" t="s">
        <v>2184</v>
      </c>
      <c r="J1346" s="10">
        <v>5</v>
      </c>
      <c r="K1346" s="10">
        <v>3</v>
      </c>
      <c r="L1346" s="43">
        <v>32</v>
      </c>
      <c r="M1346" s="43">
        <v>32</v>
      </c>
      <c r="N1346" s="12" t="s">
        <v>429</v>
      </c>
      <c r="P1346" s="10">
        <v>60</v>
      </c>
      <c r="Q1346" s="10">
        <v>60</v>
      </c>
      <c r="S1346" s="11">
        <v>3</v>
      </c>
      <c r="T1346" s="10">
        <v>60</v>
      </c>
      <c r="V1346" s="45">
        <v>1</v>
      </c>
      <c r="X1346" s="29">
        <v>7</v>
      </c>
      <c r="Y1346" s="54" t="s">
        <v>39</v>
      </c>
    </row>
    <row r="1347" spans="1:26" ht="23.1" customHeight="1" x14ac:dyDescent="0.25">
      <c r="A1347" s="20" t="s">
        <v>909</v>
      </c>
      <c r="B1347" s="7" t="s">
        <v>113</v>
      </c>
      <c r="C1347" s="7">
        <v>101</v>
      </c>
      <c r="D1347" s="7" t="s">
        <v>1099</v>
      </c>
      <c r="E1347" s="41" t="s">
        <v>760</v>
      </c>
      <c r="F1347" s="41" t="e">
        <v>#N/A</v>
      </c>
      <c r="G1347" s="7" t="s">
        <v>300</v>
      </c>
      <c r="H1347" s="7">
        <v>40</v>
      </c>
      <c r="I1347" s="10" t="s">
        <v>1969</v>
      </c>
      <c r="J1347" s="10">
        <v>2</v>
      </c>
      <c r="K1347" s="10">
        <v>2.7</v>
      </c>
      <c r="L1347" s="43">
        <v>32</v>
      </c>
      <c r="M1347" s="43">
        <v>32</v>
      </c>
      <c r="N1347" s="12" t="s">
        <v>1202</v>
      </c>
      <c r="P1347" s="10">
        <v>330</v>
      </c>
      <c r="Q1347" s="10">
        <v>60</v>
      </c>
      <c r="S1347" s="11">
        <v>3</v>
      </c>
      <c r="T1347" s="10">
        <v>120</v>
      </c>
      <c r="V1347" s="45"/>
      <c r="X1347" s="29">
        <v>17.899999999999999</v>
      </c>
      <c r="Y1347" s="54" t="s">
        <v>47</v>
      </c>
    </row>
    <row r="1348" spans="1:26" ht="23.1" customHeight="1" x14ac:dyDescent="0.25">
      <c r="A1348" s="20" t="s">
        <v>909</v>
      </c>
      <c r="B1348" s="7" t="s">
        <v>113</v>
      </c>
      <c r="C1348" s="7">
        <v>105</v>
      </c>
      <c r="D1348" s="7" t="s">
        <v>1176</v>
      </c>
      <c r="E1348" s="41" t="s">
        <v>1098</v>
      </c>
      <c r="F1348" s="41" t="s">
        <v>1098</v>
      </c>
      <c r="G1348" s="7" t="s">
        <v>250</v>
      </c>
      <c r="H1348" s="7">
        <v>50</v>
      </c>
      <c r="I1348" s="10" t="s">
        <v>2185</v>
      </c>
      <c r="J1348" s="10">
        <v>0.5</v>
      </c>
      <c r="K1348" s="10">
        <v>0.5</v>
      </c>
      <c r="L1348" s="43">
        <v>32</v>
      </c>
      <c r="M1348" s="43">
        <v>32</v>
      </c>
      <c r="N1348" s="12" t="s">
        <v>429</v>
      </c>
      <c r="P1348" s="10">
        <v>1080</v>
      </c>
      <c r="Q1348" s="10">
        <v>60</v>
      </c>
      <c r="S1348" s="11">
        <v>1</v>
      </c>
      <c r="T1348" s="10">
        <v>120</v>
      </c>
      <c r="V1348" s="45">
        <v>1</v>
      </c>
      <c r="X1348" s="29">
        <v>12</v>
      </c>
      <c r="Y1348" s="54" t="s">
        <v>9</v>
      </c>
    </row>
    <row r="1349" spans="1:26" ht="23.1" customHeight="1" x14ac:dyDescent="0.25">
      <c r="A1349" s="20" t="s">
        <v>909</v>
      </c>
      <c r="B1349" s="7" t="s">
        <v>113</v>
      </c>
      <c r="C1349" s="7">
        <v>99</v>
      </c>
      <c r="D1349" s="7" t="s">
        <v>1191</v>
      </c>
      <c r="E1349" s="41" t="s">
        <v>1192</v>
      </c>
      <c r="F1349" s="41" t="s">
        <v>1192</v>
      </c>
      <c r="G1349" s="7" t="s">
        <v>300</v>
      </c>
      <c r="H1349" s="7">
        <v>30</v>
      </c>
      <c r="I1349" s="10" t="s">
        <v>2186</v>
      </c>
      <c r="J1349" s="10">
        <v>0.5</v>
      </c>
      <c r="K1349" s="10">
        <v>0.5</v>
      </c>
      <c r="L1349" s="43">
        <v>32</v>
      </c>
      <c r="M1349" s="43">
        <v>32</v>
      </c>
      <c r="N1349" s="12" t="s">
        <v>470</v>
      </c>
      <c r="P1349" s="10">
        <v>1080</v>
      </c>
      <c r="Q1349" s="10">
        <v>120</v>
      </c>
      <c r="T1349" s="10">
        <v>120</v>
      </c>
      <c r="V1349" s="45"/>
      <c r="W1349" s="14">
        <v>3</v>
      </c>
      <c r="X1349" s="29">
        <v>12</v>
      </c>
      <c r="Y1349" s="54" t="s">
        <v>29</v>
      </c>
      <c r="Z1349" t="s">
        <v>1138</v>
      </c>
    </row>
    <row r="1350" spans="1:26" ht="23.1" customHeight="1" x14ac:dyDescent="0.25">
      <c r="A1350" s="20" t="s">
        <v>909</v>
      </c>
      <c r="B1350" s="7" t="s">
        <v>113</v>
      </c>
      <c r="C1350" s="7">
        <v>103</v>
      </c>
      <c r="D1350" s="7" t="s">
        <v>1152</v>
      </c>
      <c r="E1350" s="41" t="s">
        <v>1149</v>
      </c>
      <c r="F1350" s="41" t="s">
        <v>1149</v>
      </c>
      <c r="G1350" s="7" t="s">
        <v>300</v>
      </c>
      <c r="H1350" s="7">
        <v>10</v>
      </c>
      <c r="I1350" s="10" t="s">
        <v>2176</v>
      </c>
      <c r="J1350" s="10">
        <v>1</v>
      </c>
      <c r="K1350" s="10">
        <v>1.2</v>
      </c>
      <c r="L1350" s="43">
        <v>32</v>
      </c>
      <c r="M1350" s="43">
        <v>32</v>
      </c>
      <c r="N1350" s="12" t="s">
        <v>1203</v>
      </c>
      <c r="P1350" s="10">
        <v>480</v>
      </c>
      <c r="Q1350" s="10">
        <v>120</v>
      </c>
      <c r="S1350" s="11">
        <v>1</v>
      </c>
      <c r="T1350" s="10">
        <v>120</v>
      </c>
      <c r="V1350" s="45"/>
      <c r="X1350" s="29">
        <v>11.6</v>
      </c>
      <c r="Y1350" s="54" t="s">
        <v>61</v>
      </c>
    </row>
    <row r="1351" spans="1:26" ht="23.1" customHeight="1" x14ac:dyDescent="0.25">
      <c r="A1351" s="20" t="s">
        <v>909</v>
      </c>
      <c r="B1351" s="7" t="s">
        <v>113</v>
      </c>
      <c r="C1351" s="7">
        <v>104</v>
      </c>
      <c r="D1351" s="7" t="s">
        <v>395</v>
      </c>
      <c r="E1351" s="41" t="s">
        <v>396</v>
      </c>
      <c r="F1351" s="41" t="e">
        <v>#N/A</v>
      </c>
      <c r="G1351" s="7" t="s">
        <v>300</v>
      </c>
      <c r="H1351" s="7">
        <v>6</v>
      </c>
      <c r="I1351" s="10"/>
      <c r="K1351" s="10">
        <v>11</v>
      </c>
      <c r="L1351" s="43">
        <v>32</v>
      </c>
      <c r="M1351" s="43">
        <v>32</v>
      </c>
      <c r="N1351" s="12" t="s">
        <v>1204</v>
      </c>
      <c r="O1351" s="10">
        <v>30</v>
      </c>
      <c r="R1351" s="10">
        <v>60</v>
      </c>
      <c r="S1351" s="11">
        <v>11</v>
      </c>
      <c r="U1351" s="10">
        <v>60</v>
      </c>
      <c r="V1351" s="45">
        <v>1</v>
      </c>
      <c r="X1351" s="32">
        <v>17.5</v>
      </c>
      <c r="Y1351" s="54" t="s">
        <v>35</v>
      </c>
    </row>
    <row r="1352" spans="1:26" ht="23.1" customHeight="1" x14ac:dyDescent="0.25">
      <c r="A1352" s="20" t="s">
        <v>909</v>
      </c>
      <c r="B1352" s="7" t="s">
        <v>113</v>
      </c>
      <c r="C1352" s="7">
        <v>106</v>
      </c>
      <c r="D1352" s="7" t="s">
        <v>2543</v>
      </c>
      <c r="E1352" s="41" t="s">
        <v>101</v>
      </c>
      <c r="F1352" s="41" t="e">
        <v>#N/A</v>
      </c>
      <c r="G1352" s="7" t="s">
        <v>300</v>
      </c>
      <c r="H1352" s="7">
        <v>35</v>
      </c>
      <c r="I1352" s="10" t="s">
        <v>2162</v>
      </c>
      <c r="J1352" s="10">
        <v>0.5</v>
      </c>
      <c r="K1352" s="10">
        <v>0.5</v>
      </c>
      <c r="L1352" s="43">
        <v>32</v>
      </c>
      <c r="M1352" s="43">
        <v>32</v>
      </c>
      <c r="N1352" s="12" t="s">
        <v>247</v>
      </c>
      <c r="P1352" s="10">
        <v>1200</v>
      </c>
      <c r="Q1352" s="10">
        <v>150</v>
      </c>
      <c r="S1352" s="11">
        <v>1</v>
      </c>
      <c r="T1352" s="10">
        <v>180</v>
      </c>
      <c r="V1352" s="45">
        <v>1</v>
      </c>
      <c r="X1352" s="32">
        <v>15.5</v>
      </c>
      <c r="Y1352" s="54" t="s">
        <v>35</v>
      </c>
      <c r="Z1352" t="s">
        <v>2544</v>
      </c>
    </row>
    <row r="1353" spans="1:26" ht="23.1" customHeight="1" x14ac:dyDescent="0.25">
      <c r="A1353" s="20" t="s">
        <v>909</v>
      </c>
      <c r="B1353" s="7" t="s">
        <v>113</v>
      </c>
      <c r="C1353" s="7">
        <v>117</v>
      </c>
      <c r="D1353" s="7" t="s">
        <v>395</v>
      </c>
      <c r="E1353" s="41" t="s">
        <v>396</v>
      </c>
      <c r="F1353" s="41" t="e">
        <v>#N/A</v>
      </c>
      <c r="G1353" s="7" t="s">
        <v>300</v>
      </c>
      <c r="H1353" s="7">
        <v>10</v>
      </c>
      <c r="I1353" s="10" t="s">
        <v>1916</v>
      </c>
      <c r="K1353" s="10">
        <v>11</v>
      </c>
      <c r="L1353" s="43">
        <v>32</v>
      </c>
      <c r="M1353" s="43">
        <v>32</v>
      </c>
      <c r="N1353" s="12" t="s">
        <v>1204</v>
      </c>
      <c r="P1353" s="10">
        <v>60</v>
      </c>
      <c r="Q1353" s="10">
        <v>90</v>
      </c>
      <c r="S1353" s="11">
        <v>11</v>
      </c>
      <c r="T1353" s="10">
        <v>60</v>
      </c>
      <c r="V1353" s="45">
        <v>1</v>
      </c>
      <c r="X1353" s="29">
        <v>28.5</v>
      </c>
      <c r="Y1353" s="54" t="s">
        <v>35</v>
      </c>
    </row>
    <row r="1354" spans="1:26" ht="23.1" customHeight="1" x14ac:dyDescent="0.25">
      <c r="A1354" s="20" t="s">
        <v>909</v>
      </c>
      <c r="B1354" s="7" t="s">
        <v>113</v>
      </c>
      <c r="C1354" s="7">
        <v>45</v>
      </c>
      <c r="D1354" s="7" t="s">
        <v>395</v>
      </c>
      <c r="E1354" s="41" t="s">
        <v>396</v>
      </c>
      <c r="F1354" s="41" t="e">
        <v>#N/A</v>
      </c>
      <c r="G1354" s="7" t="s">
        <v>300</v>
      </c>
      <c r="H1354" s="7">
        <v>8</v>
      </c>
      <c r="I1354" s="10"/>
      <c r="K1354" s="10">
        <v>11</v>
      </c>
      <c r="L1354" s="43">
        <v>32</v>
      </c>
      <c r="M1354" s="43">
        <v>32</v>
      </c>
      <c r="N1354" s="12" t="s">
        <v>1204</v>
      </c>
      <c r="O1354" s="10">
        <v>30</v>
      </c>
      <c r="R1354" s="10">
        <v>60</v>
      </c>
      <c r="S1354" s="11">
        <v>11</v>
      </c>
      <c r="U1354" s="10">
        <v>60</v>
      </c>
      <c r="V1354" s="45">
        <v>1</v>
      </c>
      <c r="X1354" s="32">
        <v>17.5</v>
      </c>
      <c r="Y1354" s="54" t="s">
        <v>35</v>
      </c>
    </row>
    <row r="1355" spans="1:26" ht="23.1" customHeight="1" x14ac:dyDescent="0.25">
      <c r="A1355" s="20" t="s">
        <v>909</v>
      </c>
      <c r="B1355" s="7" t="s">
        <v>113</v>
      </c>
      <c r="C1355" s="7">
        <v>102</v>
      </c>
      <c r="D1355" s="7" t="s">
        <v>1097</v>
      </c>
      <c r="E1355" s="41" t="s">
        <v>1098</v>
      </c>
      <c r="F1355" s="41" t="s">
        <v>1098</v>
      </c>
      <c r="G1355" s="7" t="s">
        <v>250</v>
      </c>
      <c r="H1355" s="7">
        <v>50</v>
      </c>
      <c r="I1355" s="10" t="s">
        <v>2185</v>
      </c>
      <c r="J1355" s="10">
        <v>0.6</v>
      </c>
      <c r="K1355" s="10">
        <v>0.6</v>
      </c>
      <c r="L1355" s="43">
        <v>32</v>
      </c>
      <c r="M1355" s="43">
        <v>32</v>
      </c>
      <c r="N1355" s="12" t="s">
        <v>216</v>
      </c>
      <c r="P1355" s="10">
        <v>1080</v>
      </c>
      <c r="Q1355" s="10">
        <v>60</v>
      </c>
      <c r="T1355" s="10">
        <v>120</v>
      </c>
      <c r="V1355" s="45"/>
      <c r="X1355" s="29">
        <v>10.8</v>
      </c>
      <c r="Y1355" s="54" t="s">
        <v>35</v>
      </c>
    </row>
    <row r="1356" spans="1:26" ht="23.1" customHeight="1" x14ac:dyDescent="0.25">
      <c r="A1356" s="20" t="s">
        <v>909</v>
      </c>
      <c r="B1356" s="7" t="s">
        <v>113</v>
      </c>
      <c r="C1356" s="7">
        <v>100</v>
      </c>
      <c r="D1356" s="7" t="s">
        <v>937</v>
      </c>
      <c r="E1356" s="41" t="s">
        <v>938</v>
      </c>
      <c r="F1356" s="41" t="s">
        <v>938</v>
      </c>
      <c r="G1356" s="7" t="s">
        <v>939</v>
      </c>
      <c r="H1356" s="7">
        <v>40</v>
      </c>
      <c r="I1356" s="10" t="s">
        <v>2173</v>
      </c>
      <c r="J1356" s="10">
        <v>0.1</v>
      </c>
      <c r="K1356" s="10">
        <v>0.1</v>
      </c>
      <c r="L1356" s="43">
        <v>32</v>
      </c>
      <c r="M1356" s="43">
        <v>32</v>
      </c>
      <c r="N1356" s="12" t="s">
        <v>890</v>
      </c>
      <c r="P1356" s="10">
        <v>840</v>
      </c>
      <c r="Q1356" s="10">
        <v>60</v>
      </c>
      <c r="T1356" s="10">
        <v>120</v>
      </c>
      <c r="V1356" s="45"/>
      <c r="W1356" s="14">
        <v>4</v>
      </c>
      <c r="X1356" s="29">
        <v>5.4</v>
      </c>
      <c r="Y1356" s="54" t="s">
        <v>35</v>
      </c>
      <c r="Z1356" t="s">
        <v>1011</v>
      </c>
    </row>
    <row r="1357" spans="1:26" ht="23.1" customHeight="1" x14ac:dyDescent="0.25">
      <c r="A1357" s="20" t="s">
        <v>909</v>
      </c>
      <c r="B1357" s="7" t="s">
        <v>113</v>
      </c>
      <c r="C1357" s="7">
        <v>100</v>
      </c>
      <c r="D1357" s="7" t="s">
        <v>937</v>
      </c>
      <c r="E1357" s="41" t="s">
        <v>938</v>
      </c>
      <c r="F1357" s="41" t="s">
        <v>938</v>
      </c>
      <c r="G1357" s="7" t="s">
        <v>939</v>
      </c>
      <c r="H1357" s="7">
        <v>50</v>
      </c>
      <c r="I1357" s="10" t="s">
        <v>2126</v>
      </c>
      <c r="K1357" s="10">
        <v>1</v>
      </c>
      <c r="L1357" s="43">
        <v>32</v>
      </c>
      <c r="M1357" s="43">
        <v>32</v>
      </c>
      <c r="N1357" s="12" t="s">
        <v>470</v>
      </c>
      <c r="P1357" s="10">
        <v>60</v>
      </c>
      <c r="Q1357" s="10">
        <v>60</v>
      </c>
      <c r="S1357" s="11">
        <v>1</v>
      </c>
      <c r="T1357" s="10">
        <v>60</v>
      </c>
      <c r="V1357" s="45">
        <v>1</v>
      </c>
      <c r="W1357" s="10">
        <v>4</v>
      </c>
      <c r="X1357" s="29">
        <v>7</v>
      </c>
      <c r="Y1357" s="54" t="s">
        <v>35</v>
      </c>
      <c r="Z1357" t="s">
        <v>941</v>
      </c>
    </row>
    <row r="1358" spans="1:26" ht="23.1" customHeight="1" x14ac:dyDescent="0.25">
      <c r="A1358" s="20" t="s">
        <v>909</v>
      </c>
      <c r="B1358" s="7" t="s">
        <v>113</v>
      </c>
      <c r="C1358" s="7">
        <v>100</v>
      </c>
      <c r="D1358" s="7" t="s">
        <v>937</v>
      </c>
      <c r="E1358" s="41" t="s">
        <v>938</v>
      </c>
      <c r="F1358" s="41" t="s">
        <v>938</v>
      </c>
      <c r="G1358" s="7" t="s">
        <v>939</v>
      </c>
      <c r="H1358" s="7">
        <v>55</v>
      </c>
      <c r="I1358" s="10" t="s">
        <v>2004</v>
      </c>
      <c r="K1358" s="10">
        <v>0.9</v>
      </c>
      <c r="L1358" s="43">
        <v>32</v>
      </c>
      <c r="M1358" s="43">
        <v>32</v>
      </c>
      <c r="N1358" s="12" t="s">
        <v>470</v>
      </c>
      <c r="P1358" s="10">
        <v>600</v>
      </c>
      <c r="Q1358" s="10">
        <v>60</v>
      </c>
      <c r="S1358" s="11">
        <v>1</v>
      </c>
      <c r="T1358" s="10">
        <v>90</v>
      </c>
      <c r="V1358" s="45">
        <v>1</v>
      </c>
      <c r="X1358" s="29">
        <v>11.5</v>
      </c>
      <c r="Y1358" s="54" t="s">
        <v>35</v>
      </c>
    </row>
    <row r="1359" spans="1:26" ht="23.1" customHeight="1" x14ac:dyDescent="0.25">
      <c r="A1359" s="20" t="s">
        <v>909</v>
      </c>
      <c r="B1359" s="7" t="s">
        <v>113</v>
      </c>
      <c r="C1359" s="7">
        <v>82</v>
      </c>
      <c r="D1359" s="7" t="s">
        <v>484</v>
      </c>
      <c r="E1359" s="41" t="s">
        <v>485</v>
      </c>
      <c r="F1359" s="41" t="s">
        <v>485</v>
      </c>
      <c r="G1359" s="7" t="s">
        <v>300</v>
      </c>
      <c r="H1359" s="7">
        <v>15</v>
      </c>
      <c r="I1359" s="10" t="s">
        <v>2134</v>
      </c>
      <c r="J1359" s="10">
        <v>1</v>
      </c>
      <c r="K1359" s="10">
        <v>1</v>
      </c>
      <c r="L1359" s="43">
        <v>32</v>
      </c>
      <c r="M1359" s="43">
        <v>32</v>
      </c>
      <c r="N1359" s="12" t="s">
        <v>164</v>
      </c>
      <c r="P1359" s="10">
        <v>120</v>
      </c>
      <c r="Q1359" s="10">
        <v>60</v>
      </c>
      <c r="S1359" s="11">
        <v>1</v>
      </c>
      <c r="T1359" s="10">
        <v>90</v>
      </c>
      <c r="V1359" s="45"/>
      <c r="X1359" s="29">
        <v>3</v>
      </c>
      <c r="Y1359" s="54" t="s">
        <v>35</v>
      </c>
    </row>
    <row r="1360" spans="1:26" ht="23.1" customHeight="1" x14ac:dyDescent="0.25">
      <c r="A1360" s="20" t="s">
        <v>909</v>
      </c>
      <c r="B1360" s="7" t="s">
        <v>113</v>
      </c>
      <c r="C1360" s="7">
        <v>82</v>
      </c>
      <c r="D1360" s="7" t="s">
        <v>484</v>
      </c>
      <c r="E1360" s="41" t="s">
        <v>485</v>
      </c>
      <c r="F1360" s="41" t="s">
        <v>485</v>
      </c>
      <c r="G1360" s="7" t="s">
        <v>300</v>
      </c>
      <c r="H1360" s="7">
        <v>20</v>
      </c>
      <c r="I1360" s="10" t="s">
        <v>2135</v>
      </c>
      <c r="J1360" s="10">
        <v>1</v>
      </c>
      <c r="K1360" s="10">
        <v>1.4</v>
      </c>
      <c r="L1360" s="43">
        <v>32</v>
      </c>
      <c r="M1360" s="43">
        <v>32</v>
      </c>
      <c r="N1360" s="12" t="s">
        <v>1113</v>
      </c>
      <c r="P1360" s="10">
        <v>420</v>
      </c>
      <c r="Q1360" s="10">
        <v>60</v>
      </c>
      <c r="S1360" s="11">
        <v>1</v>
      </c>
      <c r="T1360" s="10">
        <v>90</v>
      </c>
      <c r="V1360" s="45"/>
      <c r="X1360" s="29">
        <v>10.8</v>
      </c>
      <c r="Y1360" s="54" t="s">
        <v>35</v>
      </c>
    </row>
    <row r="1361" spans="1:26" ht="23.1" customHeight="1" x14ac:dyDescent="0.25">
      <c r="A1361" s="20" t="s">
        <v>909</v>
      </c>
      <c r="B1361" s="7" t="s">
        <v>113</v>
      </c>
      <c r="C1361" s="7">
        <v>83</v>
      </c>
      <c r="D1361" s="7" t="s">
        <v>1095</v>
      </c>
      <c r="E1361" s="41" t="s">
        <v>1096</v>
      </c>
      <c r="F1361" s="41" t="s">
        <v>1096</v>
      </c>
      <c r="G1361" s="7" t="s">
        <v>658</v>
      </c>
      <c r="H1361" s="7">
        <v>5</v>
      </c>
      <c r="I1361" s="10" t="s">
        <v>2179</v>
      </c>
      <c r="J1361" s="10">
        <v>8</v>
      </c>
      <c r="K1361" s="10">
        <v>11</v>
      </c>
      <c r="L1361" s="43">
        <v>32</v>
      </c>
      <c r="M1361" s="43">
        <v>32</v>
      </c>
      <c r="N1361" s="12" t="s">
        <v>351</v>
      </c>
      <c r="P1361" s="10">
        <v>90</v>
      </c>
      <c r="Q1361" s="10">
        <v>60</v>
      </c>
      <c r="S1361" s="11">
        <v>11</v>
      </c>
      <c r="T1361" s="10">
        <v>60</v>
      </c>
      <c r="V1361" s="45"/>
      <c r="X1361" s="29">
        <v>27.5</v>
      </c>
      <c r="Y1361" s="54" t="s">
        <v>35</v>
      </c>
    </row>
    <row r="1362" spans="1:26" ht="23.1" customHeight="1" x14ac:dyDescent="0.25">
      <c r="A1362" s="20" t="s">
        <v>909</v>
      </c>
      <c r="B1362" s="7" t="s">
        <v>113</v>
      </c>
      <c r="C1362" s="7">
        <v>83</v>
      </c>
      <c r="D1362" s="7" t="s">
        <v>1197</v>
      </c>
      <c r="E1362" s="41" t="s">
        <v>1198</v>
      </c>
      <c r="F1362" s="41" t="s">
        <v>1198</v>
      </c>
      <c r="G1362" s="7" t="s">
        <v>658</v>
      </c>
      <c r="H1362" s="7">
        <v>5</v>
      </c>
      <c r="I1362" s="10" t="s">
        <v>2179</v>
      </c>
      <c r="K1362" s="10">
        <v>4</v>
      </c>
      <c r="L1362" s="43">
        <v>32</v>
      </c>
      <c r="M1362" s="43">
        <v>32</v>
      </c>
      <c r="N1362" s="12" t="s">
        <v>463</v>
      </c>
      <c r="P1362" s="10">
        <v>90</v>
      </c>
      <c r="Q1362" s="10">
        <v>60</v>
      </c>
      <c r="S1362" s="11">
        <v>4</v>
      </c>
      <c r="T1362" s="10">
        <v>60</v>
      </c>
      <c r="V1362" s="45"/>
      <c r="X1362" s="29">
        <v>10</v>
      </c>
      <c r="Y1362" s="54" t="s">
        <v>35</v>
      </c>
    </row>
    <row r="1363" spans="1:26" ht="23.1" customHeight="1" x14ac:dyDescent="0.25">
      <c r="A1363" s="20" t="s">
        <v>909</v>
      </c>
      <c r="B1363" s="7" t="s">
        <v>113</v>
      </c>
      <c r="C1363" s="7">
        <v>117</v>
      </c>
      <c r="D1363" s="7" t="s">
        <v>1083</v>
      </c>
      <c r="E1363" s="41" t="s">
        <v>1082</v>
      </c>
      <c r="F1363" s="41" t="s">
        <v>1082</v>
      </c>
      <c r="G1363" s="7" t="s">
        <v>123</v>
      </c>
      <c r="H1363" s="7">
        <v>20</v>
      </c>
      <c r="I1363" s="10" t="s">
        <v>2171</v>
      </c>
      <c r="K1363" s="10">
        <v>0.6</v>
      </c>
      <c r="L1363" s="43">
        <v>32</v>
      </c>
      <c r="M1363" s="43">
        <v>32</v>
      </c>
      <c r="N1363" s="12" t="s">
        <v>780</v>
      </c>
      <c r="P1363" s="10">
        <v>590</v>
      </c>
      <c r="Q1363" s="10">
        <v>60</v>
      </c>
      <c r="T1363" s="10">
        <v>90</v>
      </c>
      <c r="V1363" s="45"/>
      <c r="X1363" s="29">
        <v>5.9</v>
      </c>
      <c r="Y1363" s="54" t="s">
        <v>35</v>
      </c>
    </row>
    <row r="1364" spans="1:26" ht="23.1" customHeight="1" x14ac:dyDescent="0.25">
      <c r="A1364" s="20" t="s">
        <v>909</v>
      </c>
      <c r="B1364" s="7" t="s">
        <v>113</v>
      </c>
      <c r="C1364" s="7">
        <v>118</v>
      </c>
      <c r="D1364" s="7" t="s">
        <v>1171</v>
      </c>
      <c r="E1364" s="41" t="s">
        <v>1172</v>
      </c>
      <c r="F1364" s="41" t="s">
        <v>1172</v>
      </c>
      <c r="G1364" s="7" t="s">
        <v>300</v>
      </c>
      <c r="H1364" s="7">
        <v>35</v>
      </c>
      <c r="I1364" s="10" t="s">
        <v>2187</v>
      </c>
      <c r="J1364" s="10">
        <v>0.15</v>
      </c>
      <c r="K1364" s="10">
        <v>0.15</v>
      </c>
      <c r="L1364" s="43">
        <v>32</v>
      </c>
      <c r="M1364" s="43">
        <v>32</v>
      </c>
      <c r="N1364" s="12" t="s">
        <v>330</v>
      </c>
      <c r="P1364" s="10">
        <v>5000</v>
      </c>
      <c r="Q1364" s="10">
        <v>60</v>
      </c>
      <c r="T1364" s="10">
        <v>300</v>
      </c>
      <c r="V1364" s="45"/>
      <c r="X1364" s="29">
        <v>12.5</v>
      </c>
      <c r="Y1364" s="54" t="s">
        <v>35</v>
      </c>
    </row>
    <row r="1365" spans="1:26" ht="23.1" customHeight="1" x14ac:dyDescent="0.25">
      <c r="A1365" s="20" t="s">
        <v>909</v>
      </c>
      <c r="B1365" s="7" t="s">
        <v>113</v>
      </c>
      <c r="C1365" s="7">
        <v>98</v>
      </c>
      <c r="D1365" s="7" t="s">
        <v>481</v>
      </c>
      <c r="E1365" s="41" t="s">
        <v>482</v>
      </c>
      <c r="F1365" s="41" t="s">
        <v>482</v>
      </c>
      <c r="G1365" s="7" t="s">
        <v>118</v>
      </c>
      <c r="H1365" s="7">
        <v>35</v>
      </c>
      <c r="I1365" s="10" t="s">
        <v>2174</v>
      </c>
      <c r="J1365" s="10">
        <v>0.8</v>
      </c>
      <c r="K1365" s="10">
        <v>1.2</v>
      </c>
      <c r="L1365" s="43">
        <v>32</v>
      </c>
      <c r="M1365" s="43">
        <v>32</v>
      </c>
      <c r="N1365" s="12" t="s">
        <v>1137</v>
      </c>
      <c r="P1365" s="10">
        <v>800</v>
      </c>
      <c r="Q1365" s="10">
        <v>60</v>
      </c>
      <c r="S1365" s="11">
        <v>1</v>
      </c>
      <c r="T1365" s="10">
        <v>120</v>
      </c>
      <c r="V1365" s="45"/>
      <c r="X1365" s="29">
        <v>17</v>
      </c>
      <c r="Y1365" s="54" t="s">
        <v>35</v>
      </c>
    </row>
    <row r="1366" spans="1:26" ht="23.1" customHeight="1" x14ac:dyDescent="0.25">
      <c r="A1366" s="20" t="s">
        <v>909</v>
      </c>
      <c r="B1366" s="7" t="s">
        <v>110</v>
      </c>
      <c r="C1366" s="7">
        <v>82</v>
      </c>
      <c r="D1366" s="7" t="s">
        <v>484</v>
      </c>
      <c r="E1366" s="41" t="s">
        <v>485</v>
      </c>
      <c r="F1366" s="41" t="s">
        <v>485</v>
      </c>
      <c r="G1366" s="7" t="s">
        <v>300</v>
      </c>
      <c r="H1366" s="7">
        <v>15</v>
      </c>
      <c r="I1366" s="10" t="s">
        <v>2134</v>
      </c>
      <c r="J1366" s="10">
        <v>1</v>
      </c>
      <c r="K1366" s="10">
        <v>1</v>
      </c>
      <c r="L1366" s="43">
        <v>25</v>
      </c>
      <c r="M1366" s="43">
        <v>25</v>
      </c>
      <c r="N1366" s="12" t="s">
        <v>456</v>
      </c>
      <c r="P1366" s="10">
        <v>120</v>
      </c>
      <c r="Q1366" s="10">
        <v>60</v>
      </c>
      <c r="S1366" s="11">
        <v>1</v>
      </c>
      <c r="T1366" s="10">
        <v>90</v>
      </c>
      <c r="V1366" s="45">
        <v>1</v>
      </c>
      <c r="W1366" s="10">
        <v>4</v>
      </c>
      <c r="X1366" s="29">
        <v>8.5</v>
      </c>
      <c r="Y1366" s="54" t="s">
        <v>56</v>
      </c>
      <c r="Z1366" t="s">
        <v>1139</v>
      </c>
    </row>
    <row r="1367" spans="1:26" ht="23.1" customHeight="1" x14ac:dyDescent="0.25">
      <c r="A1367" s="20" t="s">
        <v>909</v>
      </c>
      <c r="B1367" s="7" t="s">
        <v>110</v>
      </c>
      <c r="C1367" s="7">
        <v>82</v>
      </c>
      <c r="D1367" s="7" t="s">
        <v>484</v>
      </c>
      <c r="E1367" s="41" t="s">
        <v>485</v>
      </c>
      <c r="F1367" s="41" t="s">
        <v>485</v>
      </c>
      <c r="G1367" s="7" t="s">
        <v>300</v>
      </c>
      <c r="H1367" s="7">
        <v>20</v>
      </c>
      <c r="I1367" s="10" t="s">
        <v>2135</v>
      </c>
      <c r="J1367" s="10">
        <v>1</v>
      </c>
      <c r="K1367" s="10">
        <v>1.4</v>
      </c>
      <c r="L1367" s="43">
        <v>25</v>
      </c>
      <c r="M1367" s="43">
        <v>25</v>
      </c>
      <c r="N1367" s="12" t="s">
        <v>1205</v>
      </c>
      <c r="P1367" s="10">
        <v>420</v>
      </c>
      <c r="Q1367" s="10">
        <v>60</v>
      </c>
      <c r="S1367" s="11">
        <v>2</v>
      </c>
      <c r="T1367" s="10">
        <v>90</v>
      </c>
      <c r="V1367" s="45">
        <v>1</v>
      </c>
      <c r="X1367" s="29">
        <v>13.3</v>
      </c>
      <c r="Y1367" s="54" t="s">
        <v>56</v>
      </c>
    </row>
    <row r="1368" spans="1:26" ht="23.1" customHeight="1" x14ac:dyDescent="0.25">
      <c r="A1368" s="20" t="s">
        <v>909</v>
      </c>
      <c r="B1368" s="7" t="s">
        <v>110</v>
      </c>
      <c r="C1368" s="7">
        <v>103</v>
      </c>
      <c r="D1368" s="7" t="s">
        <v>1152</v>
      </c>
      <c r="E1368" s="41" t="s">
        <v>1149</v>
      </c>
      <c r="F1368" s="41" t="s">
        <v>1149</v>
      </c>
      <c r="G1368" s="7" t="s">
        <v>300</v>
      </c>
      <c r="H1368" s="7">
        <v>10</v>
      </c>
      <c r="I1368" s="10" t="s">
        <v>2176</v>
      </c>
      <c r="J1368" s="10">
        <v>1.5</v>
      </c>
      <c r="K1368" s="10">
        <v>0.8</v>
      </c>
      <c r="L1368" s="43">
        <v>25</v>
      </c>
      <c r="M1368" s="43">
        <v>25</v>
      </c>
      <c r="N1368" s="12" t="s">
        <v>1206</v>
      </c>
      <c r="P1368" s="10">
        <v>480</v>
      </c>
      <c r="Q1368" s="10">
        <v>120</v>
      </c>
      <c r="S1368" s="11">
        <v>1</v>
      </c>
      <c r="T1368" s="10">
        <v>120</v>
      </c>
      <c r="V1368" s="45"/>
      <c r="X1368" s="29">
        <v>8.4</v>
      </c>
      <c r="Y1368" s="54" t="s">
        <v>62</v>
      </c>
    </row>
    <row r="1369" spans="1:26" ht="23.1" customHeight="1" x14ac:dyDescent="0.25">
      <c r="A1369" s="20" t="s">
        <v>909</v>
      </c>
      <c r="B1369" s="7" t="s">
        <v>110</v>
      </c>
      <c r="C1369" s="7">
        <v>99</v>
      </c>
      <c r="D1369" s="7" t="s">
        <v>1191</v>
      </c>
      <c r="E1369" s="41" t="s">
        <v>1192</v>
      </c>
      <c r="F1369" s="41" t="s">
        <v>1192</v>
      </c>
      <c r="G1369" s="7" t="s">
        <v>300</v>
      </c>
      <c r="H1369" s="7">
        <v>25</v>
      </c>
      <c r="I1369" s="10" t="s">
        <v>2182</v>
      </c>
      <c r="K1369" s="10">
        <v>1</v>
      </c>
      <c r="L1369" s="43">
        <v>25</v>
      </c>
      <c r="M1369" s="43">
        <v>25</v>
      </c>
      <c r="N1369" s="12" t="s">
        <v>470</v>
      </c>
      <c r="P1369" s="10">
        <v>120</v>
      </c>
      <c r="Q1369" s="10">
        <v>60</v>
      </c>
      <c r="S1369" s="11">
        <v>1</v>
      </c>
      <c r="T1369" s="10">
        <v>60</v>
      </c>
      <c r="V1369" s="45">
        <v>1</v>
      </c>
      <c r="X1369" s="29">
        <v>4</v>
      </c>
      <c r="Y1369" s="54" t="s">
        <v>21</v>
      </c>
    </row>
    <row r="1370" spans="1:26" ht="23.1" customHeight="1" x14ac:dyDescent="0.25">
      <c r="A1370" s="20" t="s">
        <v>909</v>
      </c>
      <c r="B1370" s="7" t="s">
        <v>110</v>
      </c>
      <c r="C1370" s="7">
        <v>99</v>
      </c>
      <c r="D1370" s="7" t="s">
        <v>1191</v>
      </c>
      <c r="E1370" s="41" t="s">
        <v>1192</v>
      </c>
      <c r="F1370" s="41" t="s">
        <v>1192</v>
      </c>
      <c r="G1370" s="7" t="s">
        <v>300</v>
      </c>
      <c r="H1370" s="7">
        <v>30</v>
      </c>
      <c r="I1370" s="10" t="s">
        <v>2186</v>
      </c>
      <c r="K1370" s="10">
        <v>0.5</v>
      </c>
      <c r="L1370" s="43">
        <v>25</v>
      </c>
      <c r="M1370" s="43">
        <v>25</v>
      </c>
      <c r="N1370" s="12" t="s">
        <v>470</v>
      </c>
      <c r="P1370" s="10">
        <v>1080</v>
      </c>
      <c r="Q1370" s="10">
        <v>120</v>
      </c>
      <c r="S1370" s="11">
        <v>1</v>
      </c>
      <c r="T1370" s="10">
        <v>120</v>
      </c>
      <c r="V1370" s="45">
        <v>1</v>
      </c>
      <c r="X1370" s="29">
        <v>13</v>
      </c>
      <c r="Y1370" s="54" t="s">
        <v>21</v>
      </c>
    </row>
    <row r="1371" spans="1:26" ht="23.1" customHeight="1" x14ac:dyDescent="0.25">
      <c r="A1371" s="20" t="s">
        <v>909</v>
      </c>
      <c r="B1371" s="7" t="s">
        <v>110</v>
      </c>
      <c r="C1371" s="7">
        <v>19</v>
      </c>
      <c r="D1371" s="7" t="s">
        <v>395</v>
      </c>
      <c r="E1371" s="41" t="s">
        <v>396</v>
      </c>
      <c r="F1371" s="41" t="e">
        <v>#N/A</v>
      </c>
      <c r="G1371" s="7" t="s">
        <v>300</v>
      </c>
      <c r="H1371" s="7">
        <v>20</v>
      </c>
      <c r="I1371" s="10" t="s">
        <v>1962</v>
      </c>
      <c r="J1371" s="10">
        <v>2</v>
      </c>
      <c r="K1371" s="10">
        <v>1</v>
      </c>
      <c r="L1371" s="43">
        <v>25</v>
      </c>
      <c r="M1371" s="43">
        <v>25</v>
      </c>
      <c r="N1371" s="12" t="s">
        <v>199</v>
      </c>
      <c r="P1371" s="10">
        <v>60</v>
      </c>
      <c r="Q1371" s="10">
        <v>90</v>
      </c>
      <c r="S1371" s="11">
        <v>1</v>
      </c>
      <c r="T1371" s="10">
        <v>60</v>
      </c>
      <c r="V1371" s="45">
        <v>1</v>
      </c>
      <c r="W1371" s="10">
        <v>3</v>
      </c>
      <c r="X1371" s="29">
        <v>6.5</v>
      </c>
      <c r="Y1371" s="54" t="s">
        <v>11</v>
      </c>
      <c r="Z1371" t="s">
        <v>1078</v>
      </c>
    </row>
    <row r="1372" spans="1:26" ht="23.1" customHeight="1" x14ac:dyDescent="0.25">
      <c r="A1372" s="20" t="s">
        <v>909</v>
      </c>
      <c r="B1372" s="7" t="s">
        <v>110</v>
      </c>
      <c r="C1372" s="7">
        <v>19</v>
      </c>
      <c r="D1372" s="7" t="s">
        <v>395</v>
      </c>
      <c r="E1372" s="41" t="s">
        <v>396</v>
      </c>
      <c r="F1372" s="41" t="e">
        <v>#N/A</v>
      </c>
      <c r="G1372" s="7" t="s">
        <v>300</v>
      </c>
      <c r="H1372" s="7">
        <v>6</v>
      </c>
      <c r="I1372" s="10"/>
      <c r="K1372" s="10">
        <v>1</v>
      </c>
      <c r="L1372" s="43">
        <v>25</v>
      </c>
      <c r="M1372" s="43">
        <v>25</v>
      </c>
      <c r="N1372" s="12" t="s">
        <v>1121</v>
      </c>
      <c r="O1372" s="10">
        <v>30</v>
      </c>
      <c r="R1372" s="10">
        <v>60</v>
      </c>
      <c r="S1372" s="11">
        <v>1</v>
      </c>
      <c r="U1372" s="10">
        <v>60</v>
      </c>
      <c r="V1372" s="45">
        <v>1</v>
      </c>
      <c r="X1372" s="32">
        <v>2.5</v>
      </c>
      <c r="Y1372" s="54" t="s">
        <v>11</v>
      </c>
    </row>
    <row r="1373" spans="1:26" ht="23.1" customHeight="1" x14ac:dyDescent="0.25">
      <c r="A1373" s="20" t="s">
        <v>909</v>
      </c>
      <c r="B1373" s="7" t="s">
        <v>110</v>
      </c>
      <c r="C1373" s="7">
        <v>19</v>
      </c>
      <c r="D1373" s="7" t="s">
        <v>395</v>
      </c>
      <c r="E1373" s="41" t="s">
        <v>396</v>
      </c>
      <c r="F1373" s="41" t="e">
        <v>#N/A</v>
      </c>
      <c r="G1373" s="7" t="s">
        <v>300</v>
      </c>
      <c r="H1373" s="7">
        <v>8</v>
      </c>
      <c r="I1373" s="10"/>
      <c r="K1373" s="10">
        <v>1</v>
      </c>
      <c r="L1373" s="43">
        <v>25</v>
      </c>
      <c r="M1373" s="43">
        <v>25</v>
      </c>
      <c r="N1373" s="12" t="s">
        <v>1121</v>
      </c>
      <c r="O1373" s="10">
        <v>30</v>
      </c>
      <c r="R1373" s="10">
        <v>60</v>
      </c>
      <c r="S1373" s="11">
        <v>1</v>
      </c>
      <c r="U1373" s="10">
        <v>60</v>
      </c>
      <c r="V1373" s="45">
        <v>1</v>
      </c>
      <c r="X1373" s="32">
        <v>2.5</v>
      </c>
      <c r="Y1373" s="54" t="s">
        <v>11</v>
      </c>
    </row>
    <row r="1374" spans="1:26" ht="23.1" customHeight="1" x14ac:dyDescent="0.25">
      <c r="A1374" s="20" t="s">
        <v>909</v>
      </c>
      <c r="B1374" s="7" t="s">
        <v>110</v>
      </c>
      <c r="C1374" s="7">
        <v>19</v>
      </c>
      <c r="D1374" s="7" t="s">
        <v>395</v>
      </c>
      <c r="E1374" s="41" t="s">
        <v>396</v>
      </c>
      <c r="F1374" s="41" t="e">
        <v>#N/A</v>
      </c>
      <c r="G1374" s="7" t="s">
        <v>300</v>
      </c>
      <c r="H1374" s="7">
        <v>10</v>
      </c>
      <c r="I1374" s="10" t="s">
        <v>1916</v>
      </c>
      <c r="K1374" s="10">
        <v>1</v>
      </c>
      <c r="L1374" s="43">
        <v>25</v>
      </c>
      <c r="M1374" s="43">
        <v>25</v>
      </c>
      <c r="N1374" s="12" t="s">
        <v>1121</v>
      </c>
      <c r="P1374" s="10">
        <v>60</v>
      </c>
      <c r="Q1374" s="10">
        <v>90</v>
      </c>
      <c r="S1374" s="11">
        <v>1</v>
      </c>
      <c r="T1374" s="10">
        <v>60</v>
      </c>
      <c r="V1374" s="45">
        <v>1</v>
      </c>
      <c r="X1374" s="29">
        <v>3.5</v>
      </c>
      <c r="Y1374" s="54" t="s">
        <v>11</v>
      </c>
    </row>
    <row r="1375" spans="1:26" ht="23.1" customHeight="1" x14ac:dyDescent="0.25">
      <c r="A1375" s="20" t="s">
        <v>909</v>
      </c>
      <c r="B1375" s="7" t="s">
        <v>110</v>
      </c>
      <c r="C1375" s="7">
        <v>19</v>
      </c>
      <c r="D1375" s="7" t="s">
        <v>395</v>
      </c>
      <c r="E1375" s="41" t="s">
        <v>396</v>
      </c>
      <c r="F1375" s="41" t="e">
        <v>#N/A</v>
      </c>
      <c r="G1375" s="7" t="s">
        <v>300</v>
      </c>
      <c r="H1375" s="7">
        <v>15</v>
      </c>
      <c r="I1375" s="10" t="s">
        <v>2112</v>
      </c>
      <c r="K1375" s="10">
        <v>2</v>
      </c>
      <c r="L1375" s="43">
        <v>25</v>
      </c>
      <c r="M1375" s="43">
        <v>25</v>
      </c>
      <c r="N1375" s="12" t="s">
        <v>1121</v>
      </c>
      <c r="P1375" s="10">
        <v>80</v>
      </c>
      <c r="Q1375" s="10">
        <v>90</v>
      </c>
      <c r="S1375" s="11">
        <v>2</v>
      </c>
      <c r="T1375" s="10">
        <v>90</v>
      </c>
      <c r="V1375" s="45">
        <v>1</v>
      </c>
      <c r="X1375" s="29">
        <v>7.2</v>
      </c>
      <c r="Y1375" s="54" t="s">
        <v>11</v>
      </c>
    </row>
    <row r="1376" spans="1:26" ht="23.1" customHeight="1" x14ac:dyDescent="0.25">
      <c r="A1376" s="20" t="s">
        <v>909</v>
      </c>
      <c r="B1376" s="7" t="s">
        <v>110</v>
      </c>
      <c r="C1376" s="7">
        <v>105</v>
      </c>
      <c r="D1376" s="7" t="s">
        <v>1064</v>
      </c>
      <c r="E1376" s="41" t="s">
        <v>1065</v>
      </c>
      <c r="F1376" s="41" t="s">
        <v>1065</v>
      </c>
      <c r="G1376" s="7" t="s">
        <v>250</v>
      </c>
      <c r="H1376" s="7">
        <v>45</v>
      </c>
      <c r="I1376" s="10" t="s">
        <v>2188</v>
      </c>
      <c r="J1376" s="10">
        <v>2</v>
      </c>
      <c r="K1376" s="10">
        <v>5</v>
      </c>
      <c r="L1376" s="43">
        <v>25</v>
      </c>
      <c r="M1376" s="43">
        <v>25</v>
      </c>
      <c r="N1376" s="12" t="s">
        <v>1077</v>
      </c>
      <c r="P1376" s="10">
        <v>60</v>
      </c>
      <c r="Q1376" s="10">
        <v>60</v>
      </c>
      <c r="S1376" s="11">
        <v>5</v>
      </c>
      <c r="T1376" s="10">
        <v>60</v>
      </c>
      <c r="V1376" s="45">
        <v>1</v>
      </c>
      <c r="X1376" s="29">
        <v>11</v>
      </c>
      <c r="Y1376" s="54" t="s">
        <v>28</v>
      </c>
    </row>
    <row r="1377" spans="1:26" ht="23.1" customHeight="1" x14ac:dyDescent="0.25">
      <c r="A1377" s="20" t="s">
        <v>909</v>
      </c>
      <c r="B1377" s="7" t="s">
        <v>110</v>
      </c>
      <c r="C1377" s="7">
        <v>97</v>
      </c>
      <c r="D1377" s="7" t="s">
        <v>1064</v>
      </c>
      <c r="E1377" s="41" t="s">
        <v>1065</v>
      </c>
      <c r="F1377" s="41" t="s">
        <v>1065</v>
      </c>
      <c r="G1377" s="7" t="s">
        <v>250</v>
      </c>
      <c r="H1377" s="7">
        <v>60</v>
      </c>
      <c r="I1377" s="10" t="s">
        <v>2156</v>
      </c>
      <c r="J1377" s="10">
        <v>0.7</v>
      </c>
      <c r="K1377" s="10">
        <v>1</v>
      </c>
      <c r="L1377" s="43">
        <v>25</v>
      </c>
      <c r="M1377" s="43">
        <v>25</v>
      </c>
      <c r="N1377" s="12" t="s">
        <v>1077</v>
      </c>
      <c r="P1377" s="10">
        <v>570</v>
      </c>
      <c r="Q1377" s="10">
        <v>60</v>
      </c>
      <c r="S1377" s="11">
        <v>1</v>
      </c>
      <c r="T1377" s="10">
        <v>60</v>
      </c>
      <c r="V1377" s="45"/>
      <c r="X1377" s="29">
        <v>10.5</v>
      </c>
      <c r="Y1377" s="54" t="s">
        <v>1</v>
      </c>
    </row>
    <row r="1378" spans="1:26" ht="23.1" customHeight="1" x14ac:dyDescent="0.25">
      <c r="A1378" s="20" t="s">
        <v>909</v>
      </c>
      <c r="B1378" s="7" t="s">
        <v>110</v>
      </c>
      <c r="C1378" s="7">
        <v>117</v>
      </c>
      <c r="D1378" s="7" t="s">
        <v>1083</v>
      </c>
      <c r="E1378" s="41" t="s">
        <v>1082</v>
      </c>
      <c r="F1378" s="41" t="s">
        <v>1082</v>
      </c>
      <c r="G1378" s="7" t="s">
        <v>123</v>
      </c>
      <c r="H1378" s="7">
        <v>20</v>
      </c>
      <c r="I1378" s="10" t="s">
        <v>2171</v>
      </c>
      <c r="J1378" s="10">
        <v>1</v>
      </c>
      <c r="K1378" s="10">
        <v>1</v>
      </c>
      <c r="L1378" s="43">
        <v>25</v>
      </c>
      <c r="M1378" s="43">
        <v>25</v>
      </c>
      <c r="N1378" s="12" t="s">
        <v>860</v>
      </c>
      <c r="P1378" s="10">
        <v>590</v>
      </c>
      <c r="Q1378" s="10">
        <v>60</v>
      </c>
      <c r="S1378" s="11">
        <v>1</v>
      </c>
      <c r="T1378" s="10">
        <v>90</v>
      </c>
      <c r="V1378" s="45">
        <v>1</v>
      </c>
      <c r="X1378" s="29">
        <v>12.3</v>
      </c>
      <c r="Y1378" s="54" t="s">
        <v>32</v>
      </c>
    </row>
    <row r="1379" spans="1:26" ht="23.1" customHeight="1" x14ac:dyDescent="0.25">
      <c r="A1379" s="20" t="s">
        <v>909</v>
      </c>
      <c r="B1379" s="7" t="s">
        <v>110</v>
      </c>
      <c r="C1379" s="7">
        <v>118</v>
      </c>
      <c r="D1379" s="7" t="s">
        <v>1171</v>
      </c>
      <c r="E1379" s="41" t="s">
        <v>1172</v>
      </c>
      <c r="F1379" s="41" t="s">
        <v>1172</v>
      </c>
      <c r="G1379" s="7" t="s">
        <v>300</v>
      </c>
      <c r="H1379" s="7">
        <v>35</v>
      </c>
      <c r="I1379" s="10" t="s">
        <v>2187</v>
      </c>
      <c r="K1379" s="10">
        <v>0.15</v>
      </c>
      <c r="L1379" s="43">
        <v>25</v>
      </c>
      <c r="M1379" s="43">
        <v>25</v>
      </c>
      <c r="N1379" s="12" t="s">
        <v>330</v>
      </c>
      <c r="P1379" s="10">
        <v>5000</v>
      </c>
      <c r="Q1379" s="10">
        <v>60</v>
      </c>
      <c r="S1379" s="11">
        <v>1</v>
      </c>
      <c r="T1379" s="10">
        <v>300</v>
      </c>
      <c r="V1379" s="45">
        <v>1</v>
      </c>
      <c r="X1379" s="29">
        <v>18.5</v>
      </c>
      <c r="Y1379" s="54" t="s">
        <v>32</v>
      </c>
    </row>
    <row r="1380" spans="1:26" ht="23.1" customHeight="1" x14ac:dyDescent="0.25">
      <c r="A1380" s="20" t="s">
        <v>909</v>
      </c>
      <c r="B1380" s="7" t="s">
        <v>110</v>
      </c>
      <c r="C1380" s="7">
        <v>83</v>
      </c>
      <c r="D1380" s="7" t="s">
        <v>1197</v>
      </c>
      <c r="E1380" s="41" t="s">
        <v>1198</v>
      </c>
      <c r="F1380" s="41" t="s">
        <v>1198</v>
      </c>
      <c r="G1380" s="7" t="s">
        <v>658</v>
      </c>
      <c r="H1380" s="7">
        <v>5</v>
      </c>
      <c r="I1380" s="10" t="s">
        <v>2179</v>
      </c>
      <c r="J1380" s="10">
        <v>6</v>
      </c>
      <c r="K1380" s="10">
        <v>4</v>
      </c>
      <c r="L1380" s="43">
        <v>25</v>
      </c>
      <c r="M1380" s="43">
        <v>25</v>
      </c>
      <c r="N1380" s="12" t="s">
        <v>282</v>
      </c>
      <c r="P1380" s="10">
        <v>90</v>
      </c>
      <c r="Q1380" s="10">
        <v>60</v>
      </c>
      <c r="S1380" s="11">
        <v>4</v>
      </c>
      <c r="T1380" s="10">
        <v>60</v>
      </c>
      <c r="V1380" s="45"/>
      <c r="X1380" s="29">
        <v>10</v>
      </c>
      <c r="Y1380" s="54" t="s">
        <v>67</v>
      </c>
    </row>
    <row r="1381" spans="1:26" ht="23.1" customHeight="1" x14ac:dyDescent="0.25">
      <c r="A1381" s="20" t="s">
        <v>909</v>
      </c>
      <c r="B1381" s="7" t="s">
        <v>110</v>
      </c>
      <c r="C1381" s="7">
        <v>106</v>
      </c>
      <c r="D1381" s="7" t="s">
        <v>1070</v>
      </c>
      <c r="E1381" s="41" t="s">
        <v>101</v>
      </c>
      <c r="F1381" s="41" t="s">
        <v>101</v>
      </c>
      <c r="G1381" s="7" t="s">
        <v>300</v>
      </c>
      <c r="H1381" s="7">
        <v>30</v>
      </c>
      <c r="I1381" s="10" t="s">
        <v>2127</v>
      </c>
      <c r="J1381" s="10">
        <v>0.5</v>
      </c>
      <c r="K1381" s="10">
        <v>0.5</v>
      </c>
      <c r="L1381" s="43">
        <v>25</v>
      </c>
      <c r="M1381" s="43">
        <v>25</v>
      </c>
      <c r="N1381" s="12" t="s">
        <v>247</v>
      </c>
      <c r="P1381" s="10">
        <v>1500</v>
      </c>
      <c r="Q1381" s="10">
        <v>180</v>
      </c>
      <c r="T1381" s="10">
        <v>180</v>
      </c>
      <c r="V1381" s="45"/>
      <c r="X1381" s="29">
        <v>12.5</v>
      </c>
      <c r="Y1381" s="54" t="s">
        <v>67</v>
      </c>
    </row>
    <row r="1382" spans="1:26" ht="23.1" customHeight="1" x14ac:dyDescent="0.25">
      <c r="A1382" s="20" t="s">
        <v>909</v>
      </c>
      <c r="B1382" s="7" t="s">
        <v>110</v>
      </c>
      <c r="C1382" s="7">
        <v>44</v>
      </c>
      <c r="D1382" s="7" t="s">
        <v>266</v>
      </c>
      <c r="E1382" s="41" t="s">
        <v>267</v>
      </c>
      <c r="F1382" s="41" t="s">
        <v>267</v>
      </c>
      <c r="G1382" s="7" t="s">
        <v>118</v>
      </c>
      <c r="H1382" s="7">
        <v>55</v>
      </c>
      <c r="I1382" s="10" t="s">
        <v>2166</v>
      </c>
      <c r="J1382" s="10">
        <v>0.6</v>
      </c>
      <c r="K1382" s="10">
        <v>0.5</v>
      </c>
      <c r="L1382" s="43">
        <v>25</v>
      </c>
      <c r="M1382" s="43">
        <v>25</v>
      </c>
      <c r="N1382" s="12" t="s">
        <v>429</v>
      </c>
      <c r="P1382" s="10">
        <v>1260</v>
      </c>
      <c r="Q1382" s="10">
        <v>90</v>
      </c>
      <c r="S1382" s="11">
        <v>1</v>
      </c>
      <c r="T1382" s="10">
        <v>60</v>
      </c>
      <c r="V1382" s="45"/>
      <c r="X1382" s="29">
        <v>12</v>
      </c>
      <c r="Y1382" s="54" t="s">
        <v>67</v>
      </c>
    </row>
    <row r="1383" spans="1:26" ht="23.1" customHeight="1" x14ac:dyDescent="0.25">
      <c r="A1383" s="20" t="s">
        <v>909</v>
      </c>
      <c r="B1383" s="7" t="s">
        <v>110</v>
      </c>
      <c r="C1383" s="7">
        <v>100</v>
      </c>
      <c r="D1383" s="7" t="s">
        <v>937</v>
      </c>
      <c r="E1383" s="41" t="s">
        <v>938</v>
      </c>
      <c r="F1383" s="41" t="s">
        <v>938</v>
      </c>
      <c r="G1383" s="7" t="s">
        <v>939</v>
      </c>
      <c r="H1383" s="7">
        <v>40</v>
      </c>
      <c r="I1383" s="10" t="s">
        <v>2173</v>
      </c>
      <c r="J1383" s="10">
        <v>1</v>
      </c>
      <c r="K1383" s="10">
        <v>1.1000000000000001</v>
      </c>
      <c r="L1383" s="43">
        <v>25</v>
      </c>
      <c r="M1383" s="43">
        <v>25</v>
      </c>
      <c r="N1383" s="12" t="s">
        <v>1207</v>
      </c>
      <c r="P1383" s="10">
        <v>840</v>
      </c>
      <c r="Q1383" s="10">
        <v>60</v>
      </c>
      <c r="S1383" s="11">
        <v>1</v>
      </c>
      <c r="T1383" s="10">
        <v>120</v>
      </c>
      <c r="V1383" s="45"/>
      <c r="X1383" s="29">
        <v>16.399999999999999</v>
      </c>
      <c r="Y1383" s="54" t="s">
        <v>67</v>
      </c>
    </row>
    <row r="1384" spans="1:26" ht="23.1" customHeight="1" x14ac:dyDescent="0.25">
      <c r="A1384" s="20" t="s">
        <v>909</v>
      </c>
      <c r="B1384" s="7" t="s">
        <v>110</v>
      </c>
      <c r="C1384" s="7">
        <v>102</v>
      </c>
      <c r="D1384" s="7" t="s">
        <v>1097</v>
      </c>
      <c r="E1384" s="41" t="s">
        <v>1098</v>
      </c>
      <c r="F1384" s="41" t="s">
        <v>1098</v>
      </c>
      <c r="G1384" s="7" t="s">
        <v>250</v>
      </c>
      <c r="H1384" s="7">
        <v>50</v>
      </c>
      <c r="I1384" s="10" t="s">
        <v>2185</v>
      </c>
      <c r="J1384" s="10">
        <v>0.3</v>
      </c>
      <c r="K1384" s="10">
        <v>0.3</v>
      </c>
      <c r="L1384" s="43">
        <v>25</v>
      </c>
      <c r="M1384" s="43">
        <v>25</v>
      </c>
      <c r="N1384" s="12" t="s">
        <v>216</v>
      </c>
      <c r="P1384" s="10">
        <v>1080</v>
      </c>
      <c r="Q1384" s="10">
        <v>60</v>
      </c>
      <c r="S1384" s="11">
        <v>1</v>
      </c>
      <c r="T1384" s="10">
        <v>120</v>
      </c>
      <c r="V1384" s="45">
        <v>1</v>
      </c>
      <c r="X1384" s="29">
        <v>8.4</v>
      </c>
      <c r="Y1384" s="54" t="s">
        <v>67</v>
      </c>
    </row>
    <row r="1385" spans="1:26" ht="23.1" customHeight="1" x14ac:dyDescent="0.25">
      <c r="A1385" s="20" t="s">
        <v>909</v>
      </c>
      <c r="B1385" s="7" t="s">
        <v>110</v>
      </c>
      <c r="C1385" s="7">
        <v>101</v>
      </c>
      <c r="D1385" s="7" t="s">
        <v>1128</v>
      </c>
      <c r="E1385" s="41" t="s">
        <v>708</v>
      </c>
      <c r="F1385" s="41" t="e">
        <v>#N/A</v>
      </c>
      <c r="G1385" s="7" t="s">
        <v>250</v>
      </c>
      <c r="H1385" s="7">
        <v>45</v>
      </c>
      <c r="I1385" s="10" t="s">
        <v>2146</v>
      </c>
      <c r="J1385" s="10">
        <v>5</v>
      </c>
      <c r="K1385" s="10">
        <v>3</v>
      </c>
      <c r="L1385" s="43">
        <v>25</v>
      </c>
      <c r="M1385" s="43">
        <v>25</v>
      </c>
      <c r="N1385" s="12" t="s">
        <v>755</v>
      </c>
      <c r="P1385" s="10">
        <v>50</v>
      </c>
      <c r="Q1385" s="10">
        <v>60</v>
      </c>
      <c r="S1385" s="11">
        <v>3</v>
      </c>
      <c r="T1385" s="10">
        <v>60</v>
      </c>
      <c r="V1385" s="45"/>
      <c r="X1385" s="29">
        <v>5.5</v>
      </c>
      <c r="Y1385" s="54" t="s">
        <v>67</v>
      </c>
    </row>
    <row r="1386" spans="1:26" ht="23.1" customHeight="1" x14ac:dyDescent="0.25">
      <c r="A1386" s="20" t="s">
        <v>909</v>
      </c>
      <c r="B1386" s="7" t="s">
        <v>110</v>
      </c>
      <c r="C1386" s="7">
        <v>98</v>
      </c>
      <c r="D1386" s="7" t="s">
        <v>481</v>
      </c>
      <c r="E1386" s="41" t="s">
        <v>482</v>
      </c>
      <c r="F1386" s="41" t="s">
        <v>482</v>
      </c>
      <c r="G1386" s="7" t="s">
        <v>118</v>
      </c>
      <c r="H1386" s="7">
        <v>35</v>
      </c>
      <c r="I1386" s="10" t="s">
        <v>2174</v>
      </c>
      <c r="J1386" s="10">
        <v>0.8</v>
      </c>
      <c r="K1386" s="10">
        <v>1</v>
      </c>
      <c r="L1386" s="43">
        <v>25</v>
      </c>
      <c r="M1386" s="43">
        <v>25</v>
      </c>
      <c r="N1386" s="12" t="s">
        <v>1119</v>
      </c>
      <c r="P1386" s="10">
        <v>800</v>
      </c>
      <c r="Q1386" s="10">
        <v>60</v>
      </c>
      <c r="S1386" s="11">
        <v>1</v>
      </c>
      <c r="T1386" s="10">
        <v>120</v>
      </c>
      <c r="V1386" s="45"/>
      <c r="X1386" s="29">
        <v>14.3</v>
      </c>
      <c r="Y1386" s="54" t="s">
        <v>67</v>
      </c>
    </row>
    <row r="1387" spans="1:26" ht="23.1" customHeight="1" x14ac:dyDescent="0.25">
      <c r="A1387" s="20" t="s">
        <v>909</v>
      </c>
      <c r="B1387" s="7" t="s">
        <v>110</v>
      </c>
      <c r="C1387" s="7">
        <v>106</v>
      </c>
      <c r="D1387" s="7" t="s">
        <v>1070</v>
      </c>
      <c r="E1387" s="41" t="s">
        <v>101</v>
      </c>
      <c r="F1387" s="41" t="s">
        <v>101</v>
      </c>
      <c r="G1387" s="7" t="s">
        <v>300</v>
      </c>
      <c r="H1387" s="7">
        <v>25</v>
      </c>
      <c r="I1387" s="10" t="s">
        <v>2163</v>
      </c>
      <c r="J1387" s="10">
        <v>0.5</v>
      </c>
      <c r="K1387" s="10">
        <v>0.5</v>
      </c>
      <c r="L1387" s="43">
        <v>25</v>
      </c>
      <c r="M1387" s="43">
        <v>25</v>
      </c>
      <c r="N1387" s="12" t="s">
        <v>247</v>
      </c>
      <c r="P1387" s="10">
        <v>4800</v>
      </c>
      <c r="Q1387" s="10">
        <v>180</v>
      </c>
      <c r="T1387" s="10">
        <v>180</v>
      </c>
      <c r="V1387" s="45"/>
      <c r="X1387" s="29">
        <v>40</v>
      </c>
      <c r="Y1387" s="54" t="s">
        <v>67</v>
      </c>
    </row>
    <row r="1388" spans="1:26" ht="23.1" customHeight="1" x14ac:dyDescent="0.25">
      <c r="A1388" s="20" t="s">
        <v>909</v>
      </c>
      <c r="B1388" s="7" t="s">
        <v>110</v>
      </c>
      <c r="C1388" s="7">
        <v>83</v>
      </c>
      <c r="D1388" s="7" t="s">
        <v>1095</v>
      </c>
      <c r="E1388" s="41" t="s">
        <v>1096</v>
      </c>
      <c r="F1388" s="41" t="s">
        <v>1096</v>
      </c>
      <c r="G1388" s="7" t="s">
        <v>658</v>
      </c>
      <c r="H1388" s="7">
        <v>5</v>
      </c>
      <c r="I1388" s="10" t="s">
        <v>2179</v>
      </c>
      <c r="J1388" s="10">
        <v>2</v>
      </c>
      <c r="K1388" s="10">
        <v>9</v>
      </c>
      <c r="L1388" s="43">
        <v>25</v>
      </c>
      <c r="M1388" s="43">
        <v>25</v>
      </c>
      <c r="N1388" s="12" t="s">
        <v>412</v>
      </c>
      <c r="P1388" s="10">
        <v>90</v>
      </c>
      <c r="Q1388" s="10">
        <v>60</v>
      </c>
      <c r="S1388" s="11">
        <v>9</v>
      </c>
      <c r="T1388" s="10">
        <v>60</v>
      </c>
      <c r="V1388" s="45">
        <v>1</v>
      </c>
      <c r="X1388" s="29">
        <v>23.5</v>
      </c>
      <c r="Y1388" s="54" t="s">
        <v>67</v>
      </c>
    </row>
    <row r="1389" spans="1:26" ht="23.1" customHeight="1" x14ac:dyDescent="0.25">
      <c r="A1389" s="20" t="s">
        <v>909</v>
      </c>
      <c r="B1389" s="7" t="s">
        <v>110</v>
      </c>
      <c r="C1389" s="7">
        <v>101</v>
      </c>
      <c r="D1389" s="7" t="s">
        <v>1128</v>
      </c>
      <c r="E1389" s="41" t="s">
        <v>708</v>
      </c>
      <c r="F1389" s="41" t="e">
        <v>#N/A</v>
      </c>
      <c r="G1389" s="7" t="s">
        <v>250</v>
      </c>
      <c r="H1389" s="7">
        <v>40</v>
      </c>
      <c r="I1389" s="10" t="s">
        <v>1935</v>
      </c>
      <c r="J1389" s="10">
        <v>1</v>
      </c>
      <c r="K1389" s="10">
        <v>1.9</v>
      </c>
      <c r="L1389" s="43">
        <v>25</v>
      </c>
      <c r="M1389" s="43">
        <v>25</v>
      </c>
      <c r="N1389" s="12" t="s">
        <v>1137</v>
      </c>
      <c r="P1389" s="10">
        <v>300</v>
      </c>
      <c r="Q1389" s="10">
        <v>60</v>
      </c>
      <c r="S1389" s="11">
        <v>2</v>
      </c>
      <c r="T1389" s="10">
        <v>60</v>
      </c>
      <c r="V1389" s="45">
        <v>1</v>
      </c>
      <c r="W1389" s="10">
        <v>3</v>
      </c>
      <c r="X1389" s="29">
        <v>15.5</v>
      </c>
      <c r="Y1389" s="54" t="s">
        <v>67</v>
      </c>
      <c r="Z1389" t="s">
        <v>1138</v>
      </c>
    </row>
    <row r="1390" spans="1:26" ht="23.1" customHeight="1" x14ac:dyDescent="0.25">
      <c r="A1390" s="20" t="s">
        <v>909</v>
      </c>
      <c r="B1390" s="7" t="s">
        <v>110</v>
      </c>
      <c r="C1390" s="7">
        <v>102</v>
      </c>
      <c r="D1390" s="7" t="s">
        <v>1097</v>
      </c>
      <c r="E1390" s="41" t="s">
        <v>1098</v>
      </c>
      <c r="F1390" s="41" t="s">
        <v>1098</v>
      </c>
      <c r="G1390" s="7" t="s">
        <v>250</v>
      </c>
      <c r="H1390" s="7">
        <v>45</v>
      </c>
      <c r="I1390" s="10" t="s">
        <v>2189</v>
      </c>
      <c r="J1390" s="10">
        <v>5</v>
      </c>
      <c r="K1390" s="10">
        <v>5</v>
      </c>
      <c r="L1390" s="43">
        <v>25</v>
      </c>
      <c r="M1390" s="43">
        <v>25</v>
      </c>
      <c r="N1390" s="12" t="s">
        <v>1208</v>
      </c>
      <c r="P1390" s="10">
        <v>30</v>
      </c>
      <c r="Q1390" s="10">
        <v>60</v>
      </c>
      <c r="S1390" s="11">
        <v>5</v>
      </c>
      <c r="T1390" s="10">
        <v>60</v>
      </c>
      <c r="V1390" s="45">
        <v>1</v>
      </c>
      <c r="W1390" s="10">
        <v>2</v>
      </c>
      <c r="X1390" s="29">
        <v>10.5</v>
      </c>
      <c r="Y1390" s="54" t="s">
        <v>67</v>
      </c>
      <c r="Z1390" t="s">
        <v>1188</v>
      </c>
    </row>
    <row r="1391" spans="1:26" ht="23.1" customHeight="1" x14ac:dyDescent="0.25">
      <c r="A1391" s="20" t="s">
        <v>1002</v>
      </c>
      <c r="B1391" s="7" t="s">
        <v>110</v>
      </c>
      <c r="C1391" s="7">
        <v>83</v>
      </c>
      <c r="D1391" s="7" t="s">
        <v>1095</v>
      </c>
      <c r="E1391" s="41" t="s">
        <v>1096</v>
      </c>
      <c r="F1391" s="41" t="s">
        <v>1096</v>
      </c>
      <c r="G1391" s="7" t="s">
        <v>658</v>
      </c>
      <c r="H1391" s="7">
        <v>10</v>
      </c>
      <c r="I1391" s="10" t="s">
        <v>2192</v>
      </c>
      <c r="J1391" s="10">
        <v>3</v>
      </c>
      <c r="K1391" s="10">
        <v>14</v>
      </c>
      <c r="L1391" s="43">
        <v>25</v>
      </c>
      <c r="M1391" s="43">
        <v>25</v>
      </c>
      <c r="N1391" s="12" t="s">
        <v>1154</v>
      </c>
      <c r="P1391" s="10">
        <v>90</v>
      </c>
      <c r="Q1391" s="10">
        <v>60</v>
      </c>
      <c r="S1391" s="11">
        <v>14</v>
      </c>
      <c r="T1391" s="10">
        <v>60</v>
      </c>
      <c r="V1391" s="45">
        <v>1</v>
      </c>
      <c r="X1391" s="29">
        <v>36</v>
      </c>
      <c r="Y1391" s="54" t="s">
        <v>67</v>
      </c>
    </row>
    <row r="1392" spans="1:26" ht="23.1" customHeight="1" x14ac:dyDescent="0.25">
      <c r="A1392" s="20" t="s">
        <v>1002</v>
      </c>
      <c r="B1392" s="7" t="s">
        <v>110</v>
      </c>
      <c r="C1392" s="7">
        <v>106</v>
      </c>
      <c r="D1392" s="7" t="s">
        <v>1070</v>
      </c>
      <c r="E1392" s="41" t="s">
        <v>101</v>
      </c>
      <c r="F1392" s="41" t="s">
        <v>101</v>
      </c>
      <c r="G1392" s="7" t="s">
        <v>300</v>
      </c>
      <c r="H1392" s="7">
        <v>35</v>
      </c>
      <c r="I1392" s="10" t="s">
        <v>2157</v>
      </c>
      <c r="J1392" s="10">
        <v>0.5</v>
      </c>
      <c r="K1392" s="10">
        <v>0.5</v>
      </c>
      <c r="L1392" s="43">
        <v>25</v>
      </c>
      <c r="M1392" s="43">
        <v>25</v>
      </c>
      <c r="N1392" s="12" t="s">
        <v>247</v>
      </c>
      <c r="P1392" s="10">
        <v>1200</v>
      </c>
      <c r="Q1392" s="10">
        <v>150</v>
      </c>
      <c r="T1392" s="10">
        <v>180</v>
      </c>
      <c r="V1392" s="45"/>
      <c r="X1392" s="29">
        <v>10</v>
      </c>
      <c r="Y1392" s="54" t="s">
        <v>67</v>
      </c>
    </row>
    <row r="1393" spans="1:26" ht="23.1" customHeight="1" x14ac:dyDescent="0.25">
      <c r="A1393" s="20" t="s">
        <v>1002</v>
      </c>
      <c r="B1393" s="7" t="s">
        <v>110</v>
      </c>
      <c r="C1393" s="7">
        <v>44</v>
      </c>
      <c r="D1393" s="7" t="s">
        <v>266</v>
      </c>
      <c r="E1393" s="41" t="s">
        <v>267</v>
      </c>
      <c r="F1393" s="41" t="s">
        <v>267</v>
      </c>
      <c r="G1393" s="7" t="s">
        <v>118</v>
      </c>
      <c r="H1393" s="7">
        <v>55</v>
      </c>
      <c r="I1393" s="10" t="s">
        <v>2166</v>
      </c>
      <c r="J1393" s="10">
        <v>0.6</v>
      </c>
      <c r="K1393" s="10">
        <v>0.6</v>
      </c>
      <c r="L1393" s="43">
        <v>25</v>
      </c>
      <c r="M1393" s="43">
        <v>25</v>
      </c>
      <c r="N1393" s="12" t="s">
        <v>429</v>
      </c>
      <c r="P1393" s="10">
        <v>1260</v>
      </c>
      <c r="Q1393" s="10">
        <v>90</v>
      </c>
      <c r="S1393" s="11">
        <v>1</v>
      </c>
      <c r="T1393" s="10">
        <v>60</v>
      </c>
      <c r="V1393" s="45"/>
      <c r="X1393" s="29">
        <v>14.1</v>
      </c>
      <c r="Y1393" s="54" t="s">
        <v>67</v>
      </c>
    </row>
    <row r="1394" spans="1:26" ht="23.1" customHeight="1" x14ac:dyDescent="0.25">
      <c r="A1394" s="20" t="s">
        <v>1002</v>
      </c>
      <c r="B1394" s="7" t="s">
        <v>110</v>
      </c>
      <c r="C1394" s="7">
        <v>100</v>
      </c>
      <c r="D1394" s="7" t="s">
        <v>937</v>
      </c>
      <c r="E1394" s="41" t="s">
        <v>938</v>
      </c>
      <c r="F1394" s="41" t="s">
        <v>938</v>
      </c>
      <c r="G1394" s="7" t="s">
        <v>939</v>
      </c>
      <c r="H1394" s="7">
        <v>55</v>
      </c>
      <c r="I1394" s="10" t="s">
        <v>2004</v>
      </c>
      <c r="J1394" s="10">
        <v>0.2</v>
      </c>
      <c r="K1394" s="10">
        <v>0.1</v>
      </c>
      <c r="L1394" s="43">
        <v>25</v>
      </c>
      <c r="M1394" s="43">
        <v>25</v>
      </c>
      <c r="N1394" s="12" t="s">
        <v>1209</v>
      </c>
      <c r="P1394" s="10">
        <v>600</v>
      </c>
      <c r="Q1394" s="10">
        <v>60</v>
      </c>
      <c r="T1394" s="10">
        <v>90</v>
      </c>
      <c r="V1394" s="45"/>
      <c r="W1394" s="14">
        <v>2</v>
      </c>
      <c r="X1394" s="29">
        <v>3</v>
      </c>
      <c r="Y1394" s="54" t="s">
        <v>67</v>
      </c>
      <c r="Z1394" t="s">
        <v>1011</v>
      </c>
    </row>
    <row r="1395" spans="1:26" ht="23.1" customHeight="1" x14ac:dyDescent="0.25">
      <c r="A1395" s="20" t="s">
        <v>1002</v>
      </c>
      <c r="B1395" s="7" t="s">
        <v>110</v>
      </c>
      <c r="C1395" s="7">
        <v>102</v>
      </c>
      <c r="D1395" s="7" t="s">
        <v>1097</v>
      </c>
      <c r="E1395" s="41" t="s">
        <v>1098</v>
      </c>
      <c r="F1395" s="41" t="s">
        <v>1098</v>
      </c>
      <c r="G1395" s="7" t="s">
        <v>250</v>
      </c>
      <c r="H1395" s="7">
        <v>50</v>
      </c>
      <c r="I1395" s="10" t="s">
        <v>2185</v>
      </c>
      <c r="J1395" s="10">
        <v>0.6</v>
      </c>
      <c r="K1395" s="10">
        <v>0.6</v>
      </c>
      <c r="L1395" s="43">
        <v>25</v>
      </c>
      <c r="M1395" s="43">
        <v>25</v>
      </c>
      <c r="N1395" s="12" t="s">
        <v>1159</v>
      </c>
      <c r="P1395" s="10">
        <v>1080</v>
      </c>
      <c r="Q1395" s="10">
        <v>60</v>
      </c>
      <c r="S1395" s="11">
        <v>1</v>
      </c>
      <c r="T1395" s="10">
        <v>120</v>
      </c>
      <c r="V1395" s="45"/>
      <c r="W1395" s="14">
        <v>2</v>
      </c>
      <c r="X1395" s="29">
        <v>13.8</v>
      </c>
      <c r="Y1395" s="54" t="s">
        <v>67</v>
      </c>
      <c r="Z1395" t="s">
        <v>1210</v>
      </c>
    </row>
    <row r="1396" spans="1:26" ht="23.1" customHeight="1" x14ac:dyDescent="0.25">
      <c r="A1396" s="20" t="s">
        <v>1002</v>
      </c>
      <c r="B1396" s="7" t="s">
        <v>110</v>
      </c>
      <c r="C1396" s="7">
        <v>98</v>
      </c>
      <c r="D1396" s="7" t="s">
        <v>481</v>
      </c>
      <c r="E1396" s="41" t="s">
        <v>482</v>
      </c>
      <c r="F1396" s="41" t="s">
        <v>482</v>
      </c>
      <c r="G1396" s="7" t="s">
        <v>118</v>
      </c>
      <c r="H1396" s="7">
        <v>35</v>
      </c>
      <c r="I1396" s="10" t="s">
        <v>2174</v>
      </c>
      <c r="J1396" s="10">
        <v>0.8</v>
      </c>
      <c r="K1396" s="10">
        <v>1</v>
      </c>
      <c r="L1396" s="43">
        <v>25</v>
      </c>
      <c r="M1396" s="43">
        <v>25</v>
      </c>
      <c r="N1396" s="12" t="s">
        <v>1118</v>
      </c>
      <c r="P1396" s="10">
        <v>800</v>
      </c>
      <c r="Q1396" s="10">
        <v>60</v>
      </c>
      <c r="S1396" s="11">
        <v>1</v>
      </c>
      <c r="T1396" s="10">
        <v>120</v>
      </c>
      <c r="V1396" s="45"/>
      <c r="X1396" s="29">
        <v>14.3</v>
      </c>
      <c r="Y1396" s="54" t="s">
        <v>67</v>
      </c>
    </row>
    <row r="1397" spans="1:26" ht="23.1" customHeight="1" x14ac:dyDescent="0.25">
      <c r="A1397" s="20" t="s">
        <v>1002</v>
      </c>
      <c r="B1397" s="7" t="s">
        <v>110</v>
      </c>
      <c r="C1397" s="7">
        <v>106</v>
      </c>
      <c r="D1397" s="7" t="s">
        <v>1070</v>
      </c>
      <c r="E1397" s="41" t="s">
        <v>101</v>
      </c>
      <c r="F1397" s="41" t="s">
        <v>101</v>
      </c>
      <c r="G1397" s="7" t="s">
        <v>300</v>
      </c>
      <c r="H1397" s="7">
        <v>25</v>
      </c>
      <c r="I1397" s="10" t="s">
        <v>2163</v>
      </c>
      <c r="L1397" s="43">
        <v>25</v>
      </c>
      <c r="M1397" s="43">
        <v>25</v>
      </c>
      <c r="N1397" s="12" t="s">
        <v>476</v>
      </c>
      <c r="P1397" s="10">
        <v>4800</v>
      </c>
      <c r="Q1397" s="10">
        <v>180</v>
      </c>
      <c r="S1397" s="11">
        <v>1</v>
      </c>
      <c r="T1397" s="10">
        <v>180</v>
      </c>
      <c r="V1397" s="45">
        <v>1</v>
      </c>
      <c r="X1397" s="29">
        <v>6</v>
      </c>
      <c r="Y1397" s="54" t="s">
        <v>67</v>
      </c>
    </row>
    <row r="1398" spans="1:26" ht="23.1" customHeight="1" x14ac:dyDescent="0.25">
      <c r="A1398" s="20" t="s">
        <v>1002</v>
      </c>
      <c r="B1398" s="7" t="s">
        <v>110</v>
      </c>
      <c r="C1398" s="7">
        <v>101</v>
      </c>
      <c r="D1398" s="7" t="s">
        <v>1211</v>
      </c>
      <c r="E1398" s="41" t="s">
        <v>760</v>
      </c>
      <c r="F1398" s="41" t="s">
        <v>760</v>
      </c>
      <c r="G1398" s="7" t="s">
        <v>300</v>
      </c>
      <c r="H1398" s="7">
        <v>40</v>
      </c>
      <c r="I1398" s="10" t="s">
        <v>1969</v>
      </c>
      <c r="J1398" s="10">
        <v>2</v>
      </c>
      <c r="K1398" s="10">
        <v>1.4</v>
      </c>
      <c r="L1398" s="43">
        <v>25</v>
      </c>
      <c r="M1398" s="43">
        <v>25</v>
      </c>
      <c r="N1398" s="12" t="s">
        <v>1004</v>
      </c>
      <c r="P1398" s="10">
        <v>330</v>
      </c>
      <c r="Q1398" s="10">
        <v>60</v>
      </c>
      <c r="S1398" s="11">
        <v>1</v>
      </c>
      <c r="T1398" s="10">
        <v>120</v>
      </c>
      <c r="V1398" s="45"/>
      <c r="X1398" s="29">
        <v>8.6999999999999993</v>
      </c>
      <c r="Y1398" s="54" t="s">
        <v>67</v>
      </c>
    </row>
    <row r="1399" spans="1:26" ht="23.1" customHeight="1" x14ac:dyDescent="0.25">
      <c r="A1399" s="20" t="s">
        <v>1002</v>
      </c>
      <c r="B1399" s="7" t="s">
        <v>110</v>
      </c>
      <c r="C1399" s="7">
        <v>45</v>
      </c>
      <c r="D1399" s="7" t="s">
        <v>395</v>
      </c>
      <c r="E1399" s="41" t="s">
        <v>396</v>
      </c>
      <c r="F1399" s="41" t="e">
        <v>#N/A</v>
      </c>
      <c r="G1399" s="7" t="s">
        <v>300</v>
      </c>
      <c r="H1399" s="7">
        <v>15</v>
      </c>
      <c r="I1399" s="10" t="s">
        <v>2112</v>
      </c>
      <c r="K1399" s="10">
        <v>8</v>
      </c>
      <c r="L1399" s="43">
        <v>25</v>
      </c>
      <c r="M1399" s="43">
        <v>25</v>
      </c>
      <c r="N1399" s="12" t="s">
        <v>1212</v>
      </c>
      <c r="P1399" s="10">
        <v>80</v>
      </c>
      <c r="Q1399" s="10">
        <v>90</v>
      </c>
      <c r="S1399" s="11">
        <v>8</v>
      </c>
      <c r="T1399" s="10">
        <v>90</v>
      </c>
      <c r="V1399" s="45">
        <v>1</v>
      </c>
      <c r="X1399" s="29">
        <v>24.2</v>
      </c>
      <c r="Y1399" s="54" t="s">
        <v>67</v>
      </c>
    </row>
    <row r="1400" spans="1:26" ht="23.1" customHeight="1" x14ac:dyDescent="0.25">
      <c r="A1400" s="20" t="s">
        <v>1002</v>
      </c>
      <c r="B1400" s="7" t="s">
        <v>110</v>
      </c>
      <c r="C1400" s="7">
        <v>101</v>
      </c>
      <c r="D1400" s="7" t="s">
        <v>759</v>
      </c>
      <c r="E1400" s="41" t="s">
        <v>760</v>
      </c>
      <c r="F1400" s="41" t="s">
        <v>760</v>
      </c>
      <c r="G1400" s="7" t="s">
        <v>300</v>
      </c>
      <c r="H1400" s="7">
        <v>40</v>
      </c>
      <c r="I1400" s="10" t="s">
        <v>1969</v>
      </c>
      <c r="K1400" s="10">
        <v>1</v>
      </c>
      <c r="L1400" s="43">
        <v>25</v>
      </c>
      <c r="M1400" s="43">
        <v>25</v>
      </c>
      <c r="N1400" s="12" t="s">
        <v>418</v>
      </c>
      <c r="P1400" s="10">
        <v>330</v>
      </c>
      <c r="Q1400" s="10">
        <v>60</v>
      </c>
      <c r="S1400" s="11">
        <v>1</v>
      </c>
      <c r="T1400" s="10">
        <v>120</v>
      </c>
      <c r="V1400" s="45">
        <v>1</v>
      </c>
      <c r="X1400" s="29">
        <v>8.5</v>
      </c>
      <c r="Y1400" s="54" t="s">
        <v>67</v>
      </c>
    </row>
    <row r="1401" spans="1:26" ht="23.1" customHeight="1" x14ac:dyDescent="0.25">
      <c r="A1401" s="20" t="s">
        <v>1002</v>
      </c>
      <c r="B1401" s="7" t="s">
        <v>110</v>
      </c>
      <c r="C1401" s="7">
        <v>117</v>
      </c>
      <c r="D1401" s="7" t="s">
        <v>1081</v>
      </c>
      <c r="E1401" s="41" t="s">
        <v>1082</v>
      </c>
      <c r="F1401" s="41" t="s">
        <v>1082</v>
      </c>
      <c r="G1401" s="7" t="s">
        <v>123</v>
      </c>
      <c r="H1401" s="7">
        <v>25</v>
      </c>
      <c r="I1401" s="10" t="s">
        <v>2191</v>
      </c>
      <c r="K1401" s="10">
        <v>2</v>
      </c>
      <c r="L1401" s="43">
        <v>25</v>
      </c>
      <c r="M1401" s="43">
        <v>25</v>
      </c>
      <c r="N1401" s="12" t="s">
        <v>1196</v>
      </c>
      <c r="P1401" s="10">
        <v>270</v>
      </c>
      <c r="Q1401" s="10">
        <v>60</v>
      </c>
      <c r="S1401" s="11">
        <v>2</v>
      </c>
      <c r="T1401" s="10">
        <v>60</v>
      </c>
      <c r="V1401" s="45">
        <v>1</v>
      </c>
      <c r="X1401" s="29">
        <v>12</v>
      </c>
      <c r="Y1401" s="54" t="s">
        <v>32</v>
      </c>
    </row>
    <row r="1402" spans="1:26" ht="23.1" customHeight="1" x14ac:dyDescent="0.25">
      <c r="A1402" s="20" t="s">
        <v>1002</v>
      </c>
      <c r="B1402" s="7" t="s">
        <v>110</v>
      </c>
      <c r="C1402" s="7">
        <v>117</v>
      </c>
      <c r="D1402" s="7" t="s">
        <v>1083</v>
      </c>
      <c r="E1402" s="41" t="s">
        <v>1082</v>
      </c>
      <c r="F1402" s="41" t="s">
        <v>1082</v>
      </c>
      <c r="G1402" s="7" t="s">
        <v>123</v>
      </c>
      <c r="H1402" s="7">
        <v>20</v>
      </c>
      <c r="I1402" s="10" t="s">
        <v>2384</v>
      </c>
      <c r="K1402" s="10">
        <v>0.4</v>
      </c>
      <c r="L1402" s="43">
        <v>25</v>
      </c>
      <c r="M1402" s="43">
        <v>25</v>
      </c>
      <c r="N1402" s="12" t="s">
        <v>1196</v>
      </c>
      <c r="P1402" s="10">
        <v>590</v>
      </c>
      <c r="Q1402" s="10">
        <v>60</v>
      </c>
      <c r="S1402" s="11">
        <v>1</v>
      </c>
      <c r="T1402" s="10">
        <v>90</v>
      </c>
      <c r="V1402" s="45">
        <v>1</v>
      </c>
      <c r="X1402" s="29">
        <v>6.4</v>
      </c>
      <c r="Y1402" s="54" t="s">
        <v>32</v>
      </c>
    </row>
    <row r="1403" spans="1:26" ht="23.1" customHeight="1" x14ac:dyDescent="0.25">
      <c r="A1403" s="20" t="s">
        <v>1002</v>
      </c>
      <c r="B1403" s="7" t="s">
        <v>110</v>
      </c>
      <c r="C1403" s="7">
        <v>117</v>
      </c>
      <c r="D1403" s="7" t="s">
        <v>1083</v>
      </c>
      <c r="E1403" s="41" t="s">
        <v>1082</v>
      </c>
      <c r="F1403" s="41" t="s">
        <v>1082</v>
      </c>
      <c r="G1403" s="7" t="s">
        <v>123</v>
      </c>
      <c r="H1403" s="7">
        <v>25</v>
      </c>
      <c r="I1403" s="10" t="s">
        <v>2191</v>
      </c>
      <c r="K1403" s="10">
        <v>0.1</v>
      </c>
      <c r="L1403" s="43">
        <v>25</v>
      </c>
      <c r="M1403" s="43">
        <v>25</v>
      </c>
      <c r="N1403" s="12" t="s">
        <v>1196</v>
      </c>
      <c r="P1403" s="10">
        <v>270</v>
      </c>
      <c r="Q1403" s="10">
        <v>60</v>
      </c>
      <c r="T1403" s="10">
        <v>60</v>
      </c>
      <c r="V1403" s="45"/>
      <c r="X1403" s="29">
        <v>0.5</v>
      </c>
      <c r="Y1403" s="54" t="s">
        <v>32</v>
      </c>
    </row>
    <row r="1404" spans="1:26" ht="23.1" customHeight="1" x14ac:dyDescent="0.25">
      <c r="A1404" s="20" t="s">
        <v>1002</v>
      </c>
      <c r="B1404" s="7" t="s">
        <v>110</v>
      </c>
      <c r="C1404" s="7">
        <v>118</v>
      </c>
      <c r="D1404" s="7" t="s">
        <v>1171</v>
      </c>
      <c r="E1404" s="41" t="s">
        <v>1172</v>
      </c>
      <c r="F1404" s="41" t="s">
        <v>1172</v>
      </c>
      <c r="G1404" s="7" t="s">
        <v>300</v>
      </c>
      <c r="H1404" s="7">
        <v>35</v>
      </c>
      <c r="I1404" s="10" t="s">
        <v>2187</v>
      </c>
      <c r="K1404" s="10">
        <v>0.3</v>
      </c>
      <c r="L1404" s="43">
        <v>25</v>
      </c>
      <c r="M1404" s="43">
        <v>25</v>
      </c>
      <c r="N1404" s="12" t="s">
        <v>1213</v>
      </c>
      <c r="P1404" s="10">
        <v>5000</v>
      </c>
      <c r="Q1404" s="10">
        <v>60</v>
      </c>
      <c r="T1404" s="10">
        <v>300</v>
      </c>
      <c r="V1404" s="45"/>
      <c r="X1404" s="29">
        <v>25</v>
      </c>
      <c r="Y1404" s="54" t="s">
        <v>32</v>
      </c>
    </row>
    <row r="1405" spans="1:26" ht="23.1" customHeight="1" x14ac:dyDescent="0.25">
      <c r="A1405" s="20" t="s">
        <v>1002</v>
      </c>
      <c r="B1405" s="10" t="s">
        <v>113</v>
      </c>
      <c r="C1405" s="7">
        <v>102</v>
      </c>
      <c r="D1405" s="7" t="s">
        <v>1097</v>
      </c>
      <c r="E1405" s="41" t="s">
        <v>1098</v>
      </c>
      <c r="F1405" s="41" t="s">
        <v>1098</v>
      </c>
      <c r="G1405" s="7" t="s">
        <v>250</v>
      </c>
      <c r="H1405" s="7">
        <v>50</v>
      </c>
      <c r="I1405" s="10" t="s">
        <v>2185</v>
      </c>
      <c r="J1405" s="10">
        <v>0.6</v>
      </c>
      <c r="K1405" s="10">
        <v>0.6</v>
      </c>
      <c r="L1405" s="43">
        <v>32</v>
      </c>
      <c r="M1405" s="43">
        <v>32</v>
      </c>
      <c r="N1405" s="12" t="s">
        <v>292</v>
      </c>
      <c r="P1405" s="10">
        <v>1080</v>
      </c>
      <c r="Q1405" s="10">
        <v>60</v>
      </c>
      <c r="T1405" s="10">
        <v>120</v>
      </c>
      <c r="V1405" s="45"/>
      <c r="X1405" s="29">
        <v>10.8</v>
      </c>
      <c r="Y1405" s="54" t="s">
        <v>35</v>
      </c>
    </row>
    <row r="1406" spans="1:26" ht="23.1" customHeight="1" x14ac:dyDescent="0.25">
      <c r="A1406" s="20" t="s">
        <v>1002</v>
      </c>
      <c r="B1406" s="7" t="s">
        <v>113</v>
      </c>
      <c r="C1406" s="7">
        <v>98</v>
      </c>
      <c r="D1406" s="7" t="s">
        <v>481</v>
      </c>
      <c r="E1406" s="41" t="s">
        <v>482</v>
      </c>
      <c r="F1406" s="41" t="s">
        <v>482</v>
      </c>
      <c r="G1406" s="7" t="s">
        <v>118</v>
      </c>
      <c r="H1406" s="7">
        <v>35</v>
      </c>
      <c r="I1406" s="10" t="s">
        <v>2174</v>
      </c>
      <c r="J1406" s="10">
        <v>0.7</v>
      </c>
      <c r="K1406" s="10">
        <v>0.9</v>
      </c>
      <c r="L1406" s="43">
        <v>32</v>
      </c>
      <c r="M1406" s="43">
        <v>32</v>
      </c>
      <c r="N1406" s="12" t="s">
        <v>199</v>
      </c>
      <c r="P1406" s="10">
        <v>800</v>
      </c>
      <c r="Q1406" s="10">
        <v>60</v>
      </c>
      <c r="S1406" s="11">
        <v>1</v>
      </c>
      <c r="T1406" s="10">
        <v>120</v>
      </c>
      <c r="V1406" s="45">
        <v>1</v>
      </c>
      <c r="X1406" s="29">
        <v>15</v>
      </c>
      <c r="Y1406" s="54" t="s">
        <v>35</v>
      </c>
    </row>
    <row r="1407" spans="1:26" ht="23.1" customHeight="1" x14ac:dyDescent="0.25">
      <c r="A1407" s="20" t="s">
        <v>1002</v>
      </c>
      <c r="B1407" s="7" t="s">
        <v>113</v>
      </c>
      <c r="C1407" s="7">
        <v>106</v>
      </c>
      <c r="D1407" s="7" t="s">
        <v>1070</v>
      </c>
      <c r="E1407" s="41" t="s">
        <v>101</v>
      </c>
      <c r="F1407" s="41" t="s">
        <v>101</v>
      </c>
      <c r="G1407" s="7" t="s">
        <v>300</v>
      </c>
      <c r="H1407" s="7">
        <v>25</v>
      </c>
      <c r="I1407" s="10" t="s">
        <v>2163</v>
      </c>
      <c r="J1407" s="10">
        <v>0.2</v>
      </c>
      <c r="K1407" s="10">
        <v>0.2</v>
      </c>
      <c r="L1407" s="43">
        <v>32</v>
      </c>
      <c r="M1407" s="43">
        <v>32</v>
      </c>
      <c r="N1407" s="12" t="s">
        <v>476</v>
      </c>
      <c r="P1407" s="10">
        <v>4800</v>
      </c>
      <c r="Q1407" s="10">
        <v>180</v>
      </c>
      <c r="T1407" s="10">
        <v>180</v>
      </c>
      <c r="V1407" s="45"/>
      <c r="X1407" s="29">
        <v>16</v>
      </c>
      <c r="Y1407" s="54" t="s">
        <v>35</v>
      </c>
    </row>
    <row r="1408" spans="1:26" ht="23.1" customHeight="1" x14ac:dyDescent="0.25">
      <c r="A1408" s="20" t="s">
        <v>1002</v>
      </c>
      <c r="B1408" s="7" t="s">
        <v>113</v>
      </c>
      <c r="C1408" s="7">
        <v>82</v>
      </c>
      <c r="D1408" s="7" t="s">
        <v>1095</v>
      </c>
      <c r="E1408" s="41" t="s">
        <v>1096</v>
      </c>
      <c r="F1408" s="41" t="s">
        <v>1096</v>
      </c>
      <c r="G1408" s="7" t="s">
        <v>658</v>
      </c>
      <c r="H1408" s="7">
        <v>10</v>
      </c>
      <c r="I1408" s="10" t="s">
        <v>2192</v>
      </c>
      <c r="K1408" s="10">
        <v>10</v>
      </c>
      <c r="L1408" s="43">
        <v>32</v>
      </c>
      <c r="M1408" s="43">
        <v>32</v>
      </c>
      <c r="N1408" s="12" t="s">
        <v>463</v>
      </c>
      <c r="P1408" s="10">
        <v>90</v>
      </c>
      <c r="Q1408" s="10">
        <v>60</v>
      </c>
      <c r="S1408" s="11">
        <v>10</v>
      </c>
      <c r="T1408" s="10">
        <v>60</v>
      </c>
      <c r="V1408" s="45">
        <v>1</v>
      </c>
      <c r="X1408" s="29">
        <v>26</v>
      </c>
      <c r="Y1408" s="54" t="s">
        <v>35</v>
      </c>
    </row>
    <row r="1409" spans="1:25" ht="23.1" customHeight="1" x14ac:dyDescent="0.25">
      <c r="A1409" s="20" t="s">
        <v>1002</v>
      </c>
      <c r="B1409" s="7" t="s">
        <v>113</v>
      </c>
      <c r="C1409" s="7">
        <v>118</v>
      </c>
      <c r="D1409" s="7" t="s">
        <v>1171</v>
      </c>
      <c r="E1409" s="41" t="s">
        <v>1172</v>
      </c>
      <c r="F1409" s="41" t="s">
        <v>1172</v>
      </c>
      <c r="G1409" s="7" t="s">
        <v>300</v>
      </c>
      <c r="H1409" s="7">
        <v>35</v>
      </c>
      <c r="I1409" s="10" t="s">
        <v>2187</v>
      </c>
      <c r="J1409" s="10">
        <v>0.2</v>
      </c>
      <c r="K1409" s="10">
        <v>0.2</v>
      </c>
      <c r="L1409" s="43">
        <v>32</v>
      </c>
      <c r="M1409" s="43">
        <v>32</v>
      </c>
      <c r="N1409" s="12" t="s">
        <v>330</v>
      </c>
      <c r="P1409" s="10">
        <v>5000</v>
      </c>
      <c r="Q1409" s="10">
        <v>60</v>
      </c>
      <c r="T1409" s="10">
        <v>300</v>
      </c>
      <c r="V1409" s="45"/>
      <c r="X1409" s="29">
        <v>16.7</v>
      </c>
      <c r="Y1409" s="54" t="s">
        <v>35</v>
      </c>
    </row>
    <row r="1410" spans="1:25" ht="23.1" customHeight="1" x14ac:dyDescent="0.25">
      <c r="A1410" s="20" t="s">
        <v>1002</v>
      </c>
      <c r="B1410" s="7" t="s">
        <v>113</v>
      </c>
      <c r="C1410" s="7">
        <v>117</v>
      </c>
      <c r="D1410" s="7" t="s">
        <v>1083</v>
      </c>
      <c r="E1410" s="41" t="s">
        <v>1082</v>
      </c>
      <c r="F1410" s="41" t="s">
        <v>1082</v>
      </c>
      <c r="G1410" s="7" t="s">
        <v>123</v>
      </c>
      <c r="H1410" s="7">
        <v>25</v>
      </c>
      <c r="I1410" s="10" t="s">
        <v>2190</v>
      </c>
      <c r="K1410" s="10">
        <v>1.9</v>
      </c>
      <c r="L1410" s="43">
        <v>32</v>
      </c>
      <c r="M1410" s="43">
        <v>32</v>
      </c>
      <c r="N1410" s="12" t="s">
        <v>1214</v>
      </c>
      <c r="P1410" s="10">
        <v>270</v>
      </c>
      <c r="Q1410" s="10">
        <v>60</v>
      </c>
      <c r="S1410" s="11">
        <v>2</v>
      </c>
      <c r="T1410" s="10">
        <v>60</v>
      </c>
      <c r="V1410" s="45"/>
      <c r="X1410" s="29">
        <v>10.6</v>
      </c>
      <c r="Y1410" s="54" t="s">
        <v>35</v>
      </c>
    </row>
    <row r="1411" spans="1:25" ht="23.1" customHeight="1" x14ac:dyDescent="0.25">
      <c r="A1411" s="20" t="s">
        <v>1002</v>
      </c>
      <c r="B1411" s="7" t="s">
        <v>113</v>
      </c>
      <c r="C1411" s="7">
        <v>104</v>
      </c>
      <c r="D1411" s="7" t="s">
        <v>298</v>
      </c>
      <c r="E1411" s="41" t="s">
        <v>299</v>
      </c>
      <c r="F1411" s="41" t="s">
        <v>299</v>
      </c>
      <c r="G1411" s="7" t="s">
        <v>300</v>
      </c>
      <c r="H1411" s="7">
        <v>7</v>
      </c>
      <c r="I1411" s="10"/>
      <c r="K1411" s="10">
        <v>4</v>
      </c>
      <c r="L1411" s="43">
        <v>32</v>
      </c>
      <c r="M1411" s="43">
        <v>32</v>
      </c>
      <c r="N1411" s="12" t="s">
        <v>1215</v>
      </c>
      <c r="O1411" s="47">
        <v>60</v>
      </c>
      <c r="P1411" s="47"/>
      <c r="Q1411" s="47"/>
      <c r="R1411" s="47">
        <v>60</v>
      </c>
      <c r="S1411" s="11">
        <v>4</v>
      </c>
      <c r="U1411" s="47">
        <v>60</v>
      </c>
      <c r="V1411" s="45">
        <v>1</v>
      </c>
      <c r="X1411" s="32">
        <v>9</v>
      </c>
      <c r="Y1411" s="54" t="s">
        <v>35</v>
      </c>
    </row>
    <row r="1412" spans="1:25" ht="23.1" customHeight="1" x14ac:dyDescent="0.25">
      <c r="A1412" s="20" t="s">
        <v>1002</v>
      </c>
      <c r="B1412" s="7" t="s">
        <v>113</v>
      </c>
      <c r="C1412" s="7">
        <v>117</v>
      </c>
      <c r="D1412" s="7" t="s">
        <v>1197</v>
      </c>
      <c r="E1412" s="41" t="s">
        <v>1198</v>
      </c>
      <c r="F1412" s="41" t="s">
        <v>1198</v>
      </c>
      <c r="G1412" s="7" t="s">
        <v>658</v>
      </c>
      <c r="H1412" s="7">
        <v>10</v>
      </c>
      <c r="I1412" s="10" t="s">
        <v>2192</v>
      </c>
      <c r="J1412" s="10">
        <v>10</v>
      </c>
      <c r="K1412" s="10">
        <v>10</v>
      </c>
      <c r="L1412" s="43">
        <v>32</v>
      </c>
      <c r="M1412" s="43">
        <v>32</v>
      </c>
      <c r="N1412" s="12" t="s">
        <v>282</v>
      </c>
      <c r="P1412" s="10">
        <v>90</v>
      </c>
      <c r="Q1412" s="10">
        <v>60</v>
      </c>
      <c r="S1412" s="11">
        <v>10</v>
      </c>
      <c r="T1412" s="10">
        <v>60</v>
      </c>
      <c r="U1412" s="47">
        <v>60</v>
      </c>
      <c r="V1412" s="45"/>
      <c r="X1412" s="29">
        <v>25</v>
      </c>
      <c r="Y1412" s="54" t="s">
        <v>35</v>
      </c>
    </row>
    <row r="1413" spans="1:25" ht="23.1" customHeight="1" x14ac:dyDescent="0.25">
      <c r="A1413" s="20" t="s">
        <v>1002</v>
      </c>
      <c r="B1413" s="7" t="s">
        <v>113</v>
      </c>
      <c r="C1413" s="7">
        <v>45</v>
      </c>
      <c r="D1413" s="7" t="s">
        <v>484</v>
      </c>
      <c r="E1413" s="41" t="s">
        <v>485</v>
      </c>
      <c r="F1413" s="41" t="s">
        <v>485</v>
      </c>
      <c r="G1413" s="7" t="s">
        <v>300</v>
      </c>
      <c r="H1413" s="7">
        <v>8</v>
      </c>
      <c r="I1413" s="10"/>
      <c r="K1413" s="10">
        <v>6</v>
      </c>
      <c r="L1413" s="43">
        <v>32</v>
      </c>
      <c r="M1413" s="43">
        <v>32</v>
      </c>
      <c r="N1413" s="12" t="s">
        <v>1216</v>
      </c>
      <c r="O1413" s="47">
        <v>60</v>
      </c>
      <c r="P1413" s="47"/>
      <c r="Q1413" s="47"/>
      <c r="R1413" s="47">
        <v>60</v>
      </c>
      <c r="S1413" s="11">
        <v>6</v>
      </c>
      <c r="U1413" s="47">
        <v>60</v>
      </c>
      <c r="V1413" s="45">
        <v>1</v>
      </c>
      <c r="X1413" s="32">
        <v>13</v>
      </c>
      <c r="Y1413" s="54" t="s">
        <v>35</v>
      </c>
    </row>
    <row r="1414" spans="1:25" ht="23.1" customHeight="1" x14ac:dyDescent="0.25">
      <c r="A1414" s="20" t="s">
        <v>1002</v>
      </c>
      <c r="B1414" s="7" t="s">
        <v>113</v>
      </c>
      <c r="C1414" s="7">
        <v>45</v>
      </c>
      <c r="D1414" s="7" t="s">
        <v>484</v>
      </c>
      <c r="E1414" s="41" t="s">
        <v>485</v>
      </c>
      <c r="F1414" s="41" t="s">
        <v>485</v>
      </c>
      <c r="G1414" s="7" t="s">
        <v>300</v>
      </c>
      <c r="H1414" s="7">
        <v>7</v>
      </c>
      <c r="I1414" s="10"/>
      <c r="K1414" s="10">
        <v>6</v>
      </c>
      <c r="L1414" s="43">
        <v>32</v>
      </c>
      <c r="M1414" s="43">
        <v>32</v>
      </c>
      <c r="N1414" s="12" t="s">
        <v>1216</v>
      </c>
      <c r="O1414" s="47">
        <v>60</v>
      </c>
      <c r="P1414" s="47"/>
      <c r="Q1414" s="47"/>
      <c r="R1414" s="47">
        <v>60</v>
      </c>
      <c r="S1414" s="11">
        <v>6</v>
      </c>
      <c r="U1414" s="47">
        <v>60</v>
      </c>
      <c r="V1414" s="45">
        <v>1</v>
      </c>
      <c r="X1414" s="32">
        <v>13</v>
      </c>
      <c r="Y1414" s="54" t="s">
        <v>35</v>
      </c>
    </row>
    <row r="1415" spans="1:25" ht="23.1" customHeight="1" x14ac:dyDescent="0.25">
      <c r="A1415" s="20" t="s">
        <v>1002</v>
      </c>
      <c r="B1415" s="7" t="s">
        <v>113</v>
      </c>
      <c r="C1415" s="7">
        <v>45</v>
      </c>
      <c r="D1415" s="7" t="s">
        <v>484</v>
      </c>
      <c r="E1415" s="41" t="s">
        <v>485</v>
      </c>
      <c r="F1415" s="41" t="s">
        <v>485</v>
      </c>
      <c r="G1415" s="7" t="s">
        <v>300</v>
      </c>
      <c r="H1415" s="7">
        <v>3</v>
      </c>
      <c r="I1415" s="10"/>
      <c r="K1415" s="10">
        <v>1</v>
      </c>
      <c r="L1415" s="43">
        <v>32</v>
      </c>
      <c r="M1415" s="43">
        <v>32</v>
      </c>
      <c r="N1415" s="12" t="s">
        <v>199</v>
      </c>
      <c r="O1415" s="47">
        <v>60</v>
      </c>
      <c r="P1415" s="47"/>
      <c r="Q1415" s="47"/>
      <c r="R1415" s="47">
        <v>60</v>
      </c>
      <c r="S1415" s="11">
        <v>1</v>
      </c>
      <c r="U1415" s="47">
        <v>120</v>
      </c>
      <c r="V1415" s="45">
        <v>1</v>
      </c>
      <c r="X1415" s="32">
        <v>4</v>
      </c>
      <c r="Y1415" s="54" t="s">
        <v>35</v>
      </c>
    </row>
    <row r="1416" spans="1:25" ht="23.1" customHeight="1" x14ac:dyDescent="0.25">
      <c r="A1416" s="20" t="s">
        <v>1002</v>
      </c>
      <c r="B1416" s="7" t="s">
        <v>113</v>
      </c>
      <c r="C1416" s="7">
        <v>45</v>
      </c>
      <c r="D1416" s="7" t="s">
        <v>484</v>
      </c>
      <c r="E1416" s="41" t="s">
        <v>485</v>
      </c>
      <c r="F1416" s="41" t="s">
        <v>485</v>
      </c>
      <c r="G1416" s="7" t="s">
        <v>300</v>
      </c>
      <c r="H1416" s="7">
        <v>6</v>
      </c>
      <c r="I1416" s="10"/>
      <c r="K1416" s="10">
        <v>6</v>
      </c>
      <c r="L1416" s="43">
        <v>32</v>
      </c>
      <c r="M1416" s="43">
        <v>32</v>
      </c>
      <c r="N1416" s="12" t="s">
        <v>1216</v>
      </c>
      <c r="O1416" s="47">
        <v>60</v>
      </c>
      <c r="P1416" s="47"/>
      <c r="Q1416" s="47"/>
      <c r="R1416" s="47">
        <v>60</v>
      </c>
      <c r="S1416" s="11">
        <v>6</v>
      </c>
      <c r="U1416" s="47">
        <v>60</v>
      </c>
      <c r="V1416" s="45">
        <v>1</v>
      </c>
      <c r="X1416" s="32">
        <v>13</v>
      </c>
      <c r="Y1416" s="54" t="s">
        <v>35</v>
      </c>
    </row>
    <row r="1417" spans="1:25" ht="23.1" customHeight="1" x14ac:dyDescent="0.25">
      <c r="A1417" s="20" t="s">
        <v>1002</v>
      </c>
      <c r="B1417" s="7" t="s">
        <v>113</v>
      </c>
      <c r="C1417" s="7">
        <v>100</v>
      </c>
      <c r="D1417" s="7" t="s">
        <v>937</v>
      </c>
      <c r="E1417" s="41" t="s">
        <v>938</v>
      </c>
      <c r="F1417" s="41" t="s">
        <v>938</v>
      </c>
      <c r="G1417" s="7" t="s">
        <v>939</v>
      </c>
      <c r="H1417" s="7">
        <v>40</v>
      </c>
      <c r="I1417" s="10" t="s">
        <v>2173</v>
      </c>
      <c r="J1417" s="10">
        <v>0.3</v>
      </c>
      <c r="K1417" s="10">
        <v>0.3</v>
      </c>
      <c r="L1417" s="43">
        <v>32</v>
      </c>
      <c r="M1417" s="43">
        <v>32</v>
      </c>
      <c r="N1417" s="12" t="s">
        <v>128</v>
      </c>
      <c r="P1417" s="10">
        <v>840</v>
      </c>
      <c r="Q1417" s="10">
        <v>60</v>
      </c>
      <c r="T1417" s="10">
        <v>120</v>
      </c>
      <c r="V1417" s="45"/>
      <c r="X1417" s="29">
        <v>4.2</v>
      </c>
      <c r="Y1417" s="54" t="s">
        <v>35</v>
      </c>
    </row>
    <row r="1418" spans="1:25" ht="23.1" customHeight="1" x14ac:dyDescent="0.25">
      <c r="A1418" s="20" t="s">
        <v>1002</v>
      </c>
      <c r="B1418" s="7" t="s">
        <v>113</v>
      </c>
      <c r="C1418" s="7">
        <v>100</v>
      </c>
      <c r="D1418" s="7" t="s">
        <v>1191</v>
      </c>
      <c r="E1418" s="41" t="s">
        <v>1192</v>
      </c>
      <c r="F1418" s="41" t="s">
        <v>1192</v>
      </c>
      <c r="G1418" s="7" t="s">
        <v>300</v>
      </c>
      <c r="H1418" s="7">
        <v>5</v>
      </c>
      <c r="I1418" s="10" t="s">
        <v>1930</v>
      </c>
      <c r="J1418" s="10">
        <v>4</v>
      </c>
      <c r="K1418" s="10">
        <v>10</v>
      </c>
      <c r="L1418" s="43">
        <v>32</v>
      </c>
      <c r="M1418" s="43">
        <v>32</v>
      </c>
      <c r="N1418" s="12" t="s">
        <v>1217</v>
      </c>
      <c r="P1418" s="10">
        <v>150</v>
      </c>
      <c r="Q1418" s="10">
        <v>60</v>
      </c>
      <c r="S1418" s="11">
        <v>10</v>
      </c>
      <c r="T1418" s="10">
        <v>60</v>
      </c>
      <c r="V1418" s="45"/>
      <c r="X1418" s="29">
        <v>35</v>
      </c>
      <c r="Y1418" s="54" t="s">
        <v>35</v>
      </c>
    </row>
    <row r="1419" spans="1:25" ht="23.1" customHeight="1" x14ac:dyDescent="0.25">
      <c r="A1419" s="20" t="s">
        <v>1002</v>
      </c>
      <c r="B1419" s="7" t="s">
        <v>113</v>
      </c>
      <c r="C1419" s="7">
        <v>82</v>
      </c>
      <c r="D1419" s="7" t="s">
        <v>484</v>
      </c>
      <c r="E1419" s="41" t="s">
        <v>485</v>
      </c>
      <c r="F1419" s="41" t="s">
        <v>485</v>
      </c>
      <c r="G1419" s="7" t="s">
        <v>300</v>
      </c>
      <c r="H1419" s="7">
        <v>15</v>
      </c>
      <c r="I1419" s="10" t="s">
        <v>2383</v>
      </c>
      <c r="J1419" s="10">
        <v>1</v>
      </c>
      <c r="K1419" s="10">
        <v>1</v>
      </c>
      <c r="L1419" s="43">
        <v>32</v>
      </c>
      <c r="M1419" s="43">
        <v>32</v>
      </c>
      <c r="N1419" s="12" t="s">
        <v>164</v>
      </c>
      <c r="P1419" s="10">
        <v>120</v>
      </c>
      <c r="Q1419" s="10">
        <v>60</v>
      </c>
      <c r="S1419" s="11">
        <v>1</v>
      </c>
      <c r="T1419" s="10">
        <v>90</v>
      </c>
      <c r="V1419" s="45"/>
      <c r="X1419" s="29">
        <v>3</v>
      </c>
      <c r="Y1419" s="54" t="s">
        <v>35</v>
      </c>
    </row>
    <row r="1420" spans="1:25" ht="23.1" customHeight="1" x14ac:dyDescent="0.25">
      <c r="A1420" s="20" t="s">
        <v>1002</v>
      </c>
      <c r="B1420" s="7" t="s">
        <v>113</v>
      </c>
      <c r="C1420" s="7">
        <v>82</v>
      </c>
      <c r="D1420" s="7" t="s">
        <v>484</v>
      </c>
      <c r="E1420" s="41" t="s">
        <v>485</v>
      </c>
      <c r="F1420" s="41" t="s">
        <v>485</v>
      </c>
      <c r="G1420" s="7" t="s">
        <v>300</v>
      </c>
      <c r="H1420" s="7">
        <v>20</v>
      </c>
      <c r="I1420" s="10" t="s">
        <v>2135</v>
      </c>
      <c r="J1420" s="10">
        <v>1.3</v>
      </c>
      <c r="K1420" s="10">
        <v>1.5</v>
      </c>
      <c r="L1420" s="43">
        <v>32</v>
      </c>
      <c r="M1420" s="43">
        <v>32</v>
      </c>
      <c r="N1420" s="12" t="s">
        <v>1113</v>
      </c>
      <c r="P1420" s="10">
        <v>420</v>
      </c>
      <c r="Q1420" s="10">
        <v>60</v>
      </c>
      <c r="S1420" s="11">
        <v>1</v>
      </c>
      <c r="T1420" s="10">
        <v>90</v>
      </c>
      <c r="V1420" s="45"/>
      <c r="X1420" s="29">
        <v>11.5</v>
      </c>
      <c r="Y1420" s="54" t="s">
        <v>35</v>
      </c>
    </row>
    <row r="1421" spans="1:25" ht="23.1" customHeight="1" x14ac:dyDescent="0.25">
      <c r="A1421" s="20" t="s">
        <v>1002</v>
      </c>
      <c r="B1421" s="7" t="s">
        <v>113</v>
      </c>
      <c r="C1421" s="7">
        <v>98</v>
      </c>
      <c r="D1421" s="7" t="s">
        <v>481</v>
      </c>
      <c r="E1421" s="41" t="s">
        <v>482</v>
      </c>
      <c r="F1421" s="41" t="s">
        <v>482</v>
      </c>
      <c r="G1421" s="7" t="s">
        <v>118</v>
      </c>
      <c r="H1421" s="7">
        <v>35</v>
      </c>
      <c r="I1421" s="10" t="s">
        <v>2174</v>
      </c>
      <c r="J1421" s="10">
        <v>0.1</v>
      </c>
      <c r="K1421" s="10">
        <v>0.1</v>
      </c>
      <c r="L1421" s="43">
        <v>32</v>
      </c>
      <c r="M1421" s="43">
        <v>32</v>
      </c>
      <c r="N1421" s="12" t="s">
        <v>219</v>
      </c>
      <c r="P1421" s="10">
        <v>800</v>
      </c>
      <c r="Q1421" s="10">
        <v>60</v>
      </c>
      <c r="T1421" s="10">
        <v>120</v>
      </c>
      <c r="V1421" s="45"/>
      <c r="X1421" s="29">
        <v>1.3</v>
      </c>
      <c r="Y1421" s="54" t="s">
        <v>35</v>
      </c>
    </row>
    <row r="1422" spans="1:25" ht="23.1" customHeight="1" x14ac:dyDescent="0.25">
      <c r="A1422" s="20" t="s">
        <v>1002</v>
      </c>
      <c r="B1422" s="7" t="s">
        <v>113</v>
      </c>
      <c r="C1422" s="7">
        <v>104</v>
      </c>
      <c r="D1422" s="7" t="s">
        <v>298</v>
      </c>
      <c r="E1422" s="41" t="s">
        <v>299</v>
      </c>
      <c r="F1422" s="41" t="s">
        <v>299</v>
      </c>
      <c r="G1422" s="7" t="s">
        <v>300</v>
      </c>
      <c r="H1422" s="7">
        <v>8</v>
      </c>
      <c r="I1422" s="10"/>
      <c r="K1422" s="10">
        <v>4</v>
      </c>
      <c r="L1422" s="43">
        <v>32</v>
      </c>
      <c r="M1422" s="43">
        <v>32</v>
      </c>
      <c r="N1422" s="12" t="s">
        <v>1215</v>
      </c>
      <c r="O1422" s="47">
        <v>60</v>
      </c>
      <c r="P1422" s="47"/>
      <c r="Q1422" s="47"/>
      <c r="R1422" s="47">
        <v>60</v>
      </c>
      <c r="S1422" s="11">
        <v>4</v>
      </c>
      <c r="U1422" s="47">
        <v>60</v>
      </c>
      <c r="V1422" s="45">
        <v>1</v>
      </c>
      <c r="X1422" s="32">
        <v>9</v>
      </c>
      <c r="Y1422" s="54" t="s">
        <v>35</v>
      </c>
    </row>
    <row r="1423" spans="1:25" ht="23.1" customHeight="1" x14ac:dyDescent="0.25">
      <c r="A1423" s="20" t="s">
        <v>1002</v>
      </c>
      <c r="B1423" s="7" t="s">
        <v>113</v>
      </c>
      <c r="C1423" s="7">
        <v>104</v>
      </c>
      <c r="D1423" s="7" t="s">
        <v>298</v>
      </c>
      <c r="E1423" s="41" t="s">
        <v>299</v>
      </c>
      <c r="F1423" s="41" t="s">
        <v>299</v>
      </c>
      <c r="G1423" s="7" t="s">
        <v>300</v>
      </c>
      <c r="H1423" s="7">
        <v>6</v>
      </c>
      <c r="I1423" s="10"/>
      <c r="K1423" s="10">
        <v>4</v>
      </c>
      <c r="L1423" s="43">
        <v>32</v>
      </c>
      <c r="M1423" s="43">
        <v>32</v>
      </c>
      <c r="N1423" s="12" t="s">
        <v>1215</v>
      </c>
      <c r="O1423" s="47">
        <v>60</v>
      </c>
      <c r="P1423" s="47"/>
      <c r="Q1423" s="47"/>
      <c r="R1423" s="47">
        <v>60</v>
      </c>
      <c r="S1423" s="11">
        <v>4</v>
      </c>
      <c r="U1423" s="47">
        <v>60</v>
      </c>
      <c r="V1423" s="45">
        <v>1</v>
      </c>
      <c r="X1423" s="32">
        <v>9</v>
      </c>
      <c r="Y1423" s="54" t="s">
        <v>35</v>
      </c>
    </row>
    <row r="1424" spans="1:25" ht="23.1" customHeight="1" x14ac:dyDescent="0.25">
      <c r="A1424" s="20" t="s">
        <v>1002</v>
      </c>
      <c r="B1424" s="7" t="s">
        <v>113</v>
      </c>
      <c r="C1424" s="7">
        <v>19</v>
      </c>
      <c r="D1424" s="7" t="s">
        <v>395</v>
      </c>
      <c r="E1424" s="41" t="s">
        <v>396</v>
      </c>
      <c r="F1424" s="41" t="e">
        <v>#N/A</v>
      </c>
      <c r="G1424" s="7" t="s">
        <v>300</v>
      </c>
      <c r="H1424" s="7">
        <v>30</v>
      </c>
      <c r="I1424" s="10" t="s">
        <v>2193</v>
      </c>
      <c r="J1424" s="10">
        <v>1</v>
      </c>
      <c r="K1424" s="10">
        <v>1.1000000000000001</v>
      </c>
      <c r="L1424" s="43">
        <v>32</v>
      </c>
      <c r="M1424" s="43">
        <v>32</v>
      </c>
      <c r="N1424" s="12" t="s">
        <v>722</v>
      </c>
      <c r="P1424" s="10">
        <v>630</v>
      </c>
      <c r="Q1424" s="10">
        <v>90</v>
      </c>
      <c r="S1424" s="11">
        <v>1</v>
      </c>
      <c r="T1424" s="10">
        <v>90</v>
      </c>
      <c r="U1424" s="47">
        <v>60</v>
      </c>
      <c r="V1424" s="45"/>
      <c r="X1424" s="29">
        <v>13.1</v>
      </c>
      <c r="Y1424" s="54" t="s">
        <v>17</v>
      </c>
    </row>
    <row r="1425" spans="1:25" ht="23.1" customHeight="1" x14ac:dyDescent="0.25">
      <c r="A1425" s="20" t="s">
        <v>1002</v>
      </c>
      <c r="B1425" s="7" t="s">
        <v>113</v>
      </c>
      <c r="C1425" s="7">
        <v>44</v>
      </c>
      <c r="D1425" s="7" t="s">
        <v>266</v>
      </c>
      <c r="E1425" s="41" t="s">
        <v>267</v>
      </c>
      <c r="F1425" s="41" t="s">
        <v>267</v>
      </c>
      <c r="G1425" s="7" t="s">
        <v>118</v>
      </c>
      <c r="H1425" s="7">
        <v>55</v>
      </c>
      <c r="I1425" s="10" t="s">
        <v>2166</v>
      </c>
      <c r="J1425" s="10">
        <v>0.6</v>
      </c>
      <c r="K1425" s="10">
        <v>0.6</v>
      </c>
      <c r="L1425" s="43">
        <v>32</v>
      </c>
      <c r="M1425" s="43">
        <v>32</v>
      </c>
      <c r="N1425" s="12" t="s">
        <v>429</v>
      </c>
      <c r="P1425" s="10">
        <v>1260</v>
      </c>
      <c r="Q1425" s="10">
        <v>90</v>
      </c>
      <c r="S1425" s="11">
        <v>1</v>
      </c>
      <c r="T1425" s="10">
        <v>60</v>
      </c>
      <c r="V1425" s="45"/>
      <c r="X1425" s="29">
        <v>14.1</v>
      </c>
      <c r="Y1425" s="54" t="s">
        <v>64</v>
      </c>
    </row>
    <row r="1426" spans="1:25" ht="23.1" customHeight="1" x14ac:dyDescent="0.25">
      <c r="A1426" s="20" t="s">
        <v>1002</v>
      </c>
      <c r="B1426" s="7" t="s">
        <v>113</v>
      </c>
      <c r="C1426" s="7">
        <v>97</v>
      </c>
      <c r="D1426" s="7" t="s">
        <v>1076</v>
      </c>
      <c r="E1426" s="41" t="s">
        <v>1065</v>
      </c>
      <c r="F1426" s="41" t="s">
        <v>1065</v>
      </c>
      <c r="G1426" s="7" t="s">
        <v>250</v>
      </c>
      <c r="H1426" s="7">
        <v>65</v>
      </c>
      <c r="I1426" s="10" t="s">
        <v>2184</v>
      </c>
      <c r="J1426" s="10">
        <v>1</v>
      </c>
      <c r="K1426" s="10">
        <v>3</v>
      </c>
      <c r="L1426" s="43">
        <v>32</v>
      </c>
      <c r="M1426" s="43">
        <v>32</v>
      </c>
      <c r="N1426" s="12" t="s">
        <v>1165</v>
      </c>
      <c r="P1426" s="10">
        <v>60</v>
      </c>
      <c r="Q1426" s="10">
        <v>60</v>
      </c>
      <c r="S1426" s="11">
        <v>3</v>
      </c>
      <c r="T1426" s="10">
        <v>60</v>
      </c>
      <c r="V1426" s="45"/>
      <c r="X1426" s="29">
        <v>6</v>
      </c>
      <c r="Y1426" s="54" t="s">
        <v>39</v>
      </c>
    </row>
    <row r="1427" spans="1:25" ht="23.1" customHeight="1" x14ac:dyDescent="0.25">
      <c r="A1427" s="20" t="s">
        <v>1002</v>
      </c>
      <c r="B1427" s="7" t="s">
        <v>113</v>
      </c>
      <c r="C1427" s="7">
        <v>101</v>
      </c>
      <c r="D1427" s="7" t="s">
        <v>1099</v>
      </c>
      <c r="E1427" s="41" t="s">
        <v>760</v>
      </c>
      <c r="F1427" s="41" t="e">
        <v>#N/A</v>
      </c>
      <c r="G1427" s="7" t="s">
        <v>300</v>
      </c>
      <c r="H1427" s="7">
        <v>40</v>
      </c>
      <c r="I1427" s="10" t="s">
        <v>1969</v>
      </c>
      <c r="J1427" s="10">
        <v>2</v>
      </c>
      <c r="K1427" s="10">
        <v>2.8</v>
      </c>
      <c r="L1427" s="43">
        <v>32</v>
      </c>
      <c r="M1427" s="43">
        <v>32</v>
      </c>
      <c r="N1427" s="12" t="s">
        <v>1120</v>
      </c>
      <c r="P1427" s="10">
        <v>330</v>
      </c>
      <c r="Q1427" s="10">
        <v>60</v>
      </c>
      <c r="S1427" s="11">
        <v>3</v>
      </c>
      <c r="T1427" s="10">
        <v>120</v>
      </c>
      <c r="V1427" s="45"/>
      <c r="X1427" s="29">
        <v>18.399999999999999</v>
      </c>
      <c r="Y1427" s="54" t="s">
        <v>47</v>
      </c>
    </row>
    <row r="1428" spans="1:25" ht="23.1" customHeight="1" x14ac:dyDescent="0.25">
      <c r="A1428" s="20" t="s">
        <v>1002</v>
      </c>
      <c r="B1428" s="7" t="s">
        <v>113</v>
      </c>
      <c r="C1428" s="7">
        <v>105</v>
      </c>
      <c r="D1428" s="7" t="s">
        <v>1176</v>
      </c>
      <c r="E1428" s="41" t="s">
        <v>1098</v>
      </c>
      <c r="F1428" s="41" t="s">
        <v>1098</v>
      </c>
      <c r="G1428" s="7" t="s">
        <v>250</v>
      </c>
      <c r="H1428" s="7">
        <v>50</v>
      </c>
      <c r="I1428" s="10" t="s">
        <v>2185</v>
      </c>
      <c r="J1428" s="10">
        <v>0.6</v>
      </c>
      <c r="K1428" s="10">
        <v>0.6</v>
      </c>
      <c r="L1428" s="43">
        <v>32</v>
      </c>
      <c r="M1428" s="43">
        <v>32</v>
      </c>
      <c r="N1428" s="12" t="s">
        <v>429</v>
      </c>
      <c r="P1428" s="10">
        <v>1080</v>
      </c>
      <c r="Q1428" s="10">
        <v>60</v>
      </c>
      <c r="S1428" s="11">
        <v>1</v>
      </c>
      <c r="T1428" s="10">
        <v>120</v>
      </c>
      <c r="V1428" s="45"/>
      <c r="X1428" s="29">
        <v>11.8</v>
      </c>
      <c r="Y1428" s="54" t="s">
        <v>9</v>
      </c>
    </row>
    <row r="1429" spans="1:25" ht="23.1" customHeight="1" x14ac:dyDescent="0.25">
      <c r="A1429" s="20" t="s">
        <v>1002</v>
      </c>
      <c r="B1429" s="7" t="s">
        <v>113</v>
      </c>
      <c r="C1429" s="7">
        <v>99</v>
      </c>
      <c r="D1429" s="7" t="s">
        <v>787</v>
      </c>
      <c r="E1429" s="41" t="s">
        <v>788</v>
      </c>
      <c r="F1429" s="41" t="s">
        <v>788</v>
      </c>
      <c r="G1429" s="7" t="s">
        <v>123</v>
      </c>
      <c r="H1429" s="7">
        <v>55</v>
      </c>
      <c r="I1429" s="10" t="s">
        <v>2459</v>
      </c>
      <c r="J1429" s="10">
        <v>7</v>
      </c>
      <c r="K1429" s="10">
        <v>10</v>
      </c>
      <c r="L1429" s="43">
        <v>32</v>
      </c>
      <c r="M1429" s="43">
        <v>32</v>
      </c>
      <c r="N1429" s="12" t="s">
        <v>1218</v>
      </c>
      <c r="P1429" s="10">
        <v>100</v>
      </c>
      <c r="Q1429" s="10">
        <v>60</v>
      </c>
      <c r="S1429" s="11">
        <v>10</v>
      </c>
      <c r="T1429" s="10">
        <v>90</v>
      </c>
      <c r="V1429" s="45">
        <v>1</v>
      </c>
      <c r="X1429" s="29">
        <v>28.2</v>
      </c>
      <c r="Y1429" s="54" t="s">
        <v>29</v>
      </c>
    </row>
    <row r="1430" spans="1:25" ht="23.1" customHeight="1" x14ac:dyDescent="0.25">
      <c r="A1430" s="20" t="s">
        <v>1002</v>
      </c>
      <c r="B1430" s="7" t="s">
        <v>113</v>
      </c>
      <c r="C1430" s="7">
        <v>103</v>
      </c>
      <c r="D1430" s="7" t="s">
        <v>1152</v>
      </c>
      <c r="E1430" s="41" t="s">
        <v>1149</v>
      </c>
      <c r="F1430" s="41" t="s">
        <v>1149</v>
      </c>
      <c r="G1430" s="7" t="s">
        <v>300</v>
      </c>
      <c r="H1430" s="7">
        <v>10</v>
      </c>
      <c r="I1430" s="10" t="s">
        <v>2176</v>
      </c>
      <c r="J1430" s="10">
        <v>0.5</v>
      </c>
      <c r="K1430" s="10">
        <v>0.2</v>
      </c>
      <c r="L1430" s="43">
        <v>32</v>
      </c>
      <c r="M1430" s="43">
        <v>32</v>
      </c>
      <c r="N1430" s="12" t="s">
        <v>1219</v>
      </c>
      <c r="P1430" s="10">
        <v>480</v>
      </c>
      <c r="Q1430" s="10">
        <v>120</v>
      </c>
      <c r="S1430" s="11">
        <v>1</v>
      </c>
      <c r="T1430" s="10">
        <v>120</v>
      </c>
      <c r="V1430" s="45"/>
      <c r="X1430" s="29">
        <v>3.6</v>
      </c>
      <c r="Y1430" s="54" t="s">
        <v>61</v>
      </c>
    </row>
    <row r="1431" spans="1:25" ht="23.1" customHeight="1" x14ac:dyDescent="0.25">
      <c r="A1431" s="20" t="s">
        <v>1002</v>
      </c>
      <c r="B1431" s="7" t="s">
        <v>113</v>
      </c>
      <c r="C1431" s="7">
        <v>103</v>
      </c>
      <c r="D1431" s="7" t="s">
        <v>1148</v>
      </c>
      <c r="E1431" s="41" t="s">
        <v>1149</v>
      </c>
      <c r="F1431" s="41" t="s">
        <v>1149</v>
      </c>
      <c r="G1431" s="7" t="s">
        <v>300</v>
      </c>
      <c r="H1431" s="7">
        <v>10</v>
      </c>
      <c r="I1431" s="10" t="s">
        <v>2176</v>
      </c>
      <c r="J1431" s="10">
        <v>0.5</v>
      </c>
      <c r="K1431" s="10">
        <v>0.9</v>
      </c>
      <c r="L1431" s="43">
        <v>32</v>
      </c>
      <c r="M1431" s="43">
        <v>32</v>
      </c>
      <c r="N1431" s="12" t="s">
        <v>1219</v>
      </c>
      <c r="P1431" s="10">
        <v>480</v>
      </c>
      <c r="Q1431" s="10">
        <v>120</v>
      </c>
      <c r="S1431" s="11">
        <v>1</v>
      </c>
      <c r="T1431" s="10">
        <v>120</v>
      </c>
      <c r="V1431" s="45">
        <v>1</v>
      </c>
      <c r="X1431" s="29">
        <v>11.2</v>
      </c>
      <c r="Y1431" s="54" t="s">
        <v>61</v>
      </c>
    </row>
    <row r="1432" spans="1:25" ht="23.1" customHeight="1" x14ac:dyDescent="0.25">
      <c r="A1432" s="20" t="s">
        <v>1002</v>
      </c>
      <c r="B1432" s="7" t="s">
        <v>110</v>
      </c>
      <c r="C1432" s="7">
        <v>99</v>
      </c>
      <c r="D1432" s="7" t="s">
        <v>830</v>
      </c>
      <c r="E1432" s="41" t="s">
        <v>788</v>
      </c>
      <c r="F1432" s="41" t="s">
        <v>788</v>
      </c>
      <c r="G1432" s="7" t="s">
        <v>123</v>
      </c>
      <c r="H1432" s="7">
        <v>55</v>
      </c>
      <c r="I1432" s="10" t="s">
        <v>2194</v>
      </c>
      <c r="J1432" s="10">
        <v>5</v>
      </c>
      <c r="K1432" s="10">
        <v>9</v>
      </c>
      <c r="L1432" s="43">
        <v>25</v>
      </c>
      <c r="M1432" s="43">
        <v>25</v>
      </c>
      <c r="N1432" s="12" t="s">
        <v>1208</v>
      </c>
      <c r="P1432" s="10">
        <v>100</v>
      </c>
      <c r="Q1432" s="10">
        <v>60</v>
      </c>
      <c r="S1432" s="11">
        <v>9</v>
      </c>
      <c r="T1432" s="10">
        <v>90</v>
      </c>
      <c r="V1432" s="45">
        <v>1</v>
      </c>
      <c r="X1432" s="29">
        <v>25.5</v>
      </c>
      <c r="Y1432" s="54" t="s">
        <v>21</v>
      </c>
    </row>
    <row r="1433" spans="1:25" ht="23.1" customHeight="1" x14ac:dyDescent="0.25">
      <c r="A1433" s="20" t="s">
        <v>1002</v>
      </c>
      <c r="B1433" s="7" t="s">
        <v>110</v>
      </c>
      <c r="C1433" s="7">
        <v>97</v>
      </c>
      <c r="D1433" s="7" t="s">
        <v>1076</v>
      </c>
      <c r="E1433" s="41" t="s">
        <v>1065</v>
      </c>
      <c r="F1433" s="41" t="s">
        <v>1065</v>
      </c>
      <c r="G1433" s="7" t="s">
        <v>250</v>
      </c>
      <c r="H1433" s="7">
        <v>65</v>
      </c>
      <c r="I1433" s="10" t="s">
        <v>2184</v>
      </c>
      <c r="J1433" s="10">
        <v>2</v>
      </c>
      <c r="K1433" s="10">
        <v>2</v>
      </c>
      <c r="L1433" s="43">
        <v>25</v>
      </c>
      <c r="M1433" s="43">
        <v>25</v>
      </c>
      <c r="N1433" s="12" t="s">
        <v>1077</v>
      </c>
      <c r="P1433" s="10">
        <v>60</v>
      </c>
      <c r="Q1433" s="10">
        <v>60</v>
      </c>
      <c r="S1433" s="11">
        <v>2</v>
      </c>
      <c r="T1433" s="10">
        <v>60</v>
      </c>
      <c r="V1433" s="45">
        <v>1</v>
      </c>
      <c r="X1433" s="29">
        <v>5</v>
      </c>
      <c r="Y1433" s="54" t="s">
        <v>1</v>
      </c>
    </row>
    <row r="1434" spans="1:25" ht="23.1" customHeight="1" x14ac:dyDescent="0.25">
      <c r="A1434" s="20" t="s">
        <v>1002</v>
      </c>
      <c r="B1434" s="7" t="s">
        <v>110</v>
      </c>
      <c r="C1434" s="7">
        <v>97</v>
      </c>
      <c r="D1434" s="7" t="s">
        <v>1064</v>
      </c>
      <c r="E1434" s="41" t="s">
        <v>1065</v>
      </c>
      <c r="F1434" s="41" t="s">
        <v>1065</v>
      </c>
      <c r="G1434" s="7" t="s">
        <v>250</v>
      </c>
      <c r="H1434" s="7">
        <v>65</v>
      </c>
      <c r="I1434" s="10" t="s">
        <v>2184</v>
      </c>
      <c r="J1434" s="10">
        <v>5</v>
      </c>
      <c r="K1434" s="10">
        <v>2</v>
      </c>
      <c r="L1434" s="43">
        <v>25</v>
      </c>
      <c r="M1434" s="43">
        <v>25</v>
      </c>
      <c r="N1434" s="12" t="s">
        <v>186</v>
      </c>
      <c r="P1434" s="10">
        <v>60</v>
      </c>
      <c r="Q1434" s="10">
        <v>60</v>
      </c>
      <c r="T1434" s="10">
        <v>60</v>
      </c>
      <c r="V1434" s="45"/>
      <c r="X1434" s="29">
        <v>2</v>
      </c>
      <c r="Y1434" s="54" t="s">
        <v>1</v>
      </c>
    </row>
    <row r="1435" spans="1:25" ht="23.1" customHeight="1" x14ac:dyDescent="0.25">
      <c r="A1435" s="20" t="s">
        <v>1002</v>
      </c>
      <c r="B1435" s="7" t="s">
        <v>110</v>
      </c>
      <c r="C1435" s="7">
        <v>105</v>
      </c>
      <c r="D1435" s="7" t="s">
        <v>1176</v>
      </c>
      <c r="E1435" s="41" t="s">
        <v>1098</v>
      </c>
      <c r="F1435" s="41" t="s">
        <v>1098</v>
      </c>
      <c r="G1435" s="7" t="s">
        <v>250</v>
      </c>
      <c r="H1435" s="7">
        <v>50</v>
      </c>
      <c r="I1435" s="10" t="s">
        <v>2185</v>
      </c>
      <c r="J1435" s="10">
        <v>0.6</v>
      </c>
      <c r="K1435" s="10">
        <v>0.5</v>
      </c>
      <c r="L1435" s="43">
        <v>25</v>
      </c>
      <c r="M1435" s="43">
        <v>25</v>
      </c>
      <c r="N1435" s="12" t="s">
        <v>429</v>
      </c>
      <c r="P1435" s="10">
        <v>1080</v>
      </c>
      <c r="Q1435" s="10">
        <v>60</v>
      </c>
      <c r="T1435" s="10">
        <v>120</v>
      </c>
      <c r="V1435" s="45"/>
      <c r="X1435" s="29">
        <v>9</v>
      </c>
      <c r="Y1435" s="54" t="s">
        <v>28</v>
      </c>
    </row>
    <row r="1436" spans="1:25" ht="23.1" customHeight="1" x14ac:dyDescent="0.25">
      <c r="A1436" s="20" t="s">
        <v>1002</v>
      </c>
      <c r="B1436" s="7" t="s">
        <v>110</v>
      </c>
      <c r="C1436" s="7">
        <v>82</v>
      </c>
      <c r="D1436" s="7" t="s">
        <v>484</v>
      </c>
      <c r="E1436" s="41" t="s">
        <v>485</v>
      </c>
      <c r="F1436" s="41" t="s">
        <v>485</v>
      </c>
      <c r="G1436" s="7" t="s">
        <v>300</v>
      </c>
      <c r="H1436" s="7">
        <v>20</v>
      </c>
      <c r="I1436" s="10" t="s">
        <v>2135</v>
      </c>
      <c r="J1436" s="10">
        <v>1</v>
      </c>
      <c r="K1436" s="10">
        <v>1.7</v>
      </c>
      <c r="L1436" s="43">
        <v>25</v>
      </c>
      <c r="M1436" s="43">
        <v>25</v>
      </c>
      <c r="N1436" s="12" t="s">
        <v>319</v>
      </c>
      <c r="P1436" s="10">
        <v>420</v>
      </c>
      <c r="Q1436" s="10">
        <v>60</v>
      </c>
      <c r="S1436" s="11">
        <v>2</v>
      </c>
      <c r="T1436" s="10">
        <v>90</v>
      </c>
      <c r="V1436" s="45">
        <v>1</v>
      </c>
      <c r="X1436" s="29">
        <v>15.4</v>
      </c>
      <c r="Y1436" s="54" t="s">
        <v>56</v>
      </c>
    </row>
    <row r="1437" spans="1:25" ht="23.1" customHeight="1" x14ac:dyDescent="0.25">
      <c r="A1437" s="20" t="s">
        <v>1002</v>
      </c>
      <c r="B1437" s="7" t="s">
        <v>110</v>
      </c>
      <c r="C1437" s="7">
        <v>82</v>
      </c>
      <c r="D1437" s="7" t="s">
        <v>298</v>
      </c>
      <c r="E1437" s="41" t="s">
        <v>299</v>
      </c>
      <c r="F1437" s="41" t="s">
        <v>299</v>
      </c>
      <c r="G1437" s="7" t="s">
        <v>300</v>
      </c>
      <c r="H1437" s="7">
        <v>15</v>
      </c>
      <c r="I1437" s="10" t="s">
        <v>2134</v>
      </c>
      <c r="J1437" s="10">
        <v>1</v>
      </c>
      <c r="K1437" s="10">
        <v>2</v>
      </c>
      <c r="L1437" s="43">
        <v>25</v>
      </c>
      <c r="M1437" s="43">
        <v>25</v>
      </c>
      <c r="N1437" s="12" t="s">
        <v>319</v>
      </c>
      <c r="P1437" s="10">
        <v>120</v>
      </c>
      <c r="Q1437" s="10">
        <v>60</v>
      </c>
      <c r="S1437" s="11">
        <v>2</v>
      </c>
      <c r="T1437" s="10">
        <v>90</v>
      </c>
      <c r="V1437" s="45">
        <v>1</v>
      </c>
      <c r="X1437" s="29">
        <v>7.5</v>
      </c>
      <c r="Y1437" s="54" t="s">
        <v>56</v>
      </c>
    </row>
    <row r="1438" spans="1:25" ht="23.1" customHeight="1" x14ac:dyDescent="0.25">
      <c r="A1438" s="20" t="s">
        <v>1002</v>
      </c>
      <c r="B1438" s="7" t="s">
        <v>110</v>
      </c>
      <c r="C1438" s="7">
        <v>19</v>
      </c>
      <c r="D1438" s="7" t="s">
        <v>395</v>
      </c>
      <c r="E1438" s="41" t="s">
        <v>396</v>
      </c>
      <c r="F1438" s="41" t="e">
        <v>#N/A</v>
      </c>
      <c r="G1438" s="7" t="s">
        <v>300</v>
      </c>
      <c r="H1438" s="7">
        <v>30</v>
      </c>
      <c r="I1438" s="10" t="s">
        <v>2193</v>
      </c>
      <c r="J1438" s="10">
        <v>1</v>
      </c>
      <c r="K1438" s="10">
        <v>0.5</v>
      </c>
      <c r="L1438" s="43">
        <v>25</v>
      </c>
      <c r="M1438" s="43">
        <v>25</v>
      </c>
      <c r="N1438" s="12" t="s">
        <v>199</v>
      </c>
      <c r="P1438" s="10">
        <v>630</v>
      </c>
      <c r="Q1438" s="10">
        <v>90</v>
      </c>
      <c r="S1438" s="11">
        <v>1</v>
      </c>
      <c r="T1438" s="10">
        <v>90</v>
      </c>
      <c r="V1438" s="45">
        <v>1</v>
      </c>
      <c r="X1438" s="29">
        <v>8.3000000000000007</v>
      </c>
      <c r="Y1438" s="54" t="s">
        <v>11</v>
      </c>
    </row>
    <row r="1439" spans="1:25" ht="23.1" customHeight="1" x14ac:dyDescent="0.25">
      <c r="A1439" s="20" t="s">
        <v>1002</v>
      </c>
      <c r="B1439" s="7" t="s">
        <v>110</v>
      </c>
      <c r="C1439" s="7">
        <v>19</v>
      </c>
      <c r="D1439" s="7" t="s">
        <v>395</v>
      </c>
      <c r="E1439" s="41" t="s">
        <v>396</v>
      </c>
      <c r="F1439" s="41" t="e">
        <v>#N/A</v>
      </c>
      <c r="G1439" s="7" t="s">
        <v>300</v>
      </c>
      <c r="H1439" s="7">
        <v>25</v>
      </c>
      <c r="I1439" s="10" t="s">
        <v>1937</v>
      </c>
      <c r="K1439" s="10">
        <v>0.5</v>
      </c>
      <c r="L1439" s="43">
        <v>25</v>
      </c>
      <c r="M1439" s="43">
        <v>25</v>
      </c>
      <c r="N1439" s="12" t="s">
        <v>722</v>
      </c>
      <c r="P1439" s="10">
        <v>370</v>
      </c>
      <c r="Q1439" s="10">
        <v>90</v>
      </c>
      <c r="T1439" s="10">
        <v>60</v>
      </c>
      <c r="V1439" s="45"/>
      <c r="X1439" s="29">
        <v>3.1</v>
      </c>
      <c r="Y1439" s="54" t="s">
        <v>11</v>
      </c>
    </row>
    <row r="1440" spans="1:25" ht="23.1" customHeight="1" x14ac:dyDescent="0.25">
      <c r="A1440" s="20" t="s">
        <v>1002</v>
      </c>
      <c r="B1440" s="7" t="s">
        <v>110</v>
      </c>
      <c r="C1440" s="7">
        <v>103</v>
      </c>
      <c r="D1440" s="7" t="s">
        <v>1152</v>
      </c>
      <c r="E1440" s="41" t="s">
        <v>1149</v>
      </c>
      <c r="F1440" s="41" t="s">
        <v>1149</v>
      </c>
      <c r="G1440" s="7" t="s">
        <v>300</v>
      </c>
      <c r="H1440" s="7">
        <v>10</v>
      </c>
      <c r="I1440" s="10" t="s">
        <v>2176</v>
      </c>
      <c r="J1440" s="10">
        <v>1</v>
      </c>
      <c r="K1440" s="10">
        <v>1</v>
      </c>
      <c r="L1440" s="43">
        <v>25</v>
      </c>
      <c r="M1440" s="43">
        <v>25</v>
      </c>
      <c r="N1440" s="12" t="s">
        <v>1220</v>
      </c>
      <c r="P1440" s="10">
        <v>480</v>
      </c>
      <c r="Q1440" s="10">
        <v>120</v>
      </c>
      <c r="S1440" s="11">
        <v>1</v>
      </c>
      <c r="T1440" s="10">
        <v>120</v>
      </c>
      <c r="V1440" s="45"/>
      <c r="X1440" s="29">
        <v>10</v>
      </c>
      <c r="Y1440" s="54" t="s">
        <v>62</v>
      </c>
    </row>
    <row r="1441" spans="1:26" ht="23.1" customHeight="1" x14ac:dyDescent="0.25">
      <c r="A1441" s="20" t="s">
        <v>1221</v>
      </c>
      <c r="B1441" s="7" t="s">
        <v>110</v>
      </c>
      <c r="C1441" s="7">
        <v>99</v>
      </c>
      <c r="D1441" s="7" t="s">
        <v>787</v>
      </c>
      <c r="E1441" s="41" t="s">
        <v>788</v>
      </c>
      <c r="F1441" s="41" t="s">
        <v>788</v>
      </c>
      <c r="G1441" s="7" t="s">
        <v>123</v>
      </c>
      <c r="H1441" s="7">
        <v>55</v>
      </c>
      <c r="I1441" s="10" t="s">
        <v>2194</v>
      </c>
      <c r="J1441" s="10">
        <v>6</v>
      </c>
      <c r="K1441" s="10">
        <v>3</v>
      </c>
      <c r="L1441" s="43">
        <v>25</v>
      </c>
      <c r="M1441" s="43">
        <v>25</v>
      </c>
      <c r="N1441" s="12" t="s">
        <v>429</v>
      </c>
      <c r="P1441" s="10">
        <v>100</v>
      </c>
      <c r="Q1441" s="10">
        <v>60</v>
      </c>
      <c r="S1441" s="11">
        <v>3</v>
      </c>
      <c r="T1441" s="10">
        <v>90</v>
      </c>
      <c r="V1441" s="45"/>
      <c r="W1441" s="14">
        <v>2</v>
      </c>
      <c r="X1441" s="29">
        <v>10</v>
      </c>
      <c r="Y1441" s="54" t="s">
        <v>21</v>
      </c>
      <c r="Z1441" t="s">
        <v>1011</v>
      </c>
    </row>
    <row r="1442" spans="1:26" ht="23.1" customHeight="1" x14ac:dyDescent="0.25">
      <c r="A1442" s="20" t="s">
        <v>1221</v>
      </c>
      <c r="B1442" s="7" t="s">
        <v>110</v>
      </c>
      <c r="C1442" s="7">
        <v>99</v>
      </c>
      <c r="D1442" s="7" t="s">
        <v>1099</v>
      </c>
      <c r="E1442" s="41" t="s">
        <v>760</v>
      </c>
      <c r="F1442" s="41" t="e">
        <v>#N/A</v>
      </c>
      <c r="G1442" s="7" t="s">
        <v>300</v>
      </c>
      <c r="H1442" s="7">
        <v>5</v>
      </c>
      <c r="I1442" s="10" t="s">
        <v>2195</v>
      </c>
      <c r="J1442" s="10">
        <v>10</v>
      </c>
      <c r="K1442" s="10">
        <v>10</v>
      </c>
      <c r="L1442" s="43">
        <v>25</v>
      </c>
      <c r="M1442" s="43">
        <v>25</v>
      </c>
      <c r="N1442" s="12" t="s">
        <v>384</v>
      </c>
      <c r="P1442" s="10">
        <v>180</v>
      </c>
      <c r="Q1442" s="10">
        <v>60</v>
      </c>
      <c r="S1442" s="11">
        <v>10</v>
      </c>
      <c r="T1442" s="10">
        <v>60</v>
      </c>
      <c r="V1442" s="45">
        <v>1</v>
      </c>
      <c r="X1442" s="29">
        <v>41</v>
      </c>
      <c r="Y1442" s="54" t="s">
        <v>21</v>
      </c>
    </row>
    <row r="1443" spans="1:26" ht="23.1" customHeight="1" x14ac:dyDescent="0.25">
      <c r="A1443" s="20" t="s">
        <v>1221</v>
      </c>
      <c r="B1443" s="7" t="s">
        <v>110</v>
      </c>
      <c r="C1443" s="7">
        <v>97</v>
      </c>
      <c r="D1443" s="7" t="s">
        <v>1076</v>
      </c>
      <c r="E1443" s="41" t="s">
        <v>1065</v>
      </c>
      <c r="F1443" s="41" t="s">
        <v>1065</v>
      </c>
      <c r="G1443" s="7" t="s">
        <v>250</v>
      </c>
      <c r="H1443" s="7">
        <v>70</v>
      </c>
      <c r="I1443" s="10" t="s">
        <v>2101</v>
      </c>
      <c r="J1443" s="10">
        <v>1</v>
      </c>
      <c r="K1443" s="10">
        <v>1</v>
      </c>
      <c r="L1443" s="43">
        <v>25</v>
      </c>
      <c r="M1443" s="43">
        <v>25</v>
      </c>
      <c r="N1443" s="12" t="s">
        <v>292</v>
      </c>
      <c r="P1443" s="10">
        <v>90</v>
      </c>
      <c r="Q1443" s="10">
        <v>60</v>
      </c>
      <c r="S1443" s="11">
        <v>1</v>
      </c>
      <c r="T1443" s="10">
        <v>90</v>
      </c>
      <c r="V1443" s="45">
        <v>1</v>
      </c>
      <c r="X1443" s="29">
        <v>4</v>
      </c>
      <c r="Y1443" s="54" t="s">
        <v>1</v>
      </c>
    </row>
    <row r="1444" spans="1:26" ht="23.1" customHeight="1" x14ac:dyDescent="0.25">
      <c r="A1444" s="20" t="s">
        <v>1221</v>
      </c>
      <c r="B1444" s="7" t="s">
        <v>110</v>
      </c>
      <c r="C1444" s="7">
        <v>97</v>
      </c>
      <c r="D1444" s="7" t="s">
        <v>1064</v>
      </c>
      <c r="E1444" s="41" t="s">
        <v>1065</v>
      </c>
      <c r="F1444" s="41" t="s">
        <v>1065</v>
      </c>
      <c r="G1444" s="7" t="s">
        <v>250</v>
      </c>
      <c r="H1444" s="7">
        <v>70</v>
      </c>
      <c r="I1444" s="10" t="s">
        <v>2101</v>
      </c>
      <c r="J1444" s="10">
        <v>5</v>
      </c>
      <c r="K1444" s="10">
        <v>5</v>
      </c>
      <c r="L1444" s="43">
        <v>25</v>
      </c>
      <c r="M1444" s="43">
        <v>25</v>
      </c>
      <c r="N1444" s="12" t="s">
        <v>429</v>
      </c>
      <c r="P1444" s="10">
        <v>90</v>
      </c>
      <c r="Q1444" s="10">
        <v>60</v>
      </c>
      <c r="S1444" s="11">
        <v>5</v>
      </c>
      <c r="T1444" s="10">
        <v>90</v>
      </c>
      <c r="V1444" s="45">
        <v>1</v>
      </c>
      <c r="X1444" s="29">
        <v>14</v>
      </c>
      <c r="Y1444" s="54" t="s">
        <v>1</v>
      </c>
    </row>
    <row r="1445" spans="1:26" ht="23.1" customHeight="1" x14ac:dyDescent="0.25">
      <c r="A1445" s="20" t="s">
        <v>1221</v>
      </c>
      <c r="B1445" s="7" t="s">
        <v>110</v>
      </c>
      <c r="C1445" s="7">
        <v>105</v>
      </c>
      <c r="D1445" s="7" t="s">
        <v>1176</v>
      </c>
      <c r="E1445" s="41" t="s">
        <v>1098</v>
      </c>
      <c r="F1445" s="41" t="s">
        <v>1098</v>
      </c>
      <c r="G1445" s="7" t="s">
        <v>250</v>
      </c>
      <c r="H1445" s="7">
        <v>50</v>
      </c>
      <c r="I1445" s="10" t="s">
        <v>2185</v>
      </c>
      <c r="J1445" s="10">
        <v>0.6</v>
      </c>
      <c r="K1445" s="10">
        <v>0.6</v>
      </c>
      <c r="L1445" s="43">
        <v>25</v>
      </c>
      <c r="M1445" s="43">
        <v>25</v>
      </c>
      <c r="N1445" s="12" t="s">
        <v>429</v>
      </c>
      <c r="P1445" s="10">
        <v>1080</v>
      </c>
      <c r="Q1445" s="10">
        <v>60</v>
      </c>
      <c r="S1445" s="11">
        <v>1</v>
      </c>
      <c r="T1445" s="10">
        <v>120</v>
      </c>
      <c r="V1445" s="45"/>
      <c r="X1445" s="29">
        <v>11.8</v>
      </c>
      <c r="Y1445" s="54" t="s">
        <v>28</v>
      </c>
    </row>
    <row r="1446" spans="1:26" ht="23.1" customHeight="1" x14ac:dyDescent="0.25">
      <c r="A1446" s="20" t="s">
        <v>1221</v>
      </c>
      <c r="B1446" s="7" t="s">
        <v>110</v>
      </c>
      <c r="C1446" s="7">
        <v>82</v>
      </c>
      <c r="D1446" s="7" t="s">
        <v>484</v>
      </c>
      <c r="E1446" s="41" t="s">
        <v>485</v>
      </c>
      <c r="F1446" s="41" t="s">
        <v>485</v>
      </c>
      <c r="G1446" s="7" t="s">
        <v>300</v>
      </c>
      <c r="H1446" s="7">
        <v>25</v>
      </c>
      <c r="I1446" s="10" t="s">
        <v>2140</v>
      </c>
      <c r="J1446" s="10">
        <v>0.8</v>
      </c>
      <c r="K1446" s="10">
        <v>0.5</v>
      </c>
      <c r="L1446" s="43">
        <v>25</v>
      </c>
      <c r="M1446" s="43">
        <v>25</v>
      </c>
      <c r="N1446" s="12" t="s">
        <v>164</v>
      </c>
      <c r="P1446" s="10">
        <v>660</v>
      </c>
      <c r="Q1446" s="10">
        <v>60</v>
      </c>
      <c r="S1446" s="11">
        <v>1</v>
      </c>
      <c r="T1446" s="10">
        <v>180</v>
      </c>
      <c r="V1446" s="45">
        <v>1</v>
      </c>
      <c r="W1446" s="10">
        <v>2</v>
      </c>
      <c r="X1446" s="29">
        <v>11.5</v>
      </c>
      <c r="Y1446" s="54" t="s">
        <v>56</v>
      </c>
      <c r="Z1446" t="s">
        <v>1222</v>
      </c>
    </row>
    <row r="1447" spans="1:26" ht="23.1" customHeight="1" x14ac:dyDescent="0.25">
      <c r="A1447" s="20" t="s">
        <v>1221</v>
      </c>
      <c r="B1447" s="7" t="s">
        <v>110</v>
      </c>
      <c r="C1447" s="7">
        <v>19</v>
      </c>
      <c r="D1447" s="7" t="s">
        <v>395</v>
      </c>
      <c r="E1447" s="41" t="s">
        <v>396</v>
      </c>
      <c r="F1447" s="41" t="e">
        <v>#N/A</v>
      </c>
      <c r="G1447" s="7" t="s">
        <v>300</v>
      </c>
      <c r="H1447" s="7">
        <v>30</v>
      </c>
      <c r="I1447" s="10" t="s">
        <v>2193</v>
      </c>
      <c r="J1447" s="10">
        <v>0.5</v>
      </c>
      <c r="K1447" s="10">
        <v>0.4</v>
      </c>
      <c r="L1447" s="43">
        <v>25</v>
      </c>
      <c r="M1447" s="43">
        <v>25</v>
      </c>
      <c r="N1447" s="12" t="s">
        <v>722</v>
      </c>
      <c r="P1447" s="10">
        <v>630</v>
      </c>
      <c r="Q1447" s="10">
        <v>90</v>
      </c>
      <c r="T1447" s="10">
        <v>90</v>
      </c>
      <c r="V1447" s="45"/>
      <c r="X1447" s="29">
        <v>4.2</v>
      </c>
      <c r="Y1447" s="54" t="s">
        <v>11</v>
      </c>
    </row>
    <row r="1448" spans="1:26" ht="23.1" customHeight="1" x14ac:dyDescent="0.25">
      <c r="A1448" s="20" t="s">
        <v>1221</v>
      </c>
      <c r="B1448" s="7" t="s">
        <v>110</v>
      </c>
      <c r="C1448" s="7">
        <v>19</v>
      </c>
      <c r="D1448" s="7" t="s">
        <v>395</v>
      </c>
      <c r="E1448" s="41" t="s">
        <v>396</v>
      </c>
      <c r="F1448" s="41" t="e">
        <v>#N/A</v>
      </c>
      <c r="G1448" s="7" t="s">
        <v>300</v>
      </c>
      <c r="H1448" s="7">
        <v>20</v>
      </c>
      <c r="I1448" s="10" t="s">
        <v>1962</v>
      </c>
      <c r="J1448" s="10">
        <v>5</v>
      </c>
      <c r="K1448" s="10">
        <v>9</v>
      </c>
      <c r="L1448" s="43">
        <v>25</v>
      </c>
      <c r="M1448" s="43">
        <v>25</v>
      </c>
      <c r="N1448" s="12" t="s">
        <v>1223</v>
      </c>
      <c r="P1448" s="10">
        <v>60</v>
      </c>
      <c r="Q1448" s="10">
        <v>90</v>
      </c>
      <c r="S1448" s="11">
        <v>9</v>
      </c>
      <c r="T1448" s="10">
        <v>60</v>
      </c>
      <c r="V1448" s="45">
        <v>1</v>
      </c>
      <c r="X1448" s="29">
        <v>23.5</v>
      </c>
      <c r="Y1448" s="54" t="s">
        <v>11</v>
      </c>
    </row>
    <row r="1449" spans="1:26" ht="23.1" customHeight="1" x14ac:dyDescent="0.25">
      <c r="A1449" s="20" t="s">
        <v>1221</v>
      </c>
      <c r="B1449" s="7" t="s">
        <v>110</v>
      </c>
      <c r="C1449" s="7">
        <v>103</v>
      </c>
      <c r="D1449" s="7" t="s">
        <v>1148</v>
      </c>
      <c r="E1449" s="41" t="s">
        <v>1149</v>
      </c>
      <c r="F1449" s="41" t="s">
        <v>1149</v>
      </c>
      <c r="G1449" s="7" t="s">
        <v>300</v>
      </c>
      <c r="H1449" s="7">
        <v>10</v>
      </c>
      <c r="I1449" s="10" t="s">
        <v>2176</v>
      </c>
      <c r="J1449" s="10">
        <v>1</v>
      </c>
      <c r="K1449" s="10">
        <v>1</v>
      </c>
      <c r="L1449" s="43">
        <v>25</v>
      </c>
      <c r="M1449" s="43">
        <v>25</v>
      </c>
      <c r="N1449" s="12" t="s">
        <v>1153</v>
      </c>
      <c r="P1449" s="10">
        <v>480</v>
      </c>
      <c r="Q1449" s="10">
        <v>120</v>
      </c>
      <c r="S1449" s="11">
        <v>1</v>
      </c>
      <c r="T1449" s="10">
        <v>120</v>
      </c>
      <c r="V1449" s="45"/>
      <c r="X1449" s="29">
        <v>10</v>
      </c>
      <c r="Y1449" s="54" t="s">
        <v>62</v>
      </c>
    </row>
    <row r="1450" spans="1:26" ht="23.1" customHeight="1" x14ac:dyDescent="0.25">
      <c r="A1450" s="20" t="s">
        <v>1221</v>
      </c>
      <c r="B1450" s="7" t="s">
        <v>110</v>
      </c>
      <c r="C1450" s="7">
        <v>117</v>
      </c>
      <c r="D1450" s="7" t="s">
        <v>1081</v>
      </c>
      <c r="E1450" s="41" t="s">
        <v>1082</v>
      </c>
      <c r="F1450" s="41" t="s">
        <v>1082</v>
      </c>
      <c r="G1450" s="7" t="s">
        <v>123</v>
      </c>
      <c r="H1450" s="7">
        <v>30</v>
      </c>
      <c r="I1450" s="10" t="s">
        <v>1863</v>
      </c>
      <c r="K1450" s="10">
        <v>1.5</v>
      </c>
      <c r="L1450" s="43">
        <v>25</v>
      </c>
      <c r="M1450" s="43">
        <v>25</v>
      </c>
      <c r="N1450" s="12" t="s">
        <v>1196</v>
      </c>
      <c r="P1450" s="10">
        <v>240</v>
      </c>
      <c r="Q1450" s="10">
        <v>60</v>
      </c>
      <c r="S1450" s="11">
        <v>2</v>
      </c>
      <c r="T1450" s="10">
        <v>90</v>
      </c>
      <c r="V1450" s="45">
        <v>1</v>
      </c>
      <c r="W1450" s="10">
        <v>2</v>
      </c>
      <c r="X1450" s="29">
        <v>11.5</v>
      </c>
      <c r="Y1450" s="54" t="s">
        <v>32</v>
      </c>
      <c r="Z1450" t="s">
        <v>1224</v>
      </c>
    </row>
    <row r="1451" spans="1:26" ht="23.1" customHeight="1" x14ac:dyDescent="0.25">
      <c r="A1451" s="20" t="s">
        <v>1221</v>
      </c>
      <c r="B1451" s="7" t="s">
        <v>110</v>
      </c>
      <c r="C1451" s="7">
        <v>118</v>
      </c>
      <c r="D1451" s="7" t="s">
        <v>1171</v>
      </c>
      <c r="E1451" s="41" t="s">
        <v>1172</v>
      </c>
      <c r="F1451" s="41" t="s">
        <v>1172</v>
      </c>
      <c r="G1451" s="7" t="s">
        <v>300</v>
      </c>
      <c r="H1451" s="7">
        <v>35</v>
      </c>
      <c r="I1451" s="10" t="s">
        <v>2187</v>
      </c>
      <c r="K1451" s="10">
        <v>0.1</v>
      </c>
      <c r="L1451" s="43">
        <v>25</v>
      </c>
      <c r="M1451" s="43">
        <v>25</v>
      </c>
      <c r="N1451" s="12" t="s">
        <v>1213</v>
      </c>
      <c r="P1451" s="10">
        <v>5000</v>
      </c>
      <c r="Q1451" s="10">
        <v>60</v>
      </c>
      <c r="T1451" s="10">
        <v>300</v>
      </c>
      <c r="V1451" s="45"/>
      <c r="X1451" s="29">
        <v>8.3000000000000007</v>
      </c>
      <c r="Y1451" s="54" t="s">
        <v>32</v>
      </c>
    </row>
    <row r="1452" spans="1:26" ht="23.1" customHeight="1" x14ac:dyDescent="0.25">
      <c r="A1452" s="20" t="s">
        <v>1221</v>
      </c>
      <c r="B1452" s="10" t="s">
        <v>113</v>
      </c>
      <c r="C1452" s="7">
        <v>102</v>
      </c>
      <c r="D1452" s="7" t="s">
        <v>1097</v>
      </c>
      <c r="E1452" s="41" t="s">
        <v>1098</v>
      </c>
      <c r="F1452" s="41" t="s">
        <v>1098</v>
      </c>
      <c r="G1452" s="7" t="s">
        <v>250</v>
      </c>
      <c r="H1452" s="7">
        <v>50</v>
      </c>
      <c r="I1452" s="10" t="s">
        <v>2185</v>
      </c>
      <c r="J1452" s="10">
        <v>0.8</v>
      </c>
      <c r="K1452" s="10">
        <v>0.8</v>
      </c>
      <c r="L1452" s="43">
        <v>32</v>
      </c>
      <c r="M1452" s="43">
        <v>32</v>
      </c>
      <c r="N1452" s="12" t="s">
        <v>292</v>
      </c>
      <c r="P1452" s="10">
        <v>1080</v>
      </c>
      <c r="Q1452" s="10">
        <v>60</v>
      </c>
      <c r="S1452" s="11">
        <v>1</v>
      </c>
      <c r="T1452" s="10">
        <v>120</v>
      </c>
      <c r="V1452" s="45"/>
      <c r="X1452" s="29">
        <v>15.4</v>
      </c>
      <c r="Y1452" s="54" t="s">
        <v>35</v>
      </c>
    </row>
    <row r="1453" spans="1:26" ht="23.1" customHeight="1" x14ac:dyDescent="0.25">
      <c r="A1453" s="20" t="s">
        <v>1221</v>
      </c>
      <c r="B1453" s="10" t="s">
        <v>113</v>
      </c>
      <c r="C1453" s="7">
        <v>98</v>
      </c>
      <c r="D1453" s="7" t="s">
        <v>404</v>
      </c>
      <c r="E1453" s="41" t="s">
        <v>405</v>
      </c>
      <c r="F1453" s="41" t="s">
        <v>405</v>
      </c>
      <c r="G1453" s="7" t="s">
        <v>118</v>
      </c>
      <c r="H1453" s="7">
        <v>35</v>
      </c>
      <c r="I1453" s="10" t="s">
        <v>2174</v>
      </c>
      <c r="J1453" s="10">
        <v>0.8</v>
      </c>
      <c r="K1453" s="10">
        <v>1</v>
      </c>
      <c r="L1453" s="43">
        <v>32</v>
      </c>
      <c r="M1453" s="43">
        <v>32</v>
      </c>
      <c r="N1453" s="12" t="s">
        <v>439</v>
      </c>
      <c r="P1453" s="10">
        <v>800</v>
      </c>
      <c r="Q1453" s="10">
        <v>60</v>
      </c>
      <c r="S1453" s="11">
        <v>1</v>
      </c>
      <c r="T1453" s="10">
        <v>120</v>
      </c>
      <c r="V1453" s="45"/>
      <c r="X1453" s="29">
        <v>14.3</v>
      </c>
      <c r="Y1453" s="54" t="s">
        <v>35</v>
      </c>
    </row>
    <row r="1454" spans="1:26" ht="23.1" customHeight="1" x14ac:dyDescent="0.25">
      <c r="A1454" s="20" t="s">
        <v>1221</v>
      </c>
      <c r="B1454" s="10" t="s">
        <v>113</v>
      </c>
      <c r="C1454" s="7">
        <v>106</v>
      </c>
      <c r="D1454" s="7" t="s">
        <v>1070</v>
      </c>
      <c r="E1454" s="41" t="s">
        <v>101</v>
      </c>
      <c r="F1454" s="41" t="s">
        <v>101</v>
      </c>
      <c r="G1454" s="7" t="s">
        <v>300</v>
      </c>
      <c r="H1454" s="7">
        <v>25</v>
      </c>
      <c r="I1454" s="10" t="s">
        <v>2163</v>
      </c>
      <c r="J1454" s="10">
        <v>0.2</v>
      </c>
      <c r="K1454" s="10">
        <v>0.2</v>
      </c>
      <c r="L1454" s="43">
        <v>32</v>
      </c>
      <c r="M1454" s="43">
        <v>32</v>
      </c>
      <c r="N1454" s="12" t="s">
        <v>476</v>
      </c>
      <c r="P1454" s="10">
        <v>4800</v>
      </c>
      <c r="Q1454" s="10">
        <v>180</v>
      </c>
      <c r="T1454" s="10">
        <v>180</v>
      </c>
      <c r="V1454" s="45"/>
      <c r="X1454" s="29">
        <v>16</v>
      </c>
      <c r="Y1454" s="54" t="s">
        <v>35</v>
      </c>
    </row>
    <row r="1455" spans="1:26" ht="23.1" customHeight="1" x14ac:dyDescent="0.25">
      <c r="A1455" s="20" t="s">
        <v>1221</v>
      </c>
      <c r="B1455" s="10" t="s">
        <v>113</v>
      </c>
      <c r="C1455" s="7">
        <v>118</v>
      </c>
      <c r="D1455" s="7" t="s">
        <v>1171</v>
      </c>
      <c r="E1455" s="41" t="s">
        <v>1172</v>
      </c>
      <c r="F1455" s="41" t="s">
        <v>1172</v>
      </c>
      <c r="G1455" s="7" t="s">
        <v>300</v>
      </c>
      <c r="H1455" s="7">
        <v>35</v>
      </c>
      <c r="I1455" s="10" t="s">
        <v>2187</v>
      </c>
      <c r="K1455" s="10">
        <v>0.1</v>
      </c>
      <c r="L1455" s="43">
        <v>32</v>
      </c>
      <c r="M1455" s="43">
        <v>32</v>
      </c>
      <c r="N1455" s="12" t="s">
        <v>330</v>
      </c>
      <c r="P1455" s="10">
        <v>5000</v>
      </c>
      <c r="Q1455" s="10">
        <v>60</v>
      </c>
      <c r="T1455" s="10">
        <v>300</v>
      </c>
      <c r="V1455" s="45"/>
      <c r="X1455" s="29">
        <v>8.3000000000000007</v>
      </c>
      <c r="Y1455" s="54" t="s">
        <v>35</v>
      </c>
    </row>
    <row r="1456" spans="1:26" ht="23.1" customHeight="1" x14ac:dyDescent="0.25">
      <c r="A1456" s="20" t="s">
        <v>1221</v>
      </c>
      <c r="B1456" s="10" t="s">
        <v>113</v>
      </c>
      <c r="C1456" s="7">
        <v>117</v>
      </c>
      <c r="D1456" s="7" t="s">
        <v>1225</v>
      </c>
      <c r="E1456" s="41" t="s">
        <v>1082</v>
      </c>
      <c r="F1456" s="41" t="e">
        <v>#N/A</v>
      </c>
      <c r="G1456" s="7" t="s">
        <v>123</v>
      </c>
      <c r="H1456" s="7">
        <v>30</v>
      </c>
      <c r="I1456" s="10"/>
      <c r="K1456" s="10">
        <v>2</v>
      </c>
      <c r="L1456" s="43">
        <v>32</v>
      </c>
      <c r="M1456" s="43">
        <v>32</v>
      </c>
      <c r="N1456" s="12" t="s">
        <v>1214</v>
      </c>
      <c r="V1456" s="45"/>
      <c r="W1456" s="14">
        <v>15</v>
      </c>
      <c r="X1456" s="29">
        <v>15</v>
      </c>
      <c r="Y1456" s="54" t="s">
        <v>35</v>
      </c>
    </row>
    <row r="1457" spans="1:26" ht="23.1" customHeight="1" x14ac:dyDescent="0.25">
      <c r="A1457" s="20" t="s">
        <v>1221</v>
      </c>
      <c r="B1457" s="10" t="s">
        <v>113</v>
      </c>
      <c r="C1457" s="7">
        <v>45</v>
      </c>
      <c r="D1457" s="42" t="s">
        <v>484</v>
      </c>
      <c r="E1457" s="41" t="s">
        <v>1226</v>
      </c>
      <c r="F1457" s="41" t="s">
        <v>485</v>
      </c>
      <c r="G1457" s="7" t="s">
        <v>300</v>
      </c>
      <c r="H1457" s="7">
        <v>10</v>
      </c>
      <c r="I1457" s="10" t="s">
        <v>2136</v>
      </c>
      <c r="J1457" s="10">
        <v>6</v>
      </c>
      <c r="K1457" s="10">
        <v>7</v>
      </c>
      <c r="L1457" s="43">
        <v>32</v>
      </c>
      <c r="M1457" s="43">
        <v>32</v>
      </c>
      <c r="N1457" s="12" t="s">
        <v>1227</v>
      </c>
      <c r="P1457" s="10">
        <v>180</v>
      </c>
      <c r="Q1457" s="10">
        <v>60</v>
      </c>
      <c r="S1457" s="11">
        <v>7</v>
      </c>
      <c r="T1457" s="10">
        <v>90</v>
      </c>
      <c r="U1457" s="47"/>
      <c r="V1457" s="45">
        <v>1</v>
      </c>
      <c r="X1457" s="29">
        <v>29.5</v>
      </c>
      <c r="Y1457" s="54" t="s">
        <v>35</v>
      </c>
    </row>
    <row r="1458" spans="1:26" ht="23.1" customHeight="1" x14ac:dyDescent="0.25">
      <c r="A1458" s="20" t="s">
        <v>1221</v>
      </c>
      <c r="B1458" s="10" t="s">
        <v>113</v>
      </c>
      <c r="C1458" s="7">
        <v>45</v>
      </c>
      <c r="D1458" s="7" t="s">
        <v>395</v>
      </c>
      <c r="E1458" s="41" t="s">
        <v>396</v>
      </c>
      <c r="F1458" s="41" t="e">
        <v>#N/A</v>
      </c>
      <c r="G1458" s="7" t="s">
        <v>300</v>
      </c>
      <c r="H1458" s="7">
        <v>15</v>
      </c>
      <c r="I1458" s="10" t="s">
        <v>2112</v>
      </c>
      <c r="K1458" s="10">
        <v>3</v>
      </c>
      <c r="L1458" s="43">
        <v>32</v>
      </c>
      <c r="M1458" s="43">
        <v>32</v>
      </c>
      <c r="N1458" s="12" t="s">
        <v>1104</v>
      </c>
      <c r="P1458" s="10">
        <v>80</v>
      </c>
      <c r="Q1458" s="10">
        <v>90</v>
      </c>
      <c r="S1458" s="11">
        <v>3</v>
      </c>
      <c r="T1458" s="10">
        <v>90</v>
      </c>
      <c r="U1458" s="47">
        <v>60</v>
      </c>
      <c r="V1458" s="45"/>
      <c r="X1458" s="29">
        <v>8.5</v>
      </c>
      <c r="Y1458" s="54" t="s">
        <v>35</v>
      </c>
    </row>
    <row r="1459" spans="1:26" ht="23.1" customHeight="1" x14ac:dyDescent="0.25">
      <c r="A1459" s="20" t="s">
        <v>1221</v>
      </c>
      <c r="B1459" s="10" t="s">
        <v>113</v>
      </c>
      <c r="C1459" s="7">
        <v>100</v>
      </c>
      <c r="D1459" s="7" t="s">
        <v>1191</v>
      </c>
      <c r="E1459" s="41" t="s">
        <v>1192</v>
      </c>
      <c r="F1459" s="41" t="s">
        <v>1192</v>
      </c>
      <c r="G1459" s="7" t="s">
        <v>300</v>
      </c>
      <c r="H1459" s="7">
        <v>10</v>
      </c>
      <c r="I1459" s="10" t="s">
        <v>2176</v>
      </c>
      <c r="J1459" s="10">
        <v>2</v>
      </c>
      <c r="K1459" s="10">
        <v>1</v>
      </c>
      <c r="L1459" s="43">
        <v>32</v>
      </c>
      <c r="M1459" s="43">
        <v>32</v>
      </c>
      <c r="N1459" s="12" t="s">
        <v>509</v>
      </c>
      <c r="P1459" s="10">
        <v>200</v>
      </c>
      <c r="Q1459" s="10">
        <v>60</v>
      </c>
      <c r="S1459" s="11">
        <v>1</v>
      </c>
      <c r="T1459" s="10">
        <v>90</v>
      </c>
      <c r="U1459" s="47">
        <v>60</v>
      </c>
      <c r="V1459" s="45"/>
      <c r="X1459" s="29">
        <v>4.3</v>
      </c>
      <c r="Y1459" s="54" t="s">
        <v>35</v>
      </c>
    </row>
    <row r="1460" spans="1:26" ht="23.1" customHeight="1" x14ac:dyDescent="0.25">
      <c r="A1460" s="20" t="s">
        <v>1221</v>
      </c>
      <c r="B1460" s="10" t="s">
        <v>113</v>
      </c>
      <c r="C1460" s="7">
        <v>82</v>
      </c>
      <c r="D1460" s="7" t="s">
        <v>484</v>
      </c>
      <c r="E1460" s="41" t="s">
        <v>485</v>
      </c>
      <c r="F1460" s="41" t="s">
        <v>485</v>
      </c>
      <c r="G1460" s="7" t="s">
        <v>300</v>
      </c>
      <c r="H1460" s="7">
        <v>25</v>
      </c>
      <c r="I1460" s="10" t="s">
        <v>2140</v>
      </c>
      <c r="J1460" s="10">
        <v>1</v>
      </c>
      <c r="K1460" s="10">
        <v>0.9</v>
      </c>
      <c r="L1460" s="43">
        <v>32</v>
      </c>
      <c r="M1460" s="43">
        <v>32</v>
      </c>
      <c r="N1460" s="12" t="s">
        <v>1113</v>
      </c>
      <c r="P1460" s="10">
        <v>660</v>
      </c>
      <c r="Q1460" s="10">
        <v>60</v>
      </c>
      <c r="S1460" s="11">
        <v>1</v>
      </c>
      <c r="T1460" s="10">
        <v>180</v>
      </c>
      <c r="V1460" s="45"/>
      <c r="X1460" s="29">
        <v>10.9</v>
      </c>
      <c r="Y1460" s="54" t="s">
        <v>35</v>
      </c>
    </row>
    <row r="1461" spans="1:26" ht="23.1" customHeight="1" x14ac:dyDescent="0.25">
      <c r="A1461" s="20" t="s">
        <v>1221</v>
      </c>
      <c r="B1461" s="10" t="s">
        <v>113</v>
      </c>
      <c r="C1461" s="7">
        <v>83</v>
      </c>
      <c r="D1461" s="7" t="s">
        <v>1095</v>
      </c>
      <c r="E1461" s="41" t="s">
        <v>1096</v>
      </c>
      <c r="F1461" s="41" t="s">
        <v>1096</v>
      </c>
      <c r="G1461" s="7" t="s">
        <v>658</v>
      </c>
      <c r="H1461" s="7">
        <v>15</v>
      </c>
      <c r="I1461" s="10" t="s">
        <v>2048</v>
      </c>
      <c r="J1461" s="10">
        <v>2</v>
      </c>
      <c r="K1461" s="10">
        <v>3</v>
      </c>
      <c r="L1461" s="43">
        <v>32</v>
      </c>
      <c r="M1461" s="43">
        <v>32</v>
      </c>
      <c r="N1461" s="12" t="s">
        <v>351</v>
      </c>
      <c r="P1461" s="10">
        <v>270</v>
      </c>
      <c r="Q1461" s="10">
        <v>60</v>
      </c>
      <c r="S1461" s="11">
        <v>3</v>
      </c>
      <c r="T1461" s="10">
        <v>60</v>
      </c>
      <c r="V1461" s="45"/>
      <c r="X1461" s="29">
        <v>16.5</v>
      </c>
      <c r="Y1461" s="54" t="s">
        <v>35</v>
      </c>
    </row>
    <row r="1462" spans="1:26" ht="23.1" customHeight="1" x14ac:dyDescent="0.25">
      <c r="A1462" s="20" t="s">
        <v>1221</v>
      </c>
      <c r="B1462" s="10" t="s">
        <v>113</v>
      </c>
      <c r="C1462" s="7">
        <v>100</v>
      </c>
      <c r="D1462" s="7" t="s">
        <v>759</v>
      </c>
      <c r="E1462" s="41" t="s">
        <v>760</v>
      </c>
      <c r="F1462" s="41" t="s">
        <v>760</v>
      </c>
      <c r="G1462" s="7" t="s">
        <v>300</v>
      </c>
      <c r="H1462" s="7">
        <v>10</v>
      </c>
      <c r="I1462" s="10" t="s">
        <v>2196</v>
      </c>
      <c r="J1462" s="10">
        <v>3</v>
      </c>
      <c r="K1462" s="10">
        <v>5</v>
      </c>
      <c r="L1462" s="43">
        <v>32</v>
      </c>
      <c r="M1462" s="43">
        <v>32</v>
      </c>
      <c r="N1462" s="12" t="s">
        <v>1228</v>
      </c>
      <c r="P1462" s="10">
        <v>180</v>
      </c>
      <c r="Q1462" s="10">
        <v>60</v>
      </c>
      <c r="S1462" s="11">
        <v>5</v>
      </c>
      <c r="T1462" s="10">
        <v>60</v>
      </c>
      <c r="V1462" s="45">
        <v>1</v>
      </c>
      <c r="X1462" s="29">
        <v>21</v>
      </c>
      <c r="Y1462" s="54" t="s">
        <v>35</v>
      </c>
    </row>
    <row r="1463" spans="1:26" ht="23.1" customHeight="1" x14ac:dyDescent="0.25">
      <c r="A1463" s="20" t="s">
        <v>1221</v>
      </c>
      <c r="B1463" s="10" t="s">
        <v>113</v>
      </c>
      <c r="C1463" s="7">
        <v>19</v>
      </c>
      <c r="D1463" s="7" t="s">
        <v>395</v>
      </c>
      <c r="E1463" s="41" t="s">
        <v>396</v>
      </c>
      <c r="F1463" s="41" t="e">
        <v>#N/A</v>
      </c>
      <c r="G1463" s="7" t="s">
        <v>300</v>
      </c>
      <c r="H1463" s="7">
        <v>20</v>
      </c>
      <c r="I1463" s="10" t="s">
        <v>1962</v>
      </c>
      <c r="J1463" s="10">
        <v>2</v>
      </c>
      <c r="K1463" s="10">
        <v>2</v>
      </c>
      <c r="L1463" s="43">
        <v>32</v>
      </c>
      <c r="M1463" s="43">
        <v>32</v>
      </c>
      <c r="N1463" s="12" t="s">
        <v>1146</v>
      </c>
      <c r="P1463" s="10">
        <v>60</v>
      </c>
      <c r="Q1463" s="10">
        <v>90</v>
      </c>
      <c r="S1463" s="11">
        <v>2</v>
      </c>
      <c r="T1463" s="10">
        <v>60</v>
      </c>
      <c r="V1463" s="45"/>
      <c r="X1463" s="29">
        <v>5</v>
      </c>
      <c r="Y1463" s="54" t="s">
        <v>17</v>
      </c>
    </row>
    <row r="1464" spans="1:26" ht="23.1" customHeight="1" x14ac:dyDescent="0.25">
      <c r="A1464" s="20" t="s">
        <v>1221</v>
      </c>
      <c r="B1464" s="10" t="s">
        <v>113</v>
      </c>
      <c r="C1464" s="7">
        <v>19</v>
      </c>
      <c r="D1464" s="7" t="s">
        <v>395</v>
      </c>
      <c r="E1464" s="41" t="s">
        <v>396</v>
      </c>
      <c r="F1464" s="41" t="e">
        <v>#N/A</v>
      </c>
      <c r="G1464" s="7" t="s">
        <v>300</v>
      </c>
      <c r="H1464" s="7">
        <v>25</v>
      </c>
      <c r="I1464" s="10" t="s">
        <v>1937</v>
      </c>
      <c r="J1464" s="10">
        <v>1</v>
      </c>
      <c r="K1464" s="10">
        <v>1.9</v>
      </c>
      <c r="L1464" s="43">
        <v>32</v>
      </c>
      <c r="M1464" s="43">
        <v>32</v>
      </c>
      <c r="N1464" s="12" t="s">
        <v>1229</v>
      </c>
      <c r="P1464" s="10">
        <v>370</v>
      </c>
      <c r="Q1464" s="10">
        <v>90</v>
      </c>
      <c r="S1464" s="11">
        <v>2</v>
      </c>
      <c r="T1464" s="10">
        <v>60</v>
      </c>
      <c r="V1464" s="45">
        <v>1</v>
      </c>
      <c r="X1464" s="29">
        <v>15.7</v>
      </c>
      <c r="Y1464" s="54" t="s">
        <v>17</v>
      </c>
    </row>
    <row r="1465" spans="1:26" ht="23.1" customHeight="1" x14ac:dyDescent="0.25">
      <c r="A1465" s="20" t="s">
        <v>1221</v>
      </c>
      <c r="B1465" s="10" t="s">
        <v>113</v>
      </c>
      <c r="C1465" s="7">
        <v>44</v>
      </c>
      <c r="D1465" s="7" t="s">
        <v>266</v>
      </c>
      <c r="E1465" s="41" t="s">
        <v>267</v>
      </c>
      <c r="F1465" s="41" t="s">
        <v>267</v>
      </c>
      <c r="G1465" s="7" t="s">
        <v>118</v>
      </c>
      <c r="H1465" s="7">
        <v>55</v>
      </c>
      <c r="I1465" s="10" t="s">
        <v>2166</v>
      </c>
      <c r="J1465" s="10">
        <v>0.6</v>
      </c>
      <c r="K1465" s="10">
        <v>0.6</v>
      </c>
      <c r="L1465" s="43">
        <v>32</v>
      </c>
      <c r="M1465" s="43">
        <v>32</v>
      </c>
      <c r="N1465" s="12" t="s">
        <v>429</v>
      </c>
      <c r="P1465" s="10">
        <v>1260</v>
      </c>
      <c r="Q1465" s="10">
        <v>90</v>
      </c>
      <c r="S1465" s="11">
        <v>1</v>
      </c>
      <c r="T1465" s="10">
        <v>60</v>
      </c>
      <c r="V1465" s="45"/>
      <c r="X1465" s="29">
        <v>14.1</v>
      </c>
      <c r="Y1465" s="54" t="s">
        <v>64</v>
      </c>
    </row>
    <row r="1466" spans="1:26" ht="23.1" customHeight="1" x14ac:dyDescent="0.25">
      <c r="A1466" s="20" t="s">
        <v>1221</v>
      </c>
      <c r="B1466" s="10" t="s">
        <v>113</v>
      </c>
      <c r="C1466" s="7">
        <v>97</v>
      </c>
      <c r="D1466" s="7" t="s">
        <v>1076</v>
      </c>
      <c r="E1466" s="41" t="s">
        <v>1065</v>
      </c>
      <c r="F1466" s="41" t="s">
        <v>1065</v>
      </c>
      <c r="G1466" s="7" t="s">
        <v>250</v>
      </c>
      <c r="H1466" s="7">
        <v>70</v>
      </c>
      <c r="I1466" s="10" t="s">
        <v>2101</v>
      </c>
      <c r="J1466" s="10">
        <v>2</v>
      </c>
      <c r="K1466" s="10">
        <v>4</v>
      </c>
      <c r="L1466" s="43">
        <v>32</v>
      </c>
      <c r="M1466" s="43">
        <v>32</v>
      </c>
      <c r="N1466" s="12" t="s">
        <v>429</v>
      </c>
      <c r="P1466" s="10">
        <v>90</v>
      </c>
      <c r="Q1466" s="10">
        <v>60</v>
      </c>
      <c r="S1466" s="11">
        <v>4</v>
      </c>
      <c r="T1466" s="10">
        <v>90</v>
      </c>
      <c r="V1466" s="45"/>
      <c r="X1466" s="29">
        <v>10</v>
      </c>
      <c r="Y1466" s="54" t="s">
        <v>39</v>
      </c>
    </row>
    <row r="1467" spans="1:26" ht="23.1" customHeight="1" x14ac:dyDescent="0.25">
      <c r="A1467" s="20" t="s">
        <v>1221</v>
      </c>
      <c r="B1467" s="10" t="s">
        <v>113</v>
      </c>
      <c r="C1467" s="7">
        <v>97</v>
      </c>
      <c r="D1467" s="7" t="s">
        <v>1076</v>
      </c>
      <c r="E1467" s="41" t="s">
        <v>1065</v>
      </c>
      <c r="F1467" s="41" t="s">
        <v>1065</v>
      </c>
      <c r="G1467" s="7" t="s">
        <v>250</v>
      </c>
      <c r="H1467" s="7">
        <v>60</v>
      </c>
      <c r="I1467" s="10" t="s">
        <v>2156</v>
      </c>
      <c r="J1467" s="10">
        <v>0.8</v>
      </c>
      <c r="K1467" s="10">
        <v>0.8</v>
      </c>
      <c r="L1467" s="43">
        <v>32</v>
      </c>
      <c r="M1467" s="43">
        <v>32</v>
      </c>
      <c r="N1467" s="12" t="s">
        <v>429</v>
      </c>
      <c r="P1467" s="10">
        <v>570</v>
      </c>
      <c r="Q1467" s="10">
        <v>60</v>
      </c>
      <c r="S1467" s="11">
        <v>1</v>
      </c>
      <c r="T1467" s="10">
        <v>60</v>
      </c>
      <c r="V1467" s="45">
        <v>1</v>
      </c>
      <c r="X1467" s="29">
        <v>9.6</v>
      </c>
      <c r="Y1467" s="54" t="s">
        <v>39</v>
      </c>
    </row>
    <row r="1468" spans="1:26" ht="23.1" customHeight="1" x14ac:dyDescent="0.25">
      <c r="A1468" s="20" t="s">
        <v>1221</v>
      </c>
      <c r="B1468" s="10" t="s">
        <v>113</v>
      </c>
      <c r="C1468" s="7">
        <v>101</v>
      </c>
      <c r="D1468" s="7" t="s">
        <v>1211</v>
      </c>
      <c r="E1468" s="41" t="s">
        <v>760</v>
      </c>
      <c r="F1468" s="41" t="s">
        <v>760</v>
      </c>
      <c r="G1468" s="7" t="s">
        <v>300</v>
      </c>
      <c r="H1468" s="7">
        <v>45</v>
      </c>
      <c r="I1468" s="10" t="s">
        <v>2385</v>
      </c>
      <c r="J1468" s="10">
        <v>6</v>
      </c>
      <c r="K1468" s="10">
        <v>6</v>
      </c>
      <c r="L1468" s="43">
        <v>32</v>
      </c>
      <c r="M1468" s="43">
        <v>32</v>
      </c>
      <c r="N1468" s="12" t="s">
        <v>1230</v>
      </c>
      <c r="P1468" s="10">
        <v>90</v>
      </c>
      <c r="Q1468" s="10">
        <v>60</v>
      </c>
      <c r="S1468" s="11">
        <v>6</v>
      </c>
      <c r="T1468" s="10">
        <v>120</v>
      </c>
      <c r="V1468" s="45">
        <v>1</v>
      </c>
      <c r="X1468" s="29">
        <v>17</v>
      </c>
      <c r="Y1468" s="54" t="s">
        <v>47</v>
      </c>
    </row>
    <row r="1469" spans="1:26" ht="23.1" customHeight="1" x14ac:dyDescent="0.25">
      <c r="A1469" s="20" t="s">
        <v>1221</v>
      </c>
      <c r="B1469" s="10" t="s">
        <v>113</v>
      </c>
      <c r="C1469" s="7">
        <v>101</v>
      </c>
      <c r="D1469" s="7" t="s">
        <v>759</v>
      </c>
      <c r="E1469" s="41" t="s">
        <v>760</v>
      </c>
      <c r="F1469" s="41" t="s">
        <v>760</v>
      </c>
      <c r="G1469" s="7" t="s">
        <v>300</v>
      </c>
      <c r="H1469" s="7">
        <v>45</v>
      </c>
      <c r="I1469" s="10" t="s">
        <v>2385</v>
      </c>
      <c r="J1469" s="10">
        <v>2</v>
      </c>
      <c r="K1469" s="10">
        <v>6</v>
      </c>
      <c r="L1469" s="43">
        <v>32</v>
      </c>
      <c r="M1469" s="43">
        <v>32</v>
      </c>
      <c r="N1469" s="12" t="s">
        <v>1230</v>
      </c>
      <c r="P1469" s="10">
        <v>90</v>
      </c>
      <c r="Q1469" s="10">
        <v>60</v>
      </c>
      <c r="S1469" s="11">
        <v>6</v>
      </c>
      <c r="T1469" s="10">
        <v>120</v>
      </c>
      <c r="V1469" s="45">
        <v>1</v>
      </c>
      <c r="X1469" s="29">
        <v>17</v>
      </c>
      <c r="Y1469" s="54" t="s">
        <v>47</v>
      </c>
    </row>
    <row r="1470" spans="1:26" ht="23.1" customHeight="1" x14ac:dyDescent="0.25">
      <c r="A1470" s="20" t="s">
        <v>1221</v>
      </c>
      <c r="B1470" s="10" t="s">
        <v>113</v>
      </c>
      <c r="C1470" s="7">
        <v>105</v>
      </c>
      <c r="D1470" s="7" t="s">
        <v>1176</v>
      </c>
      <c r="E1470" s="41" t="s">
        <v>1098</v>
      </c>
      <c r="F1470" s="41" t="s">
        <v>1098</v>
      </c>
      <c r="G1470" s="7" t="s">
        <v>250</v>
      </c>
      <c r="H1470" s="7">
        <v>50</v>
      </c>
      <c r="I1470" s="10" t="s">
        <v>2185</v>
      </c>
      <c r="J1470" s="10">
        <v>0.6</v>
      </c>
      <c r="K1470" s="10">
        <v>0.7</v>
      </c>
      <c r="L1470" s="43">
        <v>32</v>
      </c>
      <c r="M1470" s="43">
        <v>32</v>
      </c>
      <c r="N1470" s="12" t="s">
        <v>429</v>
      </c>
      <c r="P1470" s="10">
        <v>1080</v>
      </c>
      <c r="Q1470" s="10">
        <v>60</v>
      </c>
      <c r="T1470" s="10">
        <v>120</v>
      </c>
      <c r="V1470" s="45"/>
      <c r="X1470" s="29">
        <v>12.6</v>
      </c>
      <c r="Y1470" s="54" t="s">
        <v>9</v>
      </c>
    </row>
    <row r="1471" spans="1:26" ht="23.1" customHeight="1" x14ac:dyDescent="0.25">
      <c r="A1471" s="20" t="s">
        <v>1221</v>
      </c>
      <c r="B1471" s="10" t="s">
        <v>113</v>
      </c>
      <c r="C1471" s="7">
        <v>99</v>
      </c>
      <c r="D1471" s="7" t="s">
        <v>1191</v>
      </c>
      <c r="E1471" s="41" t="s">
        <v>1192</v>
      </c>
      <c r="F1471" s="41" t="s">
        <v>1192</v>
      </c>
      <c r="G1471" s="7" t="s">
        <v>300</v>
      </c>
      <c r="H1471" s="7">
        <v>40</v>
      </c>
      <c r="I1471" s="10" t="s">
        <v>2386</v>
      </c>
      <c r="J1471" s="10">
        <v>0.3</v>
      </c>
      <c r="K1471" s="10">
        <v>0.3</v>
      </c>
      <c r="L1471" s="43">
        <v>32</v>
      </c>
      <c r="M1471" s="43">
        <v>32</v>
      </c>
      <c r="N1471" s="12" t="s">
        <v>470</v>
      </c>
      <c r="P1471" s="10">
        <v>1800</v>
      </c>
      <c r="Q1471" s="10">
        <v>90</v>
      </c>
      <c r="S1471" s="11">
        <v>1</v>
      </c>
      <c r="T1471" s="10">
        <v>120</v>
      </c>
      <c r="V1471" s="45">
        <v>1</v>
      </c>
      <c r="W1471" s="10">
        <v>4</v>
      </c>
      <c r="X1471" s="29">
        <v>16.5</v>
      </c>
      <c r="Y1471" s="54" t="s">
        <v>29</v>
      </c>
      <c r="Z1471" t="s">
        <v>1231</v>
      </c>
    </row>
    <row r="1472" spans="1:26" ht="23.1" customHeight="1" x14ac:dyDescent="0.25">
      <c r="A1472" s="20" t="s">
        <v>1221</v>
      </c>
      <c r="B1472" s="10" t="s">
        <v>113</v>
      </c>
      <c r="C1472" s="7">
        <v>103</v>
      </c>
      <c r="D1472" s="7" t="s">
        <v>1148</v>
      </c>
      <c r="E1472" s="41" t="s">
        <v>1149</v>
      </c>
      <c r="F1472" s="41" t="s">
        <v>1149</v>
      </c>
      <c r="G1472" s="7" t="s">
        <v>300</v>
      </c>
      <c r="H1472" s="7">
        <v>10</v>
      </c>
      <c r="I1472" s="10" t="s">
        <v>2176</v>
      </c>
      <c r="J1472" s="10">
        <v>1</v>
      </c>
      <c r="K1472" s="10">
        <v>1</v>
      </c>
      <c r="L1472" s="43">
        <v>32</v>
      </c>
      <c r="M1472" s="43">
        <v>32</v>
      </c>
      <c r="N1472" s="12" t="s">
        <v>1232</v>
      </c>
      <c r="P1472" s="10">
        <v>480</v>
      </c>
      <c r="Q1472" s="10">
        <v>120</v>
      </c>
      <c r="S1472" s="11">
        <v>1</v>
      </c>
      <c r="T1472" s="10">
        <v>120</v>
      </c>
      <c r="V1472" s="45"/>
      <c r="W1472" s="14">
        <v>3</v>
      </c>
      <c r="X1472" s="29">
        <v>13</v>
      </c>
      <c r="Y1472" s="54" t="s">
        <v>61</v>
      </c>
      <c r="Z1472" t="s">
        <v>1200</v>
      </c>
    </row>
    <row r="1473" spans="1:26" ht="23.1" customHeight="1" x14ac:dyDescent="0.25">
      <c r="A1473" s="20" t="s">
        <v>1221</v>
      </c>
      <c r="B1473" s="10" t="s">
        <v>110</v>
      </c>
      <c r="C1473" s="7">
        <v>83</v>
      </c>
      <c r="D1473" s="7" t="s">
        <v>1197</v>
      </c>
      <c r="E1473" s="41" t="s">
        <v>1198</v>
      </c>
      <c r="F1473" s="41" t="s">
        <v>1198</v>
      </c>
      <c r="G1473" s="7" t="s">
        <v>658</v>
      </c>
      <c r="H1473" s="7">
        <v>15</v>
      </c>
      <c r="I1473" s="10" t="s">
        <v>2048</v>
      </c>
      <c r="J1473" s="10">
        <v>10</v>
      </c>
      <c r="K1473" s="10">
        <v>3</v>
      </c>
      <c r="L1473" s="43">
        <v>25</v>
      </c>
      <c r="M1473" s="43">
        <v>25</v>
      </c>
      <c r="N1473" s="12" t="s">
        <v>351</v>
      </c>
      <c r="P1473" s="10">
        <v>270</v>
      </c>
      <c r="Q1473" s="10">
        <v>60</v>
      </c>
      <c r="S1473" s="11">
        <v>3</v>
      </c>
      <c r="T1473" s="10">
        <v>60</v>
      </c>
      <c r="V1473" s="45">
        <v>1</v>
      </c>
      <c r="W1473" s="10">
        <v>2</v>
      </c>
      <c r="X1473" s="29">
        <v>19.5</v>
      </c>
      <c r="Y1473" s="54" t="s">
        <v>67</v>
      </c>
      <c r="Z1473" t="s">
        <v>941</v>
      </c>
    </row>
    <row r="1474" spans="1:26" ht="23.1" customHeight="1" x14ac:dyDescent="0.25">
      <c r="A1474" s="20" t="s">
        <v>1221</v>
      </c>
      <c r="B1474" s="7" t="s">
        <v>110</v>
      </c>
      <c r="C1474" s="7">
        <v>44</v>
      </c>
      <c r="D1474" s="7" t="s">
        <v>266</v>
      </c>
      <c r="E1474" s="41" t="s">
        <v>267</v>
      </c>
      <c r="F1474" s="41" t="s">
        <v>267</v>
      </c>
      <c r="G1474" s="7" t="s">
        <v>118</v>
      </c>
      <c r="H1474" s="7">
        <v>55</v>
      </c>
      <c r="I1474" s="10" t="s">
        <v>2166</v>
      </c>
      <c r="J1474" s="10">
        <v>0.6</v>
      </c>
      <c r="K1474" s="10">
        <v>0.7</v>
      </c>
      <c r="L1474" s="43">
        <v>25</v>
      </c>
      <c r="M1474" s="43">
        <v>25</v>
      </c>
      <c r="N1474" s="12" t="s">
        <v>429</v>
      </c>
      <c r="P1474" s="10">
        <v>1260</v>
      </c>
      <c r="Q1474" s="10">
        <v>90</v>
      </c>
      <c r="T1474" s="10">
        <v>60</v>
      </c>
      <c r="V1474" s="45"/>
      <c r="X1474" s="29">
        <v>14.7</v>
      </c>
      <c r="Y1474" s="54" t="s">
        <v>67</v>
      </c>
    </row>
    <row r="1475" spans="1:26" ht="23.1" customHeight="1" x14ac:dyDescent="0.25">
      <c r="A1475" s="20" t="s">
        <v>1221</v>
      </c>
      <c r="B1475" s="7" t="s">
        <v>110</v>
      </c>
      <c r="C1475" s="7">
        <v>100</v>
      </c>
      <c r="D1475" s="7" t="s">
        <v>1191</v>
      </c>
      <c r="E1475" s="41" t="s">
        <v>1192</v>
      </c>
      <c r="F1475" s="41" t="s">
        <v>1192</v>
      </c>
      <c r="G1475" s="7" t="s">
        <v>300</v>
      </c>
      <c r="H1475" s="7">
        <v>10</v>
      </c>
      <c r="I1475" s="10" t="s">
        <v>2176</v>
      </c>
      <c r="J1475" s="10">
        <v>6</v>
      </c>
      <c r="K1475" s="10">
        <v>9</v>
      </c>
      <c r="L1475" s="43">
        <v>25</v>
      </c>
      <c r="M1475" s="43">
        <v>25</v>
      </c>
      <c r="N1475" s="12" t="s">
        <v>1233</v>
      </c>
      <c r="P1475" s="10">
        <v>200</v>
      </c>
      <c r="Q1475" s="10">
        <v>60</v>
      </c>
      <c r="S1475" s="11">
        <v>9</v>
      </c>
      <c r="T1475" s="10">
        <v>90</v>
      </c>
      <c r="V1475" s="45">
        <v>1</v>
      </c>
      <c r="W1475" s="10">
        <v>2</v>
      </c>
      <c r="X1475" s="29">
        <v>42.5</v>
      </c>
      <c r="Y1475" s="54" t="s">
        <v>67</v>
      </c>
      <c r="Z1475" t="s">
        <v>1011</v>
      </c>
    </row>
    <row r="1476" spans="1:26" ht="23.1" customHeight="1" x14ac:dyDescent="0.25">
      <c r="A1476" s="20" t="s">
        <v>1221</v>
      </c>
      <c r="B1476" s="7" t="s">
        <v>110</v>
      </c>
      <c r="C1476" s="7">
        <v>102</v>
      </c>
      <c r="D1476" s="7" t="s">
        <v>1097</v>
      </c>
      <c r="E1476" s="41" t="s">
        <v>1098</v>
      </c>
      <c r="F1476" s="41" t="s">
        <v>1098</v>
      </c>
      <c r="G1476" s="7" t="s">
        <v>250</v>
      </c>
      <c r="H1476" s="7">
        <v>50</v>
      </c>
      <c r="I1476" s="10" t="s">
        <v>2185</v>
      </c>
      <c r="J1476" s="10">
        <v>0.6</v>
      </c>
      <c r="K1476" s="10">
        <v>0.6</v>
      </c>
      <c r="L1476" s="43">
        <v>25</v>
      </c>
      <c r="M1476" s="43">
        <v>25</v>
      </c>
      <c r="N1476" s="12" t="s">
        <v>292</v>
      </c>
      <c r="P1476" s="10">
        <v>1080</v>
      </c>
      <c r="Q1476" s="10">
        <v>60</v>
      </c>
      <c r="S1476" s="11">
        <v>1</v>
      </c>
      <c r="T1476" s="10">
        <v>120</v>
      </c>
      <c r="V1476" s="45"/>
      <c r="W1476" s="14">
        <v>2</v>
      </c>
      <c r="X1476" s="29">
        <v>13.8</v>
      </c>
      <c r="Y1476" s="54" t="s">
        <v>67</v>
      </c>
      <c r="Z1476" t="s">
        <v>1210</v>
      </c>
    </row>
    <row r="1477" spans="1:26" ht="23.1" customHeight="1" x14ac:dyDescent="0.25">
      <c r="A1477" s="20" t="s">
        <v>1221</v>
      </c>
      <c r="B1477" s="7" t="s">
        <v>110</v>
      </c>
      <c r="C1477" s="7">
        <v>98</v>
      </c>
      <c r="D1477" s="7" t="s">
        <v>404</v>
      </c>
      <c r="E1477" s="41" t="s">
        <v>405</v>
      </c>
      <c r="F1477" s="41" t="s">
        <v>405</v>
      </c>
      <c r="G1477" s="7" t="s">
        <v>118</v>
      </c>
      <c r="H1477" s="7">
        <v>35</v>
      </c>
      <c r="I1477" s="10" t="s">
        <v>2174</v>
      </c>
      <c r="J1477" s="10">
        <v>0.8</v>
      </c>
      <c r="K1477" s="10">
        <v>1</v>
      </c>
      <c r="L1477" s="43">
        <v>25</v>
      </c>
      <c r="M1477" s="43">
        <v>25</v>
      </c>
      <c r="N1477" s="12" t="s">
        <v>1119</v>
      </c>
      <c r="P1477" s="10">
        <v>800</v>
      </c>
      <c r="Q1477" s="10">
        <v>60</v>
      </c>
      <c r="S1477" s="11">
        <v>1</v>
      </c>
      <c r="T1477" s="10">
        <v>120</v>
      </c>
      <c r="V1477" s="45"/>
      <c r="X1477" s="29">
        <v>14.3</v>
      </c>
      <c r="Y1477" s="54" t="s">
        <v>67</v>
      </c>
    </row>
    <row r="1478" spans="1:26" ht="23.1" customHeight="1" x14ac:dyDescent="0.25">
      <c r="A1478" s="20" t="s">
        <v>1221</v>
      </c>
      <c r="B1478" s="7" t="s">
        <v>110</v>
      </c>
      <c r="C1478" s="7">
        <v>106</v>
      </c>
      <c r="D1478" s="7" t="s">
        <v>1070</v>
      </c>
      <c r="E1478" s="41" t="s">
        <v>101</v>
      </c>
      <c r="F1478" s="41" t="s">
        <v>101</v>
      </c>
      <c r="G1478" s="7" t="s">
        <v>300</v>
      </c>
      <c r="H1478" s="7">
        <v>25</v>
      </c>
      <c r="I1478" s="10" t="s">
        <v>2163</v>
      </c>
      <c r="J1478" s="10">
        <v>0.2</v>
      </c>
      <c r="K1478" s="10">
        <v>0.2</v>
      </c>
      <c r="L1478" s="43">
        <v>25</v>
      </c>
      <c r="M1478" s="43">
        <v>25</v>
      </c>
      <c r="N1478" s="12" t="s">
        <v>476</v>
      </c>
      <c r="P1478" s="10">
        <v>4800</v>
      </c>
      <c r="Q1478" s="10">
        <v>180</v>
      </c>
      <c r="T1478" s="10">
        <v>180</v>
      </c>
      <c r="V1478" s="45"/>
      <c r="X1478" s="29">
        <v>16</v>
      </c>
      <c r="Y1478" s="54" t="s">
        <v>67</v>
      </c>
    </row>
    <row r="1479" spans="1:26" ht="23.1" customHeight="1" x14ac:dyDescent="0.25">
      <c r="A1479" s="20" t="s">
        <v>1221</v>
      </c>
      <c r="B1479" s="7" t="s">
        <v>110</v>
      </c>
      <c r="C1479" s="7">
        <v>101</v>
      </c>
      <c r="D1479" s="7" t="s">
        <v>1099</v>
      </c>
      <c r="E1479" s="41" t="s">
        <v>760</v>
      </c>
      <c r="F1479" s="41" t="e">
        <v>#N/A</v>
      </c>
      <c r="G1479" s="7" t="s">
        <v>300</v>
      </c>
      <c r="H1479" s="7">
        <v>40</v>
      </c>
      <c r="I1479" s="10" t="s">
        <v>1969</v>
      </c>
      <c r="J1479" s="10">
        <v>2</v>
      </c>
      <c r="K1479" s="10">
        <v>2.2000000000000002</v>
      </c>
      <c r="L1479" s="43">
        <v>25</v>
      </c>
      <c r="M1479" s="43">
        <v>25</v>
      </c>
      <c r="N1479" s="12" t="s">
        <v>1114</v>
      </c>
      <c r="P1479" s="10">
        <v>330</v>
      </c>
      <c r="Q1479" s="10">
        <v>60</v>
      </c>
      <c r="S1479" s="11">
        <v>2</v>
      </c>
      <c r="T1479" s="10">
        <v>120</v>
      </c>
      <c r="V1479" s="45"/>
      <c r="X1479" s="29">
        <v>14.1</v>
      </c>
      <c r="Y1479" s="54" t="s">
        <v>67</v>
      </c>
    </row>
    <row r="1480" spans="1:26" ht="23.1" customHeight="1" x14ac:dyDescent="0.25">
      <c r="A1480" s="20" t="s">
        <v>1221</v>
      </c>
      <c r="B1480" s="7" t="s">
        <v>110</v>
      </c>
      <c r="C1480" s="7">
        <v>45</v>
      </c>
      <c r="D1480" s="7" t="s">
        <v>298</v>
      </c>
      <c r="E1480" s="41" t="s">
        <v>299</v>
      </c>
      <c r="F1480" s="41" t="s">
        <v>299</v>
      </c>
      <c r="G1480" s="7" t="s">
        <v>300</v>
      </c>
      <c r="H1480" s="7">
        <v>10</v>
      </c>
      <c r="I1480" s="10" t="s">
        <v>2136</v>
      </c>
      <c r="J1480" s="10">
        <v>3</v>
      </c>
      <c r="K1480" s="10">
        <v>5</v>
      </c>
      <c r="L1480" s="43">
        <v>25</v>
      </c>
      <c r="M1480" s="43">
        <v>25</v>
      </c>
      <c r="N1480" s="12" t="s">
        <v>1234</v>
      </c>
      <c r="P1480" s="10">
        <v>180</v>
      </c>
      <c r="Q1480" s="10">
        <v>60</v>
      </c>
      <c r="S1480" s="11">
        <v>5</v>
      </c>
      <c r="T1480" s="10">
        <v>90</v>
      </c>
      <c r="V1480" s="45">
        <v>1</v>
      </c>
      <c r="X1480" s="29">
        <v>21.5</v>
      </c>
      <c r="Y1480" s="54" t="s">
        <v>67</v>
      </c>
    </row>
    <row r="1481" spans="1:26" ht="23.1" customHeight="1" x14ac:dyDescent="0.25">
      <c r="A1481" s="20" t="s">
        <v>1221</v>
      </c>
      <c r="B1481" s="7" t="s">
        <v>110</v>
      </c>
      <c r="C1481" s="7">
        <v>45</v>
      </c>
      <c r="D1481" s="7" t="s">
        <v>298</v>
      </c>
      <c r="E1481" s="41" t="s">
        <v>299</v>
      </c>
      <c r="F1481" s="41" t="s">
        <v>299</v>
      </c>
      <c r="G1481" s="7" t="s">
        <v>300</v>
      </c>
      <c r="H1481" s="7">
        <v>6</v>
      </c>
      <c r="I1481" s="10"/>
      <c r="J1481" s="10">
        <v>3</v>
      </c>
      <c r="K1481" s="10">
        <v>2</v>
      </c>
      <c r="L1481" s="43">
        <v>25</v>
      </c>
      <c r="M1481" s="43">
        <v>25</v>
      </c>
      <c r="N1481" s="12" t="s">
        <v>1235</v>
      </c>
      <c r="O1481" s="47">
        <v>60</v>
      </c>
      <c r="P1481" s="47"/>
      <c r="Q1481" s="47"/>
      <c r="R1481" s="47">
        <v>60</v>
      </c>
      <c r="S1481" s="11">
        <v>2</v>
      </c>
      <c r="V1481" s="45"/>
      <c r="X1481" s="32">
        <v>4</v>
      </c>
      <c r="Y1481" s="54" t="s">
        <v>67</v>
      </c>
    </row>
    <row r="1482" spans="1:26" ht="23.1" customHeight="1" x14ac:dyDescent="0.25">
      <c r="A1482" s="20" t="s">
        <v>1221</v>
      </c>
      <c r="B1482" s="7" t="s">
        <v>110</v>
      </c>
      <c r="C1482" s="7">
        <v>45</v>
      </c>
      <c r="D1482" s="7" t="s">
        <v>298</v>
      </c>
      <c r="E1482" s="41" t="s">
        <v>299</v>
      </c>
      <c r="F1482" s="41" t="s">
        <v>299</v>
      </c>
      <c r="G1482" s="7" t="s">
        <v>300</v>
      </c>
      <c r="H1482" s="7">
        <v>7</v>
      </c>
      <c r="I1482" s="10"/>
      <c r="J1482" s="10">
        <v>3</v>
      </c>
      <c r="K1482" s="10">
        <v>2</v>
      </c>
      <c r="L1482" s="43">
        <v>25</v>
      </c>
      <c r="M1482" s="43">
        <v>25</v>
      </c>
      <c r="N1482" s="12" t="s">
        <v>1235</v>
      </c>
      <c r="O1482" s="47">
        <v>60</v>
      </c>
      <c r="P1482" s="47"/>
      <c r="Q1482" s="47"/>
      <c r="R1482" s="47">
        <v>60</v>
      </c>
      <c r="S1482" s="11">
        <v>2</v>
      </c>
      <c r="V1482" s="45"/>
      <c r="X1482" s="32">
        <v>4</v>
      </c>
      <c r="Y1482" s="54" t="s">
        <v>67</v>
      </c>
    </row>
    <row r="1483" spans="1:26" ht="23.1" customHeight="1" x14ac:dyDescent="0.25">
      <c r="A1483" s="20" t="s">
        <v>1221</v>
      </c>
      <c r="B1483" s="7" t="s">
        <v>110</v>
      </c>
      <c r="C1483" s="7">
        <v>45</v>
      </c>
      <c r="D1483" s="7" t="s">
        <v>298</v>
      </c>
      <c r="E1483" s="41" t="s">
        <v>299</v>
      </c>
      <c r="F1483" s="41" t="s">
        <v>299</v>
      </c>
      <c r="G1483" s="7" t="s">
        <v>300</v>
      </c>
      <c r="H1483" s="7">
        <v>8</v>
      </c>
      <c r="I1483" s="10"/>
      <c r="J1483" s="10">
        <v>3</v>
      </c>
      <c r="K1483" s="10">
        <v>2</v>
      </c>
      <c r="L1483" s="43">
        <v>25</v>
      </c>
      <c r="M1483" s="43">
        <v>25</v>
      </c>
      <c r="N1483" s="12" t="s">
        <v>1235</v>
      </c>
      <c r="O1483" s="47">
        <v>60</v>
      </c>
      <c r="P1483" s="47"/>
      <c r="Q1483" s="47"/>
      <c r="R1483" s="47">
        <v>60</v>
      </c>
      <c r="S1483" s="11">
        <v>2</v>
      </c>
      <c r="V1483" s="45"/>
      <c r="X1483" s="32">
        <v>4</v>
      </c>
      <c r="Y1483" s="54" t="s">
        <v>67</v>
      </c>
    </row>
    <row r="1484" spans="1:26" ht="23.1" customHeight="1" x14ac:dyDescent="0.25">
      <c r="A1484" s="20" t="s">
        <v>1236</v>
      </c>
      <c r="B1484" s="10" t="s">
        <v>113</v>
      </c>
      <c r="C1484" s="7">
        <v>102</v>
      </c>
      <c r="D1484" s="7" t="s">
        <v>1097</v>
      </c>
      <c r="E1484" s="41" t="s">
        <v>1098</v>
      </c>
      <c r="F1484" s="41" t="s">
        <v>1098</v>
      </c>
      <c r="G1484" s="7" t="s">
        <v>250</v>
      </c>
      <c r="H1484" s="7">
        <v>50</v>
      </c>
      <c r="I1484" s="10" t="s">
        <v>2185</v>
      </c>
      <c r="J1484" s="10">
        <v>0.5</v>
      </c>
      <c r="K1484" s="10">
        <v>0.5</v>
      </c>
      <c r="L1484" s="43">
        <v>32</v>
      </c>
      <c r="M1484" s="43">
        <v>32</v>
      </c>
      <c r="N1484" s="12" t="s">
        <v>292</v>
      </c>
      <c r="P1484" s="10">
        <v>1080</v>
      </c>
      <c r="Q1484" s="10">
        <v>60</v>
      </c>
      <c r="S1484" s="11">
        <v>1</v>
      </c>
      <c r="T1484" s="10">
        <v>120</v>
      </c>
      <c r="V1484" s="45"/>
      <c r="X1484" s="29">
        <v>10</v>
      </c>
      <c r="Y1484" s="54" t="s">
        <v>35</v>
      </c>
    </row>
    <row r="1485" spans="1:26" ht="23.1" customHeight="1" x14ac:dyDescent="0.25">
      <c r="A1485" s="20" t="s">
        <v>1236</v>
      </c>
      <c r="B1485" s="10" t="s">
        <v>113</v>
      </c>
      <c r="C1485" s="7">
        <v>98</v>
      </c>
      <c r="D1485" s="7" t="s">
        <v>404</v>
      </c>
      <c r="E1485" s="41" t="s">
        <v>405</v>
      </c>
      <c r="F1485" s="41" t="s">
        <v>405</v>
      </c>
      <c r="G1485" s="7" t="s">
        <v>118</v>
      </c>
      <c r="H1485" s="7">
        <v>35</v>
      </c>
      <c r="I1485" s="10" t="s">
        <v>2174</v>
      </c>
      <c r="J1485" s="10">
        <v>0.7</v>
      </c>
      <c r="K1485" s="10">
        <v>1.2</v>
      </c>
      <c r="L1485" s="43">
        <v>32</v>
      </c>
      <c r="M1485" s="43">
        <v>32</v>
      </c>
      <c r="N1485" s="12" t="s">
        <v>1094</v>
      </c>
      <c r="P1485" s="10">
        <v>800</v>
      </c>
      <c r="Q1485" s="10">
        <v>60</v>
      </c>
      <c r="S1485" s="11">
        <v>1</v>
      </c>
      <c r="T1485" s="10">
        <v>120</v>
      </c>
      <c r="V1485" s="45"/>
      <c r="X1485" s="29">
        <v>17</v>
      </c>
      <c r="Y1485" s="54" t="s">
        <v>35</v>
      </c>
    </row>
    <row r="1486" spans="1:26" ht="23.1" customHeight="1" x14ac:dyDescent="0.25">
      <c r="A1486" s="20" t="s">
        <v>1236</v>
      </c>
      <c r="B1486" s="10" t="s">
        <v>113</v>
      </c>
      <c r="C1486" s="7">
        <v>106</v>
      </c>
      <c r="D1486" s="7" t="s">
        <v>1070</v>
      </c>
      <c r="E1486" s="41" t="s">
        <v>101</v>
      </c>
      <c r="F1486" s="41" t="s">
        <v>101</v>
      </c>
      <c r="G1486" s="7" t="s">
        <v>300</v>
      </c>
      <c r="H1486" s="7">
        <v>25</v>
      </c>
      <c r="I1486" s="10" t="s">
        <v>2163</v>
      </c>
      <c r="J1486" s="10">
        <v>0.15</v>
      </c>
      <c r="K1486" s="10">
        <v>0.15</v>
      </c>
      <c r="L1486" s="43">
        <v>32</v>
      </c>
      <c r="M1486" s="43">
        <v>32</v>
      </c>
      <c r="N1486" s="12" t="s">
        <v>476</v>
      </c>
      <c r="P1486" s="10">
        <v>4800</v>
      </c>
      <c r="Q1486" s="10">
        <v>180</v>
      </c>
      <c r="T1486" s="10">
        <v>180</v>
      </c>
      <c r="V1486" s="45"/>
      <c r="X1486" s="29">
        <v>12</v>
      </c>
      <c r="Y1486" s="54" t="s">
        <v>35</v>
      </c>
    </row>
    <row r="1487" spans="1:26" ht="23.1" customHeight="1" x14ac:dyDescent="0.25">
      <c r="A1487" s="20" t="s">
        <v>1236</v>
      </c>
      <c r="B1487" s="10" t="s">
        <v>113</v>
      </c>
      <c r="C1487" s="7">
        <v>118</v>
      </c>
      <c r="D1487" s="42" t="s">
        <v>1171</v>
      </c>
      <c r="E1487" s="41" t="s">
        <v>1172</v>
      </c>
      <c r="F1487" s="41" t="s">
        <v>1172</v>
      </c>
      <c r="G1487" s="7" t="s">
        <v>300</v>
      </c>
      <c r="H1487" s="7">
        <v>38</v>
      </c>
      <c r="I1487" s="10"/>
      <c r="K1487" s="10">
        <v>0.8</v>
      </c>
      <c r="L1487" s="43">
        <v>32</v>
      </c>
      <c r="M1487" s="43">
        <v>32</v>
      </c>
      <c r="N1487" s="12" t="s">
        <v>330</v>
      </c>
      <c r="O1487" s="10">
        <v>400</v>
      </c>
      <c r="R1487" s="10">
        <v>60</v>
      </c>
      <c r="S1487" s="11">
        <v>1</v>
      </c>
      <c r="U1487" s="10">
        <v>120</v>
      </c>
      <c r="V1487" s="45">
        <v>1</v>
      </c>
      <c r="X1487" s="32">
        <v>8.3000000000000007</v>
      </c>
      <c r="Y1487" s="54" t="s">
        <v>35</v>
      </c>
    </row>
    <row r="1488" spans="1:26" ht="23.1" customHeight="1" x14ac:dyDescent="0.25">
      <c r="A1488" s="20" t="s">
        <v>1236</v>
      </c>
      <c r="B1488" s="10" t="s">
        <v>113</v>
      </c>
      <c r="C1488" s="7">
        <v>117</v>
      </c>
      <c r="D1488" s="7" t="s">
        <v>1081</v>
      </c>
      <c r="E1488" s="41" t="s">
        <v>1082</v>
      </c>
      <c r="F1488" s="41" t="s">
        <v>1082</v>
      </c>
      <c r="G1488" s="7" t="s">
        <v>123</v>
      </c>
      <c r="H1488" s="7">
        <v>35</v>
      </c>
      <c r="I1488" s="10" t="s">
        <v>2197</v>
      </c>
      <c r="K1488" s="10">
        <v>0.7</v>
      </c>
      <c r="L1488" s="43">
        <v>32</v>
      </c>
      <c r="M1488" s="43">
        <v>32</v>
      </c>
      <c r="N1488" s="12" t="s">
        <v>1237</v>
      </c>
      <c r="P1488" s="10">
        <v>700</v>
      </c>
      <c r="Q1488" s="10">
        <v>60</v>
      </c>
      <c r="T1488" s="10">
        <v>90</v>
      </c>
      <c r="V1488" s="45"/>
      <c r="X1488" s="29">
        <v>8.1999999999999993</v>
      </c>
      <c r="Y1488" s="54" t="s">
        <v>35</v>
      </c>
    </row>
    <row r="1489" spans="1:26" ht="23.1" customHeight="1" x14ac:dyDescent="0.25">
      <c r="A1489" s="20" t="s">
        <v>1236</v>
      </c>
      <c r="B1489" s="10" t="s">
        <v>113</v>
      </c>
      <c r="C1489" s="7">
        <v>45</v>
      </c>
      <c r="D1489" s="7" t="s">
        <v>1128</v>
      </c>
      <c r="E1489" s="41" t="s">
        <v>708</v>
      </c>
      <c r="F1489" s="41" t="e">
        <v>#N/A</v>
      </c>
      <c r="G1489" s="7" t="s">
        <v>250</v>
      </c>
      <c r="H1489" s="7">
        <v>5</v>
      </c>
      <c r="I1489" s="10" t="s">
        <v>1930</v>
      </c>
      <c r="J1489" s="10">
        <v>5</v>
      </c>
      <c r="K1489" s="10">
        <v>10</v>
      </c>
      <c r="L1489" s="43">
        <v>32</v>
      </c>
      <c r="M1489" s="43">
        <v>32</v>
      </c>
      <c r="N1489" s="12" t="s">
        <v>384</v>
      </c>
      <c r="P1489" s="10">
        <v>180</v>
      </c>
      <c r="Q1489" s="10">
        <v>60</v>
      </c>
      <c r="S1489" s="11">
        <v>10</v>
      </c>
      <c r="T1489" s="10">
        <v>60</v>
      </c>
      <c r="V1489" s="45">
        <v>1</v>
      </c>
      <c r="X1489" s="29">
        <v>41</v>
      </c>
      <c r="Y1489" s="54" t="s">
        <v>35</v>
      </c>
    </row>
    <row r="1490" spans="1:26" ht="23.1" customHeight="1" x14ac:dyDescent="0.25">
      <c r="A1490" s="20" t="s">
        <v>1236</v>
      </c>
      <c r="B1490" s="10" t="s">
        <v>113</v>
      </c>
      <c r="C1490" s="7">
        <v>100</v>
      </c>
      <c r="D1490" s="7" t="s">
        <v>298</v>
      </c>
      <c r="E1490" s="41" t="s">
        <v>299</v>
      </c>
      <c r="F1490" s="41" t="s">
        <v>299</v>
      </c>
      <c r="G1490" s="7" t="s">
        <v>300</v>
      </c>
      <c r="H1490" s="7">
        <v>25</v>
      </c>
      <c r="I1490" s="10" t="s">
        <v>2140</v>
      </c>
      <c r="J1490" s="10">
        <v>0.5</v>
      </c>
      <c r="K1490" s="10">
        <v>0.5</v>
      </c>
      <c r="L1490" s="43">
        <v>32</v>
      </c>
      <c r="M1490" s="43">
        <v>32</v>
      </c>
      <c r="N1490" s="12" t="s">
        <v>247</v>
      </c>
      <c r="P1490" s="10">
        <v>660</v>
      </c>
      <c r="Q1490" s="10">
        <v>60</v>
      </c>
      <c r="T1490" s="10">
        <v>180</v>
      </c>
      <c r="V1490" s="45">
        <v>1</v>
      </c>
      <c r="W1490" s="14">
        <v>1</v>
      </c>
      <c r="X1490" s="29">
        <v>9.5</v>
      </c>
      <c r="Y1490" s="54" t="s">
        <v>35</v>
      </c>
      <c r="Z1490" t="s">
        <v>1238</v>
      </c>
    </row>
    <row r="1491" spans="1:26" ht="23.1" customHeight="1" x14ac:dyDescent="0.25">
      <c r="A1491" s="20" t="s">
        <v>1236</v>
      </c>
      <c r="B1491" s="10" t="s">
        <v>113</v>
      </c>
      <c r="C1491" s="7">
        <v>82</v>
      </c>
      <c r="D1491" s="7" t="s">
        <v>1074</v>
      </c>
      <c r="E1491" s="41" t="s">
        <v>1075</v>
      </c>
      <c r="F1491" s="41" t="s">
        <v>1075</v>
      </c>
      <c r="G1491" s="7" t="s">
        <v>154</v>
      </c>
      <c r="H1491" s="7">
        <v>25</v>
      </c>
      <c r="I1491" s="10" t="s">
        <v>2198</v>
      </c>
      <c r="J1491" s="10">
        <v>1.5</v>
      </c>
      <c r="K1491" s="10">
        <v>2</v>
      </c>
      <c r="L1491" s="43">
        <v>32</v>
      </c>
      <c r="M1491" s="43">
        <v>32</v>
      </c>
      <c r="N1491" s="12" t="s">
        <v>1094</v>
      </c>
      <c r="P1491" s="10">
        <v>210</v>
      </c>
      <c r="S1491" s="11">
        <v>2</v>
      </c>
      <c r="T1491" s="10">
        <v>120</v>
      </c>
      <c r="V1491" s="45">
        <v>1</v>
      </c>
      <c r="W1491" s="10">
        <v>2</v>
      </c>
      <c r="X1491" s="29">
        <v>11</v>
      </c>
      <c r="Y1491" s="54" t="s">
        <v>35</v>
      </c>
      <c r="Z1491" t="s">
        <v>941</v>
      </c>
    </row>
    <row r="1492" spans="1:26" ht="23.1" customHeight="1" x14ac:dyDescent="0.25">
      <c r="A1492" s="20" t="s">
        <v>1236</v>
      </c>
      <c r="B1492" s="10" t="s">
        <v>113</v>
      </c>
      <c r="C1492" s="7">
        <v>83</v>
      </c>
      <c r="D1492" s="7" t="s">
        <v>1095</v>
      </c>
      <c r="E1492" s="41" t="s">
        <v>1096</v>
      </c>
      <c r="F1492" s="41" t="s">
        <v>1096</v>
      </c>
      <c r="G1492" s="7" t="s">
        <v>658</v>
      </c>
      <c r="H1492" s="7">
        <v>15</v>
      </c>
      <c r="I1492" s="10" t="s">
        <v>2292</v>
      </c>
      <c r="J1492" s="10">
        <v>1.7</v>
      </c>
      <c r="K1492" s="10">
        <v>3</v>
      </c>
      <c r="L1492" s="43">
        <v>32</v>
      </c>
      <c r="M1492" s="43">
        <v>32</v>
      </c>
      <c r="N1492" s="12" t="s">
        <v>351</v>
      </c>
      <c r="P1492" s="10">
        <v>270</v>
      </c>
      <c r="Q1492" s="10">
        <v>60</v>
      </c>
      <c r="S1492" s="11">
        <v>3</v>
      </c>
      <c r="T1492" s="10">
        <v>60</v>
      </c>
      <c r="V1492" s="45"/>
      <c r="X1492" s="29">
        <v>16.5</v>
      </c>
      <c r="Y1492" s="54" t="s">
        <v>35</v>
      </c>
    </row>
    <row r="1493" spans="1:26" ht="23.1" customHeight="1" x14ac:dyDescent="0.25">
      <c r="A1493" s="20" t="s">
        <v>1236</v>
      </c>
      <c r="B1493" s="10" t="s">
        <v>113</v>
      </c>
      <c r="C1493" s="7">
        <v>19</v>
      </c>
      <c r="D1493" s="7" t="s">
        <v>395</v>
      </c>
      <c r="E1493" s="41" t="s">
        <v>396</v>
      </c>
      <c r="F1493" s="41" t="e">
        <v>#N/A</v>
      </c>
      <c r="G1493" s="7" t="s">
        <v>300</v>
      </c>
      <c r="H1493" s="7">
        <v>25</v>
      </c>
      <c r="I1493" s="10" t="s">
        <v>1937</v>
      </c>
      <c r="J1493" s="10">
        <v>1.5</v>
      </c>
      <c r="K1493" s="10">
        <v>1.8</v>
      </c>
      <c r="L1493" s="43">
        <v>32</v>
      </c>
      <c r="M1493" s="43">
        <v>32</v>
      </c>
      <c r="N1493" s="12" t="s">
        <v>781</v>
      </c>
      <c r="P1493" s="10">
        <v>370</v>
      </c>
      <c r="Q1493" s="10">
        <v>90</v>
      </c>
      <c r="S1493" s="11">
        <v>1</v>
      </c>
      <c r="T1493" s="10">
        <v>60</v>
      </c>
      <c r="V1493" s="45"/>
      <c r="X1493" s="29">
        <v>12.6</v>
      </c>
      <c r="Y1493" s="54" t="s">
        <v>17</v>
      </c>
    </row>
    <row r="1494" spans="1:26" ht="23.1" customHeight="1" x14ac:dyDescent="0.25">
      <c r="A1494" s="20" t="s">
        <v>1236</v>
      </c>
      <c r="B1494" s="10" t="s">
        <v>113</v>
      </c>
      <c r="C1494" s="7">
        <v>44</v>
      </c>
      <c r="D1494" s="7" t="s">
        <v>495</v>
      </c>
      <c r="E1494" s="41" t="s">
        <v>267</v>
      </c>
      <c r="F1494" s="41" t="s">
        <v>267</v>
      </c>
      <c r="G1494" s="7" t="s">
        <v>118</v>
      </c>
      <c r="H1494" s="7">
        <v>55</v>
      </c>
      <c r="I1494" s="10" t="s">
        <v>2166</v>
      </c>
      <c r="J1494" s="10">
        <v>0.5</v>
      </c>
      <c r="K1494" s="10">
        <v>0.4</v>
      </c>
      <c r="L1494" s="43">
        <v>32</v>
      </c>
      <c r="M1494" s="43">
        <v>32</v>
      </c>
      <c r="N1494" s="12" t="s">
        <v>429</v>
      </c>
      <c r="P1494" s="10">
        <v>1260</v>
      </c>
      <c r="Q1494" s="10">
        <v>90</v>
      </c>
      <c r="S1494" s="11">
        <v>1</v>
      </c>
      <c r="T1494" s="10">
        <v>60</v>
      </c>
      <c r="V1494" s="45">
        <v>1</v>
      </c>
      <c r="X1494" s="29">
        <v>10.9</v>
      </c>
      <c r="Y1494" s="54" t="s">
        <v>64</v>
      </c>
    </row>
    <row r="1495" spans="1:26" ht="23.1" customHeight="1" x14ac:dyDescent="0.25">
      <c r="A1495" s="20" t="s">
        <v>1236</v>
      </c>
      <c r="B1495" s="10" t="s">
        <v>113</v>
      </c>
      <c r="C1495" s="7">
        <v>97</v>
      </c>
      <c r="D1495" s="7" t="s">
        <v>1076</v>
      </c>
      <c r="E1495" s="41" t="s">
        <v>1065</v>
      </c>
      <c r="F1495" s="41" t="s">
        <v>1065</v>
      </c>
      <c r="G1495" s="7" t="s">
        <v>250</v>
      </c>
      <c r="H1495" s="7">
        <v>60</v>
      </c>
      <c r="I1495" s="10" t="s">
        <v>2156</v>
      </c>
      <c r="J1495" s="10">
        <v>1</v>
      </c>
      <c r="K1495" s="10">
        <v>1</v>
      </c>
      <c r="L1495" s="43">
        <v>32</v>
      </c>
      <c r="M1495" s="43">
        <v>32</v>
      </c>
      <c r="N1495" s="12" t="s">
        <v>429</v>
      </c>
      <c r="P1495" s="10">
        <v>570</v>
      </c>
      <c r="Q1495" s="10">
        <v>60</v>
      </c>
      <c r="S1495" s="11">
        <v>1</v>
      </c>
      <c r="T1495" s="10">
        <v>60</v>
      </c>
      <c r="V1495" s="45"/>
      <c r="X1495" s="29">
        <v>10.5</v>
      </c>
      <c r="Y1495" s="54" t="s">
        <v>39</v>
      </c>
    </row>
    <row r="1496" spans="1:26" ht="23.1" customHeight="1" x14ac:dyDescent="0.25">
      <c r="A1496" s="20" t="s">
        <v>1236</v>
      </c>
      <c r="B1496" s="10" t="s">
        <v>113</v>
      </c>
      <c r="C1496" s="7">
        <v>101</v>
      </c>
      <c r="D1496" s="7" t="s">
        <v>1128</v>
      </c>
      <c r="E1496" s="41" t="s">
        <v>708</v>
      </c>
      <c r="F1496" s="41" t="e">
        <v>#N/A</v>
      </c>
      <c r="G1496" s="7" t="s">
        <v>250</v>
      </c>
      <c r="H1496" s="7">
        <v>30</v>
      </c>
      <c r="I1496" s="10" t="s">
        <v>2199</v>
      </c>
      <c r="J1496" s="10">
        <v>1</v>
      </c>
      <c r="K1496" s="10">
        <v>2</v>
      </c>
      <c r="L1496" s="43">
        <v>32</v>
      </c>
      <c r="M1496" s="43">
        <v>32</v>
      </c>
      <c r="N1496" s="12" t="s">
        <v>1119</v>
      </c>
      <c r="P1496" s="10">
        <v>750</v>
      </c>
      <c r="Q1496" s="10">
        <v>60</v>
      </c>
      <c r="S1496" s="11">
        <v>2</v>
      </c>
      <c r="T1496" s="10">
        <v>180</v>
      </c>
      <c r="V1496" s="45"/>
      <c r="X1496" s="29">
        <v>27</v>
      </c>
      <c r="Y1496" s="54" t="s">
        <v>47</v>
      </c>
    </row>
    <row r="1497" spans="1:26" ht="23.1" customHeight="1" x14ac:dyDescent="0.25">
      <c r="A1497" s="20" t="s">
        <v>1236</v>
      </c>
      <c r="B1497" s="10" t="s">
        <v>113</v>
      </c>
      <c r="C1497" s="7">
        <v>105</v>
      </c>
      <c r="D1497" s="7" t="s">
        <v>1176</v>
      </c>
      <c r="E1497" s="41" t="s">
        <v>1098</v>
      </c>
      <c r="F1497" s="41" t="s">
        <v>1098</v>
      </c>
      <c r="G1497" s="7" t="s">
        <v>250</v>
      </c>
      <c r="H1497" s="7">
        <v>50</v>
      </c>
      <c r="I1497" s="10" t="s">
        <v>2185</v>
      </c>
      <c r="J1497" s="10">
        <v>0.5</v>
      </c>
      <c r="K1497" s="10">
        <v>0.5</v>
      </c>
      <c r="L1497" s="43">
        <v>32</v>
      </c>
      <c r="M1497" s="43">
        <v>32</v>
      </c>
      <c r="N1497" s="12" t="s">
        <v>429</v>
      </c>
      <c r="P1497" s="10">
        <v>1080</v>
      </c>
      <c r="Q1497" s="10">
        <v>60</v>
      </c>
      <c r="T1497" s="10">
        <v>120</v>
      </c>
      <c r="V1497" s="45"/>
      <c r="X1497" s="29">
        <v>9</v>
      </c>
      <c r="Y1497" s="54" t="s">
        <v>9</v>
      </c>
    </row>
    <row r="1498" spans="1:26" ht="23.1" customHeight="1" x14ac:dyDescent="0.25">
      <c r="A1498" s="20" t="s">
        <v>1236</v>
      </c>
      <c r="B1498" s="10" t="s">
        <v>113</v>
      </c>
      <c r="C1498" s="7">
        <v>99</v>
      </c>
      <c r="D1498" s="7" t="s">
        <v>1191</v>
      </c>
      <c r="E1498" s="41" t="s">
        <v>1192</v>
      </c>
      <c r="F1498" s="41" t="s">
        <v>1192</v>
      </c>
      <c r="G1498" s="7" t="s">
        <v>300</v>
      </c>
      <c r="H1498" s="7">
        <v>40</v>
      </c>
      <c r="I1498" s="10" t="s">
        <v>2386</v>
      </c>
      <c r="J1498" s="10">
        <v>0.3</v>
      </c>
      <c r="K1498" s="10">
        <v>0.35</v>
      </c>
      <c r="L1498" s="43">
        <v>32</v>
      </c>
      <c r="M1498" s="43">
        <v>32</v>
      </c>
      <c r="N1498" s="12" t="s">
        <v>470</v>
      </c>
      <c r="P1498" s="10">
        <v>1800</v>
      </c>
      <c r="Q1498" s="10">
        <v>90</v>
      </c>
      <c r="T1498" s="10">
        <v>120</v>
      </c>
      <c r="V1498" s="45"/>
      <c r="X1498" s="29">
        <v>10.5</v>
      </c>
      <c r="Y1498" s="54" t="s">
        <v>29</v>
      </c>
    </row>
    <row r="1499" spans="1:26" ht="23.1" customHeight="1" x14ac:dyDescent="0.25">
      <c r="A1499" s="20" t="s">
        <v>1236</v>
      </c>
      <c r="B1499" s="10" t="s">
        <v>113</v>
      </c>
      <c r="C1499" s="7">
        <v>103</v>
      </c>
      <c r="D1499" s="7" t="s">
        <v>1239</v>
      </c>
      <c r="E1499" s="41" t="s">
        <v>835</v>
      </c>
      <c r="F1499" s="41" t="s">
        <v>835</v>
      </c>
      <c r="G1499" s="7" t="s">
        <v>154</v>
      </c>
      <c r="H1499" s="7">
        <v>65</v>
      </c>
      <c r="I1499" s="10" t="s">
        <v>2460</v>
      </c>
      <c r="J1499" s="10">
        <v>3</v>
      </c>
      <c r="K1499" s="10">
        <v>3</v>
      </c>
      <c r="L1499" s="43">
        <v>32</v>
      </c>
      <c r="M1499" s="43">
        <v>32</v>
      </c>
      <c r="N1499" s="12" t="s">
        <v>1240</v>
      </c>
      <c r="P1499" s="10">
        <v>100</v>
      </c>
      <c r="Q1499" s="10">
        <v>60</v>
      </c>
      <c r="S1499" s="11">
        <v>3</v>
      </c>
      <c r="T1499" s="10">
        <v>60</v>
      </c>
      <c r="V1499" s="45"/>
      <c r="X1499" s="29">
        <v>8</v>
      </c>
      <c r="Y1499" s="54" t="s">
        <v>61</v>
      </c>
    </row>
    <row r="1500" spans="1:26" ht="23.1" customHeight="1" x14ac:dyDescent="0.25">
      <c r="A1500" s="20" t="s">
        <v>1236</v>
      </c>
      <c r="B1500" s="10" t="s">
        <v>110</v>
      </c>
      <c r="C1500" s="7">
        <v>83</v>
      </c>
      <c r="D1500" s="7" t="s">
        <v>1095</v>
      </c>
      <c r="E1500" s="41" t="s">
        <v>1096</v>
      </c>
      <c r="F1500" s="41" t="s">
        <v>1096</v>
      </c>
      <c r="G1500" s="7" t="s">
        <v>658</v>
      </c>
      <c r="H1500" s="7">
        <v>15</v>
      </c>
      <c r="I1500" s="10" t="s">
        <v>2461</v>
      </c>
      <c r="J1500" s="10">
        <v>1.7</v>
      </c>
      <c r="K1500" s="10">
        <v>2</v>
      </c>
      <c r="L1500" s="43">
        <v>25</v>
      </c>
      <c r="M1500" s="43">
        <v>25</v>
      </c>
      <c r="N1500" s="12" t="s">
        <v>351</v>
      </c>
      <c r="P1500" s="10">
        <v>270</v>
      </c>
      <c r="Q1500" s="10">
        <v>60</v>
      </c>
      <c r="S1500" s="11">
        <v>2</v>
      </c>
      <c r="T1500" s="10">
        <v>60</v>
      </c>
      <c r="V1500" s="45"/>
      <c r="X1500" s="29">
        <v>11</v>
      </c>
      <c r="Y1500" s="54" t="s">
        <v>67</v>
      </c>
    </row>
    <row r="1501" spans="1:26" ht="23.1" customHeight="1" x14ac:dyDescent="0.25">
      <c r="A1501" s="20" t="s">
        <v>1236</v>
      </c>
      <c r="B1501" s="10" t="s">
        <v>110</v>
      </c>
      <c r="C1501" s="7">
        <v>44</v>
      </c>
      <c r="D1501" s="7" t="s">
        <v>266</v>
      </c>
      <c r="E1501" s="41" t="s">
        <v>267</v>
      </c>
      <c r="F1501" s="41" t="s">
        <v>267</v>
      </c>
      <c r="G1501" s="7" t="s">
        <v>118</v>
      </c>
      <c r="H1501" s="7">
        <v>55</v>
      </c>
      <c r="I1501" s="10" t="s">
        <v>2166</v>
      </c>
      <c r="J1501" s="10">
        <v>0.5</v>
      </c>
      <c r="K1501" s="10">
        <v>0.5</v>
      </c>
      <c r="L1501" s="43">
        <v>25</v>
      </c>
      <c r="M1501" s="43">
        <v>25</v>
      </c>
      <c r="N1501" s="12" t="s">
        <v>429</v>
      </c>
      <c r="P1501" s="10">
        <v>1260</v>
      </c>
      <c r="Q1501" s="10">
        <v>90</v>
      </c>
      <c r="T1501" s="10">
        <v>60</v>
      </c>
      <c r="V1501" s="45"/>
      <c r="X1501" s="29">
        <v>10.5</v>
      </c>
      <c r="Y1501" s="54" t="s">
        <v>67</v>
      </c>
    </row>
    <row r="1502" spans="1:26" ht="23.1" customHeight="1" x14ac:dyDescent="0.25">
      <c r="A1502" s="20" t="s">
        <v>1236</v>
      </c>
      <c r="B1502" s="7" t="s">
        <v>110</v>
      </c>
      <c r="C1502" s="7">
        <v>100</v>
      </c>
      <c r="D1502" s="7" t="s">
        <v>759</v>
      </c>
      <c r="E1502" s="41" t="s">
        <v>760</v>
      </c>
      <c r="F1502" s="41" t="s">
        <v>760</v>
      </c>
      <c r="G1502" s="7" t="s">
        <v>300</v>
      </c>
      <c r="H1502" s="7">
        <v>10</v>
      </c>
      <c r="I1502" s="10" t="s">
        <v>2196</v>
      </c>
      <c r="J1502" s="10">
        <v>4</v>
      </c>
      <c r="K1502" s="10">
        <v>5</v>
      </c>
      <c r="L1502" s="43">
        <v>25</v>
      </c>
      <c r="M1502" s="43">
        <v>25</v>
      </c>
      <c r="N1502" s="12" t="s">
        <v>1241</v>
      </c>
      <c r="P1502" s="10">
        <v>180</v>
      </c>
      <c r="Q1502" s="10">
        <v>60</v>
      </c>
      <c r="S1502" s="11">
        <v>5</v>
      </c>
      <c r="T1502" s="10">
        <v>60</v>
      </c>
      <c r="V1502" s="45"/>
      <c r="X1502" s="29">
        <v>20</v>
      </c>
      <c r="Y1502" s="54" t="s">
        <v>67</v>
      </c>
    </row>
    <row r="1503" spans="1:26" ht="23.1" customHeight="1" x14ac:dyDescent="0.25">
      <c r="A1503" s="20" t="s">
        <v>1236</v>
      </c>
      <c r="B1503" s="7" t="s">
        <v>110</v>
      </c>
      <c r="C1503" s="7">
        <v>102</v>
      </c>
      <c r="D1503" s="7" t="s">
        <v>1097</v>
      </c>
      <c r="E1503" s="41" t="s">
        <v>1098</v>
      </c>
      <c r="F1503" s="41" t="s">
        <v>1098</v>
      </c>
      <c r="G1503" s="7" t="s">
        <v>250</v>
      </c>
      <c r="H1503" s="7">
        <v>50</v>
      </c>
      <c r="I1503" s="10" t="s">
        <v>2185</v>
      </c>
      <c r="J1503" s="10">
        <v>0.5</v>
      </c>
      <c r="K1503" s="10">
        <v>0.5</v>
      </c>
      <c r="L1503" s="43">
        <v>25</v>
      </c>
      <c r="M1503" s="43">
        <v>25</v>
      </c>
      <c r="N1503" s="12" t="s">
        <v>292</v>
      </c>
      <c r="P1503" s="10">
        <v>1080</v>
      </c>
      <c r="Q1503" s="10">
        <v>60</v>
      </c>
      <c r="T1503" s="10">
        <v>120</v>
      </c>
      <c r="V1503" s="45"/>
      <c r="X1503" s="29">
        <v>9</v>
      </c>
      <c r="Y1503" s="54" t="s">
        <v>67</v>
      </c>
    </row>
    <row r="1504" spans="1:26" ht="23.1" customHeight="1" x14ac:dyDescent="0.25">
      <c r="A1504" s="20" t="s">
        <v>1236</v>
      </c>
      <c r="B1504" s="7" t="s">
        <v>110</v>
      </c>
      <c r="C1504" s="7">
        <v>98</v>
      </c>
      <c r="D1504" s="7" t="s">
        <v>404</v>
      </c>
      <c r="E1504" s="41" t="s">
        <v>405</v>
      </c>
      <c r="F1504" s="41" t="s">
        <v>405</v>
      </c>
      <c r="G1504" s="7" t="s">
        <v>118</v>
      </c>
      <c r="H1504" s="7">
        <v>35</v>
      </c>
      <c r="I1504" s="10" t="s">
        <v>2174</v>
      </c>
      <c r="J1504" s="10">
        <v>0.7</v>
      </c>
      <c r="K1504" s="10">
        <v>0.8</v>
      </c>
      <c r="L1504" s="43">
        <v>25</v>
      </c>
      <c r="M1504" s="43">
        <v>25</v>
      </c>
      <c r="N1504" s="12" t="s">
        <v>1118</v>
      </c>
      <c r="P1504" s="10">
        <v>800</v>
      </c>
      <c r="Q1504" s="10">
        <v>60</v>
      </c>
      <c r="T1504" s="10">
        <v>120</v>
      </c>
      <c r="V1504" s="45"/>
      <c r="X1504" s="29">
        <v>10.7</v>
      </c>
      <c r="Y1504" s="54" t="s">
        <v>67</v>
      </c>
    </row>
    <row r="1505" spans="1:26" ht="23.1" customHeight="1" x14ac:dyDescent="0.25">
      <c r="A1505" s="20" t="s">
        <v>1236</v>
      </c>
      <c r="B1505" s="7" t="s">
        <v>110</v>
      </c>
      <c r="C1505" s="7">
        <v>106</v>
      </c>
      <c r="D1505" s="7" t="s">
        <v>1070</v>
      </c>
      <c r="E1505" s="41" t="s">
        <v>101</v>
      </c>
      <c r="F1505" s="41" t="s">
        <v>101</v>
      </c>
      <c r="G1505" s="7" t="s">
        <v>300</v>
      </c>
      <c r="H1505" s="7">
        <v>25</v>
      </c>
      <c r="I1505" s="10" t="s">
        <v>2163</v>
      </c>
      <c r="J1505" s="10">
        <v>0.15</v>
      </c>
      <c r="K1505" s="10">
        <v>0.15</v>
      </c>
      <c r="L1505" s="43">
        <v>25</v>
      </c>
      <c r="M1505" s="43">
        <v>25</v>
      </c>
      <c r="N1505" s="12" t="s">
        <v>476</v>
      </c>
      <c r="P1505" s="10">
        <v>4800</v>
      </c>
      <c r="Q1505" s="10">
        <v>180</v>
      </c>
      <c r="T1505" s="10">
        <v>180</v>
      </c>
      <c r="V1505" s="45"/>
      <c r="X1505" s="29">
        <v>12</v>
      </c>
      <c r="Y1505" s="54" t="s">
        <v>67</v>
      </c>
    </row>
    <row r="1506" spans="1:26" ht="23.1" customHeight="1" x14ac:dyDescent="0.25">
      <c r="A1506" s="20" t="s">
        <v>1236</v>
      </c>
      <c r="B1506" s="7" t="s">
        <v>110</v>
      </c>
      <c r="C1506" s="7">
        <v>101</v>
      </c>
      <c r="D1506" s="7" t="s">
        <v>1128</v>
      </c>
      <c r="E1506" s="41" t="s">
        <v>708</v>
      </c>
      <c r="F1506" s="41" t="e">
        <v>#N/A</v>
      </c>
      <c r="G1506" s="7" t="s">
        <v>250</v>
      </c>
      <c r="H1506" s="7">
        <v>30</v>
      </c>
      <c r="I1506" s="10" t="s">
        <v>2199</v>
      </c>
      <c r="J1506" s="10">
        <v>0.5</v>
      </c>
      <c r="K1506" s="10">
        <v>1</v>
      </c>
      <c r="L1506" s="43">
        <v>25</v>
      </c>
      <c r="M1506" s="43">
        <v>25</v>
      </c>
      <c r="N1506" s="12" t="s">
        <v>519</v>
      </c>
      <c r="P1506" s="10">
        <v>750</v>
      </c>
      <c r="Q1506" s="10">
        <v>60</v>
      </c>
      <c r="S1506" s="11">
        <v>1</v>
      </c>
      <c r="T1506" s="10">
        <v>180</v>
      </c>
      <c r="V1506" s="45">
        <v>1</v>
      </c>
      <c r="W1506" s="10">
        <v>3</v>
      </c>
      <c r="X1506" s="29">
        <v>19.5</v>
      </c>
      <c r="Y1506" s="54" t="s">
        <v>67</v>
      </c>
      <c r="Z1506" t="s">
        <v>1193</v>
      </c>
    </row>
    <row r="1507" spans="1:26" ht="23.1" customHeight="1" x14ac:dyDescent="0.25">
      <c r="A1507" s="20" t="s">
        <v>1236</v>
      </c>
      <c r="B1507" s="7" t="s">
        <v>110</v>
      </c>
      <c r="C1507" s="7">
        <v>45</v>
      </c>
      <c r="D1507" s="7" t="s">
        <v>298</v>
      </c>
      <c r="E1507" s="41" t="s">
        <v>299</v>
      </c>
      <c r="F1507" s="41" t="s">
        <v>299</v>
      </c>
      <c r="G1507" s="7" t="s">
        <v>300</v>
      </c>
      <c r="H1507" s="7">
        <v>6</v>
      </c>
      <c r="I1507" s="10"/>
      <c r="K1507" s="10">
        <v>1</v>
      </c>
      <c r="L1507" s="43">
        <v>25</v>
      </c>
      <c r="M1507" s="43">
        <v>25</v>
      </c>
      <c r="N1507" s="12" t="s">
        <v>199</v>
      </c>
      <c r="O1507" s="47">
        <v>60</v>
      </c>
      <c r="P1507" s="47"/>
      <c r="Q1507" s="47"/>
      <c r="R1507" s="47">
        <v>60</v>
      </c>
      <c r="S1507" s="11">
        <v>1</v>
      </c>
      <c r="U1507" s="47">
        <v>60</v>
      </c>
      <c r="V1507" s="45">
        <v>1</v>
      </c>
      <c r="X1507" s="32">
        <v>3</v>
      </c>
      <c r="Y1507" s="54" t="s">
        <v>67</v>
      </c>
    </row>
    <row r="1508" spans="1:26" ht="23.1" customHeight="1" x14ac:dyDescent="0.25">
      <c r="A1508" s="20" t="s">
        <v>1236</v>
      </c>
      <c r="B1508" s="7" t="s">
        <v>110</v>
      </c>
      <c r="C1508" s="7">
        <v>45</v>
      </c>
      <c r="D1508" s="7" t="s">
        <v>298</v>
      </c>
      <c r="E1508" s="41" t="s">
        <v>299</v>
      </c>
      <c r="F1508" s="41" t="s">
        <v>299</v>
      </c>
      <c r="G1508" s="7" t="s">
        <v>300</v>
      </c>
      <c r="H1508" s="7">
        <v>7</v>
      </c>
      <c r="I1508" s="10"/>
      <c r="K1508" s="10">
        <v>1</v>
      </c>
      <c r="L1508" s="43">
        <v>25</v>
      </c>
      <c r="M1508" s="43">
        <v>25</v>
      </c>
      <c r="N1508" s="12" t="s">
        <v>199</v>
      </c>
      <c r="O1508" s="47">
        <v>60</v>
      </c>
      <c r="P1508" s="47"/>
      <c r="Q1508" s="47"/>
      <c r="R1508" s="47">
        <v>60</v>
      </c>
      <c r="S1508" s="11">
        <v>1</v>
      </c>
      <c r="U1508" s="47">
        <v>60</v>
      </c>
      <c r="V1508" s="45">
        <v>1</v>
      </c>
      <c r="X1508" s="32">
        <v>3</v>
      </c>
      <c r="Y1508" s="54" t="s">
        <v>67</v>
      </c>
    </row>
    <row r="1509" spans="1:26" ht="23.1" customHeight="1" x14ac:dyDescent="0.25">
      <c r="A1509" s="20" t="s">
        <v>1236</v>
      </c>
      <c r="B1509" s="7" t="s">
        <v>110</v>
      </c>
      <c r="C1509" s="7">
        <v>45</v>
      </c>
      <c r="D1509" s="7" t="s">
        <v>298</v>
      </c>
      <c r="E1509" s="41" t="s">
        <v>299</v>
      </c>
      <c r="F1509" s="41" t="s">
        <v>299</v>
      </c>
      <c r="G1509" s="7" t="s">
        <v>300</v>
      </c>
      <c r="H1509" s="7">
        <v>8</v>
      </c>
      <c r="I1509" s="10"/>
      <c r="K1509" s="10">
        <v>1</v>
      </c>
      <c r="L1509" s="43">
        <v>25</v>
      </c>
      <c r="M1509" s="43">
        <v>25</v>
      </c>
      <c r="N1509" s="12" t="s">
        <v>199</v>
      </c>
      <c r="O1509" s="47">
        <v>60</v>
      </c>
      <c r="P1509" s="47"/>
      <c r="Q1509" s="47"/>
      <c r="R1509" s="47">
        <v>60</v>
      </c>
      <c r="S1509" s="11">
        <v>1</v>
      </c>
      <c r="U1509" s="47">
        <v>60</v>
      </c>
      <c r="V1509" s="45">
        <v>1</v>
      </c>
      <c r="X1509" s="32">
        <v>3</v>
      </c>
      <c r="Y1509" s="54" t="s">
        <v>67</v>
      </c>
    </row>
    <row r="1510" spans="1:26" ht="23.1" customHeight="1" x14ac:dyDescent="0.25">
      <c r="A1510" s="20" t="s">
        <v>1236</v>
      </c>
      <c r="B1510" s="7" t="s">
        <v>110</v>
      </c>
      <c r="C1510" s="7">
        <v>45</v>
      </c>
      <c r="D1510" s="7" t="s">
        <v>298</v>
      </c>
      <c r="E1510" s="41" t="s">
        <v>299</v>
      </c>
      <c r="F1510" s="41" t="s">
        <v>299</v>
      </c>
      <c r="G1510" s="7" t="s">
        <v>300</v>
      </c>
      <c r="H1510" s="7">
        <v>10</v>
      </c>
      <c r="I1510" s="10" t="s">
        <v>2136</v>
      </c>
      <c r="K1510" s="10">
        <v>1</v>
      </c>
      <c r="L1510" s="43">
        <v>25</v>
      </c>
      <c r="M1510" s="43">
        <v>25</v>
      </c>
      <c r="N1510" s="12" t="s">
        <v>199</v>
      </c>
      <c r="P1510" s="10">
        <v>180</v>
      </c>
      <c r="Q1510" s="10">
        <v>60</v>
      </c>
      <c r="S1510" s="11">
        <v>1</v>
      </c>
      <c r="T1510" s="10">
        <v>90</v>
      </c>
      <c r="V1510" s="45">
        <v>1</v>
      </c>
      <c r="X1510" s="29">
        <v>5.5</v>
      </c>
      <c r="Y1510" s="54" t="s">
        <v>67</v>
      </c>
    </row>
    <row r="1511" spans="1:26" ht="23.1" customHeight="1" x14ac:dyDescent="0.25">
      <c r="A1511" s="20" t="s">
        <v>1236</v>
      </c>
      <c r="B1511" s="7" t="s">
        <v>110</v>
      </c>
      <c r="C1511" s="7">
        <v>45</v>
      </c>
      <c r="D1511" s="7" t="s">
        <v>484</v>
      </c>
      <c r="E1511" s="41" t="s">
        <v>485</v>
      </c>
      <c r="F1511" s="41" t="s">
        <v>485</v>
      </c>
      <c r="G1511" s="7" t="s">
        <v>300</v>
      </c>
      <c r="H1511" s="7">
        <v>6</v>
      </c>
      <c r="I1511" s="10"/>
      <c r="K1511" s="10">
        <v>1</v>
      </c>
      <c r="L1511" s="43">
        <v>25</v>
      </c>
      <c r="M1511" s="43">
        <v>25</v>
      </c>
      <c r="N1511" s="12" t="s">
        <v>199</v>
      </c>
      <c r="O1511" s="47">
        <v>60</v>
      </c>
      <c r="P1511" s="47"/>
      <c r="Q1511" s="47"/>
      <c r="R1511" s="47">
        <v>60</v>
      </c>
      <c r="S1511" s="11">
        <v>1</v>
      </c>
      <c r="U1511" s="47">
        <v>60</v>
      </c>
      <c r="V1511" s="45">
        <v>1</v>
      </c>
      <c r="X1511" s="32">
        <v>3</v>
      </c>
      <c r="Y1511" s="54" t="s">
        <v>67</v>
      </c>
    </row>
    <row r="1512" spans="1:26" ht="23.1" customHeight="1" x14ac:dyDescent="0.25">
      <c r="A1512" s="20" t="s">
        <v>1236</v>
      </c>
      <c r="B1512" s="7" t="s">
        <v>110</v>
      </c>
      <c r="C1512" s="7">
        <v>45</v>
      </c>
      <c r="D1512" s="7" t="s">
        <v>484</v>
      </c>
      <c r="E1512" s="41" t="s">
        <v>485</v>
      </c>
      <c r="F1512" s="41" t="s">
        <v>485</v>
      </c>
      <c r="G1512" s="7" t="s">
        <v>300</v>
      </c>
      <c r="H1512" s="7">
        <v>7</v>
      </c>
      <c r="I1512" s="10"/>
      <c r="K1512" s="10">
        <v>1</v>
      </c>
      <c r="L1512" s="43">
        <v>25</v>
      </c>
      <c r="M1512" s="43">
        <v>25</v>
      </c>
      <c r="N1512" s="12" t="s">
        <v>199</v>
      </c>
      <c r="O1512" s="47">
        <v>60</v>
      </c>
      <c r="P1512" s="47"/>
      <c r="Q1512" s="47"/>
      <c r="R1512" s="47">
        <v>60</v>
      </c>
      <c r="S1512" s="11">
        <v>1</v>
      </c>
      <c r="U1512" s="47">
        <v>60</v>
      </c>
      <c r="V1512" s="45">
        <v>1</v>
      </c>
      <c r="X1512" s="32">
        <v>3</v>
      </c>
      <c r="Y1512" s="54" t="s">
        <v>67</v>
      </c>
    </row>
    <row r="1513" spans="1:26" ht="23.1" customHeight="1" x14ac:dyDescent="0.25">
      <c r="A1513" s="20" t="s">
        <v>1236</v>
      </c>
      <c r="B1513" s="7" t="s">
        <v>110</v>
      </c>
      <c r="C1513" s="7">
        <v>45</v>
      </c>
      <c r="D1513" s="7" t="s">
        <v>484</v>
      </c>
      <c r="E1513" s="41" t="s">
        <v>485</v>
      </c>
      <c r="F1513" s="41" t="s">
        <v>485</v>
      </c>
      <c r="G1513" s="7" t="s">
        <v>300</v>
      </c>
      <c r="H1513" s="7">
        <v>8</v>
      </c>
      <c r="I1513" s="10"/>
      <c r="K1513" s="10">
        <v>1</v>
      </c>
      <c r="L1513" s="43">
        <v>25</v>
      </c>
      <c r="M1513" s="43">
        <v>25</v>
      </c>
      <c r="N1513" s="12" t="s">
        <v>199</v>
      </c>
      <c r="O1513" s="47">
        <v>60</v>
      </c>
      <c r="P1513" s="47"/>
      <c r="Q1513" s="47"/>
      <c r="R1513" s="47">
        <v>60</v>
      </c>
      <c r="S1513" s="11">
        <v>1</v>
      </c>
      <c r="U1513" s="47">
        <v>60</v>
      </c>
      <c r="V1513" s="45">
        <v>1</v>
      </c>
      <c r="X1513" s="32">
        <v>3</v>
      </c>
      <c r="Y1513" s="54" t="s">
        <v>67</v>
      </c>
    </row>
    <row r="1514" spans="1:26" ht="23.1" customHeight="1" x14ac:dyDescent="0.25">
      <c r="A1514" s="20" t="s">
        <v>1236</v>
      </c>
      <c r="B1514" s="7" t="s">
        <v>110</v>
      </c>
      <c r="C1514" s="7">
        <v>45</v>
      </c>
      <c r="D1514" s="7" t="s">
        <v>484</v>
      </c>
      <c r="E1514" s="41" t="s">
        <v>485</v>
      </c>
      <c r="F1514" s="41" t="s">
        <v>485</v>
      </c>
      <c r="G1514" s="7" t="s">
        <v>300</v>
      </c>
      <c r="H1514" s="7">
        <v>10</v>
      </c>
      <c r="I1514" s="10" t="s">
        <v>2136</v>
      </c>
      <c r="K1514" s="10">
        <v>1</v>
      </c>
      <c r="L1514" s="43">
        <v>25</v>
      </c>
      <c r="M1514" s="43">
        <v>25</v>
      </c>
      <c r="N1514" s="12" t="s">
        <v>199</v>
      </c>
      <c r="P1514" s="10">
        <v>180</v>
      </c>
      <c r="Q1514" s="10">
        <v>60</v>
      </c>
      <c r="S1514" s="11">
        <v>1</v>
      </c>
      <c r="T1514" s="10">
        <v>90</v>
      </c>
      <c r="V1514" s="45">
        <v>1</v>
      </c>
      <c r="X1514" s="29">
        <v>5.5</v>
      </c>
      <c r="Y1514" s="54" t="s">
        <v>67</v>
      </c>
    </row>
    <row r="1515" spans="1:26" ht="23.1" customHeight="1" x14ac:dyDescent="0.25">
      <c r="A1515" s="20" t="s">
        <v>1236</v>
      </c>
      <c r="B1515" s="7" t="s">
        <v>110</v>
      </c>
      <c r="C1515" s="7">
        <v>103</v>
      </c>
      <c r="D1515" s="7" t="s">
        <v>834</v>
      </c>
      <c r="E1515" s="41" t="s">
        <v>835</v>
      </c>
      <c r="F1515" s="41" t="s">
        <v>835</v>
      </c>
      <c r="G1515" s="7" t="s">
        <v>154</v>
      </c>
      <c r="H1515" s="7">
        <v>65</v>
      </c>
      <c r="I1515" s="10" t="s">
        <v>2200</v>
      </c>
      <c r="K1515" s="10">
        <v>1</v>
      </c>
      <c r="L1515" s="43">
        <v>117</v>
      </c>
      <c r="M1515" s="43">
        <v>117</v>
      </c>
      <c r="N1515" s="12" t="s">
        <v>421</v>
      </c>
      <c r="P1515" s="10">
        <v>100</v>
      </c>
      <c r="Q1515" s="10">
        <v>60</v>
      </c>
      <c r="S1515" s="11">
        <v>1</v>
      </c>
      <c r="T1515" s="10">
        <v>60</v>
      </c>
      <c r="V1515" s="45">
        <v>1</v>
      </c>
      <c r="W1515" s="10">
        <v>2</v>
      </c>
      <c r="X1515" s="29">
        <v>5.7</v>
      </c>
      <c r="Y1515" s="54" t="s">
        <v>67</v>
      </c>
      <c r="Z1515" t="s">
        <v>1242</v>
      </c>
    </row>
    <row r="1516" spans="1:26" ht="23.1" customHeight="1" x14ac:dyDescent="0.25">
      <c r="A1516" s="20" t="s">
        <v>1221</v>
      </c>
      <c r="B1516" s="7" t="s">
        <v>110</v>
      </c>
      <c r="C1516" s="7">
        <v>99</v>
      </c>
      <c r="D1516" s="7" t="s">
        <v>1191</v>
      </c>
      <c r="E1516" s="41" t="s">
        <v>1192</v>
      </c>
      <c r="F1516" s="41" t="s">
        <v>1192</v>
      </c>
      <c r="G1516" s="7" t="s">
        <v>300</v>
      </c>
      <c r="H1516" s="7">
        <v>40</v>
      </c>
      <c r="I1516" s="10" t="s">
        <v>2386</v>
      </c>
      <c r="J1516" s="10">
        <v>0.3</v>
      </c>
      <c r="K1516" s="10">
        <v>0.35</v>
      </c>
      <c r="L1516" s="43">
        <v>25</v>
      </c>
      <c r="M1516" s="43">
        <v>25</v>
      </c>
      <c r="N1516" s="12" t="s">
        <v>470</v>
      </c>
      <c r="P1516" s="10">
        <v>1800</v>
      </c>
      <c r="Q1516" s="10">
        <v>90</v>
      </c>
      <c r="T1516" s="10">
        <v>120</v>
      </c>
      <c r="V1516" s="45"/>
      <c r="X1516" s="29">
        <v>10.5</v>
      </c>
      <c r="Y1516" s="54" t="s">
        <v>21</v>
      </c>
    </row>
    <row r="1517" spans="1:26" ht="23.1" customHeight="1" x14ac:dyDescent="0.25">
      <c r="A1517" s="20" t="s">
        <v>1221</v>
      </c>
      <c r="B1517" s="7" t="s">
        <v>110</v>
      </c>
      <c r="C1517" s="7">
        <v>97</v>
      </c>
      <c r="D1517" s="7" t="s">
        <v>1076</v>
      </c>
      <c r="E1517" s="41" t="s">
        <v>1065</v>
      </c>
      <c r="F1517" s="41" t="s">
        <v>1065</v>
      </c>
      <c r="G1517" s="7" t="s">
        <v>250</v>
      </c>
      <c r="H1517" s="7">
        <v>60</v>
      </c>
      <c r="I1517" s="10" t="s">
        <v>2156</v>
      </c>
      <c r="J1517" s="10">
        <v>1</v>
      </c>
      <c r="K1517" s="10">
        <v>0.9</v>
      </c>
      <c r="L1517" s="43">
        <v>25</v>
      </c>
      <c r="M1517" s="43">
        <v>25</v>
      </c>
      <c r="N1517" s="12" t="s">
        <v>429</v>
      </c>
      <c r="P1517" s="10">
        <v>570</v>
      </c>
      <c r="Q1517" s="10">
        <v>60</v>
      </c>
      <c r="T1517" s="10">
        <v>60</v>
      </c>
      <c r="V1517" s="45"/>
      <c r="X1517" s="29">
        <v>8.6</v>
      </c>
      <c r="Y1517" s="54" t="s">
        <v>1</v>
      </c>
    </row>
    <row r="1518" spans="1:26" ht="23.1" customHeight="1" x14ac:dyDescent="0.25">
      <c r="A1518" s="20" t="s">
        <v>1221</v>
      </c>
      <c r="B1518" s="7" t="s">
        <v>110</v>
      </c>
      <c r="C1518" s="7">
        <v>105</v>
      </c>
      <c r="D1518" s="7" t="s">
        <v>1176</v>
      </c>
      <c r="E1518" s="41" t="s">
        <v>1098</v>
      </c>
      <c r="F1518" s="41" t="s">
        <v>1098</v>
      </c>
      <c r="G1518" s="7" t="s">
        <v>250</v>
      </c>
      <c r="H1518" s="7">
        <v>50</v>
      </c>
      <c r="I1518" s="10" t="s">
        <v>2303</v>
      </c>
      <c r="J1518" s="10">
        <v>0.5</v>
      </c>
      <c r="K1518" s="10">
        <v>0.6</v>
      </c>
      <c r="L1518" s="43">
        <v>25</v>
      </c>
      <c r="M1518" s="43">
        <v>25</v>
      </c>
      <c r="N1518" s="12" t="s">
        <v>429</v>
      </c>
      <c r="P1518" s="10">
        <v>1080</v>
      </c>
      <c r="Q1518" s="10">
        <v>60</v>
      </c>
      <c r="S1518" s="11">
        <v>1</v>
      </c>
      <c r="T1518" s="10">
        <v>120</v>
      </c>
      <c r="V1518" s="45"/>
      <c r="X1518" s="29">
        <v>11.8</v>
      </c>
      <c r="Y1518" s="54" t="s">
        <v>28</v>
      </c>
    </row>
    <row r="1519" spans="1:26" ht="23.1" customHeight="1" x14ac:dyDescent="0.25">
      <c r="A1519" s="20" t="s">
        <v>1221</v>
      </c>
      <c r="B1519" s="7" t="s">
        <v>110</v>
      </c>
      <c r="C1519" s="7">
        <v>82</v>
      </c>
      <c r="D1519" s="7" t="s">
        <v>484</v>
      </c>
      <c r="E1519" s="41" t="s">
        <v>485</v>
      </c>
      <c r="F1519" s="41" t="s">
        <v>485</v>
      </c>
      <c r="G1519" s="7" t="s">
        <v>300</v>
      </c>
      <c r="H1519" s="7">
        <v>25</v>
      </c>
      <c r="I1519" s="10" t="s">
        <v>2140</v>
      </c>
      <c r="J1519" s="10">
        <v>0.8</v>
      </c>
      <c r="K1519" s="10">
        <v>0.6</v>
      </c>
      <c r="L1519" s="43">
        <v>25</v>
      </c>
      <c r="M1519" s="43">
        <v>25</v>
      </c>
      <c r="N1519" s="12" t="s">
        <v>456</v>
      </c>
      <c r="P1519" s="10">
        <v>660</v>
      </c>
      <c r="Q1519" s="10">
        <v>60</v>
      </c>
      <c r="T1519" s="10">
        <v>180</v>
      </c>
      <c r="V1519" s="45"/>
      <c r="W1519" s="14">
        <v>2</v>
      </c>
      <c r="X1519" s="29">
        <v>8.6</v>
      </c>
      <c r="Y1519" s="54" t="s">
        <v>56</v>
      </c>
      <c r="Z1519" t="s">
        <v>953</v>
      </c>
    </row>
    <row r="1520" spans="1:26" ht="23.1" customHeight="1" x14ac:dyDescent="0.25">
      <c r="A1520" s="20" t="s">
        <v>1221</v>
      </c>
      <c r="B1520" s="7" t="s">
        <v>110</v>
      </c>
      <c r="C1520" s="7">
        <v>19</v>
      </c>
      <c r="D1520" s="7" t="s">
        <v>395</v>
      </c>
      <c r="E1520" s="41" t="s">
        <v>396</v>
      </c>
      <c r="F1520" s="41" t="e">
        <v>#N/A</v>
      </c>
      <c r="G1520" s="7" t="s">
        <v>300</v>
      </c>
      <c r="H1520" s="7">
        <v>25</v>
      </c>
      <c r="I1520" s="10" t="s">
        <v>1937</v>
      </c>
      <c r="J1520" s="10">
        <v>1.5</v>
      </c>
      <c r="K1520" s="10">
        <v>2.2999999999999998</v>
      </c>
      <c r="L1520" s="43">
        <v>25</v>
      </c>
      <c r="M1520" s="43">
        <v>25</v>
      </c>
      <c r="N1520" s="12" t="s">
        <v>1243</v>
      </c>
      <c r="P1520" s="10">
        <v>370</v>
      </c>
      <c r="Q1520" s="10">
        <v>90</v>
      </c>
      <c r="S1520" s="11">
        <v>3</v>
      </c>
      <c r="T1520" s="10">
        <v>60</v>
      </c>
      <c r="V1520" s="45"/>
      <c r="X1520" s="29">
        <v>18.7</v>
      </c>
      <c r="Y1520" s="54" t="s">
        <v>62</v>
      </c>
    </row>
    <row r="1521" spans="1:27" ht="23.1" customHeight="1" x14ac:dyDescent="0.25">
      <c r="A1521" s="20" t="s">
        <v>1221</v>
      </c>
      <c r="B1521" s="7" t="s">
        <v>110</v>
      </c>
      <c r="C1521" s="7">
        <v>117</v>
      </c>
      <c r="D1521" s="7" t="s">
        <v>1081</v>
      </c>
      <c r="E1521" s="41" t="s">
        <v>1082</v>
      </c>
      <c r="F1521" s="41" t="s">
        <v>1082</v>
      </c>
      <c r="G1521" s="7" t="s">
        <v>123</v>
      </c>
      <c r="H1521" s="7">
        <v>35</v>
      </c>
      <c r="I1521" s="10" t="s">
        <v>2201</v>
      </c>
      <c r="J1521" s="10">
        <v>0.3</v>
      </c>
      <c r="K1521" s="10">
        <v>0.3</v>
      </c>
      <c r="L1521" s="43">
        <v>25</v>
      </c>
      <c r="M1521" s="43">
        <v>25</v>
      </c>
      <c r="N1521" s="12" t="s">
        <v>860</v>
      </c>
      <c r="P1521" s="10">
        <v>700</v>
      </c>
      <c r="Q1521" s="10">
        <v>60</v>
      </c>
      <c r="S1521" s="11">
        <v>1</v>
      </c>
      <c r="T1521" s="10">
        <v>90</v>
      </c>
      <c r="V1521" s="45">
        <v>1</v>
      </c>
      <c r="X1521" s="29">
        <v>6</v>
      </c>
      <c r="Y1521" s="54" t="s">
        <v>32</v>
      </c>
    </row>
    <row r="1522" spans="1:27" ht="23.1" customHeight="1" x14ac:dyDescent="0.25">
      <c r="A1522" s="20" t="s">
        <v>1221</v>
      </c>
      <c r="B1522" s="7" t="s">
        <v>110</v>
      </c>
      <c r="C1522" s="7">
        <v>118</v>
      </c>
      <c r="D1522" s="7" t="s">
        <v>1171</v>
      </c>
      <c r="E1522" s="41" t="s">
        <v>1172</v>
      </c>
      <c r="F1522" s="41" t="s">
        <v>1172</v>
      </c>
      <c r="G1522" s="7" t="s">
        <v>300</v>
      </c>
      <c r="H1522" s="7">
        <v>37</v>
      </c>
      <c r="I1522" s="10"/>
      <c r="K1522" s="10">
        <v>1</v>
      </c>
      <c r="L1522" s="43">
        <v>25</v>
      </c>
      <c r="M1522" s="43">
        <v>25</v>
      </c>
      <c r="N1522" s="12" t="s">
        <v>1213</v>
      </c>
      <c r="O1522" s="10">
        <v>60</v>
      </c>
      <c r="R1522" s="10">
        <v>60</v>
      </c>
      <c r="S1522" s="11">
        <v>1</v>
      </c>
      <c r="U1522" s="10">
        <v>120</v>
      </c>
      <c r="V1522" s="45">
        <v>1</v>
      </c>
      <c r="X1522" s="32">
        <v>4</v>
      </c>
      <c r="Y1522" s="54" t="s">
        <v>32</v>
      </c>
    </row>
    <row r="1523" spans="1:27" ht="23.1" customHeight="1" x14ac:dyDescent="0.25">
      <c r="A1523" s="53" t="s">
        <v>1244</v>
      </c>
      <c r="B1523" s="10" t="s">
        <v>110</v>
      </c>
      <c r="C1523" s="10">
        <v>24</v>
      </c>
      <c r="D1523" s="10" t="s">
        <v>738</v>
      </c>
      <c r="E1523" s="41" t="s">
        <v>739</v>
      </c>
      <c r="F1523" s="41" t="s">
        <v>739</v>
      </c>
      <c r="G1523" s="10" t="s">
        <v>107</v>
      </c>
      <c r="H1523" s="10">
        <v>30</v>
      </c>
      <c r="I1523" s="10" t="s">
        <v>2061</v>
      </c>
      <c r="J1523" s="10">
        <v>0.6</v>
      </c>
      <c r="K1523" s="10">
        <v>0.4</v>
      </c>
      <c r="L1523" s="14">
        <v>5</v>
      </c>
      <c r="M1523" s="14"/>
      <c r="N1523" s="55" t="s">
        <v>1169</v>
      </c>
      <c r="P1523" s="10">
        <v>1700</v>
      </c>
      <c r="Q1523" s="10">
        <v>120</v>
      </c>
      <c r="S1523" s="10"/>
      <c r="T1523" s="10">
        <v>210</v>
      </c>
      <c r="V1523" s="14"/>
      <c r="X1523" s="29">
        <v>11.3</v>
      </c>
      <c r="Y1523" s="56" t="s">
        <v>41</v>
      </c>
      <c r="Z1523" s="14"/>
      <c r="AA1523" s="14"/>
    </row>
    <row r="1524" spans="1:27" ht="23.1" customHeight="1" x14ac:dyDescent="0.25">
      <c r="A1524" s="20" t="s">
        <v>1244</v>
      </c>
      <c r="B1524" s="7" t="s">
        <v>110</v>
      </c>
      <c r="C1524" s="7">
        <v>24</v>
      </c>
      <c r="D1524" s="7" t="s">
        <v>738</v>
      </c>
      <c r="E1524" s="41" t="s">
        <v>739</v>
      </c>
      <c r="F1524" s="41" t="s">
        <v>739</v>
      </c>
      <c r="G1524" s="7" t="s">
        <v>107</v>
      </c>
      <c r="H1524" s="7">
        <v>25</v>
      </c>
      <c r="I1524" s="10" t="s">
        <v>2035</v>
      </c>
      <c r="J1524" s="10">
        <v>0.5</v>
      </c>
      <c r="K1524" s="10">
        <v>0.5</v>
      </c>
      <c r="L1524" s="43">
        <v>28</v>
      </c>
      <c r="M1524" s="43">
        <v>28</v>
      </c>
      <c r="N1524" s="12" t="s">
        <v>860</v>
      </c>
      <c r="P1524" s="10">
        <v>840</v>
      </c>
      <c r="Q1524" s="10">
        <v>120</v>
      </c>
      <c r="S1524" s="11">
        <v>1</v>
      </c>
      <c r="T1524" s="10">
        <v>150</v>
      </c>
      <c r="V1524" s="45">
        <v>1</v>
      </c>
      <c r="X1524" s="29">
        <v>11.5</v>
      </c>
      <c r="Y1524" s="54" t="s">
        <v>41</v>
      </c>
    </row>
    <row r="1525" spans="1:27" ht="23.1" customHeight="1" x14ac:dyDescent="0.25">
      <c r="A1525" s="20" t="s">
        <v>1244</v>
      </c>
      <c r="B1525" s="7" t="s">
        <v>110</v>
      </c>
      <c r="C1525" s="7">
        <v>69</v>
      </c>
      <c r="D1525" s="7" t="s">
        <v>592</v>
      </c>
      <c r="E1525" s="41" t="s">
        <v>218</v>
      </c>
      <c r="F1525" s="41" t="s">
        <v>218</v>
      </c>
      <c r="G1525" s="7" t="s">
        <v>107</v>
      </c>
      <c r="H1525" s="7">
        <v>50</v>
      </c>
      <c r="I1525" s="10" t="s">
        <v>2202</v>
      </c>
      <c r="J1525" s="10">
        <v>8</v>
      </c>
      <c r="K1525" s="10">
        <v>8</v>
      </c>
      <c r="L1525" s="43">
        <v>28</v>
      </c>
      <c r="M1525" s="43">
        <v>28</v>
      </c>
      <c r="N1525" s="12" t="s">
        <v>456</v>
      </c>
      <c r="P1525" s="10">
        <v>180</v>
      </c>
      <c r="Q1525" s="10">
        <v>60</v>
      </c>
      <c r="S1525" s="11">
        <v>8</v>
      </c>
      <c r="T1525" s="10">
        <v>150</v>
      </c>
      <c r="V1525" s="45"/>
      <c r="X1525" s="29">
        <v>32</v>
      </c>
      <c r="Y1525" s="54" t="s">
        <v>41</v>
      </c>
    </row>
    <row r="1526" spans="1:27" ht="23.1" customHeight="1" x14ac:dyDescent="0.25">
      <c r="A1526" s="20" t="s">
        <v>1244</v>
      </c>
      <c r="B1526" s="7" t="s">
        <v>110</v>
      </c>
      <c r="C1526" s="7">
        <v>91</v>
      </c>
      <c r="D1526" s="7" t="s">
        <v>254</v>
      </c>
      <c r="E1526" s="41" t="s">
        <v>1016</v>
      </c>
      <c r="F1526" s="41" t="s">
        <v>1016</v>
      </c>
      <c r="G1526" s="7" t="s">
        <v>375</v>
      </c>
      <c r="H1526" s="7">
        <v>40</v>
      </c>
      <c r="I1526" s="10" t="s">
        <v>2110</v>
      </c>
      <c r="J1526" s="10">
        <v>0.3</v>
      </c>
      <c r="K1526" s="10">
        <v>0.3</v>
      </c>
      <c r="L1526" s="43">
        <v>28</v>
      </c>
      <c r="M1526" s="43">
        <v>28</v>
      </c>
      <c r="N1526" s="12" t="s">
        <v>716</v>
      </c>
      <c r="P1526" s="10">
        <v>3000</v>
      </c>
      <c r="Q1526" s="10">
        <v>90</v>
      </c>
      <c r="S1526" s="11">
        <v>1</v>
      </c>
      <c r="T1526" s="10">
        <v>120</v>
      </c>
      <c r="V1526" s="45"/>
      <c r="X1526" s="29">
        <v>16.5</v>
      </c>
      <c r="Y1526" s="54" t="s">
        <v>41</v>
      </c>
    </row>
    <row r="1527" spans="1:27" ht="23.1" customHeight="1" x14ac:dyDescent="0.25">
      <c r="A1527" s="20" t="s">
        <v>1244</v>
      </c>
      <c r="B1527" s="7" t="s">
        <v>110</v>
      </c>
      <c r="C1527" s="7">
        <v>119</v>
      </c>
      <c r="D1527" s="7" t="s">
        <v>937</v>
      </c>
      <c r="E1527" s="41" t="s">
        <v>938</v>
      </c>
      <c r="F1527" s="41" t="s">
        <v>938</v>
      </c>
      <c r="G1527" s="7" t="s">
        <v>939</v>
      </c>
      <c r="H1527" s="7">
        <v>60</v>
      </c>
      <c r="I1527" s="10" t="s">
        <v>2203</v>
      </c>
      <c r="J1527" s="10">
        <v>0.4</v>
      </c>
      <c r="K1527" s="10">
        <v>0.4</v>
      </c>
      <c r="L1527" s="43">
        <v>5</v>
      </c>
      <c r="M1527" s="43"/>
      <c r="N1527" s="12" t="s">
        <v>425</v>
      </c>
      <c r="P1527" s="10">
        <v>900</v>
      </c>
      <c r="Q1527" s="10">
        <v>90</v>
      </c>
      <c r="T1527" s="10">
        <v>180</v>
      </c>
      <c r="V1527" s="45"/>
      <c r="W1527" s="14">
        <v>3</v>
      </c>
      <c r="X1527" s="29">
        <v>9</v>
      </c>
      <c r="Y1527" s="54" t="s">
        <v>41</v>
      </c>
      <c r="Z1527" t="s">
        <v>1011</v>
      </c>
    </row>
    <row r="1528" spans="1:27" ht="23.1" customHeight="1" x14ac:dyDescent="0.25">
      <c r="A1528" s="20" t="s">
        <v>1244</v>
      </c>
      <c r="B1528" s="7" t="s">
        <v>110</v>
      </c>
      <c r="C1528" s="7">
        <v>119</v>
      </c>
      <c r="D1528" s="7" t="s">
        <v>830</v>
      </c>
      <c r="E1528" s="41" t="s">
        <v>788</v>
      </c>
      <c r="F1528" s="41" t="s">
        <v>788</v>
      </c>
      <c r="G1528" s="7" t="s">
        <v>123</v>
      </c>
      <c r="H1528" s="7">
        <v>60</v>
      </c>
      <c r="I1528" s="10" t="s">
        <v>2222</v>
      </c>
      <c r="J1528" s="10">
        <v>3</v>
      </c>
      <c r="K1528" s="10">
        <v>1</v>
      </c>
      <c r="L1528" s="43">
        <v>28</v>
      </c>
      <c r="M1528" s="43"/>
      <c r="N1528" s="12" t="s">
        <v>216</v>
      </c>
      <c r="P1528" s="10">
        <v>210</v>
      </c>
      <c r="Q1528" s="10">
        <v>60</v>
      </c>
      <c r="S1528" s="11">
        <v>1</v>
      </c>
      <c r="T1528" s="10">
        <v>90</v>
      </c>
      <c r="V1528" s="45">
        <v>1</v>
      </c>
      <c r="W1528" s="10">
        <v>3</v>
      </c>
      <c r="X1528" s="29">
        <v>9</v>
      </c>
      <c r="Y1528" s="54" t="s">
        <v>41</v>
      </c>
      <c r="Z1528" t="s">
        <v>941</v>
      </c>
    </row>
    <row r="1529" spans="1:27" ht="23.1" customHeight="1" x14ac:dyDescent="0.25">
      <c r="A1529" s="20" t="s">
        <v>1244</v>
      </c>
      <c r="B1529" s="7" t="s">
        <v>110</v>
      </c>
      <c r="C1529" s="7">
        <v>121</v>
      </c>
      <c r="D1529" s="7" t="s">
        <v>1191</v>
      </c>
      <c r="E1529" s="41" t="s">
        <v>1192</v>
      </c>
      <c r="F1529" s="41" t="s">
        <v>1192</v>
      </c>
      <c r="G1529" s="7" t="s">
        <v>300</v>
      </c>
      <c r="H1529" s="7">
        <v>40</v>
      </c>
      <c r="I1529" s="10" t="s">
        <v>2386</v>
      </c>
      <c r="J1529" s="10">
        <v>1</v>
      </c>
      <c r="K1529" s="10">
        <v>1</v>
      </c>
      <c r="L1529" s="43">
        <v>23</v>
      </c>
      <c r="M1529" s="43"/>
      <c r="N1529" s="12" t="s">
        <v>470</v>
      </c>
      <c r="P1529" s="10">
        <v>1800</v>
      </c>
      <c r="Q1529" s="10">
        <v>90</v>
      </c>
      <c r="S1529" s="11">
        <v>1</v>
      </c>
      <c r="T1529" s="10">
        <v>120</v>
      </c>
      <c r="V1529" s="45">
        <v>1</v>
      </c>
      <c r="W1529" s="10">
        <v>3</v>
      </c>
      <c r="X1529" s="29">
        <v>36.5</v>
      </c>
      <c r="Y1529" s="54" t="s">
        <v>41</v>
      </c>
      <c r="Z1529" t="s">
        <v>1245</v>
      </c>
    </row>
    <row r="1530" spans="1:27" ht="23.1" customHeight="1" x14ac:dyDescent="0.25">
      <c r="A1530" s="20" t="s">
        <v>1244</v>
      </c>
      <c r="B1530" s="7" t="s">
        <v>110</v>
      </c>
      <c r="C1530" s="7">
        <v>121</v>
      </c>
      <c r="D1530" s="7" t="s">
        <v>291</v>
      </c>
      <c r="E1530" s="41" t="s">
        <v>1246</v>
      </c>
      <c r="F1530" s="41" t="s">
        <v>1246</v>
      </c>
      <c r="G1530" s="7" t="s">
        <v>154</v>
      </c>
      <c r="H1530" s="7">
        <v>50</v>
      </c>
      <c r="I1530" s="10" t="s">
        <v>2462</v>
      </c>
      <c r="J1530" s="10">
        <v>0.6</v>
      </c>
      <c r="K1530" s="10">
        <v>0.8</v>
      </c>
      <c r="L1530" s="43">
        <v>28</v>
      </c>
      <c r="M1530" s="43"/>
      <c r="N1530" s="12" t="s">
        <v>675</v>
      </c>
      <c r="P1530" s="10">
        <v>2100</v>
      </c>
      <c r="Q1530" s="10">
        <v>90</v>
      </c>
      <c r="S1530" s="11">
        <v>1</v>
      </c>
      <c r="T1530" s="10">
        <v>150</v>
      </c>
      <c r="V1530" s="45">
        <v>1</v>
      </c>
      <c r="W1530" s="10">
        <v>3</v>
      </c>
      <c r="X1530" s="29">
        <v>35</v>
      </c>
      <c r="Y1530" s="54" t="s">
        <v>41</v>
      </c>
      <c r="Z1530" t="s">
        <v>941</v>
      </c>
    </row>
    <row r="1531" spans="1:27" ht="23.1" customHeight="1" x14ac:dyDescent="0.25">
      <c r="A1531" s="20" t="s">
        <v>1244</v>
      </c>
      <c r="B1531" s="7" t="s">
        <v>110</v>
      </c>
      <c r="C1531" s="7">
        <v>79</v>
      </c>
      <c r="D1531" s="7" t="s">
        <v>420</v>
      </c>
      <c r="E1531" s="41" t="s">
        <v>1247</v>
      </c>
      <c r="F1531" s="41" t="s">
        <v>1247</v>
      </c>
      <c r="G1531" s="7" t="s">
        <v>154</v>
      </c>
      <c r="H1531" s="7">
        <v>50</v>
      </c>
      <c r="I1531" s="10" t="s">
        <v>2204</v>
      </c>
      <c r="J1531" s="10">
        <v>0.3</v>
      </c>
      <c r="K1531" s="10">
        <v>0.123</v>
      </c>
      <c r="L1531" s="43">
        <v>23</v>
      </c>
      <c r="M1531" s="43"/>
      <c r="N1531" s="12" t="s">
        <v>1248</v>
      </c>
      <c r="P1531" s="10">
        <v>3700</v>
      </c>
      <c r="Q1531" s="10">
        <v>90</v>
      </c>
      <c r="T1531" s="10">
        <v>180</v>
      </c>
      <c r="V1531" s="45"/>
      <c r="X1531" s="29">
        <v>7.6</v>
      </c>
      <c r="Y1531" s="54" t="s">
        <v>19</v>
      </c>
    </row>
    <row r="1532" spans="1:27" ht="23.1" customHeight="1" x14ac:dyDescent="0.25">
      <c r="A1532" s="20" t="s">
        <v>1244</v>
      </c>
      <c r="B1532" s="7" t="s">
        <v>110</v>
      </c>
      <c r="C1532" s="7">
        <v>79</v>
      </c>
      <c r="D1532" s="7" t="s">
        <v>152</v>
      </c>
      <c r="E1532" s="41" t="s">
        <v>1247</v>
      </c>
      <c r="F1532" s="41" t="s">
        <v>1247</v>
      </c>
      <c r="G1532" s="7" t="s">
        <v>154</v>
      </c>
      <c r="H1532" s="7">
        <v>50</v>
      </c>
      <c r="I1532" s="10" t="s">
        <v>2204</v>
      </c>
      <c r="K1532" s="10">
        <v>0.2</v>
      </c>
      <c r="L1532" s="43">
        <v>28</v>
      </c>
      <c r="M1532" s="43"/>
      <c r="N1532" s="12" t="s">
        <v>421</v>
      </c>
      <c r="P1532" s="10">
        <v>3700</v>
      </c>
      <c r="Q1532" s="10">
        <v>90</v>
      </c>
      <c r="S1532" s="11">
        <v>1</v>
      </c>
      <c r="T1532" s="10">
        <v>180</v>
      </c>
      <c r="V1532" s="45">
        <v>1</v>
      </c>
      <c r="X1532" s="29">
        <v>16.8</v>
      </c>
      <c r="Y1532" s="54" t="s">
        <v>19</v>
      </c>
    </row>
    <row r="1533" spans="1:27" ht="23.1" customHeight="1" x14ac:dyDescent="0.25">
      <c r="A1533" s="20" t="s">
        <v>1244</v>
      </c>
      <c r="B1533" s="7" t="s">
        <v>110</v>
      </c>
      <c r="C1533" s="7">
        <v>16</v>
      </c>
      <c r="D1533" s="7" t="s">
        <v>1249</v>
      </c>
      <c r="E1533" s="41" t="s">
        <v>409</v>
      </c>
      <c r="F1533" s="41" t="s">
        <v>409</v>
      </c>
      <c r="G1533" s="7" t="s">
        <v>102</v>
      </c>
      <c r="H1533" s="7">
        <v>5</v>
      </c>
      <c r="I1533" s="10" t="s">
        <v>2463</v>
      </c>
      <c r="K1533" s="10">
        <v>1</v>
      </c>
      <c r="L1533" s="43">
        <v>9</v>
      </c>
      <c r="M1533" s="43"/>
      <c r="N1533" s="12" t="s">
        <v>596</v>
      </c>
      <c r="P1533" s="10">
        <v>20</v>
      </c>
      <c r="T1533" s="10">
        <v>60</v>
      </c>
      <c r="V1533" s="45">
        <v>1</v>
      </c>
      <c r="W1533" s="14">
        <v>2</v>
      </c>
      <c r="X1533" s="29">
        <v>3.3</v>
      </c>
      <c r="Y1533" s="54" t="s">
        <v>63</v>
      </c>
      <c r="Z1533" t="s">
        <v>1250</v>
      </c>
      <c r="AA1533" s="1" t="s">
        <v>238</v>
      </c>
    </row>
    <row r="1534" spans="1:27" ht="23.1" customHeight="1" x14ac:dyDescent="0.25">
      <c r="A1534" s="20" t="s">
        <v>1244</v>
      </c>
      <c r="B1534" s="7" t="s">
        <v>110</v>
      </c>
      <c r="C1534" s="7">
        <v>16</v>
      </c>
      <c r="D1534" s="7" t="s">
        <v>1249</v>
      </c>
      <c r="E1534" s="41" t="s">
        <v>409</v>
      </c>
      <c r="F1534" s="41" t="s">
        <v>409</v>
      </c>
      <c r="G1534" s="7" t="s">
        <v>102</v>
      </c>
      <c r="H1534" s="7">
        <v>10</v>
      </c>
      <c r="I1534" s="10" t="s">
        <v>2464</v>
      </c>
      <c r="K1534" s="10">
        <v>1</v>
      </c>
      <c r="L1534" s="43">
        <v>9</v>
      </c>
      <c r="M1534" s="43"/>
      <c r="N1534" s="12" t="s">
        <v>596</v>
      </c>
      <c r="P1534" s="10">
        <v>35</v>
      </c>
      <c r="T1534" s="10">
        <v>90</v>
      </c>
      <c r="V1534" s="45">
        <v>1</v>
      </c>
      <c r="X1534" s="29">
        <v>2.1</v>
      </c>
      <c r="Y1534" s="54" t="s">
        <v>63</v>
      </c>
    </row>
    <row r="1535" spans="1:27" ht="23.1" customHeight="1" x14ac:dyDescent="0.25">
      <c r="A1535" s="20" t="s">
        <v>1244</v>
      </c>
      <c r="B1535" s="7" t="s">
        <v>110</v>
      </c>
      <c r="C1535" s="7">
        <v>76</v>
      </c>
      <c r="D1535" s="7" t="s">
        <v>1251</v>
      </c>
      <c r="E1535" s="41" t="s">
        <v>625</v>
      </c>
      <c r="F1535" s="41" t="s">
        <v>625</v>
      </c>
      <c r="G1535" s="7" t="s">
        <v>102</v>
      </c>
      <c r="H1535" s="7">
        <v>10</v>
      </c>
      <c r="I1535" s="10"/>
      <c r="J1535" s="10">
        <v>8</v>
      </c>
      <c r="K1535" s="10">
        <v>8</v>
      </c>
      <c r="L1535" s="43">
        <v>19</v>
      </c>
      <c r="M1535" s="43">
        <v>9</v>
      </c>
      <c r="N1535" s="12" t="s">
        <v>596</v>
      </c>
      <c r="V1535" s="45">
        <v>1</v>
      </c>
      <c r="W1535" s="14">
        <v>5</v>
      </c>
      <c r="X1535" s="29">
        <v>5</v>
      </c>
      <c r="Y1535" s="54" t="s">
        <v>46</v>
      </c>
      <c r="Z1535" t="s">
        <v>1252</v>
      </c>
      <c r="AA1535" t="s">
        <v>957</v>
      </c>
    </row>
    <row r="1536" spans="1:27" ht="23.1" customHeight="1" x14ac:dyDescent="0.25">
      <c r="A1536" s="20" t="s">
        <v>1244</v>
      </c>
      <c r="B1536" s="7" t="s">
        <v>110</v>
      </c>
      <c r="C1536" s="7">
        <v>77</v>
      </c>
      <c r="D1536" s="7" t="s">
        <v>1253</v>
      </c>
      <c r="E1536" s="41" t="s">
        <v>1254</v>
      </c>
      <c r="F1536" s="41" t="s">
        <v>1254</v>
      </c>
      <c r="G1536" s="65" t="s">
        <v>1840</v>
      </c>
      <c r="H1536" s="7">
        <v>30</v>
      </c>
      <c r="I1536" s="65" t="s">
        <v>1891</v>
      </c>
      <c r="J1536" s="10">
        <v>20</v>
      </c>
      <c r="K1536" s="10">
        <v>5</v>
      </c>
      <c r="L1536" s="43">
        <v>23</v>
      </c>
      <c r="M1536" s="43">
        <v>9</v>
      </c>
      <c r="N1536" s="12" t="s">
        <v>247</v>
      </c>
      <c r="P1536" s="10">
        <v>50</v>
      </c>
      <c r="T1536" s="10">
        <v>60</v>
      </c>
      <c r="V1536" s="45"/>
      <c r="W1536" s="14">
        <v>5</v>
      </c>
      <c r="X1536" s="29">
        <v>9.1999999999999993</v>
      </c>
      <c r="Y1536" s="54" t="s">
        <v>15</v>
      </c>
      <c r="Z1536" t="s">
        <v>1252</v>
      </c>
      <c r="AA1536" t="s">
        <v>957</v>
      </c>
    </row>
    <row r="1537" spans="1:27" ht="23.1" customHeight="1" x14ac:dyDescent="0.25">
      <c r="A1537" s="20" t="s">
        <v>1244</v>
      </c>
      <c r="B1537" s="7" t="s">
        <v>110</v>
      </c>
      <c r="C1537" s="7">
        <v>15</v>
      </c>
      <c r="D1537" s="42" t="s">
        <v>1255</v>
      </c>
      <c r="E1537" s="41" t="s">
        <v>117</v>
      </c>
      <c r="F1537" s="41" t="s">
        <v>117</v>
      </c>
      <c r="G1537" s="7" t="s">
        <v>118</v>
      </c>
      <c r="H1537" s="7">
        <v>25</v>
      </c>
      <c r="I1537" s="10" t="s">
        <v>2465</v>
      </c>
      <c r="J1537" s="10">
        <v>0.8</v>
      </c>
      <c r="K1537" s="10">
        <v>1.2</v>
      </c>
      <c r="L1537" s="43">
        <v>19</v>
      </c>
      <c r="M1537" s="43">
        <v>28</v>
      </c>
      <c r="N1537" s="12" t="s">
        <v>1256</v>
      </c>
      <c r="P1537" s="10">
        <v>900</v>
      </c>
      <c r="S1537" s="11">
        <v>1</v>
      </c>
      <c r="T1537" s="10">
        <v>120</v>
      </c>
      <c r="V1537" s="45"/>
      <c r="X1537" s="29">
        <v>18</v>
      </c>
      <c r="Y1537" s="54" t="s">
        <v>31</v>
      </c>
    </row>
    <row r="1538" spans="1:27" ht="23.1" customHeight="1" x14ac:dyDescent="0.25">
      <c r="A1538" s="20" t="s">
        <v>1244</v>
      </c>
      <c r="B1538" s="7" t="s">
        <v>110</v>
      </c>
      <c r="C1538" s="7">
        <v>14</v>
      </c>
      <c r="D1538" s="7" t="s">
        <v>1257</v>
      </c>
      <c r="E1538" s="41" t="s">
        <v>806</v>
      </c>
      <c r="F1538" s="41" t="s">
        <v>806</v>
      </c>
      <c r="G1538" s="7" t="s">
        <v>154</v>
      </c>
      <c r="H1538" s="7">
        <v>15</v>
      </c>
      <c r="I1538" s="10" t="s">
        <v>2466</v>
      </c>
      <c r="J1538" s="10">
        <v>1</v>
      </c>
      <c r="K1538" s="10">
        <v>1</v>
      </c>
      <c r="L1538" s="43">
        <v>31</v>
      </c>
      <c r="M1538" s="43"/>
      <c r="N1538" s="12" t="s">
        <v>234</v>
      </c>
      <c r="P1538" s="10">
        <v>630</v>
      </c>
      <c r="T1538" s="10">
        <v>120</v>
      </c>
      <c r="V1538" s="45"/>
      <c r="W1538" s="14">
        <v>4</v>
      </c>
      <c r="X1538" s="29">
        <v>14.5</v>
      </c>
      <c r="Y1538" s="54" t="s">
        <v>31</v>
      </c>
      <c r="Z1538" t="s">
        <v>1258</v>
      </c>
      <c r="AA1538" s="1" t="s">
        <v>238</v>
      </c>
    </row>
    <row r="1539" spans="1:27" ht="23.1" customHeight="1" x14ac:dyDescent="0.25">
      <c r="A1539" s="20" t="s">
        <v>1244</v>
      </c>
      <c r="B1539" s="7" t="s">
        <v>110</v>
      </c>
      <c r="C1539" s="7">
        <v>76</v>
      </c>
      <c r="D1539" s="7" t="s">
        <v>1259</v>
      </c>
      <c r="E1539" s="41" t="s">
        <v>1040</v>
      </c>
      <c r="F1539" s="41" t="s">
        <v>1040</v>
      </c>
      <c r="G1539" s="7" t="s">
        <v>102</v>
      </c>
      <c r="H1539" s="7">
        <v>5</v>
      </c>
      <c r="I1539" s="10" t="s">
        <v>1957</v>
      </c>
      <c r="K1539" s="10">
        <v>8</v>
      </c>
      <c r="L1539" s="43">
        <v>28</v>
      </c>
      <c r="M1539" s="43">
        <v>28</v>
      </c>
      <c r="N1539" s="12" t="s">
        <v>596</v>
      </c>
      <c r="P1539" s="10">
        <v>40</v>
      </c>
      <c r="T1539" s="10">
        <v>60</v>
      </c>
      <c r="V1539" s="45">
        <v>1</v>
      </c>
      <c r="W1539" s="14">
        <v>2</v>
      </c>
      <c r="X1539" s="29">
        <v>8.3000000000000007</v>
      </c>
      <c r="Y1539" s="54" t="s">
        <v>46</v>
      </c>
      <c r="Z1539" t="s">
        <v>1260</v>
      </c>
      <c r="AA1539" s="1" t="s">
        <v>238</v>
      </c>
    </row>
    <row r="1540" spans="1:27" ht="23.1" customHeight="1" x14ac:dyDescent="0.25">
      <c r="A1540" s="20" t="s">
        <v>1244</v>
      </c>
      <c r="B1540" s="7" t="s">
        <v>110</v>
      </c>
      <c r="C1540" s="7">
        <v>59</v>
      </c>
      <c r="D1540" s="7" t="s">
        <v>1261</v>
      </c>
      <c r="E1540" s="41" t="s">
        <v>409</v>
      </c>
      <c r="F1540" s="41" t="s">
        <v>409</v>
      </c>
      <c r="G1540" s="7" t="s">
        <v>102</v>
      </c>
      <c r="H1540" s="7">
        <v>15</v>
      </c>
      <c r="I1540" s="10" t="s">
        <v>1864</v>
      </c>
      <c r="J1540" s="10">
        <v>1</v>
      </c>
      <c r="K1540" s="10">
        <v>1</v>
      </c>
      <c r="L1540" s="43">
        <v>23</v>
      </c>
      <c r="M1540" s="43"/>
      <c r="N1540" s="12" t="s">
        <v>596</v>
      </c>
      <c r="P1540" s="10">
        <v>35</v>
      </c>
      <c r="T1540" s="10">
        <v>60</v>
      </c>
      <c r="V1540" s="45">
        <v>1</v>
      </c>
      <c r="W1540" s="14">
        <v>2</v>
      </c>
      <c r="X1540" s="29">
        <v>3.6</v>
      </c>
      <c r="Y1540" s="64" t="s">
        <v>1847</v>
      </c>
      <c r="Z1540" t="s">
        <v>953</v>
      </c>
      <c r="AA1540" s="1" t="s">
        <v>238</v>
      </c>
    </row>
    <row r="1541" spans="1:27" ht="23.1" customHeight="1" x14ac:dyDescent="0.25">
      <c r="A1541" s="20" t="s">
        <v>1244</v>
      </c>
      <c r="B1541" s="7" t="s">
        <v>110</v>
      </c>
      <c r="C1541" s="7">
        <v>59</v>
      </c>
      <c r="D1541" s="7" t="s">
        <v>1262</v>
      </c>
      <c r="E1541" s="41" t="s">
        <v>625</v>
      </c>
      <c r="F1541" s="41" t="s">
        <v>625</v>
      </c>
      <c r="G1541" s="7" t="s">
        <v>102</v>
      </c>
      <c r="H1541" s="7">
        <v>10</v>
      </c>
      <c r="I1541" s="10" t="s">
        <v>2329</v>
      </c>
      <c r="K1541" s="10">
        <v>4</v>
      </c>
      <c r="L1541" s="43">
        <v>23</v>
      </c>
      <c r="M1541" s="43">
        <v>23</v>
      </c>
      <c r="N1541" s="12" t="s">
        <v>596</v>
      </c>
      <c r="P1541" s="10">
        <v>40</v>
      </c>
      <c r="T1541" s="10">
        <v>60</v>
      </c>
      <c r="V1541" s="45">
        <v>1</v>
      </c>
      <c r="W1541" s="14">
        <v>3</v>
      </c>
      <c r="X1541" s="29">
        <v>6.7</v>
      </c>
      <c r="Y1541" s="64" t="s">
        <v>1847</v>
      </c>
      <c r="Z1541" t="s">
        <v>1263</v>
      </c>
      <c r="AA1541" s="1" t="s">
        <v>238</v>
      </c>
    </row>
    <row r="1542" spans="1:27" ht="23.1" customHeight="1" x14ac:dyDescent="0.25">
      <c r="A1542" s="20" t="s">
        <v>1244</v>
      </c>
      <c r="B1542" s="7" t="s">
        <v>110</v>
      </c>
      <c r="C1542" s="7">
        <v>59</v>
      </c>
      <c r="D1542" s="7" t="s">
        <v>1262</v>
      </c>
      <c r="E1542" s="41" t="s">
        <v>625</v>
      </c>
      <c r="F1542" s="41" t="s">
        <v>625</v>
      </c>
      <c r="G1542" s="7" t="s">
        <v>102</v>
      </c>
      <c r="H1542" s="7">
        <v>15</v>
      </c>
      <c r="I1542" s="10" t="s">
        <v>2205</v>
      </c>
      <c r="K1542" s="10">
        <v>2</v>
      </c>
      <c r="L1542" s="43">
        <v>23</v>
      </c>
      <c r="M1542" s="43">
        <v>23</v>
      </c>
      <c r="N1542" s="12" t="s">
        <v>596</v>
      </c>
      <c r="P1542" s="10">
        <v>80</v>
      </c>
      <c r="T1542" s="10">
        <v>90</v>
      </c>
      <c r="V1542" s="45">
        <v>1</v>
      </c>
      <c r="X1542" s="29">
        <v>4.2</v>
      </c>
      <c r="Y1542" s="64" t="s">
        <v>1847</v>
      </c>
    </row>
    <row r="1543" spans="1:27" ht="23.1" customHeight="1" x14ac:dyDescent="0.25">
      <c r="A1543" s="20" t="s">
        <v>1244</v>
      </c>
      <c r="B1543" s="7" t="s">
        <v>110</v>
      </c>
      <c r="C1543" s="7">
        <v>22</v>
      </c>
      <c r="D1543" s="7" t="s">
        <v>635</v>
      </c>
      <c r="E1543" s="41" t="s">
        <v>612</v>
      </c>
      <c r="F1543" s="41" t="s">
        <v>612</v>
      </c>
      <c r="G1543" s="7" t="s">
        <v>154</v>
      </c>
      <c r="H1543" s="7">
        <v>10</v>
      </c>
      <c r="I1543" s="10" t="s">
        <v>1952</v>
      </c>
      <c r="J1543" s="10">
        <v>0.3</v>
      </c>
      <c r="K1543" s="10">
        <v>0.4</v>
      </c>
      <c r="L1543" s="43">
        <v>5</v>
      </c>
      <c r="M1543" s="43"/>
      <c r="N1543" s="12" t="s">
        <v>613</v>
      </c>
      <c r="P1543" s="10">
        <v>1500</v>
      </c>
      <c r="Q1543" s="10">
        <v>180</v>
      </c>
      <c r="S1543" s="11">
        <v>1</v>
      </c>
      <c r="T1543" s="10">
        <v>180</v>
      </c>
      <c r="V1543" s="45">
        <v>1</v>
      </c>
      <c r="X1543" s="29">
        <v>16</v>
      </c>
      <c r="Y1543" s="54" t="s">
        <v>58</v>
      </c>
    </row>
    <row r="1544" spans="1:27" ht="23.1" customHeight="1" x14ac:dyDescent="0.25">
      <c r="A1544" s="20" t="s">
        <v>1244</v>
      </c>
      <c r="B1544" s="7" t="s">
        <v>110</v>
      </c>
      <c r="C1544" s="7">
        <v>22</v>
      </c>
      <c r="D1544" s="7" t="s">
        <v>635</v>
      </c>
      <c r="E1544" s="41" t="s">
        <v>612</v>
      </c>
      <c r="F1544" s="41" t="s">
        <v>612</v>
      </c>
      <c r="G1544" s="7" t="s">
        <v>154</v>
      </c>
      <c r="H1544" s="7">
        <v>5</v>
      </c>
      <c r="I1544" s="10" t="s">
        <v>2388</v>
      </c>
      <c r="K1544" s="10">
        <v>1</v>
      </c>
      <c r="L1544" s="43">
        <v>5</v>
      </c>
      <c r="M1544" s="43">
        <v>5</v>
      </c>
      <c r="N1544" s="12" t="s">
        <v>613</v>
      </c>
      <c r="P1544" s="10">
        <v>2400</v>
      </c>
      <c r="Q1544" s="10">
        <v>210</v>
      </c>
      <c r="T1544" s="10">
        <v>210</v>
      </c>
      <c r="V1544" s="45"/>
      <c r="X1544" s="29">
        <v>40</v>
      </c>
      <c r="Y1544" s="54" t="s">
        <v>58</v>
      </c>
    </row>
    <row r="1545" spans="1:27" ht="23.1" customHeight="1" x14ac:dyDescent="0.25">
      <c r="A1545" s="20" t="s">
        <v>1244</v>
      </c>
      <c r="B1545" s="7" t="s">
        <v>110</v>
      </c>
      <c r="C1545" s="7">
        <v>56</v>
      </c>
      <c r="D1545" s="7" t="s">
        <v>273</v>
      </c>
      <c r="E1545" s="41" t="s">
        <v>274</v>
      </c>
      <c r="F1545" s="41" t="s">
        <v>274</v>
      </c>
      <c r="G1545" s="7" t="s">
        <v>123</v>
      </c>
      <c r="H1545" s="7">
        <v>58</v>
      </c>
      <c r="I1545" s="10"/>
      <c r="K1545" s="10">
        <v>7.5</v>
      </c>
      <c r="L1545" s="43">
        <v>23</v>
      </c>
      <c r="M1545" s="43"/>
      <c r="N1545" s="12" t="s">
        <v>275</v>
      </c>
      <c r="O1545" s="10">
        <v>90</v>
      </c>
      <c r="V1545" s="45"/>
      <c r="X1545" s="32">
        <v>11.3</v>
      </c>
      <c r="Y1545" s="54" t="s">
        <v>44</v>
      </c>
    </row>
    <row r="1546" spans="1:27" ht="23.1" customHeight="1" x14ac:dyDescent="0.25">
      <c r="A1546" s="20" t="s">
        <v>1244</v>
      </c>
      <c r="B1546" s="7" t="s">
        <v>110</v>
      </c>
      <c r="C1546" s="7">
        <v>56</v>
      </c>
      <c r="D1546" s="7" t="s">
        <v>273</v>
      </c>
      <c r="E1546" s="41" t="s">
        <v>274</v>
      </c>
      <c r="F1546" s="41" t="s">
        <v>274</v>
      </c>
      <c r="G1546" s="7" t="s">
        <v>123</v>
      </c>
      <c r="H1546" s="7">
        <v>60</v>
      </c>
      <c r="I1546" s="10" t="s">
        <v>2206</v>
      </c>
      <c r="K1546" s="10">
        <v>7.5</v>
      </c>
      <c r="L1546" s="43"/>
      <c r="M1546" s="43">
        <v>5</v>
      </c>
      <c r="N1546" s="12" t="s">
        <v>275</v>
      </c>
      <c r="P1546" s="10">
        <v>45</v>
      </c>
      <c r="T1546" s="10">
        <v>60</v>
      </c>
      <c r="V1546" s="45"/>
      <c r="X1546" s="29">
        <v>5.6</v>
      </c>
      <c r="Y1546" s="54" t="s">
        <v>44</v>
      </c>
    </row>
    <row r="1547" spans="1:27" ht="23.1" customHeight="1" x14ac:dyDescent="0.25">
      <c r="A1547" s="20" t="s">
        <v>1244</v>
      </c>
      <c r="B1547" s="7" t="s">
        <v>110</v>
      </c>
      <c r="C1547" s="7">
        <v>108</v>
      </c>
      <c r="D1547" s="7" t="s">
        <v>889</v>
      </c>
      <c r="E1547" s="41" t="s">
        <v>887</v>
      </c>
      <c r="F1547" s="41" t="s">
        <v>887</v>
      </c>
      <c r="G1547" s="7" t="s">
        <v>154</v>
      </c>
      <c r="H1547" s="7">
        <v>45</v>
      </c>
      <c r="I1547" s="10" t="s">
        <v>1954</v>
      </c>
      <c r="J1547" s="10">
        <v>1</v>
      </c>
      <c r="K1547" s="10">
        <v>0.5</v>
      </c>
      <c r="L1547" s="43">
        <v>28</v>
      </c>
      <c r="M1547" s="43"/>
      <c r="N1547" s="12" t="s">
        <v>234</v>
      </c>
      <c r="P1547" s="10">
        <v>420</v>
      </c>
      <c r="Q1547" s="10">
        <v>60</v>
      </c>
      <c r="T1547" s="10">
        <v>120</v>
      </c>
      <c r="V1547" s="45"/>
      <c r="X1547" s="29">
        <v>3.5</v>
      </c>
      <c r="Y1547" s="54" t="s">
        <v>45</v>
      </c>
    </row>
    <row r="1548" spans="1:27" ht="23.1" customHeight="1" x14ac:dyDescent="0.25">
      <c r="A1548" s="20" t="s">
        <v>1244</v>
      </c>
      <c r="B1548" s="7" t="s">
        <v>110</v>
      </c>
      <c r="C1548" s="7">
        <v>58</v>
      </c>
      <c r="D1548" s="7" t="s">
        <v>1264</v>
      </c>
      <c r="E1548" s="41" t="s">
        <v>409</v>
      </c>
      <c r="F1548" s="41" t="s">
        <v>409</v>
      </c>
      <c r="G1548" s="7" t="s">
        <v>102</v>
      </c>
      <c r="H1548" s="7">
        <v>20</v>
      </c>
      <c r="I1548" s="10" t="s">
        <v>2087</v>
      </c>
      <c r="J1548" s="10">
        <v>1</v>
      </c>
      <c r="K1548" s="10">
        <v>1</v>
      </c>
      <c r="L1548" s="43">
        <v>26</v>
      </c>
      <c r="M1548" s="43"/>
      <c r="N1548" s="12" t="s">
        <v>596</v>
      </c>
      <c r="P1548" s="10">
        <v>25</v>
      </c>
      <c r="T1548" s="10">
        <v>60</v>
      </c>
      <c r="V1548" s="45">
        <v>1</v>
      </c>
      <c r="W1548" s="14">
        <v>3</v>
      </c>
      <c r="X1548" s="29">
        <v>4.4000000000000004</v>
      </c>
      <c r="Y1548" s="54" t="s">
        <v>7</v>
      </c>
      <c r="Z1548" t="s">
        <v>1265</v>
      </c>
      <c r="AA1548" s="1" t="s">
        <v>238</v>
      </c>
    </row>
    <row r="1549" spans="1:27" ht="23.1" customHeight="1" x14ac:dyDescent="0.25">
      <c r="A1549" s="20" t="s">
        <v>1244</v>
      </c>
      <c r="B1549" s="7" t="s">
        <v>110</v>
      </c>
      <c r="C1549" s="7">
        <v>23</v>
      </c>
      <c r="D1549" s="7" t="s">
        <v>987</v>
      </c>
      <c r="E1549" s="41" t="s">
        <v>988</v>
      </c>
      <c r="F1549" s="41" t="s">
        <v>988</v>
      </c>
      <c r="G1549" s="7" t="s">
        <v>300</v>
      </c>
      <c r="H1549" s="7">
        <v>25</v>
      </c>
      <c r="I1549" s="10" t="s">
        <v>2224</v>
      </c>
      <c r="J1549" s="10">
        <v>1</v>
      </c>
      <c r="K1549" s="10">
        <v>1</v>
      </c>
      <c r="L1549" s="43">
        <v>9</v>
      </c>
      <c r="M1549" s="43">
        <v>37</v>
      </c>
      <c r="N1549" s="12" t="s">
        <v>1266</v>
      </c>
      <c r="P1549" s="10">
        <v>720</v>
      </c>
      <c r="Q1549" s="10">
        <v>60</v>
      </c>
      <c r="S1549" s="11">
        <v>1</v>
      </c>
      <c r="T1549" s="10">
        <v>90</v>
      </c>
      <c r="V1549" s="45"/>
      <c r="X1549" s="29">
        <v>13</v>
      </c>
      <c r="Y1549" s="54" t="s">
        <v>33</v>
      </c>
    </row>
    <row r="1550" spans="1:27" ht="23.1" customHeight="1" x14ac:dyDescent="0.25">
      <c r="A1550" s="20" t="s">
        <v>1244</v>
      </c>
      <c r="B1550" s="7" t="s">
        <v>110</v>
      </c>
      <c r="C1550" s="7">
        <v>47</v>
      </c>
      <c r="D1550" s="7" t="s">
        <v>978</v>
      </c>
      <c r="E1550" s="41" t="s">
        <v>979</v>
      </c>
      <c r="F1550" s="41" t="s">
        <v>979</v>
      </c>
      <c r="G1550" s="7" t="s">
        <v>123</v>
      </c>
      <c r="H1550" s="7">
        <v>20</v>
      </c>
      <c r="I1550" s="10" t="s">
        <v>1936</v>
      </c>
      <c r="J1550" s="10">
        <v>2</v>
      </c>
      <c r="K1550" s="10">
        <v>3</v>
      </c>
      <c r="L1550" s="43">
        <v>31</v>
      </c>
      <c r="M1550" s="43">
        <v>31</v>
      </c>
      <c r="N1550" s="12" t="s">
        <v>1267</v>
      </c>
      <c r="P1550" s="10">
        <v>120</v>
      </c>
      <c r="Q1550" s="10">
        <v>60</v>
      </c>
      <c r="S1550" s="11">
        <v>3</v>
      </c>
      <c r="T1550" s="10">
        <v>60</v>
      </c>
      <c r="V1550" s="45">
        <v>1</v>
      </c>
      <c r="X1550" s="29">
        <v>10</v>
      </c>
      <c r="Y1550" s="54" t="s">
        <v>33</v>
      </c>
    </row>
    <row r="1551" spans="1:27" ht="23.1" customHeight="1" x14ac:dyDescent="0.25">
      <c r="A1551" s="20" t="s">
        <v>1244</v>
      </c>
      <c r="B1551" s="7" t="s">
        <v>110</v>
      </c>
      <c r="C1551" s="7">
        <v>47</v>
      </c>
      <c r="D1551" s="7" t="s">
        <v>978</v>
      </c>
      <c r="E1551" s="41" t="s">
        <v>979</v>
      </c>
      <c r="F1551" s="41" t="s">
        <v>979</v>
      </c>
      <c r="G1551" s="7" t="s">
        <v>154</v>
      </c>
      <c r="H1551" s="7">
        <v>25</v>
      </c>
      <c r="I1551" s="10" t="s">
        <v>2037</v>
      </c>
      <c r="J1551" s="10">
        <v>3</v>
      </c>
      <c r="K1551" s="10">
        <v>3</v>
      </c>
      <c r="L1551" s="43">
        <v>5</v>
      </c>
      <c r="M1551" s="43">
        <v>5</v>
      </c>
      <c r="N1551" s="12" t="s">
        <v>1267</v>
      </c>
      <c r="P1551" s="10">
        <v>140</v>
      </c>
      <c r="Q1551" s="10">
        <v>90</v>
      </c>
      <c r="S1551" s="11">
        <v>3</v>
      </c>
      <c r="T1551" s="10">
        <v>90</v>
      </c>
      <c r="V1551" s="45">
        <v>1</v>
      </c>
      <c r="X1551" s="29">
        <v>13</v>
      </c>
      <c r="Y1551" s="54" t="s">
        <v>33</v>
      </c>
    </row>
    <row r="1552" spans="1:27" ht="23.1" customHeight="1" x14ac:dyDescent="0.25">
      <c r="A1552" s="20" t="s">
        <v>1244</v>
      </c>
      <c r="B1552" s="7" t="s">
        <v>110</v>
      </c>
      <c r="C1552" s="7">
        <v>55</v>
      </c>
      <c r="D1552" s="7" t="s">
        <v>1268</v>
      </c>
      <c r="E1552" s="41" t="s">
        <v>409</v>
      </c>
      <c r="F1552" s="41" t="s">
        <v>409</v>
      </c>
      <c r="G1552" s="7" t="s">
        <v>102</v>
      </c>
      <c r="H1552" s="7">
        <v>25</v>
      </c>
      <c r="I1552" s="10" t="s">
        <v>2208</v>
      </c>
      <c r="J1552" s="10">
        <v>1</v>
      </c>
      <c r="K1552" s="10">
        <v>2</v>
      </c>
      <c r="L1552" s="43">
        <v>5</v>
      </c>
      <c r="M1552" s="43"/>
      <c r="N1552" s="12" t="s">
        <v>596</v>
      </c>
      <c r="P1552" s="10">
        <v>70</v>
      </c>
      <c r="T1552" s="10">
        <v>60</v>
      </c>
      <c r="V1552" s="45">
        <v>1</v>
      </c>
      <c r="X1552" s="29">
        <v>3.3</v>
      </c>
      <c r="Y1552" s="54" t="s">
        <v>44</v>
      </c>
      <c r="Z1552" t="s">
        <v>1269</v>
      </c>
    </row>
    <row r="1553" spans="1:27" ht="23.1" customHeight="1" x14ac:dyDescent="0.25">
      <c r="A1553" s="20" t="s">
        <v>1244</v>
      </c>
      <c r="B1553" s="7" t="s">
        <v>110</v>
      </c>
      <c r="C1553" s="7">
        <v>55</v>
      </c>
      <c r="D1553" s="7" t="s">
        <v>1270</v>
      </c>
      <c r="E1553" s="41" t="s">
        <v>409</v>
      </c>
      <c r="F1553" s="41" t="s">
        <v>409</v>
      </c>
      <c r="G1553" s="7" t="s">
        <v>102</v>
      </c>
      <c r="H1553" s="7">
        <v>25</v>
      </c>
      <c r="I1553" s="10" t="s">
        <v>2209</v>
      </c>
      <c r="J1553" s="10">
        <v>1</v>
      </c>
      <c r="K1553" s="10">
        <v>1</v>
      </c>
      <c r="L1553" s="43">
        <v>5</v>
      </c>
      <c r="M1553" s="43"/>
      <c r="N1553" s="12" t="s">
        <v>596</v>
      </c>
      <c r="P1553" s="10">
        <v>80</v>
      </c>
      <c r="T1553" s="10">
        <v>60</v>
      </c>
      <c r="V1553" s="45">
        <v>1</v>
      </c>
      <c r="W1553" s="14">
        <v>6</v>
      </c>
      <c r="X1553" s="29">
        <v>8.3000000000000007</v>
      </c>
      <c r="Y1553" s="54" t="s">
        <v>44</v>
      </c>
      <c r="Z1553" t="s">
        <v>1269</v>
      </c>
    </row>
    <row r="1554" spans="1:27" ht="23.1" customHeight="1" x14ac:dyDescent="0.25">
      <c r="A1554" s="20" t="s">
        <v>1244</v>
      </c>
      <c r="B1554" s="7" t="s">
        <v>110</v>
      </c>
      <c r="C1554" s="7">
        <v>78</v>
      </c>
      <c r="D1554" s="7" t="s">
        <v>1271</v>
      </c>
      <c r="E1554" s="41" t="s">
        <v>1013</v>
      </c>
      <c r="F1554" s="41" t="s">
        <v>1013</v>
      </c>
      <c r="G1554" s="7" t="s">
        <v>250</v>
      </c>
      <c r="H1554" s="7">
        <v>40</v>
      </c>
      <c r="I1554" s="10" t="s">
        <v>1902</v>
      </c>
      <c r="J1554" s="10">
        <v>3</v>
      </c>
      <c r="K1554" s="10">
        <v>2</v>
      </c>
      <c r="L1554" s="43">
        <v>5</v>
      </c>
      <c r="M1554" s="43">
        <v>31</v>
      </c>
      <c r="N1554" s="12" t="s">
        <v>216</v>
      </c>
      <c r="P1554" s="10">
        <v>250</v>
      </c>
      <c r="Q1554" s="10">
        <v>60</v>
      </c>
      <c r="S1554" s="11">
        <v>3</v>
      </c>
      <c r="T1554" s="10">
        <v>90</v>
      </c>
      <c r="V1554" s="45"/>
      <c r="X1554" s="29">
        <v>11.3</v>
      </c>
      <c r="Y1554" s="54" t="s">
        <v>19</v>
      </c>
    </row>
    <row r="1555" spans="1:27" ht="23.1" customHeight="1" x14ac:dyDescent="0.25">
      <c r="A1555" s="20" t="s">
        <v>1244</v>
      </c>
      <c r="B1555" s="7" t="s">
        <v>110</v>
      </c>
      <c r="C1555" s="7">
        <v>12</v>
      </c>
      <c r="D1555" s="7" t="s">
        <v>735</v>
      </c>
      <c r="E1555" s="41" t="s">
        <v>249</v>
      </c>
      <c r="F1555" s="41" t="s">
        <v>249</v>
      </c>
      <c r="G1555" s="7" t="s">
        <v>250</v>
      </c>
      <c r="H1555" s="7">
        <v>25</v>
      </c>
      <c r="I1555" s="10" t="s">
        <v>1923</v>
      </c>
      <c r="J1555" s="10">
        <v>1</v>
      </c>
      <c r="K1555" s="10">
        <v>1</v>
      </c>
      <c r="L1555" s="43">
        <v>28</v>
      </c>
      <c r="M1555" s="43"/>
      <c r="N1555" s="12" t="s">
        <v>1272</v>
      </c>
      <c r="P1555" s="10">
        <v>1080</v>
      </c>
      <c r="T1555" s="10">
        <v>120</v>
      </c>
      <c r="V1555" s="45"/>
      <c r="X1555" s="29">
        <v>18</v>
      </c>
      <c r="Y1555" s="54" t="s">
        <v>72</v>
      </c>
    </row>
    <row r="1556" spans="1:27" ht="23.1" customHeight="1" x14ac:dyDescent="0.25">
      <c r="A1556" s="20" t="s">
        <v>1244</v>
      </c>
      <c r="B1556" s="7" t="s">
        <v>110</v>
      </c>
      <c r="C1556" s="7">
        <v>21</v>
      </c>
      <c r="D1556" s="7" t="s">
        <v>321</v>
      </c>
      <c r="E1556" s="41" t="s">
        <v>322</v>
      </c>
      <c r="F1556" s="41" t="s">
        <v>322</v>
      </c>
      <c r="G1556" s="7" t="s">
        <v>323</v>
      </c>
      <c r="H1556" s="7">
        <v>50</v>
      </c>
      <c r="I1556" s="10" t="s">
        <v>1986</v>
      </c>
      <c r="J1556" s="10">
        <v>1</v>
      </c>
      <c r="K1556" s="10">
        <v>1</v>
      </c>
      <c r="L1556" s="43">
        <v>31</v>
      </c>
      <c r="M1556" s="43"/>
      <c r="N1556" s="12" t="s">
        <v>1273</v>
      </c>
      <c r="P1556" s="10">
        <v>630</v>
      </c>
      <c r="Q1556" s="10">
        <v>120</v>
      </c>
      <c r="S1556" s="11">
        <v>1</v>
      </c>
      <c r="T1556" s="10">
        <v>180</v>
      </c>
      <c r="V1556" s="45">
        <v>1</v>
      </c>
      <c r="X1556" s="29">
        <v>15.5</v>
      </c>
      <c r="Y1556" s="54" t="s">
        <v>58</v>
      </c>
    </row>
    <row r="1557" spans="1:27" ht="23.1" customHeight="1" x14ac:dyDescent="0.25">
      <c r="A1557" s="20" t="s">
        <v>1244</v>
      </c>
      <c r="B1557" s="7" t="s">
        <v>110</v>
      </c>
      <c r="C1557" s="7">
        <v>107</v>
      </c>
      <c r="D1557" s="7" t="s">
        <v>173</v>
      </c>
      <c r="E1557" s="41" t="s">
        <v>174</v>
      </c>
      <c r="F1557" s="41" t="s">
        <v>1246</v>
      </c>
      <c r="G1557" s="7" t="s">
        <v>154</v>
      </c>
      <c r="H1557" s="7">
        <v>50</v>
      </c>
      <c r="I1557" s="10" t="s">
        <v>2210</v>
      </c>
      <c r="J1557" s="10">
        <v>0.4</v>
      </c>
      <c r="K1557" s="10">
        <v>0.2</v>
      </c>
      <c r="L1557" s="43">
        <v>9</v>
      </c>
      <c r="M1557" s="43">
        <v>28</v>
      </c>
      <c r="N1557" s="12" t="s">
        <v>421</v>
      </c>
      <c r="P1557" s="10">
        <v>2100</v>
      </c>
      <c r="Q1557" s="10">
        <v>90</v>
      </c>
      <c r="T1557" s="10">
        <v>150</v>
      </c>
      <c r="V1557" s="45"/>
      <c r="W1557" s="14">
        <v>2</v>
      </c>
      <c r="X1557" s="29">
        <v>9</v>
      </c>
      <c r="Y1557" s="54" t="s">
        <v>45</v>
      </c>
      <c r="Z1557" t="s">
        <v>1274</v>
      </c>
      <c r="AA1557" t="s">
        <v>238</v>
      </c>
    </row>
    <row r="1558" spans="1:27" ht="23.1" customHeight="1" x14ac:dyDescent="0.25">
      <c r="A1558" s="20" t="s">
        <v>1244</v>
      </c>
      <c r="B1558" s="7" t="s">
        <v>110</v>
      </c>
      <c r="C1558" s="7">
        <v>107</v>
      </c>
      <c r="D1558" s="7" t="s">
        <v>1275</v>
      </c>
      <c r="E1558" s="41" t="s">
        <v>215</v>
      </c>
      <c r="F1558" s="41" t="s">
        <v>215</v>
      </c>
      <c r="G1558" s="7" t="s">
        <v>154</v>
      </c>
      <c r="H1558" s="7">
        <v>35</v>
      </c>
      <c r="I1558" s="10" t="s">
        <v>2073</v>
      </c>
      <c r="J1558" s="10">
        <v>1</v>
      </c>
      <c r="K1558" s="10">
        <v>1</v>
      </c>
      <c r="L1558" s="43">
        <v>28</v>
      </c>
      <c r="M1558" s="43"/>
      <c r="N1558" s="12" t="s">
        <v>1276</v>
      </c>
      <c r="P1558" s="10">
        <v>150</v>
      </c>
      <c r="S1558" s="11">
        <v>1</v>
      </c>
      <c r="T1558" s="10">
        <v>60</v>
      </c>
      <c r="V1558" s="45">
        <v>1</v>
      </c>
      <c r="X1558" s="29">
        <v>3.5</v>
      </c>
      <c r="Y1558" s="54" t="s">
        <v>45</v>
      </c>
    </row>
    <row r="1559" spans="1:27" ht="23.1" customHeight="1" x14ac:dyDescent="0.25">
      <c r="A1559" s="20" t="s">
        <v>1244</v>
      </c>
      <c r="B1559" s="7" t="s">
        <v>110</v>
      </c>
      <c r="C1559" s="7">
        <v>13</v>
      </c>
      <c r="D1559" s="7" t="s">
        <v>1277</v>
      </c>
      <c r="E1559" s="41" t="s">
        <v>1278</v>
      </c>
      <c r="F1559" s="41" t="s">
        <v>1278</v>
      </c>
      <c r="G1559" s="7" t="s">
        <v>154</v>
      </c>
      <c r="H1559" s="7">
        <v>30</v>
      </c>
      <c r="I1559" s="10" t="s">
        <v>2211</v>
      </c>
      <c r="J1559" s="10">
        <v>48</v>
      </c>
      <c r="K1559" s="10">
        <v>38</v>
      </c>
      <c r="L1559" s="43">
        <v>23</v>
      </c>
      <c r="M1559" s="43">
        <v>28</v>
      </c>
      <c r="N1559" s="12" t="s">
        <v>1279</v>
      </c>
      <c r="P1559" s="10">
        <v>35</v>
      </c>
      <c r="T1559" s="10">
        <v>90</v>
      </c>
      <c r="V1559" s="45"/>
      <c r="X1559" s="29">
        <v>22.2</v>
      </c>
      <c r="Y1559" s="54" t="s">
        <v>72</v>
      </c>
    </row>
    <row r="1560" spans="1:27" ht="23.1" customHeight="1" x14ac:dyDescent="0.25">
      <c r="A1560" s="20" t="s">
        <v>1244</v>
      </c>
      <c r="B1560" s="7" t="s">
        <v>110</v>
      </c>
      <c r="C1560" s="7">
        <v>16</v>
      </c>
      <c r="D1560" s="7" t="s">
        <v>1280</v>
      </c>
      <c r="E1560" s="41" t="s">
        <v>595</v>
      </c>
      <c r="F1560" s="41" t="s">
        <v>595</v>
      </c>
      <c r="G1560" s="7" t="s">
        <v>102</v>
      </c>
      <c r="H1560" s="7">
        <v>25</v>
      </c>
      <c r="I1560" s="10" t="s">
        <v>2008</v>
      </c>
      <c r="J1560" s="10">
        <v>2</v>
      </c>
      <c r="K1560" s="10">
        <v>2</v>
      </c>
      <c r="L1560" s="43">
        <v>9</v>
      </c>
      <c r="M1560" s="43">
        <v>9</v>
      </c>
      <c r="N1560" s="12" t="s">
        <v>596</v>
      </c>
      <c r="P1560" s="10">
        <v>20</v>
      </c>
      <c r="S1560" s="11">
        <v>1</v>
      </c>
      <c r="T1560" s="10">
        <v>60</v>
      </c>
      <c r="V1560" s="45"/>
      <c r="W1560" s="14">
        <v>2</v>
      </c>
      <c r="X1560" s="29">
        <v>2.7</v>
      </c>
      <c r="Y1560" s="54" t="s">
        <v>63</v>
      </c>
      <c r="Z1560" t="s">
        <v>926</v>
      </c>
      <c r="AA1560" s="1" t="s">
        <v>238</v>
      </c>
    </row>
    <row r="1561" spans="1:27" ht="23.1" customHeight="1" x14ac:dyDescent="0.25">
      <c r="A1561" s="20" t="s">
        <v>1244</v>
      </c>
      <c r="B1561" s="7" t="s">
        <v>110</v>
      </c>
      <c r="C1561" s="7">
        <v>16</v>
      </c>
      <c r="D1561" s="7" t="s">
        <v>1280</v>
      </c>
      <c r="E1561" s="41" t="s">
        <v>595</v>
      </c>
      <c r="F1561" s="41" t="s">
        <v>595</v>
      </c>
      <c r="G1561" s="7" t="s">
        <v>102</v>
      </c>
      <c r="H1561" s="7">
        <v>20</v>
      </c>
      <c r="I1561" s="10" t="s">
        <v>2212</v>
      </c>
      <c r="K1561" s="10">
        <v>1</v>
      </c>
      <c r="L1561" s="43"/>
      <c r="M1561" s="43"/>
      <c r="N1561" s="12" t="s">
        <v>596</v>
      </c>
      <c r="P1561" s="10">
        <v>35</v>
      </c>
      <c r="T1561" s="10">
        <v>90</v>
      </c>
      <c r="V1561" s="45"/>
      <c r="X1561" s="29">
        <v>0.6</v>
      </c>
      <c r="Y1561" s="54" t="s">
        <v>63</v>
      </c>
    </row>
    <row r="1562" spans="1:27" ht="23.1" customHeight="1" x14ac:dyDescent="0.25">
      <c r="A1562" s="20" t="s">
        <v>1244</v>
      </c>
      <c r="B1562" s="7" t="s">
        <v>110</v>
      </c>
      <c r="C1562" s="7">
        <v>57</v>
      </c>
      <c r="D1562" s="7" t="s">
        <v>1042</v>
      </c>
      <c r="E1562" s="41" t="s">
        <v>1281</v>
      </c>
      <c r="F1562" s="41" t="s">
        <v>1281</v>
      </c>
      <c r="G1562" s="7" t="s">
        <v>107</v>
      </c>
      <c r="H1562" s="7">
        <v>20</v>
      </c>
      <c r="I1562" s="10" t="s">
        <v>2213</v>
      </c>
      <c r="J1562" s="10">
        <v>3.5</v>
      </c>
      <c r="K1562" s="10">
        <v>4.2</v>
      </c>
      <c r="L1562" s="43"/>
      <c r="M1562" s="43"/>
      <c r="N1562" s="12" t="s">
        <v>1043</v>
      </c>
      <c r="P1562" s="10">
        <v>180</v>
      </c>
      <c r="T1562" s="10">
        <v>90</v>
      </c>
      <c r="V1562" s="45"/>
      <c r="X1562" s="29">
        <v>12.6</v>
      </c>
      <c r="Y1562" s="54" t="s">
        <v>7</v>
      </c>
    </row>
    <row r="1563" spans="1:27" ht="23.1" customHeight="1" x14ac:dyDescent="0.25">
      <c r="A1563" s="20" t="s">
        <v>1244</v>
      </c>
      <c r="B1563" s="7" t="s">
        <v>110</v>
      </c>
      <c r="C1563" s="7">
        <v>17</v>
      </c>
      <c r="D1563" s="7" t="s">
        <v>1282</v>
      </c>
      <c r="E1563" s="41" t="s">
        <v>1283</v>
      </c>
      <c r="F1563" s="41" t="s">
        <v>1283</v>
      </c>
      <c r="G1563" s="7" t="s">
        <v>102</v>
      </c>
      <c r="H1563" s="7">
        <v>5</v>
      </c>
      <c r="I1563" s="10" t="s">
        <v>2387</v>
      </c>
      <c r="K1563" s="10">
        <v>1</v>
      </c>
      <c r="L1563" s="43"/>
      <c r="M1563" s="43"/>
      <c r="N1563" s="12" t="s">
        <v>596</v>
      </c>
      <c r="P1563" s="10">
        <v>180</v>
      </c>
      <c r="T1563" s="10">
        <v>60</v>
      </c>
      <c r="V1563" s="45">
        <v>1</v>
      </c>
      <c r="X1563" s="29">
        <v>4</v>
      </c>
      <c r="Y1563" s="54" t="s">
        <v>16</v>
      </c>
      <c r="Z1563" t="s">
        <v>1269</v>
      </c>
      <c r="AA1563" t="s">
        <v>957</v>
      </c>
    </row>
    <row r="1564" spans="1:27" ht="23.1" customHeight="1" x14ac:dyDescent="0.25">
      <c r="A1564" s="20" t="s">
        <v>1244</v>
      </c>
      <c r="B1564" s="7" t="s">
        <v>110</v>
      </c>
      <c r="C1564" s="7">
        <v>17</v>
      </c>
      <c r="D1564" s="7" t="s">
        <v>1282</v>
      </c>
      <c r="E1564" s="41" t="s">
        <v>1283</v>
      </c>
      <c r="F1564" s="41" t="s">
        <v>1283</v>
      </c>
      <c r="G1564" s="7" t="s">
        <v>102</v>
      </c>
      <c r="H1564" s="7">
        <v>10</v>
      </c>
      <c r="I1564" s="10" t="s">
        <v>2214</v>
      </c>
      <c r="K1564" s="10">
        <v>1</v>
      </c>
      <c r="L1564" s="43"/>
      <c r="M1564" s="43"/>
      <c r="N1564" s="12" t="s">
        <v>596</v>
      </c>
      <c r="P1564" s="10">
        <v>100</v>
      </c>
      <c r="T1564" s="10">
        <v>90</v>
      </c>
      <c r="V1564" s="45">
        <v>1</v>
      </c>
      <c r="W1564" s="14">
        <v>3</v>
      </c>
      <c r="X1564" s="29">
        <v>6.2</v>
      </c>
      <c r="Y1564" s="54" t="s">
        <v>16</v>
      </c>
      <c r="Z1564" t="s">
        <v>1284</v>
      </c>
    </row>
    <row r="1565" spans="1:27" ht="23.1" customHeight="1" x14ac:dyDescent="0.25">
      <c r="A1565" s="20" t="s">
        <v>1244</v>
      </c>
      <c r="B1565" s="7" t="s">
        <v>110</v>
      </c>
      <c r="C1565" s="7">
        <v>17</v>
      </c>
      <c r="D1565" s="7" t="s">
        <v>1285</v>
      </c>
      <c r="E1565" s="41" t="s">
        <v>1283</v>
      </c>
      <c r="F1565" s="41" t="s">
        <v>1283</v>
      </c>
      <c r="G1565" s="7" t="s">
        <v>102</v>
      </c>
      <c r="H1565" s="7">
        <v>5</v>
      </c>
      <c r="I1565" s="10" t="s">
        <v>2060</v>
      </c>
      <c r="K1565" s="10">
        <v>1</v>
      </c>
      <c r="L1565" s="43"/>
      <c r="M1565" s="43"/>
      <c r="N1565" s="12" t="s">
        <v>596</v>
      </c>
      <c r="P1565" s="10">
        <v>180</v>
      </c>
      <c r="T1565" s="10">
        <v>60</v>
      </c>
      <c r="V1565" s="45">
        <v>1</v>
      </c>
      <c r="X1565" s="29">
        <v>4</v>
      </c>
      <c r="Y1565" s="54" t="s">
        <v>16</v>
      </c>
      <c r="Z1565" t="s">
        <v>1286</v>
      </c>
    </row>
    <row r="1566" spans="1:27" ht="23.1" customHeight="1" x14ac:dyDescent="0.25">
      <c r="A1566" s="20" t="s">
        <v>1244</v>
      </c>
      <c r="B1566" s="7" t="s">
        <v>110</v>
      </c>
      <c r="C1566" s="7">
        <v>17</v>
      </c>
      <c r="D1566" s="7" t="s">
        <v>1285</v>
      </c>
      <c r="E1566" s="41" t="s">
        <v>1283</v>
      </c>
      <c r="F1566" s="41" t="s">
        <v>1283</v>
      </c>
      <c r="G1566" s="7" t="s">
        <v>102</v>
      </c>
      <c r="H1566" s="7">
        <v>10</v>
      </c>
      <c r="I1566" s="10" t="s">
        <v>2214</v>
      </c>
      <c r="K1566" s="10">
        <v>1</v>
      </c>
      <c r="L1566" s="43"/>
      <c r="M1566" s="43"/>
      <c r="N1566" s="12" t="s">
        <v>596</v>
      </c>
      <c r="P1566" s="10">
        <v>100</v>
      </c>
      <c r="T1566" s="10">
        <v>90</v>
      </c>
      <c r="V1566" s="45">
        <v>1</v>
      </c>
      <c r="X1566" s="29">
        <v>3.2</v>
      </c>
      <c r="Y1566" s="54" t="s">
        <v>16</v>
      </c>
      <c r="Z1566" t="s">
        <v>1269</v>
      </c>
      <c r="AA1566" t="s">
        <v>957</v>
      </c>
    </row>
    <row r="1567" spans="1:27" ht="23.1" customHeight="1" x14ac:dyDescent="0.25">
      <c r="A1567" s="20" t="s">
        <v>1244</v>
      </c>
      <c r="B1567" s="7" t="s">
        <v>110</v>
      </c>
      <c r="C1567" s="7">
        <v>18</v>
      </c>
      <c r="D1567" s="7" t="s">
        <v>918</v>
      </c>
      <c r="E1567" s="41" t="s">
        <v>919</v>
      </c>
      <c r="F1567" s="41" t="s">
        <v>919</v>
      </c>
      <c r="G1567" s="7" t="s">
        <v>323</v>
      </c>
      <c r="H1567" s="7">
        <v>15</v>
      </c>
      <c r="I1567" s="10" t="s">
        <v>2033</v>
      </c>
      <c r="J1567" s="10">
        <v>3</v>
      </c>
      <c r="K1567" s="10">
        <v>4</v>
      </c>
      <c r="L1567" s="43">
        <v>5</v>
      </c>
      <c r="M1567" s="43">
        <v>5</v>
      </c>
      <c r="N1567" s="12" t="s">
        <v>778</v>
      </c>
      <c r="P1567" s="10">
        <v>210</v>
      </c>
      <c r="T1567" s="10">
        <v>90</v>
      </c>
      <c r="V1567" s="45"/>
      <c r="X1567" s="29">
        <v>14</v>
      </c>
      <c r="Y1567" s="54" t="s">
        <v>16</v>
      </c>
    </row>
    <row r="1568" spans="1:27" ht="23.1" customHeight="1" x14ac:dyDescent="0.25">
      <c r="A1568" s="20" t="s">
        <v>1244</v>
      </c>
      <c r="B1568" s="7" t="s">
        <v>137</v>
      </c>
      <c r="C1568" s="7">
        <v>9</v>
      </c>
      <c r="D1568" s="7" t="s">
        <v>1287</v>
      </c>
      <c r="E1568" s="41" t="s">
        <v>1288</v>
      </c>
      <c r="F1568" s="41" t="s">
        <v>1367</v>
      </c>
      <c r="G1568" s="7" t="s">
        <v>123</v>
      </c>
      <c r="H1568" s="7">
        <v>10</v>
      </c>
      <c r="I1568" s="10" t="s">
        <v>2215</v>
      </c>
      <c r="J1568" s="10">
        <v>1.6</v>
      </c>
      <c r="K1568" s="10">
        <v>2</v>
      </c>
      <c r="L1568" s="43">
        <v>28</v>
      </c>
      <c r="M1568" s="43">
        <v>28</v>
      </c>
      <c r="N1568" s="12" t="s">
        <v>1289</v>
      </c>
      <c r="P1568" s="10">
        <v>390</v>
      </c>
      <c r="T1568" s="10">
        <v>90</v>
      </c>
      <c r="V1568" s="45"/>
      <c r="X1568" s="29">
        <v>13</v>
      </c>
      <c r="Y1568" s="54" t="s">
        <v>55</v>
      </c>
    </row>
    <row r="1569" spans="1:27" ht="23.1" customHeight="1" x14ac:dyDescent="0.25">
      <c r="A1569" s="20" t="s">
        <v>1244</v>
      </c>
      <c r="B1569" s="7" t="s">
        <v>137</v>
      </c>
      <c r="C1569" s="7">
        <v>10</v>
      </c>
      <c r="D1569" s="7" t="s">
        <v>946</v>
      </c>
      <c r="E1569" s="41" t="s">
        <v>947</v>
      </c>
      <c r="F1569" s="41" t="s">
        <v>947</v>
      </c>
      <c r="G1569" s="7" t="s">
        <v>300</v>
      </c>
      <c r="H1569" s="7">
        <v>30</v>
      </c>
      <c r="I1569" s="10" t="s">
        <v>2216</v>
      </c>
      <c r="J1569" s="10">
        <v>2</v>
      </c>
      <c r="K1569" s="10">
        <v>1.8</v>
      </c>
      <c r="L1569" s="43">
        <v>31</v>
      </c>
      <c r="M1569" s="43">
        <v>26</v>
      </c>
      <c r="N1569" s="12" t="s">
        <v>1290</v>
      </c>
      <c r="P1569" s="10">
        <v>320</v>
      </c>
      <c r="T1569" s="10">
        <v>90</v>
      </c>
      <c r="V1569" s="45"/>
      <c r="X1569" s="29">
        <v>9.6</v>
      </c>
      <c r="Y1569" s="54" t="s">
        <v>55</v>
      </c>
    </row>
    <row r="1570" spans="1:27" ht="23.1" customHeight="1" x14ac:dyDescent="0.25">
      <c r="A1570" s="20" t="s">
        <v>1244</v>
      </c>
      <c r="B1570" s="7" t="s">
        <v>137</v>
      </c>
      <c r="C1570" s="7">
        <v>58</v>
      </c>
      <c r="D1570" s="7" t="s">
        <v>1264</v>
      </c>
      <c r="E1570" s="41" t="s">
        <v>409</v>
      </c>
      <c r="F1570" s="41" t="s">
        <v>409</v>
      </c>
      <c r="G1570" s="7" t="s">
        <v>102</v>
      </c>
      <c r="H1570" s="7">
        <v>20</v>
      </c>
      <c r="I1570" s="10" t="s">
        <v>2087</v>
      </c>
      <c r="K1570" s="10">
        <v>1</v>
      </c>
      <c r="L1570" s="43">
        <v>28</v>
      </c>
      <c r="M1570" s="43"/>
      <c r="N1570" s="12" t="s">
        <v>596</v>
      </c>
      <c r="P1570" s="10">
        <v>25</v>
      </c>
      <c r="T1570" s="10">
        <v>60</v>
      </c>
      <c r="V1570" s="45">
        <v>1</v>
      </c>
      <c r="X1570" s="29">
        <v>1.4</v>
      </c>
      <c r="Y1570" s="54" t="s">
        <v>57</v>
      </c>
      <c r="Z1570" t="s">
        <v>1291</v>
      </c>
    </row>
    <row r="1571" spans="1:27" ht="23.1" customHeight="1" x14ac:dyDescent="0.25">
      <c r="A1571" s="20" t="s">
        <v>1244</v>
      </c>
      <c r="B1571" s="7" t="s">
        <v>137</v>
      </c>
      <c r="C1571" s="7">
        <v>58</v>
      </c>
      <c r="D1571" s="7" t="s">
        <v>1264</v>
      </c>
      <c r="E1571" s="41" t="s">
        <v>409</v>
      </c>
      <c r="F1571" s="41" t="s">
        <v>409</v>
      </c>
      <c r="G1571" s="7" t="s">
        <v>102</v>
      </c>
      <c r="H1571" s="7">
        <v>25</v>
      </c>
      <c r="I1571" s="10" t="s">
        <v>2208</v>
      </c>
      <c r="K1571" s="10">
        <v>1</v>
      </c>
      <c r="L1571" s="43"/>
      <c r="M1571" s="43"/>
      <c r="N1571" s="12" t="s">
        <v>596</v>
      </c>
      <c r="P1571" s="10">
        <v>55</v>
      </c>
      <c r="T1571" s="10">
        <v>90</v>
      </c>
      <c r="V1571" s="45">
        <v>1</v>
      </c>
      <c r="W1571" s="14">
        <v>2</v>
      </c>
      <c r="X1571" s="29">
        <v>4.4000000000000004</v>
      </c>
      <c r="Y1571" s="54" t="s">
        <v>57</v>
      </c>
      <c r="Z1571" t="s">
        <v>926</v>
      </c>
      <c r="AA1571" s="1" t="s">
        <v>238</v>
      </c>
    </row>
    <row r="1572" spans="1:27" ht="23.1" customHeight="1" x14ac:dyDescent="0.25">
      <c r="A1572" s="20" t="s">
        <v>1244</v>
      </c>
      <c r="B1572" s="7" t="s">
        <v>137</v>
      </c>
      <c r="C1572" s="7">
        <v>59</v>
      </c>
      <c r="D1572" s="7" t="s">
        <v>1262</v>
      </c>
      <c r="E1572" s="41" t="s">
        <v>625</v>
      </c>
      <c r="F1572" s="41" t="s">
        <v>625</v>
      </c>
      <c r="G1572" s="7" t="s">
        <v>102</v>
      </c>
      <c r="H1572" s="7">
        <v>15</v>
      </c>
      <c r="I1572" s="10" t="s">
        <v>2205</v>
      </c>
      <c r="J1572" s="10">
        <v>2</v>
      </c>
      <c r="K1572" s="10">
        <v>2</v>
      </c>
      <c r="L1572" s="43">
        <v>31</v>
      </c>
      <c r="M1572" s="43">
        <v>31</v>
      </c>
      <c r="N1572" s="12" t="s">
        <v>596</v>
      </c>
      <c r="P1572" s="10">
        <v>80</v>
      </c>
      <c r="T1572" s="10">
        <v>90</v>
      </c>
      <c r="V1572" s="45"/>
      <c r="X1572" s="29">
        <v>2.7</v>
      </c>
      <c r="Y1572" s="54" t="s">
        <v>42</v>
      </c>
    </row>
    <row r="1573" spans="1:27" ht="23.1" customHeight="1" x14ac:dyDescent="0.25">
      <c r="A1573" s="20" t="s">
        <v>1244</v>
      </c>
      <c r="B1573" s="7" t="s">
        <v>137</v>
      </c>
      <c r="C1573" s="7">
        <v>59</v>
      </c>
      <c r="D1573" s="7" t="s">
        <v>1292</v>
      </c>
      <c r="E1573" s="41" t="s">
        <v>409</v>
      </c>
      <c r="F1573" s="41" t="s">
        <v>409</v>
      </c>
      <c r="G1573" s="7" t="s">
        <v>102</v>
      </c>
      <c r="H1573" s="7">
        <v>25</v>
      </c>
      <c r="I1573" s="10" t="s">
        <v>1993</v>
      </c>
      <c r="K1573" s="10">
        <v>4</v>
      </c>
      <c r="L1573" s="43">
        <v>28</v>
      </c>
      <c r="M1573" s="43">
        <v>31</v>
      </c>
      <c r="N1573" s="12" t="s">
        <v>596</v>
      </c>
      <c r="P1573" s="10">
        <v>25</v>
      </c>
      <c r="T1573" s="10">
        <v>60</v>
      </c>
      <c r="V1573" s="45">
        <v>1</v>
      </c>
      <c r="X1573" s="29">
        <v>2.7</v>
      </c>
      <c r="Y1573" s="54" t="s">
        <v>42</v>
      </c>
    </row>
    <row r="1574" spans="1:27" ht="23.1" customHeight="1" x14ac:dyDescent="0.25">
      <c r="A1574" s="20" t="s">
        <v>1244</v>
      </c>
      <c r="B1574" s="7" t="s">
        <v>137</v>
      </c>
      <c r="C1574" s="7">
        <v>59</v>
      </c>
      <c r="D1574" s="7" t="s">
        <v>1292</v>
      </c>
      <c r="E1574" s="41" t="s">
        <v>409</v>
      </c>
      <c r="F1574" s="41" t="s">
        <v>409</v>
      </c>
      <c r="G1574" s="7" t="s">
        <v>102</v>
      </c>
      <c r="H1574" s="7">
        <v>30</v>
      </c>
      <c r="I1574" s="10" t="s">
        <v>2218</v>
      </c>
      <c r="K1574" s="10">
        <v>4</v>
      </c>
      <c r="L1574" s="43">
        <v>28</v>
      </c>
      <c r="M1574" s="43">
        <v>31</v>
      </c>
      <c r="N1574" s="12" t="s">
        <v>596</v>
      </c>
      <c r="P1574" s="10">
        <v>20</v>
      </c>
      <c r="T1574" s="10">
        <v>60</v>
      </c>
      <c r="V1574" s="45">
        <v>1</v>
      </c>
      <c r="W1574" s="14">
        <v>2</v>
      </c>
      <c r="X1574" s="29">
        <v>4.3</v>
      </c>
      <c r="Y1574" s="54" t="s">
        <v>42</v>
      </c>
      <c r="Z1574" t="s">
        <v>926</v>
      </c>
      <c r="AA1574" s="1" t="s">
        <v>238</v>
      </c>
    </row>
    <row r="1575" spans="1:27" ht="23.1" customHeight="1" x14ac:dyDescent="0.25">
      <c r="A1575" s="20" t="s">
        <v>1244</v>
      </c>
      <c r="B1575" s="7" t="s">
        <v>137</v>
      </c>
      <c r="C1575" s="7">
        <v>59</v>
      </c>
      <c r="D1575" s="7" t="s">
        <v>1293</v>
      </c>
      <c r="E1575" s="41" t="s">
        <v>409</v>
      </c>
      <c r="F1575" s="41" t="s">
        <v>409</v>
      </c>
      <c r="G1575" s="7" t="s">
        <v>102</v>
      </c>
      <c r="H1575" s="7">
        <v>25</v>
      </c>
      <c r="I1575" s="10" t="s">
        <v>1993</v>
      </c>
      <c r="K1575" s="10">
        <v>4</v>
      </c>
      <c r="L1575" s="43">
        <v>28</v>
      </c>
      <c r="M1575" s="43">
        <v>31</v>
      </c>
      <c r="N1575" s="12" t="s">
        <v>596</v>
      </c>
      <c r="P1575" s="10">
        <v>25</v>
      </c>
      <c r="T1575" s="10">
        <v>60</v>
      </c>
      <c r="V1575" s="45">
        <v>1</v>
      </c>
      <c r="X1575" s="29">
        <v>2.7</v>
      </c>
      <c r="Y1575" s="54" t="s">
        <v>42</v>
      </c>
    </row>
    <row r="1576" spans="1:27" ht="23.1" customHeight="1" x14ac:dyDescent="0.25">
      <c r="A1576" s="20" t="s">
        <v>1244</v>
      </c>
      <c r="B1576" s="7" t="s">
        <v>137</v>
      </c>
      <c r="C1576" s="7">
        <v>59</v>
      </c>
      <c r="D1576" s="7" t="s">
        <v>1293</v>
      </c>
      <c r="E1576" s="41" t="s">
        <v>409</v>
      </c>
      <c r="F1576" s="41" t="s">
        <v>409</v>
      </c>
      <c r="G1576" s="7" t="s">
        <v>102</v>
      </c>
      <c r="H1576" s="7">
        <v>30</v>
      </c>
      <c r="I1576" s="10" t="s">
        <v>2218</v>
      </c>
      <c r="K1576" s="10">
        <v>4</v>
      </c>
      <c r="L1576" s="43">
        <v>28</v>
      </c>
      <c r="M1576" s="43">
        <v>31</v>
      </c>
      <c r="N1576" s="12" t="s">
        <v>596</v>
      </c>
      <c r="P1576" s="10">
        <v>20</v>
      </c>
      <c r="T1576" s="10">
        <v>60</v>
      </c>
      <c r="V1576" s="45">
        <v>1</v>
      </c>
      <c r="W1576" s="14">
        <v>2</v>
      </c>
      <c r="X1576" s="29">
        <v>4.3</v>
      </c>
      <c r="Y1576" s="54" t="s">
        <v>42</v>
      </c>
      <c r="Z1576" t="s">
        <v>926</v>
      </c>
      <c r="AA1576" s="1" t="s">
        <v>238</v>
      </c>
    </row>
    <row r="1577" spans="1:27" ht="23.1" customHeight="1" x14ac:dyDescent="0.25">
      <c r="A1577" s="20" t="s">
        <v>1244</v>
      </c>
      <c r="B1577" s="7" t="s">
        <v>137</v>
      </c>
      <c r="C1577" s="7">
        <v>58</v>
      </c>
      <c r="D1577" s="7" t="s">
        <v>1294</v>
      </c>
      <c r="E1577" s="41" t="s">
        <v>409</v>
      </c>
      <c r="F1577" s="41" t="s">
        <v>409</v>
      </c>
      <c r="G1577" s="7" t="s">
        <v>102</v>
      </c>
      <c r="H1577" s="7">
        <v>25</v>
      </c>
      <c r="I1577" s="10" t="s">
        <v>2054</v>
      </c>
      <c r="K1577" s="10">
        <v>4</v>
      </c>
      <c r="L1577" s="43">
        <v>28</v>
      </c>
      <c r="M1577" s="43">
        <v>28</v>
      </c>
      <c r="N1577" s="12" t="s">
        <v>596</v>
      </c>
      <c r="P1577" s="10">
        <v>20</v>
      </c>
      <c r="T1577" s="10">
        <v>60</v>
      </c>
      <c r="V1577" s="45">
        <v>1</v>
      </c>
      <c r="X1577" s="29">
        <v>2.2999999999999998</v>
      </c>
      <c r="Y1577" s="54" t="s">
        <v>42</v>
      </c>
    </row>
    <row r="1578" spans="1:27" ht="23.1" customHeight="1" x14ac:dyDescent="0.25">
      <c r="A1578" s="20" t="s">
        <v>1244</v>
      </c>
      <c r="B1578" s="7" t="s">
        <v>137</v>
      </c>
      <c r="C1578" s="7">
        <v>58</v>
      </c>
      <c r="D1578" s="7" t="s">
        <v>1295</v>
      </c>
      <c r="E1578" s="41" t="s">
        <v>409</v>
      </c>
      <c r="F1578" s="41" t="s">
        <v>409</v>
      </c>
      <c r="G1578" s="7" t="s">
        <v>102</v>
      </c>
      <c r="H1578" s="7">
        <v>25</v>
      </c>
      <c r="I1578" s="10" t="s">
        <v>1993</v>
      </c>
      <c r="K1578" s="10">
        <v>4</v>
      </c>
      <c r="L1578" s="43">
        <v>28</v>
      </c>
      <c r="M1578" s="43">
        <v>28</v>
      </c>
      <c r="N1578" s="12" t="s">
        <v>596</v>
      </c>
      <c r="P1578" s="10">
        <v>25</v>
      </c>
      <c r="T1578" s="10">
        <v>60</v>
      </c>
      <c r="V1578" s="45">
        <v>1</v>
      </c>
      <c r="X1578" s="29">
        <v>2.7</v>
      </c>
      <c r="Y1578" s="54" t="s">
        <v>42</v>
      </c>
    </row>
    <row r="1579" spans="1:27" ht="23.1" customHeight="1" x14ac:dyDescent="0.25">
      <c r="A1579" s="20" t="s">
        <v>1244</v>
      </c>
      <c r="B1579" s="7" t="s">
        <v>137</v>
      </c>
      <c r="C1579" s="7">
        <v>57</v>
      </c>
      <c r="D1579" s="7" t="s">
        <v>1042</v>
      </c>
      <c r="E1579" s="41" t="s">
        <v>1281</v>
      </c>
      <c r="F1579" s="41" t="s">
        <v>1281</v>
      </c>
      <c r="G1579" s="7" t="s">
        <v>107</v>
      </c>
      <c r="H1579" s="7">
        <v>20</v>
      </c>
      <c r="I1579" s="10" t="s">
        <v>2213</v>
      </c>
      <c r="J1579" s="10">
        <v>1</v>
      </c>
      <c r="K1579" s="10">
        <v>1</v>
      </c>
      <c r="L1579" s="43">
        <v>28</v>
      </c>
      <c r="M1579" s="43"/>
      <c r="N1579" s="12" t="s">
        <v>1043</v>
      </c>
      <c r="P1579" s="10">
        <v>180</v>
      </c>
      <c r="T1579" s="10">
        <v>90</v>
      </c>
      <c r="V1579" s="45"/>
      <c r="X1579" s="29">
        <v>3</v>
      </c>
      <c r="Y1579" s="54" t="s">
        <v>57</v>
      </c>
    </row>
    <row r="1580" spans="1:27" ht="23.1" customHeight="1" x14ac:dyDescent="0.25">
      <c r="A1580" s="20" t="s">
        <v>1244</v>
      </c>
      <c r="B1580" s="7" t="s">
        <v>137</v>
      </c>
      <c r="C1580" s="7">
        <v>57</v>
      </c>
      <c r="D1580" s="7" t="s">
        <v>1031</v>
      </c>
      <c r="E1580" s="41" t="s">
        <v>1032</v>
      </c>
      <c r="F1580" s="41" t="s">
        <v>1032</v>
      </c>
      <c r="G1580" s="7" t="s">
        <v>107</v>
      </c>
      <c r="H1580" s="7">
        <v>25</v>
      </c>
      <c r="I1580" s="10" t="s">
        <v>2054</v>
      </c>
      <c r="J1580" s="10">
        <v>4</v>
      </c>
      <c r="K1580" s="10">
        <v>8</v>
      </c>
      <c r="L1580" s="43">
        <v>28</v>
      </c>
      <c r="M1580" s="43">
        <v>28</v>
      </c>
      <c r="N1580" s="12" t="s">
        <v>1043</v>
      </c>
      <c r="P1580" s="10">
        <v>90</v>
      </c>
      <c r="T1580" s="10">
        <v>60</v>
      </c>
      <c r="V1580" s="45">
        <v>1</v>
      </c>
      <c r="X1580" s="29">
        <v>13</v>
      </c>
      <c r="Y1580" s="54" t="s">
        <v>57</v>
      </c>
    </row>
    <row r="1581" spans="1:27" ht="23.1" customHeight="1" x14ac:dyDescent="0.25">
      <c r="A1581" s="20" t="s">
        <v>1244</v>
      </c>
      <c r="B1581" s="7" t="s">
        <v>137</v>
      </c>
      <c r="C1581" s="7">
        <v>18</v>
      </c>
      <c r="D1581" s="7" t="s">
        <v>918</v>
      </c>
      <c r="E1581" s="41" t="s">
        <v>919</v>
      </c>
      <c r="F1581" s="41" t="s">
        <v>919</v>
      </c>
      <c r="G1581" s="7" t="s">
        <v>323</v>
      </c>
      <c r="H1581" s="7">
        <v>20</v>
      </c>
      <c r="I1581" s="10" t="s">
        <v>1960</v>
      </c>
      <c r="J1581" s="10">
        <v>4</v>
      </c>
      <c r="K1581" s="10">
        <v>6</v>
      </c>
      <c r="L1581" s="43">
        <v>28</v>
      </c>
      <c r="M1581" s="43">
        <v>5</v>
      </c>
      <c r="N1581" s="12" t="s">
        <v>778</v>
      </c>
      <c r="P1581" s="10">
        <v>120</v>
      </c>
      <c r="S1581" s="11">
        <v>1</v>
      </c>
      <c r="T1581" s="10">
        <v>90</v>
      </c>
      <c r="V1581" s="45"/>
      <c r="X1581" s="29">
        <v>12</v>
      </c>
      <c r="Y1581" s="54" t="s">
        <v>43</v>
      </c>
    </row>
    <row r="1582" spans="1:27" ht="23.1" customHeight="1" x14ac:dyDescent="0.25">
      <c r="A1582" s="20" t="s">
        <v>1244</v>
      </c>
      <c r="B1582" s="7" t="s">
        <v>137</v>
      </c>
      <c r="C1582" s="7">
        <v>17</v>
      </c>
      <c r="D1582" s="7" t="s">
        <v>1282</v>
      </c>
      <c r="E1582" s="41" t="s">
        <v>1283</v>
      </c>
      <c r="F1582" s="41" t="s">
        <v>1283</v>
      </c>
      <c r="G1582" s="7" t="s">
        <v>102</v>
      </c>
      <c r="H1582" s="7">
        <v>15</v>
      </c>
      <c r="I1582" s="10" t="s">
        <v>2467</v>
      </c>
      <c r="K1582" s="10">
        <v>1</v>
      </c>
      <c r="L1582" s="43">
        <v>28</v>
      </c>
      <c r="M1582" s="43">
        <v>37</v>
      </c>
      <c r="N1582" s="12" t="s">
        <v>596</v>
      </c>
      <c r="P1582" s="10">
        <v>150</v>
      </c>
      <c r="T1582" s="10">
        <v>60</v>
      </c>
      <c r="V1582" s="45">
        <v>1</v>
      </c>
      <c r="X1582" s="29">
        <v>3.5</v>
      </c>
      <c r="Y1582" s="54" t="s">
        <v>43</v>
      </c>
      <c r="Z1582" t="s">
        <v>1269</v>
      </c>
    </row>
    <row r="1583" spans="1:27" ht="23.1" customHeight="1" x14ac:dyDescent="0.25">
      <c r="A1583" s="20" t="s">
        <v>1244</v>
      </c>
      <c r="B1583" s="7" t="s">
        <v>137</v>
      </c>
      <c r="C1583" s="7">
        <v>17</v>
      </c>
      <c r="D1583" s="7" t="s">
        <v>1282</v>
      </c>
      <c r="E1583" s="41" t="s">
        <v>1283</v>
      </c>
      <c r="F1583" s="41" t="s">
        <v>1283</v>
      </c>
      <c r="G1583" s="7" t="s">
        <v>102</v>
      </c>
      <c r="H1583" s="7">
        <v>20</v>
      </c>
      <c r="I1583" s="10" t="s">
        <v>2030</v>
      </c>
      <c r="K1583" s="10">
        <v>1</v>
      </c>
      <c r="L1583" s="43">
        <v>28</v>
      </c>
      <c r="M1583" s="43">
        <v>37</v>
      </c>
      <c r="N1583" s="12" t="s">
        <v>596</v>
      </c>
      <c r="P1583" s="10">
        <v>210</v>
      </c>
      <c r="T1583" s="10">
        <v>90</v>
      </c>
      <c r="V1583" s="45">
        <v>1</v>
      </c>
      <c r="X1583" s="29">
        <v>5</v>
      </c>
      <c r="Y1583" s="54" t="s">
        <v>43</v>
      </c>
    </row>
    <row r="1584" spans="1:27" ht="23.1" customHeight="1" x14ac:dyDescent="0.25">
      <c r="A1584" s="20" t="s">
        <v>1244</v>
      </c>
      <c r="B1584" s="7" t="s">
        <v>137</v>
      </c>
      <c r="C1584" s="7">
        <v>16</v>
      </c>
      <c r="D1584" s="7" t="s">
        <v>1280</v>
      </c>
      <c r="E1584" s="41" t="s">
        <v>595</v>
      </c>
      <c r="F1584" s="41" t="s">
        <v>595</v>
      </c>
      <c r="G1584" s="7" t="s">
        <v>102</v>
      </c>
      <c r="H1584" s="7">
        <v>30</v>
      </c>
      <c r="I1584" s="10" t="s">
        <v>2219</v>
      </c>
      <c r="J1584" s="10">
        <v>2</v>
      </c>
      <c r="K1584" s="10">
        <v>2</v>
      </c>
      <c r="L1584" s="43">
        <v>28</v>
      </c>
      <c r="M1584" s="43">
        <v>28</v>
      </c>
      <c r="N1584" s="12" t="s">
        <v>596</v>
      </c>
      <c r="P1584" s="10">
        <v>120</v>
      </c>
      <c r="T1584" s="10">
        <v>90</v>
      </c>
      <c r="V1584" s="45">
        <v>1</v>
      </c>
      <c r="W1584" s="14">
        <v>2</v>
      </c>
      <c r="X1584" s="29">
        <v>7.5</v>
      </c>
      <c r="Y1584" s="54" t="s">
        <v>38</v>
      </c>
      <c r="Z1584" t="s">
        <v>926</v>
      </c>
      <c r="AA1584" s="1" t="s">
        <v>238</v>
      </c>
    </row>
    <row r="1585" spans="1:26" ht="23.1" customHeight="1" x14ac:dyDescent="0.25">
      <c r="A1585" s="20" t="s">
        <v>1244</v>
      </c>
      <c r="B1585" s="7" t="s">
        <v>137</v>
      </c>
      <c r="C1585" s="7">
        <v>11</v>
      </c>
      <c r="D1585" s="7" t="s">
        <v>1296</v>
      </c>
      <c r="E1585" s="41" t="s">
        <v>1297</v>
      </c>
      <c r="F1585" s="41" t="s">
        <v>1297</v>
      </c>
      <c r="G1585" s="7" t="s">
        <v>154</v>
      </c>
      <c r="H1585" s="7">
        <v>35</v>
      </c>
      <c r="I1585" s="10" t="s">
        <v>2073</v>
      </c>
      <c r="J1585" s="10">
        <v>3.5</v>
      </c>
      <c r="K1585" s="10">
        <v>2</v>
      </c>
      <c r="L1585" s="43">
        <v>28</v>
      </c>
      <c r="M1585" s="43">
        <v>26</v>
      </c>
      <c r="P1585" s="10">
        <v>150</v>
      </c>
      <c r="T1585" s="10">
        <v>60</v>
      </c>
      <c r="V1585" s="45"/>
      <c r="X1585" s="29">
        <v>5</v>
      </c>
      <c r="Y1585" s="54" t="s">
        <v>38</v>
      </c>
    </row>
    <row r="1586" spans="1:26" ht="23.1" customHeight="1" x14ac:dyDescent="0.25">
      <c r="A1586" s="20" t="s">
        <v>1244</v>
      </c>
      <c r="B1586" s="7" t="s">
        <v>113</v>
      </c>
      <c r="C1586" s="7">
        <v>24</v>
      </c>
      <c r="D1586" s="7" t="s">
        <v>776</v>
      </c>
      <c r="E1586" s="41" t="s">
        <v>777</v>
      </c>
      <c r="F1586" s="41" t="s">
        <v>777</v>
      </c>
      <c r="G1586" s="7" t="s">
        <v>107</v>
      </c>
      <c r="H1586" s="7">
        <v>25</v>
      </c>
      <c r="I1586" s="10" t="s">
        <v>2035</v>
      </c>
      <c r="J1586" s="10">
        <v>1.5</v>
      </c>
      <c r="K1586" s="10">
        <v>1.4</v>
      </c>
      <c r="L1586" s="43">
        <v>28</v>
      </c>
      <c r="M1586" s="43">
        <v>5</v>
      </c>
      <c r="N1586" s="12" t="s">
        <v>1196</v>
      </c>
      <c r="P1586" s="10">
        <v>840</v>
      </c>
      <c r="Q1586" s="10">
        <v>120</v>
      </c>
      <c r="S1586" s="11">
        <v>1</v>
      </c>
      <c r="T1586" s="10">
        <v>150</v>
      </c>
      <c r="V1586" s="45"/>
      <c r="X1586" s="29">
        <v>21.6</v>
      </c>
      <c r="Y1586" s="54" t="s">
        <v>26</v>
      </c>
    </row>
    <row r="1587" spans="1:26" ht="23.1" customHeight="1" x14ac:dyDescent="0.25">
      <c r="A1587" s="20" t="s">
        <v>1244</v>
      </c>
      <c r="B1587" s="7" t="s">
        <v>113</v>
      </c>
      <c r="C1587" s="7">
        <v>69</v>
      </c>
      <c r="D1587" s="7" t="s">
        <v>592</v>
      </c>
      <c r="E1587" s="41" t="s">
        <v>218</v>
      </c>
      <c r="F1587" s="41" t="s">
        <v>218</v>
      </c>
      <c r="G1587" s="7" t="s">
        <v>107</v>
      </c>
      <c r="H1587" s="7">
        <v>50</v>
      </c>
      <c r="I1587" s="10" t="s">
        <v>2202</v>
      </c>
      <c r="J1587" s="10">
        <v>1</v>
      </c>
      <c r="K1587" s="10">
        <v>1</v>
      </c>
      <c r="L1587" s="43">
        <v>28</v>
      </c>
      <c r="M1587" s="43"/>
      <c r="N1587" s="12" t="s">
        <v>456</v>
      </c>
      <c r="P1587" s="10">
        <v>180</v>
      </c>
      <c r="Q1587" s="10">
        <v>60</v>
      </c>
      <c r="T1587" s="10">
        <v>150</v>
      </c>
      <c r="V1587" s="45"/>
      <c r="X1587" s="29">
        <v>3</v>
      </c>
      <c r="Y1587" s="54" t="s">
        <v>26</v>
      </c>
    </row>
    <row r="1588" spans="1:26" ht="23.1" customHeight="1" x14ac:dyDescent="0.25">
      <c r="A1588" s="20" t="s">
        <v>1244</v>
      </c>
      <c r="B1588" s="7" t="s">
        <v>113</v>
      </c>
      <c r="C1588" s="7">
        <v>69</v>
      </c>
      <c r="D1588" s="7" t="s">
        <v>404</v>
      </c>
      <c r="E1588" s="41" t="s">
        <v>405</v>
      </c>
      <c r="F1588" s="41" t="s">
        <v>405</v>
      </c>
      <c r="G1588" s="7" t="s">
        <v>118</v>
      </c>
      <c r="H1588" s="7">
        <v>40</v>
      </c>
      <c r="I1588" s="10" t="s">
        <v>1939</v>
      </c>
      <c r="J1588" s="10">
        <v>5</v>
      </c>
      <c r="K1588" s="10">
        <v>5</v>
      </c>
      <c r="L1588" s="43">
        <v>28</v>
      </c>
      <c r="M1588" s="43">
        <v>26</v>
      </c>
      <c r="N1588" s="12" t="s">
        <v>1298</v>
      </c>
      <c r="P1588" s="10">
        <v>150</v>
      </c>
      <c r="Q1588" s="10">
        <v>75</v>
      </c>
      <c r="T1588" s="10">
        <v>150</v>
      </c>
      <c r="V1588" s="45">
        <v>1</v>
      </c>
      <c r="W1588" s="14">
        <v>5</v>
      </c>
      <c r="X1588" s="29">
        <v>20</v>
      </c>
      <c r="Y1588" s="54" t="s">
        <v>26</v>
      </c>
      <c r="Z1588" t="s">
        <v>943</v>
      </c>
    </row>
    <row r="1589" spans="1:26" ht="23.1" customHeight="1" x14ac:dyDescent="0.25">
      <c r="A1589" s="20" t="s">
        <v>1244</v>
      </c>
      <c r="B1589" s="7" t="s">
        <v>113</v>
      </c>
      <c r="C1589" s="7">
        <v>69</v>
      </c>
      <c r="D1589" s="7" t="s">
        <v>404</v>
      </c>
      <c r="E1589" s="41" t="s">
        <v>405</v>
      </c>
      <c r="F1589" s="41" t="s">
        <v>405</v>
      </c>
      <c r="G1589" s="7" t="s">
        <v>118</v>
      </c>
      <c r="H1589" s="7">
        <v>45</v>
      </c>
      <c r="I1589" s="10" t="s">
        <v>1943</v>
      </c>
      <c r="J1589" s="10">
        <v>5</v>
      </c>
      <c r="K1589" s="10">
        <v>5</v>
      </c>
      <c r="L1589" s="43">
        <v>28</v>
      </c>
      <c r="M1589" s="43">
        <v>26</v>
      </c>
      <c r="N1589" s="12" t="s">
        <v>1298</v>
      </c>
      <c r="P1589" s="10">
        <v>60</v>
      </c>
      <c r="Q1589" s="10">
        <v>75</v>
      </c>
      <c r="T1589" s="10">
        <v>150</v>
      </c>
      <c r="V1589" s="45"/>
      <c r="X1589" s="29">
        <v>5</v>
      </c>
      <c r="Y1589" s="54" t="s">
        <v>26</v>
      </c>
    </row>
    <row r="1590" spans="1:26" ht="23.1" customHeight="1" x14ac:dyDescent="0.25">
      <c r="A1590" s="20" t="s">
        <v>1244</v>
      </c>
      <c r="B1590" s="7" t="s">
        <v>113</v>
      </c>
      <c r="C1590" s="7">
        <v>69</v>
      </c>
      <c r="D1590" s="7" t="s">
        <v>404</v>
      </c>
      <c r="E1590" s="41" t="s">
        <v>405</v>
      </c>
      <c r="F1590" s="41" t="s">
        <v>405</v>
      </c>
      <c r="G1590" s="7" t="s">
        <v>118</v>
      </c>
      <c r="H1590" s="7">
        <v>50</v>
      </c>
      <c r="I1590" s="10" t="s">
        <v>1944</v>
      </c>
      <c r="J1590" s="10">
        <v>5</v>
      </c>
      <c r="K1590" s="10">
        <v>5</v>
      </c>
      <c r="L1590" s="43">
        <v>28</v>
      </c>
      <c r="M1590" s="43">
        <v>26</v>
      </c>
      <c r="N1590" s="12" t="s">
        <v>1298</v>
      </c>
      <c r="P1590" s="10">
        <v>120</v>
      </c>
      <c r="Q1590" s="10">
        <v>75</v>
      </c>
      <c r="T1590" s="10">
        <v>150</v>
      </c>
      <c r="V1590" s="45"/>
      <c r="X1590" s="29">
        <v>10</v>
      </c>
      <c r="Y1590" s="54" t="s">
        <v>26</v>
      </c>
    </row>
    <row r="1591" spans="1:26" ht="23.1" customHeight="1" x14ac:dyDescent="0.25">
      <c r="A1591" s="20" t="s">
        <v>1244</v>
      </c>
      <c r="B1591" s="7" t="s">
        <v>113</v>
      </c>
      <c r="C1591" s="7">
        <v>84</v>
      </c>
      <c r="D1591" s="7" t="s">
        <v>1299</v>
      </c>
      <c r="E1591" s="41" t="s">
        <v>437</v>
      </c>
      <c r="F1591" s="41" t="s">
        <v>437</v>
      </c>
      <c r="G1591" s="7" t="s">
        <v>154</v>
      </c>
      <c r="H1591" s="7">
        <v>35</v>
      </c>
      <c r="I1591" s="10" t="s">
        <v>2220</v>
      </c>
      <c r="J1591" s="10">
        <v>2</v>
      </c>
      <c r="K1591" s="10">
        <v>2</v>
      </c>
      <c r="L1591" s="43">
        <v>28</v>
      </c>
      <c r="M1591" s="43">
        <v>28</v>
      </c>
      <c r="N1591" s="12" t="s">
        <v>1300</v>
      </c>
      <c r="P1591" s="10">
        <v>90</v>
      </c>
      <c r="Q1591" s="10">
        <v>60</v>
      </c>
      <c r="S1591" s="11">
        <v>2</v>
      </c>
      <c r="T1591" s="10">
        <v>120</v>
      </c>
      <c r="V1591" s="45">
        <v>1</v>
      </c>
      <c r="W1591" s="10">
        <v>3</v>
      </c>
      <c r="X1591" s="29">
        <v>10</v>
      </c>
      <c r="Y1591" s="54" t="s">
        <v>26</v>
      </c>
      <c r="Z1591" t="s">
        <v>1245</v>
      </c>
    </row>
    <row r="1592" spans="1:26" ht="23.1" customHeight="1" x14ac:dyDescent="0.25">
      <c r="A1592" s="20" t="s">
        <v>1244</v>
      </c>
      <c r="B1592" s="7" t="s">
        <v>113</v>
      </c>
      <c r="C1592" s="7">
        <v>84</v>
      </c>
      <c r="D1592" s="7" t="s">
        <v>1301</v>
      </c>
      <c r="E1592" s="41" t="s">
        <v>1302</v>
      </c>
      <c r="F1592" s="41" t="s">
        <v>1302</v>
      </c>
      <c r="G1592" s="7" t="s">
        <v>154</v>
      </c>
      <c r="H1592" s="7">
        <v>35</v>
      </c>
      <c r="I1592" s="10" t="s">
        <v>2221</v>
      </c>
      <c r="J1592" s="10">
        <v>1</v>
      </c>
      <c r="K1592" s="10">
        <v>1</v>
      </c>
      <c r="L1592" s="43">
        <v>28</v>
      </c>
      <c r="M1592" s="43">
        <v>28</v>
      </c>
      <c r="N1592" s="12" t="s">
        <v>159</v>
      </c>
      <c r="P1592" s="10">
        <v>210</v>
      </c>
      <c r="Q1592" s="10">
        <v>60</v>
      </c>
      <c r="S1592" s="11">
        <v>1</v>
      </c>
      <c r="T1592" s="10">
        <v>120</v>
      </c>
      <c r="V1592" s="45"/>
      <c r="W1592" s="14">
        <v>2</v>
      </c>
      <c r="X1592" s="29">
        <v>6.5</v>
      </c>
      <c r="Y1592" s="54" t="s">
        <v>26</v>
      </c>
      <c r="Z1592" t="s">
        <v>1303</v>
      </c>
    </row>
    <row r="1593" spans="1:26" ht="23.1" customHeight="1" x14ac:dyDescent="0.25">
      <c r="A1593" s="20" t="s">
        <v>1244</v>
      </c>
      <c r="B1593" s="7" t="s">
        <v>113</v>
      </c>
      <c r="C1593" s="7">
        <v>91</v>
      </c>
      <c r="D1593" s="7" t="s">
        <v>254</v>
      </c>
      <c r="E1593" s="41" t="s">
        <v>1016</v>
      </c>
      <c r="F1593" s="41" t="s">
        <v>1016</v>
      </c>
      <c r="G1593" s="7" t="s">
        <v>375</v>
      </c>
      <c r="H1593" s="7">
        <v>40</v>
      </c>
      <c r="I1593" s="10" t="s">
        <v>2110</v>
      </c>
      <c r="J1593" s="10">
        <v>0.4</v>
      </c>
      <c r="K1593" s="10">
        <v>0.4</v>
      </c>
      <c r="L1593" s="43">
        <v>28</v>
      </c>
      <c r="M1593" s="43"/>
      <c r="N1593" s="12" t="s">
        <v>716</v>
      </c>
      <c r="P1593" s="10">
        <v>3000</v>
      </c>
      <c r="Q1593" s="10">
        <v>90</v>
      </c>
      <c r="T1593" s="10">
        <v>120</v>
      </c>
      <c r="V1593" s="45"/>
      <c r="X1593" s="29">
        <v>20</v>
      </c>
      <c r="Y1593" s="54" t="s">
        <v>26</v>
      </c>
    </row>
    <row r="1594" spans="1:26" ht="23.1" customHeight="1" x14ac:dyDescent="0.25">
      <c r="A1594" s="20" t="s">
        <v>1244</v>
      </c>
      <c r="B1594" s="7" t="s">
        <v>113</v>
      </c>
      <c r="C1594" s="7">
        <v>119</v>
      </c>
      <c r="D1594" s="7" t="s">
        <v>830</v>
      </c>
      <c r="E1594" s="41" t="s">
        <v>788</v>
      </c>
      <c r="F1594" s="41" t="s">
        <v>788</v>
      </c>
      <c r="G1594" s="7" t="s">
        <v>123</v>
      </c>
      <c r="H1594" s="7">
        <v>60</v>
      </c>
      <c r="I1594" s="10" t="s">
        <v>2222</v>
      </c>
      <c r="J1594" s="10">
        <v>6</v>
      </c>
      <c r="K1594" s="10">
        <v>6</v>
      </c>
      <c r="L1594" s="43">
        <v>28</v>
      </c>
      <c r="M1594" s="43">
        <v>37</v>
      </c>
      <c r="N1594" s="12" t="s">
        <v>1208</v>
      </c>
      <c r="P1594" s="10">
        <v>210</v>
      </c>
      <c r="Q1594" s="10">
        <v>60</v>
      </c>
      <c r="S1594" s="11">
        <v>6</v>
      </c>
      <c r="T1594" s="10">
        <v>90</v>
      </c>
      <c r="V1594" s="45"/>
      <c r="X1594" s="29">
        <v>27</v>
      </c>
      <c r="Y1594" s="54" t="s">
        <v>26</v>
      </c>
    </row>
    <row r="1595" spans="1:26" ht="23.1" customHeight="1" x14ac:dyDescent="0.25">
      <c r="A1595" s="20" t="s">
        <v>1244</v>
      </c>
      <c r="B1595" s="7" t="s">
        <v>113</v>
      </c>
      <c r="C1595" s="7">
        <v>121</v>
      </c>
      <c r="D1595" s="7" t="s">
        <v>291</v>
      </c>
      <c r="E1595" s="41" t="s">
        <v>174</v>
      </c>
      <c r="F1595" s="41" t="s">
        <v>1246</v>
      </c>
      <c r="G1595" s="7" t="s">
        <v>154</v>
      </c>
      <c r="H1595" s="7">
        <v>55</v>
      </c>
      <c r="I1595" s="10" t="s">
        <v>2223</v>
      </c>
      <c r="J1595" s="10">
        <v>1.4</v>
      </c>
      <c r="K1595" s="10">
        <v>1.2</v>
      </c>
      <c r="L1595" s="43">
        <v>28</v>
      </c>
      <c r="M1595" s="43">
        <v>26</v>
      </c>
      <c r="N1595" s="12" t="s">
        <v>1304</v>
      </c>
      <c r="P1595" s="10">
        <v>700</v>
      </c>
      <c r="Q1595" s="10">
        <v>90</v>
      </c>
      <c r="S1595" s="11">
        <v>1</v>
      </c>
      <c r="T1595" s="10">
        <v>120</v>
      </c>
      <c r="V1595" s="45"/>
      <c r="W1595" s="14">
        <v>3</v>
      </c>
      <c r="X1595" s="29">
        <v>18.5</v>
      </c>
      <c r="Y1595" s="54" t="s">
        <v>26</v>
      </c>
      <c r="Z1595" t="s">
        <v>953</v>
      </c>
    </row>
    <row r="1596" spans="1:26" ht="23.1" customHeight="1" x14ac:dyDescent="0.25">
      <c r="A1596" s="20" t="s">
        <v>1244</v>
      </c>
      <c r="B1596" s="7" t="s">
        <v>113</v>
      </c>
      <c r="C1596" s="7">
        <v>121</v>
      </c>
      <c r="D1596" s="7" t="s">
        <v>173</v>
      </c>
      <c r="E1596" s="41" t="s">
        <v>174</v>
      </c>
      <c r="F1596" s="41" t="s">
        <v>1246</v>
      </c>
      <c r="G1596" s="7" t="s">
        <v>154</v>
      </c>
      <c r="H1596" s="7">
        <v>50</v>
      </c>
      <c r="I1596" s="10" t="s">
        <v>2210</v>
      </c>
      <c r="J1596" s="10">
        <v>0.2</v>
      </c>
      <c r="K1596" s="10">
        <v>0.8</v>
      </c>
      <c r="L1596" s="43">
        <v>5</v>
      </c>
      <c r="M1596" s="43"/>
      <c r="N1596" s="12" t="s">
        <v>421</v>
      </c>
      <c r="P1596" s="10">
        <v>2100</v>
      </c>
      <c r="Q1596" s="10">
        <v>90</v>
      </c>
      <c r="S1596" s="11">
        <v>1</v>
      </c>
      <c r="T1596" s="10">
        <v>150</v>
      </c>
      <c r="V1596" s="45">
        <v>1</v>
      </c>
      <c r="X1596" s="29">
        <v>32</v>
      </c>
      <c r="Y1596" s="54" t="s">
        <v>26</v>
      </c>
    </row>
    <row r="1597" spans="1:26" ht="23.1" customHeight="1" x14ac:dyDescent="0.25">
      <c r="A1597" s="20" t="s">
        <v>1244</v>
      </c>
      <c r="B1597" s="7" t="s">
        <v>113</v>
      </c>
      <c r="C1597" s="7">
        <v>47</v>
      </c>
      <c r="D1597" s="7" t="s">
        <v>258</v>
      </c>
      <c r="E1597" s="41" t="s">
        <v>284</v>
      </c>
      <c r="F1597" s="41" t="s">
        <v>284</v>
      </c>
      <c r="G1597" s="7" t="s">
        <v>123</v>
      </c>
      <c r="H1597" s="7">
        <v>30</v>
      </c>
      <c r="I1597" s="10" t="s">
        <v>2199</v>
      </c>
      <c r="J1597" s="10">
        <v>1</v>
      </c>
      <c r="K1597" s="10">
        <v>1</v>
      </c>
      <c r="L1597" s="43">
        <v>28</v>
      </c>
      <c r="M1597" s="43"/>
      <c r="N1597" s="12" t="s">
        <v>1305</v>
      </c>
      <c r="P1597" s="10">
        <v>720</v>
      </c>
      <c r="Q1597" s="10">
        <v>120</v>
      </c>
      <c r="S1597" s="11">
        <v>1</v>
      </c>
      <c r="T1597" s="10">
        <v>90</v>
      </c>
      <c r="V1597" s="45">
        <v>1</v>
      </c>
      <c r="W1597" s="10">
        <v>3</v>
      </c>
      <c r="X1597" s="29">
        <v>18.5</v>
      </c>
      <c r="Y1597" s="54" t="s">
        <v>22</v>
      </c>
      <c r="Z1597" t="s">
        <v>1306</v>
      </c>
    </row>
    <row r="1598" spans="1:26" ht="23.1" customHeight="1" x14ac:dyDescent="0.25">
      <c r="A1598" s="20" t="s">
        <v>1244</v>
      </c>
      <c r="B1598" s="7" t="s">
        <v>113</v>
      </c>
      <c r="C1598" s="7">
        <v>23</v>
      </c>
      <c r="D1598" s="7" t="s">
        <v>498</v>
      </c>
      <c r="E1598" s="41" t="s">
        <v>499</v>
      </c>
      <c r="F1598" s="41" t="s">
        <v>499</v>
      </c>
      <c r="G1598" s="7" t="s">
        <v>118</v>
      </c>
      <c r="H1598" s="7">
        <v>5</v>
      </c>
      <c r="I1598" s="10" t="s">
        <v>1930</v>
      </c>
      <c r="J1598" s="10">
        <v>4</v>
      </c>
      <c r="K1598" s="10">
        <v>4</v>
      </c>
      <c r="L1598" s="43">
        <v>37</v>
      </c>
      <c r="M1598" s="43">
        <v>37</v>
      </c>
      <c r="N1598" s="12" t="s">
        <v>1307</v>
      </c>
      <c r="P1598" s="10">
        <v>60</v>
      </c>
      <c r="Q1598" s="10">
        <v>60</v>
      </c>
      <c r="S1598" s="11">
        <v>4</v>
      </c>
      <c r="T1598" s="10">
        <v>120</v>
      </c>
      <c r="V1598" s="45"/>
      <c r="W1598" s="14">
        <v>1.5</v>
      </c>
      <c r="X1598" s="29">
        <v>9.5</v>
      </c>
      <c r="Y1598" s="54" t="s">
        <v>22</v>
      </c>
      <c r="Z1598" t="s">
        <v>1308</v>
      </c>
    </row>
    <row r="1599" spans="1:26" ht="23.1" customHeight="1" x14ac:dyDescent="0.25">
      <c r="A1599" s="20" t="s">
        <v>1244</v>
      </c>
      <c r="B1599" s="7" t="s">
        <v>113</v>
      </c>
      <c r="C1599" s="7">
        <v>23</v>
      </c>
      <c r="D1599" s="7" t="s">
        <v>987</v>
      </c>
      <c r="E1599" s="41" t="s">
        <v>988</v>
      </c>
      <c r="F1599" s="41" t="s">
        <v>988</v>
      </c>
      <c r="G1599" s="7" t="s">
        <v>300</v>
      </c>
      <c r="H1599" s="7">
        <v>25</v>
      </c>
      <c r="I1599" s="10" t="s">
        <v>2224</v>
      </c>
      <c r="J1599" s="10">
        <v>0.2</v>
      </c>
      <c r="K1599" s="10">
        <v>0.2</v>
      </c>
      <c r="L1599" s="43">
        <v>37</v>
      </c>
      <c r="M1599" s="43">
        <v>37</v>
      </c>
      <c r="N1599" s="12" t="s">
        <v>1132</v>
      </c>
      <c r="P1599" s="10">
        <v>720</v>
      </c>
      <c r="Q1599" s="10">
        <v>60</v>
      </c>
      <c r="T1599" s="10">
        <v>90</v>
      </c>
      <c r="V1599" s="45"/>
      <c r="W1599" s="14">
        <v>2</v>
      </c>
      <c r="X1599" s="29">
        <v>4.4000000000000004</v>
      </c>
      <c r="Y1599" s="54" t="s">
        <v>22</v>
      </c>
      <c r="Z1599" t="s">
        <v>953</v>
      </c>
    </row>
    <row r="1600" spans="1:26" ht="23.1" customHeight="1" x14ac:dyDescent="0.25">
      <c r="A1600" s="20" t="s">
        <v>1244</v>
      </c>
      <c r="B1600" s="7" t="s">
        <v>113</v>
      </c>
      <c r="C1600" s="7">
        <v>23</v>
      </c>
      <c r="D1600" s="7" t="s">
        <v>498</v>
      </c>
      <c r="E1600" s="41" t="s">
        <v>499</v>
      </c>
      <c r="F1600" s="41" t="s">
        <v>499</v>
      </c>
      <c r="G1600" s="7" t="s">
        <v>118</v>
      </c>
      <c r="H1600" s="7">
        <v>5</v>
      </c>
      <c r="I1600" s="10" t="s">
        <v>1930</v>
      </c>
      <c r="J1600" s="10">
        <v>3</v>
      </c>
      <c r="K1600" s="10">
        <v>3</v>
      </c>
      <c r="L1600" s="43">
        <v>26</v>
      </c>
      <c r="M1600" s="43">
        <v>37</v>
      </c>
      <c r="N1600" s="12" t="s">
        <v>1307</v>
      </c>
      <c r="P1600" s="10">
        <v>60</v>
      </c>
      <c r="Q1600" s="10">
        <v>60</v>
      </c>
      <c r="S1600" s="11">
        <v>3</v>
      </c>
      <c r="T1600" s="10">
        <v>120</v>
      </c>
      <c r="V1600" s="45">
        <v>1</v>
      </c>
      <c r="X1600" s="29">
        <v>8</v>
      </c>
      <c r="Y1600" s="54" t="s">
        <v>22</v>
      </c>
    </row>
    <row r="1601" spans="1:27" ht="23.1" customHeight="1" x14ac:dyDescent="0.25">
      <c r="A1601" s="20" t="s">
        <v>1244</v>
      </c>
      <c r="B1601" s="7" t="s">
        <v>113</v>
      </c>
      <c r="C1601" s="7">
        <v>10</v>
      </c>
      <c r="D1601" s="7" t="s">
        <v>217</v>
      </c>
      <c r="E1601" s="41" t="s">
        <v>218</v>
      </c>
      <c r="F1601" s="41" t="s">
        <v>218</v>
      </c>
      <c r="G1601" s="7" t="s">
        <v>107</v>
      </c>
      <c r="H1601" s="7">
        <v>55</v>
      </c>
      <c r="I1601" s="10" t="s">
        <v>2227</v>
      </c>
      <c r="J1601" s="10">
        <v>2</v>
      </c>
      <c r="K1601" s="10">
        <v>1.2</v>
      </c>
      <c r="L1601" s="43">
        <v>9</v>
      </c>
      <c r="M1601" s="43">
        <v>31</v>
      </c>
      <c r="N1601" s="12" t="s">
        <v>219</v>
      </c>
      <c r="P1601" s="10">
        <v>270</v>
      </c>
      <c r="T1601" s="10">
        <v>90</v>
      </c>
      <c r="V1601" s="45">
        <v>1</v>
      </c>
      <c r="W1601" s="14">
        <v>1</v>
      </c>
      <c r="X1601" s="29">
        <v>7.9</v>
      </c>
      <c r="Y1601" s="54" t="s">
        <v>23</v>
      </c>
      <c r="Z1601" t="s">
        <v>1309</v>
      </c>
      <c r="AA1601" t="s">
        <v>957</v>
      </c>
    </row>
    <row r="1602" spans="1:27" ht="23.1" customHeight="1" x14ac:dyDescent="0.25">
      <c r="A1602" s="20" t="s">
        <v>1244</v>
      </c>
      <c r="B1602" s="7" t="s">
        <v>113</v>
      </c>
      <c r="C1602" s="7">
        <v>10</v>
      </c>
      <c r="D1602" s="7" t="s">
        <v>946</v>
      </c>
      <c r="E1602" s="41" t="s">
        <v>947</v>
      </c>
      <c r="F1602" s="41" t="s">
        <v>947</v>
      </c>
      <c r="G1602" s="7" t="s">
        <v>300</v>
      </c>
      <c r="H1602" s="7">
        <v>30</v>
      </c>
      <c r="I1602" s="10" t="s">
        <v>2216</v>
      </c>
      <c r="K1602" s="10">
        <v>0.2</v>
      </c>
      <c r="L1602" s="43">
        <v>26</v>
      </c>
      <c r="M1602" s="43"/>
      <c r="N1602" s="12" t="s">
        <v>1310</v>
      </c>
      <c r="P1602" s="10">
        <v>320</v>
      </c>
      <c r="T1602" s="10">
        <v>90</v>
      </c>
      <c r="V1602" s="45"/>
      <c r="X1602" s="29">
        <v>1.1000000000000001</v>
      </c>
      <c r="Y1602" s="54" t="s">
        <v>23</v>
      </c>
    </row>
    <row r="1603" spans="1:27" ht="23.1" customHeight="1" x14ac:dyDescent="0.25">
      <c r="A1603" s="20" t="s">
        <v>1244</v>
      </c>
      <c r="B1603" s="7" t="s">
        <v>113</v>
      </c>
      <c r="C1603" s="7">
        <v>79</v>
      </c>
      <c r="D1603" s="7" t="s">
        <v>152</v>
      </c>
      <c r="E1603" s="41" t="s">
        <v>153</v>
      </c>
      <c r="F1603" s="41" t="s">
        <v>1247</v>
      </c>
      <c r="G1603" s="7" t="s">
        <v>154</v>
      </c>
      <c r="H1603" s="7">
        <v>50</v>
      </c>
      <c r="I1603" s="10" t="s">
        <v>2204</v>
      </c>
      <c r="J1603" s="10">
        <v>0.3</v>
      </c>
      <c r="K1603" s="10">
        <v>0.4</v>
      </c>
      <c r="L1603" s="43">
        <v>28</v>
      </c>
      <c r="M1603" s="43"/>
      <c r="N1603" s="12" t="s">
        <v>421</v>
      </c>
      <c r="P1603" s="10">
        <v>3700</v>
      </c>
      <c r="Q1603" s="10">
        <v>90</v>
      </c>
      <c r="T1603" s="10">
        <v>180</v>
      </c>
      <c r="V1603" s="45"/>
      <c r="X1603" s="29">
        <v>24.7</v>
      </c>
      <c r="Y1603" s="54" t="s">
        <v>5</v>
      </c>
    </row>
    <row r="1604" spans="1:27" ht="23.1" customHeight="1" x14ac:dyDescent="0.25">
      <c r="A1604" s="20" t="s">
        <v>1244</v>
      </c>
      <c r="B1604" s="7" t="s">
        <v>113</v>
      </c>
      <c r="C1604" s="7">
        <v>14</v>
      </c>
      <c r="D1604" s="7" t="s">
        <v>1257</v>
      </c>
      <c r="E1604" s="41" t="s">
        <v>806</v>
      </c>
      <c r="F1604" s="41" t="s">
        <v>806</v>
      </c>
      <c r="G1604" s="7" t="s">
        <v>154</v>
      </c>
      <c r="H1604" s="7">
        <v>15</v>
      </c>
      <c r="I1604" s="10" t="s">
        <v>2065</v>
      </c>
      <c r="J1604" s="10">
        <v>0.8</v>
      </c>
      <c r="K1604" s="10">
        <v>1</v>
      </c>
      <c r="L1604" s="43">
        <v>9</v>
      </c>
      <c r="M1604" s="43"/>
      <c r="N1604" s="12" t="s">
        <v>159</v>
      </c>
      <c r="P1604" s="10">
        <v>630</v>
      </c>
      <c r="T1604" s="10">
        <v>120</v>
      </c>
      <c r="V1604" s="45"/>
      <c r="X1604" s="29">
        <v>10.5</v>
      </c>
      <c r="Y1604" s="54" t="s">
        <v>60</v>
      </c>
    </row>
    <row r="1605" spans="1:27" ht="23.1" customHeight="1" x14ac:dyDescent="0.25">
      <c r="A1605" s="20" t="s">
        <v>1244</v>
      </c>
      <c r="B1605" s="7" t="s">
        <v>113</v>
      </c>
      <c r="C1605" s="7">
        <v>15</v>
      </c>
      <c r="D1605" s="42" t="s">
        <v>1255</v>
      </c>
      <c r="E1605" s="41" t="s">
        <v>117</v>
      </c>
      <c r="F1605" s="41" t="s">
        <v>117</v>
      </c>
      <c r="G1605" s="7" t="s">
        <v>118</v>
      </c>
      <c r="H1605" s="7">
        <v>25</v>
      </c>
      <c r="I1605" s="10" t="s">
        <v>2018</v>
      </c>
      <c r="J1605" s="10">
        <v>0.8</v>
      </c>
      <c r="K1605" s="10">
        <v>1.3</v>
      </c>
      <c r="L1605" s="43">
        <v>28</v>
      </c>
      <c r="M1605" s="43">
        <v>23</v>
      </c>
      <c r="N1605" s="12" t="s">
        <v>419</v>
      </c>
      <c r="P1605" s="10">
        <v>900</v>
      </c>
      <c r="T1605" s="10">
        <v>120</v>
      </c>
      <c r="V1605" s="45"/>
      <c r="X1605" s="29">
        <v>19.5</v>
      </c>
      <c r="Y1605" s="54" t="s">
        <v>60</v>
      </c>
    </row>
    <row r="1606" spans="1:27" ht="23.1" customHeight="1" x14ac:dyDescent="0.25">
      <c r="A1606" s="20" t="s">
        <v>1244</v>
      </c>
      <c r="B1606" s="7" t="s">
        <v>113</v>
      </c>
      <c r="C1606" s="7">
        <v>58</v>
      </c>
      <c r="D1606" s="7" t="s">
        <v>1264</v>
      </c>
      <c r="E1606" s="41" t="s">
        <v>409</v>
      </c>
      <c r="F1606" s="41" t="s">
        <v>409</v>
      </c>
      <c r="G1606" s="7" t="s">
        <v>102</v>
      </c>
      <c r="H1606" s="7">
        <v>25</v>
      </c>
      <c r="I1606" s="10" t="s">
        <v>2208</v>
      </c>
      <c r="K1606" s="10">
        <v>1</v>
      </c>
      <c r="L1606" s="43">
        <v>26</v>
      </c>
      <c r="M1606" s="43"/>
      <c r="N1606" s="12" t="s">
        <v>596</v>
      </c>
      <c r="P1606" s="10">
        <v>55</v>
      </c>
      <c r="T1606" s="10">
        <v>90</v>
      </c>
      <c r="V1606" s="45"/>
      <c r="X1606" s="29">
        <v>0.9</v>
      </c>
      <c r="Y1606" s="54" t="s">
        <v>0</v>
      </c>
    </row>
    <row r="1607" spans="1:27" ht="23.1" customHeight="1" x14ac:dyDescent="0.25">
      <c r="A1607" s="20" t="s">
        <v>1244</v>
      </c>
      <c r="B1607" s="7" t="s">
        <v>113</v>
      </c>
      <c r="C1607" s="7">
        <v>58</v>
      </c>
      <c r="D1607" s="7" t="s">
        <v>1311</v>
      </c>
      <c r="E1607" s="41" t="s">
        <v>409</v>
      </c>
      <c r="F1607" s="41" t="s">
        <v>409</v>
      </c>
      <c r="G1607" s="7" t="s">
        <v>102</v>
      </c>
      <c r="H1607" s="7">
        <v>25</v>
      </c>
      <c r="I1607" s="10" t="s">
        <v>2208</v>
      </c>
      <c r="K1607" s="10">
        <v>1</v>
      </c>
      <c r="L1607" s="43">
        <v>26</v>
      </c>
      <c r="M1607" s="43"/>
      <c r="N1607" s="12" t="s">
        <v>596</v>
      </c>
      <c r="P1607" s="10">
        <v>55</v>
      </c>
      <c r="T1607" s="10">
        <v>90</v>
      </c>
      <c r="V1607" s="45">
        <v>1</v>
      </c>
      <c r="W1607" s="14">
        <v>2</v>
      </c>
      <c r="X1607" s="29">
        <v>4.4000000000000004</v>
      </c>
      <c r="Y1607" s="54" t="s">
        <v>0</v>
      </c>
      <c r="Z1607" t="s">
        <v>926</v>
      </c>
      <c r="AA1607" s="1" t="s">
        <v>238</v>
      </c>
    </row>
    <row r="1608" spans="1:27" ht="23.1" customHeight="1" x14ac:dyDescent="0.25">
      <c r="A1608" s="20" t="s">
        <v>1244</v>
      </c>
      <c r="B1608" s="7" t="s">
        <v>113</v>
      </c>
      <c r="C1608" s="7">
        <v>57</v>
      </c>
      <c r="D1608" s="7" t="s">
        <v>1031</v>
      </c>
      <c r="E1608" s="41" t="s">
        <v>1032</v>
      </c>
      <c r="F1608" s="41" t="s">
        <v>1032</v>
      </c>
      <c r="G1608" s="7" t="s">
        <v>107</v>
      </c>
      <c r="H1608" s="7">
        <v>25</v>
      </c>
      <c r="I1608" s="10" t="s">
        <v>2054</v>
      </c>
      <c r="J1608" s="10">
        <v>6</v>
      </c>
      <c r="K1608" s="10">
        <v>6</v>
      </c>
      <c r="L1608" s="43">
        <v>37</v>
      </c>
      <c r="M1608" s="43">
        <v>37</v>
      </c>
      <c r="N1608" s="12" t="s">
        <v>1312</v>
      </c>
      <c r="P1608" s="10">
        <v>90</v>
      </c>
      <c r="T1608" s="10">
        <v>60</v>
      </c>
      <c r="V1608" s="45">
        <v>1</v>
      </c>
      <c r="X1608" s="29">
        <v>10</v>
      </c>
      <c r="Y1608" s="54" t="s">
        <v>0</v>
      </c>
    </row>
    <row r="1609" spans="1:27" ht="23.1" customHeight="1" x14ac:dyDescent="0.25">
      <c r="A1609" s="20" t="s">
        <v>1244</v>
      </c>
      <c r="B1609" s="7" t="s">
        <v>113</v>
      </c>
      <c r="C1609" s="7">
        <v>57</v>
      </c>
      <c r="D1609" s="7" t="s">
        <v>1031</v>
      </c>
      <c r="E1609" s="41" t="s">
        <v>1032</v>
      </c>
      <c r="F1609" s="41" t="s">
        <v>1032</v>
      </c>
      <c r="G1609" s="7" t="s">
        <v>107</v>
      </c>
      <c r="H1609" s="7">
        <v>25</v>
      </c>
      <c r="I1609" s="10" t="s">
        <v>2054</v>
      </c>
      <c r="K1609" s="10">
        <v>2</v>
      </c>
      <c r="L1609" s="43">
        <v>37</v>
      </c>
      <c r="M1609" s="43">
        <v>37</v>
      </c>
      <c r="N1609" s="12" t="s">
        <v>1312</v>
      </c>
      <c r="P1609" s="10">
        <v>90</v>
      </c>
      <c r="T1609" s="10">
        <v>60</v>
      </c>
      <c r="V1609" s="45"/>
      <c r="X1609" s="29">
        <v>3</v>
      </c>
      <c r="Y1609" s="54" t="s">
        <v>0</v>
      </c>
    </row>
    <row r="1610" spans="1:27" ht="23.1" customHeight="1" x14ac:dyDescent="0.25">
      <c r="A1610" s="20" t="s">
        <v>1244</v>
      </c>
      <c r="B1610" s="7" t="s">
        <v>113</v>
      </c>
      <c r="C1610" s="7">
        <v>59</v>
      </c>
      <c r="D1610" s="7" t="s">
        <v>1295</v>
      </c>
      <c r="E1610" s="41" t="s">
        <v>409</v>
      </c>
      <c r="F1610" s="41" t="s">
        <v>409</v>
      </c>
      <c r="G1610" s="7" t="s">
        <v>102</v>
      </c>
      <c r="H1610" s="7">
        <v>30</v>
      </c>
      <c r="I1610" s="10" t="s">
        <v>2468</v>
      </c>
      <c r="K1610" s="10">
        <v>4</v>
      </c>
      <c r="L1610" s="43">
        <v>26</v>
      </c>
      <c r="M1610" s="43">
        <v>26</v>
      </c>
      <c r="N1610" s="12" t="s">
        <v>596</v>
      </c>
      <c r="P1610" s="10">
        <v>20</v>
      </c>
      <c r="T1610" s="10">
        <v>60</v>
      </c>
      <c r="V1610" s="45">
        <v>1</v>
      </c>
      <c r="X1610" s="29">
        <v>2.2999999999999998</v>
      </c>
      <c r="Y1610" s="54" t="s">
        <v>6</v>
      </c>
      <c r="Z1610" t="s">
        <v>1313</v>
      </c>
      <c r="AA1610" s="1" t="s">
        <v>238</v>
      </c>
    </row>
    <row r="1611" spans="1:27" ht="23.1" customHeight="1" x14ac:dyDescent="0.25">
      <c r="A1611" s="20" t="s">
        <v>1244</v>
      </c>
      <c r="B1611" s="7" t="s">
        <v>113</v>
      </c>
      <c r="C1611" s="7">
        <v>59</v>
      </c>
      <c r="D1611" s="7" t="s">
        <v>1314</v>
      </c>
      <c r="E1611" s="41" t="s">
        <v>1315</v>
      </c>
      <c r="F1611" s="41" t="e">
        <v>#N/A</v>
      </c>
      <c r="G1611" s="7" t="s">
        <v>102</v>
      </c>
      <c r="H1611" s="7">
        <v>10</v>
      </c>
      <c r="I1611" s="10"/>
      <c r="K1611" s="10">
        <v>1</v>
      </c>
      <c r="L1611" s="43">
        <v>26</v>
      </c>
      <c r="M1611" s="43"/>
      <c r="V1611" s="45">
        <v>1</v>
      </c>
      <c r="W1611" s="14">
        <v>5</v>
      </c>
      <c r="X1611" s="29">
        <v>5</v>
      </c>
      <c r="Y1611" s="54" t="s">
        <v>6</v>
      </c>
      <c r="Z1611" t="s">
        <v>1316</v>
      </c>
    </row>
    <row r="1612" spans="1:27" ht="23.1" customHeight="1" x14ac:dyDescent="0.25">
      <c r="A1612" s="20" t="s">
        <v>1244</v>
      </c>
      <c r="B1612" s="7" t="s">
        <v>113</v>
      </c>
      <c r="C1612" s="7">
        <v>59</v>
      </c>
      <c r="D1612" s="7" t="s">
        <v>1317</v>
      </c>
      <c r="E1612" s="41" t="s">
        <v>1318</v>
      </c>
      <c r="F1612" s="41" t="e">
        <v>#N/A</v>
      </c>
      <c r="G1612" s="7" t="s">
        <v>102</v>
      </c>
      <c r="H1612" s="7">
        <v>10</v>
      </c>
      <c r="I1612" s="10"/>
      <c r="K1612" s="10">
        <v>1</v>
      </c>
      <c r="L1612" s="43">
        <v>26</v>
      </c>
      <c r="M1612" s="43"/>
      <c r="V1612" s="45">
        <v>1</v>
      </c>
      <c r="W1612" s="14">
        <v>3</v>
      </c>
      <c r="X1612" s="29">
        <v>3</v>
      </c>
      <c r="Y1612" s="54" t="s">
        <v>6</v>
      </c>
      <c r="Z1612" t="s">
        <v>1319</v>
      </c>
    </row>
    <row r="1613" spans="1:27" ht="23.1" customHeight="1" x14ac:dyDescent="0.25">
      <c r="A1613" s="20" t="s">
        <v>1244</v>
      </c>
      <c r="B1613" s="7" t="s">
        <v>113</v>
      </c>
      <c r="C1613" s="7">
        <v>21</v>
      </c>
      <c r="D1613" s="7" t="s">
        <v>321</v>
      </c>
      <c r="E1613" s="41" t="s">
        <v>322</v>
      </c>
      <c r="F1613" s="41" t="s">
        <v>322</v>
      </c>
      <c r="G1613" s="7" t="s">
        <v>323</v>
      </c>
      <c r="H1613" s="7">
        <v>50</v>
      </c>
      <c r="I1613" s="10" t="s">
        <v>1986</v>
      </c>
      <c r="J1613" s="10">
        <v>1</v>
      </c>
      <c r="K1613" s="10">
        <v>1</v>
      </c>
      <c r="L1613" s="43">
        <v>26</v>
      </c>
      <c r="M1613" s="43"/>
      <c r="N1613" s="12" t="s">
        <v>801</v>
      </c>
      <c r="P1613" s="10">
        <v>630</v>
      </c>
      <c r="Q1613" s="10">
        <v>120</v>
      </c>
      <c r="S1613" s="11">
        <v>1</v>
      </c>
      <c r="T1613" s="10">
        <v>180</v>
      </c>
      <c r="V1613" s="45"/>
      <c r="X1613" s="29">
        <v>12.5</v>
      </c>
      <c r="Y1613" s="54" t="s">
        <v>49</v>
      </c>
    </row>
    <row r="1614" spans="1:27" ht="23.1" customHeight="1" x14ac:dyDescent="0.25">
      <c r="A1614" s="20" t="s">
        <v>1244</v>
      </c>
      <c r="B1614" s="7" t="s">
        <v>113</v>
      </c>
      <c r="C1614" s="7">
        <v>76</v>
      </c>
      <c r="D1614" s="7" t="s">
        <v>1259</v>
      </c>
      <c r="E1614" s="41" t="s">
        <v>1040</v>
      </c>
      <c r="F1614" s="41" t="s">
        <v>1040</v>
      </c>
      <c r="G1614" s="7" t="s">
        <v>102</v>
      </c>
      <c r="H1614" s="7">
        <v>10</v>
      </c>
      <c r="I1614" s="10" t="s">
        <v>2469</v>
      </c>
      <c r="J1614" s="10">
        <v>5</v>
      </c>
      <c r="K1614" s="10">
        <v>8</v>
      </c>
      <c r="L1614" s="43">
        <v>28</v>
      </c>
      <c r="M1614" s="43">
        <v>23</v>
      </c>
      <c r="N1614" s="12" t="s">
        <v>596</v>
      </c>
      <c r="O1614" s="10">
        <v>90</v>
      </c>
      <c r="P1614" s="10">
        <v>60</v>
      </c>
      <c r="T1614" s="10">
        <v>90</v>
      </c>
      <c r="V1614" s="45">
        <v>1</v>
      </c>
      <c r="W1614" s="14">
        <v>3</v>
      </c>
      <c r="X1614" s="32">
        <v>15</v>
      </c>
      <c r="Y1614" s="54" t="s">
        <v>12</v>
      </c>
      <c r="Z1614" t="s">
        <v>1320</v>
      </c>
      <c r="AA1614" s="1" t="s">
        <v>238</v>
      </c>
    </row>
    <row r="1615" spans="1:27" ht="23.1" customHeight="1" x14ac:dyDescent="0.25">
      <c r="A1615" s="20" t="s">
        <v>1244</v>
      </c>
      <c r="B1615" s="7" t="s">
        <v>113</v>
      </c>
      <c r="C1615" s="7">
        <v>10</v>
      </c>
      <c r="D1615" s="7" t="s">
        <v>217</v>
      </c>
      <c r="E1615" s="41" t="s">
        <v>218</v>
      </c>
      <c r="F1615" s="41" t="s">
        <v>218</v>
      </c>
      <c r="G1615" s="7" t="s">
        <v>107</v>
      </c>
      <c r="H1615" s="7">
        <v>55</v>
      </c>
      <c r="I1615" s="10" t="s">
        <v>2227</v>
      </c>
      <c r="L1615" s="43"/>
      <c r="M1615" s="43"/>
      <c r="N1615" s="12" t="s">
        <v>219</v>
      </c>
      <c r="P1615" s="10">
        <v>270</v>
      </c>
      <c r="T1615" s="10">
        <v>90</v>
      </c>
      <c r="V1615" s="45"/>
      <c r="W1615" s="14">
        <v>3</v>
      </c>
      <c r="X1615" s="29">
        <v>3</v>
      </c>
      <c r="Y1615" s="54" t="s">
        <v>23</v>
      </c>
      <c r="Z1615" t="s">
        <v>1321</v>
      </c>
      <c r="AA1615" t="s">
        <v>957</v>
      </c>
    </row>
    <row r="1616" spans="1:27" ht="23.1" customHeight="1" x14ac:dyDescent="0.25">
      <c r="A1616" s="20" t="s">
        <v>1244</v>
      </c>
      <c r="B1616" s="7" t="s">
        <v>113</v>
      </c>
      <c r="C1616" s="7">
        <v>12</v>
      </c>
      <c r="D1616" s="7" t="s">
        <v>735</v>
      </c>
      <c r="E1616" s="41" t="s">
        <v>249</v>
      </c>
      <c r="F1616" s="41" t="s">
        <v>249</v>
      </c>
      <c r="G1616" s="7" t="s">
        <v>250</v>
      </c>
      <c r="H1616" s="7">
        <v>25</v>
      </c>
      <c r="I1616" s="10" t="s">
        <v>1923</v>
      </c>
      <c r="J1616" s="10">
        <v>1</v>
      </c>
      <c r="K1616" s="10">
        <v>1</v>
      </c>
      <c r="L1616" s="43">
        <v>5</v>
      </c>
      <c r="M1616" s="43"/>
      <c r="N1616" s="12" t="s">
        <v>998</v>
      </c>
      <c r="P1616" s="10">
        <v>1080</v>
      </c>
      <c r="T1616" s="10">
        <v>120</v>
      </c>
      <c r="V1616" s="45"/>
      <c r="X1616" s="29">
        <v>18</v>
      </c>
      <c r="Y1616" s="54" t="s">
        <v>10</v>
      </c>
    </row>
    <row r="1617" spans="1:27" ht="23.1" customHeight="1" x14ac:dyDescent="0.25">
      <c r="A1617" s="20" t="s">
        <v>1244</v>
      </c>
      <c r="B1617" s="7" t="s">
        <v>113</v>
      </c>
      <c r="C1617" s="7">
        <v>11</v>
      </c>
      <c r="D1617" s="7" t="s">
        <v>1296</v>
      </c>
      <c r="E1617" s="41" t="s">
        <v>1297</v>
      </c>
      <c r="F1617" s="41" t="s">
        <v>1297</v>
      </c>
      <c r="G1617" s="7" t="s">
        <v>154</v>
      </c>
      <c r="H1617" s="7">
        <v>35</v>
      </c>
      <c r="I1617" s="10" t="s">
        <v>2073</v>
      </c>
      <c r="J1617" s="10">
        <v>3.5</v>
      </c>
      <c r="K1617" s="10">
        <v>4</v>
      </c>
      <c r="L1617" s="43">
        <v>37</v>
      </c>
      <c r="M1617" s="43">
        <v>9</v>
      </c>
      <c r="N1617" s="12" t="s">
        <v>199</v>
      </c>
      <c r="P1617" s="10">
        <v>150</v>
      </c>
      <c r="T1617" s="10">
        <v>60</v>
      </c>
      <c r="V1617" s="45"/>
      <c r="X1617" s="29">
        <v>10</v>
      </c>
      <c r="Y1617" s="54" t="s">
        <v>71</v>
      </c>
    </row>
    <row r="1618" spans="1:27" ht="23.1" customHeight="1" x14ac:dyDescent="0.25">
      <c r="A1618" s="20" t="s">
        <v>1244</v>
      </c>
      <c r="B1618" s="7" t="s">
        <v>113</v>
      </c>
      <c r="C1618" s="7">
        <v>78</v>
      </c>
      <c r="D1618" s="7" t="s">
        <v>1271</v>
      </c>
      <c r="E1618" s="41" t="s">
        <v>1013</v>
      </c>
      <c r="F1618" s="41" t="s">
        <v>1013</v>
      </c>
      <c r="G1618" s="7" t="s">
        <v>250</v>
      </c>
      <c r="H1618" s="7">
        <v>40</v>
      </c>
      <c r="I1618" s="10" t="s">
        <v>1902</v>
      </c>
      <c r="J1618" s="10">
        <v>1</v>
      </c>
      <c r="K1618" s="10">
        <v>1</v>
      </c>
      <c r="L1618" s="43">
        <v>31</v>
      </c>
      <c r="M1618" s="43"/>
      <c r="N1618" s="12" t="s">
        <v>216</v>
      </c>
      <c r="P1618" s="10">
        <v>250</v>
      </c>
      <c r="Q1618" s="10">
        <v>60</v>
      </c>
      <c r="S1618" s="11">
        <v>1</v>
      </c>
      <c r="T1618" s="10">
        <v>90</v>
      </c>
      <c r="V1618" s="45"/>
      <c r="X1618" s="29">
        <v>5.2</v>
      </c>
      <c r="Y1618" s="54" t="s">
        <v>5</v>
      </c>
      <c r="Z1618" t="s">
        <v>1011</v>
      </c>
      <c r="AA1618" s="1" t="s">
        <v>238</v>
      </c>
    </row>
    <row r="1619" spans="1:27" ht="23.1" customHeight="1" x14ac:dyDescent="0.25">
      <c r="A1619" s="20" t="s">
        <v>1244</v>
      </c>
      <c r="B1619" s="7" t="s">
        <v>113</v>
      </c>
      <c r="C1619" s="7">
        <v>78</v>
      </c>
      <c r="D1619" s="7" t="s">
        <v>177</v>
      </c>
      <c r="E1619" s="41" t="s">
        <v>133</v>
      </c>
      <c r="F1619" s="41" t="s">
        <v>133</v>
      </c>
      <c r="G1619" s="7" t="s">
        <v>102</v>
      </c>
      <c r="H1619" s="7">
        <v>15</v>
      </c>
      <c r="I1619" s="10" t="s">
        <v>1977</v>
      </c>
      <c r="J1619" s="10">
        <v>1</v>
      </c>
      <c r="K1619" s="10">
        <v>2</v>
      </c>
      <c r="L1619" s="43">
        <v>26</v>
      </c>
      <c r="M1619" s="43">
        <v>23</v>
      </c>
      <c r="N1619" s="12" t="s">
        <v>1322</v>
      </c>
      <c r="P1619" s="10">
        <v>690</v>
      </c>
      <c r="Q1619" s="10">
        <v>60</v>
      </c>
      <c r="S1619" s="11">
        <v>2</v>
      </c>
      <c r="T1619" s="10">
        <v>120</v>
      </c>
      <c r="V1619" s="45">
        <v>1</v>
      </c>
      <c r="X1619" s="29">
        <v>27</v>
      </c>
      <c r="Y1619" s="54" t="s">
        <v>5</v>
      </c>
    </row>
    <row r="1620" spans="1:27" ht="23.1" customHeight="1" x14ac:dyDescent="0.25">
      <c r="A1620" s="20" t="s">
        <v>1244</v>
      </c>
      <c r="B1620" s="7" t="s">
        <v>113</v>
      </c>
      <c r="C1620" s="7">
        <v>22</v>
      </c>
      <c r="D1620" s="7" t="s">
        <v>635</v>
      </c>
      <c r="E1620" s="41" t="s">
        <v>612</v>
      </c>
      <c r="F1620" s="41" t="s">
        <v>612</v>
      </c>
      <c r="G1620" s="7" t="s">
        <v>154</v>
      </c>
      <c r="H1620" s="7">
        <v>10</v>
      </c>
      <c r="I1620" s="10" t="s">
        <v>1952</v>
      </c>
      <c r="J1620" s="10">
        <v>0.3</v>
      </c>
      <c r="K1620" s="10">
        <v>0.5</v>
      </c>
      <c r="L1620" s="43">
        <v>5</v>
      </c>
      <c r="M1620" s="43"/>
      <c r="N1620" s="12" t="s">
        <v>613</v>
      </c>
      <c r="P1620" s="10">
        <v>1500</v>
      </c>
      <c r="Q1620" s="10">
        <v>180</v>
      </c>
      <c r="T1620" s="10">
        <v>180</v>
      </c>
      <c r="V1620" s="45"/>
      <c r="X1620" s="29">
        <v>12.5</v>
      </c>
      <c r="Y1620" s="54" t="s">
        <v>49</v>
      </c>
    </row>
    <row r="1621" spans="1:27" ht="23.1" customHeight="1" x14ac:dyDescent="0.25">
      <c r="A1621" s="20" t="s">
        <v>1244</v>
      </c>
      <c r="B1621" s="7" t="s">
        <v>113</v>
      </c>
      <c r="C1621" s="7">
        <v>56</v>
      </c>
      <c r="D1621" s="7" t="s">
        <v>273</v>
      </c>
      <c r="E1621" s="41" t="s">
        <v>274</v>
      </c>
      <c r="F1621" s="41" t="s">
        <v>274</v>
      </c>
      <c r="G1621" s="7" t="s">
        <v>123</v>
      </c>
      <c r="H1621" s="7">
        <v>58</v>
      </c>
      <c r="I1621" s="10"/>
      <c r="K1621" s="10">
        <v>7.5</v>
      </c>
      <c r="L1621" s="43">
        <v>5</v>
      </c>
      <c r="M1621" s="43">
        <v>5</v>
      </c>
      <c r="N1621" s="12" t="s">
        <v>275</v>
      </c>
      <c r="O1621" s="10">
        <v>90</v>
      </c>
      <c r="V1621" s="45"/>
      <c r="X1621" s="32">
        <v>11.3</v>
      </c>
      <c r="Y1621" s="54" t="s">
        <v>18</v>
      </c>
    </row>
    <row r="1622" spans="1:27" ht="23.1" customHeight="1" x14ac:dyDescent="0.25">
      <c r="A1622" s="20" t="s">
        <v>1244</v>
      </c>
      <c r="B1622" s="7" t="s">
        <v>113</v>
      </c>
      <c r="C1622" s="7">
        <v>56</v>
      </c>
      <c r="D1622" s="7" t="s">
        <v>273</v>
      </c>
      <c r="E1622" s="41" t="s">
        <v>274</v>
      </c>
      <c r="F1622" s="41" t="s">
        <v>274</v>
      </c>
      <c r="G1622" s="7" t="s">
        <v>123</v>
      </c>
      <c r="H1622" s="7">
        <v>60</v>
      </c>
      <c r="I1622" s="10" t="s">
        <v>2206</v>
      </c>
      <c r="K1622" s="10">
        <v>7.5</v>
      </c>
      <c r="L1622" s="43">
        <v>5</v>
      </c>
      <c r="M1622" s="43">
        <v>5</v>
      </c>
      <c r="N1622" s="12" t="s">
        <v>275</v>
      </c>
      <c r="P1622" s="10">
        <v>45</v>
      </c>
      <c r="T1622" s="10">
        <v>60</v>
      </c>
      <c r="V1622" s="45"/>
      <c r="X1622" s="29">
        <v>5.6</v>
      </c>
      <c r="Y1622" s="54" t="s">
        <v>18</v>
      </c>
    </row>
    <row r="1623" spans="1:27" ht="23.1" customHeight="1" x14ac:dyDescent="0.25">
      <c r="A1623" s="20" t="s">
        <v>1244</v>
      </c>
      <c r="B1623" s="7" t="s">
        <v>113</v>
      </c>
      <c r="C1623" s="7">
        <v>18</v>
      </c>
      <c r="D1623" s="7" t="s">
        <v>918</v>
      </c>
      <c r="E1623" s="41" t="s">
        <v>919</v>
      </c>
      <c r="F1623" s="41" t="s">
        <v>919</v>
      </c>
      <c r="G1623" s="7" t="s">
        <v>323</v>
      </c>
      <c r="H1623" s="7">
        <v>20</v>
      </c>
      <c r="I1623" s="10" t="s">
        <v>1960</v>
      </c>
      <c r="J1623" s="10">
        <v>4</v>
      </c>
      <c r="K1623" s="10">
        <v>4</v>
      </c>
      <c r="L1623" s="43">
        <v>5</v>
      </c>
      <c r="M1623" s="43">
        <v>5</v>
      </c>
      <c r="N1623" s="12" t="s">
        <v>778</v>
      </c>
      <c r="P1623" s="10">
        <v>120</v>
      </c>
      <c r="T1623" s="10">
        <v>90</v>
      </c>
      <c r="V1623" s="45"/>
      <c r="X1623" s="29">
        <v>8</v>
      </c>
      <c r="Y1623" s="54" t="s">
        <v>14</v>
      </c>
    </row>
    <row r="1624" spans="1:27" ht="23.1" customHeight="1" x14ac:dyDescent="0.25">
      <c r="A1624" s="20" t="s">
        <v>1244</v>
      </c>
      <c r="B1624" s="7" t="s">
        <v>113</v>
      </c>
      <c r="C1624" s="7">
        <v>18</v>
      </c>
      <c r="D1624" s="7" t="s">
        <v>918</v>
      </c>
      <c r="E1624" s="41" t="s">
        <v>919</v>
      </c>
      <c r="F1624" s="41" t="s">
        <v>919</v>
      </c>
      <c r="G1624" s="7" t="s">
        <v>323</v>
      </c>
      <c r="H1624" s="7">
        <v>20</v>
      </c>
      <c r="I1624" s="10" t="s">
        <v>1960</v>
      </c>
      <c r="K1624" s="10">
        <v>1</v>
      </c>
      <c r="L1624" s="43">
        <v>5</v>
      </c>
      <c r="M1624" s="43">
        <v>5</v>
      </c>
      <c r="N1624" s="12" t="s">
        <v>780</v>
      </c>
      <c r="P1624" s="10">
        <v>120</v>
      </c>
      <c r="T1624" s="10">
        <v>90</v>
      </c>
      <c r="V1624" s="45">
        <v>1</v>
      </c>
      <c r="X1624" s="29">
        <v>3.5</v>
      </c>
      <c r="Y1624" s="54" t="s">
        <v>14</v>
      </c>
    </row>
    <row r="1625" spans="1:27" ht="23.1" customHeight="1" x14ac:dyDescent="0.25">
      <c r="A1625" s="20" t="s">
        <v>1244</v>
      </c>
      <c r="B1625" s="7" t="s">
        <v>113</v>
      </c>
      <c r="C1625" s="7">
        <v>9</v>
      </c>
      <c r="D1625" s="7" t="s">
        <v>1287</v>
      </c>
      <c r="E1625" s="41" t="s">
        <v>1288</v>
      </c>
      <c r="F1625" s="41" t="s">
        <v>1367</v>
      </c>
      <c r="G1625" s="7" t="s">
        <v>123</v>
      </c>
      <c r="H1625" s="7">
        <v>10</v>
      </c>
      <c r="I1625" s="10" t="s">
        <v>2215</v>
      </c>
      <c r="J1625" s="10">
        <v>1.6</v>
      </c>
      <c r="K1625" s="10">
        <v>1.7</v>
      </c>
      <c r="L1625" s="43">
        <v>26</v>
      </c>
      <c r="M1625" s="43">
        <v>23</v>
      </c>
      <c r="N1625" s="12" t="s">
        <v>1323</v>
      </c>
      <c r="P1625" s="10">
        <v>390</v>
      </c>
      <c r="T1625" s="10">
        <v>90</v>
      </c>
      <c r="V1625" s="45"/>
      <c r="X1625" s="29">
        <v>11.1</v>
      </c>
      <c r="Y1625" s="54" t="s">
        <v>23</v>
      </c>
    </row>
    <row r="1626" spans="1:27" ht="23.1" customHeight="1" x14ac:dyDescent="0.25">
      <c r="A1626" s="20" t="s">
        <v>1244</v>
      </c>
      <c r="B1626" s="7" t="s">
        <v>113</v>
      </c>
      <c r="C1626" s="7">
        <v>77</v>
      </c>
      <c r="D1626" s="7" t="s">
        <v>1253</v>
      </c>
      <c r="E1626" s="41" t="s">
        <v>1254</v>
      </c>
      <c r="F1626" s="41" t="s">
        <v>1254</v>
      </c>
      <c r="G1626" s="7" t="s">
        <v>300</v>
      </c>
      <c r="H1626" s="7">
        <v>30</v>
      </c>
      <c r="I1626" s="10" t="s">
        <v>2470</v>
      </c>
      <c r="J1626" s="10">
        <v>20</v>
      </c>
      <c r="K1626" s="10">
        <v>15</v>
      </c>
      <c r="L1626" s="43">
        <v>31</v>
      </c>
      <c r="M1626" s="43">
        <v>9</v>
      </c>
      <c r="N1626" s="12" t="s">
        <v>247</v>
      </c>
      <c r="P1626" s="10">
        <v>50</v>
      </c>
      <c r="T1626" s="10">
        <v>60</v>
      </c>
      <c r="V1626" s="45"/>
      <c r="W1626" s="14">
        <v>3</v>
      </c>
      <c r="X1626" s="29">
        <v>15.5</v>
      </c>
      <c r="Y1626" s="54" t="s">
        <v>24</v>
      </c>
      <c r="Z1626" t="s">
        <v>1324</v>
      </c>
      <c r="AA1626" s="1" t="s">
        <v>238</v>
      </c>
    </row>
    <row r="1627" spans="1:27" ht="23.1" customHeight="1" x14ac:dyDescent="0.25">
      <c r="A1627" s="20" t="s">
        <v>1244</v>
      </c>
      <c r="B1627" s="7" t="s">
        <v>113</v>
      </c>
      <c r="C1627" s="7">
        <v>17</v>
      </c>
      <c r="D1627" s="7" t="s">
        <v>1285</v>
      </c>
      <c r="E1627" s="41" t="s">
        <v>1283</v>
      </c>
      <c r="F1627" s="41" t="s">
        <v>1283</v>
      </c>
      <c r="G1627" s="7" t="s">
        <v>102</v>
      </c>
      <c r="H1627" s="7">
        <v>15</v>
      </c>
      <c r="I1627" s="10" t="s">
        <v>2075</v>
      </c>
      <c r="K1627" s="10">
        <v>1</v>
      </c>
      <c r="L1627" s="43">
        <v>26</v>
      </c>
      <c r="M1627" s="43"/>
      <c r="N1627" s="12" t="s">
        <v>596</v>
      </c>
      <c r="P1627" s="10">
        <v>150</v>
      </c>
      <c r="T1627" s="10">
        <v>60</v>
      </c>
      <c r="V1627" s="45"/>
      <c r="X1627" s="29">
        <v>2.5</v>
      </c>
      <c r="Y1627" s="54" t="s">
        <v>14</v>
      </c>
    </row>
    <row r="1628" spans="1:27" ht="23.1" customHeight="1" x14ac:dyDescent="0.25">
      <c r="A1628" s="20" t="s">
        <v>1244</v>
      </c>
      <c r="B1628" s="7" t="s">
        <v>113</v>
      </c>
      <c r="C1628" s="7">
        <v>17</v>
      </c>
      <c r="D1628" s="7" t="s">
        <v>1285</v>
      </c>
      <c r="E1628" s="41" t="s">
        <v>1283</v>
      </c>
      <c r="F1628" s="41" t="s">
        <v>1283</v>
      </c>
      <c r="G1628" s="7" t="s">
        <v>102</v>
      </c>
      <c r="H1628" s="7">
        <v>20</v>
      </c>
      <c r="I1628" s="10" t="s">
        <v>2030</v>
      </c>
      <c r="K1628" s="10">
        <v>1</v>
      </c>
      <c r="L1628" s="43">
        <v>26</v>
      </c>
      <c r="M1628" s="43"/>
      <c r="N1628" s="12" t="s">
        <v>596</v>
      </c>
      <c r="P1628" s="10">
        <v>210</v>
      </c>
      <c r="T1628" s="10">
        <v>90</v>
      </c>
      <c r="V1628" s="45">
        <v>1</v>
      </c>
      <c r="W1628" s="14">
        <v>7.5</v>
      </c>
      <c r="X1628" s="29">
        <v>12.5</v>
      </c>
      <c r="Y1628" s="54" t="s">
        <v>14</v>
      </c>
      <c r="Z1628" t="s">
        <v>1325</v>
      </c>
    </row>
    <row r="1629" spans="1:27" ht="23.1" customHeight="1" x14ac:dyDescent="0.25">
      <c r="A1629" s="20" t="s">
        <v>1244</v>
      </c>
      <c r="B1629" s="7" t="s">
        <v>113</v>
      </c>
      <c r="C1629" s="7">
        <v>16</v>
      </c>
      <c r="D1629" s="7" t="s">
        <v>1280</v>
      </c>
      <c r="E1629" s="41" t="s">
        <v>595</v>
      </c>
      <c r="F1629" s="41" t="s">
        <v>595</v>
      </c>
      <c r="G1629" s="7" t="s">
        <v>102</v>
      </c>
      <c r="H1629" s="7">
        <v>35</v>
      </c>
      <c r="I1629" s="10" t="s">
        <v>2228</v>
      </c>
      <c r="J1629" s="10">
        <v>2</v>
      </c>
      <c r="K1629" s="10">
        <v>2</v>
      </c>
      <c r="L1629" s="43">
        <v>26</v>
      </c>
      <c r="M1629" s="43">
        <v>26</v>
      </c>
      <c r="N1629" s="12" t="s">
        <v>596</v>
      </c>
      <c r="P1629" s="10">
        <v>120</v>
      </c>
      <c r="T1629" s="10">
        <v>60</v>
      </c>
      <c r="V1629" s="45">
        <v>1</v>
      </c>
      <c r="W1629" s="14">
        <v>2</v>
      </c>
      <c r="X1629" s="29">
        <v>7</v>
      </c>
      <c r="Y1629" s="54" t="s">
        <v>71</v>
      </c>
      <c r="Z1629" t="s">
        <v>926</v>
      </c>
      <c r="AA1629" s="1" t="s">
        <v>238</v>
      </c>
    </row>
    <row r="1630" spans="1:27" ht="23.1" customHeight="1" x14ac:dyDescent="0.25">
      <c r="A1630" s="20" t="s">
        <v>1244</v>
      </c>
      <c r="B1630" s="7" t="s">
        <v>113</v>
      </c>
      <c r="C1630" s="7">
        <v>13</v>
      </c>
      <c r="D1630" s="7" t="s">
        <v>1277</v>
      </c>
      <c r="E1630" s="41" t="s">
        <v>1278</v>
      </c>
      <c r="F1630" s="41" t="s">
        <v>1278</v>
      </c>
      <c r="G1630" s="7" t="s">
        <v>154</v>
      </c>
      <c r="H1630" s="7">
        <v>30</v>
      </c>
      <c r="I1630" s="10" t="s">
        <v>2211</v>
      </c>
      <c r="J1630" s="10">
        <v>15</v>
      </c>
      <c r="K1630" s="10">
        <v>13</v>
      </c>
      <c r="L1630" s="43">
        <v>28</v>
      </c>
      <c r="M1630" s="43"/>
      <c r="N1630" s="12" t="s">
        <v>1279</v>
      </c>
      <c r="P1630" s="10">
        <v>35</v>
      </c>
      <c r="T1630" s="10">
        <v>90</v>
      </c>
      <c r="V1630" s="45"/>
      <c r="X1630" s="29">
        <v>7.6</v>
      </c>
      <c r="Y1630" s="54" t="s">
        <v>10</v>
      </c>
    </row>
    <row r="1631" spans="1:27" ht="23.1" customHeight="1" x14ac:dyDescent="0.25">
      <c r="A1631" s="20" t="s">
        <v>1244</v>
      </c>
      <c r="B1631" s="7" t="s">
        <v>113</v>
      </c>
      <c r="C1631" s="7">
        <v>13</v>
      </c>
      <c r="D1631" s="7" t="s">
        <v>895</v>
      </c>
      <c r="E1631" s="41" t="s">
        <v>896</v>
      </c>
      <c r="F1631" s="41" t="s">
        <v>896</v>
      </c>
      <c r="G1631" s="7" t="s">
        <v>102</v>
      </c>
      <c r="H1631" s="7">
        <v>20</v>
      </c>
      <c r="I1631" s="10" t="s">
        <v>2106</v>
      </c>
      <c r="K1631" s="10">
        <v>8</v>
      </c>
      <c r="L1631" s="43">
        <v>37</v>
      </c>
      <c r="M1631" s="43">
        <v>37</v>
      </c>
      <c r="N1631" s="12" t="s">
        <v>596</v>
      </c>
      <c r="P1631" s="10">
        <v>20</v>
      </c>
      <c r="T1631" s="10">
        <v>60</v>
      </c>
      <c r="V1631" s="45">
        <v>1</v>
      </c>
      <c r="X1631" s="29">
        <v>3.7</v>
      </c>
      <c r="Y1631" s="54" t="s">
        <v>10</v>
      </c>
      <c r="Z1631" t="s">
        <v>926</v>
      </c>
      <c r="AA1631" s="1" t="s">
        <v>238</v>
      </c>
    </row>
    <row r="1632" spans="1:27" ht="23.1" customHeight="1" x14ac:dyDescent="0.25">
      <c r="A1632" s="20" t="s">
        <v>1244</v>
      </c>
      <c r="B1632" s="7" t="s">
        <v>113</v>
      </c>
      <c r="C1632" s="7">
        <v>13</v>
      </c>
      <c r="D1632" s="7" t="s">
        <v>895</v>
      </c>
      <c r="E1632" s="41" t="s">
        <v>896</v>
      </c>
      <c r="F1632" s="41" t="s">
        <v>896</v>
      </c>
      <c r="G1632" s="7" t="s">
        <v>102</v>
      </c>
      <c r="H1632" s="7">
        <v>25</v>
      </c>
      <c r="I1632" s="10" t="s">
        <v>1850</v>
      </c>
      <c r="L1632" s="43"/>
      <c r="M1632" s="43"/>
      <c r="N1632" s="12" t="s">
        <v>596</v>
      </c>
      <c r="P1632" s="10">
        <v>40</v>
      </c>
      <c r="T1632" s="10">
        <v>90</v>
      </c>
      <c r="V1632" s="45"/>
      <c r="W1632" s="14">
        <v>3</v>
      </c>
      <c r="X1632" s="29">
        <v>3</v>
      </c>
      <c r="Y1632" s="54" t="s">
        <v>10</v>
      </c>
      <c r="Z1632" t="s">
        <v>1326</v>
      </c>
      <c r="AA1632" s="1" t="s">
        <v>238</v>
      </c>
    </row>
    <row r="1633" spans="1:27" ht="23.1" customHeight="1" x14ac:dyDescent="0.25">
      <c r="A1633" s="20" t="s">
        <v>1244</v>
      </c>
      <c r="B1633" s="7" t="s">
        <v>113</v>
      </c>
      <c r="C1633" s="7">
        <v>108</v>
      </c>
      <c r="D1633" s="7" t="s">
        <v>889</v>
      </c>
      <c r="E1633" s="41" t="s">
        <v>887</v>
      </c>
      <c r="F1633" s="41" t="s">
        <v>887</v>
      </c>
      <c r="G1633" s="7" t="s">
        <v>154</v>
      </c>
      <c r="H1633" s="7">
        <v>45</v>
      </c>
      <c r="I1633" s="10" t="s">
        <v>1954</v>
      </c>
      <c r="J1633" s="10">
        <v>1</v>
      </c>
      <c r="K1633" s="10">
        <v>1</v>
      </c>
      <c r="L1633" s="43">
        <v>26</v>
      </c>
      <c r="M1633" s="43"/>
      <c r="N1633" s="12" t="s">
        <v>159</v>
      </c>
      <c r="P1633" s="10">
        <v>420</v>
      </c>
      <c r="Q1633" s="10">
        <v>60</v>
      </c>
      <c r="S1633" s="11">
        <v>1</v>
      </c>
      <c r="T1633" s="10">
        <v>120</v>
      </c>
      <c r="V1633" s="45">
        <v>1</v>
      </c>
      <c r="X1633" s="29">
        <v>10</v>
      </c>
      <c r="Y1633" s="54" t="s">
        <v>13</v>
      </c>
      <c r="Z1633" t="s">
        <v>1327</v>
      </c>
      <c r="AA1633" s="1" t="s">
        <v>238</v>
      </c>
    </row>
    <row r="1634" spans="1:27" ht="23.1" customHeight="1" x14ac:dyDescent="0.25">
      <c r="A1634" s="20" t="s">
        <v>1244</v>
      </c>
      <c r="B1634" s="7" t="s">
        <v>113</v>
      </c>
      <c r="C1634" s="7">
        <v>107</v>
      </c>
      <c r="D1634" s="7" t="s">
        <v>886</v>
      </c>
      <c r="E1634" s="41" t="s">
        <v>887</v>
      </c>
      <c r="F1634" s="41" t="s">
        <v>887</v>
      </c>
      <c r="G1634" s="7" t="s">
        <v>154</v>
      </c>
      <c r="H1634" s="7">
        <v>45</v>
      </c>
      <c r="I1634" s="10" t="s">
        <v>1954</v>
      </c>
      <c r="J1634" s="10">
        <v>1</v>
      </c>
      <c r="K1634" s="10">
        <v>1</v>
      </c>
      <c r="L1634" s="43">
        <v>26</v>
      </c>
      <c r="M1634" s="43"/>
      <c r="N1634" s="12" t="s">
        <v>159</v>
      </c>
      <c r="P1634" s="10">
        <v>420</v>
      </c>
      <c r="Q1634" s="10">
        <v>60</v>
      </c>
      <c r="S1634" s="11">
        <v>1</v>
      </c>
      <c r="T1634" s="10">
        <v>120</v>
      </c>
      <c r="V1634" s="45">
        <v>1</v>
      </c>
      <c r="X1634" s="29">
        <v>10</v>
      </c>
      <c r="Y1634" s="54" t="s">
        <v>13</v>
      </c>
      <c r="Z1634" t="s">
        <v>1245</v>
      </c>
      <c r="AA1634" s="1" t="s">
        <v>238</v>
      </c>
    </row>
    <row r="1635" spans="1:27" ht="23.1" customHeight="1" x14ac:dyDescent="0.25">
      <c r="A1635" s="20" t="s">
        <v>1244</v>
      </c>
      <c r="B1635" s="7" t="s">
        <v>113</v>
      </c>
      <c r="C1635" s="7">
        <v>107</v>
      </c>
      <c r="D1635" s="7" t="s">
        <v>1275</v>
      </c>
      <c r="E1635" s="41" t="s">
        <v>215</v>
      </c>
      <c r="F1635" s="41" t="s">
        <v>215</v>
      </c>
      <c r="G1635" s="7" t="s">
        <v>154</v>
      </c>
      <c r="H1635" s="7">
        <v>35</v>
      </c>
      <c r="I1635" s="10" t="s">
        <v>2073</v>
      </c>
      <c r="J1635" s="10">
        <v>4</v>
      </c>
      <c r="K1635" s="10">
        <v>3</v>
      </c>
      <c r="L1635" s="43">
        <v>26</v>
      </c>
      <c r="M1635" s="43">
        <v>26</v>
      </c>
      <c r="N1635" s="12" t="s">
        <v>1328</v>
      </c>
      <c r="P1635" s="10">
        <v>150</v>
      </c>
      <c r="S1635" s="11">
        <v>3</v>
      </c>
      <c r="T1635" s="10">
        <v>60</v>
      </c>
      <c r="V1635" s="45"/>
      <c r="X1635" s="29">
        <v>7.5</v>
      </c>
      <c r="Y1635" s="54" t="s">
        <v>13</v>
      </c>
    </row>
    <row r="1636" spans="1:27" ht="23.1" customHeight="1" x14ac:dyDescent="0.25">
      <c r="A1636" s="20" t="s">
        <v>1244</v>
      </c>
      <c r="B1636" s="7" t="s">
        <v>113</v>
      </c>
      <c r="C1636" s="7">
        <v>55</v>
      </c>
      <c r="D1636" s="7" t="s">
        <v>1268</v>
      </c>
      <c r="E1636" s="41" t="s">
        <v>409</v>
      </c>
      <c r="F1636" s="41" t="s">
        <v>409</v>
      </c>
      <c r="G1636" s="7" t="s">
        <v>102</v>
      </c>
      <c r="H1636" s="7">
        <v>30</v>
      </c>
      <c r="I1636" s="10" t="s">
        <v>2058</v>
      </c>
      <c r="K1636" s="10">
        <v>2</v>
      </c>
      <c r="L1636" s="43">
        <v>28</v>
      </c>
      <c r="M1636" s="43">
        <v>28</v>
      </c>
      <c r="N1636" s="12" t="s">
        <v>596</v>
      </c>
      <c r="P1636" s="10">
        <v>20</v>
      </c>
      <c r="T1636" s="10">
        <v>60</v>
      </c>
      <c r="V1636" s="45">
        <v>1</v>
      </c>
      <c r="W1636" s="14">
        <v>6</v>
      </c>
      <c r="X1636" s="29">
        <v>7.7</v>
      </c>
      <c r="Y1636" s="54" t="s">
        <v>18</v>
      </c>
    </row>
    <row r="1637" spans="1:27" ht="23.1" customHeight="1" x14ac:dyDescent="0.25">
      <c r="A1637" s="20" t="s">
        <v>1244</v>
      </c>
      <c r="B1637" s="7" t="s">
        <v>113</v>
      </c>
      <c r="C1637" s="7">
        <v>55</v>
      </c>
      <c r="D1637" s="7" t="s">
        <v>1268</v>
      </c>
      <c r="E1637" s="41" t="s">
        <v>409</v>
      </c>
      <c r="F1637" s="41" t="s">
        <v>409</v>
      </c>
      <c r="G1637" s="7" t="s">
        <v>102</v>
      </c>
      <c r="H1637" s="7">
        <v>35</v>
      </c>
      <c r="I1637" s="10" t="s">
        <v>2229</v>
      </c>
      <c r="K1637" s="10">
        <v>2</v>
      </c>
      <c r="L1637" s="43">
        <v>28</v>
      </c>
      <c r="M1637" s="43">
        <v>28</v>
      </c>
      <c r="N1637" s="12" t="s">
        <v>596</v>
      </c>
      <c r="P1637" s="10">
        <v>20</v>
      </c>
      <c r="T1637" s="10">
        <v>60</v>
      </c>
      <c r="V1637" s="45">
        <v>1</v>
      </c>
      <c r="X1637" s="29">
        <v>1.7</v>
      </c>
      <c r="Y1637" s="54" t="s">
        <v>18</v>
      </c>
    </row>
    <row r="1638" spans="1:27" ht="23.1" customHeight="1" x14ac:dyDescent="0.25">
      <c r="A1638" s="20" t="s">
        <v>1244</v>
      </c>
      <c r="B1638" s="7" t="s">
        <v>113</v>
      </c>
      <c r="C1638" s="7">
        <v>55</v>
      </c>
      <c r="D1638" s="7" t="s">
        <v>1268</v>
      </c>
      <c r="E1638" s="41" t="s">
        <v>409</v>
      </c>
      <c r="F1638" s="41" t="s">
        <v>409</v>
      </c>
      <c r="G1638" s="7" t="s">
        <v>102</v>
      </c>
      <c r="H1638" s="7">
        <v>40</v>
      </c>
      <c r="I1638" s="10" t="s">
        <v>2471</v>
      </c>
      <c r="K1638" s="10">
        <v>2</v>
      </c>
      <c r="L1638" s="43">
        <v>28</v>
      </c>
      <c r="M1638" s="43">
        <v>28</v>
      </c>
      <c r="N1638" s="12" t="s">
        <v>596</v>
      </c>
      <c r="P1638" s="10">
        <v>15</v>
      </c>
      <c r="T1638" s="10">
        <v>60</v>
      </c>
      <c r="V1638" s="45">
        <v>1</v>
      </c>
      <c r="X1638" s="29">
        <v>1.5</v>
      </c>
      <c r="Y1638" s="54" t="s">
        <v>18</v>
      </c>
    </row>
    <row r="1639" spans="1:27" ht="23.1" customHeight="1" x14ac:dyDescent="0.25">
      <c r="A1639" s="20" t="s">
        <v>1329</v>
      </c>
      <c r="B1639" s="7" t="s">
        <v>113</v>
      </c>
      <c r="C1639" s="7">
        <v>15</v>
      </c>
      <c r="D1639" s="7" t="s">
        <v>592</v>
      </c>
      <c r="E1639" s="41" t="s">
        <v>218</v>
      </c>
      <c r="F1639" s="41" t="s">
        <v>218</v>
      </c>
      <c r="G1639" s="7" t="s">
        <v>107</v>
      </c>
      <c r="H1639" s="7">
        <v>20</v>
      </c>
      <c r="I1639" s="10" t="s">
        <v>1896</v>
      </c>
      <c r="L1639" s="43">
        <v>9</v>
      </c>
      <c r="M1639" s="43"/>
      <c r="N1639" s="12" t="s">
        <v>247</v>
      </c>
      <c r="P1639" s="10">
        <v>300</v>
      </c>
      <c r="T1639" s="10">
        <v>90</v>
      </c>
      <c r="V1639" s="45"/>
      <c r="X1639" s="29">
        <v>0</v>
      </c>
      <c r="Y1639" s="54" t="s">
        <v>60</v>
      </c>
      <c r="Z1639" t="s">
        <v>1330</v>
      </c>
    </row>
    <row r="1640" spans="1:27" ht="23.1" customHeight="1" x14ac:dyDescent="0.25">
      <c r="A1640" s="20" t="s">
        <v>796</v>
      </c>
      <c r="B1640" s="7" t="s">
        <v>110</v>
      </c>
      <c r="C1640" s="7">
        <v>14</v>
      </c>
      <c r="D1640" s="7" t="s">
        <v>235</v>
      </c>
      <c r="E1640" s="41" t="s">
        <v>236</v>
      </c>
      <c r="F1640" s="41" t="s">
        <v>236</v>
      </c>
      <c r="G1640" s="7" t="s">
        <v>154</v>
      </c>
      <c r="H1640" s="7">
        <v>35</v>
      </c>
      <c r="I1640" s="10" t="s">
        <v>2230</v>
      </c>
      <c r="L1640" s="43">
        <v>9</v>
      </c>
      <c r="M1640" s="43"/>
      <c r="N1640" s="12" t="s">
        <v>234</v>
      </c>
      <c r="P1640" s="10">
        <v>480</v>
      </c>
      <c r="T1640" s="10">
        <v>60</v>
      </c>
      <c r="V1640" s="45"/>
      <c r="X1640" s="29">
        <v>0</v>
      </c>
      <c r="Y1640" s="54" t="s">
        <v>60</v>
      </c>
      <c r="Z1640" t="s">
        <v>1330</v>
      </c>
    </row>
    <row r="1641" spans="1:27" ht="23.1" customHeight="1" x14ac:dyDescent="0.25">
      <c r="A1641" s="20" t="s">
        <v>796</v>
      </c>
      <c r="B1641" s="7" t="s">
        <v>110</v>
      </c>
      <c r="C1641" s="7">
        <v>14</v>
      </c>
      <c r="D1641" s="7" t="s">
        <v>235</v>
      </c>
      <c r="E1641" s="41" t="s">
        <v>236</v>
      </c>
      <c r="F1641" s="41" t="s">
        <v>236</v>
      </c>
      <c r="G1641" s="7" t="s">
        <v>154</v>
      </c>
      <c r="H1641" s="7">
        <v>45</v>
      </c>
      <c r="I1641" s="10" t="s">
        <v>2067</v>
      </c>
      <c r="L1641" s="43">
        <v>9</v>
      </c>
      <c r="M1641" s="43"/>
      <c r="N1641" s="12" t="s">
        <v>234</v>
      </c>
      <c r="P1641" s="10">
        <v>120</v>
      </c>
      <c r="T1641" s="10">
        <v>90</v>
      </c>
      <c r="V1641" s="45"/>
      <c r="X1641" s="29">
        <v>0</v>
      </c>
      <c r="Y1641" s="54" t="s">
        <v>60</v>
      </c>
      <c r="Z1641" t="s">
        <v>1330</v>
      </c>
    </row>
    <row r="1642" spans="1:27" ht="23.1" customHeight="1" x14ac:dyDescent="0.25">
      <c r="A1642" s="20" t="s">
        <v>796</v>
      </c>
      <c r="B1642" s="7" t="s">
        <v>110</v>
      </c>
      <c r="C1642" s="7">
        <v>14</v>
      </c>
      <c r="D1642" s="7" t="s">
        <v>235</v>
      </c>
      <c r="E1642" s="41" t="s">
        <v>236</v>
      </c>
      <c r="F1642" s="41" t="s">
        <v>236</v>
      </c>
      <c r="G1642" s="7" t="s">
        <v>154</v>
      </c>
      <c r="H1642" s="7">
        <v>90</v>
      </c>
      <c r="I1642" s="10" t="s">
        <v>2025</v>
      </c>
      <c r="L1642" s="43">
        <v>9</v>
      </c>
      <c r="M1642" s="43"/>
      <c r="N1642" s="12" t="s">
        <v>159</v>
      </c>
      <c r="P1642" s="10">
        <v>240</v>
      </c>
      <c r="T1642" s="10">
        <v>90</v>
      </c>
      <c r="V1642" s="45"/>
      <c r="X1642" s="29">
        <v>0</v>
      </c>
      <c r="Y1642" s="54" t="s">
        <v>60</v>
      </c>
      <c r="Z1642" t="s">
        <v>1330</v>
      </c>
    </row>
    <row r="1643" spans="1:27" ht="23.1" customHeight="1" x14ac:dyDescent="0.25">
      <c r="A1643" s="20" t="s">
        <v>1329</v>
      </c>
      <c r="B1643" s="7" t="s">
        <v>113</v>
      </c>
      <c r="C1643" s="7">
        <v>14</v>
      </c>
      <c r="D1643" s="7" t="s">
        <v>235</v>
      </c>
      <c r="E1643" s="41" t="s">
        <v>236</v>
      </c>
      <c r="F1643" s="41" t="s">
        <v>236</v>
      </c>
      <c r="G1643" s="7" t="s">
        <v>154</v>
      </c>
      <c r="H1643" s="7">
        <v>70</v>
      </c>
      <c r="I1643" s="10" t="s">
        <v>1995</v>
      </c>
      <c r="L1643" s="43">
        <v>9</v>
      </c>
      <c r="M1643" s="43"/>
      <c r="N1643" s="12" t="s">
        <v>159</v>
      </c>
      <c r="P1643" s="10">
        <v>1320</v>
      </c>
      <c r="T1643" s="10">
        <v>120</v>
      </c>
      <c r="V1643" s="45"/>
      <c r="X1643" s="29">
        <v>0</v>
      </c>
      <c r="Y1643" s="54" t="s">
        <v>60</v>
      </c>
      <c r="Z1643" t="s">
        <v>1330</v>
      </c>
    </row>
    <row r="1644" spans="1:27" ht="23.1" customHeight="1" x14ac:dyDescent="0.25">
      <c r="A1644" s="20" t="s">
        <v>909</v>
      </c>
      <c r="B1644" s="7" t="s">
        <v>110</v>
      </c>
      <c r="C1644" s="7">
        <v>14</v>
      </c>
      <c r="D1644" s="7" t="s">
        <v>235</v>
      </c>
      <c r="E1644" s="41" t="s">
        <v>236</v>
      </c>
      <c r="F1644" s="41" t="s">
        <v>236</v>
      </c>
      <c r="G1644" s="7" t="s">
        <v>154</v>
      </c>
      <c r="H1644" s="7">
        <v>60</v>
      </c>
      <c r="I1644" s="10" t="s">
        <v>1968</v>
      </c>
      <c r="L1644" s="43">
        <v>9</v>
      </c>
      <c r="M1644" s="43"/>
      <c r="N1644" s="12" t="s">
        <v>234</v>
      </c>
      <c r="P1644" s="10">
        <v>660</v>
      </c>
      <c r="T1644" s="10">
        <v>90</v>
      </c>
      <c r="V1644" s="45"/>
      <c r="X1644" s="29">
        <v>0</v>
      </c>
      <c r="Y1644" s="54" t="s">
        <v>60</v>
      </c>
      <c r="Z1644" t="s">
        <v>1330</v>
      </c>
    </row>
    <row r="1645" spans="1:27" ht="23.1" customHeight="1" x14ac:dyDescent="0.25">
      <c r="A1645" s="20" t="s">
        <v>909</v>
      </c>
      <c r="B1645" s="7" t="s">
        <v>110</v>
      </c>
      <c r="C1645" s="7">
        <v>14</v>
      </c>
      <c r="D1645" s="7" t="s">
        <v>235</v>
      </c>
      <c r="E1645" s="41" t="s">
        <v>236</v>
      </c>
      <c r="F1645" s="41" t="s">
        <v>236</v>
      </c>
      <c r="G1645" s="7" t="s">
        <v>154</v>
      </c>
      <c r="H1645" s="7">
        <v>65</v>
      </c>
      <c r="I1645" s="10" t="s">
        <v>1982</v>
      </c>
      <c r="L1645" s="43">
        <v>9</v>
      </c>
      <c r="M1645" s="43"/>
      <c r="N1645" s="12" t="s">
        <v>234</v>
      </c>
      <c r="P1645" s="10">
        <v>600</v>
      </c>
      <c r="T1645" s="10">
        <v>120</v>
      </c>
      <c r="V1645" s="45"/>
      <c r="X1645" s="29">
        <v>0</v>
      </c>
      <c r="Y1645" s="54" t="s">
        <v>60</v>
      </c>
      <c r="Z1645" t="s">
        <v>1330</v>
      </c>
    </row>
    <row r="1646" spans="1:27" ht="23.1" customHeight="1" x14ac:dyDescent="0.25">
      <c r="A1646" s="20" t="s">
        <v>1002</v>
      </c>
      <c r="B1646" s="7" t="s">
        <v>110</v>
      </c>
      <c r="C1646" s="7">
        <v>14</v>
      </c>
      <c r="D1646" s="7" t="s">
        <v>235</v>
      </c>
      <c r="E1646" s="41" t="s">
        <v>236</v>
      </c>
      <c r="F1646" s="41" t="s">
        <v>236</v>
      </c>
      <c r="G1646" s="7" t="s">
        <v>154</v>
      </c>
      <c r="H1646" s="7">
        <v>75</v>
      </c>
      <c r="I1646" s="10" t="s">
        <v>2041</v>
      </c>
      <c r="L1646" s="43">
        <v>9</v>
      </c>
      <c r="M1646" s="43"/>
      <c r="N1646" s="12" t="s">
        <v>234</v>
      </c>
      <c r="P1646" s="10">
        <v>300</v>
      </c>
      <c r="T1646" s="10">
        <v>120</v>
      </c>
      <c r="V1646" s="45"/>
      <c r="X1646" s="29">
        <v>0</v>
      </c>
      <c r="Y1646" s="54" t="s">
        <v>60</v>
      </c>
      <c r="Z1646" t="s">
        <v>1330</v>
      </c>
    </row>
    <row r="1647" spans="1:27" ht="23.1" customHeight="1" x14ac:dyDescent="0.25">
      <c r="A1647" s="20" t="s">
        <v>1002</v>
      </c>
      <c r="B1647" s="7" t="s">
        <v>110</v>
      </c>
      <c r="C1647" s="7">
        <v>14</v>
      </c>
      <c r="D1647" s="7" t="s">
        <v>1331</v>
      </c>
      <c r="E1647" s="41" t="s">
        <v>1332</v>
      </c>
      <c r="F1647" s="41" t="s">
        <v>1332</v>
      </c>
      <c r="G1647" s="7" t="s">
        <v>300</v>
      </c>
      <c r="H1647" s="7">
        <v>15</v>
      </c>
      <c r="I1647" s="10" t="s">
        <v>2231</v>
      </c>
      <c r="L1647" s="43">
        <v>9</v>
      </c>
      <c r="M1647" s="43"/>
      <c r="N1647" s="12" t="s">
        <v>316</v>
      </c>
      <c r="P1647" s="10">
        <v>35</v>
      </c>
      <c r="T1647" s="10">
        <v>120</v>
      </c>
      <c r="V1647" s="45"/>
      <c r="X1647" s="29">
        <v>0</v>
      </c>
      <c r="Y1647" s="54" t="s">
        <v>60</v>
      </c>
      <c r="Z1647" t="s">
        <v>1330</v>
      </c>
    </row>
    <row r="1648" spans="1:27" ht="23.1" customHeight="1" x14ac:dyDescent="0.25">
      <c r="A1648" s="20" t="s">
        <v>1221</v>
      </c>
      <c r="B1648" s="7" t="s">
        <v>110</v>
      </c>
      <c r="C1648" s="7">
        <v>15</v>
      </c>
      <c r="D1648" s="7" t="s">
        <v>116</v>
      </c>
      <c r="E1648" s="41" t="s">
        <v>117</v>
      </c>
      <c r="F1648" s="41" t="s">
        <v>117</v>
      </c>
      <c r="G1648" s="7" t="s">
        <v>118</v>
      </c>
      <c r="H1648" s="7">
        <v>15</v>
      </c>
      <c r="I1648" s="10" t="s">
        <v>1946</v>
      </c>
      <c r="L1648" s="43">
        <v>9</v>
      </c>
      <c r="M1648" s="43"/>
      <c r="N1648" s="12" t="s">
        <v>256</v>
      </c>
      <c r="P1648" s="10">
        <v>60</v>
      </c>
      <c r="T1648" s="10">
        <v>90</v>
      </c>
      <c r="V1648" s="45"/>
      <c r="W1648" s="14">
        <v>2</v>
      </c>
      <c r="X1648" s="29">
        <v>2</v>
      </c>
      <c r="Y1648" s="54" t="s">
        <v>60</v>
      </c>
      <c r="Z1648" t="s">
        <v>1330</v>
      </c>
    </row>
    <row r="1649" spans="1:27" ht="23.1" customHeight="1" x14ac:dyDescent="0.25">
      <c r="A1649" s="20" t="s">
        <v>1221</v>
      </c>
      <c r="B1649" s="7" t="s">
        <v>110</v>
      </c>
      <c r="C1649" s="7">
        <v>15</v>
      </c>
      <c r="D1649" s="7" t="s">
        <v>116</v>
      </c>
      <c r="E1649" s="41" t="s">
        <v>117</v>
      </c>
      <c r="F1649" s="41" t="s">
        <v>117</v>
      </c>
      <c r="G1649" s="7" t="s">
        <v>118</v>
      </c>
      <c r="H1649" s="7">
        <v>20</v>
      </c>
      <c r="I1649" s="10" t="s">
        <v>2232</v>
      </c>
      <c r="L1649" s="43">
        <v>9</v>
      </c>
      <c r="M1649" s="43"/>
      <c r="N1649" s="12" t="s">
        <v>256</v>
      </c>
      <c r="P1649" s="10">
        <v>270</v>
      </c>
      <c r="T1649" s="10">
        <v>90</v>
      </c>
      <c r="V1649" s="45"/>
      <c r="W1649" s="14">
        <v>2</v>
      </c>
      <c r="X1649" s="29">
        <v>2</v>
      </c>
      <c r="Y1649" s="54" t="s">
        <v>60</v>
      </c>
      <c r="Z1649" t="s">
        <v>1330</v>
      </c>
    </row>
    <row r="1650" spans="1:27" ht="23.1" customHeight="1" x14ac:dyDescent="0.25">
      <c r="A1650" s="20" t="s">
        <v>1333</v>
      </c>
      <c r="B1650" s="7" t="s">
        <v>110</v>
      </c>
      <c r="C1650" s="7">
        <v>10</v>
      </c>
      <c r="D1650" s="7" t="s">
        <v>946</v>
      </c>
      <c r="E1650" s="41" t="s">
        <v>947</v>
      </c>
      <c r="F1650" s="41" t="s">
        <v>947</v>
      </c>
      <c r="G1650" s="7" t="s">
        <v>300</v>
      </c>
      <c r="H1650" s="7">
        <v>25</v>
      </c>
      <c r="I1650" s="10" t="s">
        <v>2233</v>
      </c>
      <c r="J1650" s="10">
        <v>2</v>
      </c>
      <c r="K1650" s="10">
        <v>2</v>
      </c>
      <c r="L1650" s="43">
        <v>5</v>
      </c>
      <c r="M1650" s="43">
        <v>28</v>
      </c>
      <c r="N1650" s="12" t="s">
        <v>1334</v>
      </c>
      <c r="P1650" s="10">
        <v>240</v>
      </c>
      <c r="T1650" s="10">
        <v>90</v>
      </c>
      <c r="V1650" s="45">
        <v>1</v>
      </c>
      <c r="X1650" s="29">
        <v>9.5</v>
      </c>
      <c r="Y1650" s="54" t="s">
        <v>30</v>
      </c>
    </row>
    <row r="1651" spans="1:27" ht="23.1" customHeight="1" x14ac:dyDescent="0.25">
      <c r="A1651" s="20" t="s">
        <v>1333</v>
      </c>
      <c r="B1651" s="7" t="s">
        <v>110</v>
      </c>
      <c r="C1651" s="7">
        <v>9</v>
      </c>
      <c r="D1651" s="7" t="s">
        <v>1287</v>
      </c>
      <c r="E1651" s="41" t="s">
        <v>1288</v>
      </c>
      <c r="F1651" s="41" t="s">
        <v>1367</v>
      </c>
      <c r="G1651" s="7" t="s">
        <v>123</v>
      </c>
      <c r="H1651" s="7">
        <v>5</v>
      </c>
      <c r="I1651" s="10" t="s">
        <v>2060</v>
      </c>
      <c r="J1651" s="10">
        <v>4</v>
      </c>
      <c r="K1651" s="10">
        <v>4</v>
      </c>
      <c r="L1651" s="43">
        <v>9</v>
      </c>
      <c r="M1651" s="43">
        <v>9</v>
      </c>
      <c r="N1651" s="12" t="s">
        <v>1335</v>
      </c>
      <c r="P1651" s="10">
        <v>150</v>
      </c>
      <c r="T1651" s="10">
        <v>60</v>
      </c>
      <c r="V1651" s="45">
        <v>1</v>
      </c>
      <c r="X1651" s="29">
        <v>11</v>
      </c>
      <c r="Y1651" s="54" t="s">
        <v>30</v>
      </c>
      <c r="Z1651" t="s">
        <v>1336</v>
      </c>
      <c r="AA1651" t="s">
        <v>957</v>
      </c>
    </row>
    <row r="1652" spans="1:27" ht="23.1" customHeight="1" x14ac:dyDescent="0.25">
      <c r="A1652" s="20" t="s">
        <v>1333</v>
      </c>
      <c r="B1652" s="7" t="s">
        <v>110</v>
      </c>
      <c r="C1652" s="7">
        <v>9</v>
      </c>
      <c r="D1652" s="7" t="s">
        <v>1287</v>
      </c>
      <c r="E1652" s="41" t="s">
        <v>1288</v>
      </c>
      <c r="F1652" s="41" t="s">
        <v>1367</v>
      </c>
      <c r="G1652" s="7" t="s">
        <v>123</v>
      </c>
      <c r="H1652" s="7">
        <v>10</v>
      </c>
      <c r="I1652" s="10" t="s">
        <v>2215</v>
      </c>
      <c r="J1652" s="10">
        <v>2.5</v>
      </c>
      <c r="K1652" s="10">
        <v>4</v>
      </c>
      <c r="L1652" s="43">
        <v>9</v>
      </c>
      <c r="M1652" s="43">
        <v>9</v>
      </c>
      <c r="N1652" s="12" t="s">
        <v>1335</v>
      </c>
      <c r="P1652" s="10">
        <v>390</v>
      </c>
      <c r="T1652" s="10">
        <v>90</v>
      </c>
      <c r="V1652" s="45"/>
      <c r="X1652" s="29">
        <v>26</v>
      </c>
      <c r="Y1652" s="54" t="s">
        <v>30</v>
      </c>
      <c r="Z1652" t="s">
        <v>1336</v>
      </c>
      <c r="AA1652" t="s">
        <v>957</v>
      </c>
    </row>
    <row r="1653" spans="1:27" ht="23.1" customHeight="1" x14ac:dyDescent="0.25">
      <c r="A1653" s="20" t="s">
        <v>1337</v>
      </c>
      <c r="B1653" s="7" t="s">
        <v>110</v>
      </c>
      <c r="C1653" s="7">
        <v>10</v>
      </c>
      <c r="D1653" s="7" t="s">
        <v>946</v>
      </c>
      <c r="E1653" s="41" t="s">
        <v>947</v>
      </c>
      <c r="F1653" s="41" t="s">
        <v>947</v>
      </c>
      <c r="G1653" s="7" t="s">
        <v>300</v>
      </c>
      <c r="H1653" s="7">
        <v>25</v>
      </c>
      <c r="I1653" s="10" t="s">
        <v>2233</v>
      </c>
      <c r="J1653" s="10">
        <v>2.5</v>
      </c>
      <c r="K1653" s="10">
        <v>2.5</v>
      </c>
      <c r="L1653" s="43">
        <v>23</v>
      </c>
      <c r="M1653" s="43">
        <v>28</v>
      </c>
      <c r="N1653" s="12" t="s">
        <v>1338</v>
      </c>
      <c r="P1653" s="10">
        <v>240</v>
      </c>
      <c r="T1653" s="10">
        <v>90</v>
      </c>
      <c r="V1653" s="45"/>
      <c r="X1653" s="29">
        <v>10</v>
      </c>
      <c r="Y1653" s="54" t="s">
        <v>30</v>
      </c>
    </row>
    <row r="1654" spans="1:27" ht="23.1" customHeight="1" x14ac:dyDescent="0.25">
      <c r="A1654" s="20" t="s">
        <v>1337</v>
      </c>
      <c r="B1654" s="7" t="s">
        <v>110</v>
      </c>
      <c r="C1654" s="7">
        <v>9</v>
      </c>
      <c r="D1654" s="7" t="s">
        <v>459</v>
      </c>
      <c r="E1654" s="41" t="s">
        <v>460</v>
      </c>
      <c r="F1654" s="41" t="e">
        <v>#N/A</v>
      </c>
      <c r="G1654" s="7" t="s">
        <v>123</v>
      </c>
      <c r="H1654" s="7">
        <v>30</v>
      </c>
      <c r="I1654" s="10" t="s">
        <v>1891</v>
      </c>
      <c r="J1654" s="10">
        <v>6</v>
      </c>
      <c r="K1654" s="10">
        <v>6</v>
      </c>
      <c r="L1654" s="43">
        <v>23</v>
      </c>
      <c r="M1654" s="43">
        <v>23</v>
      </c>
      <c r="N1654" s="12" t="s">
        <v>1339</v>
      </c>
      <c r="P1654" s="10">
        <v>25</v>
      </c>
      <c r="T1654" s="10">
        <v>60</v>
      </c>
      <c r="V1654" s="45">
        <v>1</v>
      </c>
      <c r="W1654" s="14">
        <v>4</v>
      </c>
      <c r="X1654" s="29">
        <v>7.5</v>
      </c>
      <c r="Y1654" s="54" t="s">
        <v>30</v>
      </c>
      <c r="Z1654" t="s">
        <v>1340</v>
      </c>
      <c r="AA1654" s="1" t="s">
        <v>238</v>
      </c>
    </row>
    <row r="1655" spans="1:27" ht="23.1" customHeight="1" x14ac:dyDescent="0.25">
      <c r="A1655" s="20" t="s">
        <v>1337</v>
      </c>
      <c r="B1655" s="7" t="s">
        <v>110</v>
      </c>
      <c r="C1655" s="7">
        <v>9</v>
      </c>
      <c r="D1655" s="7" t="s">
        <v>1341</v>
      </c>
      <c r="E1655" s="41" t="s">
        <v>595</v>
      </c>
      <c r="F1655" s="41" t="s">
        <v>595</v>
      </c>
      <c r="G1655" s="7" t="s">
        <v>123</v>
      </c>
      <c r="H1655" s="7">
        <v>20</v>
      </c>
      <c r="I1655" s="10" t="s">
        <v>1978</v>
      </c>
      <c r="K1655" s="10">
        <v>7</v>
      </c>
      <c r="L1655" s="43">
        <v>5</v>
      </c>
      <c r="M1655" s="43">
        <v>19</v>
      </c>
      <c r="N1655" s="12" t="s">
        <v>1342</v>
      </c>
      <c r="P1655" s="10">
        <v>30</v>
      </c>
      <c r="T1655" s="10">
        <v>60</v>
      </c>
      <c r="V1655" s="45">
        <v>1</v>
      </c>
      <c r="X1655" s="29">
        <v>4.5</v>
      </c>
      <c r="Y1655" s="54" t="s">
        <v>30</v>
      </c>
      <c r="Z1655" t="s">
        <v>1343</v>
      </c>
    </row>
    <row r="1656" spans="1:27" ht="23.1" customHeight="1" x14ac:dyDescent="0.25">
      <c r="A1656" s="20" t="s">
        <v>1236</v>
      </c>
      <c r="B1656" s="7" t="s">
        <v>137</v>
      </c>
      <c r="C1656" s="7">
        <v>10</v>
      </c>
      <c r="D1656" s="7" t="s">
        <v>946</v>
      </c>
      <c r="E1656" s="41" t="s">
        <v>947</v>
      </c>
      <c r="F1656" s="41" t="s">
        <v>947</v>
      </c>
      <c r="G1656" s="7" t="s">
        <v>300</v>
      </c>
      <c r="H1656" s="7">
        <v>25</v>
      </c>
      <c r="I1656" s="10" t="s">
        <v>2233</v>
      </c>
      <c r="J1656" s="10">
        <v>2.5</v>
      </c>
      <c r="K1656" s="10">
        <v>2.5</v>
      </c>
      <c r="L1656" s="43">
        <v>5</v>
      </c>
      <c r="M1656" s="43">
        <v>23</v>
      </c>
      <c r="N1656" s="12" t="s">
        <v>1344</v>
      </c>
      <c r="P1656" s="10">
        <v>240</v>
      </c>
      <c r="T1656" s="10">
        <v>90</v>
      </c>
      <c r="V1656" s="45">
        <v>1</v>
      </c>
      <c r="X1656" s="29">
        <v>11.5</v>
      </c>
      <c r="Y1656" s="54" t="s">
        <v>30</v>
      </c>
      <c r="Z1656" t="s">
        <v>1345</v>
      </c>
    </row>
    <row r="1657" spans="1:27" ht="23.1" customHeight="1" x14ac:dyDescent="0.25">
      <c r="A1657" s="20" t="s">
        <v>1236</v>
      </c>
      <c r="B1657" s="7" t="s">
        <v>137</v>
      </c>
      <c r="C1657" s="7">
        <v>9</v>
      </c>
      <c r="D1657" s="7" t="s">
        <v>1346</v>
      </c>
      <c r="E1657" s="41" t="s">
        <v>595</v>
      </c>
      <c r="F1657" s="41" t="e">
        <v>#N/A</v>
      </c>
      <c r="G1657" s="7" t="s">
        <v>123</v>
      </c>
      <c r="H1657" s="7">
        <v>10</v>
      </c>
      <c r="I1657" s="10"/>
      <c r="J1657" s="10">
        <v>2</v>
      </c>
      <c r="K1657" s="10">
        <v>2</v>
      </c>
      <c r="L1657" s="43">
        <v>5</v>
      </c>
      <c r="M1657" s="43">
        <v>5</v>
      </c>
      <c r="V1657" s="45">
        <v>1</v>
      </c>
      <c r="W1657" s="14">
        <v>3.75</v>
      </c>
      <c r="X1657" s="29">
        <v>3.8</v>
      </c>
      <c r="Y1657" s="54" t="s">
        <v>30</v>
      </c>
      <c r="Z1657" t="s">
        <v>1347</v>
      </c>
      <c r="AA1657" t="s">
        <v>957</v>
      </c>
    </row>
    <row r="1658" spans="1:27" ht="23.1" customHeight="1" x14ac:dyDescent="0.25">
      <c r="A1658" s="20" t="s">
        <v>1236</v>
      </c>
      <c r="B1658" s="7" t="s">
        <v>137</v>
      </c>
      <c r="C1658" s="7">
        <v>9</v>
      </c>
      <c r="D1658" s="7" t="s">
        <v>1346</v>
      </c>
      <c r="E1658" s="41" t="s">
        <v>595</v>
      </c>
      <c r="F1658" s="41" t="e">
        <v>#N/A</v>
      </c>
      <c r="G1658" s="7" t="s">
        <v>123</v>
      </c>
      <c r="H1658" s="7">
        <v>15</v>
      </c>
      <c r="I1658" s="10"/>
      <c r="K1658" s="10">
        <v>2</v>
      </c>
      <c r="L1658" s="43">
        <v>5</v>
      </c>
      <c r="M1658" s="43">
        <v>5</v>
      </c>
      <c r="V1658" s="45">
        <v>1</v>
      </c>
      <c r="W1658" s="14">
        <v>3.75</v>
      </c>
      <c r="X1658" s="29">
        <v>3.8</v>
      </c>
      <c r="Y1658" s="54" t="s">
        <v>30</v>
      </c>
      <c r="Z1658" t="s">
        <v>1347</v>
      </c>
      <c r="AA1658" t="s">
        <v>957</v>
      </c>
    </row>
    <row r="1659" spans="1:27" ht="23.1" customHeight="1" x14ac:dyDescent="0.25">
      <c r="A1659" s="20" t="s">
        <v>1236</v>
      </c>
      <c r="B1659" s="7" t="s">
        <v>137</v>
      </c>
      <c r="C1659" s="7">
        <v>9</v>
      </c>
      <c r="D1659" s="7" t="s">
        <v>1346</v>
      </c>
      <c r="E1659" s="41" t="s">
        <v>595</v>
      </c>
      <c r="F1659" s="41" t="e">
        <v>#N/A</v>
      </c>
      <c r="G1659" s="7" t="s">
        <v>123</v>
      </c>
      <c r="H1659" s="7">
        <v>20</v>
      </c>
      <c r="I1659" s="10"/>
      <c r="K1659" s="10">
        <v>2</v>
      </c>
      <c r="L1659" s="43">
        <v>5</v>
      </c>
      <c r="M1659" s="43">
        <v>5</v>
      </c>
      <c r="V1659" s="45">
        <v>1</v>
      </c>
      <c r="W1659" s="14">
        <v>3.75</v>
      </c>
      <c r="X1659" s="29">
        <v>3.8</v>
      </c>
      <c r="Y1659" s="54" t="s">
        <v>30</v>
      </c>
      <c r="Z1659" t="s">
        <v>1347</v>
      </c>
      <c r="AA1659" t="s">
        <v>957</v>
      </c>
    </row>
    <row r="1660" spans="1:27" ht="23.1" customHeight="1" x14ac:dyDescent="0.25">
      <c r="A1660" s="20" t="s">
        <v>1236</v>
      </c>
      <c r="B1660" s="7" t="s">
        <v>137</v>
      </c>
      <c r="C1660" s="7">
        <v>9</v>
      </c>
      <c r="D1660" s="7" t="s">
        <v>1346</v>
      </c>
      <c r="E1660" s="41" t="s">
        <v>595</v>
      </c>
      <c r="F1660" s="41" t="e">
        <v>#N/A</v>
      </c>
      <c r="G1660" s="7" t="s">
        <v>123</v>
      </c>
      <c r="H1660" s="7">
        <v>25</v>
      </c>
      <c r="I1660" s="10"/>
      <c r="K1660" s="10">
        <v>2</v>
      </c>
      <c r="L1660" s="43">
        <v>5</v>
      </c>
      <c r="M1660" s="43">
        <v>5</v>
      </c>
      <c r="V1660" s="45">
        <v>1</v>
      </c>
      <c r="W1660" s="14">
        <v>3.75</v>
      </c>
      <c r="X1660" s="29">
        <v>3.8</v>
      </c>
      <c r="Y1660" s="54" t="s">
        <v>30</v>
      </c>
      <c r="Z1660" t="s">
        <v>1347</v>
      </c>
      <c r="AA1660" t="s">
        <v>957</v>
      </c>
    </row>
    <row r="1661" spans="1:27" ht="23.1" customHeight="1" x14ac:dyDescent="0.25">
      <c r="A1661" s="20" t="s">
        <v>1221</v>
      </c>
      <c r="B1661" s="7" t="s">
        <v>137</v>
      </c>
      <c r="C1661" s="7">
        <v>10</v>
      </c>
      <c r="D1661" s="7" t="s">
        <v>946</v>
      </c>
      <c r="E1661" s="41" t="s">
        <v>947</v>
      </c>
      <c r="F1661" s="41" t="s">
        <v>947</v>
      </c>
      <c r="G1661" s="7" t="s">
        <v>300</v>
      </c>
      <c r="H1661" s="7">
        <v>20</v>
      </c>
      <c r="I1661" s="10" t="s">
        <v>2234</v>
      </c>
      <c r="K1661" s="10">
        <v>1.7</v>
      </c>
      <c r="L1661" s="43">
        <v>23</v>
      </c>
      <c r="M1661" s="43">
        <v>28</v>
      </c>
      <c r="N1661" s="12" t="s">
        <v>1348</v>
      </c>
      <c r="P1661" s="10">
        <v>360</v>
      </c>
      <c r="T1661" s="10">
        <v>90</v>
      </c>
      <c r="V1661" s="45"/>
      <c r="X1661" s="29">
        <v>10.199999999999999</v>
      </c>
      <c r="Y1661" s="54" t="s">
        <v>30</v>
      </c>
    </row>
    <row r="1662" spans="1:27" ht="23.1" customHeight="1" x14ac:dyDescent="0.25">
      <c r="A1662" s="20" t="s">
        <v>1221</v>
      </c>
      <c r="B1662" s="7" t="s">
        <v>137</v>
      </c>
      <c r="C1662" s="7">
        <v>9</v>
      </c>
      <c r="D1662" s="7" t="s">
        <v>911</v>
      </c>
      <c r="E1662" s="41" t="s">
        <v>912</v>
      </c>
      <c r="F1662" s="41" t="s">
        <v>912</v>
      </c>
      <c r="G1662" s="7" t="s">
        <v>154</v>
      </c>
      <c r="H1662" s="7">
        <v>20</v>
      </c>
      <c r="I1662" s="10" t="s">
        <v>2235</v>
      </c>
      <c r="J1662" s="10">
        <v>5</v>
      </c>
      <c r="K1662" s="10">
        <v>5.8</v>
      </c>
      <c r="L1662" s="43">
        <v>28</v>
      </c>
      <c r="M1662" s="43">
        <v>28</v>
      </c>
      <c r="N1662" s="12" t="s">
        <v>429</v>
      </c>
      <c r="P1662" s="10">
        <v>140</v>
      </c>
      <c r="T1662" s="10">
        <v>60</v>
      </c>
      <c r="V1662" s="45"/>
      <c r="X1662" s="29">
        <v>13.5</v>
      </c>
      <c r="Y1662" s="54" t="s">
        <v>30</v>
      </c>
    </row>
    <row r="1663" spans="1:27" ht="23.1" customHeight="1" x14ac:dyDescent="0.25">
      <c r="A1663" s="20" t="s">
        <v>1349</v>
      </c>
      <c r="B1663" s="7" t="s">
        <v>137</v>
      </c>
      <c r="C1663" s="7">
        <v>76</v>
      </c>
      <c r="D1663" s="7" t="s">
        <v>1350</v>
      </c>
      <c r="E1663" s="41" t="s">
        <v>1351</v>
      </c>
      <c r="F1663" s="41" t="s">
        <v>1351</v>
      </c>
      <c r="G1663" s="7" t="s">
        <v>102</v>
      </c>
      <c r="H1663" s="7">
        <v>25</v>
      </c>
      <c r="I1663" s="10" t="s">
        <v>1981</v>
      </c>
      <c r="J1663" s="10">
        <v>6</v>
      </c>
      <c r="K1663" s="10">
        <v>6</v>
      </c>
      <c r="L1663" s="43">
        <v>31</v>
      </c>
      <c r="M1663" s="43">
        <v>31</v>
      </c>
      <c r="N1663" s="12" t="s">
        <v>1352</v>
      </c>
      <c r="P1663" s="10">
        <v>55</v>
      </c>
      <c r="T1663" s="10">
        <v>60</v>
      </c>
      <c r="V1663" s="45"/>
      <c r="X1663" s="29">
        <v>5.5</v>
      </c>
      <c r="Y1663" s="54" t="s">
        <v>12</v>
      </c>
      <c r="Z1663" t="s">
        <v>1353</v>
      </c>
    </row>
    <row r="1664" spans="1:27" ht="23.1" customHeight="1" x14ac:dyDescent="0.25">
      <c r="A1664" s="20" t="s">
        <v>1349</v>
      </c>
      <c r="B1664" s="7" t="s">
        <v>137</v>
      </c>
      <c r="C1664" s="7">
        <v>76</v>
      </c>
      <c r="D1664" s="7" t="s">
        <v>1350</v>
      </c>
      <c r="E1664" s="41" t="s">
        <v>1351</v>
      </c>
      <c r="F1664" s="41" t="s">
        <v>1351</v>
      </c>
      <c r="G1664" s="7" t="s">
        <v>102</v>
      </c>
      <c r="H1664" s="7">
        <v>30</v>
      </c>
      <c r="I1664" s="10" t="s">
        <v>1863</v>
      </c>
      <c r="J1664" s="10">
        <v>10</v>
      </c>
      <c r="K1664" s="10">
        <v>20</v>
      </c>
      <c r="L1664" s="43">
        <v>31</v>
      </c>
      <c r="M1664" s="43">
        <v>31</v>
      </c>
      <c r="N1664" s="12" t="s">
        <v>1354</v>
      </c>
      <c r="P1664" s="10">
        <v>30</v>
      </c>
      <c r="T1664" s="10">
        <v>60</v>
      </c>
      <c r="V1664" s="45">
        <v>1</v>
      </c>
      <c r="X1664" s="29">
        <v>11</v>
      </c>
      <c r="Y1664" s="54" t="s">
        <v>12</v>
      </c>
    </row>
    <row r="1665" spans="1:27" ht="23.1" customHeight="1" x14ac:dyDescent="0.25">
      <c r="A1665" s="20" t="s">
        <v>329</v>
      </c>
      <c r="B1665" s="7" t="s">
        <v>137</v>
      </c>
      <c r="C1665" s="7">
        <v>9</v>
      </c>
      <c r="D1665" s="7" t="s">
        <v>229</v>
      </c>
      <c r="E1665" s="41" t="s">
        <v>230</v>
      </c>
      <c r="F1665" s="41" t="s">
        <v>230</v>
      </c>
      <c r="G1665" s="7" t="s">
        <v>154</v>
      </c>
      <c r="H1665" s="7">
        <v>25</v>
      </c>
      <c r="I1665" s="10" t="s">
        <v>1894</v>
      </c>
      <c r="L1665" s="43">
        <v>9</v>
      </c>
      <c r="M1665" s="43"/>
      <c r="N1665" s="12" t="s">
        <v>275</v>
      </c>
      <c r="P1665" s="10">
        <v>140</v>
      </c>
      <c r="T1665" s="10">
        <v>60</v>
      </c>
      <c r="V1665" s="45"/>
      <c r="W1665" s="14">
        <v>2</v>
      </c>
      <c r="X1665" s="29">
        <v>2</v>
      </c>
      <c r="Y1665" s="54" t="s">
        <v>23</v>
      </c>
      <c r="Z1665" t="s">
        <v>1355</v>
      </c>
      <c r="AA1665" t="s">
        <v>957</v>
      </c>
    </row>
    <row r="1666" spans="1:27" ht="23.1" customHeight="1" x14ac:dyDescent="0.25">
      <c r="A1666" s="20" t="s">
        <v>575</v>
      </c>
      <c r="B1666" s="7" t="s">
        <v>137</v>
      </c>
      <c r="C1666" s="7">
        <v>9</v>
      </c>
      <c r="D1666" s="7" t="s">
        <v>624</v>
      </c>
      <c r="E1666" s="41" t="s">
        <v>625</v>
      </c>
      <c r="F1666" s="41" t="s">
        <v>625</v>
      </c>
      <c r="G1666" s="7" t="s">
        <v>300</v>
      </c>
      <c r="H1666" s="7">
        <v>45</v>
      </c>
      <c r="I1666" s="10" t="s">
        <v>1991</v>
      </c>
      <c r="L1666" s="43">
        <v>9</v>
      </c>
      <c r="M1666" s="43"/>
      <c r="N1666" s="12" t="s">
        <v>567</v>
      </c>
      <c r="P1666" s="10">
        <v>55</v>
      </c>
      <c r="T1666" s="10">
        <v>60</v>
      </c>
      <c r="V1666" s="45"/>
      <c r="W1666" s="14">
        <v>2</v>
      </c>
      <c r="X1666" s="29">
        <v>2</v>
      </c>
      <c r="Y1666" s="54" t="s">
        <v>23</v>
      </c>
      <c r="Z1666" t="s">
        <v>926</v>
      </c>
      <c r="AA1666" t="s">
        <v>957</v>
      </c>
    </row>
    <row r="1667" spans="1:27" ht="23.1" customHeight="1" x14ac:dyDescent="0.25">
      <c r="A1667" s="20" t="s">
        <v>1333</v>
      </c>
      <c r="B1667" s="7" t="s">
        <v>113</v>
      </c>
      <c r="C1667" s="7">
        <v>76</v>
      </c>
      <c r="D1667" s="7" t="s">
        <v>1251</v>
      </c>
      <c r="E1667" s="41" t="s">
        <v>625</v>
      </c>
      <c r="F1667" s="41" t="s">
        <v>625</v>
      </c>
      <c r="G1667" s="7" t="s">
        <v>102</v>
      </c>
      <c r="H1667" s="7">
        <v>10</v>
      </c>
      <c r="I1667" s="10"/>
      <c r="J1667" s="10">
        <v>8</v>
      </c>
      <c r="K1667" s="10">
        <v>8</v>
      </c>
      <c r="L1667" s="43">
        <v>28</v>
      </c>
      <c r="M1667" s="43">
        <v>28</v>
      </c>
      <c r="N1667" s="12" t="s">
        <v>596</v>
      </c>
      <c r="V1667" s="45"/>
      <c r="W1667" s="14">
        <v>4</v>
      </c>
      <c r="X1667" s="29">
        <v>4</v>
      </c>
      <c r="Y1667" s="54" t="s">
        <v>12</v>
      </c>
      <c r="Z1667" t="s">
        <v>1356</v>
      </c>
      <c r="AA1667" t="s">
        <v>957</v>
      </c>
    </row>
    <row r="1668" spans="1:27" ht="23.1" customHeight="1" x14ac:dyDescent="0.25">
      <c r="A1668" s="20" t="s">
        <v>1236</v>
      </c>
      <c r="B1668" s="7" t="s">
        <v>110</v>
      </c>
      <c r="C1668" s="7">
        <v>79</v>
      </c>
      <c r="D1668" s="7" t="s">
        <v>152</v>
      </c>
      <c r="E1668" s="41" t="s">
        <v>1247</v>
      </c>
      <c r="F1668" s="41" t="s">
        <v>1247</v>
      </c>
      <c r="G1668" s="7" t="s">
        <v>154</v>
      </c>
      <c r="H1668" s="7">
        <v>45</v>
      </c>
      <c r="I1668" s="10" t="s">
        <v>2236</v>
      </c>
      <c r="J1668" s="10">
        <v>1</v>
      </c>
      <c r="K1668" s="10">
        <v>0.4</v>
      </c>
      <c r="L1668" s="43">
        <v>5</v>
      </c>
      <c r="M1668" s="43"/>
      <c r="N1668" s="12" t="s">
        <v>675</v>
      </c>
      <c r="P1668" s="10">
        <v>2460</v>
      </c>
      <c r="Q1668" s="10">
        <v>90</v>
      </c>
      <c r="T1668" s="10">
        <v>240</v>
      </c>
      <c r="V1668" s="45"/>
      <c r="X1668" s="29">
        <v>16.399999999999999</v>
      </c>
      <c r="Y1668" s="54" t="s">
        <v>5</v>
      </c>
      <c r="Z1668" t="s">
        <v>1357</v>
      </c>
    </row>
    <row r="1669" spans="1:27" ht="23.1" customHeight="1" x14ac:dyDescent="0.25">
      <c r="A1669" s="20" t="s">
        <v>1221</v>
      </c>
      <c r="B1669" s="7" t="s">
        <v>113</v>
      </c>
      <c r="C1669" s="7">
        <v>79</v>
      </c>
      <c r="D1669" s="7" t="s">
        <v>152</v>
      </c>
      <c r="E1669" s="41" t="s">
        <v>1247</v>
      </c>
      <c r="F1669" s="41" t="s">
        <v>1247</v>
      </c>
      <c r="G1669" s="7" t="s">
        <v>154</v>
      </c>
      <c r="H1669" s="7">
        <v>45</v>
      </c>
      <c r="I1669" s="10" t="s">
        <v>2236</v>
      </c>
      <c r="J1669" s="10">
        <v>2</v>
      </c>
      <c r="K1669" s="10">
        <v>0.6</v>
      </c>
      <c r="L1669" s="43">
        <v>5</v>
      </c>
      <c r="M1669" s="43"/>
      <c r="N1669" s="12" t="s">
        <v>675</v>
      </c>
      <c r="P1669" s="10">
        <v>2460</v>
      </c>
      <c r="Q1669" s="10">
        <v>90</v>
      </c>
      <c r="S1669" s="11">
        <v>1</v>
      </c>
      <c r="T1669" s="10">
        <v>240</v>
      </c>
      <c r="V1669" s="45"/>
      <c r="W1669" s="14">
        <v>2</v>
      </c>
      <c r="X1669" s="29">
        <v>28.1</v>
      </c>
      <c r="Y1669" s="54" t="s">
        <v>19</v>
      </c>
      <c r="Z1669" t="s">
        <v>1358</v>
      </c>
    </row>
    <row r="1670" spans="1:27" ht="23.1" customHeight="1" x14ac:dyDescent="0.25">
      <c r="A1670" s="20" t="s">
        <v>796</v>
      </c>
      <c r="B1670" s="7" t="s">
        <v>137</v>
      </c>
      <c r="C1670" s="7">
        <v>59</v>
      </c>
      <c r="D1670" s="7" t="s">
        <v>966</v>
      </c>
      <c r="E1670" s="41" t="s">
        <v>967</v>
      </c>
      <c r="F1670" s="41" t="s">
        <v>967</v>
      </c>
      <c r="G1670" s="7" t="s">
        <v>154</v>
      </c>
      <c r="H1670" s="7">
        <v>53</v>
      </c>
      <c r="I1670" s="10"/>
      <c r="J1670" s="10">
        <v>40</v>
      </c>
      <c r="K1670" s="10">
        <v>7</v>
      </c>
      <c r="L1670" s="43">
        <v>5</v>
      </c>
      <c r="M1670" s="43">
        <v>9</v>
      </c>
      <c r="N1670" s="12" t="s">
        <v>247</v>
      </c>
      <c r="V1670" s="45">
        <v>1</v>
      </c>
      <c r="W1670" s="14">
        <v>2</v>
      </c>
      <c r="X1670" s="32">
        <v>2</v>
      </c>
      <c r="Y1670" s="64" t="s">
        <v>1847</v>
      </c>
      <c r="Z1670" t="s">
        <v>926</v>
      </c>
      <c r="AA1670" s="1" t="s">
        <v>238</v>
      </c>
    </row>
    <row r="1671" spans="1:27" ht="23.1" customHeight="1" x14ac:dyDescent="0.25">
      <c r="A1671" s="20" t="s">
        <v>909</v>
      </c>
      <c r="B1671" s="7" t="s">
        <v>110</v>
      </c>
      <c r="C1671" s="7">
        <v>107</v>
      </c>
      <c r="D1671" s="7" t="s">
        <v>173</v>
      </c>
      <c r="E1671" s="41" t="s">
        <v>1246</v>
      </c>
      <c r="F1671" s="41" t="s">
        <v>1246</v>
      </c>
      <c r="G1671" s="7" t="s">
        <v>154</v>
      </c>
      <c r="H1671" s="7">
        <v>45</v>
      </c>
      <c r="I1671" s="10" t="s">
        <v>1866</v>
      </c>
      <c r="J1671" s="10">
        <v>0.2</v>
      </c>
      <c r="K1671" s="10">
        <v>0.2</v>
      </c>
      <c r="L1671" s="43">
        <v>26</v>
      </c>
      <c r="M1671" s="43"/>
      <c r="N1671" s="12" t="s">
        <v>421</v>
      </c>
      <c r="P1671" s="10">
        <v>1900</v>
      </c>
      <c r="Q1671" s="10">
        <v>90</v>
      </c>
      <c r="S1671" s="11">
        <v>1</v>
      </c>
      <c r="T1671" s="10">
        <v>180</v>
      </c>
      <c r="V1671" s="45">
        <v>1</v>
      </c>
      <c r="X1671" s="29">
        <v>10.8</v>
      </c>
      <c r="Y1671" s="54" t="s">
        <v>13</v>
      </c>
      <c r="Z1671" t="s">
        <v>1359</v>
      </c>
      <c r="AA1671" s="1" t="s">
        <v>238</v>
      </c>
    </row>
    <row r="1672" spans="1:27" ht="23.1" customHeight="1" x14ac:dyDescent="0.25">
      <c r="A1672" s="20" t="s">
        <v>909</v>
      </c>
      <c r="B1672" s="7" t="s">
        <v>113</v>
      </c>
      <c r="C1672" s="7">
        <v>107</v>
      </c>
      <c r="D1672" s="7" t="s">
        <v>173</v>
      </c>
      <c r="E1672" s="41" t="s">
        <v>1246</v>
      </c>
      <c r="F1672" s="41" t="s">
        <v>1246</v>
      </c>
      <c r="G1672" s="7" t="s">
        <v>154</v>
      </c>
      <c r="H1672" s="7">
        <v>45</v>
      </c>
      <c r="I1672" s="10" t="s">
        <v>1866</v>
      </c>
      <c r="J1672" s="10">
        <v>1</v>
      </c>
      <c r="K1672" s="10">
        <v>0.6</v>
      </c>
      <c r="L1672" s="43">
        <v>26</v>
      </c>
      <c r="M1672" s="43"/>
      <c r="N1672" s="12" t="s">
        <v>421</v>
      </c>
      <c r="P1672" s="10">
        <v>1900</v>
      </c>
      <c r="Q1672" s="10">
        <v>90</v>
      </c>
      <c r="T1672" s="10">
        <v>180</v>
      </c>
      <c r="V1672" s="45"/>
      <c r="X1672" s="29">
        <v>19</v>
      </c>
      <c r="Y1672" s="54" t="s">
        <v>13</v>
      </c>
    </row>
    <row r="1673" spans="1:27" ht="23.1" customHeight="1" x14ac:dyDescent="0.25">
      <c r="A1673" s="20" t="s">
        <v>909</v>
      </c>
      <c r="B1673" s="7" t="s">
        <v>113</v>
      </c>
      <c r="C1673" s="7">
        <v>21</v>
      </c>
      <c r="D1673" s="7" t="s">
        <v>321</v>
      </c>
      <c r="E1673" s="41" t="s">
        <v>322</v>
      </c>
      <c r="F1673" s="41" t="s">
        <v>322</v>
      </c>
      <c r="G1673" s="7" t="s">
        <v>323</v>
      </c>
      <c r="H1673" s="7">
        <v>30</v>
      </c>
      <c r="I1673" s="10" t="s">
        <v>2078</v>
      </c>
      <c r="J1673" s="10">
        <v>1</v>
      </c>
      <c r="K1673" s="10">
        <v>0.3</v>
      </c>
      <c r="L1673" s="43">
        <v>9</v>
      </c>
      <c r="M1673" s="43"/>
      <c r="N1673" s="12" t="s">
        <v>1273</v>
      </c>
      <c r="P1673" s="10">
        <v>360</v>
      </c>
      <c r="Q1673" s="10">
        <v>120</v>
      </c>
      <c r="S1673" s="11">
        <v>1</v>
      </c>
      <c r="T1673" s="10">
        <v>180</v>
      </c>
      <c r="V1673" s="45">
        <v>1</v>
      </c>
      <c r="X1673" s="29">
        <v>6.8</v>
      </c>
      <c r="Y1673" s="54" t="s">
        <v>58</v>
      </c>
    </row>
    <row r="1674" spans="1:27" ht="23.1" customHeight="1" x14ac:dyDescent="0.25">
      <c r="A1674" s="20" t="s">
        <v>909</v>
      </c>
      <c r="B1674" s="7" t="s">
        <v>113</v>
      </c>
      <c r="C1674" s="7">
        <v>55</v>
      </c>
      <c r="D1674" s="7" t="s">
        <v>923</v>
      </c>
      <c r="E1674" s="41" t="s">
        <v>139</v>
      </c>
      <c r="F1674" s="41" t="s">
        <v>139</v>
      </c>
      <c r="G1674" s="7" t="s">
        <v>250</v>
      </c>
      <c r="H1674" s="7">
        <v>25</v>
      </c>
      <c r="I1674" s="10" t="s">
        <v>2334</v>
      </c>
      <c r="J1674" s="10">
        <v>4</v>
      </c>
      <c r="K1674" s="10">
        <v>5</v>
      </c>
      <c r="L1674" s="43">
        <v>28</v>
      </c>
      <c r="M1674" s="43">
        <v>26</v>
      </c>
      <c r="N1674" s="12" t="s">
        <v>131</v>
      </c>
      <c r="P1674" s="10">
        <v>150</v>
      </c>
      <c r="T1674" s="10">
        <v>60</v>
      </c>
      <c r="V1674" s="45">
        <v>1</v>
      </c>
      <c r="W1674" s="14">
        <v>2</v>
      </c>
      <c r="X1674" s="29">
        <v>15.5</v>
      </c>
      <c r="Y1674" s="54" t="s">
        <v>44</v>
      </c>
      <c r="Z1674" t="s">
        <v>1011</v>
      </c>
      <c r="AA1674" s="1" t="s">
        <v>238</v>
      </c>
    </row>
    <row r="1675" spans="1:27" ht="23.1" customHeight="1" x14ac:dyDescent="0.25">
      <c r="A1675" s="20" t="s">
        <v>1360</v>
      </c>
      <c r="B1675" s="7" t="s">
        <v>110</v>
      </c>
      <c r="C1675" s="7">
        <v>10</v>
      </c>
      <c r="D1675" s="7" t="s">
        <v>217</v>
      </c>
      <c r="E1675" s="41" t="s">
        <v>218</v>
      </c>
      <c r="F1675" s="41" t="s">
        <v>218</v>
      </c>
      <c r="G1675" s="7" t="s">
        <v>107</v>
      </c>
      <c r="H1675" s="7">
        <v>55</v>
      </c>
      <c r="I1675" s="10" t="s">
        <v>2227</v>
      </c>
      <c r="J1675" s="10">
        <v>2</v>
      </c>
      <c r="K1675" s="10">
        <v>2</v>
      </c>
      <c r="L1675" s="43">
        <v>31</v>
      </c>
      <c r="M1675" s="43">
        <v>31</v>
      </c>
      <c r="N1675" s="12" t="s">
        <v>219</v>
      </c>
      <c r="P1675" s="10">
        <v>270</v>
      </c>
      <c r="T1675" s="10">
        <v>90</v>
      </c>
      <c r="V1675" s="45"/>
      <c r="X1675" s="29">
        <v>9</v>
      </c>
      <c r="Y1675" s="54" t="s">
        <v>30</v>
      </c>
      <c r="Z1675" t="s">
        <v>1361</v>
      </c>
      <c r="AA1675" t="s">
        <v>957</v>
      </c>
    </row>
    <row r="1676" spans="1:27" ht="23.1" customHeight="1" x14ac:dyDescent="0.25">
      <c r="A1676" s="20" t="s">
        <v>1360</v>
      </c>
      <c r="B1676" s="7" t="s">
        <v>110</v>
      </c>
      <c r="C1676" s="7">
        <v>9</v>
      </c>
      <c r="D1676" s="7" t="s">
        <v>1362</v>
      </c>
      <c r="E1676" s="41" t="s">
        <v>409</v>
      </c>
      <c r="F1676" s="41" t="s">
        <v>409</v>
      </c>
      <c r="G1676" s="7" t="s">
        <v>102</v>
      </c>
      <c r="H1676" s="7">
        <v>10</v>
      </c>
      <c r="I1676" s="10" t="s">
        <v>1952</v>
      </c>
      <c r="K1676" s="10">
        <v>1</v>
      </c>
      <c r="L1676" s="43">
        <v>5</v>
      </c>
      <c r="M1676" s="43"/>
      <c r="N1676" s="12" t="s">
        <v>596</v>
      </c>
      <c r="P1676" s="10">
        <v>35</v>
      </c>
      <c r="T1676" s="10">
        <v>60</v>
      </c>
      <c r="V1676" s="45">
        <v>1</v>
      </c>
      <c r="X1676" s="29">
        <v>1.6</v>
      </c>
      <c r="Y1676" s="54" t="s">
        <v>30</v>
      </c>
      <c r="Z1676" t="s">
        <v>1363</v>
      </c>
      <c r="AA1676" t="s">
        <v>957</v>
      </c>
    </row>
    <row r="1677" spans="1:27" ht="23.1" customHeight="1" x14ac:dyDescent="0.25">
      <c r="A1677" s="20" t="s">
        <v>1360</v>
      </c>
      <c r="B1677" s="7" t="s">
        <v>110</v>
      </c>
      <c r="C1677" s="7">
        <v>9</v>
      </c>
      <c r="D1677" s="7" t="s">
        <v>1362</v>
      </c>
      <c r="E1677" s="41" t="s">
        <v>409</v>
      </c>
      <c r="F1677" s="41" t="s">
        <v>409</v>
      </c>
      <c r="G1677" s="7" t="s">
        <v>102</v>
      </c>
      <c r="H1677" s="7">
        <v>15</v>
      </c>
      <c r="I1677" s="10" t="s">
        <v>1852</v>
      </c>
      <c r="K1677" s="10">
        <v>1</v>
      </c>
      <c r="L1677" s="43">
        <v>5</v>
      </c>
      <c r="M1677" s="43"/>
      <c r="N1677" s="12" t="s">
        <v>596</v>
      </c>
      <c r="P1677" s="10">
        <v>35</v>
      </c>
      <c r="T1677" s="10">
        <v>90</v>
      </c>
      <c r="V1677" s="45">
        <v>1</v>
      </c>
      <c r="X1677" s="29">
        <v>2.1</v>
      </c>
      <c r="Y1677" s="54" t="s">
        <v>30</v>
      </c>
    </row>
    <row r="1678" spans="1:27" ht="23.1" customHeight="1" x14ac:dyDescent="0.25">
      <c r="A1678" s="20" t="s">
        <v>1360</v>
      </c>
      <c r="B1678" s="7" t="s">
        <v>110</v>
      </c>
      <c r="C1678" s="7">
        <v>9</v>
      </c>
      <c r="D1678" s="7" t="s">
        <v>1362</v>
      </c>
      <c r="E1678" s="41" t="s">
        <v>409</v>
      </c>
      <c r="F1678" s="41" t="s">
        <v>409</v>
      </c>
      <c r="G1678" s="7" t="s">
        <v>102</v>
      </c>
      <c r="H1678" s="7">
        <v>20</v>
      </c>
      <c r="I1678" s="10" t="s">
        <v>2087</v>
      </c>
      <c r="K1678" s="10">
        <v>1</v>
      </c>
      <c r="L1678" s="43">
        <v>5</v>
      </c>
      <c r="M1678" s="43"/>
      <c r="N1678" s="12" t="s">
        <v>596</v>
      </c>
      <c r="P1678" s="10">
        <v>25</v>
      </c>
      <c r="T1678" s="10">
        <v>60</v>
      </c>
      <c r="V1678" s="45">
        <v>1</v>
      </c>
      <c r="X1678" s="29">
        <v>1.4</v>
      </c>
      <c r="Y1678" s="54" t="s">
        <v>30</v>
      </c>
    </row>
    <row r="1679" spans="1:27" ht="23.1" customHeight="1" x14ac:dyDescent="0.25">
      <c r="A1679" s="20" t="s">
        <v>1360</v>
      </c>
      <c r="B1679" s="7" t="s">
        <v>110</v>
      </c>
      <c r="C1679" s="7">
        <v>9</v>
      </c>
      <c r="D1679" s="7" t="s">
        <v>1364</v>
      </c>
      <c r="E1679" s="41" t="s">
        <v>409</v>
      </c>
      <c r="F1679" s="41" t="s">
        <v>409</v>
      </c>
      <c r="G1679" s="7" t="s">
        <v>102</v>
      </c>
      <c r="H1679" s="7">
        <v>10</v>
      </c>
      <c r="I1679" s="10" t="s">
        <v>1952</v>
      </c>
      <c r="K1679" s="10">
        <v>1</v>
      </c>
      <c r="L1679" s="43">
        <v>26</v>
      </c>
      <c r="M1679" s="43"/>
      <c r="N1679" s="12" t="s">
        <v>596</v>
      </c>
      <c r="P1679" s="10">
        <v>40</v>
      </c>
      <c r="T1679" s="10">
        <v>60</v>
      </c>
      <c r="V1679" s="45">
        <v>1</v>
      </c>
      <c r="X1679" s="29">
        <v>1.7</v>
      </c>
      <c r="Y1679" s="54" t="s">
        <v>30</v>
      </c>
    </row>
    <row r="1680" spans="1:27" ht="23.1" customHeight="1" x14ac:dyDescent="0.25">
      <c r="A1680" s="20" t="s">
        <v>1360</v>
      </c>
      <c r="B1680" s="7" t="s">
        <v>110</v>
      </c>
      <c r="C1680" s="7">
        <v>9</v>
      </c>
      <c r="D1680" s="7" t="s">
        <v>1364</v>
      </c>
      <c r="E1680" s="41" t="s">
        <v>409</v>
      </c>
      <c r="F1680" s="41" t="s">
        <v>409</v>
      </c>
      <c r="G1680" s="7" t="s">
        <v>102</v>
      </c>
      <c r="H1680" s="7">
        <v>15</v>
      </c>
      <c r="I1680" s="10" t="s">
        <v>2205</v>
      </c>
      <c r="K1680" s="10">
        <v>1</v>
      </c>
      <c r="L1680" s="43"/>
      <c r="M1680" s="43">
        <v>23</v>
      </c>
      <c r="N1680" s="12" t="s">
        <v>231</v>
      </c>
      <c r="P1680" s="10">
        <v>90</v>
      </c>
      <c r="T1680" s="10">
        <v>90</v>
      </c>
      <c r="V1680" s="45">
        <v>1</v>
      </c>
      <c r="X1680" s="29">
        <v>3</v>
      </c>
      <c r="Y1680" s="54" t="s">
        <v>30</v>
      </c>
    </row>
    <row r="1681" spans="1:27" ht="23.1" customHeight="1" x14ac:dyDescent="0.25">
      <c r="A1681" s="20" t="s">
        <v>1360</v>
      </c>
      <c r="B1681" s="7" t="s">
        <v>110</v>
      </c>
      <c r="C1681" s="7">
        <v>9</v>
      </c>
      <c r="D1681" s="7" t="s">
        <v>1287</v>
      </c>
      <c r="E1681" s="41" t="s">
        <v>1288</v>
      </c>
      <c r="F1681" s="41" t="s">
        <v>1367</v>
      </c>
      <c r="G1681" s="7" t="s">
        <v>123</v>
      </c>
      <c r="H1681" s="7">
        <v>10</v>
      </c>
      <c r="I1681" s="10" t="s">
        <v>2215</v>
      </c>
      <c r="J1681" s="10">
        <v>1.6</v>
      </c>
      <c r="K1681" s="10">
        <v>1.7</v>
      </c>
      <c r="L1681" s="43">
        <v>23</v>
      </c>
      <c r="M1681" s="43">
        <v>5</v>
      </c>
      <c r="N1681" s="12" t="s">
        <v>1365</v>
      </c>
      <c r="P1681" s="10">
        <v>390</v>
      </c>
      <c r="T1681" s="10">
        <v>90</v>
      </c>
      <c r="V1681" s="45"/>
      <c r="X1681" s="29">
        <v>11.1</v>
      </c>
      <c r="Y1681" s="54" t="s">
        <v>30</v>
      </c>
    </row>
    <row r="1682" spans="1:27" ht="23.1" customHeight="1" x14ac:dyDescent="0.25">
      <c r="A1682" s="20" t="s">
        <v>1360</v>
      </c>
      <c r="B1682" s="7" t="s">
        <v>110</v>
      </c>
      <c r="C1682" s="7">
        <v>9</v>
      </c>
      <c r="D1682" s="7" t="s">
        <v>1366</v>
      </c>
      <c r="E1682" s="41" t="s">
        <v>1367</v>
      </c>
      <c r="F1682" s="41" t="s">
        <v>1367</v>
      </c>
      <c r="G1682" s="7" t="s">
        <v>123</v>
      </c>
      <c r="H1682" s="7">
        <v>10</v>
      </c>
      <c r="I1682" s="10" t="s">
        <v>2215</v>
      </c>
      <c r="K1682" s="10">
        <v>0.6</v>
      </c>
      <c r="L1682" s="43">
        <v>5</v>
      </c>
      <c r="M1682" s="43"/>
      <c r="N1682" s="12" t="s">
        <v>950</v>
      </c>
      <c r="P1682" s="10">
        <v>390</v>
      </c>
      <c r="T1682" s="10">
        <v>90</v>
      </c>
      <c r="V1682" s="45"/>
      <c r="X1682" s="29">
        <v>3.9</v>
      </c>
      <c r="Y1682" s="54" t="s">
        <v>30</v>
      </c>
    </row>
    <row r="1683" spans="1:27" ht="23.1" customHeight="1" x14ac:dyDescent="0.25">
      <c r="A1683" s="20" t="s">
        <v>1360</v>
      </c>
      <c r="B1683" s="7" t="s">
        <v>110</v>
      </c>
      <c r="C1683" s="7">
        <v>9</v>
      </c>
      <c r="D1683" s="7" t="s">
        <v>1287</v>
      </c>
      <c r="E1683" s="41" t="s">
        <v>1288</v>
      </c>
      <c r="F1683" s="41" t="s">
        <v>1367</v>
      </c>
      <c r="G1683" s="7" t="s">
        <v>123</v>
      </c>
      <c r="H1683" s="7">
        <v>10</v>
      </c>
      <c r="I1683" s="10" t="s">
        <v>2215</v>
      </c>
      <c r="K1683" s="10">
        <v>1</v>
      </c>
      <c r="L1683" s="43">
        <v>28</v>
      </c>
      <c r="M1683" s="43"/>
      <c r="N1683" s="12" t="s">
        <v>1289</v>
      </c>
      <c r="P1683" s="10">
        <v>390</v>
      </c>
      <c r="S1683" s="11">
        <v>1</v>
      </c>
      <c r="T1683" s="10">
        <v>90</v>
      </c>
      <c r="V1683" s="45"/>
      <c r="X1683" s="29">
        <v>6.5</v>
      </c>
      <c r="Y1683" s="54" t="s">
        <v>30</v>
      </c>
    </row>
    <row r="1684" spans="1:27" ht="23.1" customHeight="1" x14ac:dyDescent="0.25">
      <c r="A1684" s="20" t="s">
        <v>1360</v>
      </c>
      <c r="B1684" s="7" t="s">
        <v>110</v>
      </c>
      <c r="C1684" s="7">
        <v>10</v>
      </c>
      <c r="D1684" s="7" t="s">
        <v>946</v>
      </c>
      <c r="E1684" s="41" t="s">
        <v>947</v>
      </c>
      <c r="F1684" s="41" t="s">
        <v>947</v>
      </c>
      <c r="G1684" s="7" t="s">
        <v>300</v>
      </c>
      <c r="H1684" s="7">
        <v>30</v>
      </c>
      <c r="I1684" s="10" t="s">
        <v>2216</v>
      </c>
      <c r="J1684" s="10">
        <v>2</v>
      </c>
      <c r="K1684" s="10">
        <v>2</v>
      </c>
      <c r="L1684" s="43">
        <v>5</v>
      </c>
      <c r="M1684" s="43">
        <v>31</v>
      </c>
      <c r="N1684" s="12" t="s">
        <v>1368</v>
      </c>
      <c r="P1684" s="10">
        <v>320</v>
      </c>
      <c r="T1684" s="10">
        <v>90</v>
      </c>
      <c r="V1684" s="45"/>
      <c r="X1684" s="29">
        <v>10.7</v>
      </c>
      <c r="Y1684" s="54" t="s">
        <v>30</v>
      </c>
    </row>
    <row r="1685" spans="1:27" ht="23.1" customHeight="1" x14ac:dyDescent="0.25">
      <c r="A1685" s="20" t="s">
        <v>1360</v>
      </c>
      <c r="B1685" s="7" t="s">
        <v>110</v>
      </c>
      <c r="C1685" s="7">
        <v>24</v>
      </c>
      <c r="D1685" s="7" t="s">
        <v>294</v>
      </c>
      <c r="E1685" s="41" t="s">
        <v>259</v>
      </c>
      <c r="F1685" s="41" t="s">
        <v>284</v>
      </c>
      <c r="G1685" s="3" t="s">
        <v>118</v>
      </c>
      <c r="H1685" s="7">
        <v>45</v>
      </c>
      <c r="I1685" s="10" t="s">
        <v>1920</v>
      </c>
      <c r="J1685" s="10">
        <v>1.5</v>
      </c>
      <c r="K1685" s="10">
        <v>1.1000000000000001</v>
      </c>
      <c r="L1685" s="43">
        <v>5</v>
      </c>
      <c r="M1685" s="43">
        <v>28</v>
      </c>
      <c r="N1685" s="12" t="s">
        <v>1369</v>
      </c>
      <c r="P1685" s="10">
        <v>300</v>
      </c>
      <c r="Q1685" s="10">
        <v>120</v>
      </c>
      <c r="S1685" s="11">
        <v>2</v>
      </c>
      <c r="T1685" s="10">
        <v>120</v>
      </c>
      <c r="V1685" s="45"/>
      <c r="X1685" s="29">
        <v>9.5</v>
      </c>
      <c r="Y1685" s="54" t="s">
        <v>54</v>
      </c>
    </row>
    <row r="1686" spans="1:27" ht="23.1" customHeight="1" x14ac:dyDescent="0.25">
      <c r="A1686" s="20" t="s">
        <v>1360</v>
      </c>
      <c r="B1686" s="7" t="s">
        <v>110</v>
      </c>
      <c r="C1686" s="7">
        <v>69</v>
      </c>
      <c r="D1686" s="7" t="s">
        <v>404</v>
      </c>
      <c r="E1686" s="41" t="s">
        <v>405</v>
      </c>
      <c r="F1686" s="41" t="s">
        <v>405</v>
      </c>
      <c r="G1686" s="7" t="s">
        <v>118</v>
      </c>
      <c r="H1686" s="7">
        <v>40</v>
      </c>
      <c r="I1686" s="10" t="s">
        <v>1939</v>
      </c>
      <c r="K1686" s="10">
        <v>3</v>
      </c>
      <c r="L1686" s="43">
        <v>5</v>
      </c>
      <c r="M1686" s="43">
        <v>5</v>
      </c>
      <c r="N1686" s="12" t="s">
        <v>1370</v>
      </c>
      <c r="P1686" s="10">
        <v>150</v>
      </c>
      <c r="Q1686" s="10">
        <v>75</v>
      </c>
      <c r="S1686" s="11">
        <v>3</v>
      </c>
      <c r="T1686" s="10">
        <v>150</v>
      </c>
      <c r="V1686" s="45"/>
      <c r="X1686" s="29">
        <v>11.3</v>
      </c>
      <c r="Y1686" s="54" t="s">
        <v>54</v>
      </c>
    </row>
    <row r="1687" spans="1:27" ht="23.1" customHeight="1" x14ac:dyDescent="0.25">
      <c r="A1687" s="20" t="s">
        <v>1360</v>
      </c>
      <c r="B1687" s="7" t="s">
        <v>110</v>
      </c>
      <c r="C1687" s="7">
        <v>69</v>
      </c>
      <c r="D1687" s="7" t="s">
        <v>404</v>
      </c>
      <c r="E1687" s="41" t="s">
        <v>405</v>
      </c>
      <c r="F1687" s="41" t="s">
        <v>405</v>
      </c>
      <c r="G1687" s="7" t="s">
        <v>118</v>
      </c>
      <c r="H1687" s="7">
        <v>45</v>
      </c>
      <c r="I1687" s="10" t="s">
        <v>1943</v>
      </c>
      <c r="K1687" s="10">
        <v>3</v>
      </c>
      <c r="L1687" s="43">
        <v>5</v>
      </c>
      <c r="M1687" s="43">
        <v>5</v>
      </c>
      <c r="N1687" s="12" t="s">
        <v>1370</v>
      </c>
      <c r="P1687" s="10">
        <v>60</v>
      </c>
      <c r="Q1687" s="10">
        <v>75</v>
      </c>
      <c r="S1687" s="11">
        <v>3</v>
      </c>
      <c r="T1687" s="10">
        <v>150</v>
      </c>
      <c r="V1687" s="45"/>
      <c r="X1687" s="29">
        <v>6.8</v>
      </c>
      <c r="Y1687" s="54" t="s">
        <v>54</v>
      </c>
    </row>
    <row r="1688" spans="1:27" ht="23.1" customHeight="1" x14ac:dyDescent="0.25">
      <c r="A1688" s="20" t="s">
        <v>1360</v>
      </c>
      <c r="B1688" s="7" t="s">
        <v>110</v>
      </c>
      <c r="C1688" s="7">
        <v>69</v>
      </c>
      <c r="D1688" s="7" t="s">
        <v>404</v>
      </c>
      <c r="E1688" s="41" t="s">
        <v>405</v>
      </c>
      <c r="F1688" s="41" t="s">
        <v>405</v>
      </c>
      <c r="G1688" s="7" t="s">
        <v>118</v>
      </c>
      <c r="H1688" s="7">
        <v>50</v>
      </c>
      <c r="I1688" s="10" t="s">
        <v>1944</v>
      </c>
      <c r="K1688" s="10">
        <v>3</v>
      </c>
      <c r="L1688" s="43">
        <v>5</v>
      </c>
      <c r="M1688" s="43">
        <v>5</v>
      </c>
      <c r="N1688" s="12" t="s">
        <v>1370</v>
      </c>
      <c r="P1688" s="10">
        <v>120</v>
      </c>
      <c r="Q1688" s="10">
        <v>75</v>
      </c>
      <c r="S1688" s="11">
        <v>3</v>
      </c>
      <c r="T1688" s="10">
        <v>150</v>
      </c>
      <c r="V1688" s="45"/>
      <c r="X1688" s="29">
        <v>9.8000000000000007</v>
      </c>
      <c r="Y1688" s="54" t="s">
        <v>54</v>
      </c>
    </row>
    <row r="1689" spans="1:27" ht="23.1" customHeight="1" x14ac:dyDescent="0.25">
      <c r="A1689" s="20" t="s">
        <v>1360</v>
      </c>
      <c r="B1689" s="7" t="s">
        <v>110</v>
      </c>
      <c r="C1689" s="7">
        <v>69</v>
      </c>
      <c r="D1689" s="7" t="s">
        <v>1371</v>
      </c>
      <c r="E1689" s="41" t="s">
        <v>1372</v>
      </c>
      <c r="F1689" s="41" t="s">
        <v>215</v>
      </c>
      <c r="G1689" s="7" t="s">
        <v>154</v>
      </c>
      <c r="H1689" s="7">
        <v>55</v>
      </c>
      <c r="I1689" s="10" t="s">
        <v>2237</v>
      </c>
      <c r="J1689" s="10">
        <v>2</v>
      </c>
      <c r="K1689" s="10">
        <v>2</v>
      </c>
      <c r="L1689" s="43">
        <v>5</v>
      </c>
      <c r="M1689" s="43">
        <v>28</v>
      </c>
      <c r="N1689" s="12" t="s">
        <v>515</v>
      </c>
      <c r="P1689" s="10">
        <v>75</v>
      </c>
      <c r="Q1689" s="10">
        <v>90</v>
      </c>
      <c r="S1689" s="11">
        <v>2</v>
      </c>
      <c r="T1689" s="10">
        <v>180</v>
      </c>
      <c r="V1689" s="45">
        <v>1</v>
      </c>
      <c r="W1689" s="10">
        <v>5</v>
      </c>
      <c r="X1689" s="29">
        <v>13.5</v>
      </c>
      <c r="Y1689" s="54" t="s">
        <v>54</v>
      </c>
      <c r="Z1689" t="s">
        <v>975</v>
      </c>
    </row>
    <row r="1690" spans="1:27" ht="23.1" customHeight="1" x14ac:dyDescent="0.25">
      <c r="A1690" s="20" t="s">
        <v>1360</v>
      </c>
      <c r="B1690" s="7" t="s">
        <v>110</v>
      </c>
      <c r="C1690" s="7">
        <v>91</v>
      </c>
      <c r="D1690" s="7" t="s">
        <v>254</v>
      </c>
      <c r="E1690" s="41" t="s">
        <v>1016</v>
      </c>
      <c r="F1690" s="41" t="s">
        <v>1016</v>
      </c>
      <c r="G1690" s="7" t="s">
        <v>375</v>
      </c>
      <c r="H1690" s="7">
        <v>40</v>
      </c>
      <c r="I1690" s="10" t="s">
        <v>2110</v>
      </c>
      <c r="K1690" s="10">
        <v>0.4</v>
      </c>
      <c r="L1690" s="43">
        <v>28</v>
      </c>
      <c r="M1690" s="43">
        <v>28</v>
      </c>
      <c r="N1690" s="12" t="s">
        <v>1373</v>
      </c>
      <c r="P1690" s="10">
        <v>3000</v>
      </c>
      <c r="Q1690" s="10">
        <v>90</v>
      </c>
      <c r="S1690" s="11">
        <v>1</v>
      </c>
      <c r="T1690" s="10">
        <v>120</v>
      </c>
      <c r="V1690" s="45"/>
      <c r="X1690" s="29">
        <v>21.5</v>
      </c>
      <c r="Y1690" s="54" t="s">
        <v>54</v>
      </c>
    </row>
    <row r="1691" spans="1:27" ht="23.1" customHeight="1" x14ac:dyDescent="0.25">
      <c r="A1691" s="20" t="s">
        <v>1360</v>
      </c>
      <c r="B1691" s="7" t="s">
        <v>110</v>
      </c>
      <c r="C1691" s="7">
        <v>119</v>
      </c>
      <c r="D1691" s="7" t="s">
        <v>787</v>
      </c>
      <c r="E1691" s="41" t="s">
        <v>788</v>
      </c>
      <c r="F1691" s="41" t="s">
        <v>788</v>
      </c>
      <c r="G1691" s="7" t="s">
        <v>123</v>
      </c>
      <c r="H1691" s="7">
        <v>60</v>
      </c>
      <c r="I1691" s="10" t="s">
        <v>2222</v>
      </c>
      <c r="J1691" s="10">
        <v>6</v>
      </c>
      <c r="K1691" s="10">
        <v>6</v>
      </c>
      <c r="L1691" s="43">
        <v>23</v>
      </c>
      <c r="M1691" s="43">
        <v>28</v>
      </c>
      <c r="N1691" s="12" t="s">
        <v>429</v>
      </c>
      <c r="P1691" s="10">
        <v>210</v>
      </c>
      <c r="Q1691" s="10">
        <v>60</v>
      </c>
      <c r="S1691" s="11">
        <v>7</v>
      </c>
      <c r="T1691" s="10">
        <v>90</v>
      </c>
      <c r="V1691" s="45">
        <v>1</v>
      </c>
      <c r="W1691" s="10">
        <v>3</v>
      </c>
      <c r="X1691" s="29">
        <v>32.5</v>
      </c>
      <c r="Y1691" s="54" t="s">
        <v>54</v>
      </c>
      <c r="Z1691" t="s">
        <v>941</v>
      </c>
    </row>
    <row r="1692" spans="1:27" ht="23.1" customHeight="1" x14ac:dyDescent="0.25">
      <c r="A1692" s="20" t="s">
        <v>1360</v>
      </c>
      <c r="B1692" s="7" t="s">
        <v>110</v>
      </c>
      <c r="C1692" s="7">
        <v>121</v>
      </c>
      <c r="D1692" s="7" t="s">
        <v>173</v>
      </c>
      <c r="E1692" s="41" t="s">
        <v>1246</v>
      </c>
      <c r="F1692" s="41" t="s">
        <v>1246</v>
      </c>
      <c r="G1692" s="7" t="s">
        <v>154</v>
      </c>
      <c r="H1692" s="7">
        <v>55</v>
      </c>
      <c r="I1692" s="10" t="s">
        <v>2223</v>
      </c>
      <c r="J1692" s="10">
        <v>1.8</v>
      </c>
      <c r="K1692" s="10">
        <v>2</v>
      </c>
      <c r="L1692" s="43">
        <v>5</v>
      </c>
      <c r="M1692" s="43">
        <v>31</v>
      </c>
      <c r="N1692" s="12" t="s">
        <v>1374</v>
      </c>
      <c r="P1692" s="10">
        <v>700</v>
      </c>
      <c r="Q1692" s="10">
        <v>90</v>
      </c>
      <c r="S1692" s="11">
        <v>2</v>
      </c>
      <c r="T1692" s="10">
        <v>120</v>
      </c>
      <c r="V1692" s="45"/>
      <c r="X1692" s="29">
        <v>26.3</v>
      </c>
      <c r="Y1692" s="54" t="s">
        <v>54</v>
      </c>
    </row>
    <row r="1693" spans="1:27" ht="23.1" customHeight="1" x14ac:dyDescent="0.25">
      <c r="A1693" s="20" t="s">
        <v>1360</v>
      </c>
      <c r="B1693" s="7" t="s">
        <v>110</v>
      </c>
      <c r="C1693" s="7">
        <v>84</v>
      </c>
      <c r="D1693" s="7" t="s">
        <v>1045</v>
      </c>
      <c r="E1693" s="41" t="s">
        <v>409</v>
      </c>
      <c r="F1693" s="41" t="s">
        <v>409</v>
      </c>
      <c r="G1693" s="7" t="s">
        <v>102</v>
      </c>
      <c r="H1693" s="7">
        <v>25</v>
      </c>
      <c r="I1693" s="10" t="s">
        <v>2113</v>
      </c>
      <c r="K1693" s="10">
        <v>1</v>
      </c>
      <c r="L1693" s="43">
        <v>23</v>
      </c>
      <c r="M1693" s="43"/>
      <c r="N1693" s="12" t="s">
        <v>596</v>
      </c>
      <c r="P1693" s="10">
        <v>180</v>
      </c>
      <c r="Q1693" s="10">
        <v>60</v>
      </c>
      <c r="T1693" s="10">
        <v>120</v>
      </c>
      <c r="V1693" s="45"/>
      <c r="W1693" s="14">
        <v>6.5</v>
      </c>
      <c r="X1693" s="29">
        <v>9.5</v>
      </c>
      <c r="Y1693" s="54" t="s">
        <v>54</v>
      </c>
      <c r="Z1693" t="s">
        <v>1375</v>
      </c>
    </row>
    <row r="1694" spans="1:27" ht="23.1" customHeight="1" x14ac:dyDescent="0.25">
      <c r="A1694" s="20" t="s">
        <v>1360</v>
      </c>
      <c r="B1694" s="7" t="s">
        <v>110</v>
      </c>
      <c r="C1694" s="7">
        <v>84</v>
      </c>
      <c r="D1694" s="7" t="s">
        <v>1045</v>
      </c>
      <c r="E1694" s="41" t="s">
        <v>409</v>
      </c>
      <c r="F1694" s="41" t="s">
        <v>409</v>
      </c>
      <c r="G1694" s="7" t="s">
        <v>102</v>
      </c>
      <c r="H1694" s="7">
        <v>25</v>
      </c>
      <c r="I1694" s="10" t="s">
        <v>2113</v>
      </c>
      <c r="J1694" s="10">
        <v>2</v>
      </c>
      <c r="K1694" s="10">
        <v>2</v>
      </c>
      <c r="L1694" s="43">
        <v>23</v>
      </c>
      <c r="M1694" s="43">
        <v>5</v>
      </c>
      <c r="N1694" s="12" t="s">
        <v>596</v>
      </c>
      <c r="P1694" s="10">
        <v>180</v>
      </c>
      <c r="Q1694" s="10">
        <v>60</v>
      </c>
      <c r="S1694" s="11">
        <v>2</v>
      </c>
      <c r="T1694" s="10">
        <v>120</v>
      </c>
      <c r="V1694" s="45">
        <v>1</v>
      </c>
      <c r="X1694" s="29">
        <v>10</v>
      </c>
      <c r="Y1694" s="54" t="s">
        <v>54</v>
      </c>
    </row>
    <row r="1695" spans="1:27" ht="23.1" customHeight="1" x14ac:dyDescent="0.25">
      <c r="A1695" s="20" t="s">
        <v>1360</v>
      </c>
      <c r="B1695" s="7" t="s">
        <v>110</v>
      </c>
      <c r="C1695" s="7">
        <v>108</v>
      </c>
      <c r="D1695" s="7" t="s">
        <v>886</v>
      </c>
      <c r="E1695" s="41" t="s">
        <v>887</v>
      </c>
      <c r="F1695" s="41" t="s">
        <v>887</v>
      </c>
      <c r="G1695" s="7" t="s">
        <v>154</v>
      </c>
      <c r="H1695" s="7">
        <v>50</v>
      </c>
      <c r="I1695" s="10" t="s">
        <v>2472</v>
      </c>
      <c r="J1695" s="10">
        <v>1</v>
      </c>
      <c r="K1695" s="10">
        <v>0.5</v>
      </c>
      <c r="L1695" s="43">
        <v>26</v>
      </c>
      <c r="M1695" s="43"/>
      <c r="N1695" s="12" t="s">
        <v>159</v>
      </c>
      <c r="P1695" s="10">
        <v>1920</v>
      </c>
      <c r="Q1695" s="10">
        <v>60</v>
      </c>
      <c r="S1695" s="11">
        <v>1</v>
      </c>
      <c r="T1695" s="10">
        <v>90</v>
      </c>
      <c r="V1695" s="45"/>
      <c r="W1695" s="14">
        <v>2</v>
      </c>
      <c r="X1695" s="29">
        <v>19</v>
      </c>
      <c r="Y1695" s="54" t="s">
        <v>45</v>
      </c>
      <c r="Z1695" t="s">
        <v>1245</v>
      </c>
      <c r="AA1695" s="1" t="s">
        <v>238</v>
      </c>
    </row>
    <row r="1696" spans="1:27" ht="23.1" customHeight="1" x14ac:dyDescent="0.25">
      <c r="A1696" s="20" t="s">
        <v>1360</v>
      </c>
      <c r="B1696" s="7" t="s">
        <v>110</v>
      </c>
      <c r="C1696" s="7">
        <v>16</v>
      </c>
      <c r="D1696" s="7" t="s">
        <v>1280</v>
      </c>
      <c r="E1696" s="41" t="s">
        <v>595</v>
      </c>
      <c r="F1696" s="41" t="s">
        <v>595</v>
      </c>
      <c r="G1696" s="7" t="s">
        <v>102</v>
      </c>
      <c r="H1696" s="7">
        <v>40</v>
      </c>
      <c r="I1696" s="10" t="s">
        <v>2239</v>
      </c>
      <c r="J1696" s="10">
        <v>2</v>
      </c>
      <c r="K1696" s="10">
        <v>2</v>
      </c>
      <c r="L1696" s="43">
        <v>9</v>
      </c>
      <c r="M1696" s="43">
        <v>9</v>
      </c>
      <c r="N1696" s="12" t="s">
        <v>596</v>
      </c>
      <c r="P1696" s="10">
        <v>15</v>
      </c>
      <c r="T1696" s="10">
        <v>60</v>
      </c>
      <c r="V1696" s="45">
        <v>1</v>
      </c>
      <c r="W1696" s="14">
        <v>2</v>
      </c>
      <c r="X1696" s="29">
        <v>3.5</v>
      </c>
      <c r="Y1696" s="54" t="s">
        <v>63</v>
      </c>
      <c r="Z1696" t="s">
        <v>1376</v>
      </c>
      <c r="AA1696" s="1" t="s">
        <v>238</v>
      </c>
    </row>
    <row r="1697" spans="1:27" ht="23.1" customHeight="1" x14ac:dyDescent="0.25">
      <c r="A1697" s="20" t="s">
        <v>1360</v>
      </c>
      <c r="B1697" s="7" t="s">
        <v>110</v>
      </c>
      <c r="C1697" s="7">
        <v>16</v>
      </c>
      <c r="D1697" s="7" t="s">
        <v>1249</v>
      </c>
      <c r="E1697" s="41" t="s">
        <v>409</v>
      </c>
      <c r="F1697" s="41" t="s">
        <v>409</v>
      </c>
      <c r="G1697" s="7" t="s">
        <v>102</v>
      </c>
      <c r="H1697" s="7">
        <v>5</v>
      </c>
      <c r="I1697" s="10" t="s">
        <v>2060</v>
      </c>
      <c r="K1697" s="10">
        <v>1</v>
      </c>
      <c r="L1697" s="43">
        <v>9</v>
      </c>
      <c r="M1697" s="43"/>
      <c r="N1697" s="12" t="s">
        <v>596</v>
      </c>
      <c r="P1697" s="10">
        <v>20</v>
      </c>
      <c r="T1697" s="10">
        <v>60</v>
      </c>
      <c r="V1697" s="45">
        <v>1</v>
      </c>
      <c r="W1697" s="14">
        <v>2</v>
      </c>
      <c r="X1697" s="29">
        <v>3.3</v>
      </c>
      <c r="Y1697" s="54" t="s">
        <v>63</v>
      </c>
      <c r="Z1697" t="s">
        <v>1377</v>
      </c>
      <c r="AA1697" s="1" t="s">
        <v>238</v>
      </c>
    </row>
    <row r="1698" spans="1:27" ht="23.1" customHeight="1" x14ac:dyDescent="0.25">
      <c r="A1698" s="20" t="s">
        <v>1360</v>
      </c>
      <c r="B1698" s="7" t="s">
        <v>110</v>
      </c>
      <c r="C1698" s="7">
        <v>16</v>
      </c>
      <c r="D1698" s="7" t="s">
        <v>1249</v>
      </c>
      <c r="E1698" s="41" t="s">
        <v>409</v>
      </c>
      <c r="F1698" s="41" t="s">
        <v>409</v>
      </c>
      <c r="G1698" s="7" t="s">
        <v>102</v>
      </c>
      <c r="H1698" s="7">
        <v>10</v>
      </c>
      <c r="I1698" s="10" t="s">
        <v>1988</v>
      </c>
      <c r="K1698" s="10">
        <v>1</v>
      </c>
      <c r="L1698" s="43"/>
      <c r="M1698" s="43">
        <v>9</v>
      </c>
      <c r="N1698" s="12" t="s">
        <v>596</v>
      </c>
      <c r="P1698" s="10">
        <v>35</v>
      </c>
      <c r="T1698" s="10">
        <v>90</v>
      </c>
      <c r="V1698" s="45">
        <v>1</v>
      </c>
      <c r="X1698" s="29">
        <v>2.1</v>
      </c>
      <c r="Y1698" s="54" t="s">
        <v>63</v>
      </c>
    </row>
    <row r="1699" spans="1:27" ht="23.1" customHeight="1" x14ac:dyDescent="0.25">
      <c r="A1699" s="20" t="s">
        <v>796</v>
      </c>
      <c r="B1699" s="7" t="s">
        <v>110</v>
      </c>
      <c r="C1699" s="7">
        <v>9</v>
      </c>
      <c r="D1699" s="7" t="s">
        <v>229</v>
      </c>
      <c r="E1699" s="41" t="s">
        <v>230</v>
      </c>
      <c r="F1699" s="41" t="s">
        <v>230</v>
      </c>
      <c r="G1699" s="7" t="s">
        <v>154</v>
      </c>
      <c r="H1699" s="7">
        <v>30</v>
      </c>
      <c r="I1699" s="10" t="s">
        <v>2058</v>
      </c>
      <c r="L1699" s="43">
        <v>9</v>
      </c>
      <c r="M1699" s="43"/>
      <c r="N1699" s="12" t="s">
        <v>275</v>
      </c>
      <c r="P1699" s="10">
        <v>80</v>
      </c>
      <c r="T1699" s="10">
        <v>60</v>
      </c>
      <c r="V1699" s="45"/>
      <c r="W1699" s="14">
        <v>2</v>
      </c>
      <c r="X1699" s="29">
        <v>2</v>
      </c>
      <c r="Y1699" s="54" t="s">
        <v>30</v>
      </c>
      <c r="Z1699" t="s">
        <v>1355</v>
      </c>
      <c r="AA1699" t="s">
        <v>238</v>
      </c>
    </row>
    <row r="1700" spans="1:27" ht="23.1" customHeight="1" x14ac:dyDescent="0.25">
      <c r="A1700" s="20" t="s">
        <v>1360</v>
      </c>
      <c r="B1700" s="7" t="s">
        <v>110</v>
      </c>
      <c r="C1700" s="7">
        <v>78</v>
      </c>
      <c r="D1700" s="7" t="s">
        <v>177</v>
      </c>
      <c r="E1700" s="41" t="s">
        <v>133</v>
      </c>
      <c r="F1700" s="41" t="s">
        <v>133</v>
      </c>
      <c r="G1700" s="7" t="s">
        <v>102</v>
      </c>
      <c r="H1700" s="7">
        <v>15</v>
      </c>
      <c r="I1700" s="10" t="s">
        <v>1977</v>
      </c>
      <c r="J1700" s="10">
        <v>2</v>
      </c>
      <c r="K1700" s="10">
        <v>1</v>
      </c>
      <c r="L1700" s="43">
        <v>23</v>
      </c>
      <c r="M1700" s="43"/>
      <c r="N1700" s="12" t="s">
        <v>613</v>
      </c>
      <c r="P1700" s="10">
        <v>690</v>
      </c>
      <c r="Q1700" s="10">
        <v>60</v>
      </c>
      <c r="S1700" s="11">
        <v>1</v>
      </c>
      <c r="T1700" s="10">
        <v>120</v>
      </c>
      <c r="V1700" s="45"/>
      <c r="X1700" s="29">
        <v>12.5</v>
      </c>
      <c r="Y1700" s="54" t="s">
        <v>19</v>
      </c>
    </row>
    <row r="1701" spans="1:27" ht="23.1" customHeight="1" x14ac:dyDescent="0.25">
      <c r="A1701" s="20" t="s">
        <v>1360</v>
      </c>
      <c r="B1701" s="7" t="s">
        <v>110</v>
      </c>
      <c r="C1701" s="7">
        <v>78</v>
      </c>
      <c r="D1701" s="7" t="s">
        <v>194</v>
      </c>
      <c r="E1701" s="41" t="s">
        <v>133</v>
      </c>
      <c r="F1701" s="41" t="s">
        <v>133</v>
      </c>
      <c r="G1701" s="7" t="s">
        <v>102</v>
      </c>
      <c r="H1701" s="7">
        <v>20</v>
      </c>
      <c r="I1701" s="10" t="s">
        <v>2234</v>
      </c>
      <c r="J1701" s="10">
        <v>2</v>
      </c>
      <c r="K1701" s="10">
        <v>2.5</v>
      </c>
      <c r="L1701" s="43">
        <v>31</v>
      </c>
      <c r="M1701" s="43">
        <v>31</v>
      </c>
      <c r="N1701" s="12" t="s">
        <v>1378</v>
      </c>
      <c r="P1701" s="10">
        <v>630</v>
      </c>
      <c r="Q1701" s="10">
        <v>60</v>
      </c>
      <c r="S1701" s="11">
        <v>3</v>
      </c>
      <c r="T1701" s="10">
        <v>120</v>
      </c>
      <c r="V1701" s="45">
        <v>1</v>
      </c>
      <c r="X1701" s="29">
        <v>31.3</v>
      </c>
      <c r="Y1701" s="54" t="s">
        <v>19</v>
      </c>
    </row>
    <row r="1702" spans="1:27" ht="23.1" customHeight="1" x14ac:dyDescent="0.25">
      <c r="A1702" s="20" t="s">
        <v>1360</v>
      </c>
      <c r="B1702" s="7" t="s">
        <v>110</v>
      </c>
      <c r="C1702" s="7">
        <v>18</v>
      </c>
      <c r="D1702" s="7" t="s">
        <v>1030</v>
      </c>
      <c r="E1702" s="41" t="s">
        <v>919</v>
      </c>
      <c r="F1702" s="41" t="s">
        <v>919</v>
      </c>
      <c r="G1702" s="7" t="s">
        <v>323</v>
      </c>
      <c r="H1702" s="7">
        <v>20</v>
      </c>
      <c r="I1702" s="10" t="s">
        <v>1960</v>
      </c>
      <c r="J1702" s="10">
        <v>2</v>
      </c>
      <c r="K1702" s="10">
        <v>7</v>
      </c>
      <c r="L1702" s="43">
        <v>28</v>
      </c>
      <c r="M1702" s="43">
        <v>28</v>
      </c>
      <c r="N1702" s="12" t="s">
        <v>780</v>
      </c>
      <c r="P1702" s="10">
        <v>120</v>
      </c>
      <c r="T1702" s="10">
        <v>90</v>
      </c>
      <c r="V1702" s="45"/>
      <c r="X1702" s="29">
        <v>14</v>
      </c>
      <c r="Y1702" s="54" t="s">
        <v>16</v>
      </c>
    </row>
    <row r="1703" spans="1:27" ht="23.1" customHeight="1" x14ac:dyDescent="0.25">
      <c r="A1703" s="20" t="s">
        <v>1360</v>
      </c>
      <c r="B1703" s="7" t="s">
        <v>110</v>
      </c>
      <c r="C1703" s="7">
        <v>13</v>
      </c>
      <c r="D1703" s="7" t="s">
        <v>895</v>
      </c>
      <c r="E1703" s="41" t="s">
        <v>896</v>
      </c>
      <c r="F1703" s="41" t="s">
        <v>896</v>
      </c>
      <c r="G1703" s="7" t="s">
        <v>102</v>
      </c>
      <c r="H1703" s="7">
        <v>10</v>
      </c>
      <c r="I1703" s="10" t="s">
        <v>2226</v>
      </c>
      <c r="J1703" s="10">
        <v>1</v>
      </c>
      <c r="K1703" s="10">
        <v>1</v>
      </c>
      <c r="L1703" s="43">
        <v>5</v>
      </c>
      <c r="M1703" s="43"/>
      <c r="N1703" s="12" t="s">
        <v>596</v>
      </c>
      <c r="P1703" s="10">
        <v>60</v>
      </c>
      <c r="T1703" s="10">
        <v>90</v>
      </c>
      <c r="V1703" s="45">
        <v>1</v>
      </c>
      <c r="X1703" s="29">
        <v>2.5</v>
      </c>
      <c r="Y1703" s="54" t="s">
        <v>72</v>
      </c>
    </row>
    <row r="1704" spans="1:27" ht="23.1" customHeight="1" x14ac:dyDescent="0.25">
      <c r="A1704" s="20" t="s">
        <v>1360</v>
      </c>
      <c r="B1704" s="7" t="s">
        <v>110</v>
      </c>
      <c r="C1704" s="7">
        <v>59</v>
      </c>
      <c r="D1704" s="7" t="s">
        <v>1294</v>
      </c>
      <c r="E1704" s="41" t="s">
        <v>409</v>
      </c>
      <c r="F1704" s="41" t="s">
        <v>409</v>
      </c>
      <c r="G1704" s="7" t="s">
        <v>102</v>
      </c>
      <c r="H1704" s="7">
        <v>30</v>
      </c>
      <c r="I1704" s="10" t="s">
        <v>1992</v>
      </c>
      <c r="J1704" s="10">
        <v>4</v>
      </c>
      <c r="K1704" s="10">
        <v>4</v>
      </c>
      <c r="L1704" s="43">
        <v>23</v>
      </c>
      <c r="M1704" s="43">
        <v>23</v>
      </c>
      <c r="N1704" s="12" t="s">
        <v>596</v>
      </c>
      <c r="P1704" s="10">
        <v>15</v>
      </c>
      <c r="T1704" s="10">
        <v>60</v>
      </c>
      <c r="V1704" s="45">
        <v>1</v>
      </c>
      <c r="W1704" s="14">
        <v>5</v>
      </c>
      <c r="X1704" s="29">
        <v>7</v>
      </c>
      <c r="Y1704" s="64" t="s">
        <v>1847</v>
      </c>
      <c r="Z1704" t="s">
        <v>1379</v>
      </c>
      <c r="AA1704" s="1" t="s">
        <v>238</v>
      </c>
    </row>
    <row r="1705" spans="1:27" ht="23.1" customHeight="1" x14ac:dyDescent="0.25">
      <c r="A1705" s="20" t="s">
        <v>1360</v>
      </c>
      <c r="B1705" s="7" t="s">
        <v>110</v>
      </c>
      <c r="C1705" s="7">
        <v>11</v>
      </c>
      <c r="D1705" s="7" t="s">
        <v>1296</v>
      </c>
      <c r="E1705" s="41" t="s">
        <v>1297</v>
      </c>
      <c r="F1705" s="41" t="s">
        <v>1297</v>
      </c>
      <c r="G1705" s="7" t="s">
        <v>154</v>
      </c>
      <c r="H1705" s="7">
        <v>35</v>
      </c>
      <c r="I1705" s="10" t="s">
        <v>2073</v>
      </c>
      <c r="J1705" s="10">
        <v>3.5</v>
      </c>
      <c r="K1705" s="10">
        <v>7</v>
      </c>
      <c r="L1705" s="43">
        <v>9</v>
      </c>
      <c r="M1705" s="43">
        <v>31</v>
      </c>
      <c r="N1705" s="12" t="s">
        <v>199</v>
      </c>
      <c r="P1705" s="10">
        <v>150</v>
      </c>
      <c r="T1705" s="10">
        <v>60</v>
      </c>
      <c r="V1705" s="45"/>
      <c r="X1705" s="29">
        <v>17.5</v>
      </c>
      <c r="Y1705" s="54" t="s">
        <v>63</v>
      </c>
    </row>
    <row r="1706" spans="1:27" ht="23.1" customHeight="1" x14ac:dyDescent="0.25">
      <c r="A1706" s="20" t="s">
        <v>1360</v>
      </c>
      <c r="B1706" s="7" t="s">
        <v>110</v>
      </c>
      <c r="C1706" s="7">
        <v>77</v>
      </c>
      <c r="D1706" s="7" t="s">
        <v>1380</v>
      </c>
      <c r="E1706" s="41" t="s">
        <v>1381</v>
      </c>
      <c r="F1706" s="41" t="s">
        <v>1381</v>
      </c>
      <c r="G1706" s="7" t="s">
        <v>123</v>
      </c>
      <c r="H1706" s="7">
        <v>30</v>
      </c>
      <c r="I1706" s="10" t="s">
        <v>2389</v>
      </c>
      <c r="J1706" s="10">
        <v>20</v>
      </c>
      <c r="K1706" s="10">
        <v>18</v>
      </c>
      <c r="L1706" s="43">
        <v>23</v>
      </c>
      <c r="M1706" s="43">
        <v>31</v>
      </c>
      <c r="N1706" s="12" t="s">
        <v>213</v>
      </c>
      <c r="P1706" s="10">
        <v>20</v>
      </c>
      <c r="T1706" s="10">
        <v>60</v>
      </c>
      <c r="V1706" s="45">
        <v>1</v>
      </c>
      <c r="X1706" s="29">
        <v>7</v>
      </c>
      <c r="Y1706" s="54" t="s">
        <v>15</v>
      </c>
    </row>
    <row r="1707" spans="1:27" ht="23.1" customHeight="1" x14ac:dyDescent="0.25">
      <c r="A1707" s="20" t="s">
        <v>1360</v>
      </c>
      <c r="B1707" s="7" t="s">
        <v>110</v>
      </c>
      <c r="C1707" s="7">
        <v>107</v>
      </c>
      <c r="D1707" s="7" t="s">
        <v>1275</v>
      </c>
      <c r="E1707" s="41" t="s">
        <v>215</v>
      </c>
      <c r="F1707" s="41" t="s">
        <v>215</v>
      </c>
      <c r="G1707" s="7" t="s">
        <v>154</v>
      </c>
      <c r="H1707" s="7">
        <v>35</v>
      </c>
      <c r="I1707" s="10" t="s">
        <v>2073</v>
      </c>
      <c r="J1707" s="10">
        <v>4</v>
      </c>
      <c r="K1707" s="10">
        <v>4</v>
      </c>
      <c r="L1707" s="43">
        <v>28</v>
      </c>
      <c r="M1707" s="43">
        <v>28</v>
      </c>
      <c r="N1707" s="12" t="s">
        <v>1382</v>
      </c>
      <c r="P1707" s="10">
        <v>150</v>
      </c>
      <c r="S1707" s="11">
        <v>4</v>
      </c>
      <c r="T1707" s="10">
        <v>60</v>
      </c>
      <c r="V1707" s="45"/>
      <c r="X1707" s="29">
        <v>10</v>
      </c>
      <c r="Y1707" s="54" t="s">
        <v>45</v>
      </c>
    </row>
    <row r="1708" spans="1:27" ht="23.1" customHeight="1" x14ac:dyDescent="0.25">
      <c r="A1708" s="20" t="s">
        <v>1360</v>
      </c>
      <c r="B1708" s="7" t="s">
        <v>110</v>
      </c>
      <c r="C1708" s="7">
        <v>76</v>
      </c>
      <c r="D1708" s="7" t="s">
        <v>1383</v>
      </c>
      <c r="E1708" s="41" t="s">
        <v>1384</v>
      </c>
      <c r="F1708" s="41" t="s">
        <v>1384</v>
      </c>
      <c r="G1708" s="7" t="s">
        <v>154</v>
      </c>
      <c r="H1708" s="7">
        <v>10</v>
      </c>
      <c r="I1708" s="10" t="s">
        <v>2241</v>
      </c>
      <c r="J1708" s="10">
        <v>20</v>
      </c>
      <c r="K1708" s="10">
        <v>30</v>
      </c>
      <c r="L1708" s="43">
        <v>9</v>
      </c>
      <c r="M1708" s="43">
        <v>9</v>
      </c>
      <c r="N1708" s="12" t="s">
        <v>410</v>
      </c>
      <c r="P1708" s="10">
        <v>30</v>
      </c>
      <c r="T1708" s="10">
        <v>60</v>
      </c>
      <c r="V1708" s="45">
        <v>1</v>
      </c>
      <c r="W1708" s="14">
        <v>3</v>
      </c>
      <c r="X1708" s="29">
        <v>19</v>
      </c>
      <c r="Y1708" s="54" t="s">
        <v>46</v>
      </c>
      <c r="Z1708" t="s">
        <v>1385</v>
      </c>
      <c r="AA1708" s="1" t="s">
        <v>238</v>
      </c>
    </row>
    <row r="1709" spans="1:27" ht="23.1" customHeight="1" x14ac:dyDescent="0.25">
      <c r="A1709" s="20" t="s">
        <v>1360</v>
      </c>
      <c r="B1709" s="7" t="s">
        <v>110</v>
      </c>
      <c r="C1709" s="7">
        <v>57</v>
      </c>
      <c r="D1709" s="7" t="s">
        <v>1042</v>
      </c>
      <c r="E1709" s="41" t="s">
        <v>1281</v>
      </c>
      <c r="F1709" s="41" t="s">
        <v>1281</v>
      </c>
      <c r="G1709" s="7" t="s">
        <v>107</v>
      </c>
      <c r="H1709" s="7">
        <v>35</v>
      </c>
      <c r="I1709" s="10" t="s">
        <v>2141</v>
      </c>
      <c r="J1709" s="10">
        <v>6</v>
      </c>
      <c r="K1709" s="10">
        <v>4</v>
      </c>
      <c r="L1709" s="43">
        <v>23</v>
      </c>
      <c r="M1709" s="43">
        <v>5</v>
      </c>
      <c r="N1709" s="12" t="s">
        <v>1043</v>
      </c>
      <c r="P1709" s="10">
        <v>540</v>
      </c>
      <c r="T1709" s="10">
        <v>100</v>
      </c>
      <c r="V1709" s="45"/>
      <c r="X1709" s="29">
        <v>36</v>
      </c>
      <c r="Y1709" s="54" t="s">
        <v>7</v>
      </c>
    </row>
    <row r="1710" spans="1:27" ht="23.1" customHeight="1" x14ac:dyDescent="0.25">
      <c r="A1710" s="20" t="s">
        <v>1360</v>
      </c>
      <c r="B1710" s="7" t="s">
        <v>110</v>
      </c>
      <c r="C1710" s="7">
        <v>57</v>
      </c>
      <c r="D1710" s="7" t="s">
        <v>1031</v>
      </c>
      <c r="E1710" s="41" t="s">
        <v>1032</v>
      </c>
      <c r="F1710" s="41" t="s">
        <v>1032</v>
      </c>
      <c r="G1710" s="7" t="s">
        <v>107</v>
      </c>
      <c r="H1710" s="7">
        <v>30</v>
      </c>
      <c r="I1710" s="10" t="s">
        <v>2242</v>
      </c>
      <c r="J1710" s="10">
        <v>1</v>
      </c>
      <c r="K1710" s="10">
        <v>1</v>
      </c>
      <c r="L1710" s="43">
        <v>23</v>
      </c>
      <c r="M1710" s="43"/>
      <c r="N1710" s="12" t="s">
        <v>1033</v>
      </c>
      <c r="P1710" s="10">
        <v>220</v>
      </c>
      <c r="T1710" s="10">
        <v>90</v>
      </c>
      <c r="V1710" s="45">
        <v>1</v>
      </c>
      <c r="X1710" s="29">
        <v>5.2</v>
      </c>
      <c r="Y1710" s="54" t="s">
        <v>7</v>
      </c>
    </row>
    <row r="1711" spans="1:27" ht="23.1" customHeight="1" x14ac:dyDescent="0.25">
      <c r="A1711" s="20" t="s">
        <v>1360</v>
      </c>
      <c r="B1711" s="7" t="s">
        <v>110</v>
      </c>
      <c r="C1711" s="7">
        <v>59</v>
      </c>
      <c r="D1711" s="7" t="s">
        <v>1317</v>
      </c>
      <c r="E1711" s="41" t="s">
        <v>1318</v>
      </c>
      <c r="F1711" s="41" t="e">
        <v>#N/A</v>
      </c>
      <c r="G1711" s="7" t="s">
        <v>102</v>
      </c>
      <c r="H1711" s="7">
        <v>15</v>
      </c>
      <c r="I1711" s="10"/>
      <c r="J1711" s="10">
        <v>1</v>
      </c>
      <c r="K1711" s="10">
        <v>1</v>
      </c>
      <c r="L1711" s="43">
        <v>9</v>
      </c>
      <c r="M1711" s="43"/>
      <c r="V1711" s="45">
        <v>1</v>
      </c>
      <c r="X1711" s="29">
        <v>0</v>
      </c>
      <c r="Y1711" s="64" t="s">
        <v>1847</v>
      </c>
    </row>
    <row r="1712" spans="1:27" ht="23.1" customHeight="1" x14ac:dyDescent="0.25">
      <c r="A1712" s="20" t="s">
        <v>1360</v>
      </c>
      <c r="B1712" s="7" t="s">
        <v>110</v>
      </c>
      <c r="C1712" s="7">
        <v>59</v>
      </c>
      <c r="D1712" s="7" t="s">
        <v>1386</v>
      </c>
      <c r="E1712" s="41" t="s">
        <v>1288</v>
      </c>
      <c r="F1712" s="41" t="s">
        <v>1288</v>
      </c>
      <c r="G1712" s="7" t="s">
        <v>102</v>
      </c>
      <c r="H1712" s="7">
        <v>30</v>
      </c>
      <c r="I1712" s="10" t="s">
        <v>2243</v>
      </c>
      <c r="K1712" s="10">
        <v>38</v>
      </c>
      <c r="L1712" s="43">
        <v>9</v>
      </c>
      <c r="M1712" s="43">
        <v>5</v>
      </c>
      <c r="N1712" s="12" t="s">
        <v>596</v>
      </c>
      <c r="P1712" s="10">
        <v>20</v>
      </c>
      <c r="T1712" s="10">
        <v>90</v>
      </c>
      <c r="V1712" s="45">
        <v>1</v>
      </c>
      <c r="W1712" s="14">
        <v>2</v>
      </c>
      <c r="X1712" s="29">
        <v>16.2</v>
      </c>
      <c r="Y1712" s="64" t="s">
        <v>1847</v>
      </c>
      <c r="Z1712" t="s">
        <v>1245</v>
      </c>
      <c r="AA1712" s="1" t="s">
        <v>238</v>
      </c>
    </row>
    <row r="1713" spans="1:27" ht="23.1" customHeight="1" x14ac:dyDescent="0.25">
      <c r="A1713" s="20" t="s">
        <v>1360</v>
      </c>
      <c r="B1713" s="7" t="s">
        <v>110</v>
      </c>
      <c r="C1713" s="7">
        <v>55</v>
      </c>
      <c r="D1713" s="7" t="s">
        <v>1270</v>
      </c>
      <c r="E1713" s="41" t="s">
        <v>409</v>
      </c>
      <c r="F1713" s="41" t="s">
        <v>409</v>
      </c>
      <c r="G1713" s="7" t="s">
        <v>102</v>
      </c>
      <c r="H1713" s="7">
        <v>30</v>
      </c>
      <c r="I1713" s="10" t="s">
        <v>2244</v>
      </c>
      <c r="K1713" s="10">
        <v>1</v>
      </c>
      <c r="L1713" s="43"/>
      <c r="M1713" s="43">
        <v>23</v>
      </c>
      <c r="N1713" s="12" t="s">
        <v>596</v>
      </c>
      <c r="P1713" s="10">
        <v>55</v>
      </c>
      <c r="T1713" s="10">
        <v>60</v>
      </c>
      <c r="V1713" s="45">
        <v>1</v>
      </c>
      <c r="W1713" s="14">
        <v>6</v>
      </c>
      <c r="X1713" s="29">
        <v>7.9</v>
      </c>
      <c r="Y1713" s="54" t="s">
        <v>44</v>
      </c>
      <c r="Z1713" t="s">
        <v>1387</v>
      </c>
    </row>
    <row r="1714" spans="1:27" ht="23.1" customHeight="1" x14ac:dyDescent="0.25">
      <c r="A1714" s="20" t="s">
        <v>1360</v>
      </c>
      <c r="B1714" s="7" t="s">
        <v>110</v>
      </c>
      <c r="C1714" s="7">
        <v>55</v>
      </c>
      <c r="D1714" s="7" t="s">
        <v>1270</v>
      </c>
      <c r="E1714" s="41" t="s">
        <v>409</v>
      </c>
      <c r="F1714" s="41" t="s">
        <v>409</v>
      </c>
      <c r="G1714" s="7" t="s">
        <v>102</v>
      </c>
      <c r="H1714" s="7">
        <v>35</v>
      </c>
      <c r="I1714" s="10" t="s">
        <v>2229</v>
      </c>
      <c r="K1714" s="10">
        <v>1</v>
      </c>
      <c r="L1714" s="43">
        <v>23</v>
      </c>
      <c r="M1714" s="43"/>
      <c r="N1714" s="12" t="s">
        <v>596</v>
      </c>
      <c r="P1714" s="10">
        <v>20</v>
      </c>
      <c r="T1714" s="10">
        <v>60</v>
      </c>
      <c r="V1714" s="45">
        <v>1</v>
      </c>
      <c r="X1714" s="29">
        <v>1.3</v>
      </c>
      <c r="Y1714" s="54" t="s">
        <v>44</v>
      </c>
    </row>
    <row r="1715" spans="1:27" ht="23.1" customHeight="1" x14ac:dyDescent="0.25">
      <c r="A1715" s="20" t="s">
        <v>1360</v>
      </c>
      <c r="B1715" s="7" t="s">
        <v>110</v>
      </c>
      <c r="C1715" s="7">
        <v>55</v>
      </c>
      <c r="D1715" s="7" t="s">
        <v>1270</v>
      </c>
      <c r="E1715" s="41" t="s">
        <v>409</v>
      </c>
      <c r="F1715" s="41" t="s">
        <v>409</v>
      </c>
      <c r="G1715" s="7" t="s">
        <v>102</v>
      </c>
      <c r="H1715" s="7">
        <v>40</v>
      </c>
      <c r="I1715" s="10" t="s">
        <v>2055</v>
      </c>
      <c r="J1715" s="10">
        <v>1</v>
      </c>
      <c r="K1715" s="10">
        <v>1</v>
      </c>
      <c r="L1715" s="43">
        <v>23</v>
      </c>
      <c r="M1715" s="43"/>
      <c r="N1715" s="12" t="s">
        <v>596</v>
      </c>
      <c r="P1715" s="10">
        <v>20</v>
      </c>
      <c r="T1715" s="10">
        <v>60</v>
      </c>
      <c r="V1715" s="45">
        <v>1</v>
      </c>
      <c r="X1715" s="29">
        <v>1.3</v>
      </c>
      <c r="Y1715" s="54" t="s">
        <v>44</v>
      </c>
      <c r="Z1715" t="s">
        <v>1387</v>
      </c>
    </row>
    <row r="1716" spans="1:27" ht="23.1" customHeight="1" x14ac:dyDescent="0.25">
      <c r="A1716" s="20" t="s">
        <v>1360</v>
      </c>
      <c r="B1716" s="7" t="s">
        <v>110</v>
      </c>
      <c r="C1716" s="7">
        <v>14</v>
      </c>
      <c r="D1716" s="7" t="s">
        <v>1388</v>
      </c>
      <c r="E1716" s="41" t="s">
        <v>625</v>
      </c>
      <c r="F1716" s="41" t="s">
        <v>625</v>
      </c>
      <c r="G1716" s="7" t="s">
        <v>250</v>
      </c>
      <c r="H1716" s="7">
        <v>5</v>
      </c>
      <c r="I1716" s="10" t="s">
        <v>1930</v>
      </c>
      <c r="J1716" s="10">
        <v>8</v>
      </c>
      <c r="K1716" s="10">
        <v>8</v>
      </c>
      <c r="L1716" s="43">
        <v>9</v>
      </c>
      <c r="M1716" s="43"/>
      <c r="N1716" s="12" t="s">
        <v>1389</v>
      </c>
      <c r="P1716" s="10">
        <v>60</v>
      </c>
      <c r="T1716" s="10">
        <v>60</v>
      </c>
      <c r="V1716" s="45">
        <v>1</v>
      </c>
      <c r="W1716" s="14">
        <v>3</v>
      </c>
      <c r="X1716" s="29">
        <v>12</v>
      </c>
      <c r="Y1716" s="54" t="s">
        <v>31</v>
      </c>
      <c r="Z1716" t="s">
        <v>955</v>
      </c>
      <c r="AA1716" s="1" t="s">
        <v>238</v>
      </c>
    </row>
    <row r="1717" spans="1:27" ht="23.1" customHeight="1" x14ac:dyDescent="0.25">
      <c r="A1717" s="20" t="s">
        <v>1360</v>
      </c>
      <c r="B1717" s="7" t="s">
        <v>110</v>
      </c>
      <c r="C1717" s="7">
        <v>17</v>
      </c>
      <c r="D1717" s="7" t="s">
        <v>1390</v>
      </c>
      <c r="E1717" s="41" t="s">
        <v>1283</v>
      </c>
      <c r="F1717" s="41" t="e">
        <v>#N/A</v>
      </c>
      <c r="G1717" s="7" t="s">
        <v>102</v>
      </c>
      <c r="H1717" s="7">
        <v>5</v>
      </c>
      <c r="I1717" s="10"/>
      <c r="K1717" s="10">
        <v>1</v>
      </c>
      <c r="L1717" s="43">
        <v>5</v>
      </c>
      <c r="M1717" s="43"/>
      <c r="V1717" s="45"/>
      <c r="W1717" s="14">
        <v>3.5</v>
      </c>
      <c r="X1717" s="29">
        <v>3.5</v>
      </c>
      <c r="Y1717" s="54" t="s">
        <v>16</v>
      </c>
      <c r="Z1717" t="s">
        <v>1391</v>
      </c>
      <c r="AA1717" t="s">
        <v>238</v>
      </c>
    </row>
    <row r="1718" spans="1:27" ht="23.1" customHeight="1" x14ac:dyDescent="0.25">
      <c r="A1718" s="20" t="s">
        <v>1360</v>
      </c>
      <c r="B1718" s="7" t="s">
        <v>110</v>
      </c>
      <c r="C1718" s="7">
        <v>17</v>
      </c>
      <c r="D1718" s="7" t="s">
        <v>1390</v>
      </c>
      <c r="E1718" s="41" t="s">
        <v>1283</v>
      </c>
      <c r="F1718" s="41" t="e">
        <v>#N/A</v>
      </c>
      <c r="G1718" s="7" t="s">
        <v>102</v>
      </c>
      <c r="H1718" s="7">
        <v>10</v>
      </c>
      <c r="I1718" s="10"/>
      <c r="K1718" s="10">
        <v>1</v>
      </c>
      <c r="L1718" s="43">
        <v>5</v>
      </c>
      <c r="M1718" s="43"/>
      <c r="V1718" s="45"/>
      <c r="W1718" s="14">
        <v>3.5</v>
      </c>
      <c r="X1718" s="29">
        <v>3.5</v>
      </c>
      <c r="Y1718" s="54" t="s">
        <v>16</v>
      </c>
      <c r="Z1718" t="s">
        <v>1391</v>
      </c>
      <c r="AA1718" t="s">
        <v>238</v>
      </c>
    </row>
    <row r="1719" spans="1:27" ht="23.1" customHeight="1" x14ac:dyDescent="0.25">
      <c r="A1719" s="20" t="s">
        <v>1360</v>
      </c>
      <c r="B1719" s="7" t="s">
        <v>110</v>
      </c>
      <c r="C1719" s="7">
        <v>17</v>
      </c>
      <c r="D1719" s="7" t="s">
        <v>1392</v>
      </c>
      <c r="E1719" s="41" t="s">
        <v>1283</v>
      </c>
      <c r="F1719" s="41" t="e">
        <v>#N/A</v>
      </c>
      <c r="G1719" s="7" t="s">
        <v>102</v>
      </c>
      <c r="H1719" s="7">
        <v>5</v>
      </c>
      <c r="I1719" s="10"/>
      <c r="K1719" s="10">
        <v>1</v>
      </c>
      <c r="L1719" s="43">
        <v>5</v>
      </c>
      <c r="M1719" s="43"/>
      <c r="V1719" s="45"/>
      <c r="W1719" s="14">
        <v>4</v>
      </c>
      <c r="X1719" s="29">
        <v>4</v>
      </c>
      <c r="Y1719" s="54" t="s">
        <v>16</v>
      </c>
      <c r="Z1719" t="s">
        <v>1393</v>
      </c>
      <c r="AA1719" t="s">
        <v>238</v>
      </c>
    </row>
    <row r="1720" spans="1:27" ht="23.1" customHeight="1" x14ac:dyDescent="0.25">
      <c r="A1720" s="20" t="s">
        <v>1360</v>
      </c>
      <c r="B1720" s="7" t="s">
        <v>110</v>
      </c>
      <c r="C1720" s="7">
        <v>17</v>
      </c>
      <c r="D1720" s="7" t="s">
        <v>1392</v>
      </c>
      <c r="E1720" s="41" t="s">
        <v>1283</v>
      </c>
      <c r="F1720" s="41" t="e">
        <v>#N/A</v>
      </c>
      <c r="G1720" s="7" t="s">
        <v>102</v>
      </c>
      <c r="H1720" s="7">
        <v>10</v>
      </c>
      <c r="I1720" s="10"/>
      <c r="K1720" s="10">
        <v>1</v>
      </c>
      <c r="L1720" s="43">
        <v>5</v>
      </c>
      <c r="M1720" s="43"/>
      <c r="V1720" s="45"/>
      <c r="W1720" s="14">
        <v>4</v>
      </c>
      <c r="X1720" s="29">
        <v>4</v>
      </c>
      <c r="Y1720" s="54" t="s">
        <v>16</v>
      </c>
      <c r="Z1720" t="s">
        <v>1393</v>
      </c>
      <c r="AA1720" t="s">
        <v>238</v>
      </c>
    </row>
    <row r="1721" spans="1:27" ht="23.1" customHeight="1" x14ac:dyDescent="0.25">
      <c r="A1721" s="20" t="s">
        <v>1360</v>
      </c>
      <c r="B1721" s="7" t="s">
        <v>110</v>
      </c>
      <c r="C1721" s="7">
        <v>77</v>
      </c>
      <c r="D1721" s="7" t="s">
        <v>1383</v>
      </c>
      <c r="E1721" s="41" t="s">
        <v>1384</v>
      </c>
      <c r="F1721" s="41" t="s">
        <v>1384</v>
      </c>
      <c r="G1721" s="7" t="s">
        <v>154</v>
      </c>
      <c r="H1721" s="7">
        <v>10</v>
      </c>
      <c r="I1721" s="10" t="s">
        <v>2241</v>
      </c>
      <c r="J1721" s="10">
        <v>24</v>
      </c>
      <c r="K1721" s="10">
        <v>26</v>
      </c>
      <c r="L1721" s="43">
        <v>9</v>
      </c>
      <c r="M1721" s="43"/>
      <c r="N1721" s="12" t="s">
        <v>1169</v>
      </c>
      <c r="P1721" s="10">
        <v>30</v>
      </c>
      <c r="T1721" s="10">
        <v>60</v>
      </c>
      <c r="V1721" s="45"/>
      <c r="X1721" s="29">
        <v>13</v>
      </c>
      <c r="Y1721" s="54" t="s">
        <v>15</v>
      </c>
    </row>
    <row r="1722" spans="1:27" ht="23.1" customHeight="1" x14ac:dyDescent="0.25">
      <c r="A1722" s="20" t="s">
        <v>1360</v>
      </c>
      <c r="B1722" s="7" t="s">
        <v>110</v>
      </c>
      <c r="C1722" s="7">
        <v>79</v>
      </c>
      <c r="D1722" s="7" t="s">
        <v>152</v>
      </c>
      <c r="E1722" s="41" t="s">
        <v>1247</v>
      </c>
      <c r="F1722" s="41" t="s">
        <v>1247</v>
      </c>
      <c r="G1722" s="7" t="s">
        <v>154</v>
      </c>
      <c r="H1722" s="7">
        <v>50</v>
      </c>
      <c r="I1722" s="10" t="s">
        <v>2204</v>
      </c>
      <c r="J1722" s="10">
        <v>0.3</v>
      </c>
      <c r="K1722" s="10">
        <v>0.3</v>
      </c>
      <c r="L1722" s="43">
        <v>9</v>
      </c>
      <c r="M1722" s="43"/>
      <c r="N1722" s="12" t="s">
        <v>421</v>
      </c>
      <c r="P1722" s="10">
        <v>3700</v>
      </c>
      <c r="Q1722" s="10">
        <v>90</v>
      </c>
      <c r="T1722" s="10">
        <v>180</v>
      </c>
      <c r="V1722" s="45"/>
      <c r="X1722" s="29">
        <v>18.5</v>
      </c>
      <c r="Y1722" s="54" t="s">
        <v>19</v>
      </c>
    </row>
    <row r="1723" spans="1:27" ht="23.1" customHeight="1" x14ac:dyDescent="0.25">
      <c r="A1723" s="20" t="s">
        <v>1360</v>
      </c>
      <c r="B1723" s="7" t="s">
        <v>110</v>
      </c>
      <c r="C1723" s="7">
        <v>13</v>
      </c>
      <c r="D1723" s="7" t="s">
        <v>1394</v>
      </c>
      <c r="E1723" s="41" t="s">
        <v>1278</v>
      </c>
      <c r="F1723" s="41" t="s">
        <v>1278</v>
      </c>
      <c r="G1723" s="7" t="s">
        <v>123</v>
      </c>
      <c r="H1723" s="7">
        <v>30</v>
      </c>
      <c r="I1723" s="10" t="s">
        <v>2257</v>
      </c>
      <c r="J1723" s="10">
        <v>7</v>
      </c>
      <c r="K1723" s="10">
        <v>5</v>
      </c>
      <c r="L1723" s="43">
        <v>23</v>
      </c>
      <c r="M1723" s="43">
        <v>31</v>
      </c>
      <c r="N1723" s="12" t="s">
        <v>164</v>
      </c>
      <c r="P1723" s="10">
        <v>70</v>
      </c>
      <c r="T1723" s="10">
        <v>60</v>
      </c>
      <c r="V1723" s="45"/>
      <c r="W1723" s="14">
        <v>2</v>
      </c>
      <c r="X1723" s="29">
        <v>7.8</v>
      </c>
      <c r="Y1723" s="54" t="s">
        <v>72</v>
      </c>
      <c r="Z1723" t="s">
        <v>1395</v>
      </c>
    </row>
    <row r="1724" spans="1:27" ht="23.1" customHeight="1" x14ac:dyDescent="0.25">
      <c r="A1724" s="20" t="s">
        <v>1360</v>
      </c>
      <c r="B1724" s="7" t="s">
        <v>110</v>
      </c>
      <c r="C1724" s="7">
        <v>13</v>
      </c>
      <c r="D1724" s="7" t="s">
        <v>895</v>
      </c>
      <c r="E1724" s="41" t="s">
        <v>896</v>
      </c>
      <c r="F1724" s="41" t="s">
        <v>896</v>
      </c>
      <c r="G1724" s="7" t="s">
        <v>102</v>
      </c>
      <c r="H1724" s="7">
        <v>25</v>
      </c>
      <c r="I1724" s="10" t="s">
        <v>1850</v>
      </c>
      <c r="K1724" s="10">
        <v>8</v>
      </c>
      <c r="L1724" s="43">
        <v>23</v>
      </c>
      <c r="M1724" s="43">
        <v>5</v>
      </c>
      <c r="N1724" s="12" t="s">
        <v>596</v>
      </c>
      <c r="P1724" s="10">
        <v>40</v>
      </c>
      <c r="T1724" s="10">
        <v>90</v>
      </c>
      <c r="V1724" s="45">
        <v>1</v>
      </c>
      <c r="W1724" s="14">
        <v>2</v>
      </c>
      <c r="X1724" s="29">
        <v>8.8000000000000007</v>
      </c>
      <c r="Y1724" s="54" t="s">
        <v>72</v>
      </c>
      <c r="Z1724" t="s">
        <v>1396</v>
      </c>
    </row>
    <row r="1725" spans="1:27" ht="23.1" customHeight="1" x14ac:dyDescent="0.25">
      <c r="A1725" s="20" t="s">
        <v>1360</v>
      </c>
      <c r="B1725" s="7" t="s">
        <v>110</v>
      </c>
      <c r="C1725" s="7">
        <v>56</v>
      </c>
      <c r="D1725" s="7" t="s">
        <v>1397</v>
      </c>
      <c r="E1725" s="41" t="s">
        <v>1398</v>
      </c>
      <c r="F1725" s="41" t="s">
        <v>1398</v>
      </c>
      <c r="G1725" s="7" t="s">
        <v>118</v>
      </c>
      <c r="H1725" s="7">
        <v>20</v>
      </c>
      <c r="I1725" s="10" t="s">
        <v>1936</v>
      </c>
      <c r="J1725" s="10">
        <v>9</v>
      </c>
      <c r="K1725" s="10">
        <v>13</v>
      </c>
      <c r="L1725" s="43">
        <v>23</v>
      </c>
      <c r="M1725" s="43">
        <v>28</v>
      </c>
      <c r="N1725" s="12" t="s">
        <v>1399</v>
      </c>
      <c r="P1725" s="10">
        <v>60</v>
      </c>
      <c r="T1725" s="10">
        <v>60</v>
      </c>
      <c r="V1725" s="45">
        <v>1</v>
      </c>
      <c r="W1725" s="14">
        <v>2</v>
      </c>
      <c r="X1725" s="29">
        <v>16</v>
      </c>
      <c r="Y1725" s="54" t="s">
        <v>44</v>
      </c>
      <c r="Z1725" t="s">
        <v>1245</v>
      </c>
      <c r="AA1725" s="1" t="s">
        <v>238</v>
      </c>
    </row>
    <row r="1726" spans="1:27" ht="23.1" customHeight="1" x14ac:dyDescent="0.25">
      <c r="A1726" s="20" t="s">
        <v>1360</v>
      </c>
      <c r="B1726" s="7" t="s">
        <v>110</v>
      </c>
      <c r="C1726" s="7">
        <v>15</v>
      </c>
      <c r="D1726" s="7" t="s">
        <v>1255</v>
      </c>
      <c r="E1726" s="41" t="s">
        <v>117</v>
      </c>
      <c r="F1726" s="41" t="s">
        <v>117</v>
      </c>
      <c r="G1726" s="7" t="s">
        <v>118</v>
      </c>
      <c r="H1726" s="7">
        <v>25</v>
      </c>
      <c r="I1726" s="10" t="s">
        <v>2018</v>
      </c>
      <c r="J1726" s="10">
        <v>0.8</v>
      </c>
      <c r="K1726" s="10">
        <v>1.2</v>
      </c>
      <c r="L1726" s="43">
        <v>37</v>
      </c>
      <c r="M1726" s="43">
        <v>37</v>
      </c>
      <c r="N1726" s="12" t="s">
        <v>1100</v>
      </c>
      <c r="P1726" s="10">
        <v>900</v>
      </c>
      <c r="T1726" s="10">
        <v>120</v>
      </c>
      <c r="V1726" s="45"/>
      <c r="X1726" s="29">
        <v>18</v>
      </c>
      <c r="Y1726" s="54" t="s">
        <v>31</v>
      </c>
    </row>
    <row r="1727" spans="1:27" ht="23.1" customHeight="1" x14ac:dyDescent="0.25">
      <c r="A1727" s="20" t="s">
        <v>1360</v>
      </c>
      <c r="B1727" s="7" t="s">
        <v>110</v>
      </c>
      <c r="C1727" s="7">
        <v>23</v>
      </c>
      <c r="D1727" s="7" t="s">
        <v>498</v>
      </c>
      <c r="E1727" s="41" t="s">
        <v>499</v>
      </c>
      <c r="F1727" s="41" t="s">
        <v>499</v>
      </c>
      <c r="G1727" s="7" t="s">
        <v>118</v>
      </c>
      <c r="H1727" s="7">
        <v>10</v>
      </c>
      <c r="I1727" s="10" t="s">
        <v>2245</v>
      </c>
      <c r="J1727" s="10">
        <v>6</v>
      </c>
      <c r="K1727" s="10">
        <v>7</v>
      </c>
      <c r="L1727" s="43">
        <v>28</v>
      </c>
      <c r="M1727" s="43">
        <v>28</v>
      </c>
      <c r="N1727" s="12" t="s">
        <v>1400</v>
      </c>
      <c r="P1727" s="10">
        <v>180</v>
      </c>
      <c r="Q1727" s="10">
        <v>60</v>
      </c>
      <c r="S1727" s="11">
        <v>7</v>
      </c>
      <c r="T1727" s="10">
        <v>120</v>
      </c>
      <c r="V1727" s="45">
        <v>1</v>
      </c>
      <c r="X1727" s="29">
        <v>30</v>
      </c>
      <c r="Y1727" s="54" t="s">
        <v>33</v>
      </c>
    </row>
    <row r="1728" spans="1:27" ht="23.1" customHeight="1" x14ac:dyDescent="0.25">
      <c r="A1728" s="20" t="s">
        <v>1360</v>
      </c>
      <c r="B1728" s="7" t="s">
        <v>110</v>
      </c>
      <c r="C1728" s="7">
        <v>47</v>
      </c>
      <c r="D1728" s="7" t="s">
        <v>258</v>
      </c>
      <c r="E1728" s="41" t="s">
        <v>259</v>
      </c>
      <c r="F1728" s="41" t="s">
        <v>284</v>
      </c>
      <c r="G1728" s="7" t="s">
        <v>123</v>
      </c>
      <c r="H1728" s="7">
        <v>15</v>
      </c>
      <c r="I1728" s="10" t="s">
        <v>2473</v>
      </c>
      <c r="J1728" s="10">
        <v>1.5</v>
      </c>
      <c r="K1728" s="10">
        <v>1.5</v>
      </c>
      <c r="L1728" s="43">
        <v>28</v>
      </c>
      <c r="M1728" s="43">
        <v>28</v>
      </c>
      <c r="N1728" s="12" t="s">
        <v>1401</v>
      </c>
      <c r="P1728" s="10">
        <v>480</v>
      </c>
      <c r="Q1728" s="10">
        <v>90</v>
      </c>
      <c r="S1728" s="11">
        <v>2</v>
      </c>
      <c r="T1728" s="10">
        <v>60</v>
      </c>
      <c r="V1728" s="45"/>
      <c r="X1728" s="29">
        <v>15</v>
      </c>
      <c r="Y1728" s="54" t="s">
        <v>33</v>
      </c>
    </row>
    <row r="1729" spans="1:27" ht="23.1" customHeight="1" x14ac:dyDescent="0.25">
      <c r="A1729" s="20" t="s">
        <v>1360</v>
      </c>
      <c r="B1729" s="7" t="s">
        <v>110</v>
      </c>
      <c r="C1729" s="7">
        <v>47</v>
      </c>
      <c r="D1729" s="7" t="s">
        <v>258</v>
      </c>
      <c r="E1729" s="41" t="s">
        <v>259</v>
      </c>
      <c r="F1729" s="41" t="s">
        <v>284</v>
      </c>
      <c r="G1729" s="7" t="s">
        <v>123</v>
      </c>
      <c r="H1729" s="7">
        <v>30</v>
      </c>
      <c r="I1729" s="10" t="s">
        <v>2199</v>
      </c>
      <c r="J1729" s="10">
        <v>0.1</v>
      </c>
      <c r="K1729" s="10">
        <v>0.1</v>
      </c>
      <c r="L1729" s="43">
        <v>5</v>
      </c>
      <c r="M1729" s="43"/>
      <c r="N1729" s="12" t="s">
        <v>1402</v>
      </c>
      <c r="P1729" s="10">
        <v>720</v>
      </c>
      <c r="Q1729" s="10">
        <v>120</v>
      </c>
      <c r="S1729" s="11">
        <v>1</v>
      </c>
      <c r="T1729" s="10">
        <v>90</v>
      </c>
      <c r="V1729" s="45">
        <v>1</v>
      </c>
      <c r="X1729" s="29">
        <v>4.7</v>
      </c>
      <c r="Y1729" s="54" t="s">
        <v>33</v>
      </c>
    </row>
    <row r="1730" spans="1:27" ht="23.1" customHeight="1" x14ac:dyDescent="0.25">
      <c r="A1730" s="20" t="s">
        <v>1360</v>
      </c>
      <c r="B1730" s="7" t="s">
        <v>110</v>
      </c>
      <c r="C1730" s="7">
        <v>21</v>
      </c>
      <c r="D1730" s="7" t="s">
        <v>321</v>
      </c>
      <c r="E1730" s="41" t="s">
        <v>322</v>
      </c>
      <c r="F1730" s="41" t="s">
        <v>322</v>
      </c>
      <c r="G1730" s="7" t="s">
        <v>323</v>
      </c>
      <c r="H1730" s="7">
        <v>55</v>
      </c>
      <c r="I1730" s="10" t="s">
        <v>2004</v>
      </c>
      <c r="J1730" s="10">
        <v>1</v>
      </c>
      <c r="K1730" s="10">
        <v>1.1000000000000001</v>
      </c>
      <c r="L1730" s="43">
        <v>28</v>
      </c>
      <c r="M1730" s="43">
        <v>26</v>
      </c>
      <c r="N1730" s="12" t="s">
        <v>1000</v>
      </c>
      <c r="P1730" s="10">
        <v>660</v>
      </c>
      <c r="Q1730" s="10">
        <v>120</v>
      </c>
      <c r="S1730" s="11">
        <v>2</v>
      </c>
      <c r="T1730" s="10">
        <v>180</v>
      </c>
      <c r="V1730" s="45">
        <v>1</v>
      </c>
      <c r="X1730" s="29">
        <v>19.100000000000001</v>
      </c>
      <c r="Y1730" s="54" t="s">
        <v>58</v>
      </c>
    </row>
    <row r="1731" spans="1:27" ht="23.1" customHeight="1" x14ac:dyDescent="0.25">
      <c r="A1731" s="20" t="s">
        <v>1360</v>
      </c>
      <c r="B1731" s="7" t="s">
        <v>110</v>
      </c>
      <c r="C1731" s="7">
        <v>22</v>
      </c>
      <c r="D1731" s="42" t="s">
        <v>1403</v>
      </c>
      <c r="E1731" s="41" t="s">
        <v>612</v>
      </c>
      <c r="F1731" s="41" t="s">
        <v>101</v>
      </c>
      <c r="G1731" s="7" t="s">
        <v>154</v>
      </c>
      <c r="H1731" s="7">
        <v>10</v>
      </c>
      <c r="I1731" s="10" t="s">
        <v>2247</v>
      </c>
      <c r="J1731" s="10">
        <v>0.3</v>
      </c>
      <c r="K1731" s="10">
        <v>0.1</v>
      </c>
      <c r="L1731" s="43">
        <v>5</v>
      </c>
      <c r="M1731" s="43"/>
      <c r="N1731" s="12" t="s">
        <v>613</v>
      </c>
      <c r="P1731" s="10">
        <v>2700</v>
      </c>
      <c r="Q1731" s="10">
        <v>240</v>
      </c>
      <c r="T1731" s="10">
        <v>240</v>
      </c>
      <c r="U1731" s="44"/>
      <c r="V1731" s="45"/>
      <c r="X1731" s="29">
        <v>4.5</v>
      </c>
      <c r="Y1731" s="54" t="s">
        <v>58</v>
      </c>
    </row>
    <row r="1732" spans="1:27" ht="23.1" customHeight="1" x14ac:dyDescent="0.25">
      <c r="A1732" s="20" t="s">
        <v>1360</v>
      </c>
      <c r="B1732" s="7" t="s">
        <v>110</v>
      </c>
      <c r="C1732" s="7">
        <v>22</v>
      </c>
      <c r="D1732" s="7" t="s">
        <v>100</v>
      </c>
      <c r="E1732" s="41" t="s">
        <v>101</v>
      </c>
      <c r="F1732" s="41" t="s">
        <v>101</v>
      </c>
      <c r="G1732" s="7" t="s">
        <v>154</v>
      </c>
      <c r="H1732" s="7">
        <v>15</v>
      </c>
      <c r="I1732" s="10" t="s">
        <v>2248</v>
      </c>
      <c r="J1732" s="10">
        <v>0.5</v>
      </c>
      <c r="K1732" s="10">
        <v>0.5</v>
      </c>
      <c r="L1732" s="43">
        <v>26</v>
      </c>
      <c r="M1732" s="43"/>
      <c r="N1732" s="12" t="s">
        <v>613</v>
      </c>
      <c r="P1732" s="10">
        <v>2100</v>
      </c>
      <c r="Q1732" s="10">
        <v>180</v>
      </c>
      <c r="S1732" s="11">
        <v>1</v>
      </c>
      <c r="T1732" s="10">
        <v>180</v>
      </c>
      <c r="V1732" s="45">
        <v>1</v>
      </c>
      <c r="W1732" s="14">
        <v>2</v>
      </c>
      <c r="X1732" s="29">
        <v>25.5</v>
      </c>
      <c r="Y1732" s="54" t="s">
        <v>58</v>
      </c>
      <c r="Z1732" t="s">
        <v>1245</v>
      </c>
    </row>
    <row r="1733" spans="1:27" ht="23.1" customHeight="1" x14ac:dyDescent="0.25">
      <c r="A1733" s="20" t="s">
        <v>1360</v>
      </c>
      <c r="B1733" s="7" t="s">
        <v>110</v>
      </c>
      <c r="C1733" s="7">
        <v>12</v>
      </c>
      <c r="D1733" s="7" t="s">
        <v>735</v>
      </c>
      <c r="E1733" s="41" t="s">
        <v>249</v>
      </c>
      <c r="F1733" s="41" t="s">
        <v>249</v>
      </c>
      <c r="G1733" s="7" t="s">
        <v>250</v>
      </c>
      <c r="H1733" s="7">
        <v>25</v>
      </c>
      <c r="I1733" s="10" t="s">
        <v>1923</v>
      </c>
      <c r="J1733" s="10">
        <v>1</v>
      </c>
      <c r="K1733" s="10">
        <v>1</v>
      </c>
      <c r="L1733" s="43">
        <v>26</v>
      </c>
      <c r="M1733" s="43"/>
      <c r="N1733" s="12" t="s">
        <v>1404</v>
      </c>
      <c r="P1733" s="10">
        <v>1080</v>
      </c>
      <c r="T1733" s="10">
        <v>120</v>
      </c>
      <c r="V1733" s="45"/>
      <c r="X1733" s="29">
        <v>18</v>
      </c>
      <c r="Y1733" s="54" t="s">
        <v>72</v>
      </c>
    </row>
    <row r="1734" spans="1:27" ht="23.1" customHeight="1" x14ac:dyDescent="0.25">
      <c r="A1734" s="20" t="s">
        <v>1360</v>
      </c>
      <c r="B1734" s="7" t="s">
        <v>137</v>
      </c>
      <c r="C1734" s="7">
        <v>58</v>
      </c>
      <c r="D1734" s="7" t="s">
        <v>1405</v>
      </c>
      <c r="E1734" s="41" t="s">
        <v>1406</v>
      </c>
      <c r="F1734" s="41" t="e">
        <v>#N/A</v>
      </c>
      <c r="G1734" s="7" t="s">
        <v>102</v>
      </c>
      <c r="H1734" s="7">
        <v>20</v>
      </c>
      <c r="I1734" s="10"/>
      <c r="J1734" s="10">
        <v>1</v>
      </c>
      <c r="K1734" s="10">
        <v>1</v>
      </c>
      <c r="L1734" s="43">
        <v>28</v>
      </c>
      <c r="M1734" s="43">
        <v>28</v>
      </c>
      <c r="N1734" s="12" t="s">
        <v>108</v>
      </c>
      <c r="V1734" s="45">
        <v>1</v>
      </c>
      <c r="W1734" s="14">
        <v>20</v>
      </c>
      <c r="X1734" s="29">
        <v>20</v>
      </c>
      <c r="Y1734" s="54" t="s">
        <v>57</v>
      </c>
      <c r="Z1734" t="s">
        <v>1407</v>
      </c>
      <c r="AA1734" t="s">
        <v>238</v>
      </c>
    </row>
    <row r="1735" spans="1:27" ht="23.1" customHeight="1" x14ac:dyDescent="0.25">
      <c r="A1735" s="20" t="s">
        <v>1360</v>
      </c>
      <c r="B1735" s="7" t="s">
        <v>137</v>
      </c>
      <c r="C1735" s="7">
        <v>9</v>
      </c>
      <c r="D1735" s="7" t="s">
        <v>1287</v>
      </c>
      <c r="E1735" s="41" t="s">
        <v>1288</v>
      </c>
      <c r="F1735" s="41" t="s">
        <v>1367</v>
      </c>
      <c r="G1735" s="7" t="s">
        <v>123</v>
      </c>
      <c r="H1735" s="7">
        <v>10</v>
      </c>
      <c r="I1735" s="10" t="s">
        <v>2215</v>
      </c>
      <c r="J1735" s="10">
        <v>1.5</v>
      </c>
      <c r="K1735" s="10">
        <v>2</v>
      </c>
      <c r="L1735" s="43">
        <v>28</v>
      </c>
      <c r="M1735" s="43">
        <v>28</v>
      </c>
      <c r="N1735" s="12" t="s">
        <v>925</v>
      </c>
      <c r="P1735" s="10">
        <v>390</v>
      </c>
      <c r="T1735" s="10">
        <v>90</v>
      </c>
      <c r="V1735" s="45"/>
      <c r="X1735" s="29">
        <v>13</v>
      </c>
      <c r="Y1735" s="54" t="s">
        <v>55</v>
      </c>
    </row>
    <row r="1736" spans="1:27" ht="23.1" customHeight="1" x14ac:dyDescent="0.25">
      <c r="A1736" s="20" t="s">
        <v>1360</v>
      </c>
      <c r="B1736" s="7" t="s">
        <v>137</v>
      </c>
      <c r="C1736" s="7">
        <v>10</v>
      </c>
      <c r="D1736" s="7" t="s">
        <v>217</v>
      </c>
      <c r="E1736" s="41" t="s">
        <v>218</v>
      </c>
      <c r="F1736" s="41" t="s">
        <v>218</v>
      </c>
      <c r="G1736" s="7" t="s">
        <v>107</v>
      </c>
      <c r="H1736" s="7">
        <v>55</v>
      </c>
      <c r="I1736" s="10" t="s">
        <v>2227</v>
      </c>
      <c r="J1736" s="10">
        <v>2</v>
      </c>
      <c r="K1736" s="10">
        <v>2.2999999999999998</v>
      </c>
      <c r="L1736" s="43">
        <v>31</v>
      </c>
      <c r="M1736" s="43">
        <v>31</v>
      </c>
      <c r="N1736" s="12" t="s">
        <v>219</v>
      </c>
      <c r="P1736" s="10">
        <v>270</v>
      </c>
      <c r="T1736" s="10">
        <v>90</v>
      </c>
      <c r="V1736" s="45"/>
      <c r="X1736" s="29">
        <v>10.4</v>
      </c>
      <c r="Y1736" s="54" t="s">
        <v>55</v>
      </c>
    </row>
    <row r="1737" spans="1:27" ht="23.1" customHeight="1" x14ac:dyDescent="0.25">
      <c r="A1737" s="20" t="s">
        <v>1360</v>
      </c>
      <c r="B1737" s="7" t="s">
        <v>137</v>
      </c>
      <c r="C1737" s="7">
        <v>57</v>
      </c>
      <c r="D1737" s="7" t="s">
        <v>1031</v>
      </c>
      <c r="E1737" s="41" t="s">
        <v>1032</v>
      </c>
      <c r="F1737" s="41" t="s">
        <v>1032</v>
      </c>
      <c r="G1737" s="7" t="s">
        <v>107</v>
      </c>
      <c r="H1737" s="7">
        <v>30</v>
      </c>
      <c r="I1737" s="10" t="s">
        <v>2242</v>
      </c>
      <c r="J1737" s="10">
        <v>2</v>
      </c>
      <c r="K1737" s="10">
        <v>3</v>
      </c>
      <c r="L1737" s="43">
        <v>28</v>
      </c>
      <c r="M1737" s="43">
        <v>28</v>
      </c>
      <c r="N1737" s="12" t="s">
        <v>1408</v>
      </c>
      <c r="P1737" s="10">
        <v>220</v>
      </c>
      <c r="T1737" s="10">
        <v>90</v>
      </c>
      <c r="V1737" s="45"/>
      <c r="X1737" s="29">
        <v>11</v>
      </c>
      <c r="Y1737" s="54" t="s">
        <v>57</v>
      </c>
    </row>
    <row r="1738" spans="1:27" ht="23.1" customHeight="1" x14ac:dyDescent="0.25">
      <c r="A1738" s="20" t="s">
        <v>1360</v>
      </c>
      <c r="B1738" s="7" t="s">
        <v>137</v>
      </c>
      <c r="C1738" s="7">
        <v>59</v>
      </c>
      <c r="D1738" s="7" t="s">
        <v>1386</v>
      </c>
      <c r="E1738" s="41" t="s">
        <v>1288</v>
      </c>
      <c r="F1738" s="41" t="s">
        <v>1288</v>
      </c>
      <c r="G1738" s="7" t="s">
        <v>102</v>
      </c>
      <c r="H1738" s="7">
        <v>30</v>
      </c>
      <c r="I1738" s="10" t="s">
        <v>2243</v>
      </c>
      <c r="J1738" s="10">
        <v>40</v>
      </c>
      <c r="K1738" s="10">
        <v>40</v>
      </c>
      <c r="L1738" s="43">
        <v>31</v>
      </c>
      <c r="M1738" s="43">
        <v>31</v>
      </c>
      <c r="N1738" s="12" t="s">
        <v>596</v>
      </c>
      <c r="P1738" s="10">
        <v>20</v>
      </c>
      <c r="T1738" s="10">
        <v>90</v>
      </c>
      <c r="V1738" s="45"/>
      <c r="X1738" s="29">
        <v>13.3</v>
      </c>
      <c r="Y1738" s="54" t="s">
        <v>42</v>
      </c>
    </row>
    <row r="1739" spans="1:27" ht="23.1" customHeight="1" x14ac:dyDescent="0.25">
      <c r="A1739" s="20" t="s">
        <v>1360</v>
      </c>
      <c r="B1739" s="7" t="s">
        <v>137</v>
      </c>
      <c r="C1739" s="7">
        <v>58</v>
      </c>
      <c r="D1739" s="7" t="s">
        <v>1386</v>
      </c>
      <c r="E1739" s="41" t="s">
        <v>1288</v>
      </c>
      <c r="F1739" s="41" t="s">
        <v>1288</v>
      </c>
      <c r="G1739" s="7" t="s">
        <v>102</v>
      </c>
      <c r="H1739" s="7">
        <v>30</v>
      </c>
      <c r="I1739" s="10" t="s">
        <v>2243</v>
      </c>
      <c r="K1739" s="10">
        <v>36</v>
      </c>
      <c r="L1739" s="43">
        <v>5</v>
      </c>
      <c r="M1739" s="43">
        <v>31</v>
      </c>
      <c r="N1739" s="12" t="s">
        <v>596</v>
      </c>
      <c r="P1739" s="10">
        <v>20</v>
      </c>
      <c r="T1739" s="10">
        <v>90</v>
      </c>
      <c r="V1739" s="45"/>
      <c r="X1739" s="29">
        <v>12</v>
      </c>
      <c r="Y1739" s="54" t="s">
        <v>42</v>
      </c>
    </row>
    <row r="1740" spans="1:27" ht="23.1" customHeight="1" x14ac:dyDescent="0.25">
      <c r="A1740" s="20" t="s">
        <v>1360</v>
      </c>
      <c r="B1740" s="7" t="s">
        <v>137</v>
      </c>
      <c r="C1740" s="7">
        <v>11</v>
      </c>
      <c r="D1740" s="7" t="s">
        <v>1296</v>
      </c>
      <c r="E1740" s="41" t="s">
        <v>1297</v>
      </c>
      <c r="F1740" s="41" t="s">
        <v>1297</v>
      </c>
      <c r="G1740" s="7" t="s">
        <v>154</v>
      </c>
      <c r="H1740" s="7">
        <v>35</v>
      </c>
      <c r="I1740" s="10" t="s">
        <v>2073</v>
      </c>
      <c r="J1740" s="10">
        <v>1</v>
      </c>
      <c r="K1740" s="10">
        <v>1</v>
      </c>
      <c r="L1740" s="43">
        <v>31</v>
      </c>
      <c r="M1740" s="43"/>
      <c r="N1740" s="12" t="s">
        <v>439</v>
      </c>
      <c r="P1740" s="10">
        <v>150</v>
      </c>
      <c r="T1740" s="10">
        <v>60</v>
      </c>
      <c r="V1740" s="45"/>
      <c r="X1740" s="29">
        <v>2.5</v>
      </c>
      <c r="Y1740" s="54" t="s">
        <v>38</v>
      </c>
    </row>
    <row r="1741" spans="1:27" ht="23.1" customHeight="1" x14ac:dyDescent="0.25">
      <c r="A1741" s="20" t="s">
        <v>1360</v>
      </c>
      <c r="B1741" s="7" t="s">
        <v>137</v>
      </c>
      <c r="C1741" s="7">
        <v>11</v>
      </c>
      <c r="D1741" s="7" t="s">
        <v>1409</v>
      </c>
      <c r="E1741" s="41" t="s">
        <v>1410</v>
      </c>
      <c r="F1741" s="41" t="e">
        <v>#N/A</v>
      </c>
      <c r="G1741" s="7" t="s">
        <v>102</v>
      </c>
      <c r="H1741" s="7">
        <v>10</v>
      </c>
      <c r="I1741" s="10"/>
      <c r="J1741" s="10">
        <v>10</v>
      </c>
      <c r="K1741" s="10">
        <v>2</v>
      </c>
      <c r="L1741" s="43">
        <v>26</v>
      </c>
      <c r="M1741" s="43">
        <v>26</v>
      </c>
      <c r="V1741" s="45">
        <v>1</v>
      </c>
      <c r="W1741" s="14">
        <v>4</v>
      </c>
      <c r="X1741" s="29">
        <v>4</v>
      </c>
      <c r="Y1741" s="54" t="s">
        <v>38</v>
      </c>
    </row>
    <row r="1742" spans="1:27" ht="23.1" customHeight="1" x14ac:dyDescent="0.25">
      <c r="A1742" s="20" t="s">
        <v>1360</v>
      </c>
      <c r="B1742" s="7" t="s">
        <v>137</v>
      </c>
      <c r="C1742" s="7">
        <v>16</v>
      </c>
      <c r="D1742" s="7" t="s">
        <v>1249</v>
      </c>
      <c r="E1742" s="41" t="s">
        <v>409</v>
      </c>
      <c r="F1742" s="41" t="s">
        <v>409</v>
      </c>
      <c r="G1742" s="7" t="s">
        <v>102</v>
      </c>
      <c r="H1742" s="7">
        <v>15</v>
      </c>
      <c r="I1742" s="10" t="s">
        <v>2249</v>
      </c>
      <c r="K1742" s="10">
        <v>1</v>
      </c>
      <c r="L1742" s="43">
        <v>28</v>
      </c>
      <c r="M1742" s="43"/>
      <c r="N1742" s="12" t="s">
        <v>596</v>
      </c>
      <c r="P1742" s="10">
        <v>150</v>
      </c>
      <c r="T1742" s="10">
        <v>90</v>
      </c>
      <c r="V1742" s="45">
        <v>1</v>
      </c>
      <c r="W1742" s="14">
        <v>3</v>
      </c>
      <c r="X1742" s="29">
        <v>7</v>
      </c>
      <c r="Y1742" s="54" t="s">
        <v>38</v>
      </c>
      <c r="Z1742" t="s">
        <v>1326</v>
      </c>
      <c r="AA1742" s="1" t="s">
        <v>238</v>
      </c>
    </row>
    <row r="1743" spans="1:27" ht="23.1" customHeight="1" x14ac:dyDescent="0.25">
      <c r="A1743" s="20" t="s">
        <v>1360</v>
      </c>
      <c r="B1743" s="7" t="s">
        <v>137</v>
      </c>
      <c r="C1743" s="7">
        <v>16</v>
      </c>
      <c r="D1743" s="7" t="s">
        <v>1249</v>
      </c>
      <c r="E1743" s="41" t="s">
        <v>409</v>
      </c>
      <c r="F1743" s="41" t="s">
        <v>409</v>
      </c>
      <c r="G1743" s="7" t="s">
        <v>102</v>
      </c>
      <c r="H1743" s="7">
        <v>20</v>
      </c>
      <c r="I1743" s="10" t="s">
        <v>2106</v>
      </c>
      <c r="K1743" s="10">
        <v>1</v>
      </c>
      <c r="L1743" s="43"/>
      <c r="M1743" s="43">
        <v>31</v>
      </c>
      <c r="N1743" s="12" t="s">
        <v>596</v>
      </c>
      <c r="P1743" s="10">
        <v>25</v>
      </c>
      <c r="T1743" s="10">
        <v>60</v>
      </c>
      <c r="V1743" s="45">
        <v>1</v>
      </c>
      <c r="X1743" s="29">
        <v>1.4</v>
      </c>
      <c r="Y1743" s="54" t="s">
        <v>38</v>
      </c>
    </row>
    <row r="1744" spans="1:27" ht="23.1" customHeight="1" x14ac:dyDescent="0.25">
      <c r="A1744" s="20" t="s">
        <v>1360</v>
      </c>
      <c r="B1744" s="7" t="s">
        <v>137</v>
      </c>
      <c r="C1744" s="7">
        <v>18</v>
      </c>
      <c r="D1744" s="7" t="s">
        <v>1030</v>
      </c>
      <c r="E1744" s="41" t="s">
        <v>919</v>
      </c>
      <c r="F1744" s="41" t="s">
        <v>919</v>
      </c>
      <c r="G1744" s="7" t="s">
        <v>323</v>
      </c>
      <c r="H1744" s="7">
        <v>30</v>
      </c>
      <c r="I1744" s="10" t="s">
        <v>2250</v>
      </c>
      <c r="J1744" s="10">
        <v>2</v>
      </c>
      <c r="K1744" s="10">
        <v>2</v>
      </c>
      <c r="L1744" s="43">
        <v>28</v>
      </c>
      <c r="M1744" s="43">
        <v>28</v>
      </c>
      <c r="N1744" s="12" t="s">
        <v>780</v>
      </c>
      <c r="P1744" s="10">
        <v>90</v>
      </c>
      <c r="Q1744" s="10">
        <v>30</v>
      </c>
      <c r="T1744" s="10">
        <v>120</v>
      </c>
      <c r="V1744" s="45"/>
      <c r="X1744" s="29">
        <v>3</v>
      </c>
      <c r="Y1744" s="54" t="s">
        <v>43</v>
      </c>
    </row>
    <row r="1745" spans="1:26" ht="23.1" customHeight="1" x14ac:dyDescent="0.25">
      <c r="A1745" s="20" t="s">
        <v>1360</v>
      </c>
      <c r="B1745" s="7" t="s">
        <v>137</v>
      </c>
      <c r="C1745" s="7">
        <v>18</v>
      </c>
      <c r="D1745" s="7" t="s">
        <v>921</v>
      </c>
      <c r="E1745" s="41" t="s">
        <v>919</v>
      </c>
      <c r="F1745" s="41" t="s">
        <v>919</v>
      </c>
      <c r="G1745" s="7" t="s">
        <v>323</v>
      </c>
      <c r="H1745" s="7">
        <v>20</v>
      </c>
      <c r="I1745" s="10" t="s">
        <v>2240</v>
      </c>
      <c r="J1745" s="10">
        <v>2</v>
      </c>
      <c r="K1745" s="10">
        <v>4</v>
      </c>
      <c r="L1745" s="43">
        <v>28</v>
      </c>
      <c r="M1745" s="43">
        <v>28</v>
      </c>
      <c r="N1745" s="12" t="s">
        <v>860</v>
      </c>
      <c r="P1745" s="10">
        <v>120</v>
      </c>
      <c r="T1745" s="10">
        <v>90</v>
      </c>
      <c r="V1745" s="45">
        <v>1</v>
      </c>
      <c r="X1745" s="29">
        <v>9.5</v>
      </c>
      <c r="Y1745" s="54" t="s">
        <v>43</v>
      </c>
    </row>
    <row r="1746" spans="1:26" ht="23.1" customHeight="1" x14ac:dyDescent="0.25">
      <c r="A1746" s="20" t="s">
        <v>1360</v>
      </c>
      <c r="B1746" s="7" t="s">
        <v>137</v>
      </c>
      <c r="C1746" s="7">
        <v>17</v>
      </c>
      <c r="D1746" s="7" t="s">
        <v>1390</v>
      </c>
      <c r="E1746" s="41" t="s">
        <v>1283</v>
      </c>
      <c r="F1746" s="41" t="e">
        <v>#N/A</v>
      </c>
      <c r="G1746" s="7" t="s">
        <v>102</v>
      </c>
      <c r="H1746" s="7">
        <v>15</v>
      </c>
      <c r="I1746" s="10"/>
      <c r="J1746" s="10">
        <v>1</v>
      </c>
      <c r="K1746" s="10">
        <v>1</v>
      </c>
      <c r="L1746" s="43">
        <v>28</v>
      </c>
      <c r="M1746" s="43"/>
      <c r="N1746" s="12">
        <v>1</v>
      </c>
      <c r="V1746" s="45">
        <v>1</v>
      </c>
      <c r="W1746" s="14">
        <v>8</v>
      </c>
      <c r="X1746" s="29">
        <v>8</v>
      </c>
      <c r="Y1746" s="54" t="s">
        <v>43</v>
      </c>
    </row>
    <row r="1747" spans="1:26" ht="23.1" customHeight="1" x14ac:dyDescent="0.25">
      <c r="A1747" s="20" t="s">
        <v>1360</v>
      </c>
      <c r="B1747" s="7" t="s">
        <v>137</v>
      </c>
      <c r="C1747" s="7">
        <v>17</v>
      </c>
      <c r="D1747" s="7" t="s">
        <v>1282</v>
      </c>
      <c r="E1747" s="41" t="s">
        <v>1283</v>
      </c>
      <c r="F1747" s="41" t="s">
        <v>1283</v>
      </c>
      <c r="G1747" s="7" t="s">
        <v>102</v>
      </c>
      <c r="H1747" s="7">
        <v>30</v>
      </c>
      <c r="I1747" s="10" t="s">
        <v>1992</v>
      </c>
      <c r="J1747" s="10">
        <v>1</v>
      </c>
      <c r="K1747" s="10">
        <v>1</v>
      </c>
      <c r="L1747" s="43">
        <v>28</v>
      </c>
      <c r="M1747" s="43"/>
      <c r="N1747" s="12" t="s">
        <v>596</v>
      </c>
      <c r="P1747" s="10">
        <v>180</v>
      </c>
      <c r="T1747" s="10">
        <v>60</v>
      </c>
      <c r="V1747" s="45">
        <v>1</v>
      </c>
      <c r="X1747" s="29">
        <v>4</v>
      </c>
      <c r="Y1747" s="54" t="s">
        <v>43</v>
      </c>
      <c r="Z1747" t="s">
        <v>1269</v>
      </c>
    </row>
    <row r="1748" spans="1:26" ht="23.1" customHeight="1" x14ac:dyDescent="0.25">
      <c r="A1748" s="20" t="s">
        <v>1360</v>
      </c>
      <c r="B1748" s="7" t="s">
        <v>113</v>
      </c>
      <c r="C1748" s="7">
        <v>10</v>
      </c>
      <c r="D1748" s="7" t="s">
        <v>217</v>
      </c>
      <c r="E1748" s="41" t="s">
        <v>218</v>
      </c>
      <c r="F1748" s="41" t="s">
        <v>218</v>
      </c>
      <c r="G1748" s="7" t="s">
        <v>107</v>
      </c>
      <c r="H1748" s="7">
        <v>55</v>
      </c>
      <c r="I1748" s="10" t="s">
        <v>2287</v>
      </c>
      <c r="J1748" s="10">
        <v>2</v>
      </c>
      <c r="K1748" s="10">
        <v>2</v>
      </c>
      <c r="L1748" s="43">
        <v>26</v>
      </c>
      <c r="M1748" s="43">
        <v>5</v>
      </c>
      <c r="N1748" s="12" t="s">
        <v>219</v>
      </c>
      <c r="P1748" s="10">
        <v>270</v>
      </c>
      <c r="T1748" s="10">
        <v>90</v>
      </c>
      <c r="V1748" s="45"/>
      <c r="W1748" s="14">
        <v>2</v>
      </c>
      <c r="X1748" s="29">
        <v>11</v>
      </c>
      <c r="Y1748" s="54" t="s">
        <v>23</v>
      </c>
    </row>
    <row r="1749" spans="1:26" ht="23.1" customHeight="1" x14ac:dyDescent="0.25">
      <c r="A1749" s="20" t="s">
        <v>1360</v>
      </c>
      <c r="B1749" s="7" t="s">
        <v>113</v>
      </c>
      <c r="C1749" s="7">
        <v>15</v>
      </c>
      <c r="D1749" s="7" t="s">
        <v>1255</v>
      </c>
      <c r="E1749" s="41" t="s">
        <v>117</v>
      </c>
      <c r="F1749" s="41" t="s">
        <v>117</v>
      </c>
      <c r="G1749" s="7" t="s">
        <v>118</v>
      </c>
      <c r="H1749" s="7">
        <v>25</v>
      </c>
      <c r="I1749" s="10" t="s">
        <v>2018</v>
      </c>
      <c r="J1749" s="10">
        <v>1.2</v>
      </c>
      <c r="K1749" s="10">
        <v>1.5</v>
      </c>
      <c r="L1749" s="43">
        <v>37</v>
      </c>
      <c r="M1749" s="43">
        <v>37</v>
      </c>
      <c r="N1749" s="12" t="s">
        <v>357</v>
      </c>
      <c r="P1749" s="10">
        <v>900</v>
      </c>
      <c r="T1749" s="10">
        <v>120</v>
      </c>
      <c r="V1749" s="45"/>
      <c r="X1749" s="29">
        <v>22.5</v>
      </c>
      <c r="Y1749" s="54" t="s">
        <v>60</v>
      </c>
    </row>
    <row r="1750" spans="1:26" ht="23.1" customHeight="1" x14ac:dyDescent="0.25">
      <c r="A1750" s="20" t="s">
        <v>1360</v>
      </c>
      <c r="B1750" s="7" t="s">
        <v>113</v>
      </c>
      <c r="C1750" s="7">
        <v>79</v>
      </c>
      <c r="D1750" s="7" t="s">
        <v>152</v>
      </c>
      <c r="E1750" s="41" t="s">
        <v>153</v>
      </c>
      <c r="F1750" s="41" t="s">
        <v>1247</v>
      </c>
      <c r="G1750" s="7" t="s">
        <v>154</v>
      </c>
      <c r="H1750" s="7">
        <v>50</v>
      </c>
      <c r="I1750" s="10" t="s">
        <v>2204</v>
      </c>
      <c r="J1750" s="10">
        <v>0.3</v>
      </c>
      <c r="K1750" s="10">
        <v>0.3</v>
      </c>
      <c r="L1750" s="43">
        <v>26</v>
      </c>
      <c r="M1750" s="43"/>
      <c r="N1750" s="12" t="s">
        <v>675</v>
      </c>
      <c r="P1750" s="10">
        <v>3700</v>
      </c>
      <c r="Q1750" s="10">
        <v>90</v>
      </c>
      <c r="T1750" s="10">
        <v>180</v>
      </c>
      <c r="V1750" s="45">
        <v>1</v>
      </c>
      <c r="X1750" s="29">
        <v>21.5</v>
      </c>
      <c r="Y1750" s="54" t="s">
        <v>5</v>
      </c>
    </row>
    <row r="1751" spans="1:26" ht="23.1" customHeight="1" x14ac:dyDescent="0.25">
      <c r="A1751" s="20" t="s">
        <v>1360</v>
      </c>
      <c r="B1751" s="7" t="s">
        <v>113</v>
      </c>
      <c r="C1751" s="7">
        <v>69</v>
      </c>
      <c r="D1751" s="7" t="s">
        <v>1411</v>
      </c>
      <c r="E1751" s="41" t="s">
        <v>1372</v>
      </c>
      <c r="F1751" s="41" t="s">
        <v>215</v>
      </c>
      <c r="G1751" s="7" t="s">
        <v>154</v>
      </c>
      <c r="H1751" s="7">
        <v>60</v>
      </c>
      <c r="I1751" s="10" t="s">
        <v>2251</v>
      </c>
      <c r="J1751" s="10">
        <v>4</v>
      </c>
      <c r="K1751" s="10">
        <v>4</v>
      </c>
      <c r="L1751" s="43">
        <v>37</v>
      </c>
      <c r="M1751" s="43"/>
      <c r="N1751" s="12" t="s">
        <v>427</v>
      </c>
      <c r="P1751" s="10">
        <v>180</v>
      </c>
      <c r="Q1751" s="10">
        <v>90</v>
      </c>
      <c r="T1751" s="10">
        <v>180</v>
      </c>
      <c r="V1751" s="45">
        <v>1</v>
      </c>
      <c r="W1751" s="14">
        <v>4</v>
      </c>
      <c r="X1751" s="29">
        <v>19</v>
      </c>
      <c r="Y1751" s="54" t="s">
        <v>26</v>
      </c>
      <c r="Z1751" t="s">
        <v>1078</v>
      </c>
    </row>
    <row r="1752" spans="1:26" ht="23.1" customHeight="1" x14ac:dyDescent="0.25">
      <c r="A1752" s="20" t="s">
        <v>1360</v>
      </c>
      <c r="B1752" s="7" t="s">
        <v>113</v>
      </c>
      <c r="C1752" s="7">
        <v>69</v>
      </c>
      <c r="D1752" s="7" t="s">
        <v>1371</v>
      </c>
      <c r="E1752" s="41" t="s">
        <v>1372</v>
      </c>
      <c r="F1752" s="41" t="s">
        <v>215</v>
      </c>
      <c r="G1752" s="7" t="s">
        <v>154</v>
      </c>
      <c r="H1752" s="7">
        <v>60</v>
      </c>
      <c r="I1752" s="10" t="s">
        <v>2251</v>
      </c>
      <c r="J1752" s="10">
        <v>4</v>
      </c>
      <c r="K1752" s="10">
        <v>4</v>
      </c>
      <c r="L1752" s="43">
        <v>37</v>
      </c>
      <c r="M1752" s="43">
        <v>37</v>
      </c>
      <c r="N1752" s="12" t="s">
        <v>427</v>
      </c>
      <c r="P1752" s="10">
        <v>180</v>
      </c>
      <c r="Q1752" s="10">
        <v>90</v>
      </c>
      <c r="T1752" s="10">
        <v>180</v>
      </c>
      <c r="V1752" s="45">
        <v>1</v>
      </c>
      <c r="W1752" s="14">
        <v>4</v>
      </c>
      <c r="X1752" s="29">
        <v>19</v>
      </c>
      <c r="Y1752" s="54" t="s">
        <v>26</v>
      </c>
      <c r="Z1752" t="s">
        <v>1078</v>
      </c>
    </row>
    <row r="1753" spans="1:26" ht="23.1" customHeight="1" x14ac:dyDescent="0.25">
      <c r="A1753" s="20" t="s">
        <v>1360</v>
      </c>
      <c r="B1753" s="7" t="s">
        <v>113</v>
      </c>
      <c r="C1753" s="7">
        <v>91</v>
      </c>
      <c r="D1753" s="7" t="s">
        <v>254</v>
      </c>
      <c r="E1753" s="41" t="s">
        <v>1016</v>
      </c>
      <c r="F1753" s="41" t="s">
        <v>1016</v>
      </c>
      <c r="G1753" s="7" t="s">
        <v>375</v>
      </c>
      <c r="H1753" s="7">
        <v>40</v>
      </c>
      <c r="I1753" s="10" t="s">
        <v>2110</v>
      </c>
      <c r="J1753" s="10">
        <v>0.4</v>
      </c>
      <c r="K1753" s="10">
        <v>0.4</v>
      </c>
      <c r="L1753" s="43">
        <v>28</v>
      </c>
      <c r="M1753" s="43">
        <v>28</v>
      </c>
      <c r="N1753" s="12" t="s">
        <v>476</v>
      </c>
      <c r="P1753" s="10">
        <v>3000</v>
      </c>
      <c r="Q1753" s="10">
        <v>90</v>
      </c>
      <c r="T1753" s="10">
        <v>120</v>
      </c>
      <c r="V1753" s="45"/>
      <c r="X1753" s="29">
        <v>20</v>
      </c>
      <c r="Y1753" s="54" t="s">
        <v>26</v>
      </c>
    </row>
    <row r="1754" spans="1:26" ht="23.1" customHeight="1" x14ac:dyDescent="0.25">
      <c r="A1754" s="20" t="s">
        <v>1360</v>
      </c>
      <c r="B1754" s="7" t="s">
        <v>113</v>
      </c>
      <c r="C1754" s="7">
        <v>119</v>
      </c>
      <c r="D1754" s="7" t="s">
        <v>787</v>
      </c>
      <c r="E1754" s="41" t="s">
        <v>788</v>
      </c>
      <c r="F1754" s="41" t="s">
        <v>788</v>
      </c>
      <c r="G1754" s="7" t="s">
        <v>123</v>
      </c>
      <c r="H1754" s="7">
        <v>60</v>
      </c>
      <c r="I1754" s="10" t="s">
        <v>2222</v>
      </c>
      <c r="J1754" s="10">
        <v>7</v>
      </c>
      <c r="K1754" s="10">
        <v>6</v>
      </c>
      <c r="L1754" s="43">
        <v>28</v>
      </c>
      <c r="M1754" s="43">
        <v>37</v>
      </c>
      <c r="N1754" s="12" t="s">
        <v>1218</v>
      </c>
      <c r="P1754" s="10">
        <v>210</v>
      </c>
      <c r="Q1754" s="10">
        <v>60</v>
      </c>
      <c r="S1754" s="11">
        <v>5</v>
      </c>
      <c r="T1754" s="10">
        <v>90</v>
      </c>
      <c r="V1754" s="45"/>
      <c r="X1754" s="29">
        <v>26</v>
      </c>
      <c r="Y1754" s="54" t="s">
        <v>26</v>
      </c>
    </row>
    <row r="1755" spans="1:26" ht="23.1" customHeight="1" x14ac:dyDescent="0.25">
      <c r="A1755" s="20" t="s">
        <v>1360</v>
      </c>
      <c r="B1755" s="7" t="s">
        <v>113</v>
      </c>
      <c r="C1755" s="7">
        <v>119</v>
      </c>
      <c r="D1755" s="7" t="s">
        <v>787</v>
      </c>
      <c r="E1755" s="41" t="s">
        <v>788</v>
      </c>
      <c r="F1755" s="41" t="s">
        <v>788</v>
      </c>
      <c r="G1755" s="7" t="s">
        <v>123</v>
      </c>
      <c r="H1755" s="7">
        <v>60</v>
      </c>
      <c r="I1755" s="10" t="s">
        <v>2222</v>
      </c>
      <c r="K1755" s="10">
        <v>1</v>
      </c>
      <c r="L1755" s="43"/>
      <c r="M1755" s="43">
        <v>26</v>
      </c>
      <c r="N1755" s="12" t="s">
        <v>1218</v>
      </c>
      <c r="P1755" s="10">
        <v>210</v>
      </c>
      <c r="Q1755" s="10">
        <v>60</v>
      </c>
      <c r="S1755" s="11">
        <v>1</v>
      </c>
      <c r="T1755" s="10">
        <v>90</v>
      </c>
      <c r="V1755" s="45"/>
      <c r="X1755" s="29">
        <v>4.5</v>
      </c>
      <c r="Y1755" s="54" t="s">
        <v>26</v>
      </c>
    </row>
    <row r="1756" spans="1:26" ht="23.1" customHeight="1" x14ac:dyDescent="0.25">
      <c r="A1756" s="20" t="s">
        <v>1360</v>
      </c>
      <c r="B1756" s="7" t="s">
        <v>113</v>
      </c>
      <c r="C1756" s="7">
        <v>121</v>
      </c>
      <c r="D1756" s="7" t="s">
        <v>173</v>
      </c>
      <c r="E1756" s="41" t="s">
        <v>1246</v>
      </c>
      <c r="F1756" s="41" t="s">
        <v>1246</v>
      </c>
      <c r="G1756" s="7" t="s">
        <v>154</v>
      </c>
      <c r="H1756" s="7">
        <v>50</v>
      </c>
      <c r="I1756" s="10" t="s">
        <v>2210</v>
      </c>
      <c r="J1756" s="10">
        <v>0.2</v>
      </c>
      <c r="K1756" s="10">
        <v>0.2</v>
      </c>
      <c r="L1756" s="43">
        <v>31</v>
      </c>
      <c r="M1756" s="43">
        <v>37</v>
      </c>
      <c r="N1756" s="12" t="s">
        <v>532</v>
      </c>
      <c r="P1756" s="10">
        <v>2100</v>
      </c>
      <c r="Q1756" s="10">
        <v>90</v>
      </c>
      <c r="T1756" s="10">
        <v>150</v>
      </c>
      <c r="V1756" s="45"/>
      <c r="W1756" s="14">
        <v>3</v>
      </c>
      <c r="X1756" s="29">
        <v>10</v>
      </c>
      <c r="Y1756" s="54" t="s">
        <v>26</v>
      </c>
      <c r="Z1756" t="s">
        <v>1011</v>
      </c>
    </row>
    <row r="1757" spans="1:26" ht="23.1" customHeight="1" x14ac:dyDescent="0.25">
      <c r="A1757" s="20" t="s">
        <v>1360</v>
      </c>
      <c r="B1757" s="7" t="s">
        <v>113</v>
      </c>
      <c r="C1757" s="7">
        <v>121</v>
      </c>
      <c r="D1757" s="7" t="s">
        <v>288</v>
      </c>
      <c r="E1757" s="41" t="s">
        <v>1532</v>
      </c>
      <c r="F1757" s="41" t="s">
        <v>1532</v>
      </c>
      <c r="G1757" s="7" t="s">
        <v>250</v>
      </c>
      <c r="H1757" s="7">
        <v>50</v>
      </c>
      <c r="I1757" s="10" t="s">
        <v>2021</v>
      </c>
      <c r="J1757" s="10">
        <v>0.3</v>
      </c>
      <c r="K1757" s="10">
        <v>0.2</v>
      </c>
      <c r="L1757" s="43">
        <v>26</v>
      </c>
      <c r="M1757" s="43">
        <v>26</v>
      </c>
      <c r="N1757" s="12" t="s">
        <v>256</v>
      </c>
      <c r="P1757" s="10">
        <v>3000</v>
      </c>
      <c r="Q1757" s="10">
        <v>90</v>
      </c>
      <c r="T1757" s="10">
        <v>150</v>
      </c>
      <c r="V1757" s="45">
        <v>1</v>
      </c>
      <c r="W1757" s="14">
        <v>5</v>
      </c>
      <c r="X1757" s="29">
        <v>17.5</v>
      </c>
      <c r="Y1757" s="54" t="s">
        <v>26</v>
      </c>
      <c r="Z1757" t="s">
        <v>943</v>
      </c>
    </row>
    <row r="1758" spans="1:26" ht="23.1" customHeight="1" x14ac:dyDescent="0.25">
      <c r="A1758" s="20" t="s">
        <v>1360</v>
      </c>
      <c r="B1758" s="7" t="s">
        <v>113</v>
      </c>
      <c r="C1758" s="7">
        <v>84</v>
      </c>
      <c r="D1758" s="7" t="s">
        <v>1045</v>
      </c>
      <c r="E1758" s="41" t="s">
        <v>409</v>
      </c>
      <c r="F1758" s="41" t="s">
        <v>409</v>
      </c>
      <c r="G1758" s="7" t="s">
        <v>102</v>
      </c>
      <c r="H1758" s="7">
        <v>25</v>
      </c>
      <c r="I1758" s="10" t="s">
        <v>2113</v>
      </c>
      <c r="K1758" s="10">
        <v>5</v>
      </c>
      <c r="L1758" s="43">
        <v>37</v>
      </c>
      <c r="M1758" s="43">
        <v>37</v>
      </c>
      <c r="N1758" s="12" t="s">
        <v>596</v>
      </c>
      <c r="P1758" s="10">
        <v>180</v>
      </c>
      <c r="Q1758" s="10">
        <v>60</v>
      </c>
      <c r="S1758" s="11">
        <v>5</v>
      </c>
      <c r="T1758" s="10">
        <v>120</v>
      </c>
      <c r="V1758" s="45">
        <v>1</v>
      </c>
      <c r="X1758" s="29">
        <v>22</v>
      </c>
      <c r="Y1758" s="54" t="s">
        <v>26</v>
      </c>
      <c r="Z1758" t="s">
        <v>1412</v>
      </c>
    </row>
    <row r="1759" spans="1:26" ht="23.1" customHeight="1" x14ac:dyDescent="0.25">
      <c r="A1759" s="20" t="s">
        <v>1360</v>
      </c>
      <c r="B1759" s="7" t="s">
        <v>113</v>
      </c>
      <c r="C1759" s="7">
        <v>84</v>
      </c>
      <c r="D1759" s="7" t="s">
        <v>1045</v>
      </c>
      <c r="E1759" s="41" t="s">
        <v>409</v>
      </c>
      <c r="F1759" s="41" t="s">
        <v>409</v>
      </c>
      <c r="G1759" s="7" t="s">
        <v>102</v>
      </c>
      <c r="H1759" s="7">
        <v>25</v>
      </c>
      <c r="I1759" s="10" t="s">
        <v>2113</v>
      </c>
      <c r="K1759" s="10">
        <v>1</v>
      </c>
      <c r="L1759" s="43">
        <v>37</v>
      </c>
      <c r="M1759" s="43"/>
      <c r="N1759" s="12" t="s">
        <v>596</v>
      </c>
      <c r="P1759" s="10">
        <v>180</v>
      </c>
      <c r="Q1759" s="10">
        <v>60</v>
      </c>
      <c r="S1759" s="11">
        <v>1</v>
      </c>
      <c r="T1759" s="10">
        <v>120</v>
      </c>
      <c r="V1759" s="45"/>
      <c r="X1759" s="29">
        <v>4</v>
      </c>
      <c r="Y1759" s="54" t="s">
        <v>26</v>
      </c>
    </row>
    <row r="1760" spans="1:26" ht="23.1" customHeight="1" x14ac:dyDescent="0.25">
      <c r="A1760" s="20" t="s">
        <v>1360</v>
      </c>
      <c r="B1760" s="7" t="s">
        <v>113</v>
      </c>
      <c r="C1760" s="7">
        <v>108</v>
      </c>
      <c r="D1760" s="7" t="s">
        <v>889</v>
      </c>
      <c r="E1760" s="41" t="s">
        <v>887</v>
      </c>
      <c r="F1760" s="41" t="s">
        <v>887</v>
      </c>
      <c r="G1760" s="7" t="s">
        <v>154</v>
      </c>
      <c r="H1760" s="7">
        <v>50</v>
      </c>
      <c r="I1760" s="10" t="s">
        <v>2238</v>
      </c>
      <c r="J1760" s="10">
        <v>0.5</v>
      </c>
      <c r="K1760" s="10">
        <v>0.5</v>
      </c>
      <c r="L1760" s="43">
        <v>28</v>
      </c>
      <c r="M1760" s="43"/>
      <c r="N1760" s="12" t="s">
        <v>159</v>
      </c>
      <c r="P1760" s="10">
        <v>1920</v>
      </c>
      <c r="Q1760" s="10">
        <v>60</v>
      </c>
      <c r="S1760" s="11">
        <v>1</v>
      </c>
      <c r="T1760" s="10">
        <v>90</v>
      </c>
      <c r="V1760" s="45">
        <v>1</v>
      </c>
      <c r="X1760" s="29">
        <v>18.5</v>
      </c>
      <c r="Y1760" s="54" t="s">
        <v>13</v>
      </c>
    </row>
    <row r="1761" spans="1:27" ht="23.1" customHeight="1" x14ac:dyDescent="0.25">
      <c r="A1761" s="20" t="s">
        <v>1360</v>
      </c>
      <c r="B1761" s="7" t="s">
        <v>113</v>
      </c>
      <c r="C1761" s="7">
        <v>22</v>
      </c>
      <c r="D1761" s="42" t="s">
        <v>100</v>
      </c>
      <c r="E1761" s="41" t="s">
        <v>612</v>
      </c>
      <c r="F1761" s="41" t="s">
        <v>101</v>
      </c>
      <c r="G1761" s="7" t="s">
        <v>154</v>
      </c>
      <c r="H1761" s="7">
        <v>15</v>
      </c>
      <c r="I1761" s="10" t="s">
        <v>2248</v>
      </c>
      <c r="J1761" s="10">
        <v>0.3</v>
      </c>
      <c r="K1761" s="10">
        <v>0.5</v>
      </c>
      <c r="L1761" s="43">
        <v>26</v>
      </c>
      <c r="M1761" s="43"/>
      <c r="N1761" s="12" t="s">
        <v>613</v>
      </c>
      <c r="P1761" s="10">
        <v>2100</v>
      </c>
      <c r="Q1761" s="10">
        <v>180</v>
      </c>
      <c r="T1761" s="10">
        <v>180</v>
      </c>
      <c r="V1761" s="45"/>
      <c r="X1761" s="29">
        <v>17.5</v>
      </c>
      <c r="Y1761" s="54" t="s">
        <v>49</v>
      </c>
    </row>
    <row r="1762" spans="1:27" ht="23.1" customHeight="1" x14ac:dyDescent="0.25">
      <c r="A1762" s="20" t="s">
        <v>1360</v>
      </c>
      <c r="B1762" s="7" t="s">
        <v>113</v>
      </c>
      <c r="C1762" s="7">
        <v>22</v>
      </c>
      <c r="D1762" s="42" t="s">
        <v>1403</v>
      </c>
      <c r="E1762" s="41" t="s">
        <v>612</v>
      </c>
      <c r="F1762" s="41" t="s">
        <v>101</v>
      </c>
      <c r="G1762" s="7" t="s">
        <v>154</v>
      </c>
      <c r="H1762" s="7">
        <v>15</v>
      </c>
      <c r="I1762" s="10" t="s">
        <v>2248</v>
      </c>
      <c r="K1762" s="10">
        <v>0.4</v>
      </c>
      <c r="L1762" s="43">
        <v>5</v>
      </c>
      <c r="M1762" s="43"/>
      <c r="N1762" s="12" t="s">
        <v>613</v>
      </c>
      <c r="P1762" s="10">
        <v>2100</v>
      </c>
      <c r="Q1762" s="10">
        <v>180</v>
      </c>
      <c r="S1762" s="11">
        <v>1</v>
      </c>
      <c r="T1762" s="10">
        <v>180</v>
      </c>
      <c r="U1762" s="44"/>
      <c r="V1762" s="45">
        <v>1</v>
      </c>
      <c r="W1762" s="14">
        <v>3</v>
      </c>
      <c r="X1762" s="29">
        <v>23</v>
      </c>
      <c r="Y1762" s="54" t="s">
        <v>49</v>
      </c>
      <c r="Z1762" t="s">
        <v>1413</v>
      </c>
    </row>
    <row r="1763" spans="1:27" ht="23.1" customHeight="1" x14ac:dyDescent="0.25">
      <c r="A1763" s="20" t="s">
        <v>1360</v>
      </c>
      <c r="B1763" s="7" t="s">
        <v>113</v>
      </c>
      <c r="C1763" s="7">
        <v>55</v>
      </c>
      <c r="D1763" s="7" t="s">
        <v>1268</v>
      </c>
      <c r="E1763" s="41" t="s">
        <v>409</v>
      </c>
      <c r="F1763" s="41" t="s">
        <v>409</v>
      </c>
      <c r="G1763" s="7" t="s">
        <v>102</v>
      </c>
      <c r="H1763" s="7">
        <v>20</v>
      </c>
      <c r="I1763" s="10" t="s">
        <v>2252</v>
      </c>
      <c r="K1763" s="10">
        <v>9</v>
      </c>
      <c r="L1763" s="43">
        <v>26</v>
      </c>
      <c r="M1763" s="43">
        <v>26</v>
      </c>
      <c r="N1763" s="12" t="s">
        <v>596</v>
      </c>
      <c r="P1763" s="10">
        <v>10</v>
      </c>
      <c r="V1763" s="45">
        <v>1</v>
      </c>
      <c r="X1763" s="29">
        <v>1.5</v>
      </c>
      <c r="Y1763" s="54" t="s">
        <v>18</v>
      </c>
    </row>
    <row r="1764" spans="1:27" ht="23.1" customHeight="1" x14ac:dyDescent="0.25">
      <c r="A1764" s="20" t="s">
        <v>1360</v>
      </c>
      <c r="B1764" s="7" t="s">
        <v>113</v>
      </c>
      <c r="C1764" s="7">
        <v>55</v>
      </c>
      <c r="D1764" s="7" t="s">
        <v>1268</v>
      </c>
      <c r="E1764" s="41" t="s">
        <v>409</v>
      </c>
      <c r="F1764" s="41" t="s">
        <v>409</v>
      </c>
      <c r="G1764" s="7" t="s">
        <v>102</v>
      </c>
      <c r="H1764" s="7">
        <v>25</v>
      </c>
      <c r="I1764" s="10" t="s">
        <v>2208</v>
      </c>
      <c r="K1764" s="10">
        <v>9</v>
      </c>
      <c r="L1764" s="43">
        <v>26</v>
      </c>
      <c r="M1764" s="43">
        <v>26</v>
      </c>
      <c r="N1764" s="12" t="s">
        <v>596</v>
      </c>
      <c r="P1764" s="10">
        <v>70</v>
      </c>
      <c r="T1764" s="10">
        <v>60</v>
      </c>
      <c r="V1764" s="45">
        <v>1</v>
      </c>
      <c r="X1764" s="29">
        <v>11.5</v>
      </c>
      <c r="Y1764" s="54" t="s">
        <v>18</v>
      </c>
    </row>
    <row r="1765" spans="1:27" ht="23.1" customHeight="1" x14ac:dyDescent="0.25">
      <c r="A1765" s="20" t="s">
        <v>1360</v>
      </c>
      <c r="B1765" s="7" t="s">
        <v>113</v>
      </c>
      <c r="C1765" s="7">
        <v>55</v>
      </c>
      <c r="D1765" s="7" t="s">
        <v>1268</v>
      </c>
      <c r="E1765" s="41" t="s">
        <v>409</v>
      </c>
      <c r="F1765" s="41" t="s">
        <v>409</v>
      </c>
      <c r="G1765" s="7" t="s">
        <v>102</v>
      </c>
      <c r="H1765" s="7">
        <v>30</v>
      </c>
      <c r="I1765" s="10" t="s">
        <v>2058</v>
      </c>
      <c r="J1765" s="10">
        <v>2</v>
      </c>
      <c r="K1765" s="10">
        <v>2</v>
      </c>
      <c r="L1765" s="43">
        <v>9</v>
      </c>
      <c r="M1765" s="43"/>
      <c r="N1765" s="12" t="s">
        <v>596</v>
      </c>
      <c r="P1765" s="10">
        <v>20</v>
      </c>
      <c r="T1765" s="10">
        <v>60</v>
      </c>
      <c r="V1765" s="45">
        <v>1</v>
      </c>
      <c r="X1765" s="29">
        <v>1.7</v>
      </c>
      <c r="Y1765" s="54" t="s">
        <v>18</v>
      </c>
    </row>
    <row r="1766" spans="1:27" ht="23.1" customHeight="1" x14ac:dyDescent="0.25">
      <c r="A1766" s="20" t="s">
        <v>1360</v>
      </c>
      <c r="B1766" s="7" t="s">
        <v>113</v>
      </c>
      <c r="C1766" s="7">
        <v>107</v>
      </c>
      <c r="D1766" s="7" t="s">
        <v>1275</v>
      </c>
      <c r="E1766" s="41" t="s">
        <v>215</v>
      </c>
      <c r="F1766" s="41" t="s">
        <v>215</v>
      </c>
      <c r="G1766" s="7" t="s">
        <v>154</v>
      </c>
      <c r="H1766" s="7">
        <v>35</v>
      </c>
      <c r="I1766" s="10" t="s">
        <v>2073</v>
      </c>
      <c r="J1766" s="10">
        <v>4</v>
      </c>
      <c r="K1766" s="10">
        <v>1</v>
      </c>
      <c r="L1766" s="43">
        <v>26</v>
      </c>
      <c r="M1766" s="43"/>
      <c r="N1766" s="12" t="s">
        <v>1414</v>
      </c>
      <c r="P1766" s="10">
        <v>150</v>
      </c>
      <c r="S1766" s="11">
        <v>1</v>
      </c>
      <c r="T1766" s="10">
        <v>60</v>
      </c>
      <c r="V1766" s="45"/>
      <c r="X1766" s="29">
        <v>2.5</v>
      </c>
      <c r="Y1766" s="54" t="s">
        <v>13</v>
      </c>
    </row>
    <row r="1767" spans="1:27" ht="23.1" customHeight="1" x14ac:dyDescent="0.25">
      <c r="A1767" s="20" t="s">
        <v>1360</v>
      </c>
      <c r="B1767" s="7" t="s">
        <v>113</v>
      </c>
      <c r="C1767" s="7">
        <v>107</v>
      </c>
      <c r="D1767" s="7" t="s">
        <v>1415</v>
      </c>
      <c r="E1767" s="41" t="s">
        <v>215</v>
      </c>
      <c r="F1767" s="41" t="s">
        <v>215</v>
      </c>
      <c r="G1767" s="7" t="s">
        <v>154</v>
      </c>
      <c r="H1767" s="7">
        <v>35</v>
      </c>
      <c r="I1767" s="10" t="s">
        <v>2073</v>
      </c>
      <c r="J1767" s="10">
        <v>10</v>
      </c>
      <c r="K1767" s="10">
        <v>5</v>
      </c>
      <c r="L1767" s="43">
        <v>26</v>
      </c>
      <c r="M1767" s="43">
        <v>26</v>
      </c>
      <c r="N1767" s="12" t="s">
        <v>1416</v>
      </c>
      <c r="P1767" s="10">
        <v>150</v>
      </c>
      <c r="S1767" s="11">
        <v>5</v>
      </c>
      <c r="T1767" s="10">
        <v>60</v>
      </c>
      <c r="V1767" s="45">
        <v>1</v>
      </c>
      <c r="X1767" s="29">
        <v>13.5</v>
      </c>
      <c r="Y1767" s="54" t="s">
        <v>13</v>
      </c>
    </row>
    <row r="1768" spans="1:27" ht="23.1" customHeight="1" x14ac:dyDescent="0.25">
      <c r="A1768" s="20" t="s">
        <v>1360</v>
      </c>
      <c r="B1768" s="7" t="s">
        <v>113</v>
      </c>
      <c r="C1768" s="7">
        <v>108</v>
      </c>
      <c r="D1768" s="7" t="s">
        <v>886</v>
      </c>
      <c r="E1768" s="41" t="s">
        <v>887</v>
      </c>
      <c r="F1768" s="41" t="s">
        <v>887</v>
      </c>
      <c r="G1768" s="7" t="s">
        <v>154</v>
      </c>
      <c r="H1768" s="7">
        <v>50</v>
      </c>
      <c r="I1768" s="10" t="s">
        <v>2238</v>
      </c>
      <c r="J1768" s="10">
        <v>0.4</v>
      </c>
      <c r="K1768" s="10">
        <v>0.5</v>
      </c>
      <c r="L1768" s="43">
        <v>26</v>
      </c>
      <c r="M1768" s="43"/>
      <c r="N1768" s="12" t="s">
        <v>159</v>
      </c>
      <c r="P1768" s="10">
        <v>1920</v>
      </c>
      <c r="Q1768" s="10">
        <v>60</v>
      </c>
      <c r="T1768" s="10">
        <v>90</v>
      </c>
      <c r="V1768" s="45"/>
      <c r="X1768" s="29">
        <v>16</v>
      </c>
      <c r="Y1768" s="54" t="s">
        <v>13</v>
      </c>
    </row>
    <row r="1769" spans="1:27" ht="23.1" customHeight="1" x14ac:dyDescent="0.25">
      <c r="A1769" s="20" t="s">
        <v>1360</v>
      </c>
      <c r="B1769" s="7" t="s">
        <v>113</v>
      </c>
      <c r="C1769" s="7">
        <v>57</v>
      </c>
      <c r="D1769" s="7" t="s">
        <v>1031</v>
      </c>
      <c r="E1769" s="41" t="s">
        <v>1032</v>
      </c>
      <c r="F1769" s="41" t="s">
        <v>1032</v>
      </c>
      <c r="G1769" s="7" t="s">
        <v>107</v>
      </c>
      <c r="H1769" s="7">
        <v>30</v>
      </c>
      <c r="I1769" s="10" t="s">
        <v>2242</v>
      </c>
      <c r="J1769" s="10">
        <v>2</v>
      </c>
      <c r="K1769" s="10">
        <v>3</v>
      </c>
      <c r="L1769" s="43">
        <v>26</v>
      </c>
      <c r="M1769" s="43">
        <v>5</v>
      </c>
      <c r="N1769" s="12" t="s">
        <v>1043</v>
      </c>
      <c r="P1769" s="10">
        <v>220</v>
      </c>
      <c r="T1769" s="10">
        <v>90</v>
      </c>
      <c r="V1769" s="45"/>
      <c r="X1769" s="29">
        <v>11</v>
      </c>
      <c r="Y1769" s="54" t="s">
        <v>0</v>
      </c>
    </row>
    <row r="1770" spans="1:27" ht="23.1" customHeight="1" x14ac:dyDescent="0.25">
      <c r="A1770" s="20" t="s">
        <v>1360</v>
      </c>
      <c r="B1770" s="7" t="s">
        <v>113</v>
      </c>
      <c r="C1770" s="7">
        <v>56</v>
      </c>
      <c r="D1770" s="7" t="s">
        <v>1397</v>
      </c>
      <c r="E1770" s="41" t="s">
        <v>1398</v>
      </c>
      <c r="F1770" s="41" t="s">
        <v>1398</v>
      </c>
      <c r="G1770" s="7" t="s">
        <v>118</v>
      </c>
      <c r="H1770" s="7">
        <v>20</v>
      </c>
      <c r="I1770" s="10" t="s">
        <v>1936</v>
      </c>
      <c r="K1770" s="10">
        <v>4</v>
      </c>
      <c r="L1770" s="43">
        <v>37</v>
      </c>
      <c r="M1770" s="43">
        <v>37</v>
      </c>
      <c r="N1770" s="12" t="s">
        <v>1417</v>
      </c>
      <c r="P1770" s="10">
        <v>60</v>
      </c>
      <c r="T1770" s="10">
        <v>60</v>
      </c>
      <c r="V1770" s="45">
        <v>1</v>
      </c>
      <c r="X1770" s="29">
        <v>5</v>
      </c>
      <c r="Y1770" s="54" t="s">
        <v>18</v>
      </c>
    </row>
    <row r="1771" spans="1:27" ht="23.1" customHeight="1" x14ac:dyDescent="0.25">
      <c r="A1771" s="20" t="s">
        <v>1360</v>
      </c>
      <c r="B1771" s="7" t="s">
        <v>113</v>
      </c>
      <c r="C1771" s="7">
        <v>56</v>
      </c>
      <c r="D1771" s="7" t="s">
        <v>1418</v>
      </c>
      <c r="E1771" s="41" t="s">
        <v>1398</v>
      </c>
      <c r="F1771" s="41" t="s">
        <v>1398</v>
      </c>
      <c r="G1771" s="7" t="s">
        <v>118</v>
      </c>
      <c r="H1771" s="7">
        <v>20</v>
      </c>
      <c r="I1771" s="10" t="s">
        <v>1936</v>
      </c>
      <c r="K1771" s="10">
        <v>4</v>
      </c>
      <c r="L1771" s="43">
        <v>37</v>
      </c>
      <c r="M1771" s="43">
        <v>37</v>
      </c>
      <c r="N1771" s="12" t="s">
        <v>1417</v>
      </c>
      <c r="P1771" s="10">
        <v>60</v>
      </c>
      <c r="T1771" s="10">
        <v>60</v>
      </c>
      <c r="V1771" s="45">
        <v>1</v>
      </c>
      <c r="X1771" s="29">
        <v>5</v>
      </c>
      <c r="Y1771" s="54" t="s">
        <v>18</v>
      </c>
    </row>
    <row r="1772" spans="1:27" ht="23.1" customHeight="1" x14ac:dyDescent="0.25">
      <c r="A1772" s="20" t="s">
        <v>1360</v>
      </c>
      <c r="B1772" s="7" t="s">
        <v>113</v>
      </c>
      <c r="C1772" s="7">
        <v>77</v>
      </c>
      <c r="D1772" s="7" t="s">
        <v>727</v>
      </c>
      <c r="E1772" s="41" t="s">
        <v>625</v>
      </c>
      <c r="F1772" s="41" t="s">
        <v>625</v>
      </c>
      <c r="G1772" s="7" t="s">
        <v>250</v>
      </c>
      <c r="H1772" s="7">
        <v>50</v>
      </c>
      <c r="I1772" s="10" t="s">
        <v>2032</v>
      </c>
      <c r="K1772" s="10">
        <v>10</v>
      </c>
      <c r="L1772" s="43">
        <v>28</v>
      </c>
      <c r="M1772" s="43">
        <v>26</v>
      </c>
      <c r="N1772" s="12" t="s">
        <v>247</v>
      </c>
      <c r="P1772" s="10">
        <v>60</v>
      </c>
      <c r="T1772" s="10">
        <v>60</v>
      </c>
      <c r="V1772" s="45">
        <v>1</v>
      </c>
      <c r="W1772" s="14">
        <v>2</v>
      </c>
      <c r="X1772" s="29">
        <v>13</v>
      </c>
      <c r="Y1772" s="54" t="s">
        <v>24</v>
      </c>
      <c r="Z1772" t="s">
        <v>929</v>
      </c>
      <c r="AA1772" s="1" t="s">
        <v>238</v>
      </c>
    </row>
    <row r="1773" spans="1:27" ht="23.1" customHeight="1" x14ac:dyDescent="0.25">
      <c r="A1773" s="20" t="s">
        <v>1360</v>
      </c>
      <c r="B1773" s="7" t="s">
        <v>113</v>
      </c>
      <c r="C1773" s="7">
        <v>77</v>
      </c>
      <c r="D1773" s="7" t="s">
        <v>1383</v>
      </c>
      <c r="E1773" s="41" t="s">
        <v>1384</v>
      </c>
      <c r="F1773" s="41" t="s">
        <v>1384</v>
      </c>
      <c r="G1773" s="7" t="s">
        <v>102</v>
      </c>
      <c r="H1773" s="7">
        <v>10</v>
      </c>
      <c r="I1773" s="10" t="s">
        <v>2241</v>
      </c>
      <c r="J1773" s="10">
        <v>9</v>
      </c>
      <c r="K1773" s="10">
        <v>9</v>
      </c>
      <c r="L1773" s="43">
        <v>28</v>
      </c>
      <c r="M1773" s="43">
        <v>28</v>
      </c>
      <c r="N1773" s="12" t="s">
        <v>295</v>
      </c>
      <c r="P1773" s="10">
        <v>25</v>
      </c>
      <c r="T1773" s="10">
        <v>60</v>
      </c>
      <c r="V1773" s="45"/>
      <c r="X1773" s="29">
        <v>3.8</v>
      </c>
      <c r="Y1773" s="54" t="s">
        <v>12</v>
      </c>
    </row>
    <row r="1774" spans="1:27" ht="23.1" customHeight="1" x14ac:dyDescent="0.25">
      <c r="A1774" s="20" t="s">
        <v>1360</v>
      </c>
      <c r="B1774" s="7" t="s">
        <v>113</v>
      </c>
      <c r="C1774" s="7">
        <v>77</v>
      </c>
      <c r="D1774" s="64" t="s">
        <v>1842</v>
      </c>
      <c r="E1774" s="41" t="s">
        <v>1384</v>
      </c>
      <c r="F1774" s="41" t="s">
        <v>1384</v>
      </c>
      <c r="G1774" s="7" t="s">
        <v>102</v>
      </c>
      <c r="H1774" s="7">
        <v>10</v>
      </c>
      <c r="I1774" s="10" t="s">
        <v>2241</v>
      </c>
      <c r="J1774" s="10">
        <v>23</v>
      </c>
      <c r="K1774" s="10">
        <v>23</v>
      </c>
      <c r="L1774" s="43">
        <v>28</v>
      </c>
      <c r="M1774" s="43">
        <v>28</v>
      </c>
      <c r="N1774" s="12" t="s">
        <v>567</v>
      </c>
      <c r="P1774" s="10">
        <v>25</v>
      </c>
      <c r="T1774" s="10">
        <v>60</v>
      </c>
      <c r="V1774" s="45"/>
      <c r="X1774" s="29">
        <v>9.6</v>
      </c>
      <c r="Y1774" s="54" t="s">
        <v>12</v>
      </c>
    </row>
    <row r="1775" spans="1:27" ht="23.1" customHeight="1" x14ac:dyDescent="0.25">
      <c r="A1775" s="20" t="s">
        <v>1360</v>
      </c>
      <c r="B1775" s="7" t="s">
        <v>113</v>
      </c>
      <c r="C1775" s="7">
        <v>76</v>
      </c>
      <c r="D1775" s="7" t="s">
        <v>1383</v>
      </c>
      <c r="E1775" s="41" t="s">
        <v>1384</v>
      </c>
      <c r="F1775" s="41" t="s">
        <v>1384</v>
      </c>
      <c r="G1775" s="7" t="s">
        <v>154</v>
      </c>
      <c r="H1775" s="7">
        <v>10</v>
      </c>
      <c r="I1775" s="10" t="s">
        <v>2241</v>
      </c>
      <c r="J1775" s="10">
        <v>20</v>
      </c>
      <c r="K1775" s="10">
        <v>23</v>
      </c>
      <c r="L1775" s="43">
        <v>28</v>
      </c>
      <c r="M1775" s="43">
        <v>31</v>
      </c>
      <c r="N1775" s="12" t="s">
        <v>393</v>
      </c>
      <c r="P1775" s="10">
        <v>30</v>
      </c>
      <c r="T1775" s="10">
        <v>60</v>
      </c>
      <c r="V1775" s="45"/>
      <c r="X1775" s="29">
        <v>11.5</v>
      </c>
      <c r="Y1775" s="54" t="s">
        <v>12</v>
      </c>
    </row>
    <row r="1776" spans="1:27" ht="23.1" customHeight="1" x14ac:dyDescent="0.25">
      <c r="A1776" s="20" t="s">
        <v>1360</v>
      </c>
      <c r="B1776" s="7" t="s">
        <v>113</v>
      </c>
      <c r="C1776" s="7">
        <v>78</v>
      </c>
      <c r="D1776" s="7" t="s">
        <v>194</v>
      </c>
      <c r="E1776" s="41" t="s">
        <v>133</v>
      </c>
      <c r="F1776" s="41" t="s">
        <v>133</v>
      </c>
      <c r="G1776" s="7" t="s">
        <v>102</v>
      </c>
      <c r="H1776" s="7">
        <v>20</v>
      </c>
      <c r="I1776" s="10" t="s">
        <v>2234</v>
      </c>
      <c r="K1776" s="10">
        <v>0.5</v>
      </c>
      <c r="L1776" s="43">
        <v>28</v>
      </c>
      <c r="M1776" s="43"/>
      <c r="N1776" s="12" t="s">
        <v>234</v>
      </c>
      <c r="P1776" s="10">
        <v>630</v>
      </c>
      <c r="Q1776" s="10">
        <v>60</v>
      </c>
      <c r="T1776" s="10">
        <v>120</v>
      </c>
      <c r="V1776" s="45"/>
      <c r="X1776" s="29">
        <v>5.3</v>
      </c>
      <c r="Y1776" s="54" t="s">
        <v>5</v>
      </c>
    </row>
    <row r="1777" spans="1:27" ht="23.1" customHeight="1" x14ac:dyDescent="0.25">
      <c r="A1777" s="20" t="s">
        <v>1360</v>
      </c>
      <c r="B1777" s="7" t="s">
        <v>113</v>
      </c>
      <c r="C1777" s="7">
        <v>9</v>
      </c>
      <c r="D1777" s="7" t="s">
        <v>1364</v>
      </c>
      <c r="E1777" s="41" t="s">
        <v>409</v>
      </c>
      <c r="F1777" s="41" t="s">
        <v>409</v>
      </c>
      <c r="G1777" s="7" t="s">
        <v>102</v>
      </c>
      <c r="H1777" s="7">
        <v>10</v>
      </c>
      <c r="I1777" s="10" t="s">
        <v>1952</v>
      </c>
      <c r="K1777" s="10">
        <v>1</v>
      </c>
      <c r="L1777" s="43">
        <v>26</v>
      </c>
      <c r="M1777" s="43"/>
      <c r="N1777" s="12" t="s">
        <v>596</v>
      </c>
      <c r="P1777" s="10">
        <v>40</v>
      </c>
      <c r="T1777" s="10">
        <v>60</v>
      </c>
      <c r="V1777" s="45">
        <v>1</v>
      </c>
      <c r="X1777" s="29">
        <v>1.7</v>
      </c>
      <c r="Y1777" s="54" t="s">
        <v>23</v>
      </c>
      <c r="Z1777" t="s">
        <v>1269</v>
      </c>
      <c r="AA1777" t="s">
        <v>957</v>
      </c>
    </row>
    <row r="1778" spans="1:27" ht="23.1" customHeight="1" x14ac:dyDescent="0.25">
      <c r="A1778" s="20" t="s">
        <v>1360</v>
      </c>
      <c r="B1778" s="7" t="s">
        <v>113</v>
      </c>
      <c r="C1778" s="7">
        <v>9</v>
      </c>
      <c r="D1778" s="7" t="s">
        <v>1419</v>
      </c>
      <c r="E1778" s="41" t="s">
        <v>409</v>
      </c>
      <c r="F1778" s="41" t="s">
        <v>409</v>
      </c>
      <c r="G1778" s="7" t="s">
        <v>102</v>
      </c>
      <c r="H1778" s="7">
        <v>10</v>
      </c>
      <c r="I1778" s="10" t="s">
        <v>1952</v>
      </c>
      <c r="K1778" s="10">
        <v>1</v>
      </c>
      <c r="L1778" s="43">
        <v>26</v>
      </c>
      <c r="M1778" s="43"/>
      <c r="N1778" s="12" t="s">
        <v>596</v>
      </c>
      <c r="P1778" s="10">
        <v>40</v>
      </c>
      <c r="T1778" s="10">
        <v>60</v>
      </c>
      <c r="V1778" s="45">
        <v>1</v>
      </c>
      <c r="X1778" s="29">
        <v>1.7</v>
      </c>
      <c r="Y1778" s="54" t="s">
        <v>23</v>
      </c>
      <c r="Z1778" t="s">
        <v>1269</v>
      </c>
      <c r="AA1778" t="s">
        <v>957</v>
      </c>
    </row>
    <row r="1779" spans="1:27" ht="23.1" customHeight="1" x14ac:dyDescent="0.25">
      <c r="A1779" s="20" t="s">
        <v>1360</v>
      </c>
      <c r="B1779" s="7" t="s">
        <v>113</v>
      </c>
      <c r="C1779" s="7">
        <v>9</v>
      </c>
      <c r="D1779" s="7" t="s">
        <v>1419</v>
      </c>
      <c r="E1779" s="41" t="s">
        <v>409</v>
      </c>
      <c r="F1779" s="41" t="s">
        <v>409</v>
      </c>
      <c r="G1779" s="7" t="s">
        <v>102</v>
      </c>
      <c r="H1779" s="7">
        <v>15</v>
      </c>
      <c r="I1779" s="10" t="s">
        <v>2205</v>
      </c>
      <c r="K1779" s="10">
        <v>1</v>
      </c>
      <c r="L1779" s="43">
        <v>26</v>
      </c>
      <c r="M1779" s="43"/>
      <c r="N1779" s="12" t="s">
        <v>596</v>
      </c>
      <c r="P1779" s="10">
        <v>90</v>
      </c>
      <c r="T1779" s="10">
        <v>90</v>
      </c>
      <c r="V1779" s="45">
        <v>1</v>
      </c>
      <c r="W1779" s="14">
        <v>2</v>
      </c>
      <c r="X1779" s="29">
        <v>5</v>
      </c>
      <c r="Y1779" s="54" t="s">
        <v>23</v>
      </c>
    </row>
    <row r="1780" spans="1:27" ht="23.1" customHeight="1" x14ac:dyDescent="0.25">
      <c r="A1780" s="20" t="s">
        <v>1360</v>
      </c>
      <c r="B1780" s="7" t="s">
        <v>113</v>
      </c>
      <c r="C1780" s="7">
        <v>16</v>
      </c>
      <c r="D1780" s="7" t="s">
        <v>1420</v>
      </c>
      <c r="E1780" s="41" t="s">
        <v>1421</v>
      </c>
      <c r="F1780" s="41" t="s">
        <v>1421</v>
      </c>
      <c r="G1780" s="7" t="s">
        <v>123</v>
      </c>
      <c r="H1780" s="7">
        <v>5</v>
      </c>
      <c r="I1780" s="10" t="s">
        <v>2381</v>
      </c>
      <c r="J1780" s="10">
        <v>4</v>
      </c>
      <c r="K1780" s="10">
        <v>8</v>
      </c>
      <c r="L1780" s="43">
        <v>26</v>
      </c>
      <c r="M1780" s="43">
        <v>26</v>
      </c>
      <c r="N1780" s="12" t="s">
        <v>597</v>
      </c>
      <c r="P1780" s="10">
        <v>90</v>
      </c>
      <c r="T1780" s="10">
        <v>60</v>
      </c>
      <c r="V1780" s="45">
        <v>1</v>
      </c>
      <c r="X1780" s="29">
        <v>13</v>
      </c>
      <c r="Y1780" s="54" t="s">
        <v>71</v>
      </c>
    </row>
    <row r="1781" spans="1:27" ht="23.1" customHeight="1" x14ac:dyDescent="0.25">
      <c r="A1781" s="20" t="s">
        <v>1360</v>
      </c>
      <c r="B1781" s="7" t="s">
        <v>113</v>
      </c>
      <c r="C1781" s="7">
        <v>11</v>
      </c>
      <c r="D1781" s="7" t="s">
        <v>1409</v>
      </c>
      <c r="E1781" s="41" t="s">
        <v>1410</v>
      </c>
      <c r="F1781" s="41" t="e">
        <v>#N/A</v>
      </c>
      <c r="G1781" s="7" t="s">
        <v>102</v>
      </c>
      <c r="H1781" s="7">
        <v>10</v>
      </c>
      <c r="I1781" s="10"/>
      <c r="J1781" s="10">
        <v>16</v>
      </c>
      <c r="K1781" s="10">
        <v>16</v>
      </c>
      <c r="L1781" s="43">
        <v>26</v>
      </c>
      <c r="M1781" s="43">
        <v>26</v>
      </c>
      <c r="N1781" s="12" t="s">
        <v>108</v>
      </c>
      <c r="V1781" s="45"/>
      <c r="W1781" s="14">
        <v>15</v>
      </c>
      <c r="X1781" s="29">
        <v>15</v>
      </c>
      <c r="Y1781" s="54" t="s">
        <v>71</v>
      </c>
      <c r="Z1781" t="s">
        <v>1422</v>
      </c>
      <c r="AA1781" s="1" t="s">
        <v>238</v>
      </c>
    </row>
    <row r="1782" spans="1:27" ht="23.1" customHeight="1" x14ac:dyDescent="0.25">
      <c r="A1782" s="20" t="s">
        <v>1360</v>
      </c>
      <c r="B1782" s="7" t="s">
        <v>113</v>
      </c>
      <c r="C1782" s="7">
        <v>78</v>
      </c>
      <c r="D1782" s="7" t="s">
        <v>1423</v>
      </c>
      <c r="E1782" s="41" t="s">
        <v>1424</v>
      </c>
      <c r="F1782" s="41" t="s">
        <v>1424</v>
      </c>
      <c r="G1782" s="7" t="s">
        <v>300</v>
      </c>
      <c r="H1782" s="7">
        <v>10</v>
      </c>
      <c r="I1782" s="10" t="s">
        <v>1916</v>
      </c>
      <c r="J1782" s="10">
        <v>2</v>
      </c>
      <c r="K1782" s="10">
        <v>2</v>
      </c>
      <c r="L1782" s="43">
        <v>31</v>
      </c>
      <c r="M1782" s="43">
        <v>31</v>
      </c>
      <c r="N1782" s="12" t="s">
        <v>1425</v>
      </c>
      <c r="P1782" s="10">
        <v>120</v>
      </c>
      <c r="Q1782" s="10">
        <v>60</v>
      </c>
      <c r="S1782" s="11">
        <v>2</v>
      </c>
      <c r="T1782" s="10">
        <v>60</v>
      </c>
      <c r="V1782" s="45">
        <v>1</v>
      </c>
      <c r="X1782" s="29">
        <v>7</v>
      </c>
      <c r="Y1782" s="54" t="s">
        <v>5</v>
      </c>
    </row>
    <row r="1783" spans="1:27" ht="23.1" customHeight="1" x14ac:dyDescent="0.25">
      <c r="A1783" s="20" t="s">
        <v>1360</v>
      </c>
      <c r="B1783" s="7" t="s">
        <v>113</v>
      </c>
      <c r="C1783" s="7">
        <v>78</v>
      </c>
      <c r="D1783" s="7" t="s">
        <v>1423</v>
      </c>
      <c r="E1783" s="41" t="s">
        <v>1424</v>
      </c>
      <c r="F1783" s="41" t="s">
        <v>1424</v>
      </c>
      <c r="G1783" s="7" t="s">
        <v>300</v>
      </c>
      <c r="H1783" s="7">
        <v>15</v>
      </c>
      <c r="I1783" s="10" t="s">
        <v>1926</v>
      </c>
      <c r="J1783" s="10">
        <v>2</v>
      </c>
      <c r="K1783" s="10">
        <v>2</v>
      </c>
      <c r="L1783" s="43">
        <v>26</v>
      </c>
      <c r="M1783" s="43">
        <v>26</v>
      </c>
      <c r="N1783" s="12" t="s">
        <v>1425</v>
      </c>
      <c r="P1783" s="10">
        <v>90</v>
      </c>
      <c r="Q1783" s="10">
        <v>60</v>
      </c>
      <c r="S1783" s="11">
        <v>2</v>
      </c>
      <c r="T1783" s="10">
        <v>60</v>
      </c>
      <c r="V1783" s="45">
        <v>1</v>
      </c>
      <c r="X1783" s="29">
        <v>6</v>
      </c>
      <c r="Y1783" s="54" t="s">
        <v>5</v>
      </c>
    </row>
    <row r="1784" spans="1:27" ht="23.1" customHeight="1" x14ac:dyDescent="0.25">
      <c r="A1784" s="20" t="s">
        <v>1360</v>
      </c>
      <c r="B1784" s="7" t="s">
        <v>113</v>
      </c>
      <c r="C1784" s="7">
        <v>17</v>
      </c>
      <c r="D1784" s="7" t="s">
        <v>1285</v>
      </c>
      <c r="E1784" s="41" t="s">
        <v>1283</v>
      </c>
      <c r="F1784" s="41" t="s">
        <v>1283</v>
      </c>
      <c r="G1784" s="7" t="s">
        <v>102</v>
      </c>
      <c r="H1784" s="7">
        <v>35</v>
      </c>
      <c r="I1784" s="10" t="s">
        <v>2253</v>
      </c>
      <c r="J1784" s="10">
        <v>1</v>
      </c>
      <c r="K1784" s="10">
        <v>1</v>
      </c>
      <c r="L1784" s="43">
        <v>28</v>
      </c>
      <c r="M1784" s="43"/>
      <c r="N1784" s="12" t="s">
        <v>596</v>
      </c>
      <c r="P1784" s="10">
        <v>180</v>
      </c>
      <c r="T1784" s="10">
        <v>90</v>
      </c>
      <c r="V1784" s="45">
        <v>1</v>
      </c>
      <c r="X1784" s="29">
        <v>4.5</v>
      </c>
      <c r="Y1784" s="54" t="s">
        <v>14</v>
      </c>
      <c r="Z1784" t="s">
        <v>1269</v>
      </c>
    </row>
    <row r="1785" spans="1:27" ht="23.1" customHeight="1" x14ac:dyDescent="0.25">
      <c r="A1785" s="20" t="s">
        <v>1360</v>
      </c>
      <c r="B1785" s="7" t="s">
        <v>113</v>
      </c>
      <c r="C1785" s="7">
        <v>17</v>
      </c>
      <c r="D1785" s="7" t="s">
        <v>1285</v>
      </c>
      <c r="E1785" s="41" t="s">
        <v>1283</v>
      </c>
      <c r="F1785" s="41" t="s">
        <v>1283</v>
      </c>
      <c r="G1785" s="7" t="s">
        <v>102</v>
      </c>
      <c r="H1785" s="7">
        <v>40</v>
      </c>
      <c r="I1785" s="10" t="s">
        <v>2254</v>
      </c>
      <c r="K1785" s="10">
        <v>1</v>
      </c>
      <c r="L1785" s="43">
        <v>37</v>
      </c>
      <c r="M1785" s="43"/>
      <c r="N1785" s="12" t="s">
        <v>596</v>
      </c>
      <c r="P1785" s="10">
        <v>150</v>
      </c>
      <c r="T1785" s="10">
        <v>60</v>
      </c>
      <c r="V1785" s="45">
        <v>1</v>
      </c>
      <c r="W1785" s="14">
        <v>7</v>
      </c>
      <c r="X1785" s="29">
        <v>10.5</v>
      </c>
      <c r="Y1785" s="54" t="s">
        <v>14</v>
      </c>
      <c r="Z1785" t="s">
        <v>1269</v>
      </c>
    </row>
    <row r="1786" spans="1:27" ht="23.1" customHeight="1" x14ac:dyDescent="0.25">
      <c r="A1786" s="20" t="s">
        <v>1360</v>
      </c>
      <c r="B1786" s="7" t="s">
        <v>113</v>
      </c>
      <c r="C1786" s="7">
        <v>21</v>
      </c>
      <c r="D1786" s="7" t="s">
        <v>321</v>
      </c>
      <c r="E1786" s="41" t="s">
        <v>322</v>
      </c>
      <c r="F1786" s="41" t="s">
        <v>322</v>
      </c>
      <c r="G1786" s="7" t="s">
        <v>323</v>
      </c>
      <c r="H1786" s="7">
        <v>55</v>
      </c>
      <c r="I1786" s="10" t="s">
        <v>2004</v>
      </c>
      <c r="J1786" s="10">
        <v>0.9</v>
      </c>
      <c r="K1786" s="10">
        <v>0.9</v>
      </c>
      <c r="L1786" s="43">
        <v>26</v>
      </c>
      <c r="M1786" s="43"/>
      <c r="N1786" s="12" t="s">
        <v>801</v>
      </c>
      <c r="P1786" s="10">
        <v>660</v>
      </c>
      <c r="Q1786" s="10">
        <v>120</v>
      </c>
      <c r="T1786" s="10">
        <v>180</v>
      </c>
      <c r="V1786" s="45"/>
      <c r="X1786" s="29">
        <v>9.9</v>
      </c>
      <c r="Y1786" s="54" t="s">
        <v>49</v>
      </c>
    </row>
    <row r="1787" spans="1:27" ht="23.1" customHeight="1" x14ac:dyDescent="0.25">
      <c r="A1787" s="20" t="s">
        <v>1360</v>
      </c>
      <c r="B1787" s="7" t="s">
        <v>113</v>
      </c>
      <c r="C1787" s="7">
        <v>21</v>
      </c>
      <c r="D1787" s="7" t="s">
        <v>321</v>
      </c>
      <c r="E1787" s="41" t="s">
        <v>322</v>
      </c>
      <c r="F1787" s="41" t="s">
        <v>322</v>
      </c>
      <c r="G1787" s="7" t="s">
        <v>323</v>
      </c>
      <c r="H1787" s="7">
        <v>25</v>
      </c>
      <c r="I1787" s="10" t="s">
        <v>2074</v>
      </c>
      <c r="K1787" s="10">
        <v>0.9</v>
      </c>
      <c r="L1787" s="43">
        <v>23</v>
      </c>
      <c r="M1787" s="43"/>
      <c r="N1787" s="12" t="s">
        <v>508</v>
      </c>
      <c r="P1787" s="10">
        <v>360</v>
      </c>
      <c r="Q1787" s="10">
        <v>120</v>
      </c>
      <c r="S1787" s="11">
        <v>1</v>
      </c>
      <c r="T1787" s="10">
        <v>180</v>
      </c>
      <c r="V1787" s="45">
        <v>1</v>
      </c>
      <c r="X1787" s="29">
        <v>10.4</v>
      </c>
      <c r="Y1787" s="54" t="s">
        <v>49</v>
      </c>
    </row>
    <row r="1788" spans="1:27" ht="23.1" customHeight="1" x14ac:dyDescent="0.25">
      <c r="A1788" s="20" t="s">
        <v>1360</v>
      </c>
      <c r="B1788" s="7" t="s">
        <v>113</v>
      </c>
      <c r="C1788" s="7">
        <v>14</v>
      </c>
      <c r="D1788" s="7" t="s">
        <v>1388</v>
      </c>
      <c r="E1788" s="41" t="s">
        <v>625</v>
      </c>
      <c r="F1788" s="41" t="s">
        <v>625</v>
      </c>
      <c r="G1788" s="7" t="s">
        <v>250</v>
      </c>
      <c r="H1788" s="7">
        <v>10</v>
      </c>
      <c r="I1788" s="10" t="s">
        <v>2255</v>
      </c>
      <c r="J1788" s="10">
        <v>8</v>
      </c>
      <c r="K1788" s="10">
        <v>8</v>
      </c>
      <c r="L1788" s="43">
        <v>28</v>
      </c>
      <c r="M1788" s="43">
        <v>28</v>
      </c>
      <c r="N1788" s="12" t="s">
        <v>1389</v>
      </c>
      <c r="P1788" s="10">
        <v>60</v>
      </c>
      <c r="T1788" s="10">
        <v>90</v>
      </c>
      <c r="V1788" s="45">
        <v>1</v>
      </c>
      <c r="W1788" s="14">
        <v>2</v>
      </c>
      <c r="X1788" s="29">
        <v>11.5</v>
      </c>
      <c r="Y1788" s="54" t="s">
        <v>60</v>
      </c>
      <c r="Z1788" t="s">
        <v>1396</v>
      </c>
    </row>
    <row r="1789" spans="1:27" ht="23.1" customHeight="1" x14ac:dyDescent="0.25">
      <c r="A1789" s="20" t="s">
        <v>1360</v>
      </c>
      <c r="B1789" s="7" t="s">
        <v>113</v>
      </c>
      <c r="C1789" s="7">
        <v>14</v>
      </c>
      <c r="D1789" s="7" t="s">
        <v>1388</v>
      </c>
      <c r="E1789" s="41" t="s">
        <v>625</v>
      </c>
      <c r="F1789" s="41" t="s">
        <v>625</v>
      </c>
      <c r="G1789" s="7" t="s">
        <v>250</v>
      </c>
      <c r="H1789" s="7">
        <v>15</v>
      </c>
      <c r="I1789" s="10" t="s">
        <v>2256</v>
      </c>
      <c r="J1789" s="10">
        <v>1</v>
      </c>
      <c r="K1789" s="10">
        <v>5</v>
      </c>
      <c r="L1789" s="43">
        <v>37</v>
      </c>
      <c r="M1789" s="43">
        <v>5</v>
      </c>
      <c r="N1789" s="12" t="s">
        <v>1389</v>
      </c>
      <c r="P1789" s="10">
        <v>140</v>
      </c>
      <c r="T1789" s="10">
        <v>120</v>
      </c>
      <c r="V1789" s="45">
        <v>1</v>
      </c>
      <c r="W1789" s="14">
        <v>2</v>
      </c>
      <c r="X1789" s="29">
        <v>15.7</v>
      </c>
      <c r="Y1789" s="54" t="s">
        <v>60</v>
      </c>
      <c r="Z1789" t="s">
        <v>1376</v>
      </c>
      <c r="AA1789" s="1" t="s">
        <v>238</v>
      </c>
    </row>
    <row r="1790" spans="1:27" ht="23.1" customHeight="1" x14ac:dyDescent="0.25">
      <c r="A1790" s="20" t="s">
        <v>1360</v>
      </c>
      <c r="B1790" s="7" t="s">
        <v>113</v>
      </c>
      <c r="C1790" s="7">
        <v>14</v>
      </c>
      <c r="D1790" s="7" t="s">
        <v>1388</v>
      </c>
      <c r="E1790" s="41" t="s">
        <v>625</v>
      </c>
      <c r="F1790" s="41" t="s">
        <v>625</v>
      </c>
      <c r="G1790" s="7" t="s">
        <v>250</v>
      </c>
      <c r="H1790" s="7">
        <v>15</v>
      </c>
      <c r="I1790" s="10" t="s">
        <v>2256</v>
      </c>
      <c r="K1790" s="10">
        <v>3</v>
      </c>
      <c r="L1790" s="43"/>
      <c r="M1790" s="43">
        <v>26</v>
      </c>
      <c r="N1790" s="12" t="s">
        <v>1389</v>
      </c>
      <c r="P1790" s="10">
        <v>140</v>
      </c>
      <c r="T1790" s="10">
        <v>120</v>
      </c>
      <c r="V1790" s="45"/>
      <c r="X1790" s="29">
        <v>7</v>
      </c>
      <c r="Y1790" s="54" t="s">
        <v>60</v>
      </c>
    </row>
    <row r="1791" spans="1:27" ht="23.1" customHeight="1" x14ac:dyDescent="0.25">
      <c r="A1791" s="20" t="s">
        <v>1360</v>
      </c>
      <c r="B1791" s="7" t="s">
        <v>113</v>
      </c>
      <c r="C1791" s="7">
        <v>18</v>
      </c>
      <c r="D1791" s="7" t="s">
        <v>920</v>
      </c>
      <c r="E1791" s="41" t="s">
        <v>919</v>
      </c>
      <c r="F1791" s="41" t="s">
        <v>919</v>
      </c>
      <c r="G1791" s="7" t="s">
        <v>323</v>
      </c>
      <c r="H1791" s="7">
        <v>20</v>
      </c>
      <c r="I1791" s="10" t="s">
        <v>2474</v>
      </c>
      <c r="J1791" s="10">
        <v>4</v>
      </c>
      <c r="K1791" s="10">
        <v>6</v>
      </c>
      <c r="L1791" s="43">
        <v>5</v>
      </c>
      <c r="M1791" s="43">
        <v>5</v>
      </c>
      <c r="N1791" s="12" t="s">
        <v>860</v>
      </c>
      <c r="P1791" s="10">
        <v>120</v>
      </c>
      <c r="T1791" s="10">
        <v>90</v>
      </c>
      <c r="V1791" s="45"/>
      <c r="X1791" s="29">
        <v>12</v>
      </c>
      <c r="Y1791" s="54" t="s">
        <v>14</v>
      </c>
    </row>
    <row r="1792" spans="1:27" ht="23.1" customHeight="1" x14ac:dyDescent="0.25">
      <c r="A1792" s="20" t="s">
        <v>1360</v>
      </c>
      <c r="B1792" s="7" t="s">
        <v>113</v>
      </c>
      <c r="C1792" s="7">
        <v>13</v>
      </c>
      <c r="D1792" s="7" t="s">
        <v>1394</v>
      </c>
      <c r="E1792" s="41" t="s">
        <v>1278</v>
      </c>
      <c r="F1792" s="41" t="s">
        <v>1278</v>
      </c>
      <c r="G1792" s="7" t="s">
        <v>123</v>
      </c>
      <c r="H1792" s="7">
        <v>30</v>
      </c>
      <c r="I1792" s="10" t="s">
        <v>2257</v>
      </c>
      <c r="J1792" s="10">
        <v>10</v>
      </c>
      <c r="K1792" s="10">
        <v>16</v>
      </c>
      <c r="L1792" s="43">
        <v>31</v>
      </c>
      <c r="M1792" s="43">
        <v>26</v>
      </c>
      <c r="N1792" s="12" t="s">
        <v>164</v>
      </c>
      <c r="P1792" s="10">
        <v>70</v>
      </c>
      <c r="T1792" s="10">
        <v>60</v>
      </c>
      <c r="V1792" s="45"/>
      <c r="X1792" s="29">
        <v>18.7</v>
      </c>
      <c r="Y1792" s="54" t="s">
        <v>10</v>
      </c>
    </row>
    <row r="1793" spans="1:27" ht="23.1" customHeight="1" x14ac:dyDescent="0.25">
      <c r="A1793" s="20" t="s">
        <v>1360</v>
      </c>
      <c r="B1793" s="7" t="s">
        <v>113</v>
      </c>
      <c r="C1793" s="7">
        <v>12</v>
      </c>
      <c r="D1793" s="7" t="s">
        <v>248</v>
      </c>
      <c r="E1793" s="41" t="s">
        <v>249</v>
      </c>
      <c r="F1793" s="41" t="s">
        <v>249</v>
      </c>
      <c r="G1793" s="7" t="s">
        <v>250</v>
      </c>
      <c r="H1793" s="7">
        <v>3</v>
      </c>
      <c r="I1793" s="10"/>
      <c r="K1793" s="10">
        <v>6</v>
      </c>
      <c r="L1793" s="43">
        <v>26</v>
      </c>
      <c r="M1793" s="43">
        <v>26</v>
      </c>
      <c r="N1793" s="12" t="s">
        <v>1426</v>
      </c>
      <c r="O1793" s="10">
        <v>30</v>
      </c>
      <c r="U1793" s="10">
        <v>60</v>
      </c>
      <c r="V1793" s="45">
        <v>1</v>
      </c>
      <c r="X1793" s="32">
        <v>4</v>
      </c>
      <c r="Y1793" s="54" t="s">
        <v>10</v>
      </c>
    </row>
    <row r="1794" spans="1:27" ht="23.1" customHeight="1" x14ac:dyDescent="0.25">
      <c r="A1794" s="20" t="s">
        <v>1360</v>
      </c>
      <c r="B1794" s="7" t="s">
        <v>113</v>
      </c>
      <c r="C1794" s="7">
        <v>12</v>
      </c>
      <c r="D1794" s="7" t="s">
        <v>248</v>
      </c>
      <c r="E1794" s="41" t="s">
        <v>249</v>
      </c>
      <c r="F1794" s="41" t="s">
        <v>249</v>
      </c>
      <c r="G1794" s="7" t="s">
        <v>250</v>
      </c>
      <c r="H1794" s="7">
        <v>5</v>
      </c>
      <c r="I1794" s="10" t="s">
        <v>1930</v>
      </c>
      <c r="K1794" s="10">
        <v>6</v>
      </c>
      <c r="L1794" s="43">
        <v>26</v>
      </c>
      <c r="M1794" s="43">
        <v>26</v>
      </c>
      <c r="N1794" s="12" t="s">
        <v>1426</v>
      </c>
      <c r="P1794" s="10">
        <v>30</v>
      </c>
      <c r="T1794" s="10">
        <v>60</v>
      </c>
      <c r="V1794" s="45">
        <v>1</v>
      </c>
      <c r="X1794" s="29">
        <v>4</v>
      </c>
      <c r="Y1794" s="54" t="s">
        <v>10</v>
      </c>
    </row>
    <row r="1795" spans="1:27" ht="23.1" customHeight="1" x14ac:dyDescent="0.25">
      <c r="A1795" s="20" t="s">
        <v>1360</v>
      </c>
      <c r="B1795" s="7" t="s">
        <v>113</v>
      </c>
      <c r="C1795" s="7">
        <v>12</v>
      </c>
      <c r="D1795" s="7" t="s">
        <v>248</v>
      </c>
      <c r="E1795" s="41" t="s">
        <v>249</v>
      </c>
      <c r="F1795" s="41" t="s">
        <v>249</v>
      </c>
      <c r="G1795" s="7" t="s">
        <v>250</v>
      </c>
      <c r="H1795" s="7">
        <v>8</v>
      </c>
      <c r="I1795" s="10"/>
      <c r="K1795" s="10">
        <v>6</v>
      </c>
      <c r="L1795" s="43">
        <v>26</v>
      </c>
      <c r="M1795" s="43">
        <v>26</v>
      </c>
      <c r="N1795" s="12" t="s">
        <v>1426</v>
      </c>
      <c r="O1795" s="10">
        <v>80</v>
      </c>
      <c r="U1795" s="10">
        <v>60</v>
      </c>
      <c r="V1795" s="45">
        <v>1</v>
      </c>
      <c r="X1795" s="32">
        <v>9</v>
      </c>
      <c r="Y1795" s="54" t="s">
        <v>10</v>
      </c>
    </row>
    <row r="1796" spans="1:27" ht="23.1" customHeight="1" x14ac:dyDescent="0.25">
      <c r="A1796" s="20" t="s">
        <v>1360</v>
      </c>
      <c r="B1796" s="7" t="s">
        <v>113</v>
      </c>
      <c r="C1796" s="7">
        <v>12</v>
      </c>
      <c r="D1796" s="7" t="s">
        <v>248</v>
      </c>
      <c r="E1796" s="41" t="s">
        <v>249</v>
      </c>
      <c r="F1796" s="41" t="s">
        <v>249</v>
      </c>
      <c r="G1796" s="7" t="s">
        <v>250</v>
      </c>
      <c r="H1796" s="7">
        <v>10</v>
      </c>
      <c r="I1796" s="10" t="s">
        <v>1949</v>
      </c>
      <c r="J1796" s="10">
        <v>6</v>
      </c>
      <c r="K1796" s="10">
        <v>6</v>
      </c>
      <c r="L1796" s="43">
        <v>26</v>
      </c>
      <c r="M1796" s="43">
        <v>26</v>
      </c>
      <c r="N1796" s="12" t="s">
        <v>1426</v>
      </c>
      <c r="P1796" s="10">
        <v>80</v>
      </c>
      <c r="T1796" s="10">
        <v>90</v>
      </c>
      <c r="V1796" s="45">
        <v>1</v>
      </c>
      <c r="X1796" s="29">
        <v>9.5</v>
      </c>
      <c r="Y1796" s="54" t="s">
        <v>10</v>
      </c>
    </row>
    <row r="1797" spans="1:27" ht="23.1" customHeight="1" x14ac:dyDescent="0.25">
      <c r="A1797" s="20" t="s">
        <v>1360</v>
      </c>
      <c r="B1797" s="7" t="s">
        <v>113</v>
      </c>
      <c r="C1797" s="7">
        <v>59</v>
      </c>
      <c r="D1797" s="7" t="s">
        <v>1261</v>
      </c>
      <c r="E1797" s="41" t="s">
        <v>409</v>
      </c>
      <c r="F1797" s="41" t="s">
        <v>409</v>
      </c>
      <c r="G1797" s="7" t="s">
        <v>102</v>
      </c>
      <c r="H1797" s="7">
        <v>25</v>
      </c>
      <c r="I1797" s="10" t="s">
        <v>2054</v>
      </c>
      <c r="K1797" s="10">
        <v>1</v>
      </c>
      <c r="L1797" s="43">
        <v>26</v>
      </c>
      <c r="M1797" s="43"/>
      <c r="N1797" s="12" t="s">
        <v>596</v>
      </c>
      <c r="P1797" s="10">
        <v>20</v>
      </c>
      <c r="T1797" s="10">
        <v>60</v>
      </c>
      <c r="V1797" s="45">
        <v>1</v>
      </c>
      <c r="W1797" s="14">
        <v>2</v>
      </c>
      <c r="X1797" s="29">
        <v>3.3</v>
      </c>
      <c r="Y1797" s="54" t="s">
        <v>6</v>
      </c>
      <c r="Z1797" t="s">
        <v>1427</v>
      </c>
      <c r="AA1797" s="1" t="s">
        <v>238</v>
      </c>
    </row>
    <row r="1798" spans="1:27" ht="23.1" customHeight="1" x14ac:dyDescent="0.25">
      <c r="A1798" s="20" t="s">
        <v>1360</v>
      </c>
      <c r="B1798" s="7" t="s">
        <v>113</v>
      </c>
      <c r="C1798" s="7">
        <v>59</v>
      </c>
      <c r="D1798" s="7" t="s">
        <v>1428</v>
      </c>
      <c r="E1798" s="41" t="s">
        <v>595</v>
      </c>
      <c r="F1798" s="41" t="s">
        <v>1452</v>
      </c>
      <c r="G1798" s="7" t="s">
        <v>102</v>
      </c>
      <c r="H1798" s="7">
        <v>5</v>
      </c>
      <c r="I1798" s="10" t="s">
        <v>2060</v>
      </c>
      <c r="K1798" s="10">
        <v>2</v>
      </c>
      <c r="L1798" s="43">
        <v>26</v>
      </c>
      <c r="M1798" s="43"/>
      <c r="N1798" s="12" t="s">
        <v>596</v>
      </c>
      <c r="P1798" s="10">
        <v>45</v>
      </c>
      <c r="T1798" s="10">
        <v>60</v>
      </c>
      <c r="V1798" s="45">
        <v>1</v>
      </c>
      <c r="X1798" s="29">
        <v>2.5</v>
      </c>
      <c r="Y1798" s="54" t="s">
        <v>6</v>
      </c>
    </row>
    <row r="1799" spans="1:27" ht="23.1" customHeight="1" x14ac:dyDescent="0.25">
      <c r="A1799" s="20" t="s">
        <v>1360</v>
      </c>
      <c r="B1799" s="7" t="s">
        <v>113</v>
      </c>
      <c r="C1799" s="7">
        <v>59</v>
      </c>
      <c r="D1799" s="7" t="s">
        <v>1428</v>
      </c>
      <c r="E1799" s="41" t="s">
        <v>595</v>
      </c>
      <c r="F1799" s="41" t="s">
        <v>1452</v>
      </c>
      <c r="G1799" s="7" t="s">
        <v>102</v>
      </c>
      <c r="H1799" s="7">
        <v>10</v>
      </c>
      <c r="I1799" s="10" t="s">
        <v>2258</v>
      </c>
      <c r="K1799" s="10">
        <v>2</v>
      </c>
      <c r="L1799" s="43">
        <v>9</v>
      </c>
      <c r="M1799" s="43">
        <v>9</v>
      </c>
      <c r="N1799" s="12" t="s">
        <v>596</v>
      </c>
      <c r="P1799" s="10">
        <v>35</v>
      </c>
      <c r="T1799" s="10">
        <v>90</v>
      </c>
      <c r="V1799" s="45">
        <v>1</v>
      </c>
      <c r="W1799" s="14">
        <v>2</v>
      </c>
      <c r="X1799" s="29">
        <v>4.7</v>
      </c>
      <c r="Y1799" s="54" t="s">
        <v>6</v>
      </c>
      <c r="Z1799" t="s">
        <v>1427</v>
      </c>
      <c r="AA1799" s="1" t="s">
        <v>238</v>
      </c>
    </row>
    <row r="1800" spans="1:27" ht="23.1" customHeight="1" x14ac:dyDescent="0.25">
      <c r="A1800" s="20" t="s">
        <v>1360</v>
      </c>
      <c r="B1800" s="7" t="s">
        <v>113</v>
      </c>
      <c r="C1800" s="7">
        <v>59</v>
      </c>
      <c r="D1800" s="7" t="s">
        <v>1428</v>
      </c>
      <c r="E1800" s="41" t="s">
        <v>595</v>
      </c>
      <c r="F1800" s="41" t="s">
        <v>1452</v>
      </c>
      <c r="G1800" s="7" t="s">
        <v>102</v>
      </c>
      <c r="H1800" s="7">
        <v>15</v>
      </c>
      <c r="I1800" s="10" t="s">
        <v>2259</v>
      </c>
      <c r="K1800" s="10">
        <v>0.1</v>
      </c>
      <c r="L1800" s="43">
        <v>23</v>
      </c>
      <c r="M1800" s="43"/>
      <c r="N1800" s="12" t="s">
        <v>596</v>
      </c>
      <c r="P1800" s="10">
        <v>80</v>
      </c>
      <c r="T1800" s="10">
        <v>60</v>
      </c>
      <c r="V1800" s="45">
        <v>1</v>
      </c>
      <c r="W1800" s="14">
        <v>2</v>
      </c>
      <c r="X1800" s="29">
        <v>3.1</v>
      </c>
      <c r="Y1800" s="54" t="s">
        <v>6</v>
      </c>
      <c r="Z1800" t="s">
        <v>1427</v>
      </c>
      <c r="AA1800" s="1" t="s">
        <v>238</v>
      </c>
    </row>
    <row r="1801" spans="1:27" ht="23.1" customHeight="1" x14ac:dyDescent="0.25">
      <c r="A1801" s="20" t="s">
        <v>1360</v>
      </c>
      <c r="B1801" s="7" t="s">
        <v>113</v>
      </c>
      <c r="C1801" s="7">
        <v>47</v>
      </c>
      <c r="D1801" s="7" t="s">
        <v>258</v>
      </c>
      <c r="E1801" s="41" t="s">
        <v>259</v>
      </c>
      <c r="F1801" s="41" t="s">
        <v>284</v>
      </c>
      <c r="G1801" s="7" t="s">
        <v>123</v>
      </c>
      <c r="H1801" s="7">
        <v>30</v>
      </c>
      <c r="I1801" s="10" t="s">
        <v>2199</v>
      </c>
      <c r="J1801" s="10">
        <v>0.7</v>
      </c>
      <c r="K1801" s="10">
        <v>0.9</v>
      </c>
      <c r="L1801" s="43">
        <v>5</v>
      </c>
      <c r="M1801" s="43"/>
      <c r="N1801" s="12" t="s">
        <v>1402</v>
      </c>
      <c r="P1801" s="10">
        <v>720</v>
      </c>
      <c r="Q1801" s="10">
        <v>120</v>
      </c>
      <c r="T1801" s="10">
        <v>90</v>
      </c>
      <c r="V1801" s="45"/>
      <c r="X1801" s="29">
        <v>10.8</v>
      </c>
      <c r="Y1801" s="54" t="s">
        <v>22</v>
      </c>
    </row>
    <row r="1802" spans="1:27" ht="23.1" customHeight="1" x14ac:dyDescent="0.25">
      <c r="A1802" s="20" t="s">
        <v>1360</v>
      </c>
      <c r="B1802" s="7" t="s">
        <v>113</v>
      </c>
      <c r="C1802" s="7">
        <v>47</v>
      </c>
      <c r="D1802" s="7" t="s">
        <v>258</v>
      </c>
      <c r="E1802" s="41" t="s">
        <v>259</v>
      </c>
      <c r="F1802" s="41" t="s">
        <v>284</v>
      </c>
      <c r="G1802" s="7" t="s">
        <v>123</v>
      </c>
      <c r="H1802" s="7">
        <v>15</v>
      </c>
      <c r="I1802" s="10" t="s">
        <v>2246</v>
      </c>
      <c r="J1802" s="10">
        <v>0.5</v>
      </c>
      <c r="K1802" s="10">
        <v>0.5</v>
      </c>
      <c r="L1802" s="43">
        <v>28</v>
      </c>
      <c r="M1802" s="43"/>
      <c r="N1802" s="12" t="s">
        <v>1402</v>
      </c>
      <c r="P1802" s="10">
        <v>480</v>
      </c>
      <c r="Q1802" s="10">
        <v>90</v>
      </c>
      <c r="T1802" s="10">
        <v>60</v>
      </c>
      <c r="V1802" s="45"/>
      <c r="X1802" s="29">
        <v>4</v>
      </c>
      <c r="Y1802" s="54" t="s">
        <v>22</v>
      </c>
    </row>
    <row r="1803" spans="1:27" ht="23.1" customHeight="1" x14ac:dyDescent="0.25">
      <c r="A1803" s="20" t="s">
        <v>1360</v>
      </c>
      <c r="B1803" s="7" t="s">
        <v>113</v>
      </c>
      <c r="C1803" s="7">
        <v>23</v>
      </c>
      <c r="D1803" s="7" t="s">
        <v>498</v>
      </c>
      <c r="E1803" s="41" t="s">
        <v>499</v>
      </c>
      <c r="F1803" s="41" t="s">
        <v>499</v>
      </c>
      <c r="G1803" s="7" t="s">
        <v>118</v>
      </c>
      <c r="H1803" s="7">
        <v>10</v>
      </c>
      <c r="I1803" s="10" t="s">
        <v>2245</v>
      </c>
      <c r="J1803" s="10">
        <v>0.1</v>
      </c>
      <c r="K1803" s="10">
        <v>0.9</v>
      </c>
      <c r="L1803" s="43">
        <v>5</v>
      </c>
      <c r="M1803" s="43"/>
      <c r="N1803" s="12" t="s">
        <v>1429</v>
      </c>
      <c r="P1803" s="10">
        <v>180</v>
      </c>
      <c r="Q1803" s="10">
        <v>60</v>
      </c>
      <c r="S1803" s="11">
        <v>1</v>
      </c>
      <c r="T1803" s="10">
        <v>120</v>
      </c>
      <c r="V1803" s="45"/>
      <c r="W1803" s="14">
        <v>4</v>
      </c>
      <c r="X1803" s="29">
        <v>7.7</v>
      </c>
      <c r="Y1803" s="54" t="s">
        <v>22</v>
      </c>
      <c r="Z1803" t="s">
        <v>1430</v>
      </c>
    </row>
    <row r="1804" spans="1:27" ht="23.1" customHeight="1" x14ac:dyDescent="0.25">
      <c r="A1804" s="20" t="s">
        <v>1360</v>
      </c>
      <c r="B1804" s="7" t="s">
        <v>113</v>
      </c>
      <c r="C1804" s="7">
        <v>23</v>
      </c>
      <c r="D1804" s="7" t="s">
        <v>498</v>
      </c>
      <c r="E1804" s="41" t="s">
        <v>499</v>
      </c>
      <c r="F1804" s="41" t="s">
        <v>499</v>
      </c>
      <c r="G1804" s="7" t="s">
        <v>118</v>
      </c>
      <c r="H1804" s="7">
        <v>15</v>
      </c>
      <c r="I1804" s="10" t="s">
        <v>2260</v>
      </c>
      <c r="J1804" s="10">
        <v>1</v>
      </c>
      <c r="K1804" s="10">
        <v>1</v>
      </c>
      <c r="L1804" s="43">
        <v>26</v>
      </c>
      <c r="M1804" s="43"/>
      <c r="N1804" s="12" t="s">
        <v>222</v>
      </c>
      <c r="P1804" s="10">
        <v>420</v>
      </c>
      <c r="Q1804" s="10">
        <v>120</v>
      </c>
      <c r="S1804" s="11">
        <v>1</v>
      </c>
      <c r="T1804" s="10">
        <v>180</v>
      </c>
      <c r="V1804" s="45">
        <v>1</v>
      </c>
      <c r="X1804" s="29">
        <v>12</v>
      </c>
      <c r="Y1804" s="54" t="s">
        <v>22</v>
      </c>
    </row>
    <row r="1805" spans="1:27" ht="23.1" customHeight="1" x14ac:dyDescent="0.25">
      <c r="A1805" s="20" t="s">
        <v>1360</v>
      </c>
      <c r="B1805" s="7" t="s">
        <v>113</v>
      </c>
      <c r="C1805" s="7">
        <v>24</v>
      </c>
      <c r="D1805" s="7" t="s">
        <v>294</v>
      </c>
      <c r="E1805" s="41" t="s">
        <v>259</v>
      </c>
      <c r="F1805" s="41" t="s">
        <v>284</v>
      </c>
      <c r="G1805" s="3" t="s">
        <v>118</v>
      </c>
      <c r="H1805" s="7">
        <v>45</v>
      </c>
      <c r="I1805" s="10" t="s">
        <v>1920</v>
      </c>
      <c r="L1805" s="43"/>
      <c r="M1805" s="43"/>
      <c r="N1805" s="12" t="s">
        <v>684</v>
      </c>
      <c r="P1805" s="10">
        <v>300</v>
      </c>
      <c r="Q1805" s="10">
        <v>120</v>
      </c>
      <c r="T1805" s="10">
        <v>120</v>
      </c>
      <c r="V1805" s="45"/>
      <c r="X1805" s="29">
        <v>0</v>
      </c>
      <c r="Y1805" s="54" t="s">
        <v>26</v>
      </c>
      <c r="Z1805" t="s">
        <v>1431</v>
      </c>
    </row>
    <row r="1806" spans="1:27" ht="23.1" customHeight="1" x14ac:dyDescent="0.25">
      <c r="A1806" s="53" t="s">
        <v>1432</v>
      </c>
      <c r="B1806" s="10" t="s">
        <v>110</v>
      </c>
      <c r="C1806" s="10">
        <v>76</v>
      </c>
      <c r="D1806" s="10" t="s">
        <v>1433</v>
      </c>
      <c r="E1806" s="41" t="s">
        <v>1384</v>
      </c>
      <c r="F1806" s="41" t="s">
        <v>1384</v>
      </c>
      <c r="G1806" s="7" t="s">
        <v>154</v>
      </c>
      <c r="H1806" s="7">
        <v>10</v>
      </c>
      <c r="I1806" s="10" t="s">
        <v>2241</v>
      </c>
      <c r="J1806" s="10">
        <v>20</v>
      </c>
      <c r="K1806" s="10">
        <v>19</v>
      </c>
      <c r="L1806" s="43">
        <v>5</v>
      </c>
      <c r="M1806" s="43">
        <v>9</v>
      </c>
      <c r="N1806" s="12" t="s">
        <v>567</v>
      </c>
      <c r="P1806" s="10">
        <v>30</v>
      </c>
      <c r="T1806" s="10">
        <v>60</v>
      </c>
      <c r="V1806" s="45">
        <v>1</v>
      </c>
      <c r="W1806" s="14">
        <v>2</v>
      </c>
      <c r="X1806" s="29">
        <v>12.5</v>
      </c>
      <c r="Y1806" s="54" t="s">
        <v>46</v>
      </c>
      <c r="Z1806" t="s">
        <v>1427</v>
      </c>
      <c r="AA1806" s="1" t="s">
        <v>238</v>
      </c>
    </row>
    <row r="1807" spans="1:27" ht="23.1" customHeight="1" x14ac:dyDescent="0.25">
      <c r="A1807" s="53" t="s">
        <v>1432</v>
      </c>
      <c r="B1807" s="10" t="s">
        <v>110</v>
      </c>
      <c r="C1807" s="10">
        <v>76</v>
      </c>
      <c r="D1807" s="10" t="s">
        <v>1433</v>
      </c>
      <c r="E1807" s="41" t="s">
        <v>1384</v>
      </c>
      <c r="F1807" s="41" t="s">
        <v>1384</v>
      </c>
      <c r="G1807" s="7" t="s">
        <v>154</v>
      </c>
      <c r="H1807" s="7">
        <v>10</v>
      </c>
      <c r="I1807" s="10" t="s">
        <v>2241</v>
      </c>
      <c r="J1807" s="10">
        <v>0</v>
      </c>
      <c r="K1807" s="10">
        <v>12</v>
      </c>
      <c r="L1807" s="43">
        <v>9</v>
      </c>
      <c r="M1807" s="43">
        <v>9</v>
      </c>
      <c r="N1807" s="12" t="s">
        <v>393</v>
      </c>
      <c r="P1807" s="10">
        <v>30</v>
      </c>
      <c r="T1807" s="10">
        <v>60</v>
      </c>
      <c r="V1807" s="45"/>
      <c r="X1807" s="29">
        <v>6</v>
      </c>
      <c r="Y1807" s="54" t="s">
        <v>46</v>
      </c>
    </row>
    <row r="1808" spans="1:27" ht="23.1" customHeight="1" x14ac:dyDescent="0.25">
      <c r="A1808" s="53" t="s">
        <v>1432</v>
      </c>
      <c r="B1808" s="10" t="s">
        <v>110</v>
      </c>
      <c r="C1808" s="10">
        <v>77</v>
      </c>
      <c r="D1808" s="10" t="s">
        <v>727</v>
      </c>
      <c r="E1808" s="41" t="s">
        <v>625</v>
      </c>
      <c r="F1808" s="41" t="s">
        <v>625</v>
      </c>
      <c r="G1808" s="7" t="s">
        <v>250</v>
      </c>
      <c r="H1808" s="7">
        <v>50</v>
      </c>
      <c r="I1808" s="10" t="s">
        <v>2032</v>
      </c>
      <c r="K1808" s="10">
        <v>5</v>
      </c>
      <c r="L1808" s="43">
        <v>5</v>
      </c>
      <c r="M1808" s="43">
        <v>23</v>
      </c>
      <c r="N1808" s="12" t="s">
        <v>216</v>
      </c>
      <c r="P1808" s="10">
        <v>60</v>
      </c>
      <c r="T1808" s="10">
        <v>60</v>
      </c>
      <c r="V1808" s="45"/>
      <c r="X1808" s="29">
        <v>5</v>
      </c>
      <c r="Y1808" s="54" t="s">
        <v>15</v>
      </c>
    </row>
    <row r="1809" spans="1:27" ht="23.1" customHeight="1" x14ac:dyDescent="0.25">
      <c r="A1809" s="53" t="s">
        <v>1432</v>
      </c>
      <c r="B1809" s="10" t="s">
        <v>110</v>
      </c>
      <c r="C1809" s="10">
        <v>10</v>
      </c>
      <c r="D1809" s="10" t="s">
        <v>217</v>
      </c>
      <c r="E1809" s="41" t="s">
        <v>218</v>
      </c>
      <c r="F1809" s="41" t="s">
        <v>218</v>
      </c>
      <c r="G1809" s="7" t="s">
        <v>107</v>
      </c>
      <c r="H1809" s="7">
        <v>55</v>
      </c>
      <c r="I1809" s="10" t="s">
        <v>2227</v>
      </c>
      <c r="J1809" s="10">
        <v>2</v>
      </c>
      <c r="K1809" s="10">
        <v>2.2000000000000002</v>
      </c>
      <c r="L1809" s="43">
        <v>5</v>
      </c>
      <c r="M1809" s="43">
        <v>31</v>
      </c>
      <c r="N1809" s="12" t="s">
        <v>1094</v>
      </c>
      <c r="P1809" s="10">
        <v>270</v>
      </c>
      <c r="T1809" s="10">
        <v>90</v>
      </c>
      <c r="V1809" s="45"/>
      <c r="W1809" s="14">
        <v>2.2000000000000002</v>
      </c>
      <c r="X1809" s="29">
        <v>12.1</v>
      </c>
      <c r="Y1809" s="54" t="s">
        <v>30</v>
      </c>
      <c r="Z1809" t="s">
        <v>1434</v>
      </c>
      <c r="AA1809" t="s">
        <v>957</v>
      </c>
    </row>
    <row r="1810" spans="1:27" ht="23.1" customHeight="1" x14ac:dyDescent="0.25">
      <c r="A1810" s="53" t="s">
        <v>1432</v>
      </c>
      <c r="B1810" s="10" t="s">
        <v>110</v>
      </c>
      <c r="C1810" s="10">
        <v>24</v>
      </c>
      <c r="D1810" s="10" t="s">
        <v>776</v>
      </c>
      <c r="E1810" s="41" t="s">
        <v>777</v>
      </c>
      <c r="F1810" s="41" t="s">
        <v>777</v>
      </c>
      <c r="G1810" s="7" t="s">
        <v>107</v>
      </c>
      <c r="H1810" s="7">
        <v>25</v>
      </c>
      <c r="I1810" s="10" t="s">
        <v>2035</v>
      </c>
      <c r="J1810" s="10">
        <v>0.5</v>
      </c>
      <c r="L1810" s="43"/>
      <c r="M1810" s="43"/>
      <c r="N1810" s="12" t="s">
        <v>778</v>
      </c>
      <c r="P1810" s="10">
        <v>840</v>
      </c>
      <c r="Q1810" s="10">
        <v>120</v>
      </c>
      <c r="T1810" s="10">
        <v>150</v>
      </c>
      <c r="V1810" s="45"/>
      <c r="X1810" s="29">
        <v>0</v>
      </c>
      <c r="Y1810" s="54" t="s">
        <v>54</v>
      </c>
      <c r="Z1810" t="s">
        <v>1431</v>
      </c>
    </row>
    <row r="1811" spans="1:27" ht="23.1" customHeight="1" x14ac:dyDescent="0.25">
      <c r="A1811" s="53" t="s">
        <v>1432</v>
      </c>
      <c r="B1811" s="10" t="s">
        <v>110</v>
      </c>
      <c r="C1811" s="10">
        <v>69</v>
      </c>
      <c r="D1811" s="10" t="s">
        <v>1371</v>
      </c>
      <c r="E1811" s="41" t="s">
        <v>1372</v>
      </c>
      <c r="F1811" s="41" t="s">
        <v>215</v>
      </c>
      <c r="G1811" s="7" t="s">
        <v>154</v>
      </c>
      <c r="H1811" s="7">
        <v>70</v>
      </c>
      <c r="I1811" s="10" t="s">
        <v>1966</v>
      </c>
      <c r="J1811" s="10">
        <v>4</v>
      </c>
      <c r="K1811" s="10">
        <v>4</v>
      </c>
      <c r="L1811" s="43">
        <v>5</v>
      </c>
      <c r="M1811" s="43">
        <v>23</v>
      </c>
      <c r="N1811" s="12" t="s">
        <v>427</v>
      </c>
      <c r="P1811" s="10">
        <v>60</v>
      </c>
      <c r="Q1811" s="10">
        <v>90</v>
      </c>
      <c r="S1811" s="11">
        <v>4</v>
      </c>
      <c r="T1811" s="10">
        <v>150</v>
      </c>
      <c r="V1811" s="45">
        <v>1</v>
      </c>
      <c r="W1811" s="10">
        <v>4</v>
      </c>
      <c r="X1811" s="29">
        <v>16.5</v>
      </c>
      <c r="Y1811" s="54" t="s">
        <v>54</v>
      </c>
      <c r="Z1811" t="s">
        <v>1193</v>
      </c>
    </row>
    <row r="1812" spans="1:27" ht="23.1" customHeight="1" x14ac:dyDescent="0.25">
      <c r="A1812" s="53" t="s">
        <v>1432</v>
      </c>
      <c r="B1812" s="10" t="s">
        <v>110</v>
      </c>
      <c r="C1812" s="10">
        <v>69</v>
      </c>
      <c r="D1812" s="10" t="s">
        <v>1411</v>
      </c>
      <c r="E1812" s="41" t="s">
        <v>1372</v>
      </c>
      <c r="F1812" s="41" t="s">
        <v>215</v>
      </c>
      <c r="G1812" s="7" t="s">
        <v>154</v>
      </c>
      <c r="H1812" s="7">
        <v>70</v>
      </c>
      <c r="I1812" s="10" t="s">
        <v>1966</v>
      </c>
      <c r="J1812" s="10">
        <v>4</v>
      </c>
      <c r="K1812" s="10">
        <v>4</v>
      </c>
      <c r="L1812" s="43">
        <v>5</v>
      </c>
      <c r="M1812" s="43">
        <v>23</v>
      </c>
      <c r="N1812" s="12" t="s">
        <v>427</v>
      </c>
      <c r="P1812" s="10">
        <v>60</v>
      </c>
      <c r="Q1812" s="10">
        <v>90</v>
      </c>
      <c r="S1812" s="11">
        <v>4</v>
      </c>
      <c r="T1812" s="10">
        <v>150</v>
      </c>
      <c r="V1812" s="45">
        <v>1</v>
      </c>
      <c r="X1812" s="29">
        <v>12.5</v>
      </c>
      <c r="Y1812" s="54" t="s">
        <v>54</v>
      </c>
    </row>
    <row r="1813" spans="1:27" ht="23.1" customHeight="1" x14ac:dyDescent="0.25">
      <c r="A1813" s="53" t="s">
        <v>1432</v>
      </c>
      <c r="B1813" s="10" t="s">
        <v>110</v>
      </c>
      <c r="C1813" s="10">
        <v>84</v>
      </c>
      <c r="D1813" s="10" t="s">
        <v>1047</v>
      </c>
      <c r="E1813" s="41" t="s">
        <v>424</v>
      </c>
      <c r="F1813" s="41" t="s">
        <v>424</v>
      </c>
      <c r="G1813" s="7" t="s">
        <v>107</v>
      </c>
      <c r="H1813" s="7">
        <v>40</v>
      </c>
      <c r="I1813" s="10" t="s">
        <v>2096</v>
      </c>
      <c r="J1813" s="10">
        <v>2</v>
      </c>
      <c r="K1813" s="10">
        <v>2.1</v>
      </c>
      <c r="L1813" s="43">
        <v>23</v>
      </c>
      <c r="M1813" s="43">
        <v>28</v>
      </c>
      <c r="N1813" s="12" t="s">
        <v>1435</v>
      </c>
      <c r="P1813" s="10">
        <v>360</v>
      </c>
      <c r="Q1813" s="10">
        <v>30</v>
      </c>
      <c r="S1813" s="11">
        <v>3</v>
      </c>
      <c r="T1813" s="10">
        <v>120</v>
      </c>
      <c r="V1813" s="45">
        <v>1</v>
      </c>
      <c r="W1813" s="10">
        <v>4</v>
      </c>
      <c r="X1813" s="29">
        <v>20.100000000000001</v>
      </c>
      <c r="Y1813" s="54" t="s">
        <v>54</v>
      </c>
      <c r="Z1813" t="s">
        <v>1436</v>
      </c>
    </row>
    <row r="1814" spans="1:27" ht="23.1" customHeight="1" x14ac:dyDescent="0.25">
      <c r="A1814" s="53" t="s">
        <v>1432</v>
      </c>
      <c r="B1814" s="10" t="s">
        <v>110</v>
      </c>
      <c r="C1814" s="10">
        <v>84</v>
      </c>
      <c r="D1814" s="10" t="s">
        <v>1047</v>
      </c>
      <c r="E1814" s="41" t="s">
        <v>424</v>
      </c>
      <c r="F1814" s="41" t="s">
        <v>424</v>
      </c>
      <c r="G1814" s="7" t="s">
        <v>107</v>
      </c>
      <c r="H1814" s="7">
        <v>38</v>
      </c>
      <c r="I1814" s="10"/>
      <c r="K1814" s="10">
        <v>3</v>
      </c>
      <c r="L1814" s="43">
        <v>23</v>
      </c>
      <c r="M1814" s="43">
        <v>28</v>
      </c>
      <c r="N1814" s="12" t="s">
        <v>1435</v>
      </c>
      <c r="O1814" s="10">
        <v>90</v>
      </c>
      <c r="R1814" s="10">
        <v>30</v>
      </c>
      <c r="S1814" s="11">
        <v>3</v>
      </c>
      <c r="U1814" s="10">
        <v>120</v>
      </c>
      <c r="V1814" s="45">
        <v>1</v>
      </c>
      <c r="X1814" s="32">
        <v>8</v>
      </c>
      <c r="Y1814" s="54" t="s">
        <v>54</v>
      </c>
    </row>
    <row r="1815" spans="1:27" ht="23.1" customHeight="1" x14ac:dyDescent="0.25">
      <c r="A1815" s="53" t="s">
        <v>1432</v>
      </c>
      <c r="B1815" s="10" t="s">
        <v>110</v>
      </c>
      <c r="C1815" s="10">
        <v>91</v>
      </c>
      <c r="D1815" s="10" t="s">
        <v>254</v>
      </c>
      <c r="E1815" s="41" t="s">
        <v>255</v>
      </c>
      <c r="F1815" s="41" t="s">
        <v>1016</v>
      </c>
      <c r="G1815" s="7" t="s">
        <v>375</v>
      </c>
      <c r="H1815" s="7">
        <v>40</v>
      </c>
      <c r="I1815" s="10" t="s">
        <v>2110</v>
      </c>
      <c r="J1815" s="10">
        <v>0.4</v>
      </c>
      <c r="K1815" s="10">
        <v>0.4</v>
      </c>
      <c r="L1815" s="43">
        <v>28</v>
      </c>
      <c r="M1815" s="43"/>
      <c r="N1815" s="12" t="s">
        <v>678</v>
      </c>
      <c r="P1815" s="10">
        <v>3000</v>
      </c>
      <c r="Q1815" s="10">
        <v>90</v>
      </c>
      <c r="T1815" s="10">
        <v>120</v>
      </c>
      <c r="V1815" s="45"/>
      <c r="X1815" s="29">
        <v>20</v>
      </c>
      <c r="Y1815" s="54" t="s">
        <v>54</v>
      </c>
    </row>
    <row r="1816" spans="1:27" ht="23.1" customHeight="1" x14ac:dyDescent="0.25">
      <c r="A1816" s="53" t="s">
        <v>1432</v>
      </c>
      <c r="B1816" s="10" t="s">
        <v>110</v>
      </c>
      <c r="C1816" s="10">
        <v>119</v>
      </c>
      <c r="D1816" s="10" t="s">
        <v>1176</v>
      </c>
      <c r="E1816" s="41" t="s">
        <v>1098</v>
      </c>
      <c r="F1816" s="41" t="s">
        <v>1098</v>
      </c>
      <c r="G1816" s="7" t="s">
        <v>250</v>
      </c>
      <c r="H1816" s="7">
        <v>55</v>
      </c>
      <c r="I1816" s="10" t="s">
        <v>2276</v>
      </c>
      <c r="J1816" s="10">
        <v>0.8</v>
      </c>
      <c r="K1816" s="10">
        <v>2</v>
      </c>
      <c r="L1816" s="43">
        <v>23</v>
      </c>
      <c r="M1816" s="43">
        <v>28</v>
      </c>
      <c r="N1816" s="12" t="s">
        <v>429</v>
      </c>
      <c r="P1816" s="10">
        <v>540</v>
      </c>
      <c r="Q1816" s="10">
        <v>60</v>
      </c>
      <c r="S1816" s="11">
        <v>2</v>
      </c>
      <c r="T1816" s="10">
        <v>90</v>
      </c>
      <c r="V1816" s="45">
        <v>1</v>
      </c>
      <c r="W1816" s="10">
        <v>5</v>
      </c>
      <c r="X1816" s="29">
        <v>26.5</v>
      </c>
      <c r="Y1816" s="54" t="s">
        <v>54</v>
      </c>
      <c r="Z1816" t="s">
        <v>943</v>
      </c>
    </row>
    <row r="1817" spans="1:27" ht="23.1" customHeight="1" x14ac:dyDescent="0.25">
      <c r="A1817" s="53" t="s">
        <v>1432</v>
      </c>
      <c r="B1817" s="10" t="s">
        <v>110</v>
      </c>
      <c r="C1817" s="10">
        <v>121</v>
      </c>
      <c r="D1817" s="10" t="s">
        <v>288</v>
      </c>
      <c r="E1817" s="41" t="s">
        <v>255</v>
      </c>
      <c r="F1817" s="41" t="s">
        <v>1532</v>
      </c>
      <c r="G1817" s="7" t="s">
        <v>250</v>
      </c>
      <c r="H1817" s="7">
        <v>50</v>
      </c>
      <c r="I1817" s="10" t="s">
        <v>2021</v>
      </c>
      <c r="J1817" s="10">
        <v>0.4</v>
      </c>
      <c r="K1817" s="10">
        <v>0.4</v>
      </c>
      <c r="L1817" s="43">
        <v>26</v>
      </c>
      <c r="M1817" s="43"/>
      <c r="N1817" s="12" t="s">
        <v>256</v>
      </c>
      <c r="P1817" s="10">
        <v>3000</v>
      </c>
      <c r="Q1817" s="10">
        <v>90</v>
      </c>
      <c r="T1817" s="10">
        <v>150</v>
      </c>
      <c r="V1817" s="45"/>
      <c r="X1817" s="29">
        <v>20</v>
      </c>
      <c r="Y1817" s="54" t="s">
        <v>54</v>
      </c>
    </row>
    <row r="1818" spans="1:27" ht="23.1" customHeight="1" x14ac:dyDescent="0.25">
      <c r="A1818" s="53" t="s">
        <v>1432</v>
      </c>
      <c r="B1818" s="10" t="s">
        <v>110</v>
      </c>
      <c r="C1818" s="10">
        <v>69</v>
      </c>
      <c r="D1818" s="10" t="s">
        <v>1285</v>
      </c>
      <c r="E1818" s="41" t="s">
        <v>1283</v>
      </c>
      <c r="F1818" s="41" t="s">
        <v>1283</v>
      </c>
      <c r="G1818" s="7" t="s">
        <v>102</v>
      </c>
      <c r="H1818" s="7">
        <v>45</v>
      </c>
      <c r="I1818" s="10" t="s">
        <v>2475</v>
      </c>
      <c r="J1818" s="10">
        <v>1</v>
      </c>
      <c r="K1818" s="10">
        <v>0.3</v>
      </c>
      <c r="L1818" s="43">
        <v>28</v>
      </c>
      <c r="M1818" s="43"/>
      <c r="N1818" s="12" t="s">
        <v>596</v>
      </c>
      <c r="P1818" s="10">
        <v>360</v>
      </c>
      <c r="Q1818" s="10">
        <v>60</v>
      </c>
      <c r="S1818" s="11">
        <v>1</v>
      </c>
      <c r="T1818" s="10">
        <v>150</v>
      </c>
      <c r="V1818" s="45">
        <v>1</v>
      </c>
      <c r="W1818" s="10">
        <v>4</v>
      </c>
      <c r="X1818" s="29">
        <v>9.3000000000000007</v>
      </c>
      <c r="Y1818" s="54" t="s">
        <v>54</v>
      </c>
      <c r="Z1818" t="s">
        <v>1437</v>
      </c>
    </row>
    <row r="1819" spans="1:27" ht="23.1" customHeight="1" x14ac:dyDescent="0.25">
      <c r="A1819" s="53" t="s">
        <v>1432</v>
      </c>
      <c r="B1819" s="10" t="s">
        <v>110</v>
      </c>
      <c r="C1819" s="10">
        <v>79</v>
      </c>
      <c r="D1819" s="10" t="s">
        <v>420</v>
      </c>
      <c r="E1819" s="41" t="s">
        <v>153</v>
      </c>
      <c r="F1819" s="41" t="s">
        <v>1247</v>
      </c>
      <c r="G1819" s="7" t="s">
        <v>154</v>
      </c>
      <c r="H1819" s="7">
        <v>50</v>
      </c>
      <c r="I1819" s="10" t="s">
        <v>2204</v>
      </c>
      <c r="J1819" s="10">
        <v>0.3</v>
      </c>
      <c r="K1819" s="10">
        <v>0.4</v>
      </c>
      <c r="L1819" s="43">
        <v>26</v>
      </c>
      <c r="M1819" s="43"/>
      <c r="N1819" s="12" t="s">
        <v>675</v>
      </c>
      <c r="P1819" s="10">
        <v>3700</v>
      </c>
      <c r="Q1819" s="10">
        <v>90</v>
      </c>
      <c r="T1819" s="10">
        <v>180</v>
      </c>
      <c r="V1819" s="45"/>
      <c r="X1819" s="29">
        <v>24.7</v>
      </c>
      <c r="Y1819" s="54" t="s">
        <v>19</v>
      </c>
    </row>
    <row r="1820" spans="1:27" ht="23.1" customHeight="1" x14ac:dyDescent="0.25">
      <c r="A1820" s="53" t="s">
        <v>1432</v>
      </c>
      <c r="B1820" s="10" t="s">
        <v>110</v>
      </c>
      <c r="C1820" s="10">
        <v>11</v>
      </c>
      <c r="D1820" s="10" t="s">
        <v>1438</v>
      </c>
      <c r="E1820" s="41" t="s">
        <v>1439</v>
      </c>
      <c r="F1820" s="41" t="e">
        <v>#N/A</v>
      </c>
      <c r="G1820" s="42" t="s">
        <v>939</v>
      </c>
      <c r="H1820" s="7">
        <v>5</v>
      </c>
      <c r="I1820" s="10"/>
      <c r="K1820" s="10">
        <v>1</v>
      </c>
      <c r="L1820" s="43">
        <v>31</v>
      </c>
      <c r="M1820" s="43"/>
      <c r="N1820" s="12" t="s">
        <v>940</v>
      </c>
      <c r="V1820" s="45">
        <v>1</v>
      </c>
      <c r="X1820" s="29">
        <v>0</v>
      </c>
      <c r="Y1820" s="54" t="s">
        <v>63</v>
      </c>
    </row>
    <row r="1821" spans="1:27" ht="23.1" customHeight="1" x14ac:dyDescent="0.25">
      <c r="A1821" s="53" t="s">
        <v>1432</v>
      </c>
      <c r="B1821" s="10" t="s">
        <v>110</v>
      </c>
      <c r="C1821" s="10">
        <v>16</v>
      </c>
      <c r="D1821" s="10" t="s">
        <v>1420</v>
      </c>
      <c r="E1821" s="41" t="s">
        <v>1421</v>
      </c>
      <c r="F1821" s="41" t="s">
        <v>1421</v>
      </c>
      <c r="G1821" s="7" t="s">
        <v>123</v>
      </c>
      <c r="H1821" s="7">
        <v>10</v>
      </c>
      <c r="I1821" s="10" t="s">
        <v>2098</v>
      </c>
      <c r="J1821" s="10">
        <v>4</v>
      </c>
      <c r="K1821" s="10">
        <v>8</v>
      </c>
      <c r="L1821" s="43">
        <v>9</v>
      </c>
      <c r="M1821" s="43">
        <v>9</v>
      </c>
      <c r="N1821" s="12" t="s">
        <v>597</v>
      </c>
      <c r="P1821" s="10">
        <v>60</v>
      </c>
      <c r="T1821" s="10">
        <v>60</v>
      </c>
      <c r="V1821" s="45">
        <v>1</v>
      </c>
      <c r="X1821" s="29">
        <v>9</v>
      </c>
      <c r="Y1821" s="54" t="s">
        <v>63</v>
      </c>
    </row>
    <row r="1822" spans="1:27" ht="23.1" customHeight="1" x14ac:dyDescent="0.25">
      <c r="A1822" s="53" t="s">
        <v>1432</v>
      </c>
      <c r="B1822" s="10" t="s">
        <v>110</v>
      </c>
      <c r="C1822" s="10">
        <v>16</v>
      </c>
      <c r="D1822" s="10" t="s">
        <v>1420</v>
      </c>
      <c r="E1822" s="41" t="s">
        <v>1421</v>
      </c>
      <c r="F1822" s="41" t="s">
        <v>1421</v>
      </c>
      <c r="G1822" s="7" t="s">
        <v>123</v>
      </c>
      <c r="H1822" s="7">
        <v>15</v>
      </c>
      <c r="I1822" s="10" t="s">
        <v>2262</v>
      </c>
      <c r="J1822" s="10">
        <v>1</v>
      </c>
      <c r="K1822" s="10">
        <v>0.5</v>
      </c>
      <c r="L1822" s="43">
        <v>31</v>
      </c>
      <c r="M1822" s="43"/>
      <c r="N1822" s="12" t="s">
        <v>1440</v>
      </c>
      <c r="P1822" s="10">
        <v>180</v>
      </c>
      <c r="T1822" s="10">
        <v>90</v>
      </c>
      <c r="V1822" s="45">
        <v>1</v>
      </c>
      <c r="W1822" s="14">
        <v>2</v>
      </c>
      <c r="X1822" s="29">
        <v>5</v>
      </c>
      <c r="Y1822" s="54" t="s">
        <v>63</v>
      </c>
      <c r="Z1822" t="s">
        <v>1441</v>
      </c>
      <c r="AA1822" s="1" t="s">
        <v>238</v>
      </c>
    </row>
    <row r="1823" spans="1:27" ht="23.1" customHeight="1" x14ac:dyDescent="0.25">
      <c r="A1823" s="53" t="s">
        <v>1432</v>
      </c>
      <c r="B1823" s="10" t="s">
        <v>110</v>
      </c>
      <c r="C1823" s="10">
        <v>107</v>
      </c>
      <c r="D1823" s="10" t="s">
        <v>1415</v>
      </c>
      <c r="E1823" s="41" t="s">
        <v>215</v>
      </c>
      <c r="F1823" s="41" t="s">
        <v>215</v>
      </c>
      <c r="G1823" s="7" t="s">
        <v>154</v>
      </c>
      <c r="H1823" s="7">
        <v>35</v>
      </c>
      <c r="I1823" s="10" t="s">
        <v>2073</v>
      </c>
      <c r="J1823" s="10">
        <v>4</v>
      </c>
      <c r="K1823" s="10">
        <v>4</v>
      </c>
      <c r="L1823" s="43">
        <v>31</v>
      </c>
      <c r="M1823" s="43">
        <v>31</v>
      </c>
      <c r="N1823" s="12" t="s">
        <v>1442</v>
      </c>
      <c r="P1823" s="10">
        <v>150</v>
      </c>
      <c r="S1823" s="11">
        <v>4</v>
      </c>
      <c r="T1823" s="10">
        <v>60</v>
      </c>
      <c r="V1823" s="45"/>
      <c r="X1823" s="29">
        <v>10</v>
      </c>
      <c r="Y1823" s="54" t="s">
        <v>45</v>
      </c>
    </row>
    <row r="1824" spans="1:27" ht="23.1" customHeight="1" x14ac:dyDescent="0.25">
      <c r="A1824" s="53" t="s">
        <v>1432</v>
      </c>
      <c r="B1824" s="10" t="s">
        <v>110</v>
      </c>
      <c r="C1824" s="10">
        <v>107</v>
      </c>
      <c r="D1824" s="10" t="s">
        <v>1275</v>
      </c>
      <c r="E1824" s="41" t="s">
        <v>215</v>
      </c>
      <c r="F1824" s="41" t="s">
        <v>215</v>
      </c>
      <c r="G1824" s="7" t="s">
        <v>154</v>
      </c>
      <c r="H1824" s="7">
        <v>40</v>
      </c>
      <c r="I1824" s="10" t="s">
        <v>2263</v>
      </c>
      <c r="K1824" s="10">
        <v>0.5</v>
      </c>
      <c r="L1824" s="43">
        <v>26</v>
      </c>
      <c r="M1824" s="43"/>
      <c r="N1824" s="12" t="s">
        <v>1443</v>
      </c>
      <c r="P1824" s="10">
        <v>390</v>
      </c>
      <c r="S1824" s="11">
        <v>1</v>
      </c>
      <c r="T1824" s="10">
        <v>60</v>
      </c>
      <c r="V1824" s="45">
        <v>1</v>
      </c>
      <c r="W1824" s="10">
        <v>2</v>
      </c>
      <c r="X1824" s="29">
        <v>6.3</v>
      </c>
      <c r="Y1824" s="54" t="s">
        <v>45</v>
      </c>
      <c r="Z1824" t="s">
        <v>1245</v>
      </c>
      <c r="AA1824" s="1" t="s">
        <v>238</v>
      </c>
    </row>
    <row r="1825" spans="1:27" ht="23.1" customHeight="1" x14ac:dyDescent="0.25">
      <c r="A1825" s="53" t="s">
        <v>1432</v>
      </c>
      <c r="B1825" s="10" t="s">
        <v>110</v>
      </c>
      <c r="C1825" s="10">
        <v>23</v>
      </c>
      <c r="D1825" s="10" t="s">
        <v>498</v>
      </c>
      <c r="E1825" s="41" t="s">
        <v>499</v>
      </c>
      <c r="F1825" s="41" t="s">
        <v>499</v>
      </c>
      <c r="G1825" s="7" t="s">
        <v>118</v>
      </c>
      <c r="H1825" s="7">
        <v>15</v>
      </c>
      <c r="I1825" s="10" t="s">
        <v>2476</v>
      </c>
      <c r="J1825" s="10">
        <v>0.8</v>
      </c>
      <c r="K1825" s="10">
        <v>1.5</v>
      </c>
      <c r="L1825" s="43">
        <v>5</v>
      </c>
      <c r="M1825" s="43">
        <v>28</v>
      </c>
      <c r="N1825" s="12" t="s">
        <v>1444</v>
      </c>
      <c r="P1825" s="10">
        <v>420</v>
      </c>
      <c r="Q1825" s="10">
        <v>120</v>
      </c>
      <c r="S1825" s="11">
        <v>2</v>
      </c>
      <c r="T1825" s="10">
        <v>180</v>
      </c>
      <c r="V1825" s="45"/>
      <c r="X1825" s="29">
        <v>14.5</v>
      </c>
      <c r="Y1825" s="54" t="s">
        <v>33</v>
      </c>
    </row>
    <row r="1826" spans="1:27" ht="23.1" customHeight="1" x14ac:dyDescent="0.25">
      <c r="A1826" s="53" t="s">
        <v>1432</v>
      </c>
      <c r="B1826" s="10" t="s">
        <v>110</v>
      </c>
      <c r="C1826" s="10">
        <v>47</v>
      </c>
      <c r="D1826" s="10" t="s">
        <v>258</v>
      </c>
      <c r="E1826" s="41" t="s">
        <v>259</v>
      </c>
      <c r="F1826" s="41" t="s">
        <v>284</v>
      </c>
      <c r="G1826" s="7" t="s">
        <v>123</v>
      </c>
      <c r="H1826" s="7">
        <v>30</v>
      </c>
      <c r="I1826" s="10" t="s">
        <v>2199</v>
      </c>
      <c r="J1826" s="10">
        <v>1</v>
      </c>
      <c r="K1826" s="10">
        <v>1</v>
      </c>
      <c r="L1826" s="43">
        <v>28</v>
      </c>
      <c r="M1826" s="43"/>
      <c r="N1826" s="12" t="s">
        <v>1445</v>
      </c>
      <c r="P1826" s="10">
        <v>720</v>
      </c>
      <c r="Q1826" s="10">
        <v>120</v>
      </c>
      <c r="S1826" s="11">
        <v>1</v>
      </c>
      <c r="T1826" s="10">
        <v>90</v>
      </c>
      <c r="V1826" s="45"/>
      <c r="X1826" s="29">
        <v>14</v>
      </c>
      <c r="Y1826" s="54" t="s">
        <v>33</v>
      </c>
    </row>
    <row r="1827" spans="1:27" ht="23.1" customHeight="1" x14ac:dyDescent="0.25">
      <c r="A1827" s="53" t="s">
        <v>1432</v>
      </c>
      <c r="B1827" s="10" t="s">
        <v>110</v>
      </c>
      <c r="C1827" s="10">
        <v>15</v>
      </c>
      <c r="D1827" s="10" t="s">
        <v>1255</v>
      </c>
      <c r="E1827" s="41" t="s">
        <v>117</v>
      </c>
      <c r="F1827" s="41" t="s">
        <v>117</v>
      </c>
      <c r="G1827" s="7" t="s">
        <v>118</v>
      </c>
      <c r="H1827" s="7">
        <v>25</v>
      </c>
      <c r="I1827" s="10" t="s">
        <v>2018</v>
      </c>
      <c r="J1827" s="10">
        <v>1.2</v>
      </c>
      <c r="K1827" s="10">
        <v>1.1000000000000001</v>
      </c>
      <c r="L1827" s="43">
        <v>5</v>
      </c>
      <c r="M1827" s="43">
        <v>31</v>
      </c>
      <c r="N1827" s="12" t="s">
        <v>1446</v>
      </c>
      <c r="P1827" s="10">
        <v>900</v>
      </c>
      <c r="S1827" s="11">
        <v>1</v>
      </c>
      <c r="T1827" s="10">
        <v>120</v>
      </c>
      <c r="V1827" s="45"/>
      <c r="X1827" s="29">
        <v>16.5</v>
      </c>
      <c r="Y1827" s="54" t="s">
        <v>31</v>
      </c>
    </row>
    <row r="1828" spans="1:27" ht="23.1" customHeight="1" x14ac:dyDescent="0.25">
      <c r="A1828" s="53" t="s">
        <v>1432</v>
      </c>
      <c r="B1828" s="10" t="s">
        <v>110</v>
      </c>
      <c r="C1828" s="10">
        <v>13</v>
      </c>
      <c r="D1828" s="10" t="s">
        <v>1394</v>
      </c>
      <c r="E1828" s="41" t="s">
        <v>1278</v>
      </c>
      <c r="F1828" s="41" t="s">
        <v>1278</v>
      </c>
      <c r="G1828" s="7" t="s">
        <v>123</v>
      </c>
      <c r="H1828" s="7">
        <v>30</v>
      </c>
      <c r="I1828" s="10" t="s">
        <v>2257</v>
      </c>
      <c r="J1828" s="10">
        <v>10</v>
      </c>
      <c r="K1828" s="10">
        <v>21</v>
      </c>
      <c r="L1828" s="43">
        <v>23</v>
      </c>
      <c r="M1828" s="43">
        <v>31</v>
      </c>
      <c r="N1828" s="12" t="s">
        <v>1447</v>
      </c>
      <c r="P1828" s="10">
        <v>70</v>
      </c>
      <c r="T1828" s="10">
        <v>60</v>
      </c>
      <c r="V1828" s="45"/>
      <c r="X1828" s="29">
        <v>24.5</v>
      </c>
      <c r="Y1828" s="54" t="s">
        <v>72</v>
      </c>
    </row>
    <row r="1829" spans="1:27" ht="23.1" customHeight="1" x14ac:dyDescent="0.25">
      <c r="A1829" s="53" t="s">
        <v>1432</v>
      </c>
      <c r="B1829" s="10" t="s">
        <v>110</v>
      </c>
      <c r="C1829" s="10">
        <v>12</v>
      </c>
      <c r="D1829" s="10" t="s">
        <v>248</v>
      </c>
      <c r="E1829" s="41" t="s">
        <v>249</v>
      </c>
      <c r="F1829" s="41" t="s">
        <v>249</v>
      </c>
      <c r="G1829" s="7" t="s">
        <v>250</v>
      </c>
      <c r="H1829" s="7">
        <v>15</v>
      </c>
      <c r="I1829" s="10" t="s">
        <v>1903</v>
      </c>
      <c r="J1829" s="10">
        <v>0</v>
      </c>
      <c r="K1829" s="10">
        <v>1.5</v>
      </c>
      <c r="L1829" s="43">
        <v>23</v>
      </c>
      <c r="M1829" s="43">
        <v>28</v>
      </c>
      <c r="N1829" s="12" t="s">
        <v>951</v>
      </c>
      <c r="P1829" s="10">
        <v>600</v>
      </c>
      <c r="T1829" s="10">
        <v>120</v>
      </c>
      <c r="V1829" s="45">
        <v>1</v>
      </c>
      <c r="W1829" s="14">
        <v>2</v>
      </c>
      <c r="X1829" s="29">
        <v>19</v>
      </c>
      <c r="Y1829" s="54" t="s">
        <v>72</v>
      </c>
      <c r="Z1829" s="57" t="s">
        <v>941</v>
      </c>
      <c r="AA1829" s="1" t="s">
        <v>238</v>
      </c>
    </row>
    <row r="1830" spans="1:27" ht="23.1" customHeight="1" x14ac:dyDescent="0.25">
      <c r="A1830" s="53" t="s">
        <v>1432</v>
      </c>
      <c r="B1830" s="10" t="s">
        <v>110</v>
      </c>
      <c r="C1830" s="10">
        <v>21</v>
      </c>
      <c r="D1830" s="10" t="s">
        <v>321</v>
      </c>
      <c r="E1830" s="41" t="s">
        <v>322</v>
      </c>
      <c r="F1830" s="41" t="s">
        <v>322</v>
      </c>
      <c r="G1830" s="7" t="s">
        <v>323</v>
      </c>
      <c r="H1830" s="7">
        <v>25</v>
      </c>
      <c r="I1830" s="10" t="s">
        <v>2074</v>
      </c>
      <c r="J1830" s="10">
        <v>1.5</v>
      </c>
      <c r="K1830" s="10">
        <v>1.6</v>
      </c>
      <c r="L1830" s="43">
        <v>23</v>
      </c>
      <c r="M1830" s="43">
        <v>28</v>
      </c>
      <c r="N1830" s="12" t="s">
        <v>1448</v>
      </c>
      <c r="P1830" s="10">
        <v>360</v>
      </c>
      <c r="Q1830" s="10">
        <v>120</v>
      </c>
      <c r="S1830" s="11">
        <v>2</v>
      </c>
      <c r="T1830" s="10">
        <v>180</v>
      </c>
      <c r="V1830" s="45"/>
      <c r="W1830" s="14">
        <v>3</v>
      </c>
      <c r="X1830" s="29">
        <v>16.600000000000001</v>
      </c>
      <c r="Y1830" s="54" t="s">
        <v>58</v>
      </c>
      <c r="Z1830" t="s">
        <v>1449</v>
      </c>
    </row>
    <row r="1831" spans="1:27" ht="23.1" customHeight="1" x14ac:dyDescent="0.25">
      <c r="A1831" s="53" t="s">
        <v>1432</v>
      </c>
      <c r="B1831" s="10" t="s">
        <v>110</v>
      </c>
      <c r="C1831" s="10">
        <v>17</v>
      </c>
      <c r="D1831" s="10" t="s">
        <v>1282</v>
      </c>
      <c r="E1831" s="41" t="s">
        <v>1283</v>
      </c>
      <c r="F1831" s="41" t="s">
        <v>1283</v>
      </c>
      <c r="G1831" s="7" t="s">
        <v>102</v>
      </c>
      <c r="H1831" s="7">
        <v>30</v>
      </c>
      <c r="I1831" s="10" t="s">
        <v>1992</v>
      </c>
      <c r="J1831" s="10">
        <v>1</v>
      </c>
      <c r="K1831" s="10">
        <v>1</v>
      </c>
      <c r="L1831" s="43">
        <v>5</v>
      </c>
      <c r="M1831" s="43"/>
      <c r="N1831" s="12" t="s">
        <v>596</v>
      </c>
      <c r="P1831" s="10">
        <v>180</v>
      </c>
      <c r="T1831" s="10">
        <v>60</v>
      </c>
      <c r="V1831" s="45">
        <v>1</v>
      </c>
      <c r="X1831" s="29">
        <v>4</v>
      </c>
      <c r="Y1831" s="54" t="s">
        <v>16</v>
      </c>
    </row>
    <row r="1832" spans="1:27" ht="23.1" customHeight="1" x14ac:dyDescent="0.25">
      <c r="A1832" s="53" t="s">
        <v>1432</v>
      </c>
      <c r="B1832" s="10" t="s">
        <v>110</v>
      </c>
      <c r="C1832" s="10">
        <v>17</v>
      </c>
      <c r="D1832" s="10" t="s">
        <v>1282</v>
      </c>
      <c r="E1832" s="41" t="s">
        <v>1283</v>
      </c>
      <c r="F1832" s="41" t="s">
        <v>1283</v>
      </c>
      <c r="G1832" s="7" t="s">
        <v>102</v>
      </c>
      <c r="H1832" s="7">
        <v>35</v>
      </c>
      <c r="I1832" s="10" t="s">
        <v>2253</v>
      </c>
      <c r="J1832" s="10">
        <v>1</v>
      </c>
      <c r="K1832" s="10">
        <v>1</v>
      </c>
      <c r="L1832" s="43"/>
      <c r="M1832" s="43">
        <v>9</v>
      </c>
      <c r="N1832" s="12" t="s">
        <v>596</v>
      </c>
      <c r="P1832" s="10">
        <v>180</v>
      </c>
      <c r="T1832" s="10">
        <v>90</v>
      </c>
      <c r="V1832" s="45">
        <v>1</v>
      </c>
      <c r="X1832" s="29">
        <v>4.5</v>
      </c>
      <c r="Y1832" s="54" t="s">
        <v>16</v>
      </c>
    </row>
    <row r="1833" spans="1:27" ht="23.1" customHeight="1" x14ac:dyDescent="0.25">
      <c r="A1833" s="53" t="s">
        <v>1432</v>
      </c>
      <c r="B1833" s="10" t="s">
        <v>110</v>
      </c>
      <c r="C1833" s="10">
        <v>17</v>
      </c>
      <c r="D1833" s="10" t="s">
        <v>1282</v>
      </c>
      <c r="E1833" s="41" t="s">
        <v>1283</v>
      </c>
      <c r="F1833" s="41" t="s">
        <v>1283</v>
      </c>
      <c r="G1833" s="7" t="s">
        <v>102</v>
      </c>
      <c r="H1833" s="7">
        <v>40</v>
      </c>
      <c r="I1833" s="10" t="s">
        <v>2254</v>
      </c>
      <c r="J1833" s="10">
        <v>1</v>
      </c>
      <c r="K1833" s="10">
        <v>1</v>
      </c>
      <c r="L1833" s="43"/>
      <c r="M1833" s="43">
        <v>9</v>
      </c>
      <c r="N1833" s="12" t="s">
        <v>596</v>
      </c>
      <c r="P1833" s="10">
        <v>150</v>
      </c>
      <c r="T1833" s="10">
        <v>60</v>
      </c>
      <c r="V1833" s="45">
        <v>1</v>
      </c>
      <c r="X1833" s="29">
        <v>3.5</v>
      </c>
      <c r="Y1833" s="54" t="s">
        <v>16</v>
      </c>
    </row>
    <row r="1834" spans="1:27" ht="23.1" customHeight="1" x14ac:dyDescent="0.25">
      <c r="A1834" s="53" t="s">
        <v>1432</v>
      </c>
      <c r="B1834" s="10" t="s">
        <v>110</v>
      </c>
      <c r="C1834" s="10">
        <v>18</v>
      </c>
      <c r="D1834" s="10" t="s">
        <v>921</v>
      </c>
      <c r="E1834" s="41" t="s">
        <v>919</v>
      </c>
      <c r="F1834" s="41" t="s">
        <v>919</v>
      </c>
      <c r="G1834" s="7" t="s">
        <v>323</v>
      </c>
      <c r="H1834" s="7">
        <v>20</v>
      </c>
      <c r="I1834" s="10" t="s">
        <v>1960</v>
      </c>
      <c r="J1834" s="10">
        <v>4</v>
      </c>
      <c r="K1834" s="10">
        <v>3</v>
      </c>
      <c r="L1834" s="43">
        <v>9</v>
      </c>
      <c r="M1834" s="43">
        <v>28</v>
      </c>
      <c r="N1834" s="12" t="s">
        <v>780</v>
      </c>
      <c r="P1834" s="10">
        <v>120</v>
      </c>
      <c r="T1834" s="10">
        <v>90</v>
      </c>
      <c r="V1834" s="45">
        <v>1</v>
      </c>
      <c r="X1834" s="29">
        <v>7.5</v>
      </c>
      <c r="Y1834" s="54" t="s">
        <v>16</v>
      </c>
    </row>
    <row r="1835" spans="1:27" ht="23.1" customHeight="1" x14ac:dyDescent="0.25">
      <c r="A1835" s="53" t="s">
        <v>1432</v>
      </c>
      <c r="B1835" s="10" t="s">
        <v>110</v>
      </c>
      <c r="C1835" s="10">
        <v>18</v>
      </c>
      <c r="D1835" s="10" t="s">
        <v>921</v>
      </c>
      <c r="E1835" s="41" t="s">
        <v>919</v>
      </c>
      <c r="F1835" s="41" t="s">
        <v>919</v>
      </c>
      <c r="G1835" s="7" t="s">
        <v>323</v>
      </c>
      <c r="H1835" s="7">
        <v>20</v>
      </c>
      <c r="I1835" s="10" t="s">
        <v>1960</v>
      </c>
      <c r="K1835" s="10">
        <v>3</v>
      </c>
      <c r="L1835" s="43"/>
      <c r="M1835" s="43">
        <v>26</v>
      </c>
      <c r="N1835" s="12" t="s">
        <v>780</v>
      </c>
      <c r="P1835" s="10">
        <v>120</v>
      </c>
      <c r="T1835" s="10">
        <v>90</v>
      </c>
      <c r="V1835" s="45"/>
      <c r="X1835" s="29">
        <v>6</v>
      </c>
      <c r="Y1835" s="54" t="s">
        <v>16</v>
      </c>
    </row>
    <row r="1836" spans="1:27" ht="23.1" customHeight="1" x14ac:dyDescent="0.25">
      <c r="A1836" s="53" t="s">
        <v>1432</v>
      </c>
      <c r="B1836" s="10" t="s">
        <v>110</v>
      </c>
      <c r="C1836" s="10">
        <v>77</v>
      </c>
      <c r="D1836" s="10" t="s">
        <v>727</v>
      </c>
      <c r="E1836" s="41" t="s">
        <v>625</v>
      </c>
      <c r="F1836" s="41" t="s">
        <v>625</v>
      </c>
      <c r="G1836" s="7" t="s">
        <v>250</v>
      </c>
      <c r="H1836" s="7">
        <v>50</v>
      </c>
      <c r="I1836" s="10" t="s">
        <v>2032</v>
      </c>
      <c r="K1836" s="10">
        <v>10</v>
      </c>
      <c r="L1836" s="43">
        <v>5</v>
      </c>
      <c r="M1836" s="43">
        <v>9</v>
      </c>
      <c r="N1836" s="12" t="s">
        <v>247</v>
      </c>
      <c r="P1836" s="10">
        <v>60</v>
      </c>
      <c r="T1836" s="10">
        <v>60</v>
      </c>
      <c r="V1836" s="45"/>
      <c r="X1836" s="29">
        <v>10</v>
      </c>
      <c r="Y1836" s="54" t="s">
        <v>15</v>
      </c>
    </row>
    <row r="1837" spans="1:27" ht="23.1" customHeight="1" x14ac:dyDescent="0.25">
      <c r="A1837" s="53" t="s">
        <v>1432</v>
      </c>
      <c r="B1837" s="10" t="s">
        <v>110</v>
      </c>
      <c r="C1837" s="10">
        <v>77</v>
      </c>
      <c r="D1837" s="10" t="s">
        <v>727</v>
      </c>
      <c r="E1837" s="41" t="s">
        <v>625</v>
      </c>
      <c r="F1837" s="41" t="s">
        <v>625</v>
      </c>
      <c r="G1837" s="7" t="s">
        <v>250</v>
      </c>
      <c r="H1837" s="7">
        <v>50</v>
      </c>
      <c r="I1837" s="10" t="s">
        <v>2032</v>
      </c>
      <c r="K1837" s="10">
        <v>5</v>
      </c>
      <c r="L1837" s="43">
        <v>5</v>
      </c>
      <c r="M1837" s="43">
        <v>23</v>
      </c>
      <c r="N1837" s="12" t="s">
        <v>216</v>
      </c>
      <c r="P1837" s="10">
        <v>60</v>
      </c>
      <c r="T1837" s="10">
        <v>60</v>
      </c>
      <c r="V1837" s="45"/>
      <c r="X1837" s="29">
        <v>5</v>
      </c>
      <c r="Y1837" s="54" t="s">
        <v>15</v>
      </c>
    </row>
    <row r="1838" spans="1:27" ht="23.1" customHeight="1" x14ac:dyDescent="0.25">
      <c r="A1838" s="53" t="s">
        <v>1432</v>
      </c>
      <c r="B1838" s="10" t="s">
        <v>110</v>
      </c>
      <c r="C1838" s="10">
        <v>59</v>
      </c>
      <c r="D1838" s="10" t="s">
        <v>1261</v>
      </c>
      <c r="E1838" s="41" t="s">
        <v>409</v>
      </c>
      <c r="F1838" s="41" t="s">
        <v>409</v>
      </c>
      <c r="G1838" s="7" t="s">
        <v>102</v>
      </c>
      <c r="H1838" s="7">
        <v>30</v>
      </c>
      <c r="I1838" s="10" t="s">
        <v>2264</v>
      </c>
      <c r="K1838" s="10">
        <v>1</v>
      </c>
      <c r="L1838" s="43">
        <v>9</v>
      </c>
      <c r="M1838" s="43"/>
      <c r="N1838" s="12" t="s">
        <v>596</v>
      </c>
      <c r="P1838" s="10">
        <v>15</v>
      </c>
      <c r="T1838" s="10">
        <v>60</v>
      </c>
      <c r="V1838" s="45">
        <v>1</v>
      </c>
      <c r="W1838" s="14">
        <v>3</v>
      </c>
      <c r="X1838" s="29">
        <v>4.3</v>
      </c>
      <c r="Y1838" s="64" t="s">
        <v>1847</v>
      </c>
      <c r="Z1838" t="s">
        <v>1450</v>
      </c>
    </row>
    <row r="1839" spans="1:27" ht="23.1" customHeight="1" x14ac:dyDescent="0.25">
      <c r="A1839" s="53" t="s">
        <v>1432</v>
      </c>
      <c r="B1839" s="10" t="s">
        <v>110</v>
      </c>
      <c r="C1839" s="10">
        <v>59</v>
      </c>
      <c r="D1839" s="10" t="s">
        <v>1261</v>
      </c>
      <c r="E1839" s="41" t="s">
        <v>409</v>
      </c>
      <c r="F1839" s="41" t="s">
        <v>409</v>
      </c>
      <c r="G1839" s="7" t="s">
        <v>102</v>
      </c>
      <c r="H1839" s="7">
        <v>35</v>
      </c>
      <c r="I1839" s="10" t="s">
        <v>2265</v>
      </c>
      <c r="K1839" s="10">
        <v>1</v>
      </c>
      <c r="L1839" s="43"/>
      <c r="M1839" s="43">
        <v>5</v>
      </c>
      <c r="N1839" s="12" t="s">
        <v>596</v>
      </c>
      <c r="P1839" s="10">
        <v>15</v>
      </c>
      <c r="T1839" s="10">
        <v>60</v>
      </c>
      <c r="V1839" s="45">
        <v>1</v>
      </c>
      <c r="W1839" s="14">
        <v>2</v>
      </c>
      <c r="X1839" s="29">
        <v>3.3</v>
      </c>
      <c r="Y1839" s="64" t="s">
        <v>1847</v>
      </c>
      <c r="Z1839" t="s">
        <v>1451</v>
      </c>
    </row>
    <row r="1840" spans="1:27" ht="23.1" customHeight="1" x14ac:dyDescent="0.25">
      <c r="A1840" s="53" t="s">
        <v>1432</v>
      </c>
      <c r="B1840" s="10" t="s">
        <v>110</v>
      </c>
      <c r="C1840" s="10">
        <v>59</v>
      </c>
      <c r="D1840" s="10" t="s">
        <v>1428</v>
      </c>
      <c r="E1840" s="41" t="s">
        <v>1452</v>
      </c>
      <c r="F1840" s="41" t="s">
        <v>1452</v>
      </c>
      <c r="G1840" s="7" t="s">
        <v>102</v>
      </c>
      <c r="H1840" s="7">
        <v>15</v>
      </c>
      <c r="I1840" s="10" t="s">
        <v>2259</v>
      </c>
      <c r="K1840" s="10">
        <v>1.9</v>
      </c>
      <c r="L1840" s="43">
        <v>5</v>
      </c>
      <c r="M1840" s="43">
        <v>9</v>
      </c>
      <c r="N1840" s="12" t="s">
        <v>596</v>
      </c>
      <c r="P1840" s="10">
        <v>80</v>
      </c>
      <c r="T1840" s="10">
        <v>60</v>
      </c>
      <c r="V1840" s="45"/>
      <c r="X1840" s="29">
        <v>2.5</v>
      </c>
      <c r="Y1840" s="64" t="s">
        <v>1847</v>
      </c>
    </row>
    <row r="1841" spans="1:27" ht="23.1" customHeight="1" x14ac:dyDescent="0.25">
      <c r="A1841" s="53" t="s">
        <v>1432</v>
      </c>
      <c r="B1841" s="10" t="s">
        <v>110</v>
      </c>
      <c r="C1841" s="10">
        <v>57</v>
      </c>
      <c r="D1841" s="10" t="s">
        <v>1031</v>
      </c>
      <c r="E1841" s="41" t="s">
        <v>1032</v>
      </c>
      <c r="F1841" s="41" t="s">
        <v>1032</v>
      </c>
      <c r="G1841" s="7" t="s">
        <v>107</v>
      </c>
      <c r="H1841" s="7">
        <v>30</v>
      </c>
      <c r="I1841" s="10" t="s">
        <v>2242</v>
      </c>
      <c r="J1841" s="10">
        <v>2</v>
      </c>
      <c r="K1841" s="10">
        <v>3</v>
      </c>
      <c r="L1841" s="43">
        <v>5</v>
      </c>
      <c r="M1841" s="43">
        <v>5</v>
      </c>
      <c r="N1841" s="12" t="s">
        <v>1453</v>
      </c>
      <c r="P1841" s="10">
        <v>220</v>
      </c>
      <c r="T1841" s="10">
        <v>90</v>
      </c>
      <c r="V1841" s="45"/>
      <c r="X1841" s="29">
        <v>11</v>
      </c>
      <c r="Y1841" s="54" t="s">
        <v>7</v>
      </c>
    </row>
    <row r="1842" spans="1:27" ht="23.1" customHeight="1" x14ac:dyDescent="0.25">
      <c r="A1842" s="53" t="s">
        <v>1432</v>
      </c>
      <c r="B1842" s="10" t="s">
        <v>110</v>
      </c>
      <c r="C1842" s="10">
        <v>58</v>
      </c>
      <c r="D1842" s="10" t="s">
        <v>1405</v>
      </c>
      <c r="E1842" s="41" t="s">
        <v>1406</v>
      </c>
      <c r="F1842" s="41" t="e">
        <v>#N/A</v>
      </c>
      <c r="G1842" s="7" t="s">
        <v>102</v>
      </c>
      <c r="H1842" s="7">
        <v>30</v>
      </c>
      <c r="I1842" s="10"/>
      <c r="J1842" s="10">
        <v>1</v>
      </c>
      <c r="K1842" s="10">
        <v>1</v>
      </c>
      <c r="L1842" s="43">
        <v>5</v>
      </c>
      <c r="M1842" s="43"/>
      <c r="N1842" s="12" t="s">
        <v>108</v>
      </c>
      <c r="V1842" s="45"/>
      <c r="W1842" s="14">
        <v>20</v>
      </c>
      <c r="X1842" s="29">
        <v>20</v>
      </c>
      <c r="Y1842" s="54" t="s">
        <v>7</v>
      </c>
      <c r="Z1842" t="s">
        <v>1454</v>
      </c>
      <c r="AA1842" t="s">
        <v>957</v>
      </c>
    </row>
    <row r="1843" spans="1:27" ht="23.1" customHeight="1" x14ac:dyDescent="0.25">
      <c r="A1843" s="53" t="s">
        <v>1432</v>
      </c>
      <c r="B1843" s="10" t="s">
        <v>110</v>
      </c>
      <c r="C1843" s="10">
        <v>11</v>
      </c>
      <c r="D1843" s="10" t="s">
        <v>1455</v>
      </c>
      <c r="E1843" s="41" t="s">
        <v>1410</v>
      </c>
      <c r="F1843" s="41" t="e">
        <v>#N/A</v>
      </c>
      <c r="H1843" s="7">
        <v>10</v>
      </c>
      <c r="I1843" s="10"/>
      <c r="J1843" s="10">
        <v>2</v>
      </c>
      <c r="K1843" s="10">
        <v>8</v>
      </c>
      <c r="L1843" s="43">
        <v>28</v>
      </c>
      <c r="M1843" s="43">
        <v>28</v>
      </c>
      <c r="V1843" s="45"/>
      <c r="W1843" s="14">
        <v>10</v>
      </c>
      <c r="X1843" s="29">
        <v>10</v>
      </c>
      <c r="Y1843" s="54" t="s">
        <v>63</v>
      </c>
    </row>
    <row r="1844" spans="1:27" ht="23.1" customHeight="1" x14ac:dyDescent="0.25">
      <c r="A1844" s="53" t="s">
        <v>1432</v>
      </c>
      <c r="B1844" s="10" t="s">
        <v>110</v>
      </c>
      <c r="C1844" s="10">
        <v>11</v>
      </c>
      <c r="D1844" s="10" t="s">
        <v>1296</v>
      </c>
      <c r="E1844" s="41" t="s">
        <v>1297</v>
      </c>
      <c r="F1844" s="41" t="s">
        <v>1297</v>
      </c>
      <c r="G1844" s="7" t="s">
        <v>154</v>
      </c>
      <c r="H1844" s="7">
        <v>35</v>
      </c>
      <c r="I1844" s="10" t="s">
        <v>2073</v>
      </c>
      <c r="J1844" s="10">
        <v>10</v>
      </c>
      <c r="K1844" s="10">
        <v>1</v>
      </c>
      <c r="L1844" s="43">
        <v>28</v>
      </c>
      <c r="M1844" s="43"/>
      <c r="N1844" s="12" t="s">
        <v>199</v>
      </c>
      <c r="P1844" s="10">
        <v>150</v>
      </c>
      <c r="T1844" s="10">
        <v>60</v>
      </c>
      <c r="V1844" s="45"/>
      <c r="X1844" s="29">
        <v>2.5</v>
      </c>
      <c r="Y1844" s="54" t="s">
        <v>63</v>
      </c>
    </row>
    <row r="1845" spans="1:27" ht="23.1" customHeight="1" x14ac:dyDescent="0.25">
      <c r="A1845" s="53" t="s">
        <v>1432</v>
      </c>
      <c r="B1845" s="10" t="s">
        <v>110</v>
      </c>
      <c r="C1845" s="10">
        <v>22</v>
      </c>
      <c r="D1845" s="10" t="s">
        <v>635</v>
      </c>
      <c r="E1845" s="41" t="s">
        <v>612</v>
      </c>
      <c r="F1845" s="41" t="s">
        <v>612</v>
      </c>
      <c r="G1845" s="7" t="s">
        <v>154</v>
      </c>
      <c r="H1845" s="7">
        <v>15</v>
      </c>
      <c r="I1845" s="10" t="s">
        <v>2266</v>
      </c>
      <c r="J1845" s="10">
        <v>0.5</v>
      </c>
      <c r="K1845" s="10">
        <v>0.6</v>
      </c>
      <c r="L1845" s="43">
        <v>5</v>
      </c>
      <c r="M1845" s="43"/>
      <c r="N1845" s="12" t="s">
        <v>613</v>
      </c>
      <c r="P1845" s="10">
        <v>300</v>
      </c>
      <c r="V1845" s="45"/>
      <c r="X1845" s="29">
        <v>3</v>
      </c>
      <c r="Y1845" s="54" t="s">
        <v>58</v>
      </c>
      <c r="Z1845" t="s">
        <v>1456</v>
      </c>
    </row>
    <row r="1846" spans="1:27" ht="23.1" customHeight="1" x14ac:dyDescent="0.25">
      <c r="A1846" s="53" t="s">
        <v>1432</v>
      </c>
      <c r="B1846" s="10" t="s">
        <v>110</v>
      </c>
      <c r="C1846" s="10">
        <v>55</v>
      </c>
      <c r="D1846" s="10" t="s">
        <v>1457</v>
      </c>
      <c r="E1846" s="41" t="s">
        <v>409</v>
      </c>
      <c r="F1846" s="41" t="s">
        <v>409</v>
      </c>
      <c r="G1846" s="7" t="s">
        <v>102</v>
      </c>
      <c r="H1846" s="7">
        <v>30</v>
      </c>
      <c r="I1846" s="10" t="s">
        <v>2267</v>
      </c>
      <c r="J1846" s="10">
        <v>6</v>
      </c>
      <c r="K1846" s="10">
        <v>7</v>
      </c>
      <c r="L1846" s="43">
        <v>9</v>
      </c>
      <c r="M1846" s="43">
        <v>5</v>
      </c>
      <c r="N1846" s="12" t="s">
        <v>596</v>
      </c>
      <c r="P1846" s="10">
        <v>90</v>
      </c>
      <c r="T1846" s="10">
        <v>60</v>
      </c>
      <c r="V1846" s="45"/>
      <c r="X1846" s="29">
        <v>10.5</v>
      </c>
      <c r="Y1846" s="54" t="s">
        <v>44</v>
      </c>
    </row>
    <row r="1847" spans="1:27" ht="23.1" customHeight="1" x14ac:dyDescent="0.25">
      <c r="A1847" s="53" t="s">
        <v>1432</v>
      </c>
      <c r="B1847" s="10" t="s">
        <v>110</v>
      </c>
      <c r="C1847" s="10">
        <v>78</v>
      </c>
      <c r="D1847" s="10" t="s">
        <v>1423</v>
      </c>
      <c r="E1847" s="41" t="s">
        <v>1424</v>
      </c>
      <c r="F1847" s="41" t="s">
        <v>1424</v>
      </c>
      <c r="G1847" s="7" t="s">
        <v>300</v>
      </c>
      <c r="H1847" s="7">
        <v>20</v>
      </c>
      <c r="I1847" s="10" t="s">
        <v>2477</v>
      </c>
      <c r="J1847" s="10">
        <v>2</v>
      </c>
      <c r="K1847" s="10">
        <v>1</v>
      </c>
      <c r="L1847" s="43">
        <v>28</v>
      </c>
      <c r="M1847" s="43"/>
      <c r="N1847" s="12" t="s">
        <v>1312</v>
      </c>
      <c r="P1847" s="10">
        <v>320</v>
      </c>
      <c r="Q1847" s="10">
        <v>60</v>
      </c>
      <c r="S1847" s="11">
        <v>1</v>
      </c>
      <c r="T1847" s="10">
        <v>60</v>
      </c>
      <c r="V1847" s="45"/>
      <c r="W1847" s="14">
        <v>5</v>
      </c>
      <c r="X1847" s="29">
        <v>11.3</v>
      </c>
      <c r="Y1847" s="54" t="s">
        <v>19</v>
      </c>
      <c r="Z1847" t="s">
        <v>1458</v>
      </c>
      <c r="AA1847" t="s">
        <v>957</v>
      </c>
    </row>
    <row r="1848" spans="1:27" ht="23.1" customHeight="1" x14ac:dyDescent="0.25">
      <c r="A1848" s="53" t="s">
        <v>1432</v>
      </c>
      <c r="B1848" s="10" t="s">
        <v>110</v>
      </c>
      <c r="C1848" s="10">
        <v>56</v>
      </c>
      <c r="D1848" s="10" t="s">
        <v>1397</v>
      </c>
      <c r="E1848" s="41" t="s">
        <v>1398</v>
      </c>
      <c r="F1848" s="41" t="s">
        <v>1398</v>
      </c>
      <c r="G1848" s="7" t="s">
        <v>118</v>
      </c>
      <c r="H1848" s="7">
        <v>25</v>
      </c>
      <c r="I1848" s="10" t="s">
        <v>2054</v>
      </c>
      <c r="J1848" s="10">
        <v>3.5</v>
      </c>
      <c r="K1848" s="10">
        <v>5</v>
      </c>
      <c r="L1848" s="43">
        <v>23</v>
      </c>
      <c r="M1848" s="43">
        <v>28</v>
      </c>
      <c r="N1848" s="12" t="s">
        <v>1459</v>
      </c>
      <c r="P1848" s="10">
        <v>160</v>
      </c>
      <c r="T1848" s="10">
        <v>60</v>
      </c>
      <c r="V1848" s="45">
        <v>1</v>
      </c>
      <c r="X1848" s="29">
        <v>14.3</v>
      </c>
      <c r="Y1848" s="54" t="s">
        <v>44</v>
      </c>
    </row>
    <row r="1849" spans="1:27" ht="23.1" customHeight="1" x14ac:dyDescent="0.25">
      <c r="A1849" s="53" t="s">
        <v>1432</v>
      </c>
      <c r="B1849" s="10" t="s">
        <v>110</v>
      </c>
      <c r="C1849" s="10">
        <v>56</v>
      </c>
      <c r="D1849" s="10" t="s">
        <v>1397</v>
      </c>
      <c r="E1849" s="41" t="s">
        <v>1398</v>
      </c>
      <c r="F1849" s="41" t="s">
        <v>1398</v>
      </c>
      <c r="G1849" s="7" t="s">
        <v>118</v>
      </c>
      <c r="H1849" s="7">
        <v>22</v>
      </c>
      <c r="I1849" s="10"/>
      <c r="J1849" s="10">
        <v>0</v>
      </c>
      <c r="K1849" s="10">
        <v>8</v>
      </c>
      <c r="L1849" s="43">
        <v>23</v>
      </c>
      <c r="M1849" s="43">
        <v>28</v>
      </c>
      <c r="N1849" s="12" t="s">
        <v>1399</v>
      </c>
      <c r="O1849" s="10">
        <v>15</v>
      </c>
      <c r="V1849" s="45"/>
      <c r="X1849" s="32">
        <v>2</v>
      </c>
      <c r="Y1849" s="54" t="s">
        <v>44</v>
      </c>
    </row>
    <row r="1850" spans="1:27" ht="23.1" customHeight="1" x14ac:dyDescent="0.25">
      <c r="A1850" s="53" t="s">
        <v>1432</v>
      </c>
      <c r="B1850" s="10" t="s">
        <v>110</v>
      </c>
      <c r="C1850" s="10">
        <v>108</v>
      </c>
      <c r="D1850" s="10" t="s">
        <v>889</v>
      </c>
      <c r="E1850" s="41" t="s">
        <v>887</v>
      </c>
      <c r="F1850" s="41" t="s">
        <v>887</v>
      </c>
      <c r="G1850" s="7" t="s">
        <v>154</v>
      </c>
      <c r="H1850" s="7">
        <v>50</v>
      </c>
      <c r="I1850" s="10" t="s">
        <v>2238</v>
      </c>
      <c r="J1850" s="10">
        <v>0.5</v>
      </c>
      <c r="K1850" s="10">
        <v>0.5</v>
      </c>
      <c r="L1850" s="43">
        <v>28</v>
      </c>
      <c r="M1850" s="43"/>
      <c r="N1850" s="12" t="s">
        <v>159</v>
      </c>
      <c r="P1850" s="10">
        <v>1920</v>
      </c>
      <c r="Q1850" s="10">
        <v>60</v>
      </c>
      <c r="T1850" s="10">
        <v>90</v>
      </c>
      <c r="V1850" s="45"/>
      <c r="X1850" s="29">
        <v>16</v>
      </c>
      <c r="Y1850" s="54" t="s">
        <v>45</v>
      </c>
    </row>
    <row r="1851" spans="1:27" ht="23.1" customHeight="1" x14ac:dyDescent="0.25">
      <c r="A1851" s="53" t="s">
        <v>1432</v>
      </c>
      <c r="B1851" s="10" t="s">
        <v>110</v>
      </c>
      <c r="C1851" s="10">
        <v>14</v>
      </c>
      <c r="D1851" s="10" t="s">
        <v>1388</v>
      </c>
      <c r="E1851" s="41" t="s">
        <v>625</v>
      </c>
      <c r="F1851" s="41" t="s">
        <v>625</v>
      </c>
      <c r="G1851" s="7" t="s">
        <v>250</v>
      </c>
      <c r="H1851" s="7">
        <v>15</v>
      </c>
      <c r="I1851" s="10" t="s">
        <v>2256</v>
      </c>
      <c r="J1851" s="10">
        <v>4</v>
      </c>
      <c r="K1851" s="10">
        <v>3</v>
      </c>
      <c r="L1851" s="43">
        <v>5</v>
      </c>
      <c r="M1851" s="43">
        <v>5</v>
      </c>
      <c r="N1851" s="12" t="s">
        <v>1389</v>
      </c>
      <c r="P1851" s="10">
        <v>140</v>
      </c>
      <c r="T1851" s="10">
        <v>120</v>
      </c>
      <c r="V1851" s="45"/>
      <c r="X1851" s="29">
        <v>7</v>
      </c>
      <c r="Y1851" s="54" t="s">
        <v>31</v>
      </c>
    </row>
    <row r="1852" spans="1:27" ht="23.1" customHeight="1" x14ac:dyDescent="0.25">
      <c r="A1852" s="53" t="s">
        <v>1432</v>
      </c>
      <c r="B1852" s="10" t="s">
        <v>110</v>
      </c>
      <c r="C1852" s="10">
        <v>14</v>
      </c>
      <c r="D1852" s="10" t="s">
        <v>1388</v>
      </c>
      <c r="E1852" s="41" t="s">
        <v>625</v>
      </c>
      <c r="F1852" s="41" t="s">
        <v>625</v>
      </c>
      <c r="G1852" s="7" t="s">
        <v>250</v>
      </c>
      <c r="H1852" s="7">
        <v>20</v>
      </c>
      <c r="I1852" s="10" t="s">
        <v>2311</v>
      </c>
      <c r="K1852" s="10">
        <v>5</v>
      </c>
      <c r="L1852" s="43">
        <v>5</v>
      </c>
      <c r="M1852" s="43">
        <v>31</v>
      </c>
      <c r="N1852" s="12" t="s">
        <v>1389</v>
      </c>
      <c r="P1852" s="10">
        <v>140</v>
      </c>
      <c r="T1852" s="10">
        <v>120</v>
      </c>
      <c r="V1852" s="45">
        <v>1</v>
      </c>
      <c r="W1852" s="14">
        <v>2</v>
      </c>
      <c r="X1852" s="29">
        <v>15.7</v>
      </c>
      <c r="Y1852" s="54" t="s">
        <v>31</v>
      </c>
      <c r="Z1852" t="s">
        <v>1376</v>
      </c>
      <c r="AA1852" s="1" t="s">
        <v>238</v>
      </c>
    </row>
    <row r="1853" spans="1:27" ht="23.1" customHeight="1" x14ac:dyDescent="0.25">
      <c r="A1853" s="53" t="s">
        <v>1432</v>
      </c>
      <c r="B1853" s="10" t="s">
        <v>137</v>
      </c>
      <c r="C1853" s="10">
        <v>57</v>
      </c>
      <c r="D1853" s="10" t="s">
        <v>1042</v>
      </c>
      <c r="E1853" s="41" t="s">
        <v>1032</v>
      </c>
      <c r="F1853" s="41" t="s">
        <v>1281</v>
      </c>
      <c r="G1853" s="7" t="s">
        <v>107</v>
      </c>
      <c r="H1853" s="7">
        <v>30</v>
      </c>
      <c r="I1853" s="10" t="s">
        <v>2242</v>
      </c>
      <c r="J1853" s="10">
        <v>3</v>
      </c>
      <c r="K1853" s="10">
        <v>3</v>
      </c>
      <c r="L1853" s="43">
        <v>28</v>
      </c>
      <c r="M1853" s="43">
        <v>28</v>
      </c>
      <c r="N1853" s="12" t="s">
        <v>1033</v>
      </c>
      <c r="P1853" s="10">
        <v>220</v>
      </c>
      <c r="T1853" s="10">
        <v>90</v>
      </c>
      <c r="V1853" s="45">
        <v>1</v>
      </c>
      <c r="X1853" s="29">
        <v>12.5</v>
      </c>
      <c r="Y1853" s="54" t="s">
        <v>57</v>
      </c>
    </row>
    <row r="1854" spans="1:27" ht="23.1" customHeight="1" x14ac:dyDescent="0.25">
      <c r="A1854" s="53" t="s">
        <v>1432</v>
      </c>
      <c r="B1854" s="10" t="s">
        <v>137</v>
      </c>
      <c r="C1854" s="10">
        <v>59</v>
      </c>
      <c r="D1854" s="10" t="s">
        <v>1428</v>
      </c>
      <c r="E1854" s="41" t="s">
        <v>1452</v>
      </c>
      <c r="F1854" s="41" t="s">
        <v>1452</v>
      </c>
      <c r="G1854" s="7" t="s">
        <v>102</v>
      </c>
      <c r="H1854" s="7">
        <v>20</v>
      </c>
      <c r="I1854" s="10" t="s">
        <v>2269</v>
      </c>
      <c r="K1854" s="10">
        <v>2</v>
      </c>
      <c r="L1854" s="43"/>
      <c r="M1854" s="43"/>
      <c r="N1854" s="12" t="s">
        <v>596</v>
      </c>
      <c r="P1854" s="10">
        <v>100</v>
      </c>
      <c r="T1854" s="10">
        <v>90</v>
      </c>
      <c r="V1854" s="45"/>
      <c r="X1854" s="29">
        <v>3.3</v>
      </c>
      <c r="Y1854" s="54" t="s">
        <v>42</v>
      </c>
      <c r="Z1854" t="s">
        <v>1460</v>
      </c>
    </row>
    <row r="1855" spans="1:27" ht="23.1" customHeight="1" x14ac:dyDescent="0.25">
      <c r="A1855" s="53" t="s">
        <v>1432</v>
      </c>
      <c r="B1855" s="10" t="s">
        <v>137</v>
      </c>
      <c r="C1855" s="10">
        <v>59</v>
      </c>
      <c r="D1855" s="10" t="s">
        <v>1428</v>
      </c>
      <c r="E1855" s="41" t="s">
        <v>1452</v>
      </c>
      <c r="F1855" s="41" t="s">
        <v>1452</v>
      </c>
      <c r="G1855" s="7" t="s">
        <v>102</v>
      </c>
      <c r="H1855" s="7">
        <v>25</v>
      </c>
      <c r="I1855" s="10" t="s">
        <v>2270</v>
      </c>
      <c r="K1855" s="10">
        <v>2</v>
      </c>
      <c r="L1855" s="43"/>
      <c r="M1855" s="43"/>
      <c r="N1855" s="12" t="s">
        <v>596</v>
      </c>
      <c r="P1855" s="10">
        <v>35</v>
      </c>
      <c r="T1855" s="10">
        <v>60</v>
      </c>
      <c r="V1855" s="45"/>
      <c r="W1855" s="14">
        <v>2</v>
      </c>
      <c r="X1855" s="29">
        <v>3.2</v>
      </c>
      <c r="Y1855" s="54" t="s">
        <v>42</v>
      </c>
      <c r="Z1855" t="s">
        <v>1441</v>
      </c>
      <c r="AA1855" s="1" t="s">
        <v>238</v>
      </c>
    </row>
    <row r="1856" spans="1:27" ht="23.1" customHeight="1" x14ac:dyDescent="0.25">
      <c r="A1856" s="53" t="s">
        <v>1432</v>
      </c>
      <c r="B1856" s="10" t="s">
        <v>137</v>
      </c>
      <c r="C1856" s="10">
        <v>59</v>
      </c>
      <c r="D1856" s="10" t="s">
        <v>1428</v>
      </c>
      <c r="E1856" s="41" t="s">
        <v>1452</v>
      </c>
      <c r="F1856" s="41" t="s">
        <v>1452</v>
      </c>
      <c r="G1856" s="7" t="s">
        <v>102</v>
      </c>
      <c r="H1856" s="7">
        <v>30</v>
      </c>
      <c r="I1856" s="10" t="s">
        <v>1990</v>
      </c>
      <c r="K1856" s="10">
        <v>2</v>
      </c>
      <c r="L1856" s="43"/>
      <c r="M1856" s="43"/>
      <c r="N1856" s="12" t="s">
        <v>596</v>
      </c>
      <c r="P1856" s="10">
        <v>80</v>
      </c>
      <c r="T1856" s="10">
        <v>60</v>
      </c>
      <c r="V1856" s="45"/>
      <c r="X1856" s="29">
        <v>2.7</v>
      </c>
      <c r="Y1856" s="54" t="s">
        <v>42</v>
      </c>
      <c r="Z1856" t="s">
        <v>1269</v>
      </c>
      <c r="AA1856" t="s">
        <v>957</v>
      </c>
    </row>
    <row r="1857" spans="1:27" ht="23.1" customHeight="1" x14ac:dyDescent="0.25">
      <c r="A1857" s="53" t="s">
        <v>1432</v>
      </c>
      <c r="B1857" s="10" t="s">
        <v>137</v>
      </c>
      <c r="C1857" s="10">
        <v>9</v>
      </c>
      <c r="D1857" s="10" t="s">
        <v>1362</v>
      </c>
      <c r="E1857" s="41" t="s">
        <v>409</v>
      </c>
      <c r="F1857" s="41" t="s">
        <v>409</v>
      </c>
      <c r="G1857" s="7" t="s">
        <v>102</v>
      </c>
      <c r="H1857" s="7">
        <v>25</v>
      </c>
      <c r="I1857" s="10" t="s">
        <v>2208</v>
      </c>
      <c r="J1857" s="10">
        <v>1</v>
      </c>
      <c r="K1857" s="10">
        <v>1</v>
      </c>
      <c r="L1857" s="43">
        <v>28</v>
      </c>
      <c r="M1857" s="43">
        <v>28</v>
      </c>
      <c r="N1857" s="12" t="s">
        <v>596</v>
      </c>
      <c r="P1857" s="10">
        <v>55</v>
      </c>
      <c r="T1857" s="10">
        <v>90</v>
      </c>
      <c r="V1857" s="45">
        <v>1</v>
      </c>
      <c r="X1857" s="29">
        <v>2.4</v>
      </c>
      <c r="Y1857" s="54" t="s">
        <v>55</v>
      </c>
      <c r="Z1857" t="s">
        <v>1269</v>
      </c>
      <c r="AA1857" t="s">
        <v>957</v>
      </c>
    </row>
    <row r="1858" spans="1:27" ht="23.1" customHeight="1" x14ac:dyDescent="0.25">
      <c r="A1858" s="53" t="s">
        <v>1432</v>
      </c>
      <c r="B1858" s="10" t="s">
        <v>137</v>
      </c>
      <c r="C1858" s="10">
        <v>9</v>
      </c>
      <c r="D1858" s="10" t="s">
        <v>1419</v>
      </c>
      <c r="E1858" s="41" t="s">
        <v>409</v>
      </c>
      <c r="F1858" s="41" t="s">
        <v>409</v>
      </c>
      <c r="G1858" s="7" t="s">
        <v>102</v>
      </c>
      <c r="H1858" s="7">
        <v>20</v>
      </c>
      <c r="I1858" s="10" t="s">
        <v>2271</v>
      </c>
      <c r="K1858" s="10">
        <v>1</v>
      </c>
      <c r="L1858" s="43">
        <v>28</v>
      </c>
      <c r="M1858" s="43"/>
      <c r="N1858" s="12" t="s">
        <v>596</v>
      </c>
      <c r="P1858" s="10">
        <v>25</v>
      </c>
      <c r="T1858" s="10">
        <v>60</v>
      </c>
      <c r="V1858" s="45">
        <v>1</v>
      </c>
      <c r="X1858" s="29">
        <v>1.4</v>
      </c>
      <c r="Y1858" s="54" t="s">
        <v>55</v>
      </c>
      <c r="Z1858" t="s">
        <v>1269</v>
      </c>
      <c r="AA1858" t="s">
        <v>957</v>
      </c>
    </row>
    <row r="1859" spans="1:27" ht="23.1" customHeight="1" x14ac:dyDescent="0.25">
      <c r="A1859" s="53" t="s">
        <v>1432</v>
      </c>
      <c r="B1859" s="10" t="s">
        <v>137</v>
      </c>
      <c r="C1859" s="10">
        <v>9</v>
      </c>
      <c r="D1859" s="10" t="s">
        <v>1419</v>
      </c>
      <c r="E1859" s="41" t="s">
        <v>409</v>
      </c>
      <c r="F1859" s="41" t="s">
        <v>409</v>
      </c>
      <c r="G1859" s="7" t="s">
        <v>102</v>
      </c>
      <c r="H1859" s="7">
        <v>25</v>
      </c>
      <c r="I1859" s="10" t="s">
        <v>1970</v>
      </c>
      <c r="K1859" s="10">
        <v>1</v>
      </c>
      <c r="L1859" s="43">
        <v>28</v>
      </c>
      <c r="M1859" s="43"/>
      <c r="N1859" s="12" t="s">
        <v>596</v>
      </c>
      <c r="P1859" s="10">
        <v>15</v>
      </c>
      <c r="T1859" s="10">
        <v>60</v>
      </c>
      <c r="V1859" s="45">
        <v>1</v>
      </c>
      <c r="X1859" s="29">
        <v>1.3</v>
      </c>
      <c r="Y1859" s="54" t="s">
        <v>55</v>
      </c>
    </row>
    <row r="1860" spans="1:27" ht="23.1" customHeight="1" x14ac:dyDescent="0.25">
      <c r="A1860" s="53" t="s">
        <v>1432</v>
      </c>
      <c r="B1860" s="10" t="s">
        <v>137</v>
      </c>
      <c r="C1860" s="10">
        <v>10</v>
      </c>
      <c r="D1860" s="10" t="s">
        <v>217</v>
      </c>
      <c r="E1860" s="41" t="s">
        <v>218</v>
      </c>
      <c r="F1860" s="41" t="s">
        <v>218</v>
      </c>
      <c r="G1860" s="7" t="s">
        <v>107</v>
      </c>
      <c r="H1860" s="7">
        <v>55</v>
      </c>
      <c r="I1860" s="10" t="s">
        <v>2227</v>
      </c>
      <c r="J1860" s="10">
        <v>0.3</v>
      </c>
      <c r="K1860" s="10">
        <v>0.3</v>
      </c>
      <c r="L1860" s="43">
        <v>31</v>
      </c>
      <c r="M1860" s="43"/>
      <c r="N1860" s="12" t="s">
        <v>664</v>
      </c>
      <c r="P1860" s="10">
        <v>270</v>
      </c>
      <c r="T1860" s="10">
        <v>90</v>
      </c>
      <c r="V1860" s="45"/>
      <c r="X1860" s="29">
        <v>1.4</v>
      </c>
      <c r="Y1860" s="54" t="s">
        <v>55</v>
      </c>
    </row>
    <row r="1861" spans="1:27" ht="23.1" customHeight="1" x14ac:dyDescent="0.25">
      <c r="A1861" s="53" t="s">
        <v>1432</v>
      </c>
      <c r="B1861" s="10" t="s">
        <v>137</v>
      </c>
      <c r="C1861" s="10">
        <v>10</v>
      </c>
      <c r="D1861" s="10" t="s">
        <v>217</v>
      </c>
      <c r="E1861" s="41" t="s">
        <v>218</v>
      </c>
      <c r="F1861" s="41" t="s">
        <v>218</v>
      </c>
      <c r="G1861" s="7" t="s">
        <v>107</v>
      </c>
      <c r="H1861" s="7">
        <v>55</v>
      </c>
      <c r="I1861" s="10" t="s">
        <v>2227</v>
      </c>
      <c r="J1861" s="10">
        <v>1.5</v>
      </c>
      <c r="K1861" s="10">
        <v>1.8</v>
      </c>
      <c r="L1861" s="43">
        <v>31</v>
      </c>
      <c r="M1861" s="43"/>
      <c r="N1861" s="12" t="s">
        <v>456</v>
      </c>
      <c r="P1861" s="10">
        <v>270</v>
      </c>
      <c r="T1861" s="10">
        <v>90</v>
      </c>
      <c r="V1861" s="45">
        <v>1</v>
      </c>
      <c r="W1861" s="14">
        <v>2</v>
      </c>
      <c r="X1861" s="29">
        <v>11.6</v>
      </c>
      <c r="Y1861" s="54" t="s">
        <v>55</v>
      </c>
      <c r="Z1861" t="s">
        <v>1461</v>
      </c>
      <c r="AA1861" t="s">
        <v>957</v>
      </c>
    </row>
    <row r="1862" spans="1:27" ht="23.1" customHeight="1" x14ac:dyDescent="0.25">
      <c r="A1862" s="53" t="s">
        <v>1432</v>
      </c>
      <c r="B1862" s="10" t="s">
        <v>137</v>
      </c>
      <c r="C1862" s="10">
        <v>58</v>
      </c>
      <c r="D1862" s="10" t="s">
        <v>730</v>
      </c>
      <c r="E1862" s="41" t="s">
        <v>1462</v>
      </c>
      <c r="F1862" s="41" t="e">
        <v>#N/A</v>
      </c>
      <c r="G1862" s="7" t="s">
        <v>107</v>
      </c>
      <c r="H1862" s="7">
        <v>25</v>
      </c>
      <c r="I1862" s="10"/>
      <c r="J1862" s="10">
        <v>2</v>
      </c>
      <c r="K1862" s="10">
        <v>2.2999999999999998</v>
      </c>
      <c r="L1862" s="43">
        <v>5</v>
      </c>
      <c r="M1862" s="43"/>
      <c r="N1862" s="12" t="s">
        <v>1312</v>
      </c>
      <c r="V1862" s="45"/>
      <c r="W1862" s="14">
        <v>12</v>
      </c>
      <c r="X1862" s="29">
        <v>12</v>
      </c>
      <c r="Y1862" s="54" t="s">
        <v>0</v>
      </c>
    </row>
    <row r="1863" spans="1:27" ht="23.1" customHeight="1" x14ac:dyDescent="0.25">
      <c r="A1863" s="53" t="s">
        <v>1432</v>
      </c>
      <c r="B1863" s="10" t="s">
        <v>137</v>
      </c>
      <c r="C1863" s="10">
        <v>16</v>
      </c>
      <c r="D1863" s="10" t="s">
        <v>1420</v>
      </c>
      <c r="E1863" s="41" t="s">
        <v>1421</v>
      </c>
      <c r="F1863" s="41" t="s">
        <v>1421</v>
      </c>
      <c r="G1863" s="7" t="s">
        <v>123</v>
      </c>
      <c r="H1863" s="7">
        <v>15</v>
      </c>
      <c r="I1863" s="10" t="s">
        <v>2262</v>
      </c>
      <c r="J1863" s="10">
        <v>2.8</v>
      </c>
      <c r="K1863" s="10">
        <v>2.5</v>
      </c>
      <c r="L1863" s="43">
        <v>31</v>
      </c>
      <c r="M1863" s="43">
        <v>26</v>
      </c>
      <c r="N1863" s="12" t="s">
        <v>1440</v>
      </c>
      <c r="P1863" s="10">
        <v>180</v>
      </c>
      <c r="T1863" s="10">
        <v>90</v>
      </c>
      <c r="V1863" s="45"/>
      <c r="X1863" s="29">
        <v>7.5</v>
      </c>
      <c r="Y1863" s="54" t="s">
        <v>38</v>
      </c>
    </row>
    <row r="1864" spans="1:27" ht="23.1" customHeight="1" x14ac:dyDescent="0.25">
      <c r="A1864" s="53" t="s">
        <v>1432</v>
      </c>
      <c r="B1864" s="10" t="s">
        <v>137</v>
      </c>
      <c r="C1864" s="10">
        <v>11</v>
      </c>
      <c r="D1864" s="10" t="s">
        <v>1438</v>
      </c>
      <c r="E1864" s="41" t="s">
        <v>1439</v>
      </c>
      <c r="F1864" s="41" t="e">
        <v>#N/A</v>
      </c>
      <c r="G1864" s="42" t="s">
        <v>939</v>
      </c>
      <c r="H1864" s="7">
        <v>5</v>
      </c>
      <c r="I1864" s="10"/>
      <c r="K1864" s="10">
        <v>1</v>
      </c>
      <c r="L1864" s="43">
        <v>28</v>
      </c>
      <c r="M1864" s="43"/>
      <c r="N1864" s="12" t="s">
        <v>108</v>
      </c>
      <c r="V1864" s="45">
        <v>1</v>
      </c>
      <c r="W1864" s="14">
        <v>4</v>
      </c>
      <c r="X1864" s="29">
        <v>4</v>
      </c>
      <c r="Y1864" s="54" t="s">
        <v>38</v>
      </c>
    </row>
    <row r="1865" spans="1:27" ht="23.1" customHeight="1" x14ac:dyDescent="0.25">
      <c r="A1865" s="53" t="s">
        <v>1432</v>
      </c>
      <c r="B1865" s="10" t="s">
        <v>137</v>
      </c>
      <c r="C1865" s="10">
        <v>11</v>
      </c>
      <c r="D1865" s="10" t="s">
        <v>1438</v>
      </c>
      <c r="E1865" s="41" t="s">
        <v>1439</v>
      </c>
      <c r="F1865" s="41" t="e">
        <v>#N/A</v>
      </c>
      <c r="G1865" s="42" t="s">
        <v>939</v>
      </c>
      <c r="H1865" s="7">
        <v>10</v>
      </c>
      <c r="I1865" s="10"/>
      <c r="K1865" s="10">
        <v>1</v>
      </c>
      <c r="L1865" s="43"/>
      <c r="M1865" s="43">
        <v>26</v>
      </c>
      <c r="N1865" s="12" t="s">
        <v>108</v>
      </c>
      <c r="V1865" s="45">
        <v>1</v>
      </c>
      <c r="W1865" s="14">
        <v>4</v>
      </c>
      <c r="X1865" s="29">
        <v>4</v>
      </c>
      <c r="Y1865" s="54" t="s">
        <v>38</v>
      </c>
    </row>
    <row r="1866" spans="1:27" ht="23.1" customHeight="1" x14ac:dyDescent="0.25">
      <c r="A1866" s="53" t="s">
        <v>1432</v>
      </c>
      <c r="B1866" s="10" t="s">
        <v>137</v>
      </c>
      <c r="C1866" s="10">
        <v>11</v>
      </c>
      <c r="D1866" s="10" t="s">
        <v>1438</v>
      </c>
      <c r="E1866" s="41" t="s">
        <v>1439</v>
      </c>
      <c r="F1866" s="41" t="e">
        <v>#N/A</v>
      </c>
      <c r="G1866" s="42" t="s">
        <v>939</v>
      </c>
      <c r="H1866" s="7">
        <v>15</v>
      </c>
      <c r="I1866" s="10"/>
      <c r="K1866" s="10">
        <v>1</v>
      </c>
      <c r="L1866" s="43"/>
      <c r="M1866" s="43">
        <v>26</v>
      </c>
      <c r="N1866" s="12" t="s">
        <v>108</v>
      </c>
      <c r="V1866" s="45">
        <v>1</v>
      </c>
      <c r="W1866" s="14">
        <v>4</v>
      </c>
      <c r="X1866" s="29">
        <v>4</v>
      </c>
      <c r="Y1866" s="54" t="s">
        <v>38</v>
      </c>
    </row>
    <row r="1867" spans="1:27" ht="23.1" customHeight="1" x14ac:dyDescent="0.25">
      <c r="A1867" s="53" t="s">
        <v>1432</v>
      </c>
      <c r="B1867" s="10" t="s">
        <v>137</v>
      </c>
      <c r="C1867" s="10">
        <v>18</v>
      </c>
      <c r="D1867" s="47" t="s">
        <v>921</v>
      </c>
      <c r="E1867" s="41" t="s">
        <v>919</v>
      </c>
      <c r="F1867" s="41" t="s">
        <v>919</v>
      </c>
      <c r="G1867" s="7" t="s">
        <v>323</v>
      </c>
      <c r="H1867" s="7">
        <v>20</v>
      </c>
      <c r="I1867" s="10" t="s">
        <v>2478</v>
      </c>
      <c r="J1867" s="10">
        <v>4</v>
      </c>
      <c r="K1867" s="10">
        <v>4</v>
      </c>
      <c r="L1867" s="43">
        <v>28</v>
      </c>
      <c r="M1867" s="43">
        <v>28</v>
      </c>
      <c r="N1867" s="12" t="s">
        <v>780</v>
      </c>
      <c r="P1867" s="10">
        <v>120</v>
      </c>
      <c r="T1867" s="10">
        <v>90</v>
      </c>
      <c r="V1867" s="45"/>
      <c r="X1867" s="29">
        <v>8</v>
      </c>
      <c r="Y1867" s="54" t="s">
        <v>43</v>
      </c>
    </row>
    <row r="1868" spans="1:27" ht="23.1" customHeight="1" x14ac:dyDescent="0.25">
      <c r="A1868" s="53" t="s">
        <v>1432</v>
      </c>
      <c r="B1868" s="10" t="s">
        <v>137</v>
      </c>
      <c r="C1868" s="10">
        <v>18</v>
      </c>
      <c r="D1868" s="10" t="s">
        <v>921</v>
      </c>
      <c r="E1868" s="41" t="s">
        <v>919</v>
      </c>
      <c r="F1868" s="41" t="s">
        <v>919</v>
      </c>
      <c r="G1868" s="7" t="s">
        <v>323</v>
      </c>
      <c r="H1868" s="7">
        <v>25</v>
      </c>
      <c r="I1868" s="10" t="s">
        <v>2149</v>
      </c>
      <c r="K1868" s="10">
        <v>1</v>
      </c>
      <c r="L1868" s="43">
        <v>37</v>
      </c>
      <c r="M1868" s="43"/>
      <c r="N1868" s="12" t="s">
        <v>860</v>
      </c>
      <c r="P1868" s="10">
        <v>220</v>
      </c>
      <c r="T1868" s="10">
        <v>90</v>
      </c>
      <c r="V1868" s="45">
        <v>1</v>
      </c>
      <c r="X1868" s="29">
        <v>5.2</v>
      </c>
      <c r="Y1868" s="54" t="s">
        <v>43</v>
      </c>
    </row>
    <row r="1869" spans="1:27" ht="23.1" customHeight="1" x14ac:dyDescent="0.25">
      <c r="A1869" s="53" t="s">
        <v>1432</v>
      </c>
      <c r="B1869" s="10" t="s">
        <v>137</v>
      </c>
      <c r="C1869" s="10">
        <v>17</v>
      </c>
      <c r="D1869" s="10" t="s">
        <v>1282</v>
      </c>
      <c r="E1869" s="41" t="s">
        <v>1283</v>
      </c>
      <c r="F1869" s="41" t="s">
        <v>1283</v>
      </c>
      <c r="G1869" s="7" t="s">
        <v>102</v>
      </c>
      <c r="H1869" s="7">
        <v>40</v>
      </c>
      <c r="I1869" s="10" t="s">
        <v>2254</v>
      </c>
      <c r="J1869" s="10">
        <v>1</v>
      </c>
      <c r="K1869" s="10">
        <v>1</v>
      </c>
      <c r="L1869" s="43">
        <v>31</v>
      </c>
      <c r="M1869" s="43"/>
      <c r="N1869" s="12" t="s">
        <v>596</v>
      </c>
      <c r="P1869" s="10">
        <v>150</v>
      </c>
      <c r="T1869" s="10">
        <v>60</v>
      </c>
      <c r="V1869" s="45">
        <v>1</v>
      </c>
      <c r="X1869" s="29">
        <v>3.5</v>
      </c>
      <c r="Y1869" s="54" t="s">
        <v>43</v>
      </c>
      <c r="Z1869" t="s">
        <v>1269</v>
      </c>
    </row>
    <row r="1870" spans="1:27" ht="23.1" customHeight="1" x14ac:dyDescent="0.25">
      <c r="A1870" s="53" t="s">
        <v>1432</v>
      </c>
      <c r="B1870" s="10" t="s">
        <v>137</v>
      </c>
      <c r="C1870" s="10">
        <v>76</v>
      </c>
      <c r="D1870" s="10" t="s">
        <v>1433</v>
      </c>
      <c r="E1870" s="41" t="s">
        <v>1384</v>
      </c>
      <c r="F1870" s="41" t="s">
        <v>1384</v>
      </c>
      <c r="G1870" s="7" t="s">
        <v>154</v>
      </c>
      <c r="H1870" s="7">
        <v>10</v>
      </c>
      <c r="I1870" s="10" t="s">
        <v>2241</v>
      </c>
      <c r="J1870" s="10">
        <v>30</v>
      </c>
      <c r="K1870" s="10">
        <v>27</v>
      </c>
      <c r="L1870" s="43">
        <v>28</v>
      </c>
      <c r="M1870" s="43">
        <v>28</v>
      </c>
      <c r="N1870" s="12" t="s">
        <v>1169</v>
      </c>
      <c r="P1870" s="10">
        <v>30</v>
      </c>
      <c r="T1870" s="10">
        <v>60</v>
      </c>
      <c r="V1870" s="45"/>
      <c r="X1870" s="29">
        <v>13.5</v>
      </c>
      <c r="Y1870" s="54" t="s">
        <v>12</v>
      </c>
    </row>
    <row r="1871" spans="1:27" ht="23.1" customHeight="1" x14ac:dyDescent="0.25">
      <c r="A1871" s="53" t="s">
        <v>1432</v>
      </c>
      <c r="B1871" s="10" t="s">
        <v>113</v>
      </c>
      <c r="C1871" s="10">
        <v>107</v>
      </c>
      <c r="D1871" s="10" t="s">
        <v>1275</v>
      </c>
      <c r="E1871" s="41" t="s">
        <v>215</v>
      </c>
      <c r="F1871" s="41" t="s">
        <v>215</v>
      </c>
      <c r="G1871" s="7" t="s">
        <v>154</v>
      </c>
      <c r="H1871" s="7">
        <v>40</v>
      </c>
      <c r="I1871" s="10" t="s">
        <v>2263</v>
      </c>
      <c r="J1871" s="10">
        <v>1.5</v>
      </c>
      <c r="K1871" s="10">
        <v>2.5</v>
      </c>
      <c r="L1871" s="43">
        <v>26</v>
      </c>
      <c r="M1871" s="43"/>
      <c r="N1871" s="12" t="s">
        <v>1463</v>
      </c>
      <c r="P1871" s="10">
        <v>390</v>
      </c>
      <c r="S1871" s="11">
        <v>3</v>
      </c>
      <c r="T1871" s="10">
        <v>60</v>
      </c>
      <c r="V1871" s="45"/>
      <c r="X1871" s="29">
        <v>16.3</v>
      </c>
      <c r="Y1871" s="54" t="s">
        <v>13</v>
      </c>
    </row>
    <row r="1872" spans="1:27" ht="23.1" customHeight="1" x14ac:dyDescent="0.25">
      <c r="A1872" s="53" t="s">
        <v>1432</v>
      </c>
      <c r="B1872" s="10" t="s">
        <v>113</v>
      </c>
      <c r="C1872" s="10">
        <v>55</v>
      </c>
      <c r="D1872" s="10" t="s">
        <v>1268</v>
      </c>
      <c r="E1872" s="41" t="s">
        <v>409</v>
      </c>
      <c r="F1872" s="41" t="s">
        <v>409</v>
      </c>
      <c r="G1872" s="7" t="s">
        <v>102</v>
      </c>
      <c r="H1872" s="7">
        <v>50</v>
      </c>
      <c r="I1872" s="10" t="s">
        <v>2360</v>
      </c>
      <c r="J1872" s="10">
        <v>2</v>
      </c>
      <c r="K1872" s="10">
        <v>2</v>
      </c>
      <c r="L1872" s="43">
        <v>26</v>
      </c>
      <c r="M1872" s="43">
        <v>26</v>
      </c>
      <c r="N1872" s="12" t="s">
        <v>596</v>
      </c>
      <c r="P1872" s="10">
        <v>20</v>
      </c>
      <c r="T1872" s="10">
        <v>60</v>
      </c>
      <c r="V1872" s="45">
        <v>1</v>
      </c>
      <c r="X1872" s="29">
        <v>1.7</v>
      </c>
      <c r="Y1872" s="54" t="s">
        <v>18</v>
      </c>
      <c r="Z1872" t="s">
        <v>1464</v>
      </c>
      <c r="AA1872" s="1" t="s">
        <v>238</v>
      </c>
    </row>
    <row r="1873" spans="1:27" ht="23.1" customHeight="1" x14ac:dyDescent="0.25">
      <c r="A1873" s="53" t="s">
        <v>1432</v>
      </c>
      <c r="B1873" s="10" t="s">
        <v>113</v>
      </c>
      <c r="C1873" s="10">
        <v>77</v>
      </c>
      <c r="D1873" s="10" t="s">
        <v>1465</v>
      </c>
      <c r="E1873" s="41" t="s">
        <v>1466</v>
      </c>
      <c r="F1873" s="41" t="s">
        <v>1466</v>
      </c>
      <c r="G1873" s="7" t="s">
        <v>102</v>
      </c>
      <c r="H1873" s="7">
        <v>25</v>
      </c>
      <c r="I1873" s="10" t="s">
        <v>2285</v>
      </c>
      <c r="J1873" s="10">
        <v>20</v>
      </c>
      <c r="K1873" s="10">
        <v>10</v>
      </c>
      <c r="L1873" s="43">
        <v>9</v>
      </c>
      <c r="M1873" s="43"/>
      <c r="N1873" s="12" t="s">
        <v>728</v>
      </c>
      <c r="P1873" s="10">
        <v>30</v>
      </c>
      <c r="T1873" s="10">
        <v>60</v>
      </c>
      <c r="V1873" s="45">
        <v>1</v>
      </c>
      <c r="X1873" s="29">
        <v>6</v>
      </c>
      <c r="Y1873" s="54" t="s">
        <v>24</v>
      </c>
      <c r="Z1873" t="s">
        <v>1467</v>
      </c>
      <c r="AA1873" s="1" t="s">
        <v>238</v>
      </c>
    </row>
    <row r="1874" spans="1:27" ht="23.1" customHeight="1" x14ac:dyDescent="0.25">
      <c r="A1874" s="53" t="s">
        <v>1432</v>
      </c>
      <c r="B1874" s="10" t="s">
        <v>113</v>
      </c>
      <c r="C1874" s="10">
        <v>18</v>
      </c>
      <c r="D1874" s="10" t="s">
        <v>921</v>
      </c>
      <c r="E1874" s="41" t="s">
        <v>919</v>
      </c>
      <c r="F1874" s="41" t="s">
        <v>919</v>
      </c>
      <c r="G1874" s="7" t="s">
        <v>323</v>
      </c>
      <c r="H1874" s="7">
        <v>25</v>
      </c>
      <c r="I1874" s="10" t="s">
        <v>2149</v>
      </c>
      <c r="J1874" s="10">
        <v>2</v>
      </c>
      <c r="K1874" s="10">
        <v>3</v>
      </c>
      <c r="L1874" s="43">
        <v>5</v>
      </c>
      <c r="M1874" s="43">
        <v>5</v>
      </c>
      <c r="N1874" s="12" t="s">
        <v>860</v>
      </c>
      <c r="P1874" s="10">
        <v>220</v>
      </c>
      <c r="T1874" s="10">
        <v>90</v>
      </c>
      <c r="V1874" s="45"/>
      <c r="X1874" s="29">
        <v>11</v>
      </c>
      <c r="Y1874" s="54" t="s">
        <v>14</v>
      </c>
    </row>
    <row r="1875" spans="1:27" ht="23.1" customHeight="1" x14ac:dyDescent="0.25">
      <c r="A1875" s="53" t="s">
        <v>1432</v>
      </c>
      <c r="B1875" s="10" t="s">
        <v>113</v>
      </c>
      <c r="C1875" s="10">
        <v>13</v>
      </c>
      <c r="D1875" s="10" t="s">
        <v>1394</v>
      </c>
      <c r="E1875" s="41" t="s">
        <v>1278</v>
      </c>
      <c r="F1875" s="41" t="s">
        <v>1278</v>
      </c>
      <c r="G1875" s="7" t="s">
        <v>123</v>
      </c>
      <c r="H1875" s="7">
        <v>30</v>
      </c>
      <c r="I1875" s="10" t="s">
        <v>2257</v>
      </c>
      <c r="J1875" s="10">
        <v>15</v>
      </c>
      <c r="K1875" s="10">
        <v>2</v>
      </c>
      <c r="L1875" s="43">
        <v>31</v>
      </c>
      <c r="M1875" s="43">
        <v>31</v>
      </c>
      <c r="N1875" s="12" t="s">
        <v>487</v>
      </c>
      <c r="P1875" s="10">
        <v>70</v>
      </c>
      <c r="T1875" s="10">
        <v>60</v>
      </c>
      <c r="V1875" s="45"/>
      <c r="X1875" s="29">
        <v>2.2999999999999998</v>
      </c>
      <c r="Y1875" s="54" t="s">
        <v>10</v>
      </c>
    </row>
    <row r="1876" spans="1:27" ht="23.1" customHeight="1" x14ac:dyDescent="0.25">
      <c r="A1876" s="53" t="s">
        <v>1432</v>
      </c>
      <c r="B1876" s="10" t="s">
        <v>113</v>
      </c>
      <c r="C1876" s="10">
        <v>13</v>
      </c>
      <c r="D1876" s="47" t="s">
        <v>1394</v>
      </c>
      <c r="E1876" s="41" t="s">
        <v>1278</v>
      </c>
      <c r="F1876" s="41" t="s">
        <v>1278</v>
      </c>
      <c r="G1876" s="7" t="s">
        <v>123</v>
      </c>
      <c r="H1876" s="7">
        <v>35</v>
      </c>
      <c r="I1876" s="10" t="s">
        <v>2274</v>
      </c>
      <c r="J1876" s="10">
        <v>20</v>
      </c>
      <c r="K1876" s="10">
        <v>20</v>
      </c>
      <c r="L1876" s="43">
        <v>31</v>
      </c>
      <c r="M1876" s="43">
        <v>26</v>
      </c>
      <c r="N1876" s="12" t="s">
        <v>487</v>
      </c>
      <c r="P1876" s="10">
        <v>30</v>
      </c>
      <c r="V1876" s="45">
        <v>1</v>
      </c>
      <c r="W1876" s="14">
        <v>2</v>
      </c>
      <c r="X1876" s="29">
        <v>12</v>
      </c>
      <c r="Y1876" s="54" t="s">
        <v>10</v>
      </c>
      <c r="Z1876" t="s">
        <v>1395</v>
      </c>
    </row>
    <row r="1877" spans="1:27" ht="23.1" customHeight="1" x14ac:dyDescent="0.25">
      <c r="A1877" s="53" t="s">
        <v>1432</v>
      </c>
      <c r="B1877" s="10" t="s">
        <v>113</v>
      </c>
      <c r="C1877" s="10">
        <v>79</v>
      </c>
      <c r="D1877" s="10" t="s">
        <v>420</v>
      </c>
      <c r="E1877" s="41" t="s">
        <v>153</v>
      </c>
      <c r="F1877" s="41" t="s">
        <v>1247</v>
      </c>
      <c r="G1877" s="7" t="s">
        <v>154</v>
      </c>
      <c r="H1877" s="7">
        <v>50</v>
      </c>
      <c r="I1877" s="10" t="s">
        <v>2204</v>
      </c>
      <c r="J1877" s="10">
        <v>0.3</v>
      </c>
      <c r="K1877" s="10">
        <v>0.3</v>
      </c>
      <c r="L1877" s="43">
        <v>26</v>
      </c>
      <c r="M1877" s="43"/>
      <c r="N1877" s="12" t="s">
        <v>675</v>
      </c>
      <c r="P1877" s="10">
        <v>3700</v>
      </c>
      <c r="Q1877" s="10">
        <v>90</v>
      </c>
      <c r="T1877" s="10">
        <v>180</v>
      </c>
      <c r="V1877" s="45"/>
      <c r="X1877" s="29">
        <v>18.5</v>
      </c>
      <c r="Y1877" s="54" t="s">
        <v>5</v>
      </c>
    </row>
    <row r="1878" spans="1:27" ht="23.1" customHeight="1" x14ac:dyDescent="0.25">
      <c r="A1878" s="53" t="s">
        <v>1432</v>
      </c>
      <c r="B1878" s="10" t="s">
        <v>113</v>
      </c>
      <c r="C1878" s="10">
        <v>17</v>
      </c>
      <c r="D1878" s="10" t="s">
        <v>1468</v>
      </c>
      <c r="E1878" s="41" t="s">
        <v>1469</v>
      </c>
      <c r="F1878" s="41" t="s">
        <v>1469</v>
      </c>
      <c r="G1878" s="7" t="s">
        <v>102</v>
      </c>
      <c r="H1878" s="7">
        <v>2</v>
      </c>
      <c r="I1878" s="10"/>
      <c r="K1878" s="10">
        <v>1</v>
      </c>
      <c r="L1878" s="43"/>
      <c r="M1878" s="43"/>
      <c r="N1878" s="12" t="s">
        <v>103</v>
      </c>
      <c r="O1878" s="10">
        <v>40</v>
      </c>
      <c r="U1878" s="10">
        <v>60</v>
      </c>
      <c r="V1878" s="45">
        <v>1</v>
      </c>
      <c r="X1878" s="32">
        <v>1.7</v>
      </c>
      <c r="Y1878" s="54" t="s">
        <v>14</v>
      </c>
    </row>
    <row r="1879" spans="1:27" ht="23.1" customHeight="1" x14ac:dyDescent="0.25">
      <c r="A1879" s="53" t="s">
        <v>1432</v>
      </c>
      <c r="B1879" s="10" t="s">
        <v>113</v>
      </c>
      <c r="C1879" s="10">
        <v>17</v>
      </c>
      <c r="D1879" s="10" t="s">
        <v>1468</v>
      </c>
      <c r="E1879" s="41" t="s">
        <v>1469</v>
      </c>
      <c r="F1879" s="41" t="s">
        <v>1469</v>
      </c>
      <c r="G1879" s="7" t="s">
        <v>102</v>
      </c>
      <c r="H1879" s="7">
        <v>5</v>
      </c>
      <c r="I1879" s="10" t="s">
        <v>1930</v>
      </c>
      <c r="K1879" s="10">
        <v>1</v>
      </c>
      <c r="L1879" s="43"/>
      <c r="M1879" s="43"/>
      <c r="N1879" s="12" t="s">
        <v>103</v>
      </c>
      <c r="P1879" s="10">
        <v>40</v>
      </c>
      <c r="T1879" s="10">
        <v>60</v>
      </c>
      <c r="V1879" s="45">
        <v>1</v>
      </c>
      <c r="X1879" s="29">
        <v>1.7</v>
      </c>
      <c r="Y1879" s="54" t="s">
        <v>14</v>
      </c>
    </row>
    <row r="1880" spans="1:27" ht="23.1" customHeight="1" x14ac:dyDescent="0.25">
      <c r="A1880" s="53" t="s">
        <v>1432</v>
      </c>
      <c r="B1880" s="10" t="s">
        <v>113</v>
      </c>
      <c r="C1880" s="10">
        <v>17</v>
      </c>
      <c r="D1880" s="10" t="s">
        <v>1468</v>
      </c>
      <c r="E1880" s="41" t="s">
        <v>1469</v>
      </c>
      <c r="F1880" s="41" t="s">
        <v>1469</v>
      </c>
      <c r="G1880" s="7" t="s">
        <v>102</v>
      </c>
      <c r="H1880" s="7">
        <v>8</v>
      </c>
      <c r="I1880" s="10"/>
      <c r="K1880" s="10">
        <v>1</v>
      </c>
      <c r="L1880" s="43"/>
      <c r="M1880" s="43"/>
      <c r="N1880" s="12" t="s">
        <v>103</v>
      </c>
      <c r="O1880" s="10">
        <v>80</v>
      </c>
      <c r="U1880" s="10">
        <v>60</v>
      </c>
      <c r="V1880" s="45">
        <v>1</v>
      </c>
      <c r="X1880" s="32">
        <v>2.2999999999999998</v>
      </c>
      <c r="Y1880" s="54" t="s">
        <v>14</v>
      </c>
    </row>
    <row r="1881" spans="1:27" ht="23.1" customHeight="1" x14ac:dyDescent="0.25">
      <c r="A1881" s="53" t="s">
        <v>1432</v>
      </c>
      <c r="B1881" s="10" t="s">
        <v>113</v>
      </c>
      <c r="C1881" s="10">
        <v>17</v>
      </c>
      <c r="D1881" s="10" t="s">
        <v>1468</v>
      </c>
      <c r="E1881" s="41" t="s">
        <v>1469</v>
      </c>
      <c r="F1881" s="41" t="s">
        <v>1469</v>
      </c>
      <c r="G1881" s="7" t="s">
        <v>102</v>
      </c>
      <c r="H1881" s="7">
        <v>10</v>
      </c>
      <c r="I1881" s="10" t="s">
        <v>2023</v>
      </c>
      <c r="K1881" s="10">
        <v>1</v>
      </c>
      <c r="L1881" s="43"/>
      <c r="M1881" s="43"/>
      <c r="N1881" s="12" t="s">
        <v>103</v>
      </c>
      <c r="P1881" s="10">
        <v>80</v>
      </c>
      <c r="T1881" s="10">
        <v>60</v>
      </c>
      <c r="V1881" s="45">
        <v>1</v>
      </c>
      <c r="X1881" s="29">
        <v>2.2999999999999998</v>
      </c>
      <c r="Y1881" s="54" t="s">
        <v>14</v>
      </c>
    </row>
    <row r="1882" spans="1:27" ht="23.1" customHeight="1" x14ac:dyDescent="0.25">
      <c r="A1882" s="53" t="s">
        <v>1432</v>
      </c>
      <c r="B1882" s="10" t="s">
        <v>113</v>
      </c>
      <c r="C1882" s="10">
        <v>58</v>
      </c>
      <c r="D1882" s="10" t="s">
        <v>1470</v>
      </c>
      <c r="E1882" s="41" t="s">
        <v>1278</v>
      </c>
      <c r="F1882" s="41" t="s">
        <v>1278</v>
      </c>
      <c r="G1882" s="7" t="s">
        <v>250</v>
      </c>
      <c r="H1882" s="7">
        <v>35</v>
      </c>
      <c r="I1882" s="10" t="s">
        <v>2479</v>
      </c>
      <c r="J1882" s="10">
        <v>20</v>
      </c>
      <c r="K1882" s="10">
        <v>20</v>
      </c>
      <c r="L1882" s="43">
        <v>26</v>
      </c>
      <c r="M1882" s="43">
        <v>26</v>
      </c>
      <c r="N1882" s="12" t="s">
        <v>487</v>
      </c>
      <c r="P1882" s="10">
        <v>60</v>
      </c>
      <c r="T1882" s="10">
        <v>60</v>
      </c>
      <c r="V1882" s="45"/>
      <c r="X1882" s="29">
        <v>20</v>
      </c>
      <c r="Y1882" s="54" t="s">
        <v>0</v>
      </c>
    </row>
    <row r="1883" spans="1:27" ht="23.1" customHeight="1" x14ac:dyDescent="0.25">
      <c r="A1883" s="53" t="s">
        <v>1432</v>
      </c>
      <c r="B1883" s="10" t="s">
        <v>113</v>
      </c>
      <c r="C1883" s="10">
        <v>59</v>
      </c>
      <c r="D1883" s="10" t="s">
        <v>1428</v>
      </c>
      <c r="E1883" s="41" t="s">
        <v>1452</v>
      </c>
      <c r="F1883" s="41" t="s">
        <v>1452</v>
      </c>
      <c r="G1883" s="7" t="s">
        <v>102</v>
      </c>
      <c r="H1883" s="7">
        <v>25</v>
      </c>
      <c r="I1883" s="10" t="s">
        <v>2270</v>
      </c>
      <c r="J1883" s="10">
        <v>2</v>
      </c>
      <c r="K1883" s="10">
        <v>2</v>
      </c>
      <c r="L1883" s="43">
        <v>26</v>
      </c>
      <c r="M1883" s="43">
        <v>5</v>
      </c>
      <c r="N1883" s="12" t="s">
        <v>596</v>
      </c>
      <c r="P1883" s="10">
        <v>35</v>
      </c>
      <c r="T1883" s="10">
        <v>60</v>
      </c>
      <c r="V1883" s="45">
        <v>1</v>
      </c>
      <c r="W1883" s="14">
        <v>4</v>
      </c>
      <c r="X1883" s="29">
        <v>6.2</v>
      </c>
      <c r="Y1883" s="54" t="s">
        <v>6</v>
      </c>
      <c r="Z1883" t="s">
        <v>1471</v>
      </c>
      <c r="AA1883" s="1" t="s">
        <v>238</v>
      </c>
    </row>
    <row r="1884" spans="1:27" ht="23.1" customHeight="1" x14ac:dyDescent="0.25">
      <c r="A1884" s="53" t="s">
        <v>1432</v>
      </c>
      <c r="B1884" s="10" t="s">
        <v>113</v>
      </c>
      <c r="C1884" s="10">
        <v>9</v>
      </c>
      <c r="D1884" s="10" t="s">
        <v>1472</v>
      </c>
      <c r="E1884" s="41" t="s">
        <v>595</v>
      </c>
      <c r="F1884" s="41" t="s">
        <v>595</v>
      </c>
      <c r="G1884" s="7" t="s">
        <v>102</v>
      </c>
      <c r="H1884" s="7">
        <v>5</v>
      </c>
      <c r="I1884" s="10" t="s">
        <v>2387</v>
      </c>
      <c r="K1884" s="10">
        <v>2</v>
      </c>
      <c r="L1884" s="43">
        <v>26</v>
      </c>
      <c r="M1884" s="43"/>
      <c r="N1884" s="12" t="s">
        <v>596</v>
      </c>
      <c r="P1884" s="10">
        <v>40</v>
      </c>
      <c r="T1884" s="10">
        <v>60</v>
      </c>
      <c r="V1884" s="45"/>
      <c r="X1884" s="29">
        <v>1.3</v>
      </c>
      <c r="Y1884" s="54" t="s">
        <v>23</v>
      </c>
      <c r="Z1884" t="s">
        <v>1269</v>
      </c>
    </row>
    <row r="1885" spans="1:27" ht="23.1" customHeight="1" x14ac:dyDescent="0.25">
      <c r="A1885" s="53" t="s">
        <v>1432</v>
      </c>
      <c r="B1885" s="10" t="s">
        <v>113</v>
      </c>
      <c r="C1885" s="10">
        <v>9</v>
      </c>
      <c r="D1885" s="10" t="s">
        <v>1472</v>
      </c>
      <c r="E1885" s="41" t="s">
        <v>595</v>
      </c>
      <c r="F1885" s="41" t="s">
        <v>595</v>
      </c>
      <c r="G1885" s="7" t="s">
        <v>102</v>
      </c>
      <c r="H1885" s="7">
        <v>10</v>
      </c>
      <c r="I1885" s="10" t="s">
        <v>2275</v>
      </c>
      <c r="K1885" s="10">
        <v>2</v>
      </c>
      <c r="L1885" s="43">
        <v>26</v>
      </c>
      <c r="M1885" s="43"/>
      <c r="N1885" s="12" t="s">
        <v>596</v>
      </c>
      <c r="P1885" s="10">
        <v>35</v>
      </c>
      <c r="T1885" s="10">
        <v>90</v>
      </c>
      <c r="V1885" s="45"/>
      <c r="X1885" s="29">
        <v>1.2</v>
      </c>
      <c r="Y1885" s="54" t="s">
        <v>23</v>
      </c>
    </row>
    <row r="1886" spans="1:27" ht="23.1" customHeight="1" x14ac:dyDescent="0.25">
      <c r="A1886" s="53" t="s">
        <v>1432</v>
      </c>
      <c r="B1886" s="10" t="s">
        <v>113</v>
      </c>
      <c r="C1886" s="10">
        <v>9</v>
      </c>
      <c r="D1886" s="10" t="s">
        <v>1472</v>
      </c>
      <c r="E1886" s="41" t="s">
        <v>595</v>
      </c>
      <c r="F1886" s="41" t="s">
        <v>595</v>
      </c>
      <c r="G1886" s="7" t="s">
        <v>102</v>
      </c>
      <c r="H1886" s="7">
        <v>15</v>
      </c>
      <c r="I1886" s="10" t="s">
        <v>1895</v>
      </c>
      <c r="L1886" s="43"/>
      <c r="M1886" s="43"/>
      <c r="N1886" s="12" t="s">
        <v>596</v>
      </c>
      <c r="T1886" s="10">
        <v>60</v>
      </c>
      <c r="V1886" s="45"/>
      <c r="W1886" s="14">
        <v>6</v>
      </c>
      <c r="X1886" s="29">
        <v>6</v>
      </c>
      <c r="Y1886" s="54" t="s">
        <v>23</v>
      </c>
      <c r="Z1886" t="s">
        <v>1473</v>
      </c>
      <c r="AA1886" t="s">
        <v>957</v>
      </c>
    </row>
    <row r="1887" spans="1:27" ht="23.1" customHeight="1" x14ac:dyDescent="0.25">
      <c r="A1887" s="53" t="s">
        <v>1432</v>
      </c>
      <c r="B1887" s="10" t="s">
        <v>113</v>
      </c>
      <c r="C1887" s="10">
        <v>69</v>
      </c>
      <c r="D1887" s="10" t="s">
        <v>1285</v>
      </c>
      <c r="E1887" s="41" t="s">
        <v>1283</v>
      </c>
      <c r="F1887" s="41" t="s">
        <v>1283</v>
      </c>
      <c r="G1887" s="7" t="s">
        <v>102</v>
      </c>
      <c r="H1887" s="7">
        <v>40</v>
      </c>
      <c r="I1887" s="10" t="s">
        <v>2254</v>
      </c>
      <c r="J1887" s="10">
        <v>0.4</v>
      </c>
      <c r="K1887" s="10">
        <v>0.7</v>
      </c>
      <c r="L1887" s="43">
        <v>28</v>
      </c>
      <c r="M1887" s="43"/>
      <c r="N1887" s="12" t="s">
        <v>596</v>
      </c>
      <c r="P1887" s="10">
        <v>150</v>
      </c>
      <c r="T1887" s="10">
        <v>60</v>
      </c>
      <c r="V1887" s="45"/>
      <c r="W1887" s="14">
        <v>3</v>
      </c>
      <c r="X1887" s="29">
        <v>4.8</v>
      </c>
      <c r="Y1887" s="54" t="s">
        <v>26</v>
      </c>
      <c r="Z1887" t="s">
        <v>1011</v>
      </c>
    </row>
    <row r="1888" spans="1:27" ht="23.1" customHeight="1" x14ac:dyDescent="0.25">
      <c r="A1888" s="53" t="s">
        <v>1432</v>
      </c>
      <c r="B1888" s="10" t="s">
        <v>113</v>
      </c>
      <c r="C1888" s="10">
        <v>69</v>
      </c>
      <c r="D1888" s="10" t="s">
        <v>937</v>
      </c>
      <c r="E1888" s="41" t="s">
        <v>938</v>
      </c>
      <c r="F1888" s="41" t="s">
        <v>938</v>
      </c>
      <c r="G1888" s="7" t="s">
        <v>939</v>
      </c>
      <c r="H1888" s="7">
        <v>60</v>
      </c>
      <c r="I1888" s="10" t="s">
        <v>2203</v>
      </c>
      <c r="J1888" s="10">
        <v>0.7</v>
      </c>
      <c r="K1888" s="10">
        <v>0.6</v>
      </c>
      <c r="L1888" s="43">
        <v>5</v>
      </c>
      <c r="M1888" s="43"/>
      <c r="N1888" s="12" t="s">
        <v>890</v>
      </c>
      <c r="P1888" s="10">
        <v>900</v>
      </c>
      <c r="Q1888" s="10">
        <v>90</v>
      </c>
      <c r="T1888" s="10">
        <v>180</v>
      </c>
      <c r="V1888" s="45">
        <v>1</v>
      </c>
      <c r="W1888" s="14">
        <v>4</v>
      </c>
      <c r="X1888" s="29">
        <v>16</v>
      </c>
      <c r="Y1888" s="54" t="s">
        <v>26</v>
      </c>
      <c r="Z1888" t="s">
        <v>1474</v>
      </c>
      <c r="AA1888" t="s">
        <v>1475</v>
      </c>
    </row>
    <row r="1889" spans="1:27" ht="23.1" customHeight="1" x14ac:dyDescent="0.25">
      <c r="A1889" s="53" t="s">
        <v>1432</v>
      </c>
      <c r="B1889" s="10" t="s">
        <v>113</v>
      </c>
      <c r="C1889" s="10">
        <v>84</v>
      </c>
      <c r="D1889" s="10" t="s">
        <v>1047</v>
      </c>
      <c r="E1889" s="41" t="s">
        <v>424</v>
      </c>
      <c r="F1889" s="41" t="s">
        <v>424</v>
      </c>
      <c r="G1889" s="7" t="s">
        <v>107</v>
      </c>
      <c r="H1889" s="7">
        <v>40</v>
      </c>
      <c r="I1889" s="10" t="s">
        <v>2096</v>
      </c>
      <c r="J1889" s="10">
        <v>2.5</v>
      </c>
      <c r="K1889" s="10">
        <v>1.6</v>
      </c>
      <c r="L1889" s="43">
        <v>28</v>
      </c>
      <c r="M1889" s="43">
        <v>23</v>
      </c>
      <c r="N1889" s="12" t="s">
        <v>1476</v>
      </c>
      <c r="P1889" s="10">
        <v>360</v>
      </c>
      <c r="Q1889" s="10">
        <v>30</v>
      </c>
      <c r="T1889" s="10">
        <v>120</v>
      </c>
      <c r="V1889" s="45"/>
      <c r="X1889" s="29">
        <v>9.6</v>
      </c>
      <c r="Y1889" s="54" t="s">
        <v>26</v>
      </c>
    </row>
    <row r="1890" spans="1:27" ht="23.1" customHeight="1" x14ac:dyDescent="0.25">
      <c r="A1890" s="53" t="s">
        <v>1432</v>
      </c>
      <c r="B1890" s="10" t="s">
        <v>113</v>
      </c>
      <c r="C1890" s="10">
        <v>84</v>
      </c>
      <c r="D1890" s="10" t="s">
        <v>1047</v>
      </c>
      <c r="E1890" s="41" t="s">
        <v>424</v>
      </c>
      <c r="F1890" s="41" t="s">
        <v>424</v>
      </c>
      <c r="G1890" s="7" t="s">
        <v>107</v>
      </c>
      <c r="H1890" s="7">
        <v>40</v>
      </c>
      <c r="I1890" s="10" t="s">
        <v>2096</v>
      </c>
      <c r="K1890" s="10">
        <v>2</v>
      </c>
      <c r="L1890" s="43"/>
      <c r="M1890" s="43">
        <v>37</v>
      </c>
      <c r="N1890" s="12" t="s">
        <v>1476</v>
      </c>
      <c r="P1890" s="10">
        <v>360</v>
      </c>
      <c r="Q1890" s="10">
        <v>30</v>
      </c>
      <c r="T1890" s="10">
        <v>120</v>
      </c>
      <c r="V1890" s="45"/>
      <c r="X1890" s="29">
        <v>12</v>
      </c>
      <c r="Y1890" s="54" t="s">
        <v>26</v>
      </c>
    </row>
    <row r="1891" spans="1:27" ht="23.1" customHeight="1" x14ac:dyDescent="0.25">
      <c r="A1891" s="53" t="s">
        <v>1432</v>
      </c>
      <c r="B1891" s="10" t="s">
        <v>113</v>
      </c>
      <c r="C1891" s="10">
        <v>84</v>
      </c>
      <c r="D1891" s="10" t="s">
        <v>1047</v>
      </c>
      <c r="E1891" s="41" t="s">
        <v>424</v>
      </c>
      <c r="F1891" s="41" t="s">
        <v>424</v>
      </c>
      <c r="G1891" s="7" t="s">
        <v>107</v>
      </c>
      <c r="H1891" s="7">
        <v>38</v>
      </c>
      <c r="I1891" s="10"/>
      <c r="J1891" s="10">
        <v>3</v>
      </c>
      <c r="K1891" s="10">
        <v>3</v>
      </c>
      <c r="L1891" s="43">
        <v>37</v>
      </c>
      <c r="M1891" s="43"/>
      <c r="N1891" s="12" t="s">
        <v>1477</v>
      </c>
      <c r="O1891" s="10">
        <v>90</v>
      </c>
      <c r="R1891" s="10">
        <v>30</v>
      </c>
      <c r="V1891" s="45"/>
      <c r="X1891" s="32">
        <v>4.5</v>
      </c>
      <c r="Y1891" s="54" t="s">
        <v>26</v>
      </c>
    </row>
    <row r="1892" spans="1:27" ht="23.1" customHeight="1" x14ac:dyDescent="0.25">
      <c r="A1892" s="53" t="s">
        <v>1432</v>
      </c>
      <c r="B1892" s="10" t="s">
        <v>113</v>
      </c>
      <c r="C1892" s="10">
        <v>91</v>
      </c>
      <c r="D1892" s="10" t="s">
        <v>254</v>
      </c>
      <c r="E1892" s="41" t="s">
        <v>255</v>
      </c>
      <c r="F1892" s="41" t="s">
        <v>1016</v>
      </c>
      <c r="G1892" s="7" t="s">
        <v>375</v>
      </c>
      <c r="H1892" s="7">
        <v>40</v>
      </c>
      <c r="I1892" s="10" t="s">
        <v>2110</v>
      </c>
      <c r="J1892" s="10">
        <v>0.4</v>
      </c>
      <c r="K1892" s="10">
        <v>0.1</v>
      </c>
      <c r="L1892" s="43">
        <v>28</v>
      </c>
      <c r="M1892" s="43"/>
      <c r="N1892" s="12" t="s">
        <v>476</v>
      </c>
      <c r="P1892" s="10">
        <v>3000</v>
      </c>
      <c r="Q1892" s="10">
        <v>90</v>
      </c>
      <c r="T1892" s="10">
        <v>120</v>
      </c>
      <c r="V1892" s="45"/>
      <c r="X1892" s="29">
        <v>5</v>
      </c>
      <c r="Y1892" s="54" t="s">
        <v>26</v>
      </c>
      <c r="Z1892" t="s">
        <v>1478</v>
      </c>
    </row>
    <row r="1893" spans="1:27" ht="23.1" customHeight="1" x14ac:dyDescent="0.25">
      <c r="A1893" s="53" t="s">
        <v>1432</v>
      </c>
      <c r="B1893" s="10" t="s">
        <v>113</v>
      </c>
      <c r="C1893" s="10">
        <v>91</v>
      </c>
      <c r="D1893" s="10" t="s">
        <v>254</v>
      </c>
      <c r="E1893" s="41" t="s">
        <v>255</v>
      </c>
      <c r="F1893" s="41" t="s">
        <v>1016</v>
      </c>
      <c r="G1893" s="7" t="s">
        <v>375</v>
      </c>
      <c r="H1893" s="7">
        <v>40</v>
      </c>
      <c r="I1893" s="10" t="s">
        <v>2110</v>
      </c>
      <c r="K1893" s="10">
        <v>0.3</v>
      </c>
      <c r="L1893" s="43">
        <v>28</v>
      </c>
      <c r="M1893" s="43"/>
      <c r="N1893" s="12" t="s">
        <v>475</v>
      </c>
      <c r="P1893" s="10">
        <v>3000</v>
      </c>
      <c r="Q1893" s="10">
        <v>90</v>
      </c>
      <c r="S1893" s="11">
        <v>1</v>
      </c>
      <c r="T1893" s="10">
        <v>120</v>
      </c>
      <c r="V1893" s="45"/>
      <c r="X1893" s="29">
        <v>16.5</v>
      </c>
      <c r="Y1893" s="54" t="s">
        <v>26</v>
      </c>
    </row>
    <row r="1894" spans="1:27" ht="23.1" customHeight="1" x14ac:dyDescent="0.25">
      <c r="A1894" s="53" t="s">
        <v>1432</v>
      </c>
      <c r="B1894" s="10" t="s">
        <v>113</v>
      </c>
      <c r="C1894" s="10">
        <v>119</v>
      </c>
      <c r="D1894" s="10" t="s">
        <v>1176</v>
      </c>
      <c r="E1894" s="41" t="s">
        <v>1098</v>
      </c>
      <c r="F1894" s="41" t="s">
        <v>1098</v>
      </c>
      <c r="G1894" s="7" t="s">
        <v>250</v>
      </c>
      <c r="H1894" s="7">
        <v>55</v>
      </c>
      <c r="I1894" s="10" t="s">
        <v>2480</v>
      </c>
      <c r="J1894" s="10">
        <v>2</v>
      </c>
      <c r="K1894" s="10">
        <v>2</v>
      </c>
      <c r="L1894" s="43">
        <v>28</v>
      </c>
      <c r="M1894" s="43">
        <v>37</v>
      </c>
      <c r="N1894" s="12" t="s">
        <v>429</v>
      </c>
      <c r="P1894" s="10">
        <v>540</v>
      </c>
      <c r="Q1894" s="10">
        <v>60</v>
      </c>
      <c r="S1894" s="11">
        <v>2</v>
      </c>
      <c r="T1894" s="10">
        <v>90</v>
      </c>
      <c r="V1894" s="45"/>
      <c r="X1894" s="29">
        <v>20</v>
      </c>
      <c r="Y1894" s="54" t="s">
        <v>26</v>
      </c>
    </row>
    <row r="1895" spans="1:27" ht="23.1" customHeight="1" x14ac:dyDescent="0.25">
      <c r="A1895" s="53" t="s">
        <v>1432</v>
      </c>
      <c r="B1895" s="10" t="s">
        <v>113</v>
      </c>
      <c r="C1895" s="10">
        <v>119</v>
      </c>
      <c r="D1895" s="10" t="s">
        <v>1097</v>
      </c>
      <c r="E1895" s="41" t="s">
        <v>1098</v>
      </c>
      <c r="F1895" s="41" t="s">
        <v>1098</v>
      </c>
      <c r="G1895" s="7" t="s">
        <v>250</v>
      </c>
      <c r="H1895" s="7">
        <v>55</v>
      </c>
      <c r="I1895" s="10" t="s">
        <v>2276</v>
      </c>
      <c r="J1895" s="10">
        <v>1</v>
      </c>
      <c r="K1895" s="10">
        <v>0.5</v>
      </c>
      <c r="L1895" s="43">
        <v>23</v>
      </c>
      <c r="M1895" s="43"/>
      <c r="N1895" s="12" t="s">
        <v>292</v>
      </c>
      <c r="P1895" s="10">
        <v>540</v>
      </c>
      <c r="Q1895" s="10">
        <v>60</v>
      </c>
      <c r="T1895" s="10">
        <v>90</v>
      </c>
      <c r="V1895" s="45">
        <v>1</v>
      </c>
      <c r="W1895" s="14">
        <v>4</v>
      </c>
      <c r="X1895" s="29">
        <v>10</v>
      </c>
      <c r="Y1895" s="54" t="s">
        <v>26</v>
      </c>
      <c r="Z1895" t="s">
        <v>1479</v>
      </c>
    </row>
    <row r="1896" spans="1:27" ht="23.1" customHeight="1" x14ac:dyDescent="0.25">
      <c r="A1896" s="53" t="s">
        <v>1432</v>
      </c>
      <c r="B1896" s="10" t="s">
        <v>113</v>
      </c>
      <c r="C1896" s="10">
        <v>121</v>
      </c>
      <c r="D1896" s="10" t="s">
        <v>288</v>
      </c>
      <c r="E1896" s="41" t="s">
        <v>255</v>
      </c>
      <c r="F1896" s="41" t="s">
        <v>1532</v>
      </c>
      <c r="G1896" s="7" t="s">
        <v>250</v>
      </c>
      <c r="H1896" s="7">
        <v>50</v>
      </c>
      <c r="I1896" s="10" t="s">
        <v>2021</v>
      </c>
      <c r="J1896" s="10">
        <v>0.4</v>
      </c>
      <c r="K1896" s="10">
        <v>0.5</v>
      </c>
      <c r="L1896" s="43">
        <v>26</v>
      </c>
      <c r="M1896" s="43"/>
      <c r="N1896" s="12" t="s">
        <v>256</v>
      </c>
      <c r="P1896" s="10">
        <v>3000</v>
      </c>
      <c r="Q1896" s="10">
        <v>90</v>
      </c>
      <c r="T1896" s="10">
        <v>150</v>
      </c>
      <c r="V1896" s="45"/>
      <c r="X1896" s="29">
        <v>25</v>
      </c>
      <c r="Y1896" s="54" t="s">
        <v>26</v>
      </c>
    </row>
    <row r="1897" spans="1:27" ht="23.1" customHeight="1" x14ac:dyDescent="0.25">
      <c r="A1897" s="53" t="s">
        <v>1432</v>
      </c>
      <c r="B1897" s="10" t="s">
        <v>113</v>
      </c>
      <c r="C1897" s="10">
        <v>58</v>
      </c>
      <c r="D1897" s="10" t="s">
        <v>730</v>
      </c>
      <c r="E1897" s="41" t="s">
        <v>731</v>
      </c>
      <c r="F1897" s="41" t="e">
        <v>#N/A</v>
      </c>
      <c r="G1897" s="7" t="s">
        <v>108</v>
      </c>
      <c r="I1897" s="10"/>
      <c r="L1897" s="43"/>
      <c r="M1897" s="43"/>
      <c r="N1897" s="12" t="s">
        <v>108</v>
      </c>
      <c r="V1897" s="45"/>
      <c r="W1897" s="14">
        <v>20</v>
      </c>
      <c r="X1897" s="29">
        <v>20</v>
      </c>
      <c r="Y1897" s="54" t="s">
        <v>57</v>
      </c>
      <c r="Z1897" t="s">
        <v>1480</v>
      </c>
      <c r="AA1897" t="s">
        <v>238</v>
      </c>
    </row>
    <row r="1898" spans="1:27" ht="23.1" customHeight="1" x14ac:dyDescent="0.25">
      <c r="A1898" s="53" t="s">
        <v>1432</v>
      </c>
      <c r="B1898" s="10" t="s">
        <v>113</v>
      </c>
      <c r="C1898" s="10">
        <v>24</v>
      </c>
      <c r="D1898" s="10" t="s">
        <v>776</v>
      </c>
      <c r="E1898" s="41" t="s">
        <v>777</v>
      </c>
      <c r="F1898" s="41" t="s">
        <v>777</v>
      </c>
      <c r="G1898" s="7" t="s">
        <v>107</v>
      </c>
      <c r="H1898" s="7">
        <v>25</v>
      </c>
      <c r="I1898" s="10" t="s">
        <v>2035</v>
      </c>
      <c r="L1898" s="43"/>
      <c r="M1898" s="43"/>
      <c r="N1898" s="12" t="s">
        <v>684</v>
      </c>
      <c r="P1898" s="10">
        <v>840</v>
      </c>
      <c r="Q1898" s="10">
        <v>120</v>
      </c>
      <c r="T1898" s="10">
        <v>150</v>
      </c>
      <c r="V1898" s="45"/>
      <c r="X1898" s="29">
        <v>0</v>
      </c>
      <c r="Y1898" s="54" t="s">
        <v>26</v>
      </c>
      <c r="Z1898" t="s">
        <v>1481</v>
      </c>
    </row>
    <row r="1899" spans="1:27" ht="23.1" customHeight="1" x14ac:dyDescent="0.25">
      <c r="A1899" s="53" t="s">
        <v>1432</v>
      </c>
      <c r="B1899" s="10" t="s">
        <v>113</v>
      </c>
      <c r="C1899" s="10">
        <v>21</v>
      </c>
      <c r="D1899" s="10" t="s">
        <v>321</v>
      </c>
      <c r="E1899" s="41" t="s">
        <v>322</v>
      </c>
      <c r="F1899" s="41" t="s">
        <v>322</v>
      </c>
      <c r="G1899" s="7" t="s">
        <v>323</v>
      </c>
      <c r="H1899" s="7">
        <v>30</v>
      </c>
      <c r="I1899" s="10" t="s">
        <v>2078</v>
      </c>
      <c r="J1899" s="10">
        <v>2.5</v>
      </c>
      <c r="K1899" s="10">
        <v>1.8</v>
      </c>
      <c r="L1899" s="43">
        <v>37</v>
      </c>
      <c r="M1899" s="43">
        <v>5</v>
      </c>
      <c r="N1899" s="12" t="s">
        <v>1482</v>
      </c>
      <c r="P1899" s="10">
        <v>360</v>
      </c>
      <c r="Q1899" s="10">
        <v>120</v>
      </c>
      <c r="S1899" s="11">
        <v>1</v>
      </c>
      <c r="T1899" s="10">
        <v>180</v>
      </c>
      <c r="V1899" s="45">
        <v>1</v>
      </c>
      <c r="X1899" s="29">
        <v>15.8</v>
      </c>
      <c r="Y1899" s="54" t="s">
        <v>49</v>
      </c>
    </row>
    <row r="1900" spans="1:27" ht="23.1" customHeight="1" x14ac:dyDescent="0.25">
      <c r="A1900" s="53" t="s">
        <v>1432</v>
      </c>
      <c r="B1900" s="10" t="s">
        <v>113</v>
      </c>
      <c r="C1900" s="10">
        <v>21</v>
      </c>
      <c r="D1900" s="10" t="s">
        <v>321</v>
      </c>
      <c r="E1900" s="41" t="s">
        <v>322</v>
      </c>
      <c r="F1900" s="41" t="s">
        <v>322</v>
      </c>
      <c r="G1900" s="7" t="s">
        <v>323</v>
      </c>
      <c r="H1900" s="7">
        <v>25</v>
      </c>
      <c r="I1900" s="10" t="s">
        <v>2074</v>
      </c>
      <c r="K1900" s="10">
        <v>0.5</v>
      </c>
      <c r="L1900" s="43">
        <v>28</v>
      </c>
      <c r="M1900" s="43"/>
      <c r="N1900" s="12" t="s">
        <v>607</v>
      </c>
      <c r="P1900" s="10">
        <v>360</v>
      </c>
      <c r="Q1900" s="10">
        <v>120</v>
      </c>
      <c r="T1900" s="10">
        <v>180</v>
      </c>
      <c r="V1900" s="45"/>
      <c r="X1900" s="29">
        <v>3</v>
      </c>
      <c r="Y1900" s="54" t="s">
        <v>49</v>
      </c>
    </row>
    <row r="1901" spans="1:27" ht="23.1" customHeight="1" x14ac:dyDescent="0.25">
      <c r="A1901" s="53" t="s">
        <v>1432</v>
      </c>
      <c r="B1901" s="10" t="s">
        <v>113</v>
      </c>
      <c r="C1901" s="10">
        <v>10</v>
      </c>
      <c r="D1901" s="10" t="s">
        <v>217</v>
      </c>
      <c r="E1901" s="41" t="s">
        <v>218</v>
      </c>
      <c r="F1901" s="41" t="s">
        <v>218</v>
      </c>
      <c r="G1901" s="7" t="s">
        <v>107</v>
      </c>
      <c r="H1901" s="7">
        <v>55</v>
      </c>
      <c r="I1901" s="10" t="s">
        <v>2287</v>
      </c>
      <c r="J1901" s="10">
        <v>2</v>
      </c>
      <c r="K1901" s="10">
        <v>2</v>
      </c>
      <c r="L1901" s="43">
        <v>26</v>
      </c>
      <c r="M1901" s="43">
        <v>23</v>
      </c>
      <c r="N1901" s="12" t="s">
        <v>530</v>
      </c>
      <c r="P1901" s="10">
        <v>270</v>
      </c>
      <c r="T1901" s="10">
        <v>90</v>
      </c>
      <c r="V1901" s="45"/>
      <c r="W1901" s="14">
        <v>2</v>
      </c>
      <c r="X1901" s="29">
        <v>11</v>
      </c>
      <c r="Y1901" s="54" t="s">
        <v>23</v>
      </c>
      <c r="Z1901" t="s">
        <v>1461</v>
      </c>
      <c r="AA1901" t="s">
        <v>238</v>
      </c>
    </row>
    <row r="1902" spans="1:27" ht="23.1" customHeight="1" x14ac:dyDescent="0.25">
      <c r="A1902" s="53" t="s">
        <v>1432</v>
      </c>
      <c r="B1902" s="10" t="s">
        <v>113</v>
      </c>
      <c r="C1902" s="10">
        <v>15</v>
      </c>
      <c r="D1902" s="10" t="s">
        <v>116</v>
      </c>
      <c r="E1902" s="41" t="s">
        <v>117</v>
      </c>
      <c r="F1902" s="41" t="s">
        <v>117</v>
      </c>
      <c r="G1902" s="7" t="s">
        <v>118</v>
      </c>
      <c r="H1902" s="7">
        <v>25</v>
      </c>
      <c r="I1902" s="10" t="s">
        <v>2225</v>
      </c>
      <c r="J1902" s="10">
        <v>1</v>
      </c>
      <c r="K1902" s="10">
        <v>1.2</v>
      </c>
      <c r="L1902" s="43">
        <v>31</v>
      </c>
      <c r="M1902" s="43">
        <v>23</v>
      </c>
      <c r="N1902" s="12" t="s">
        <v>1483</v>
      </c>
      <c r="P1902" s="10">
        <v>900</v>
      </c>
      <c r="T1902" s="10">
        <v>120</v>
      </c>
      <c r="V1902" s="45"/>
      <c r="X1902" s="29">
        <v>18</v>
      </c>
      <c r="Y1902" s="54" t="s">
        <v>60</v>
      </c>
    </row>
    <row r="1903" spans="1:27" ht="23.1" customHeight="1" x14ac:dyDescent="0.25">
      <c r="A1903" s="53" t="s">
        <v>1432</v>
      </c>
      <c r="B1903" s="10" t="s">
        <v>113</v>
      </c>
      <c r="C1903" s="10">
        <v>16</v>
      </c>
      <c r="D1903" s="10" t="s">
        <v>1420</v>
      </c>
      <c r="E1903" s="41" t="s">
        <v>1421</v>
      </c>
      <c r="F1903" s="41" t="s">
        <v>1421</v>
      </c>
      <c r="G1903" s="7" t="s">
        <v>123</v>
      </c>
      <c r="H1903" s="7">
        <v>15</v>
      </c>
      <c r="I1903" s="10" t="s">
        <v>2481</v>
      </c>
      <c r="J1903" s="10">
        <v>3</v>
      </c>
      <c r="K1903" s="10">
        <v>3</v>
      </c>
      <c r="L1903" s="43">
        <v>5</v>
      </c>
      <c r="M1903" s="43">
        <v>5</v>
      </c>
      <c r="N1903" s="12" t="s">
        <v>1049</v>
      </c>
      <c r="P1903" s="10">
        <v>180</v>
      </c>
      <c r="T1903" s="10">
        <v>90</v>
      </c>
      <c r="V1903" s="45"/>
      <c r="X1903" s="29">
        <v>9</v>
      </c>
      <c r="Y1903" s="54" t="s">
        <v>71</v>
      </c>
    </row>
    <row r="1904" spans="1:27" ht="23.1" customHeight="1" x14ac:dyDescent="0.25">
      <c r="A1904" s="53" t="s">
        <v>1432</v>
      </c>
      <c r="B1904" s="10" t="s">
        <v>113</v>
      </c>
      <c r="C1904" s="10">
        <v>11</v>
      </c>
      <c r="D1904" s="10" t="s">
        <v>1438</v>
      </c>
      <c r="E1904" s="41" t="s">
        <v>1439</v>
      </c>
      <c r="F1904" s="41" t="e">
        <v>#N/A</v>
      </c>
      <c r="G1904" s="42" t="s">
        <v>939</v>
      </c>
      <c r="H1904" s="7">
        <v>5</v>
      </c>
      <c r="I1904" s="10"/>
      <c r="K1904" s="10">
        <v>2</v>
      </c>
      <c r="L1904" s="43">
        <v>26</v>
      </c>
      <c r="M1904" s="43"/>
      <c r="N1904" s="12" t="s">
        <v>108</v>
      </c>
      <c r="V1904" s="45"/>
      <c r="W1904" s="14">
        <v>6</v>
      </c>
      <c r="X1904" s="29">
        <v>6</v>
      </c>
      <c r="Y1904" s="54" t="s">
        <v>71</v>
      </c>
    </row>
    <row r="1905" spans="1:26" ht="23.1" customHeight="1" x14ac:dyDescent="0.25">
      <c r="A1905" s="53" t="s">
        <v>1432</v>
      </c>
      <c r="B1905" s="10" t="s">
        <v>113</v>
      </c>
      <c r="C1905" s="10">
        <v>11</v>
      </c>
      <c r="D1905" s="10" t="s">
        <v>1438</v>
      </c>
      <c r="E1905" s="41" t="s">
        <v>1439</v>
      </c>
      <c r="F1905" s="41" t="e">
        <v>#N/A</v>
      </c>
      <c r="G1905" s="42" t="s">
        <v>939</v>
      </c>
      <c r="H1905" s="7">
        <v>10</v>
      </c>
      <c r="I1905" s="10"/>
      <c r="K1905" s="10">
        <v>3</v>
      </c>
      <c r="L1905" s="43"/>
      <c r="M1905" s="43">
        <v>2</v>
      </c>
      <c r="N1905" s="12" t="s">
        <v>108</v>
      </c>
      <c r="V1905" s="45">
        <v>1</v>
      </c>
      <c r="W1905" s="14">
        <v>6</v>
      </c>
      <c r="X1905" s="29">
        <v>6</v>
      </c>
      <c r="Y1905" s="54" t="s">
        <v>71</v>
      </c>
    </row>
    <row r="1906" spans="1:26" ht="23.1" customHeight="1" x14ac:dyDescent="0.25">
      <c r="A1906" s="53" t="s">
        <v>1432</v>
      </c>
      <c r="B1906" s="10" t="s">
        <v>113</v>
      </c>
      <c r="C1906" s="10">
        <v>107</v>
      </c>
      <c r="D1906" s="10" t="s">
        <v>1275</v>
      </c>
      <c r="E1906" s="41" t="s">
        <v>215</v>
      </c>
      <c r="F1906" s="41" t="s">
        <v>215</v>
      </c>
      <c r="G1906" s="7" t="s">
        <v>154</v>
      </c>
      <c r="H1906" s="7">
        <v>40</v>
      </c>
      <c r="I1906" s="10" t="s">
        <v>2263</v>
      </c>
      <c r="J1906" s="10">
        <v>1.5</v>
      </c>
      <c r="K1906" s="10">
        <v>2.5</v>
      </c>
      <c r="L1906" s="43">
        <v>26</v>
      </c>
      <c r="M1906" s="43">
        <v>23</v>
      </c>
      <c r="N1906" s="12" t="s">
        <v>1463</v>
      </c>
      <c r="P1906" s="10">
        <v>390</v>
      </c>
      <c r="S1906" s="11">
        <v>2</v>
      </c>
      <c r="T1906" s="10">
        <v>60</v>
      </c>
      <c r="V1906" s="45"/>
      <c r="X1906" s="29">
        <v>16.3</v>
      </c>
      <c r="Y1906" s="54" t="s">
        <v>13</v>
      </c>
    </row>
    <row r="1907" spans="1:26" ht="23.1" customHeight="1" x14ac:dyDescent="0.25">
      <c r="A1907" s="53" t="s">
        <v>1432</v>
      </c>
      <c r="B1907" s="10" t="s">
        <v>113</v>
      </c>
      <c r="C1907" s="10">
        <v>78</v>
      </c>
      <c r="D1907" s="10" t="s">
        <v>1423</v>
      </c>
      <c r="E1907" s="41" t="s">
        <v>1424</v>
      </c>
      <c r="F1907" s="41" t="s">
        <v>1424</v>
      </c>
      <c r="G1907" s="7" t="s">
        <v>300</v>
      </c>
      <c r="H1907" s="7">
        <v>20</v>
      </c>
      <c r="I1907" s="10" t="s">
        <v>2268</v>
      </c>
      <c r="K1907" s="10">
        <v>1</v>
      </c>
      <c r="L1907" s="43">
        <v>31</v>
      </c>
      <c r="M1907" s="43"/>
      <c r="N1907" s="12" t="s">
        <v>1425</v>
      </c>
      <c r="P1907" s="10">
        <v>320</v>
      </c>
      <c r="Q1907" s="10">
        <v>60</v>
      </c>
      <c r="S1907" s="11">
        <v>1</v>
      </c>
      <c r="T1907" s="10">
        <v>60</v>
      </c>
      <c r="V1907" s="45">
        <v>1</v>
      </c>
      <c r="X1907" s="29">
        <v>7.3</v>
      </c>
      <c r="Y1907" s="54" t="s">
        <v>5</v>
      </c>
    </row>
    <row r="1908" spans="1:26" ht="23.1" customHeight="1" x14ac:dyDescent="0.25">
      <c r="A1908" s="53" t="s">
        <v>1432</v>
      </c>
      <c r="B1908" s="10" t="s">
        <v>113</v>
      </c>
      <c r="C1908" s="10">
        <v>78</v>
      </c>
      <c r="D1908" s="10" t="s">
        <v>1423</v>
      </c>
      <c r="E1908" s="41" t="s">
        <v>1424</v>
      </c>
      <c r="F1908" s="41" t="s">
        <v>1424</v>
      </c>
      <c r="G1908" s="7" t="s">
        <v>300</v>
      </c>
      <c r="H1908" s="7">
        <v>25</v>
      </c>
      <c r="I1908" s="10" t="s">
        <v>2277</v>
      </c>
      <c r="K1908" s="10">
        <v>2</v>
      </c>
      <c r="L1908" s="43">
        <v>37</v>
      </c>
      <c r="M1908" s="43">
        <v>5</v>
      </c>
      <c r="N1908" s="12" t="s">
        <v>1425</v>
      </c>
      <c r="P1908" s="10">
        <v>280</v>
      </c>
      <c r="Q1908" s="10">
        <v>60</v>
      </c>
      <c r="S1908" s="11">
        <v>2</v>
      </c>
      <c r="T1908" s="10">
        <v>60</v>
      </c>
      <c r="V1908" s="45">
        <v>1</v>
      </c>
      <c r="X1908" s="29">
        <v>12.3</v>
      </c>
      <c r="Y1908" s="54" t="s">
        <v>5</v>
      </c>
    </row>
    <row r="1909" spans="1:26" ht="23.1" customHeight="1" x14ac:dyDescent="0.25">
      <c r="A1909" s="53" t="s">
        <v>1432</v>
      </c>
      <c r="B1909" s="10" t="s">
        <v>113</v>
      </c>
      <c r="C1909" s="10">
        <v>47</v>
      </c>
      <c r="D1909" s="10" t="s">
        <v>978</v>
      </c>
      <c r="E1909" s="41" t="s">
        <v>979</v>
      </c>
      <c r="F1909" s="41" t="s">
        <v>979</v>
      </c>
      <c r="G1909" s="7" t="s">
        <v>123</v>
      </c>
      <c r="H1909" s="7">
        <v>30</v>
      </c>
      <c r="I1909" s="10" t="s">
        <v>2199</v>
      </c>
      <c r="J1909" s="10">
        <v>1</v>
      </c>
      <c r="K1909" s="10">
        <v>1.2</v>
      </c>
      <c r="L1909" s="43">
        <v>37</v>
      </c>
      <c r="M1909" s="43">
        <v>5</v>
      </c>
      <c r="N1909" s="12" t="s">
        <v>1484</v>
      </c>
      <c r="P1909" s="10">
        <v>720</v>
      </c>
      <c r="Q1909" s="10">
        <v>120</v>
      </c>
      <c r="S1909" s="11">
        <v>2</v>
      </c>
      <c r="T1909" s="10">
        <v>90</v>
      </c>
      <c r="V1909" s="45">
        <v>1</v>
      </c>
      <c r="X1909" s="29">
        <v>19.899999999999999</v>
      </c>
      <c r="Y1909" s="54" t="s">
        <v>22</v>
      </c>
    </row>
    <row r="1910" spans="1:26" ht="23.1" customHeight="1" x14ac:dyDescent="0.25">
      <c r="A1910" s="53" t="s">
        <v>1432</v>
      </c>
      <c r="B1910" s="10" t="s">
        <v>113</v>
      </c>
      <c r="C1910" s="10">
        <v>23</v>
      </c>
      <c r="D1910" s="10" t="s">
        <v>498</v>
      </c>
      <c r="E1910" s="41" t="s">
        <v>499</v>
      </c>
      <c r="F1910" s="41" t="s">
        <v>499</v>
      </c>
      <c r="G1910" s="7" t="s">
        <v>118</v>
      </c>
      <c r="H1910" s="7">
        <v>15</v>
      </c>
      <c r="I1910" s="10" t="s">
        <v>2260</v>
      </c>
      <c r="J1910" s="10">
        <v>1.5</v>
      </c>
      <c r="K1910" s="10">
        <v>1.5</v>
      </c>
      <c r="L1910" s="43">
        <v>28</v>
      </c>
      <c r="M1910" s="43">
        <v>26</v>
      </c>
      <c r="N1910" s="12" t="s">
        <v>1485</v>
      </c>
      <c r="P1910" s="10">
        <v>420</v>
      </c>
      <c r="Q1910" s="10">
        <v>120</v>
      </c>
      <c r="S1910" s="11">
        <v>1</v>
      </c>
      <c r="T1910" s="10">
        <v>180</v>
      </c>
      <c r="V1910" s="45"/>
      <c r="X1910" s="29">
        <v>12.5</v>
      </c>
      <c r="Y1910" s="54" t="s">
        <v>22</v>
      </c>
    </row>
    <row r="1911" spans="1:26" ht="23.1" customHeight="1" x14ac:dyDescent="0.25">
      <c r="A1911" s="53" t="s">
        <v>1432</v>
      </c>
      <c r="B1911" s="10" t="s">
        <v>113</v>
      </c>
      <c r="C1911" s="10">
        <v>23</v>
      </c>
      <c r="D1911" s="10" t="s">
        <v>498</v>
      </c>
      <c r="E1911" s="41" t="s">
        <v>499</v>
      </c>
      <c r="F1911" s="41" t="s">
        <v>499</v>
      </c>
      <c r="G1911" s="7" t="s">
        <v>118</v>
      </c>
      <c r="H1911" s="7">
        <v>15</v>
      </c>
      <c r="I1911" s="10" t="s">
        <v>2260</v>
      </c>
      <c r="J1911" s="10">
        <v>0.5</v>
      </c>
      <c r="K1911" s="10">
        <v>0.5</v>
      </c>
      <c r="L1911" s="43">
        <v>23</v>
      </c>
      <c r="M1911" s="43"/>
      <c r="N1911" s="12" t="s">
        <v>506</v>
      </c>
      <c r="P1911" s="10">
        <v>420</v>
      </c>
      <c r="Q1911" s="10">
        <v>120</v>
      </c>
      <c r="S1911" s="11">
        <v>1</v>
      </c>
      <c r="T1911" s="10">
        <v>180</v>
      </c>
      <c r="V1911" s="45"/>
      <c r="X1911" s="29">
        <v>5.5</v>
      </c>
      <c r="Y1911" s="54" t="s">
        <v>22</v>
      </c>
    </row>
    <row r="1912" spans="1:26" ht="23.1" customHeight="1" x14ac:dyDescent="0.25">
      <c r="A1912" s="53" t="s">
        <v>1432</v>
      </c>
      <c r="B1912" s="10" t="s">
        <v>113</v>
      </c>
      <c r="C1912" s="10">
        <v>12</v>
      </c>
      <c r="D1912" s="10" t="s">
        <v>248</v>
      </c>
      <c r="E1912" s="41" t="s">
        <v>249</v>
      </c>
      <c r="F1912" s="41" t="s">
        <v>249</v>
      </c>
      <c r="G1912" s="7" t="s">
        <v>250</v>
      </c>
      <c r="H1912" s="7">
        <v>15</v>
      </c>
      <c r="I1912" s="10" t="s">
        <v>1903</v>
      </c>
      <c r="J1912" s="10">
        <v>1</v>
      </c>
      <c r="K1912" s="10">
        <v>1.5</v>
      </c>
      <c r="L1912" s="43">
        <v>28</v>
      </c>
      <c r="M1912" s="43">
        <v>23</v>
      </c>
      <c r="N1912" s="12" t="s">
        <v>1486</v>
      </c>
      <c r="P1912" s="10">
        <v>600</v>
      </c>
      <c r="T1912" s="10">
        <v>120</v>
      </c>
      <c r="V1912" s="45"/>
      <c r="X1912" s="29">
        <v>15</v>
      </c>
      <c r="Y1912" s="54" t="s">
        <v>10</v>
      </c>
    </row>
    <row r="1913" spans="1:26" ht="23.1" customHeight="1" x14ac:dyDescent="0.25">
      <c r="A1913" s="53" t="s">
        <v>1432</v>
      </c>
      <c r="B1913" s="10" t="s">
        <v>113</v>
      </c>
      <c r="C1913" s="10">
        <v>56</v>
      </c>
      <c r="D1913" s="10" t="s">
        <v>1397</v>
      </c>
      <c r="E1913" s="41" t="s">
        <v>1398</v>
      </c>
      <c r="F1913" s="41" t="s">
        <v>1398</v>
      </c>
      <c r="G1913" s="7" t="s">
        <v>118</v>
      </c>
      <c r="H1913" s="7">
        <v>25</v>
      </c>
      <c r="I1913" s="10" t="s">
        <v>2054</v>
      </c>
      <c r="J1913" s="10">
        <v>3</v>
      </c>
      <c r="K1913" s="10">
        <v>4</v>
      </c>
      <c r="L1913" s="43">
        <v>37</v>
      </c>
      <c r="M1913" s="43">
        <v>37</v>
      </c>
      <c r="N1913" s="12" t="s">
        <v>1487</v>
      </c>
      <c r="P1913" s="10">
        <v>160</v>
      </c>
      <c r="T1913" s="10">
        <v>60</v>
      </c>
      <c r="V1913" s="45"/>
      <c r="X1913" s="29">
        <v>10.7</v>
      </c>
      <c r="Y1913" s="54" t="s">
        <v>18</v>
      </c>
    </row>
    <row r="1914" spans="1:26" ht="23.1" customHeight="1" x14ac:dyDescent="0.25">
      <c r="A1914" s="53" t="s">
        <v>1432</v>
      </c>
      <c r="B1914" s="10" t="s">
        <v>113</v>
      </c>
      <c r="C1914" s="10">
        <v>56</v>
      </c>
      <c r="D1914" s="10" t="s">
        <v>1397</v>
      </c>
      <c r="E1914" s="41" t="s">
        <v>1398</v>
      </c>
      <c r="F1914" s="41" t="s">
        <v>1398</v>
      </c>
      <c r="G1914" s="7" t="s">
        <v>118</v>
      </c>
      <c r="H1914" s="7">
        <v>30</v>
      </c>
      <c r="I1914" s="10" t="s">
        <v>1863</v>
      </c>
      <c r="J1914" s="10">
        <v>1</v>
      </c>
      <c r="K1914" s="10">
        <v>3</v>
      </c>
      <c r="L1914" s="43">
        <v>37</v>
      </c>
      <c r="M1914" s="43">
        <v>9</v>
      </c>
      <c r="N1914" s="12" t="s">
        <v>1488</v>
      </c>
      <c r="P1914" s="10">
        <v>75</v>
      </c>
      <c r="T1914" s="10">
        <v>90</v>
      </c>
      <c r="V1914" s="45">
        <v>1</v>
      </c>
      <c r="X1914" s="29">
        <v>5.3</v>
      </c>
      <c r="Y1914" s="54" t="s">
        <v>18</v>
      </c>
    </row>
    <row r="1915" spans="1:26" ht="23.1" customHeight="1" x14ac:dyDescent="0.25">
      <c r="A1915" s="53" t="s">
        <v>1432</v>
      </c>
      <c r="B1915" s="10" t="s">
        <v>113</v>
      </c>
      <c r="C1915" s="10">
        <v>22</v>
      </c>
      <c r="D1915" s="10" t="s">
        <v>611</v>
      </c>
      <c r="E1915" s="41" t="s">
        <v>612</v>
      </c>
      <c r="F1915" s="41" t="s">
        <v>612</v>
      </c>
      <c r="G1915" s="7" t="s">
        <v>154</v>
      </c>
      <c r="H1915" s="7">
        <v>30</v>
      </c>
      <c r="I1915" s="10" t="s">
        <v>1992</v>
      </c>
      <c r="J1915" s="10">
        <v>0.3</v>
      </c>
      <c r="K1915" s="10">
        <v>0.15</v>
      </c>
      <c r="L1915" s="43">
        <v>28</v>
      </c>
      <c r="M1915" s="43"/>
      <c r="N1915" s="12" t="s">
        <v>613</v>
      </c>
      <c r="P1915" s="10">
        <v>4800</v>
      </c>
      <c r="Q1915" s="10">
        <v>180</v>
      </c>
      <c r="S1915" s="11">
        <v>1</v>
      </c>
      <c r="T1915" s="10">
        <v>180</v>
      </c>
      <c r="V1915" s="45">
        <v>1</v>
      </c>
      <c r="X1915" s="29">
        <v>18</v>
      </c>
      <c r="Y1915" s="54" t="s">
        <v>49</v>
      </c>
    </row>
    <row r="1916" spans="1:26" ht="23.1" customHeight="1" x14ac:dyDescent="0.25">
      <c r="A1916" s="53" t="s">
        <v>1489</v>
      </c>
      <c r="B1916" s="10" t="s">
        <v>110</v>
      </c>
      <c r="C1916" s="10">
        <v>107</v>
      </c>
      <c r="D1916" s="10" t="s">
        <v>1275</v>
      </c>
      <c r="E1916" s="41" t="s">
        <v>215</v>
      </c>
      <c r="F1916" s="41" t="s">
        <v>215</v>
      </c>
      <c r="G1916" s="7" t="s">
        <v>154</v>
      </c>
      <c r="H1916" s="7">
        <v>40</v>
      </c>
      <c r="I1916" s="10" t="s">
        <v>2263</v>
      </c>
      <c r="J1916" s="10">
        <v>1.5</v>
      </c>
      <c r="K1916" s="10">
        <v>2</v>
      </c>
      <c r="L1916" s="43">
        <v>28</v>
      </c>
      <c r="M1916" s="43">
        <v>28</v>
      </c>
      <c r="N1916" s="12" t="s">
        <v>1490</v>
      </c>
      <c r="P1916" s="10">
        <v>390</v>
      </c>
      <c r="S1916" s="11">
        <v>2</v>
      </c>
      <c r="T1916" s="10">
        <v>60</v>
      </c>
      <c r="V1916" s="45"/>
      <c r="X1916" s="29">
        <v>13</v>
      </c>
      <c r="Y1916" s="54" t="s">
        <v>45</v>
      </c>
    </row>
    <row r="1917" spans="1:26" ht="23.1" customHeight="1" x14ac:dyDescent="0.25">
      <c r="A1917" s="53" t="s">
        <v>1489</v>
      </c>
      <c r="B1917" s="10" t="s">
        <v>110</v>
      </c>
      <c r="C1917" s="10">
        <v>22</v>
      </c>
      <c r="D1917" s="10" t="s">
        <v>611</v>
      </c>
      <c r="E1917" s="41" t="s">
        <v>612</v>
      </c>
      <c r="F1917" s="41" t="s">
        <v>612</v>
      </c>
      <c r="G1917" s="7" t="s">
        <v>154</v>
      </c>
      <c r="H1917" s="7">
        <v>30</v>
      </c>
      <c r="I1917" s="10" t="s">
        <v>1992</v>
      </c>
      <c r="J1917" s="10">
        <v>0.3</v>
      </c>
      <c r="K1917" s="10">
        <v>0.15</v>
      </c>
      <c r="L1917" s="43">
        <v>28</v>
      </c>
      <c r="M1917" s="43"/>
      <c r="N1917" s="12" t="s">
        <v>613</v>
      </c>
      <c r="P1917" s="10">
        <v>4800</v>
      </c>
      <c r="Q1917" s="10">
        <v>180</v>
      </c>
      <c r="T1917" s="10">
        <v>180</v>
      </c>
      <c r="V1917" s="45"/>
      <c r="X1917" s="29">
        <v>12</v>
      </c>
      <c r="Y1917" s="54" t="s">
        <v>58</v>
      </c>
    </row>
    <row r="1918" spans="1:26" ht="23.1" customHeight="1" x14ac:dyDescent="0.25">
      <c r="A1918" s="53" t="s">
        <v>1489</v>
      </c>
      <c r="B1918" s="10" t="s">
        <v>110</v>
      </c>
      <c r="C1918" s="10">
        <v>69</v>
      </c>
      <c r="D1918" s="10" t="s">
        <v>937</v>
      </c>
      <c r="E1918" s="41" t="s">
        <v>938</v>
      </c>
      <c r="F1918" s="41" t="s">
        <v>938</v>
      </c>
      <c r="G1918" s="42" t="s">
        <v>939</v>
      </c>
      <c r="H1918" s="7">
        <v>60</v>
      </c>
      <c r="I1918" s="10" t="s">
        <v>2203</v>
      </c>
      <c r="J1918" s="10">
        <v>0.3</v>
      </c>
      <c r="K1918" s="10">
        <v>0.4</v>
      </c>
      <c r="L1918" s="43">
        <v>5</v>
      </c>
      <c r="M1918" s="43"/>
      <c r="N1918" s="12" t="s">
        <v>532</v>
      </c>
      <c r="P1918" s="10">
        <v>900</v>
      </c>
      <c r="Q1918" s="10">
        <v>90</v>
      </c>
      <c r="T1918" s="10">
        <v>180</v>
      </c>
      <c r="V1918" s="45"/>
      <c r="W1918" s="14">
        <v>2</v>
      </c>
      <c r="X1918" s="29">
        <v>8</v>
      </c>
      <c r="Y1918" s="54" t="s">
        <v>54</v>
      </c>
      <c r="Z1918" t="s">
        <v>1357</v>
      </c>
    </row>
    <row r="1919" spans="1:26" ht="23.1" customHeight="1" x14ac:dyDescent="0.25">
      <c r="A1919" s="53" t="s">
        <v>1489</v>
      </c>
      <c r="B1919" s="10" t="s">
        <v>110</v>
      </c>
      <c r="C1919" s="10">
        <v>69</v>
      </c>
      <c r="D1919" s="10" t="s">
        <v>484</v>
      </c>
      <c r="E1919" s="41" t="s">
        <v>485</v>
      </c>
      <c r="F1919" s="41" t="s">
        <v>485</v>
      </c>
      <c r="G1919" s="7" t="s">
        <v>300</v>
      </c>
      <c r="H1919" s="7">
        <v>30</v>
      </c>
      <c r="I1919" s="10" t="s">
        <v>1921</v>
      </c>
      <c r="J1919" s="10">
        <v>0.6</v>
      </c>
      <c r="K1919" s="10">
        <v>0.2</v>
      </c>
      <c r="L1919" s="43">
        <v>28</v>
      </c>
      <c r="M1919" s="43"/>
      <c r="N1919" s="12" t="s">
        <v>456</v>
      </c>
      <c r="P1919" s="10">
        <v>960</v>
      </c>
      <c r="Q1919" s="10">
        <v>120</v>
      </c>
      <c r="S1919" s="11">
        <v>1</v>
      </c>
      <c r="T1919" s="10">
        <v>180</v>
      </c>
      <c r="V1919" s="45">
        <v>1</v>
      </c>
      <c r="W1919" s="10">
        <v>6.5</v>
      </c>
      <c r="X1919" s="29">
        <v>14.7</v>
      </c>
      <c r="Y1919" s="54" t="s">
        <v>54</v>
      </c>
      <c r="Z1919" t="s">
        <v>1491</v>
      </c>
    </row>
    <row r="1920" spans="1:26" ht="23.1" customHeight="1" x14ac:dyDescent="0.25">
      <c r="A1920" s="53" t="s">
        <v>1489</v>
      </c>
      <c r="B1920" s="10" t="s">
        <v>110</v>
      </c>
      <c r="C1920" s="10">
        <v>84</v>
      </c>
      <c r="D1920" s="10" t="s">
        <v>1047</v>
      </c>
      <c r="E1920" s="41" t="s">
        <v>424</v>
      </c>
      <c r="F1920" s="41" t="s">
        <v>424</v>
      </c>
      <c r="G1920" s="7" t="s">
        <v>107</v>
      </c>
      <c r="H1920" s="7">
        <v>40</v>
      </c>
      <c r="I1920" s="10" t="s">
        <v>2096</v>
      </c>
      <c r="J1920" s="10">
        <v>1.5</v>
      </c>
      <c r="K1920" s="10">
        <v>1.3</v>
      </c>
      <c r="L1920" s="43">
        <v>5</v>
      </c>
      <c r="M1920" s="43">
        <v>23</v>
      </c>
      <c r="N1920" s="12" t="s">
        <v>1492</v>
      </c>
      <c r="P1920" s="10">
        <v>360</v>
      </c>
      <c r="Q1920" s="10">
        <v>30</v>
      </c>
      <c r="S1920" s="11">
        <v>1</v>
      </c>
      <c r="T1920" s="10">
        <v>120</v>
      </c>
      <c r="V1920" s="45"/>
      <c r="X1920" s="29">
        <v>8.3000000000000007</v>
      </c>
      <c r="Y1920" s="54" t="s">
        <v>54</v>
      </c>
    </row>
    <row r="1921" spans="1:27" ht="23.1" customHeight="1" x14ac:dyDescent="0.25">
      <c r="A1921" s="53" t="s">
        <v>1489</v>
      </c>
      <c r="B1921" s="10" t="s">
        <v>110</v>
      </c>
      <c r="C1921" s="10">
        <v>84</v>
      </c>
      <c r="D1921" s="10" t="s">
        <v>1047</v>
      </c>
      <c r="E1921" s="41" t="s">
        <v>424</v>
      </c>
      <c r="F1921" s="41" t="s">
        <v>424</v>
      </c>
      <c r="G1921" s="7" t="s">
        <v>107</v>
      </c>
      <c r="H1921" s="7">
        <v>38</v>
      </c>
      <c r="I1921" s="10"/>
      <c r="K1921" s="10">
        <v>1</v>
      </c>
      <c r="L1921" s="43">
        <v>5</v>
      </c>
      <c r="M1921" s="43">
        <v>23</v>
      </c>
      <c r="N1921" s="12" t="s">
        <v>1440</v>
      </c>
      <c r="S1921" s="11">
        <v>1</v>
      </c>
      <c r="V1921" s="45"/>
      <c r="W1921" s="14">
        <v>5</v>
      </c>
      <c r="X1921" s="32">
        <v>5</v>
      </c>
      <c r="Y1921" s="54" t="s">
        <v>54</v>
      </c>
      <c r="Z1921" t="s">
        <v>1493</v>
      </c>
    </row>
    <row r="1922" spans="1:27" ht="23.1" customHeight="1" x14ac:dyDescent="0.25">
      <c r="A1922" s="53" t="s">
        <v>1489</v>
      </c>
      <c r="B1922" s="10" t="s">
        <v>110</v>
      </c>
      <c r="C1922" s="10">
        <v>91</v>
      </c>
      <c r="D1922" s="10" t="s">
        <v>254</v>
      </c>
      <c r="E1922" s="41" t="s">
        <v>255</v>
      </c>
      <c r="F1922" s="41" t="s">
        <v>1016</v>
      </c>
      <c r="G1922" s="7" t="s">
        <v>375</v>
      </c>
      <c r="H1922" s="7">
        <v>40</v>
      </c>
      <c r="I1922" s="10" t="s">
        <v>2110</v>
      </c>
      <c r="J1922" s="10">
        <v>0.4</v>
      </c>
      <c r="K1922" s="10">
        <v>0.4</v>
      </c>
      <c r="L1922" s="43">
        <v>28</v>
      </c>
      <c r="M1922" s="43"/>
      <c r="N1922" s="12" t="s">
        <v>475</v>
      </c>
      <c r="P1922" s="10">
        <v>3000</v>
      </c>
      <c r="Q1922" s="10">
        <v>90</v>
      </c>
      <c r="T1922" s="10">
        <v>120</v>
      </c>
      <c r="V1922" s="45"/>
      <c r="X1922" s="29">
        <v>20</v>
      </c>
      <c r="Y1922" s="54" t="s">
        <v>54</v>
      </c>
    </row>
    <row r="1923" spans="1:27" ht="23.1" customHeight="1" x14ac:dyDescent="0.25">
      <c r="A1923" s="53" t="s">
        <v>1489</v>
      </c>
      <c r="B1923" s="10" t="s">
        <v>110</v>
      </c>
      <c r="C1923" s="10">
        <v>24</v>
      </c>
      <c r="D1923" s="10" t="s">
        <v>776</v>
      </c>
      <c r="E1923" s="41" t="s">
        <v>777</v>
      </c>
      <c r="F1923" s="41" t="s">
        <v>777</v>
      </c>
      <c r="G1923" s="7" t="s">
        <v>107</v>
      </c>
      <c r="H1923" s="7">
        <v>25</v>
      </c>
      <c r="I1923" s="10" t="s">
        <v>2035</v>
      </c>
      <c r="K1923" s="10">
        <v>0.5</v>
      </c>
      <c r="L1923" s="43">
        <v>28</v>
      </c>
      <c r="M1923" s="43">
        <v>23</v>
      </c>
      <c r="N1923" s="12" t="s">
        <v>684</v>
      </c>
      <c r="P1923" s="10">
        <v>840</v>
      </c>
      <c r="Q1923" s="10">
        <v>120</v>
      </c>
      <c r="S1923" s="11">
        <v>1</v>
      </c>
      <c r="T1923" s="10">
        <v>150</v>
      </c>
      <c r="V1923" s="45">
        <v>1</v>
      </c>
      <c r="W1923" s="10">
        <v>3</v>
      </c>
      <c r="X1923" s="29">
        <v>14.5</v>
      </c>
      <c r="Y1923" s="54" t="s">
        <v>54</v>
      </c>
      <c r="Z1923" t="s">
        <v>1494</v>
      </c>
    </row>
    <row r="1924" spans="1:27" ht="23.1" customHeight="1" x14ac:dyDescent="0.25">
      <c r="A1924" s="53" t="s">
        <v>1489</v>
      </c>
      <c r="B1924" s="10" t="s">
        <v>110</v>
      </c>
      <c r="C1924" s="10">
        <v>119</v>
      </c>
      <c r="D1924" s="10" t="s">
        <v>1097</v>
      </c>
      <c r="E1924" s="41" t="s">
        <v>1098</v>
      </c>
      <c r="F1924" s="41" t="s">
        <v>1098</v>
      </c>
      <c r="G1924" s="7" t="s">
        <v>250</v>
      </c>
      <c r="H1924" s="7">
        <v>55</v>
      </c>
      <c r="I1924" s="10" t="s">
        <v>2276</v>
      </c>
      <c r="J1924" s="10">
        <v>3</v>
      </c>
      <c r="K1924" s="10">
        <v>2.7</v>
      </c>
      <c r="L1924" s="43">
        <v>23</v>
      </c>
      <c r="M1924" s="43">
        <v>31</v>
      </c>
      <c r="N1924" s="12" t="s">
        <v>1132</v>
      </c>
      <c r="P1924" s="10">
        <v>540</v>
      </c>
      <c r="Q1924" s="10">
        <v>60</v>
      </c>
      <c r="S1924" s="11">
        <v>3</v>
      </c>
      <c r="T1924" s="10">
        <v>90</v>
      </c>
      <c r="V1924" s="45"/>
      <c r="X1924" s="29">
        <v>27.3</v>
      </c>
      <c r="Y1924" s="54" t="s">
        <v>54</v>
      </c>
    </row>
    <row r="1925" spans="1:27" ht="23.1" customHeight="1" x14ac:dyDescent="0.25">
      <c r="A1925" s="53" t="s">
        <v>1489</v>
      </c>
      <c r="B1925" s="10" t="s">
        <v>110</v>
      </c>
      <c r="C1925" s="10">
        <v>121</v>
      </c>
      <c r="D1925" s="10" t="s">
        <v>288</v>
      </c>
      <c r="E1925" s="41" t="s">
        <v>255</v>
      </c>
      <c r="F1925" s="41" t="s">
        <v>1532</v>
      </c>
      <c r="G1925" s="7" t="s">
        <v>250</v>
      </c>
      <c r="H1925" s="7">
        <v>50</v>
      </c>
      <c r="I1925" s="10" t="s">
        <v>2261</v>
      </c>
      <c r="J1925" s="10">
        <v>0.4</v>
      </c>
      <c r="K1925" s="10">
        <v>0.4</v>
      </c>
      <c r="L1925" s="43">
        <v>28</v>
      </c>
      <c r="M1925" s="43">
        <v>23</v>
      </c>
      <c r="N1925" s="12" t="s">
        <v>155</v>
      </c>
      <c r="P1925" s="10">
        <v>3000</v>
      </c>
      <c r="Q1925" s="10">
        <v>90</v>
      </c>
      <c r="S1925" s="11">
        <v>1</v>
      </c>
      <c r="T1925" s="10">
        <v>150</v>
      </c>
      <c r="V1925" s="45"/>
      <c r="X1925" s="29">
        <v>21.5</v>
      </c>
      <c r="Y1925" s="54" t="s">
        <v>54</v>
      </c>
    </row>
    <row r="1926" spans="1:27" ht="23.1" customHeight="1" x14ac:dyDescent="0.25">
      <c r="A1926" s="53" t="s">
        <v>1489</v>
      </c>
      <c r="B1926" s="10" t="s">
        <v>110</v>
      </c>
      <c r="C1926" s="10">
        <v>108</v>
      </c>
      <c r="D1926" s="10" t="s">
        <v>889</v>
      </c>
      <c r="E1926" s="41" t="s">
        <v>887</v>
      </c>
      <c r="F1926" s="41" t="s">
        <v>887</v>
      </c>
      <c r="G1926" s="7" t="s">
        <v>154</v>
      </c>
      <c r="H1926" s="7">
        <v>55</v>
      </c>
      <c r="I1926" s="10" t="s">
        <v>2278</v>
      </c>
      <c r="J1926" s="10">
        <v>0.5</v>
      </c>
      <c r="K1926" s="10">
        <v>0.2</v>
      </c>
      <c r="L1926" s="43">
        <v>9</v>
      </c>
      <c r="M1926" s="43"/>
      <c r="N1926" s="12" t="s">
        <v>159</v>
      </c>
      <c r="P1926" s="10">
        <v>1440</v>
      </c>
      <c r="Q1926" s="10">
        <v>60</v>
      </c>
      <c r="T1926" s="10">
        <v>90</v>
      </c>
      <c r="V1926" s="45"/>
      <c r="X1926" s="29">
        <v>4.8</v>
      </c>
      <c r="Y1926" s="54" t="s">
        <v>45</v>
      </c>
    </row>
    <row r="1927" spans="1:27" ht="23.1" customHeight="1" x14ac:dyDescent="0.25">
      <c r="A1927" s="53" t="s">
        <v>1489</v>
      </c>
      <c r="B1927" s="10" t="s">
        <v>110</v>
      </c>
      <c r="C1927" s="10">
        <v>108</v>
      </c>
      <c r="D1927" s="10" t="s">
        <v>886</v>
      </c>
      <c r="E1927" s="41" t="s">
        <v>887</v>
      </c>
      <c r="F1927" s="41" t="s">
        <v>887</v>
      </c>
      <c r="G1927" s="7" t="s">
        <v>154</v>
      </c>
      <c r="H1927" s="7">
        <v>55</v>
      </c>
      <c r="I1927" s="10" t="s">
        <v>2278</v>
      </c>
      <c r="K1927" s="10">
        <v>0.5</v>
      </c>
      <c r="L1927" s="43">
        <v>28</v>
      </c>
      <c r="M1927" s="43"/>
      <c r="N1927" s="12" t="s">
        <v>159</v>
      </c>
      <c r="P1927" s="10">
        <v>1440</v>
      </c>
      <c r="Q1927" s="10">
        <v>60</v>
      </c>
      <c r="S1927" s="11">
        <v>1</v>
      </c>
      <c r="T1927" s="10">
        <v>90</v>
      </c>
      <c r="V1927" s="45">
        <v>1</v>
      </c>
      <c r="W1927" s="10">
        <v>2</v>
      </c>
      <c r="X1927" s="29">
        <v>16.5</v>
      </c>
      <c r="Y1927" s="54" t="s">
        <v>45</v>
      </c>
      <c r="Z1927" t="s">
        <v>1245</v>
      </c>
      <c r="AA1927" s="1" t="s">
        <v>238</v>
      </c>
    </row>
    <row r="1928" spans="1:27" ht="23.1" customHeight="1" x14ac:dyDescent="0.25">
      <c r="A1928" s="53" t="s">
        <v>1489</v>
      </c>
      <c r="B1928" s="10" t="s">
        <v>110</v>
      </c>
      <c r="C1928" s="10">
        <v>23</v>
      </c>
      <c r="D1928" s="10" t="s">
        <v>498</v>
      </c>
      <c r="E1928" s="41" t="s">
        <v>499</v>
      </c>
      <c r="F1928" s="41" t="s">
        <v>499</v>
      </c>
      <c r="G1928" s="7" t="s">
        <v>118</v>
      </c>
      <c r="H1928" s="7">
        <v>15</v>
      </c>
      <c r="I1928" s="10" t="s">
        <v>2476</v>
      </c>
      <c r="J1928" s="10">
        <v>1</v>
      </c>
      <c r="K1928" s="10">
        <v>1.5</v>
      </c>
      <c r="L1928" s="43">
        <v>23</v>
      </c>
      <c r="M1928" s="43"/>
      <c r="N1928" s="12" t="s">
        <v>1495</v>
      </c>
      <c r="P1928" s="10">
        <v>420</v>
      </c>
      <c r="Q1928" s="10">
        <v>120</v>
      </c>
      <c r="S1928" s="11">
        <v>1</v>
      </c>
      <c r="T1928" s="10">
        <v>180</v>
      </c>
      <c r="V1928" s="45"/>
      <c r="X1928" s="29">
        <v>12.5</v>
      </c>
      <c r="Y1928" s="54" t="s">
        <v>33</v>
      </c>
    </row>
    <row r="1929" spans="1:27" ht="23.1" customHeight="1" x14ac:dyDescent="0.25">
      <c r="A1929" s="53" t="s">
        <v>1489</v>
      </c>
      <c r="B1929" s="10" t="s">
        <v>110</v>
      </c>
      <c r="C1929" s="10">
        <v>23</v>
      </c>
      <c r="D1929" s="10" t="s">
        <v>498</v>
      </c>
      <c r="E1929" s="41" t="s">
        <v>499</v>
      </c>
      <c r="F1929" s="41" t="s">
        <v>499</v>
      </c>
      <c r="G1929" s="7" t="s">
        <v>118</v>
      </c>
      <c r="H1929" s="7">
        <v>25</v>
      </c>
      <c r="I1929" s="10" t="s">
        <v>2054</v>
      </c>
      <c r="J1929" s="10">
        <v>1</v>
      </c>
      <c r="K1929" s="10">
        <v>1</v>
      </c>
      <c r="L1929" s="43">
        <v>28</v>
      </c>
      <c r="M1929" s="43">
        <v>28</v>
      </c>
      <c r="N1929" s="12" t="s">
        <v>222</v>
      </c>
      <c r="P1929" s="10">
        <v>180</v>
      </c>
      <c r="Q1929" s="10">
        <v>120</v>
      </c>
      <c r="S1929" s="11">
        <v>1</v>
      </c>
      <c r="T1929" s="10">
        <v>120</v>
      </c>
      <c r="V1929" s="45">
        <v>1</v>
      </c>
      <c r="X1929" s="29">
        <v>7</v>
      </c>
      <c r="Y1929" s="54" t="s">
        <v>33</v>
      </c>
    </row>
    <row r="1930" spans="1:27" ht="23.1" customHeight="1" x14ac:dyDescent="0.25">
      <c r="A1930" s="53" t="s">
        <v>1489</v>
      </c>
      <c r="B1930" s="10" t="s">
        <v>110</v>
      </c>
      <c r="C1930" s="10">
        <v>47</v>
      </c>
      <c r="D1930" s="10" t="s">
        <v>978</v>
      </c>
      <c r="E1930" s="41" t="s">
        <v>979</v>
      </c>
      <c r="F1930" s="41" t="s">
        <v>979</v>
      </c>
      <c r="G1930" s="7" t="s">
        <v>123</v>
      </c>
      <c r="H1930" s="7">
        <v>30</v>
      </c>
      <c r="I1930" s="10" t="s">
        <v>2199</v>
      </c>
      <c r="J1930" s="10">
        <v>1</v>
      </c>
      <c r="K1930" s="10">
        <v>0.8</v>
      </c>
      <c r="L1930" s="43">
        <v>5</v>
      </c>
      <c r="M1930" s="43"/>
      <c r="N1930" s="12" t="s">
        <v>1445</v>
      </c>
      <c r="P1930" s="10">
        <v>720</v>
      </c>
      <c r="Q1930" s="10">
        <v>120</v>
      </c>
      <c r="T1930" s="10">
        <v>90</v>
      </c>
      <c r="V1930" s="45"/>
      <c r="X1930" s="29">
        <v>9.6</v>
      </c>
      <c r="Y1930" s="54" t="s">
        <v>33</v>
      </c>
    </row>
    <row r="1931" spans="1:27" ht="23.1" customHeight="1" x14ac:dyDescent="0.25">
      <c r="A1931" s="53" t="s">
        <v>1489</v>
      </c>
      <c r="B1931" s="10" t="s">
        <v>110</v>
      </c>
      <c r="C1931" s="10">
        <v>47</v>
      </c>
      <c r="D1931" s="10" t="s">
        <v>978</v>
      </c>
      <c r="E1931" s="41" t="s">
        <v>979</v>
      </c>
      <c r="F1931" s="41" t="s">
        <v>979</v>
      </c>
      <c r="G1931" s="7" t="s">
        <v>123</v>
      </c>
      <c r="H1931" s="7">
        <v>30</v>
      </c>
      <c r="I1931" s="10" t="s">
        <v>2199</v>
      </c>
      <c r="K1931" s="10">
        <v>0.9</v>
      </c>
      <c r="L1931" s="43">
        <v>28</v>
      </c>
      <c r="M1931" s="43"/>
      <c r="N1931" s="12" t="s">
        <v>1445</v>
      </c>
      <c r="P1931" s="10">
        <v>720</v>
      </c>
      <c r="Q1931" s="10">
        <v>120</v>
      </c>
      <c r="S1931" s="11">
        <v>1</v>
      </c>
      <c r="T1931" s="10">
        <v>90</v>
      </c>
      <c r="V1931" s="45"/>
      <c r="X1931" s="29">
        <v>12.8</v>
      </c>
      <c r="Y1931" s="54" t="s">
        <v>33</v>
      </c>
    </row>
    <row r="1932" spans="1:27" ht="23.1" customHeight="1" x14ac:dyDescent="0.25">
      <c r="A1932" s="53" t="s">
        <v>1489</v>
      </c>
      <c r="B1932" s="10" t="s">
        <v>110</v>
      </c>
      <c r="C1932" s="10">
        <v>17</v>
      </c>
      <c r="D1932" s="10" t="s">
        <v>1468</v>
      </c>
      <c r="E1932" s="41" t="s">
        <v>1469</v>
      </c>
      <c r="F1932" s="41" t="s">
        <v>1469</v>
      </c>
      <c r="G1932" s="7" t="s">
        <v>102</v>
      </c>
      <c r="H1932" s="7">
        <v>15</v>
      </c>
      <c r="I1932" s="10" t="s">
        <v>2042</v>
      </c>
      <c r="K1932" s="10">
        <v>1</v>
      </c>
      <c r="L1932" s="43">
        <v>9</v>
      </c>
      <c r="M1932" s="43"/>
      <c r="N1932" s="12" t="s">
        <v>103</v>
      </c>
      <c r="P1932" s="10">
        <v>240</v>
      </c>
      <c r="T1932" s="10">
        <v>90</v>
      </c>
      <c r="V1932" s="45">
        <v>1</v>
      </c>
      <c r="X1932" s="29">
        <v>5.5</v>
      </c>
      <c r="Y1932" s="54" t="s">
        <v>16</v>
      </c>
      <c r="Z1932" t="s">
        <v>1496</v>
      </c>
    </row>
    <row r="1933" spans="1:27" ht="23.1" customHeight="1" x14ac:dyDescent="0.25">
      <c r="A1933" s="53" t="s">
        <v>1489</v>
      </c>
      <c r="B1933" s="10" t="s">
        <v>110</v>
      </c>
      <c r="C1933" s="10">
        <v>17</v>
      </c>
      <c r="D1933" s="47" t="s">
        <v>1468</v>
      </c>
      <c r="E1933" s="41" t="s">
        <v>1469</v>
      </c>
      <c r="F1933" s="41" t="s">
        <v>1469</v>
      </c>
      <c r="G1933" s="7" t="s">
        <v>102</v>
      </c>
      <c r="H1933" s="7">
        <v>20</v>
      </c>
      <c r="I1933" s="10" t="s">
        <v>2279</v>
      </c>
      <c r="K1933" s="10">
        <v>1</v>
      </c>
      <c r="L1933" s="43">
        <v>9</v>
      </c>
      <c r="M1933" s="43"/>
      <c r="N1933" s="12" t="s">
        <v>103</v>
      </c>
      <c r="P1933" s="10">
        <v>210</v>
      </c>
      <c r="T1933" s="10">
        <v>90</v>
      </c>
      <c r="V1933" s="45">
        <v>1</v>
      </c>
      <c r="X1933" s="29">
        <v>5</v>
      </c>
      <c r="Y1933" s="54" t="s">
        <v>16</v>
      </c>
    </row>
    <row r="1934" spans="1:27" ht="23.1" customHeight="1" x14ac:dyDescent="0.25">
      <c r="A1934" s="53" t="s">
        <v>1489</v>
      </c>
      <c r="B1934" s="10" t="s">
        <v>110</v>
      </c>
      <c r="C1934" s="10">
        <v>12</v>
      </c>
      <c r="D1934" s="10" t="s">
        <v>248</v>
      </c>
      <c r="E1934" s="41" t="s">
        <v>249</v>
      </c>
      <c r="F1934" s="41" t="s">
        <v>249</v>
      </c>
      <c r="G1934" s="7" t="s">
        <v>250</v>
      </c>
      <c r="H1934" s="7">
        <v>15</v>
      </c>
      <c r="I1934" s="10" t="s">
        <v>1903</v>
      </c>
      <c r="J1934" s="10">
        <v>1</v>
      </c>
      <c r="K1934" s="10">
        <v>1.5</v>
      </c>
      <c r="L1934" s="43">
        <v>5</v>
      </c>
      <c r="M1934" s="43">
        <v>5</v>
      </c>
      <c r="N1934" s="12" t="s">
        <v>1497</v>
      </c>
      <c r="P1934" s="10">
        <v>600</v>
      </c>
      <c r="T1934" s="10">
        <v>120</v>
      </c>
      <c r="V1934" s="45"/>
      <c r="X1934" s="29">
        <v>15</v>
      </c>
      <c r="Y1934" s="54" t="s">
        <v>72</v>
      </c>
    </row>
    <row r="1935" spans="1:27" ht="23.1" customHeight="1" x14ac:dyDescent="0.25">
      <c r="A1935" s="53" t="s">
        <v>1489</v>
      </c>
      <c r="B1935" s="10" t="s">
        <v>110</v>
      </c>
      <c r="C1935" s="10">
        <v>11</v>
      </c>
      <c r="D1935" s="10" t="s">
        <v>1438</v>
      </c>
      <c r="E1935" s="41" t="s">
        <v>1439</v>
      </c>
      <c r="F1935" s="41" t="e">
        <v>#N/A</v>
      </c>
      <c r="G1935" s="42" t="s">
        <v>939</v>
      </c>
      <c r="H1935" s="7">
        <v>15</v>
      </c>
      <c r="I1935" s="10"/>
      <c r="J1935" s="10">
        <v>2</v>
      </c>
      <c r="K1935" s="10">
        <v>3</v>
      </c>
      <c r="L1935" s="43">
        <v>5</v>
      </c>
      <c r="M1935" s="43">
        <v>9</v>
      </c>
      <c r="N1935" s="12" t="s">
        <v>940</v>
      </c>
      <c r="V1935" s="45">
        <v>1</v>
      </c>
      <c r="W1935" s="14">
        <v>3</v>
      </c>
      <c r="X1935" s="29">
        <v>3</v>
      </c>
      <c r="Y1935" s="54" t="s">
        <v>63</v>
      </c>
    </row>
    <row r="1936" spans="1:27" ht="23.1" customHeight="1" x14ac:dyDescent="0.25">
      <c r="A1936" s="53" t="s">
        <v>1489</v>
      </c>
      <c r="B1936" s="10" t="s">
        <v>110</v>
      </c>
      <c r="C1936" s="10">
        <v>11</v>
      </c>
      <c r="D1936" s="10" t="s">
        <v>1498</v>
      </c>
      <c r="E1936" s="41" t="s">
        <v>1499</v>
      </c>
      <c r="F1936" s="41" t="e">
        <v>#N/A</v>
      </c>
      <c r="G1936" s="7" t="s">
        <v>102</v>
      </c>
      <c r="H1936" s="7">
        <v>5</v>
      </c>
      <c r="I1936" s="10"/>
      <c r="K1936" s="10">
        <v>1</v>
      </c>
      <c r="L1936" s="43">
        <v>31</v>
      </c>
      <c r="M1936" s="43"/>
      <c r="N1936" s="12" t="s">
        <v>108</v>
      </c>
      <c r="V1936" s="45">
        <v>1</v>
      </c>
      <c r="W1936" s="14">
        <v>3</v>
      </c>
      <c r="X1936" s="29">
        <v>3</v>
      </c>
      <c r="Y1936" s="54" t="s">
        <v>63</v>
      </c>
    </row>
    <row r="1937" spans="1:27" ht="23.1" customHeight="1" x14ac:dyDescent="0.25">
      <c r="A1937" s="53" t="s">
        <v>1489</v>
      </c>
      <c r="B1937" s="10" t="s">
        <v>110</v>
      </c>
      <c r="C1937" s="10">
        <v>11</v>
      </c>
      <c r="D1937" s="10" t="s">
        <v>1498</v>
      </c>
      <c r="E1937" s="41" t="s">
        <v>1499</v>
      </c>
      <c r="F1937" s="41" t="e">
        <v>#N/A</v>
      </c>
      <c r="G1937" s="7" t="s">
        <v>102</v>
      </c>
      <c r="H1937" s="7">
        <v>10</v>
      </c>
      <c r="I1937" s="10"/>
      <c r="K1937" s="10">
        <v>1</v>
      </c>
      <c r="L1937" s="43">
        <v>31</v>
      </c>
      <c r="M1937" s="43"/>
      <c r="N1937" s="12" t="s">
        <v>108</v>
      </c>
      <c r="V1937" s="45">
        <v>1</v>
      </c>
      <c r="W1937" s="14">
        <v>3</v>
      </c>
      <c r="X1937" s="29">
        <v>3</v>
      </c>
      <c r="Y1937" s="54" t="s">
        <v>63</v>
      </c>
    </row>
    <row r="1938" spans="1:27" ht="23.1" customHeight="1" x14ac:dyDescent="0.25">
      <c r="A1938" s="53" t="s">
        <v>1489</v>
      </c>
      <c r="B1938" s="10" t="s">
        <v>110</v>
      </c>
      <c r="C1938" s="10">
        <v>11</v>
      </c>
      <c r="D1938" s="10" t="s">
        <v>1498</v>
      </c>
      <c r="E1938" s="41" t="s">
        <v>1499</v>
      </c>
      <c r="F1938" s="41" t="e">
        <v>#N/A</v>
      </c>
      <c r="G1938" s="7" t="s">
        <v>102</v>
      </c>
      <c r="H1938" s="7">
        <v>15</v>
      </c>
      <c r="I1938" s="10"/>
      <c r="K1938" s="10">
        <v>1</v>
      </c>
      <c r="L1938" s="43">
        <v>31</v>
      </c>
      <c r="M1938" s="43"/>
      <c r="N1938" s="12" t="s">
        <v>108</v>
      </c>
      <c r="V1938" s="45">
        <v>1</v>
      </c>
      <c r="W1938" s="14">
        <v>3</v>
      </c>
      <c r="X1938" s="29">
        <v>3</v>
      </c>
      <c r="Y1938" s="54" t="s">
        <v>63</v>
      </c>
    </row>
    <row r="1939" spans="1:27" ht="23.1" customHeight="1" x14ac:dyDescent="0.25">
      <c r="A1939" s="53" t="s">
        <v>1489</v>
      </c>
      <c r="B1939" s="10" t="s">
        <v>110</v>
      </c>
      <c r="C1939" s="10">
        <v>21</v>
      </c>
      <c r="D1939" s="10" t="s">
        <v>321</v>
      </c>
      <c r="E1939" s="41" t="s">
        <v>322</v>
      </c>
      <c r="F1939" s="41" t="s">
        <v>322</v>
      </c>
      <c r="G1939" s="7" t="s">
        <v>323</v>
      </c>
      <c r="H1939" s="7">
        <v>30</v>
      </c>
      <c r="I1939" s="10" t="s">
        <v>2078</v>
      </c>
      <c r="J1939" s="10">
        <v>0.5</v>
      </c>
      <c r="K1939" s="10">
        <v>1.2</v>
      </c>
      <c r="L1939" s="43">
        <v>5</v>
      </c>
      <c r="M1939" s="43">
        <v>5</v>
      </c>
      <c r="N1939" s="12" t="s">
        <v>1500</v>
      </c>
      <c r="P1939" s="10">
        <v>360</v>
      </c>
      <c r="Q1939" s="10">
        <v>120</v>
      </c>
      <c r="S1939" s="11">
        <v>1</v>
      </c>
      <c r="T1939" s="10">
        <v>180</v>
      </c>
      <c r="V1939" s="45"/>
      <c r="X1939" s="29">
        <v>9.1999999999999993</v>
      </c>
      <c r="Y1939" s="54" t="s">
        <v>58</v>
      </c>
    </row>
    <row r="1940" spans="1:27" ht="23.1" customHeight="1" x14ac:dyDescent="0.25">
      <c r="A1940" s="53" t="s">
        <v>1489</v>
      </c>
      <c r="B1940" s="10" t="s">
        <v>110</v>
      </c>
      <c r="C1940" s="10">
        <v>21</v>
      </c>
      <c r="D1940" s="10" t="s">
        <v>321</v>
      </c>
      <c r="E1940" s="41" t="s">
        <v>322</v>
      </c>
      <c r="F1940" s="41" t="s">
        <v>322</v>
      </c>
      <c r="G1940" s="7" t="s">
        <v>323</v>
      </c>
      <c r="H1940" s="7">
        <v>35</v>
      </c>
      <c r="I1940" s="10" t="s">
        <v>1925</v>
      </c>
      <c r="J1940" s="10">
        <v>1</v>
      </c>
      <c r="K1940" s="10">
        <v>0.5</v>
      </c>
      <c r="L1940" s="43">
        <v>28</v>
      </c>
      <c r="M1940" s="43"/>
      <c r="N1940" s="12" t="s">
        <v>508</v>
      </c>
      <c r="P1940" s="10">
        <v>480</v>
      </c>
      <c r="Q1940" s="10">
        <v>120</v>
      </c>
      <c r="S1940" s="11">
        <v>1</v>
      </c>
      <c r="T1940" s="10">
        <v>180</v>
      </c>
      <c r="V1940" s="45">
        <v>1</v>
      </c>
      <c r="X1940" s="29">
        <v>9</v>
      </c>
      <c r="Y1940" s="54" t="s">
        <v>58</v>
      </c>
    </row>
    <row r="1941" spans="1:27" ht="23.1" customHeight="1" x14ac:dyDescent="0.25">
      <c r="A1941" s="53" t="s">
        <v>1489</v>
      </c>
      <c r="B1941" s="10" t="s">
        <v>110</v>
      </c>
      <c r="C1941" s="10">
        <v>16</v>
      </c>
      <c r="D1941" s="10" t="s">
        <v>1420</v>
      </c>
      <c r="E1941" s="41" t="s">
        <v>1421</v>
      </c>
      <c r="F1941" s="41" t="s">
        <v>1421</v>
      </c>
      <c r="G1941" s="7" t="s">
        <v>123</v>
      </c>
      <c r="H1941" s="7">
        <v>15</v>
      </c>
      <c r="I1941" s="10" t="s">
        <v>2262</v>
      </c>
      <c r="J1941" s="10">
        <v>1</v>
      </c>
      <c r="K1941" s="10">
        <v>2</v>
      </c>
      <c r="L1941" s="43">
        <v>5</v>
      </c>
      <c r="M1941" s="43">
        <v>9</v>
      </c>
      <c r="N1941" s="12" t="s">
        <v>1501</v>
      </c>
      <c r="P1941" s="10">
        <v>180</v>
      </c>
      <c r="T1941" s="10">
        <v>90</v>
      </c>
      <c r="V1941" s="45"/>
      <c r="X1941" s="29">
        <v>6</v>
      </c>
      <c r="Y1941" s="54" t="s">
        <v>63</v>
      </c>
    </row>
    <row r="1942" spans="1:27" ht="23.1" customHeight="1" x14ac:dyDescent="0.25">
      <c r="A1942" s="53" t="s">
        <v>1489</v>
      </c>
      <c r="B1942" s="10" t="s">
        <v>110</v>
      </c>
      <c r="C1942" s="10">
        <v>16</v>
      </c>
      <c r="D1942" s="10" t="s">
        <v>1420</v>
      </c>
      <c r="E1942" s="41" t="s">
        <v>1421</v>
      </c>
      <c r="F1942" s="41" t="s">
        <v>1421</v>
      </c>
      <c r="G1942" s="7" t="s">
        <v>123</v>
      </c>
      <c r="H1942" s="7">
        <v>20</v>
      </c>
      <c r="I1942" s="10" t="s">
        <v>2280</v>
      </c>
      <c r="J1942" s="10">
        <v>2</v>
      </c>
      <c r="K1942" s="10">
        <v>1</v>
      </c>
      <c r="L1942" s="43">
        <v>31</v>
      </c>
      <c r="M1942" s="43"/>
      <c r="N1942" s="12" t="s">
        <v>1440</v>
      </c>
      <c r="P1942" s="10">
        <v>180</v>
      </c>
      <c r="T1942" s="10">
        <v>90</v>
      </c>
      <c r="V1942" s="45">
        <v>1</v>
      </c>
      <c r="X1942" s="29">
        <v>4.5</v>
      </c>
      <c r="Y1942" s="54" t="s">
        <v>63</v>
      </c>
    </row>
    <row r="1943" spans="1:27" ht="23.1" customHeight="1" x14ac:dyDescent="0.25">
      <c r="A1943" s="53" t="s">
        <v>1489</v>
      </c>
      <c r="B1943" s="10" t="s">
        <v>110</v>
      </c>
      <c r="C1943" s="10">
        <v>18</v>
      </c>
      <c r="D1943" s="10" t="s">
        <v>921</v>
      </c>
      <c r="E1943" s="41" t="s">
        <v>919</v>
      </c>
      <c r="F1943" s="41" t="s">
        <v>919</v>
      </c>
      <c r="G1943" s="7" t="s">
        <v>323</v>
      </c>
      <c r="H1943" s="7">
        <v>25</v>
      </c>
      <c r="I1943" s="10" t="s">
        <v>2149</v>
      </c>
      <c r="J1943" s="10">
        <v>2</v>
      </c>
      <c r="K1943" s="10">
        <v>4</v>
      </c>
      <c r="L1943" s="43">
        <v>5</v>
      </c>
      <c r="M1943" s="43">
        <v>28</v>
      </c>
      <c r="N1943" s="12" t="s">
        <v>860</v>
      </c>
      <c r="P1943" s="10">
        <v>220</v>
      </c>
      <c r="T1943" s="10">
        <v>90</v>
      </c>
      <c r="V1943" s="45"/>
      <c r="X1943" s="29">
        <v>14.7</v>
      </c>
      <c r="Y1943" s="54" t="s">
        <v>16</v>
      </c>
    </row>
    <row r="1944" spans="1:27" ht="23.1" customHeight="1" x14ac:dyDescent="0.25">
      <c r="A1944" s="53" t="s">
        <v>1489</v>
      </c>
      <c r="B1944" s="10" t="s">
        <v>110</v>
      </c>
      <c r="C1944" s="10">
        <v>57</v>
      </c>
      <c r="D1944" s="10" t="s">
        <v>1042</v>
      </c>
      <c r="E1944" s="41" t="s">
        <v>1032</v>
      </c>
      <c r="F1944" s="41" t="s">
        <v>1281</v>
      </c>
      <c r="G1944" s="7" t="s">
        <v>107</v>
      </c>
      <c r="H1944" s="7">
        <v>30</v>
      </c>
      <c r="I1944" s="10" t="s">
        <v>2242</v>
      </c>
      <c r="J1944" s="10">
        <v>3</v>
      </c>
      <c r="K1944" s="10">
        <v>3</v>
      </c>
      <c r="L1944" s="43">
        <v>5</v>
      </c>
      <c r="M1944" s="43">
        <v>28</v>
      </c>
      <c r="N1944" s="12" t="s">
        <v>1043</v>
      </c>
      <c r="P1944" s="10">
        <v>220</v>
      </c>
      <c r="T1944" s="10">
        <v>90</v>
      </c>
      <c r="V1944" s="45"/>
      <c r="X1944" s="29">
        <v>11</v>
      </c>
      <c r="Y1944" s="54" t="s">
        <v>7</v>
      </c>
    </row>
    <row r="1945" spans="1:27" ht="23.1" customHeight="1" x14ac:dyDescent="0.25">
      <c r="A1945" s="53" t="s">
        <v>1489</v>
      </c>
      <c r="B1945" s="10" t="s">
        <v>110</v>
      </c>
      <c r="C1945" s="10">
        <v>10</v>
      </c>
      <c r="D1945" s="10" t="s">
        <v>217</v>
      </c>
      <c r="E1945" s="41" t="s">
        <v>218</v>
      </c>
      <c r="F1945" s="41" t="s">
        <v>218</v>
      </c>
      <c r="G1945" s="7" t="s">
        <v>107</v>
      </c>
      <c r="H1945" s="7">
        <v>55</v>
      </c>
      <c r="I1945" s="10" t="s">
        <v>2227</v>
      </c>
      <c r="J1945" s="10">
        <v>2</v>
      </c>
      <c r="K1945" s="10">
        <v>2.2000000000000002</v>
      </c>
      <c r="L1945" s="43">
        <v>23</v>
      </c>
      <c r="M1945" s="43">
        <v>5</v>
      </c>
      <c r="N1945" s="12" t="s">
        <v>456</v>
      </c>
      <c r="P1945" s="10">
        <v>270</v>
      </c>
      <c r="T1945" s="10">
        <v>90</v>
      </c>
      <c r="V1945" s="45"/>
      <c r="W1945" s="14">
        <v>2</v>
      </c>
      <c r="X1945" s="29">
        <v>11.9</v>
      </c>
      <c r="Y1945" s="54" t="s">
        <v>30</v>
      </c>
      <c r="Z1945" t="s">
        <v>1461</v>
      </c>
      <c r="AA1945" t="s">
        <v>238</v>
      </c>
    </row>
    <row r="1946" spans="1:27" ht="23.1" customHeight="1" x14ac:dyDescent="0.25">
      <c r="A1946" s="53" t="s">
        <v>1489</v>
      </c>
      <c r="B1946" s="10" t="s">
        <v>110</v>
      </c>
      <c r="C1946" s="10">
        <v>9</v>
      </c>
      <c r="D1946" s="10" t="s">
        <v>1472</v>
      </c>
      <c r="E1946" s="41" t="s">
        <v>595</v>
      </c>
      <c r="F1946" s="41" t="s">
        <v>595</v>
      </c>
      <c r="G1946" s="7" t="s">
        <v>102</v>
      </c>
      <c r="H1946" s="7">
        <v>15</v>
      </c>
      <c r="I1946" s="10" t="s">
        <v>1895</v>
      </c>
      <c r="K1946" s="10">
        <v>2</v>
      </c>
      <c r="L1946" s="43">
        <v>5</v>
      </c>
      <c r="M1946" s="43">
        <v>5</v>
      </c>
      <c r="N1946" s="12" t="s">
        <v>596</v>
      </c>
      <c r="T1946" s="10">
        <v>60</v>
      </c>
      <c r="V1946" s="45">
        <v>1</v>
      </c>
      <c r="W1946" s="14">
        <v>5</v>
      </c>
      <c r="X1946" s="29">
        <v>6</v>
      </c>
      <c r="Y1946" s="54" t="s">
        <v>30</v>
      </c>
      <c r="Z1946" t="s">
        <v>1502</v>
      </c>
      <c r="AA1946" t="s">
        <v>238</v>
      </c>
    </row>
    <row r="1947" spans="1:27" ht="23.1" customHeight="1" x14ac:dyDescent="0.25">
      <c r="A1947" s="53" t="s">
        <v>1489</v>
      </c>
      <c r="B1947" s="10" t="s">
        <v>110</v>
      </c>
      <c r="C1947" s="10">
        <v>9</v>
      </c>
      <c r="D1947" s="10" t="s">
        <v>1472</v>
      </c>
      <c r="E1947" s="41" t="s">
        <v>595</v>
      </c>
      <c r="F1947" s="41" t="s">
        <v>595</v>
      </c>
      <c r="G1947" s="7" t="s">
        <v>102</v>
      </c>
      <c r="H1947" s="7">
        <v>20</v>
      </c>
      <c r="I1947" s="10" t="s">
        <v>2212</v>
      </c>
      <c r="K1947" s="10">
        <v>2</v>
      </c>
      <c r="L1947" s="43">
        <v>5</v>
      </c>
      <c r="M1947" s="43">
        <v>5</v>
      </c>
      <c r="N1947" s="12" t="s">
        <v>596</v>
      </c>
      <c r="T1947" s="10">
        <v>60</v>
      </c>
      <c r="V1947" s="45">
        <v>1</v>
      </c>
      <c r="X1947" s="29">
        <v>1</v>
      </c>
      <c r="Y1947" s="54" t="s">
        <v>30</v>
      </c>
      <c r="AA1947" t="s">
        <v>238</v>
      </c>
    </row>
    <row r="1948" spans="1:27" ht="23.1" customHeight="1" x14ac:dyDescent="0.25">
      <c r="A1948" s="53" t="s">
        <v>1489</v>
      </c>
      <c r="B1948" s="10" t="s">
        <v>110</v>
      </c>
      <c r="C1948" s="10">
        <v>9</v>
      </c>
      <c r="D1948" s="10" t="s">
        <v>1503</v>
      </c>
      <c r="E1948" s="41" t="s">
        <v>409</v>
      </c>
      <c r="F1948" s="41" t="s">
        <v>409</v>
      </c>
      <c r="G1948" s="7" t="s">
        <v>102</v>
      </c>
      <c r="H1948" s="7">
        <v>5</v>
      </c>
      <c r="I1948" s="10" t="s">
        <v>2060</v>
      </c>
      <c r="K1948" s="10">
        <v>1</v>
      </c>
      <c r="L1948" s="43">
        <v>5</v>
      </c>
      <c r="M1948" s="43">
        <v>5</v>
      </c>
      <c r="N1948" s="12" t="s">
        <v>596</v>
      </c>
      <c r="P1948" s="10">
        <v>20</v>
      </c>
      <c r="T1948" s="10">
        <v>60</v>
      </c>
      <c r="V1948" s="45"/>
      <c r="W1948" s="14">
        <v>2.5</v>
      </c>
      <c r="X1948" s="29">
        <v>2.8</v>
      </c>
      <c r="Y1948" s="54" t="s">
        <v>30</v>
      </c>
      <c r="Z1948" t="s">
        <v>1504</v>
      </c>
      <c r="AA1948" t="s">
        <v>238</v>
      </c>
    </row>
    <row r="1949" spans="1:27" ht="23.1" customHeight="1" x14ac:dyDescent="0.25">
      <c r="A1949" s="53" t="s">
        <v>1489</v>
      </c>
      <c r="B1949" s="10" t="s">
        <v>110</v>
      </c>
      <c r="C1949" s="10">
        <v>9</v>
      </c>
      <c r="D1949" s="10" t="s">
        <v>1503</v>
      </c>
      <c r="E1949" s="41" t="s">
        <v>409</v>
      </c>
      <c r="F1949" s="41" t="s">
        <v>409</v>
      </c>
      <c r="G1949" s="7" t="s">
        <v>102</v>
      </c>
      <c r="H1949" s="7">
        <v>10</v>
      </c>
      <c r="I1949" s="10" t="s">
        <v>2281</v>
      </c>
      <c r="K1949" s="10">
        <v>1</v>
      </c>
      <c r="L1949" s="43">
        <v>5</v>
      </c>
      <c r="M1949" s="43">
        <v>5</v>
      </c>
      <c r="N1949" s="12" t="s">
        <v>596</v>
      </c>
      <c r="P1949" s="10">
        <v>70</v>
      </c>
      <c r="T1949" s="10">
        <v>90</v>
      </c>
      <c r="V1949" s="45"/>
      <c r="X1949" s="29">
        <v>1.2</v>
      </c>
      <c r="Y1949" s="54" t="s">
        <v>30</v>
      </c>
      <c r="AA1949" t="s">
        <v>238</v>
      </c>
    </row>
    <row r="1950" spans="1:27" ht="23.1" customHeight="1" x14ac:dyDescent="0.25">
      <c r="A1950" s="53" t="s">
        <v>1489</v>
      </c>
      <c r="B1950" s="10" t="s">
        <v>110</v>
      </c>
      <c r="C1950" s="10">
        <v>108</v>
      </c>
      <c r="D1950" s="10" t="s">
        <v>889</v>
      </c>
      <c r="E1950" s="41" t="s">
        <v>887</v>
      </c>
      <c r="F1950" s="41" t="s">
        <v>887</v>
      </c>
      <c r="G1950" s="7" t="s">
        <v>154</v>
      </c>
      <c r="H1950" s="7">
        <v>65</v>
      </c>
      <c r="I1950" s="10" t="s">
        <v>2282</v>
      </c>
      <c r="J1950" s="10">
        <v>1</v>
      </c>
      <c r="K1950" s="10">
        <v>1</v>
      </c>
      <c r="L1950" s="43">
        <v>9</v>
      </c>
      <c r="M1950" s="43"/>
      <c r="N1950" s="12" t="s">
        <v>159</v>
      </c>
      <c r="P1950" s="10">
        <v>90</v>
      </c>
      <c r="Q1950" s="10">
        <v>60</v>
      </c>
      <c r="S1950" s="11">
        <v>1</v>
      </c>
      <c r="T1950" s="10">
        <v>90</v>
      </c>
      <c r="V1950" s="45">
        <v>1</v>
      </c>
      <c r="W1950" s="10">
        <v>1</v>
      </c>
      <c r="X1950" s="29">
        <v>5</v>
      </c>
      <c r="Y1950" s="54" t="s">
        <v>45</v>
      </c>
      <c r="Z1950" t="s">
        <v>1505</v>
      </c>
      <c r="AA1950" s="1" t="s">
        <v>238</v>
      </c>
    </row>
    <row r="1951" spans="1:27" ht="23.1" customHeight="1" x14ac:dyDescent="0.25">
      <c r="A1951" s="53" t="s">
        <v>1489</v>
      </c>
      <c r="B1951" s="10" t="s">
        <v>110</v>
      </c>
      <c r="C1951" s="10">
        <v>76</v>
      </c>
      <c r="D1951" s="10" t="s">
        <v>1383</v>
      </c>
      <c r="E1951" s="41" t="s">
        <v>1384</v>
      </c>
      <c r="F1951" s="41" t="s">
        <v>1384</v>
      </c>
      <c r="G1951" s="7" t="s">
        <v>154</v>
      </c>
      <c r="H1951" s="7">
        <v>10</v>
      </c>
      <c r="I1951" s="10" t="s">
        <v>2241</v>
      </c>
      <c r="J1951" s="10">
        <v>30</v>
      </c>
      <c r="K1951" s="10">
        <v>25</v>
      </c>
      <c r="L1951" s="43">
        <v>9</v>
      </c>
      <c r="M1951" s="43">
        <v>9</v>
      </c>
      <c r="N1951" s="12" t="s">
        <v>295</v>
      </c>
      <c r="P1951" s="10">
        <v>30</v>
      </c>
      <c r="T1951" s="10">
        <v>60</v>
      </c>
      <c r="V1951" s="45"/>
      <c r="X1951" s="29">
        <v>12.5</v>
      </c>
      <c r="Y1951" s="54" t="s">
        <v>46</v>
      </c>
    </row>
    <row r="1952" spans="1:27" ht="23.1" customHeight="1" x14ac:dyDescent="0.25">
      <c r="A1952" s="53" t="s">
        <v>1489</v>
      </c>
      <c r="B1952" s="10" t="s">
        <v>110</v>
      </c>
      <c r="C1952" s="10">
        <v>55</v>
      </c>
      <c r="D1952" s="10" t="s">
        <v>1506</v>
      </c>
      <c r="E1952" s="41" t="s">
        <v>1507</v>
      </c>
      <c r="F1952" s="41" t="s">
        <v>1507</v>
      </c>
      <c r="G1952" s="7" t="s">
        <v>154</v>
      </c>
      <c r="H1952" s="7">
        <v>40</v>
      </c>
      <c r="I1952" s="10" t="s">
        <v>2482</v>
      </c>
      <c r="J1952" s="10">
        <v>3</v>
      </c>
      <c r="K1952" s="10">
        <v>1</v>
      </c>
      <c r="L1952" s="43">
        <v>28</v>
      </c>
      <c r="M1952" s="43"/>
      <c r="N1952" s="12" t="s">
        <v>164</v>
      </c>
      <c r="P1952" s="10">
        <v>120</v>
      </c>
      <c r="T1952" s="10">
        <v>90</v>
      </c>
      <c r="V1952" s="45">
        <v>1</v>
      </c>
      <c r="W1952" s="14">
        <v>7</v>
      </c>
      <c r="X1952" s="29">
        <v>10.5</v>
      </c>
      <c r="Y1952" s="54" t="s">
        <v>44</v>
      </c>
      <c r="Z1952" t="s">
        <v>1508</v>
      </c>
      <c r="AA1952" t="s">
        <v>238</v>
      </c>
    </row>
    <row r="1953" spans="1:27" ht="23.1" customHeight="1" x14ac:dyDescent="0.25">
      <c r="A1953" s="53" t="s">
        <v>1489</v>
      </c>
      <c r="B1953" s="10" t="s">
        <v>110</v>
      </c>
      <c r="C1953" s="10">
        <v>56</v>
      </c>
      <c r="D1953" s="10" t="s">
        <v>1397</v>
      </c>
      <c r="E1953" s="41" t="s">
        <v>1398</v>
      </c>
      <c r="F1953" s="41" t="s">
        <v>1398</v>
      </c>
      <c r="G1953" s="7" t="s">
        <v>118</v>
      </c>
      <c r="H1953" s="7">
        <v>30</v>
      </c>
      <c r="I1953" s="10" t="s">
        <v>2390</v>
      </c>
      <c r="J1953" s="10">
        <v>7</v>
      </c>
      <c r="K1953" s="10">
        <v>5</v>
      </c>
      <c r="L1953" s="43">
        <v>9</v>
      </c>
      <c r="M1953" s="43">
        <v>9</v>
      </c>
      <c r="N1953" s="12" t="s">
        <v>1509</v>
      </c>
      <c r="P1953" s="10">
        <v>75</v>
      </c>
      <c r="T1953" s="10">
        <v>90</v>
      </c>
      <c r="V1953" s="45"/>
      <c r="X1953" s="29">
        <v>6.3</v>
      </c>
      <c r="Y1953" s="54" t="s">
        <v>44</v>
      </c>
    </row>
    <row r="1954" spans="1:27" ht="23.1" customHeight="1" x14ac:dyDescent="0.25">
      <c r="A1954" s="53" t="s">
        <v>1489</v>
      </c>
      <c r="B1954" s="10" t="s">
        <v>110</v>
      </c>
      <c r="C1954" s="10">
        <v>56</v>
      </c>
      <c r="D1954" s="10" t="s">
        <v>1397</v>
      </c>
      <c r="E1954" s="41" t="s">
        <v>1398</v>
      </c>
      <c r="F1954" s="41" t="s">
        <v>1398</v>
      </c>
      <c r="G1954" s="7" t="s">
        <v>118</v>
      </c>
      <c r="H1954" s="7">
        <v>22</v>
      </c>
      <c r="I1954" s="10"/>
      <c r="K1954" s="10">
        <v>2</v>
      </c>
      <c r="L1954" s="43">
        <v>28</v>
      </c>
      <c r="M1954" s="43">
        <v>28</v>
      </c>
      <c r="N1954" s="12" t="s">
        <v>1510</v>
      </c>
      <c r="O1954" s="10">
        <v>15</v>
      </c>
      <c r="V1954" s="45"/>
      <c r="X1954" s="32">
        <v>0.5</v>
      </c>
      <c r="Y1954" s="54" t="s">
        <v>44</v>
      </c>
    </row>
    <row r="1955" spans="1:27" ht="23.1" customHeight="1" x14ac:dyDescent="0.25">
      <c r="A1955" s="53" t="s">
        <v>1489</v>
      </c>
      <c r="B1955" s="10" t="s">
        <v>110</v>
      </c>
      <c r="C1955" s="10">
        <v>56</v>
      </c>
      <c r="D1955" s="10" t="s">
        <v>1397</v>
      </c>
      <c r="E1955" s="41" t="s">
        <v>1398</v>
      </c>
      <c r="F1955" s="41" t="s">
        <v>1398</v>
      </c>
      <c r="G1955" s="7" t="s">
        <v>118</v>
      </c>
      <c r="H1955" s="7">
        <v>25</v>
      </c>
      <c r="I1955" s="10" t="s">
        <v>2054</v>
      </c>
      <c r="K1955" s="10">
        <v>2</v>
      </c>
      <c r="L1955" s="43">
        <v>28</v>
      </c>
      <c r="M1955" s="43">
        <v>28</v>
      </c>
      <c r="N1955" s="12" t="s">
        <v>1510</v>
      </c>
      <c r="P1955" s="10">
        <v>160</v>
      </c>
      <c r="T1955" s="10">
        <v>60</v>
      </c>
      <c r="V1955" s="45"/>
      <c r="X1955" s="29">
        <v>5.3</v>
      </c>
      <c r="Y1955" s="54" t="s">
        <v>44</v>
      </c>
    </row>
    <row r="1956" spans="1:27" ht="23.1" customHeight="1" x14ac:dyDescent="0.25">
      <c r="A1956" s="53" t="s">
        <v>1489</v>
      </c>
      <c r="B1956" s="10" t="s">
        <v>110</v>
      </c>
      <c r="C1956" s="10">
        <v>79</v>
      </c>
      <c r="D1956" s="10" t="s">
        <v>420</v>
      </c>
      <c r="E1956" s="41" t="s">
        <v>153</v>
      </c>
      <c r="F1956" s="41" t="s">
        <v>1247</v>
      </c>
      <c r="G1956" s="7" t="s">
        <v>154</v>
      </c>
      <c r="H1956" s="7">
        <v>25</v>
      </c>
      <c r="I1956" s="10" t="s">
        <v>2017</v>
      </c>
      <c r="J1956" s="10">
        <v>0.5</v>
      </c>
      <c r="K1956" s="10">
        <v>1</v>
      </c>
      <c r="L1956" s="43">
        <v>28</v>
      </c>
      <c r="M1956" s="43"/>
      <c r="N1956" s="12" t="s">
        <v>1511</v>
      </c>
      <c r="P1956" s="10">
        <v>1260</v>
      </c>
      <c r="Q1956" s="10">
        <v>90</v>
      </c>
      <c r="S1956" s="11">
        <v>1</v>
      </c>
      <c r="T1956" s="10">
        <v>120</v>
      </c>
      <c r="V1956" s="45"/>
      <c r="X1956" s="29">
        <v>22.5</v>
      </c>
      <c r="Y1956" s="54" t="s">
        <v>19</v>
      </c>
    </row>
    <row r="1957" spans="1:27" ht="23.1" customHeight="1" x14ac:dyDescent="0.25">
      <c r="A1957" s="53" t="s">
        <v>1489</v>
      </c>
      <c r="B1957" s="10" t="s">
        <v>110</v>
      </c>
      <c r="C1957" s="10">
        <v>78</v>
      </c>
      <c r="D1957" s="10" t="s">
        <v>276</v>
      </c>
      <c r="E1957" s="41" t="s">
        <v>277</v>
      </c>
      <c r="F1957" s="41" t="s">
        <v>277</v>
      </c>
      <c r="G1957" s="7" t="s">
        <v>154</v>
      </c>
      <c r="H1957" s="7">
        <v>80</v>
      </c>
      <c r="I1957" s="10" t="s">
        <v>1964</v>
      </c>
      <c r="J1957" s="10">
        <v>1</v>
      </c>
      <c r="K1957" s="10">
        <v>1</v>
      </c>
      <c r="L1957" s="43">
        <v>23</v>
      </c>
      <c r="M1957" s="43"/>
      <c r="N1957" s="12" t="s">
        <v>108</v>
      </c>
      <c r="P1957" s="10">
        <v>360</v>
      </c>
      <c r="S1957" s="11">
        <v>1</v>
      </c>
      <c r="T1957" s="10">
        <v>120</v>
      </c>
      <c r="V1957" s="45">
        <v>1</v>
      </c>
      <c r="W1957" s="10">
        <v>4</v>
      </c>
      <c r="X1957" s="29">
        <v>12</v>
      </c>
      <c r="Y1957" s="54" t="s">
        <v>19</v>
      </c>
      <c r="Z1957" t="s">
        <v>1471</v>
      </c>
      <c r="AA1957" t="s">
        <v>238</v>
      </c>
    </row>
    <row r="1958" spans="1:27" ht="23.1" customHeight="1" x14ac:dyDescent="0.25">
      <c r="A1958" s="53" t="s">
        <v>1489</v>
      </c>
      <c r="B1958" s="10" t="s">
        <v>110</v>
      </c>
      <c r="C1958" s="10">
        <v>78</v>
      </c>
      <c r="D1958" s="10" t="s">
        <v>235</v>
      </c>
      <c r="E1958" s="41" t="s">
        <v>236</v>
      </c>
      <c r="F1958" s="41" t="s">
        <v>236</v>
      </c>
      <c r="G1958" s="7" t="s">
        <v>154</v>
      </c>
      <c r="H1958" s="7">
        <v>80</v>
      </c>
      <c r="I1958" s="10" t="s">
        <v>1964</v>
      </c>
      <c r="J1958" s="10">
        <v>1</v>
      </c>
      <c r="K1958" s="10">
        <v>1</v>
      </c>
      <c r="L1958" s="43">
        <v>23</v>
      </c>
      <c r="M1958" s="43"/>
      <c r="N1958" s="12" t="s">
        <v>234</v>
      </c>
      <c r="P1958" s="10">
        <v>360</v>
      </c>
      <c r="S1958" s="11">
        <v>1</v>
      </c>
      <c r="T1958" s="10">
        <v>120</v>
      </c>
      <c r="V1958" s="45">
        <v>1</v>
      </c>
      <c r="W1958" s="10">
        <v>2</v>
      </c>
      <c r="X1958" s="29">
        <v>10</v>
      </c>
      <c r="Y1958" s="54" t="s">
        <v>19</v>
      </c>
      <c r="Z1958" t="s">
        <v>1512</v>
      </c>
      <c r="AA1958" s="1" t="s">
        <v>238</v>
      </c>
    </row>
    <row r="1959" spans="1:27" ht="23.1" customHeight="1" x14ac:dyDescent="0.25">
      <c r="A1959" s="53" t="s">
        <v>1489</v>
      </c>
      <c r="B1959" s="10" t="s">
        <v>110</v>
      </c>
      <c r="C1959" s="10">
        <v>58</v>
      </c>
      <c r="D1959" s="10" t="s">
        <v>1513</v>
      </c>
      <c r="E1959" s="41" t="s">
        <v>1514</v>
      </c>
      <c r="F1959" s="41" t="s">
        <v>1514</v>
      </c>
      <c r="G1959" s="7" t="s">
        <v>250</v>
      </c>
      <c r="H1959" s="7">
        <v>30</v>
      </c>
      <c r="I1959" s="10" t="s">
        <v>1901</v>
      </c>
      <c r="K1959" s="10">
        <v>40</v>
      </c>
      <c r="L1959" s="43">
        <v>23</v>
      </c>
      <c r="M1959" s="43">
        <v>23</v>
      </c>
      <c r="N1959" s="12" t="s">
        <v>487</v>
      </c>
      <c r="P1959" s="10">
        <v>25</v>
      </c>
      <c r="T1959" s="10">
        <v>60</v>
      </c>
      <c r="V1959" s="45"/>
      <c r="X1959" s="29">
        <v>16.7</v>
      </c>
      <c r="Y1959" s="54" t="s">
        <v>72</v>
      </c>
    </row>
    <row r="1960" spans="1:27" ht="23.1" customHeight="1" x14ac:dyDescent="0.25">
      <c r="A1960" s="53" t="s">
        <v>1489</v>
      </c>
      <c r="B1960" s="10" t="s">
        <v>110</v>
      </c>
      <c r="C1960" s="10">
        <v>77</v>
      </c>
      <c r="D1960" s="10" t="s">
        <v>1465</v>
      </c>
      <c r="E1960" s="41" t="s">
        <v>1466</v>
      </c>
      <c r="F1960" s="41" t="s">
        <v>1466</v>
      </c>
      <c r="G1960" s="7" t="s">
        <v>102</v>
      </c>
      <c r="H1960" s="7">
        <v>25</v>
      </c>
      <c r="I1960" s="10" t="s">
        <v>2285</v>
      </c>
      <c r="J1960" s="10">
        <v>20</v>
      </c>
      <c r="K1960" s="10">
        <v>33</v>
      </c>
      <c r="L1960" s="43">
        <v>23</v>
      </c>
      <c r="M1960" s="43">
        <v>31</v>
      </c>
      <c r="N1960" s="12" t="s">
        <v>728</v>
      </c>
      <c r="P1960" s="10">
        <v>30</v>
      </c>
      <c r="T1960" s="10">
        <v>60</v>
      </c>
      <c r="V1960" s="45"/>
      <c r="X1960" s="29">
        <v>16.5</v>
      </c>
      <c r="Y1960" s="54" t="s">
        <v>15</v>
      </c>
    </row>
    <row r="1961" spans="1:27" ht="23.1" customHeight="1" x14ac:dyDescent="0.25">
      <c r="A1961" s="53" t="s">
        <v>1489</v>
      </c>
      <c r="B1961" s="10" t="s">
        <v>110</v>
      </c>
      <c r="C1961" s="10">
        <v>77</v>
      </c>
      <c r="D1961" s="10" t="s">
        <v>727</v>
      </c>
      <c r="E1961" s="41" t="s">
        <v>625</v>
      </c>
      <c r="F1961" s="41" t="s">
        <v>625</v>
      </c>
      <c r="G1961" s="7" t="s">
        <v>250</v>
      </c>
      <c r="H1961" s="7">
        <v>50</v>
      </c>
      <c r="I1961" s="10" t="s">
        <v>2032</v>
      </c>
      <c r="K1961" s="10">
        <v>6</v>
      </c>
      <c r="L1961" s="43">
        <v>23</v>
      </c>
      <c r="M1961" s="43">
        <v>31</v>
      </c>
      <c r="N1961" s="12" t="s">
        <v>429</v>
      </c>
      <c r="P1961" s="10">
        <v>60</v>
      </c>
      <c r="T1961" s="10">
        <v>60</v>
      </c>
      <c r="V1961" s="45"/>
      <c r="X1961" s="29">
        <v>6</v>
      </c>
      <c r="Y1961" s="54" t="s">
        <v>15</v>
      </c>
    </row>
    <row r="1962" spans="1:27" ht="23.1" customHeight="1" x14ac:dyDescent="0.25">
      <c r="A1962" s="53" t="s">
        <v>1489</v>
      </c>
      <c r="B1962" s="10" t="s">
        <v>110</v>
      </c>
      <c r="C1962" s="10">
        <v>59</v>
      </c>
      <c r="D1962" s="10" t="s">
        <v>1515</v>
      </c>
      <c r="E1962" s="41" t="s">
        <v>1516</v>
      </c>
      <c r="F1962" s="41" t="e">
        <v>#N/A</v>
      </c>
      <c r="G1962" s="7" t="s">
        <v>102</v>
      </c>
      <c r="H1962" s="7">
        <v>5</v>
      </c>
      <c r="I1962" s="10"/>
      <c r="K1962" s="10">
        <v>1</v>
      </c>
      <c r="L1962" s="43">
        <v>23</v>
      </c>
      <c r="M1962" s="43"/>
      <c r="N1962" s="12" t="s">
        <v>108</v>
      </c>
      <c r="V1962" s="45">
        <v>1</v>
      </c>
      <c r="W1962" s="14">
        <v>6</v>
      </c>
      <c r="X1962" s="29">
        <v>6</v>
      </c>
      <c r="Y1962" s="64" t="s">
        <v>1847</v>
      </c>
    </row>
    <row r="1963" spans="1:27" ht="23.1" customHeight="1" x14ac:dyDescent="0.25">
      <c r="A1963" s="53" t="s">
        <v>1489</v>
      </c>
      <c r="B1963" s="10" t="s">
        <v>110</v>
      </c>
      <c r="C1963" s="10">
        <v>59</v>
      </c>
      <c r="D1963" s="10" t="s">
        <v>1515</v>
      </c>
      <c r="E1963" s="41" t="s">
        <v>1516</v>
      </c>
      <c r="F1963" s="41" t="e">
        <v>#N/A</v>
      </c>
      <c r="G1963" s="7" t="s">
        <v>102</v>
      </c>
      <c r="H1963" s="7">
        <v>10</v>
      </c>
      <c r="I1963" s="10"/>
      <c r="K1963" s="10">
        <v>1</v>
      </c>
      <c r="L1963" s="43"/>
      <c r="M1963" s="43">
        <v>23</v>
      </c>
      <c r="N1963" s="12" t="s">
        <v>108</v>
      </c>
      <c r="V1963" s="45">
        <v>1</v>
      </c>
      <c r="W1963" s="14">
        <v>6</v>
      </c>
      <c r="X1963" s="29">
        <v>6</v>
      </c>
      <c r="Y1963" s="64" t="s">
        <v>1847</v>
      </c>
    </row>
    <row r="1964" spans="1:27" ht="23.1" customHeight="1" x14ac:dyDescent="0.25">
      <c r="A1964" s="53" t="s">
        <v>1489</v>
      </c>
      <c r="B1964" s="10" t="s">
        <v>110</v>
      </c>
      <c r="C1964" s="10">
        <v>15</v>
      </c>
      <c r="D1964" s="10" t="s">
        <v>1255</v>
      </c>
      <c r="E1964" s="41" t="s">
        <v>117</v>
      </c>
      <c r="F1964" s="41" t="s">
        <v>117</v>
      </c>
      <c r="G1964" s="7" t="s">
        <v>118</v>
      </c>
      <c r="H1964" s="7">
        <v>5</v>
      </c>
      <c r="I1964" s="10" t="s">
        <v>1930</v>
      </c>
      <c r="K1964" s="10">
        <v>10</v>
      </c>
      <c r="L1964" s="43">
        <v>5</v>
      </c>
      <c r="M1964" s="43">
        <v>23</v>
      </c>
      <c r="N1964" s="12" t="s">
        <v>1517</v>
      </c>
      <c r="P1964" s="10">
        <v>80</v>
      </c>
      <c r="T1964" s="10">
        <v>60</v>
      </c>
      <c r="V1964" s="45"/>
      <c r="X1964" s="29">
        <v>13.3</v>
      </c>
      <c r="Y1964" s="54" t="s">
        <v>31</v>
      </c>
    </row>
    <row r="1965" spans="1:27" ht="23.1" customHeight="1" x14ac:dyDescent="0.25">
      <c r="A1965" s="53" t="s">
        <v>1489</v>
      </c>
      <c r="B1965" s="10" t="s">
        <v>110</v>
      </c>
      <c r="C1965" s="10">
        <v>15</v>
      </c>
      <c r="D1965" s="10" t="s">
        <v>1255</v>
      </c>
      <c r="E1965" s="41" t="s">
        <v>117</v>
      </c>
      <c r="F1965" s="41" t="s">
        <v>117</v>
      </c>
      <c r="G1965" s="7" t="s">
        <v>118</v>
      </c>
      <c r="H1965" s="7">
        <v>7</v>
      </c>
      <c r="I1965" s="10"/>
      <c r="K1965" s="10">
        <v>10</v>
      </c>
      <c r="L1965" s="43">
        <v>5</v>
      </c>
      <c r="M1965" s="43">
        <v>23</v>
      </c>
      <c r="N1965" s="12" t="s">
        <v>1100</v>
      </c>
      <c r="O1965" s="10">
        <v>80</v>
      </c>
      <c r="V1965" s="45"/>
      <c r="X1965" s="32">
        <v>13.3</v>
      </c>
      <c r="Y1965" s="54" t="s">
        <v>31</v>
      </c>
    </row>
    <row r="1966" spans="1:27" ht="23.1" customHeight="1" x14ac:dyDescent="0.25">
      <c r="A1966" s="53" t="s">
        <v>1489</v>
      </c>
      <c r="B1966" s="10" t="s">
        <v>110</v>
      </c>
      <c r="C1966" s="10">
        <v>15</v>
      </c>
      <c r="D1966" s="10" t="s">
        <v>1255</v>
      </c>
      <c r="E1966" s="41" t="s">
        <v>117</v>
      </c>
      <c r="F1966" s="41" t="s">
        <v>117</v>
      </c>
      <c r="G1966" s="7" t="s">
        <v>118</v>
      </c>
      <c r="H1966" s="7">
        <v>8</v>
      </c>
      <c r="I1966" s="10"/>
      <c r="K1966" s="10">
        <v>10</v>
      </c>
      <c r="L1966" s="43">
        <v>5</v>
      </c>
      <c r="M1966" s="43">
        <v>23</v>
      </c>
      <c r="N1966" s="12" t="s">
        <v>1100</v>
      </c>
      <c r="O1966" s="10">
        <v>90</v>
      </c>
      <c r="V1966" s="45"/>
      <c r="X1966" s="32">
        <v>15</v>
      </c>
      <c r="Y1966" s="54" t="s">
        <v>31</v>
      </c>
    </row>
    <row r="1967" spans="1:27" ht="23.1" customHeight="1" x14ac:dyDescent="0.25">
      <c r="A1967" s="53" t="s">
        <v>1489</v>
      </c>
      <c r="B1967" s="10" t="s">
        <v>110</v>
      </c>
      <c r="C1967" s="10">
        <v>58</v>
      </c>
      <c r="D1967" s="10"/>
      <c r="E1967" t="s">
        <v>1518</v>
      </c>
      <c r="F1967" s="41">
        <v>0</v>
      </c>
      <c r="I1967" s="10"/>
      <c r="L1967" s="43"/>
      <c r="M1967" s="43"/>
      <c r="V1967" s="45"/>
      <c r="W1967" s="14">
        <v>20</v>
      </c>
      <c r="X1967" s="29">
        <v>20</v>
      </c>
      <c r="Y1967" s="54" t="s">
        <v>7</v>
      </c>
      <c r="Z1967" t="s">
        <v>1518</v>
      </c>
      <c r="AA1967" t="s">
        <v>238</v>
      </c>
    </row>
    <row r="1968" spans="1:27" ht="23.1" customHeight="1" x14ac:dyDescent="0.25">
      <c r="A1968" s="53" t="s">
        <v>1489</v>
      </c>
      <c r="B1968" s="10" t="s">
        <v>110</v>
      </c>
      <c r="C1968" s="10">
        <v>13</v>
      </c>
      <c r="D1968" s="10" t="s">
        <v>1513</v>
      </c>
      <c r="E1968" s="41" t="s">
        <v>1514</v>
      </c>
      <c r="F1968" s="41" t="s">
        <v>1514</v>
      </c>
      <c r="G1968" s="7" t="s">
        <v>250</v>
      </c>
      <c r="H1968" s="7">
        <v>30</v>
      </c>
      <c r="I1968" s="10" t="s">
        <v>1901</v>
      </c>
      <c r="K1968" s="10">
        <v>20</v>
      </c>
      <c r="L1968" s="43">
        <v>23</v>
      </c>
      <c r="M1968" s="43">
        <v>23</v>
      </c>
      <c r="N1968" s="12" t="s">
        <v>487</v>
      </c>
      <c r="P1968" s="10">
        <v>25</v>
      </c>
      <c r="T1968" s="10">
        <v>60</v>
      </c>
      <c r="V1968" s="45"/>
      <c r="X1968" s="29">
        <v>8.3000000000000007</v>
      </c>
      <c r="Y1968" s="54" t="s">
        <v>72</v>
      </c>
    </row>
    <row r="1969" spans="1:27" ht="23.1" customHeight="1" x14ac:dyDescent="0.25">
      <c r="A1969" s="53" t="s">
        <v>1489</v>
      </c>
      <c r="B1969" s="10" t="s">
        <v>110</v>
      </c>
      <c r="C1969" s="10">
        <v>13</v>
      </c>
      <c r="D1969" s="10" t="s">
        <v>1519</v>
      </c>
      <c r="E1969" s="41" t="s">
        <v>133</v>
      </c>
      <c r="F1969" s="41" t="s">
        <v>133</v>
      </c>
      <c r="G1969" s="7" t="s">
        <v>300</v>
      </c>
      <c r="H1969" s="7">
        <v>15</v>
      </c>
      <c r="I1969" s="10" t="s">
        <v>1931</v>
      </c>
      <c r="L1969" s="43">
        <v>23</v>
      </c>
      <c r="M1969" s="43"/>
      <c r="N1969" s="12" t="s">
        <v>287</v>
      </c>
      <c r="P1969" s="10">
        <v>90</v>
      </c>
      <c r="T1969" s="10">
        <v>120</v>
      </c>
      <c r="V1969" s="45">
        <v>1</v>
      </c>
      <c r="X1969" s="29">
        <v>2</v>
      </c>
      <c r="Y1969" s="54" t="s">
        <v>72</v>
      </c>
    </row>
    <row r="1970" spans="1:27" ht="23.1" customHeight="1" x14ac:dyDescent="0.25">
      <c r="A1970" s="53" t="s">
        <v>1489</v>
      </c>
      <c r="B1970" s="10" t="s">
        <v>137</v>
      </c>
      <c r="C1970" s="10">
        <v>17</v>
      </c>
      <c r="D1970" s="10" t="s">
        <v>1520</v>
      </c>
      <c r="E1970" s="41" t="s">
        <v>133</v>
      </c>
      <c r="F1970" s="41" t="s">
        <v>133</v>
      </c>
      <c r="G1970" s="7" t="s">
        <v>154</v>
      </c>
      <c r="H1970" s="7">
        <v>5</v>
      </c>
      <c r="I1970" s="10"/>
      <c r="K1970" s="10">
        <v>6</v>
      </c>
      <c r="L1970" s="43">
        <v>28</v>
      </c>
      <c r="M1970" s="43">
        <v>28</v>
      </c>
      <c r="N1970" s="12" t="s">
        <v>1521</v>
      </c>
      <c r="O1970" s="10">
        <v>40</v>
      </c>
      <c r="U1970" s="10">
        <v>60</v>
      </c>
      <c r="V1970" s="45">
        <v>1</v>
      </c>
      <c r="W1970" s="14">
        <v>3</v>
      </c>
      <c r="X1970" s="32">
        <v>8</v>
      </c>
      <c r="Y1970" s="54" t="s">
        <v>43</v>
      </c>
      <c r="Z1970" t="s">
        <v>1522</v>
      </c>
    </row>
    <row r="1971" spans="1:27" ht="23.1" customHeight="1" x14ac:dyDescent="0.25">
      <c r="A1971" s="53" t="s">
        <v>1489</v>
      </c>
      <c r="B1971" s="10" t="s">
        <v>137</v>
      </c>
      <c r="C1971" s="10">
        <v>17</v>
      </c>
      <c r="D1971" s="10" t="s">
        <v>1520</v>
      </c>
      <c r="E1971" s="41" t="s">
        <v>133</v>
      </c>
      <c r="F1971" s="41" t="s">
        <v>133</v>
      </c>
      <c r="G1971" s="7" t="s">
        <v>154</v>
      </c>
      <c r="H1971" s="7">
        <v>10</v>
      </c>
      <c r="I1971" s="10"/>
      <c r="K1971" s="10">
        <v>6</v>
      </c>
      <c r="L1971" s="43">
        <v>28</v>
      </c>
      <c r="M1971" s="43">
        <v>28</v>
      </c>
      <c r="N1971" s="12" t="s">
        <v>1521</v>
      </c>
      <c r="O1971" s="10">
        <v>60</v>
      </c>
      <c r="U1971" s="10">
        <v>60</v>
      </c>
      <c r="V1971" s="45">
        <v>1</v>
      </c>
      <c r="W1971" s="14">
        <v>2</v>
      </c>
      <c r="X1971" s="32">
        <v>9</v>
      </c>
      <c r="Y1971" s="54" t="s">
        <v>43</v>
      </c>
      <c r="Z1971" t="s">
        <v>1473</v>
      </c>
      <c r="AA1971" s="1" t="s">
        <v>238</v>
      </c>
    </row>
    <row r="1972" spans="1:27" ht="23.1" customHeight="1" x14ac:dyDescent="0.25">
      <c r="A1972" s="53" t="s">
        <v>1489</v>
      </c>
      <c r="B1972" s="10" t="s">
        <v>137</v>
      </c>
      <c r="C1972" s="10">
        <v>58</v>
      </c>
      <c r="D1972" s="10" t="s">
        <v>730</v>
      </c>
      <c r="E1972" s="41" t="s">
        <v>731</v>
      </c>
      <c r="F1972" s="41" t="e">
        <v>#N/A</v>
      </c>
      <c r="G1972" s="7" t="s">
        <v>102</v>
      </c>
      <c r="H1972" s="7">
        <v>15</v>
      </c>
      <c r="I1972" s="10"/>
      <c r="J1972" s="10">
        <v>1</v>
      </c>
      <c r="K1972" s="10">
        <v>1</v>
      </c>
      <c r="L1972" s="43">
        <v>28</v>
      </c>
      <c r="M1972" s="43"/>
      <c r="N1972" s="12" t="s">
        <v>108</v>
      </c>
      <c r="V1972" s="45"/>
      <c r="W1972" s="14">
        <v>15</v>
      </c>
      <c r="X1972" s="29">
        <v>15</v>
      </c>
      <c r="Y1972" s="54" t="s">
        <v>57</v>
      </c>
      <c r="Z1972" t="s">
        <v>1523</v>
      </c>
      <c r="AA1972" t="s">
        <v>238</v>
      </c>
    </row>
    <row r="1973" spans="1:27" ht="23.1" customHeight="1" x14ac:dyDescent="0.25">
      <c r="A1973" s="53" t="s">
        <v>1489</v>
      </c>
      <c r="B1973" s="10" t="s">
        <v>137</v>
      </c>
      <c r="C1973" s="10">
        <v>57</v>
      </c>
      <c r="D1973" s="10" t="s">
        <v>1042</v>
      </c>
      <c r="E1973" s="41" t="s">
        <v>1281</v>
      </c>
      <c r="F1973" s="41" t="s">
        <v>1281</v>
      </c>
      <c r="G1973" s="7" t="s">
        <v>107</v>
      </c>
      <c r="H1973" s="7">
        <v>30</v>
      </c>
      <c r="I1973" s="10" t="s">
        <v>2242</v>
      </c>
      <c r="K1973" s="10">
        <v>1.7</v>
      </c>
      <c r="L1973" s="43">
        <v>28</v>
      </c>
      <c r="M1973" s="43">
        <v>28</v>
      </c>
      <c r="N1973" s="12" t="s">
        <v>1453</v>
      </c>
      <c r="P1973" s="10">
        <v>220</v>
      </c>
      <c r="T1973" s="10">
        <v>90</v>
      </c>
      <c r="V1973" s="45"/>
      <c r="X1973" s="29">
        <v>6.2</v>
      </c>
      <c r="Y1973" s="54" t="s">
        <v>57</v>
      </c>
    </row>
    <row r="1974" spans="1:27" ht="23.1" customHeight="1" x14ac:dyDescent="0.25">
      <c r="A1974" s="53" t="s">
        <v>1489</v>
      </c>
      <c r="B1974" s="10" t="s">
        <v>137</v>
      </c>
      <c r="C1974" s="10">
        <v>57</v>
      </c>
      <c r="D1974" s="10" t="s">
        <v>1031</v>
      </c>
      <c r="E1974" s="41" t="s">
        <v>1032</v>
      </c>
      <c r="F1974" s="41" t="s">
        <v>1032</v>
      </c>
      <c r="G1974" s="7" t="s">
        <v>107</v>
      </c>
      <c r="H1974" s="7">
        <v>35</v>
      </c>
      <c r="I1974" s="10" t="s">
        <v>2141</v>
      </c>
      <c r="K1974" s="10">
        <v>0.5</v>
      </c>
      <c r="L1974" s="43">
        <v>28</v>
      </c>
      <c r="M1974" s="43"/>
      <c r="N1974" s="12" t="s">
        <v>1033</v>
      </c>
      <c r="P1974" s="10">
        <v>540</v>
      </c>
      <c r="T1974" s="10">
        <v>100</v>
      </c>
      <c r="V1974" s="45">
        <v>1</v>
      </c>
      <c r="X1974" s="29">
        <v>6.2</v>
      </c>
      <c r="Y1974" s="54" t="s">
        <v>57</v>
      </c>
    </row>
    <row r="1975" spans="1:27" ht="23.1" customHeight="1" x14ac:dyDescent="0.25">
      <c r="A1975" s="53" t="s">
        <v>1489</v>
      </c>
      <c r="B1975" s="10" t="s">
        <v>137</v>
      </c>
      <c r="C1975" s="10">
        <v>9</v>
      </c>
      <c r="D1975" s="10" t="s">
        <v>1503</v>
      </c>
      <c r="E1975" s="41" t="s">
        <v>409</v>
      </c>
      <c r="F1975" s="41" t="s">
        <v>409</v>
      </c>
      <c r="G1975" s="7" t="s">
        <v>102</v>
      </c>
      <c r="H1975" s="7">
        <v>15</v>
      </c>
      <c r="I1975" s="10" t="s">
        <v>2286</v>
      </c>
      <c r="J1975" s="10">
        <v>1</v>
      </c>
      <c r="K1975" s="10">
        <v>1</v>
      </c>
      <c r="L1975" s="43">
        <v>31</v>
      </c>
      <c r="M1975" s="43"/>
      <c r="N1975" s="12" t="s">
        <v>596</v>
      </c>
      <c r="P1975" s="10">
        <v>80</v>
      </c>
      <c r="T1975" s="10">
        <v>90</v>
      </c>
      <c r="V1975" s="45">
        <v>1</v>
      </c>
      <c r="W1975" s="14">
        <v>2</v>
      </c>
      <c r="X1975" s="29">
        <v>4.8</v>
      </c>
      <c r="Y1975" s="54" t="s">
        <v>55</v>
      </c>
      <c r="Z1975" t="s">
        <v>1524</v>
      </c>
      <c r="AA1975" t="s">
        <v>238</v>
      </c>
    </row>
    <row r="1976" spans="1:27" ht="23.1" customHeight="1" x14ac:dyDescent="0.25">
      <c r="A1976" s="53" t="s">
        <v>1489</v>
      </c>
      <c r="B1976" s="10" t="s">
        <v>137</v>
      </c>
      <c r="C1976" s="10">
        <v>9</v>
      </c>
      <c r="D1976" s="10" t="s">
        <v>1525</v>
      </c>
      <c r="E1976" s="41" t="s">
        <v>1526</v>
      </c>
      <c r="F1976" s="41" t="e">
        <v>#N/A</v>
      </c>
      <c r="G1976" s="7" t="s">
        <v>102</v>
      </c>
      <c r="H1976" s="7">
        <v>5</v>
      </c>
      <c r="I1976" s="10"/>
      <c r="K1976" s="10">
        <v>1</v>
      </c>
      <c r="L1976" s="43">
        <v>28</v>
      </c>
      <c r="M1976" s="43"/>
      <c r="N1976" s="12" t="s">
        <v>108</v>
      </c>
      <c r="V1976" s="45"/>
      <c r="W1976" s="14">
        <v>2</v>
      </c>
      <c r="X1976" s="29">
        <v>2</v>
      </c>
      <c r="Y1976" s="54" t="s">
        <v>55</v>
      </c>
      <c r="Z1976" t="s">
        <v>1527</v>
      </c>
      <c r="AA1976" t="s">
        <v>238</v>
      </c>
    </row>
    <row r="1977" spans="1:27" ht="23.1" customHeight="1" x14ac:dyDescent="0.25">
      <c r="A1977" s="53" t="s">
        <v>1489</v>
      </c>
      <c r="B1977" s="10" t="s">
        <v>137</v>
      </c>
      <c r="C1977" s="10">
        <v>9</v>
      </c>
      <c r="D1977" s="10" t="s">
        <v>1525</v>
      </c>
      <c r="E1977" s="41" t="s">
        <v>1526</v>
      </c>
      <c r="F1977" s="41" t="e">
        <v>#N/A</v>
      </c>
      <c r="G1977" s="7" t="s">
        <v>102</v>
      </c>
      <c r="H1977" s="7">
        <v>10</v>
      </c>
      <c r="I1977" s="10"/>
      <c r="K1977" s="10">
        <v>1</v>
      </c>
      <c r="L1977" s="43"/>
      <c r="M1977" s="43">
        <v>28</v>
      </c>
      <c r="N1977" s="12" t="s">
        <v>108</v>
      </c>
      <c r="V1977" s="45"/>
      <c r="W1977" s="14">
        <v>2</v>
      </c>
      <c r="X1977" s="29">
        <v>2</v>
      </c>
      <c r="Y1977" s="54" t="s">
        <v>55</v>
      </c>
      <c r="Z1977" t="s">
        <v>1527</v>
      </c>
      <c r="AA1977" t="s">
        <v>238</v>
      </c>
    </row>
    <row r="1978" spans="1:27" ht="23.1" customHeight="1" x14ac:dyDescent="0.25">
      <c r="A1978" s="53" t="s">
        <v>1489</v>
      </c>
      <c r="B1978" s="10" t="s">
        <v>137</v>
      </c>
      <c r="C1978" s="10">
        <v>9</v>
      </c>
      <c r="D1978" s="10" t="s">
        <v>1525</v>
      </c>
      <c r="E1978" s="41" t="s">
        <v>1526</v>
      </c>
      <c r="F1978" s="41" t="e">
        <v>#N/A</v>
      </c>
      <c r="G1978" s="7" t="s">
        <v>102</v>
      </c>
      <c r="H1978" s="7">
        <v>15</v>
      </c>
      <c r="I1978" s="10"/>
      <c r="K1978" s="10">
        <v>1</v>
      </c>
      <c r="L1978" s="43"/>
      <c r="M1978" s="43">
        <v>28</v>
      </c>
      <c r="N1978" s="12" t="s">
        <v>108</v>
      </c>
      <c r="V1978" s="45"/>
      <c r="W1978" s="14">
        <v>2</v>
      </c>
      <c r="X1978" s="29">
        <v>2</v>
      </c>
      <c r="Y1978" s="54" t="s">
        <v>55</v>
      </c>
      <c r="Z1978" t="s">
        <v>1527</v>
      </c>
      <c r="AA1978" t="s">
        <v>238</v>
      </c>
    </row>
    <row r="1979" spans="1:27" ht="23.1" customHeight="1" x14ac:dyDescent="0.25">
      <c r="A1979" s="53" t="s">
        <v>1489</v>
      </c>
      <c r="B1979" s="10" t="s">
        <v>137</v>
      </c>
      <c r="C1979" s="10">
        <v>10</v>
      </c>
      <c r="D1979" s="10" t="s">
        <v>217</v>
      </c>
      <c r="E1979" s="41" t="s">
        <v>218</v>
      </c>
      <c r="F1979" s="41" t="s">
        <v>218</v>
      </c>
      <c r="G1979" s="7" t="s">
        <v>107</v>
      </c>
      <c r="H1979" s="7">
        <v>55</v>
      </c>
      <c r="I1979" s="10" t="s">
        <v>2287</v>
      </c>
      <c r="J1979" s="10">
        <v>2</v>
      </c>
      <c r="K1979" s="10">
        <v>2</v>
      </c>
      <c r="L1979" s="43">
        <v>31</v>
      </c>
      <c r="M1979" s="43">
        <v>31</v>
      </c>
      <c r="N1979" s="12" t="s">
        <v>456</v>
      </c>
      <c r="P1979" s="10">
        <v>270</v>
      </c>
      <c r="T1979" s="10">
        <v>90</v>
      </c>
      <c r="V1979" s="45"/>
      <c r="W1979" s="14">
        <v>2</v>
      </c>
      <c r="X1979" s="29">
        <v>11</v>
      </c>
      <c r="Y1979" s="54" t="s">
        <v>55</v>
      </c>
      <c r="Z1979" t="s">
        <v>1461</v>
      </c>
      <c r="AA1979" t="s">
        <v>238</v>
      </c>
    </row>
    <row r="1980" spans="1:27" ht="23.1" customHeight="1" x14ac:dyDescent="0.25">
      <c r="A1980" s="53" t="s">
        <v>1489</v>
      </c>
      <c r="B1980" s="10" t="s">
        <v>137</v>
      </c>
      <c r="C1980" s="10">
        <v>59</v>
      </c>
      <c r="D1980" s="10" t="s">
        <v>1515</v>
      </c>
      <c r="E1980" s="41" t="s">
        <v>1516</v>
      </c>
      <c r="F1980" s="41" t="e">
        <v>#N/A</v>
      </c>
      <c r="G1980" s="7" t="s">
        <v>102</v>
      </c>
      <c r="H1980" s="7">
        <v>15</v>
      </c>
      <c r="I1980" s="10"/>
      <c r="K1980" s="10">
        <v>1</v>
      </c>
      <c r="L1980" s="43">
        <v>31</v>
      </c>
      <c r="M1980" s="43"/>
      <c r="N1980" s="12" t="s">
        <v>108</v>
      </c>
      <c r="V1980" s="45">
        <v>1</v>
      </c>
      <c r="W1980" s="14">
        <v>5</v>
      </c>
      <c r="X1980" s="29">
        <v>5</v>
      </c>
      <c r="Y1980" s="54" t="s">
        <v>42</v>
      </c>
      <c r="Z1980" t="s">
        <v>1502</v>
      </c>
      <c r="AA1980" t="s">
        <v>238</v>
      </c>
    </row>
    <row r="1981" spans="1:27" ht="23.1" customHeight="1" x14ac:dyDescent="0.25">
      <c r="A1981" s="53" t="s">
        <v>1489</v>
      </c>
      <c r="B1981" s="10" t="s">
        <v>137</v>
      </c>
      <c r="C1981" s="10">
        <v>59</v>
      </c>
      <c r="D1981" s="10" t="s">
        <v>1428</v>
      </c>
      <c r="E1981" s="41" t="s">
        <v>1452</v>
      </c>
      <c r="F1981" s="41" t="s">
        <v>1452</v>
      </c>
      <c r="G1981" s="7" t="s">
        <v>102</v>
      </c>
      <c r="H1981" s="7">
        <v>30</v>
      </c>
      <c r="I1981" s="10" t="s">
        <v>1990</v>
      </c>
      <c r="K1981" s="10">
        <v>0.2</v>
      </c>
      <c r="L1981" s="43">
        <v>26</v>
      </c>
      <c r="M1981" s="43"/>
      <c r="N1981" s="12" t="s">
        <v>596</v>
      </c>
      <c r="P1981" s="10">
        <v>80</v>
      </c>
      <c r="T1981" s="10">
        <v>60</v>
      </c>
      <c r="V1981" s="45"/>
      <c r="X1981" s="29">
        <v>0.3</v>
      </c>
      <c r="Y1981" s="54" t="s">
        <v>42</v>
      </c>
      <c r="Z1981" t="s">
        <v>1269</v>
      </c>
      <c r="AA1981" t="s">
        <v>238</v>
      </c>
    </row>
    <row r="1982" spans="1:27" ht="23.1" customHeight="1" x14ac:dyDescent="0.25">
      <c r="A1982" s="53" t="s">
        <v>1489</v>
      </c>
      <c r="B1982" s="10" t="s">
        <v>137</v>
      </c>
      <c r="C1982" s="10">
        <v>11</v>
      </c>
      <c r="D1982" s="10" t="s">
        <v>1498</v>
      </c>
      <c r="E1982" s="41" t="s">
        <v>1499</v>
      </c>
      <c r="F1982" s="41" t="e">
        <v>#N/A</v>
      </c>
      <c r="G1982" s="7" t="s">
        <v>102</v>
      </c>
      <c r="H1982" s="7">
        <v>20</v>
      </c>
      <c r="I1982" s="10"/>
      <c r="K1982" s="10">
        <v>1</v>
      </c>
      <c r="L1982" s="43">
        <v>31</v>
      </c>
      <c r="M1982" s="43"/>
      <c r="N1982" s="12" t="s">
        <v>108</v>
      </c>
      <c r="V1982" s="45">
        <v>1</v>
      </c>
      <c r="W1982" s="14">
        <v>6</v>
      </c>
      <c r="X1982" s="29">
        <v>6</v>
      </c>
      <c r="Y1982" s="54" t="s">
        <v>38</v>
      </c>
    </row>
    <row r="1983" spans="1:27" ht="23.1" customHeight="1" x14ac:dyDescent="0.25">
      <c r="A1983" s="53" t="s">
        <v>1489</v>
      </c>
      <c r="B1983" s="10" t="s">
        <v>137</v>
      </c>
      <c r="C1983" s="10">
        <v>11</v>
      </c>
      <c r="D1983" s="10" t="s">
        <v>1528</v>
      </c>
      <c r="E1983" s="41" t="s">
        <v>1529</v>
      </c>
      <c r="F1983" s="41" t="e">
        <v>#N/A</v>
      </c>
      <c r="G1983" s="7" t="s">
        <v>102</v>
      </c>
      <c r="H1983" s="7">
        <v>10</v>
      </c>
      <c r="I1983" s="10"/>
      <c r="K1983" s="10">
        <v>1</v>
      </c>
      <c r="L1983" s="43">
        <v>37</v>
      </c>
      <c r="M1983" s="43">
        <v>37</v>
      </c>
      <c r="N1983" s="12" t="s">
        <v>108</v>
      </c>
      <c r="V1983" s="45">
        <v>1</v>
      </c>
      <c r="W1983" s="14">
        <v>6</v>
      </c>
      <c r="X1983" s="29">
        <v>6</v>
      </c>
      <c r="Y1983" s="54" t="s">
        <v>38</v>
      </c>
    </row>
    <row r="1984" spans="1:27" ht="23.1" customHeight="1" x14ac:dyDescent="0.25">
      <c r="A1984" s="53" t="s">
        <v>1489</v>
      </c>
      <c r="B1984" s="10" t="s">
        <v>137</v>
      </c>
      <c r="C1984" s="10">
        <v>18</v>
      </c>
      <c r="D1984" s="10" t="s">
        <v>921</v>
      </c>
      <c r="E1984" s="41" t="s">
        <v>919</v>
      </c>
      <c r="F1984" s="41" t="s">
        <v>919</v>
      </c>
      <c r="G1984" s="7" t="s">
        <v>323</v>
      </c>
      <c r="H1984" s="7">
        <v>25</v>
      </c>
      <c r="I1984" s="10" t="s">
        <v>2149</v>
      </c>
      <c r="K1984" s="10">
        <v>2</v>
      </c>
      <c r="L1984" s="43">
        <v>28</v>
      </c>
      <c r="M1984" s="43">
        <v>28</v>
      </c>
      <c r="N1984" s="12" t="s">
        <v>860</v>
      </c>
      <c r="P1984" s="10">
        <v>220</v>
      </c>
      <c r="T1984" s="10">
        <v>90</v>
      </c>
      <c r="V1984" s="45"/>
      <c r="X1984" s="29">
        <v>7.3</v>
      </c>
      <c r="Y1984" s="54" t="s">
        <v>43</v>
      </c>
    </row>
    <row r="1985" spans="1:27" ht="23.1" customHeight="1" x14ac:dyDescent="0.25">
      <c r="A1985" s="53" t="s">
        <v>1489</v>
      </c>
      <c r="B1985" s="10" t="s">
        <v>137</v>
      </c>
      <c r="C1985" s="10">
        <v>18</v>
      </c>
      <c r="D1985" s="10" t="s">
        <v>1030</v>
      </c>
      <c r="E1985" s="41" t="s">
        <v>919</v>
      </c>
      <c r="F1985" s="41" t="s">
        <v>919</v>
      </c>
      <c r="G1985" s="7" t="s">
        <v>323</v>
      </c>
      <c r="H1985" s="7">
        <v>25</v>
      </c>
      <c r="I1985" s="10" t="s">
        <v>2391</v>
      </c>
      <c r="K1985" s="10">
        <v>2</v>
      </c>
      <c r="L1985" s="43">
        <v>28</v>
      </c>
      <c r="M1985" s="43">
        <v>31</v>
      </c>
      <c r="N1985" s="12" t="s">
        <v>778</v>
      </c>
      <c r="P1985" s="10">
        <v>220</v>
      </c>
      <c r="T1985" s="10">
        <v>90</v>
      </c>
      <c r="V1985" s="45">
        <v>1</v>
      </c>
      <c r="X1985" s="29">
        <v>8.8000000000000007</v>
      </c>
      <c r="Y1985" s="54" t="s">
        <v>43</v>
      </c>
    </row>
    <row r="1986" spans="1:27" ht="23.1" customHeight="1" x14ac:dyDescent="0.25">
      <c r="A1986" s="53" t="s">
        <v>1489</v>
      </c>
      <c r="B1986" s="10" t="s">
        <v>113</v>
      </c>
      <c r="C1986" s="10">
        <v>12</v>
      </c>
      <c r="D1986" s="10" t="s">
        <v>248</v>
      </c>
      <c r="E1986" s="41" t="s">
        <v>249</v>
      </c>
      <c r="F1986" s="41" t="s">
        <v>249</v>
      </c>
      <c r="G1986" s="7" t="s">
        <v>250</v>
      </c>
      <c r="H1986" s="7">
        <v>15</v>
      </c>
      <c r="I1986" s="10" t="s">
        <v>1903</v>
      </c>
      <c r="J1986" s="10">
        <v>1.5</v>
      </c>
      <c r="K1986" s="10">
        <v>1.5</v>
      </c>
      <c r="L1986" s="43">
        <v>28</v>
      </c>
      <c r="M1986" s="43">
        <v>28</v>
      </c>
      <c r="N1986" s="12" t="s">
        <v>1530</v>
      </c>
      <c r="P1986" s="10">
        <v>600</v>
      </c>
      <c r="T1986" s="10">
        <v>120</v>
      </c>
      <c r="V1986" s="45"/>
      <c r="X1986" s="29">
        <v>15</v>
      </c>
      <c r="Y1986" s="54" t="s">
        <v>10</v>
      </c>
    </row>
    <row r="1987" spans="1:27" ht="23.1" customHeight="1" x14ac:dyDescent="0.25">
      <c r="A1987" s="53" t="s">
        <v>1489</v>
      </c>
      <c r="B1987" s="10" t="s">
        <v>113</v>
      </c>
      <c r="C1987" s="10">
        <v>69</v>
      </c>
      <c r="D1987" s="10" t="s">
        <v>484</v>
      </c>
      <c r="E1987" s="41" t="s">
        <v>485</v>
      </c>
      <c r="F1987" s="41" t="s">
        <v>485</v>
      </c>
      <c r="G1987" s="7" t="s">
        <v>300</v>
      </c>
      <c r="H1987" s="7">
        <v>30</v>
      </c>
      <c r="I1987" s="10" t="s">
        <v>2392</v>
      </c>
      <c r="J1987" s="10">
        <v>0.6</v>
      </c>
      <c r="K1987" s="10">
        <v>0.8</v>
      </c>
      <c r="L1987" s="43">
        <v>28</v>
      </c>
      <c r="M1987" s="43"/>
      <c r="N1987" s="12" t="s">
        <v>456</v>
      </c>
      <c r="P1987" s="10">
        <v>960</v>
      </c>
      <c r="Q1987" s="10">
        <v>120</v>
      </c>
      <c r="T1987" s="10">
        <v>180</v>
      </c>
      <c r="V1987" s="45"/>
      <c r="X1987" s="29">
        <v>12.8</v>
      </c>
      <c r="Y1987" s="54" t="s">
        <v>25</v>
      </c>
    </row>
    <row r="1988" spans="1:27" ht="23.1" customHeight="1" x14ac:dyDescent="0.25">
      <c r="A1988" s="53" t="s">
        <v>1489</v>
      </c>
      <c r="B1988" s="10" t="s">
        <v>113</v>
      </c>
      <c r="C1988" s="10">
        <v>69</v>
      </c>
      <c r="D1988" s="10" t="s">
        <v>484</v>
      </c>
      <c r="E1988" s="41" t="s">
        <v>485</v>
      </c>
      <c r="F1988" s="41" t="s">
        <v>485</v>
      </c>
      <c r="G1988" s="7" t="s">
        <v>300</v>
      </c>
      <c r="H1988" s="7">
        <v>32</v>
      </c>
      <c r="I1988" s="10"/>
      <c r="K1988" s="10">
        <v>1</v>
      </c>
      <c r="L1988" s="43">
        <v>28</v>
      </c>
      <c r="M1988" s="43"/>
      <c r="N1988" s="12" t="s">
        <v>456</v>
      </c>
      <c r="O1988" s="10">
        <v>150</v>
      </c>
      <c r="R1988" s="10">
        <v>120</v>
      </c>
      <c r="S1988" s="11">
        <v>1</v>
      </c>
      <c r="U1988" s="10">
        <v>180</v>
      </c>
      <c r="V1988" s="45">
        <v>1</v>
      </c>
      <c r="X1988" s="32">
        <v>7.5</v>
      </c>
      <c r="Y1988" s="54" t="s">
        <v>25</v>
      </c>
    </row>
    <row r="1989" spans="1:27" ht="23.1" customHeight="1" x14ac:dyDescent="0.25">
      <c r="A1989" s="53" t="s">
        <v>1489</v>
      </c>
      <c r="B1989" s="10" t="s">
        <v>113</v>
      </c>
      <c r="C1989" s="10">
        <v>91</v>
      </c>
      <c r="D1989" s="10" t="s">
        <v>254</v>
      </c>
      <c r="E1989" s="41" t="s">
        <v>1016</v>
      </c>
      <c r="F1989" s="41" t="s">
        <v>1016</v>
      </c>
      <c r="G1989" s="7" t="s">
        <v>375</v>
      </c>
      <c r="H1989" s="7">
        <v>40</v>
      </c>
      <c r="I1989" s="10" t="s">
        <v>2110</v>
      </c>
      <c r="J1989" s="10">
        <v>0.3</v>
      </c>
      <c r="K1989" s="10">
        <v>0.3</v>
      </c>
      <c r="L1989" s="43">
        <v>28</v>
      </c>
      <c r="M1989" s="43"/>
      <c r="N1989" s="12" t="s">
        <v>475</v>
      </c>
      <c r="P1989" s="10">
        <v>3000</v>
      </c>
      <c r="Q1989" s="10">
        <v>90</v>
      </c>
      <c r="T1989" s="10">
        <v>120</v>
      </c>
      <c r="V1989" s="45"/>
      <c r="X1989" s="29">
        <v>15</v>
      </c>
      <c r="Y1989" s="54" t="s">
        <v>25</v>
      </c>
    </row>
    <row r="1990" spans="1:27" ht="23.1" customHeight="1" x14ac:dyDescent="0.25">
      <c r="A1990" s="53" t="s">
        <v>1489</v>
      </c>
      <c r="B1990" s="10" t="s">
        <v>113</v>
      </c>
      <c r="C1990" s="10">
        <v>119</v>
      </c>
      <c r="D1990" s="10" t="s">
        <v>1097</v>
      </c>
      <c r="E1990" s="41" t="s">
        <v>1098</v>
      </c>
      <c r="F1990" s="41" t="s">
        <v>1098</v>
      </c>
      <c r="G1990" s="7" t="s">
        <v>250</v>
      </c>
      <c r="H1990" s="7">
        <v>55</v>
      </c>
      <c r="I1990" s="10" t="s">
        <v>2276</v>
      </c>
      <c r="J1990" s="10">
        <v>2</v>
      </c>
      <c r="K1990" s="10">
        <v>1.8</v>
      </c>
      <c r="L1990" s="43">
        <v>28</v>
      </c>
      <c r="M1990" s="43">
        <v>31</v>
      </c>
      <c r="N1990" s="12" t="s">
        <v>1531</v>
      </c>
      <c r="P1990" s="10">
        <v>540</v>
      </c>
      <c r="Q1990" s="10">
        <v>60</v>
      </c>
      <c r="S1990" s="11">
        <v>1</v>
      </c>
      <c r="T1990" s="10">
        <v>90</v>
      </c>
      <c r="V1990" s="45"/>
      <c r="X1990" s="29">
        <v>17.2</v>
      </c>
      <c r="Y1990" s="54" t="s">
        <v>25</v>
      </c>
    </row>
    <row r="1991" spans="1:27" ht="23.1" customHeight="1" x14ac:dyDescent="0.25">
      <c r="A1991" s="53" t="s">
        <v>1489</v>
      </c>
      <c r="B1991" s="10" t="s">
        <v>113</v>
      </c>
      <c r="C1991" s="10">
        <v>121</v>
      </c>
      <c r="D1991" s="10" t="s">
        <v>288</v>
      </c>
      <c r="E1991" s="41" t="s">
        <v>1532</v>
      </c>
      <c r="F1991" s="41" t="s">
        <v>1532</v>
      </c>
      <c r="G1991" s="7" t="s">
        <v>250</v>
      </c>
      <c r="H1991" s="7">
        <v>50</v>
      </c>
      <c r="I1991" s="10" t="s">
        <v>2021</v>
      </c>
      <c r="J1991" s="10">
        <v>0.3</v>
      </c>
      <c r="K1991" s="10">
        <v>0.3</v>
      </c>
      <c r="L1991" s="43">
        <v>28</v>
      </c>
      <c r="M1991" s="43"/>
      <c r="N1991" s="12" t="s">
        <v>155</v>
      </c>
      <c r="P1991" s="10">
        <v>3000</v>
      </c>
      <c r="Q1991" s="10">
        <v>90</v>
      </c>
      <c r="T1991" s="10">
        <v>150</v>
      </c>
      <c r="V1991" s="45"/>
      <c r="X1991" s="29">
        <v>15</v>
      </c>
      <c r="Y1991" s="54" t="s">
        <v>25</v>
      </c>
    </row>
    <row r="1992" spans="1:27" ht="23.1" customHeight="1" x14ac:dyDescent="0.25">
      <c r="A1992" s="53" t="s">
        <v>1489</v>
      </c>
      <c r="B1992" s="10" t="s">
        <v>113</v>
      </c>
      <c r="C1992" s="10">
        <v>24</v>
      </c>
      <c r="D1992" s="10" t="s">
        <v>776</v>
      </c>
      <c r="E1992" s="41" t="s">
        <v>777</v>
      </c>
      <c r="F1992" s="41" t="s">
        <v>777</v>
      </c>
      <c r="G1992" s="7" t="s">
        <v>107</v>
      </c>
      <c r="H1992" s="7">
        <v>25</v>
      </c>
      <c r="I1992" s="10" t="s">
        <v>2035</v>
      </c>
      <c r="K1992" s="10">
        <v>0.5</v>
      </c>
      <c r="L1992" s="43">
        <v>28</v>
      </c>
      <c r="M1992" s="43"/>
      <c r="N1992" s="12" t="s">
        <v>684</v>
      </c>
      <c r="P1992" s="10">
        <v>840</v>
      </c>
      <c r="Q1992" s="10">
        <v>120</v>
      </c>
      <c r="T1992" s="10">
        <v>150</v>
      </c>
      <c r="V1992" s="45"/>
      <c r="W1992" s="14">
        <v>6.5</v>
      </c>
      <c r="X1992" s="29">
        <v>13.5</v>
      </c>
      <c r="Y1992" s="54" t="s">
        <v>25</v>
      </c>
      <c r="Z1992" s="57" t="s">
        <v>1533</v>
      </c>
    </row>
    <row r="1993" spans="1:27" ht="23.1" customHeight="1" x14ac:dyDescent="0.25">
      <c r="A1993" s="53" t="s">
        <v>1489</v>
      </c>
      <c r="B1993" s="10" t="s">
        <v>113</v>
      </c>
      <c r="C1993" s="10">
        <v>84</v>
      </c>
      <c r="D1993" s="10" t="s">
        <v>1047</v>
      </c>
      <c r="E1993" s="41" t="s">
        <v>424</v>
      </c>
      <c r="F1993" s="41" t="s">
        <v>424</v>
      </c>
      <c r="G1993" s="7" t="s">
        <v>107</v>
      </c>
      <c r="H1993" s="7">
        <v>40</v>
      </c>
      <c r="I1993" s="10" t="s">
        <v>2096</v>
      </c>
      <c r="L1993" s="43">
        <v>28</v>
      </c>
      <c r="M1993" s="43"/>
      <c r="N1993" s="12" t="s">
        <v>1440</v>
      </c>
      <c r="P1993" s="10">
        <v>360</v>
      </c>
      <c r="Q1993" s="10">
        <v>30</v>
      </c>
      <c r="T1993" s="10">
        <v>120</v>
      </c>
      <c r="V1993" s="45"/>
      <c r="W1993" s="14">
        <v>10.4</v>
      </c>
      <c r="X1993" s="29">
        <v>10.4</v>
      </c>
      <c r="Y1993" s="54" t="s">
        <v>25</v>
      </c>
      <c r="Z1993" t="s">
        <v>1534</v>
      </c>
    </row>
    <row r="1994" spans="1:27" ht="23.1" customHeight="1" x14ac:dyDescent="0.25">
      <c r="A1994" s="53" t="s">
        <v>1489</v>
      </c>
      <c r="B1994" s="10" t="s">
        <v>113</v>
      </c>
      <c r="C1994" s="10">
        <v>16</v>
      </c>
      <c r="D1994" s="10" t="s">
        <v>1535</v>
      </c>
      <c r="E1994" s="41" t="s">
        <v>1536</v>
      </c>
      <c r="F1994" s="41" t="s">
        <v>1536</v>
      </c>
      <c r="G1994" s="7" t="s">
        <v>123</v>
      </c>
      <c r="H1994" s="7">
        <v>20</v>
      </c>
      <c r="I1994" s="10" t="s">
        <v>2280</v>
      </c>
      <c r="K1994" s="10">
        <v>2.7</v>
      </c>
      <c r="L1994" s="43">
        <v>9</v>
      </c>
      <c r="M1994" s="43">
        <v>9</v>
      </c>
      <c r="N1994" s="12" t="s">
        <v>1440</v>
      </c>
      <c r="P1994" s="10">
        <v>180</v>
      </c>
      <c r="T1994" s="10">
        <v>90</v>
      </c>
      <c r="V1994" s="45"/>
      <c r="X1994" s="29">
        <v>8.1</v>
      </c>
      <c r="Y1994" s="54" t="s">
        <v>25</v>
      </c>
    </row>
    <row r="1995" spans="1:27" ht="23.1" customHeight="1" x14ac:dyDescent="0.25">
      <c r="A1995" s="53" t="s">
        <v>1489</v>
      </c>
      <c r="B1995" s="10" t="s">
        <v>113</v>
      </c>
      <c r="C1995" s="10">
        <v>108</v>
      </c>
      <c r="D1995" s="10" t="s">
        <v>886</v>
      </c>
      <c r="E1995" s="41" t="s">
        <v>887</v>
      </c>
      <c r="F1995" s="41" t="s">
        <v>887</v>
      </c>
      <c r="G1995" s="7" t="s">
        <v>154</v>
      </c>
      <c r="H1995" s="7">
        <v>55</v>
      </c>
      <c r="I1995" s="10" t="s">
        <v>2278</v>
      </c>
      <c r="J1995" s="10">
        <v>1</v>
      </c>
      <c r="K1995" s="10">
        <v>0.5</v>
      </c>
      <c r="L1995" s="43">
        <v>28</v>
      </c>
      <c r="M1995" s="43"/>
      <c r="N1995" s="12" t="s">
        <v>159</v>
      </c>
      <c r="P1995" s="10">
        <v>1440</v>
      </c>
      <c r="Q1995" s="10">
        <v>60</v>
      </c>
      <c r="T1995" s="10">
        <v>90</v>
      </c>
      <c r="V1995" s="45"/>
      <c r="X1995" s="29">
        <v>12</v>
      </c>
      <c r="Y1995" s="54" t="s">
        <v>13</v>
      </c>
    </row>
    <row r="1996" spans="1:27" ht="23.1" customHeight="1" x14ac:dyDescent="0.25">
      <c r="A1996" s="53" t="s">
        <v>1489</v>
      </c>
      <c r="B1996" s="10" t="s">
        <v>113</v>
      </c>
      <c r="C1996" s="10">
        <v>108</v>
      </c>
      <c r="D1996" s="10" t="s">
        <v>886</v>
      </c>
      <c r="E1996" s="41" t="s">
        <v>887</v>
      </c>
      <c r="F1996" s="41" t="s">
        <v>887</v>
      </c>
      <c r="G1996" s="7" t="s">
        <v>154</v>
      </c>
      <c r="H1996" s="7">
        <v>65</v>
      </c>
      <c r="I1996" s="10" t="s">
        <v>2282</v>
      </c>
      <c r="J1996" s="10">
        <v>1</v>
      </c>
      <c r="K1996" s="10">
        <v>1</v>
      </c>
      <c r="L1996" s="43">
        <v>28</v>
      </c>
      <c r="M1996" s="43"/>
      <c r="N1996" s="12" t="s">
        <v>159</v>
      </c>
      <c r="P1996" s="10">
        <v>90</v>
      </c>
      <c r="Q1996" s="10">
        <v>60</v>
      </c>
      <c r="S1996" s="11">
        <v>1</v>
      </c>
      <c r="T1996" s="10">
        <v>90</v>
      </c>
      <c r="V1996" s="45">
        <v>1</v>
      </c>
      <c r="X1996" s="29">
        <v>4</v>
      </c>
      <c r="Y1996" s="54" t="s">
        <v>13</v>
      </c>
    </row>
    <row r="1997" spans="1:27" ht="23.1" customHeight="1" x14ac:dyDescent="0.25">
      <c r="A1997" s="53" t="s">
        <v>1489</v>
      </c>
      <c r="B1997" s="10" t="s">
        <v>113</v>
      </c>
      <c r="C1997" s="10">
        <v>77</v>
      </c>
      <c r="D1997" s="10" t="s">
        <v>1465</v>
      </c>
      <c r="E1997" s="41" t="s">
        <v>1466</v>
      </c>
      <c r="F1997" s="41" t="s">
        <v>1466</v>
      </c>
      <c r="G1997" s="7" t="s">
        <v>102</v>
      </c>
      <c r="H1997" s="7">
        <v>25</v>
      </c>
      <c r="I1997" s="10" t="s">
        <v>2285</v>
      </c>
      <c r="J1997" s="10">
        <v>31</v>
      </c>
      <c r="K1997" s="10">
        <v>28</v>
      </c>
      <c r="L1997" s="43">
        <v>28</v>
      </c>
      <c r="M1997" s="43"/>
      <c r="N1997" s="12" t="s">
        <v>728</v>
      </c>
      <c r="P1997" s="10">
        <v>30</v>
      </c>
      <c r="T1997" s="10">
        <v>60</v>
      </c>
      <c r="V1997" s="45"/>
      <c r="X1997" s="29">
        <v>14</v>
      </c>
      <c r="Y1997" s="54" t="s">
        <v>24</v>
      </c>
    </row>
    <row r="1998" spans="1:27" ht="23.1" customHeight="1" x14ac:dyDescent="0.25">
      <c r="A1998" s="53" t="s">
        <v>1489</v>
      </c>
      <c r="B1998" s="10" t="s">
        <v>113</v>
      </c>
      <c r="C1998" s="10">
        <v>18</v>
      </c>
      <c r="D1998" s="10" t="s">
        <v>918</v>
      </c>
      <c r="E1998" s="41" t="s">
        <v>919</v>
      </c>
      <c r="F1998" s="41" t="s">
        <v>919</v>
      </c>
      <c r="G1998" s="7" t="s">
        <v>323</v>
      </c>
      <c r="H1998" s="7">
        <v>25</v>
      </c>
      <c r="I1998" s="10" t="s">
        <v>2149</v>
      </c>
      <c r="K1998" s="10">
        <v>3</v>
      </c>
      <c r="L1998" s="43">
        <v>31</v>
      </c>
      <c r="M1998" s="43">
        <v>31</v>
      </c>
      <c r="N1998" s="12" t="s">
        <v>778</v>
      </c>
      <c r="P1998" s="10">
        <v>220</v>
      </c>
      <c r="T1998" s="10">
        <v>90</v>
      </c>
      <c r="V1998" s="45"/>
      <c r="X1998" s="29">
        <v>11</v>
      </c>
      <c r="Y1998" s="54" t="s">
        <v>43</v>
      </c>
    </row>
    <row r="1999" spans="1:27" ht="23.1" customHeight="1" x14ac:dyDescent="0.25">
      <c r="A1999" s="53" t="s">
        <v>1489</v>
      </c>
      <c r="B1999" s="10" t="s">
        <v>113</v>
      </c>
      <c r="C1999" s="10">
        <v>59</v>
      </c>
      <c r="D1999" s="10" t="s">
        <v>1428</v>
      </c>
      <c r="E1999" s="41" t="s">
        <v>1452</v>
      </c>
      <c r="F1999" s="41" t="s">
        <v>1452</v>
      </c>
      <c r="G1999" s="7" t="s">
        <v>102</v>
      </c>
      <c r="H1999" s="7">
        <v>30</v>
      </c>
      <c r="I1999" s="10" t="s">
        <v>1990</v>
      </c>
      <c r="K1999" s="10">
        <v>1.8</v>
      </c>
      <c r="L1999" s="43">
        <v>26</v>
      </c>
      <c r="M1999" s="43">
        <v>26</v>
      </c>
      <c r="N1999" s="12" t="s">
        <v>596</v>
      </c>
      <c r="P1999" s="10">
        <v>80</v>
      </c>
      <c r="T1999" s="10">
        <v>60</v>
      </c>
      <c r="V1999" s="45"/>
      <c r="X1999" s="29">
        <v>2.4</v>
      </c>
      <c r="Y1999" s="54" t="s">
        <v>6</v>
      </c>
      <c r="Z1999" t="s">
        <v>1537</v>
      </c>
    </row>
    <row r="2000" spans="1:27" ht="23.1" customHeight="1" x14ac:dyDescent="0.25">
      <c r="A2000" s="53" t="s">
        <v>1489</v>
      </c>
      <c r="B2000" s="10" t="s">
        <v>113</v>
      </c>
      <c r="C2000" s="10">
        <v>59</v>
      </c>
      <c r="D2000" s="10" t="s">
        <v>1428</v>
      </c>
      <c r="E2000" s="41" t="s">
        <v>1452</v>
      </c>
      <c r="F2000" s="41" t="s">
        <v>1452</v>
      </c>
      <c r="G2000" s="7" t="s">
        <v>102</v>
      </c>
      <c r="H2000" s="7">
        <v>35</v>
      </c>
      <c r="I2000" s="10" t="s">
        <v>2288</v>
      </c>
      <c r="K2000" s="10">
        <v>2</v>
      </c>
      <c r="L2000" s="43">
        <v>28</v>
      </c>
      <c r="M2000" s="43">
        <v>28</v>
      </c>
      <c r="N2000" s="12" t="s">
        <v>596</v>
      </c>
      <c r="P2000" s="10">
        <v>20</v>
      </c>
      <c r="T2000" s="10">
        <v>60</v>
      </c>
      <c r="V2000" s="45">
        <v>1</v>
      </c>
      <c r="W2000" s="14">
        <v>4</v>
      </c>
      <c r="X2000" s="29">
        <v>5.7</v>
      </c>
      <c r="Y2000" s="54" t="s">
        <v>6</v>
      </c>
      <c r="Z2000" t="s">
        <v>1538</v>
      </c>
      <c r="AA2000" s="1" t="s">
        <v>238</v>
      </c>
    </row>
    <row r="2001" spans="1:27" ht="23.1" customHeight="1" x14ac:dyDescent="0.25">
      <c r="A2001" s="53" t="s">
        <v>1489</v>
      </c>
      <c r="B2001" s="10" t="s">
        <v>113</v>
      </c>
      <c r="C2001" s="10">
        <v>21</v>
      </c>
      <c r="D2001" s="10" t="s">
        <v>321</v>
      </c>
      <c r="E2001" s="41" t="s">
        <v>322</v>
      </c>
      <c r="F2001" s="41" t="s">
        <v>322</v>
      </c>
      <c r="G2001" s="7" t="s">
        <v>323</v>
      </c>
      <c r="H2001" s="7">
        <v>35</v>
      </c>
      <c r="I2001" s="10" t="s">
        <v>1925</v>
      </c>
      <c r="J2001" s="10">
        <v>1</v>
      </c>
      <c r="K2001" s="10">
        <v>1.5</v>
      </c>
      <c r="L2001" s="43">
        <v>37</v>
      </c>
      <c r="M2001" s="43">
        <v>28</v>
      </c>
      <c r="N2001" s="12" t="s">
        <v>1500</v>
      </c>
      <c r="P2001" s="10">
        <v>480</v>
      </c>
      <c r="Q2001" s="10">
        <v>120</v>
      </c>
      <c r="S2001" s="11">
        <v>1</v>
      </c>
      <c r="T2001" s="10">
        <v>180</v>
      </c>
      <c r="V2001" s="45"/>
      <c r="X2001" s="29">
        <v>14</v>
      </c>
      <c r="Y2001" s="54" t="s">
        <v>49</v>
      </c>
    </row>
    <row r="2002" spans="1:27" ht="23.1" customHeight="1" x14ac:dyDescent="0.25">
      <c r="A2002" s="53" t="s">
        <v>1489</v>
      </c>
      <c r="B2002" s="10" t="s">
        <v>113</v>
      </c>
      <c r="C2002" s="10">
        <v>15</v>
      </c>
      <c r="D2002" s="10" t="s">
        <v>1255</v>
      </c>
      <c r="E2002" s="41" t="s">
        <v>117</v>
      </c>
      <c r="F2002" s="41" t="s">
        <v>117</v>
      </c>
      <c r="G2002" s="7" t="s">
        <v>300</v>
      </c>
      <c r="H2002" s="7">
        <v>10</v>
      </c>
      <c r="I2002" s="10" t="s">
        <v>1867</v>
      </c>
      <c r="J2002" s="10">
        <v>1</v>
      </c>
      <c r="K2002" s="10">
        <v>10</v>
      </c>
      <c r="L2002" s="43">
        <v>31</v>
      </c>
      <c r="M2002" s="43">
        <v>28</v>
      </c>
      <c r="N2002" s="12" t="s">
        <v>1517</v>
      </c>
      <c r="P2002" s="10">
        <v>100</v>
      </c>
      <c r="T2002" s="10">
        <v>90</v>
      </c>
      <c r="V2002" s="45">
        <v>1</v>
      </c>
      <c r="W2002" s="14">
        <v>24</v>
      </c>
      <c r="X2002" s="29">
        <v>42.2</v>
      </c>
      <c r="Y2002" s="54" t="s">
        <v>60</v>
      </c>
      <c r="Z2002" t="s">
        <v>1376</v>
      </c>
      <c r="AA2002" s="1" t="s">
        <v>238</v>
      </c>
    </row>
    <row r="2003" spans="1:27" ht="23.1" customHeight="1" x14ac:dyDescent="0.25">
      <c r="A2003" s="53" t="s">
        <v>1489</v>
      </c>
      <c r="B2003" s="10" t="s">
        <v>113</v>
      </c>
      <c r="C2003" s="10">
        <v>76</v>
      </c>
      <c r="D2003" s="10" t="s">
        <v>1433</v>
      </c>
      <c r="E2003" s="41" t="s">
        <v>1384</v>
      </c>
      <c r="F2003" s="41" t="s">
        <v>1384</v>
      </c>
      <c r="G2003" s="7" t="s">
        <v>154</v>
      </c>
      <c r="H2003" s="7">
        <v>10</v>
      </c>
      <c r="I2003" s="10" t="s">
        <v>2241</v>
      </c>
      <c r="J2003" s="10">
        <v>22</v>
      </c>
      <c r="K2003" s="10">
        <v>22</v>
      </c>
      <c r="L2003" s="43">
        <v>28</v>
      </c>
      <c r="M2003" s="43">
        <v>28</v>
      </c>
      <c r="N2003" s="12" t="s">
        <v>410</v>
      </c>
      <c r="P2003" s="10">
        <v>30</v>
      </c>
      <c r="T2003" s="10">
        <v>60</v>
      </c>
      <c r="V2003" s="45"/>
      <c r="X2003" s="29">
        <v>11</v>
      </c>
      <c r="Y2003" s="54" t="s">
        <v>12</v>
      </c>
    </row>
    <row r="2004" spans="1:27" ht="23.1" customHeight="1" x14ac:dyDescent="0.25">
      <c r="A2004" s="53" t="s">
        <v>1489</v>
      </c>
      <c r="B2004" s="10" t="s">
        <v>113</v>
      </c>
      <c r="C2004" s="10">
        <v>9</v>
      </c>
      <c r="D2004" s="10" t="s">
        <v>1539</v>
      </c>
      <c r="E2004" s="41" t="s">
        <v>409</v>
      </c>
      <c r="F2004" s="41" t="s">
        <v>409</v>
      </c>
      <c r="G2004" s="7" t="s">
        <v>375</v>
      </c>
      <c r="H2004" s="7">
        <v>10</v>
      </c>
      <c r="I2004" s="10" t="s">
        <v>2483</v>
      </c>
      <c r="K2004" s="10">
        <v>22</v>
      </c>
      <c r="L2004" s="43">
        <v>26</v>
      </c>
      <c r="M2004" s="43">
        <v>26</v>
      </c>
      <c r="N2004" s="12" t="s">
        <v>282</v>
      </c>
      <c r="P2004" s="10">
        <v>30</v>
      </c>
      <c r="T2004" s="10">
        <v>90</v>
      </c>
      <c r="V2004" s="45">
        <v>1</v>
      </c>
      <c r="W2004" s="14">
        <v>2</v>
      </c>
      <c r="X2004" s="29">
        <v>14.5</v>
      </c>
      <c r="Y2004" s="54" t="s">
        <v>23</v>
      </c>
      <c r="Z2004" t="s">
        <v>1540</v>
      </c>
      <c r="AA2004" s="1" t="s">
        <v>238</v>
      </c>
    </row>
    <row r="2005" spans="1:27" ht="23.1" customHeight="1" x14ac:dyDescent="0.25">
      <c r="A2005" s="53" t="s">
        <v>1489</v>
      </c>
      <c r="B2005" s="10" t="s">
        <v>113</v>
      </c>
      <c r="C2005" s="10">
        <v>79</v>
      </c>
      <c r="D2005" s="10" t="s">
        <v>420</v>
      </c>
      <c r="E2005" s="41" t="s">
        <v>1247</v>
      </c>
      <c r="F2005" s="41" t="s">
        <v>1247</v>
      </c>
      <c r="G2005" s="7" t="s">
        <v>154</v>
      </c>
      <c r="H2005" s="7">
        <v>25</v>
      </c>
      <c r="I2005" s="10" t="s">
        <v>2017</v>
      </c>
      <c r="K2005" s="10">
        <v>1</v>
      </c>
      <c r="L2005" s="43">
        <v>26</v>
      </c>
      <c r="M2005" s="43"/>
      <c r="N2005" s="12" t="s">
        <v>421</v>
      </c>
      <c r="P2005" s="10">
        <v>1260</v>
      </c>
      <c r="Q2005" s="10">
        <v>90</v>
      </c>
      <c r="S2005" s="11">
        <v>1</v>
      </c>
      <c r="T2005" s="10">
        <v>120</v>
      </c>
      <c r="V2005" s="45"/>
      <c r="X2005" s="29">
        <v>22.5</v>
      </c>
      <c r="Y2005" s="54" t="s">
        <v>5</v>
      </c>
    </row>
    <row r="2006" spans="1:27" ht="23.1" customHeight="1" x14ac:dyDescent="0.25">
      <c r="A2006" s="53" t="s">
        <v>1489</v>
      </c>
      <c r="B2006" s="10" t="s">
        <v>113</v>
      </c>
      <c r="C2006" s="10">
        <v>13</v>
      </c>
      <c r="D2006" s="10" t="s">
        <v>1541</v>
      </c>
      <c r="E2006" s="41" t="s">
        <v>1040</v>
      </c>
      <c r="F2006" s="41" t="s">
        <v>1040</v>
      </c>
      <c r="G2006" s="7" t="s">
        <v>102</v>
      </c>
      <c r="H2006" s="7">
        <v>5</v>
      </c>
      <c r="I2006" s="10" t="s">
        <v>1957</v>
      </c>
      <c r="J2006" s="10">
        <v>8</v>
      </c>
      <c r="K2006" s="10">
        <v>8</v>
      </c>
      <c r="L2006" s="43">
        <v>28</v>
      </c>
      <c r="M2006" s="43">
        <v>28</v>
      </c>
      <c r="N2006" s="12" t="s">
        <v>596</v>
      </c>
      <c r="P2006" s="10">
        <v>40</v>
      </c>
      <c r="T2006" s="10">
        <v>60</v>
      </c>
      <c r="V2006" s="45">
        <v>1</v>
      </c>
      <c r="W2006" s="14">
        <v>2</v>
      </c>
      <c r="X2006" s="29">
        <v>8.3000000000000007</v>
      </c>
      <c r="Y2006" s="54" t="s">
        <v>10</v>
      </c>
      <c r="Z2006" t="s">
        <v>1542</v>
      </c>
      <c r="AA2006" s="1" t="s">
        <v>238</v>
      </c>
    </row>
    <row r="2007" spans="1:27" ht="23.1" customHeight="1" x14ac:dyDescent="0.25">
      <c r="A2007" s="53" t="s">
        <v>1489</v>
      </c>
      <c r="B2007" s="10" t="s">
        <v>113</v>
      </c>
      <c r="C2007" s="10">
        <v>13</v>
      </c>
      <c r="D2007" s="10" t="s">
        <v>1541</v>
      </c>
      <c r="E2007" s="41" t="s">
        <v>1040</v>
      </c>
      <c r="F2007" s="41" t="s">
        <v>1040</v>
      </c>
      <c r="G2007" s="7" t="s">
        <v>102</v>
      </c>
      <c r="H2007" s="7">
        <v>10</v>
      </c>
      <c r="I2007" s="10" t="s">
        <v>2226</v>
      </c>
      <c r="J2007" s="10">
        <v>8</v>
      </c>
      <c r="K2007" s="10">
        <v>8</v>
      </c>
      <c r="L2007" s="43">
        <v>28</v>
      </c>
      <c r="M2007" s="43">
        <v>26</v>
      </c>
      <c r="N2007" s="12" t="s">
        <v>596</v>
      </c>
      <c r="P2007" s="10">
        <v>60</v>
      </c>
      <c r="T2007" s="10">
        <v>90</v>
      </c>
      <c r="V2007" s="45">
        <v>1</v>
      </c>
      <c r="W2007" s="14">
        <v>2</v>
      </c>
      <c r="X2007" s="29">
        <v>11.5</v>
      </c>
      <c r="Y2007" s="54" t="s">
        <v>10</v>
      </c>
      <c r="Z2007" t="s">
        <v>1540</v>
      </c>
      <c r="AA2007" s="1" t="s">
        <v>238</v>
      </c>
    </row>
    <row r="2008" spans="1:27" ht="23.1" customHeight="1" x14ac:dyDescent="0.25">
      <c r="A2008" s="53" t="s">
        <v>1489</v>
      </c>
      <c r="B2008" s="10" t="s">
        <v>113</v>
      </c>
      <c r="C2008" s="10">
        <v>22</v>
      </c>
      <c r="D2008" s="10" t="s">
        <v>611</v>
      </c>
      <c r="E2008" s="41" t="s">
        <v>612</v>
      </c>
      <c r="F2008" s="41" t="s">
        <v>612</v>
      </c>
      <c r="G2008" s="7" t="s">
        <v>154</v>
      </c>
      <c r="H2008" s="7">
        <v>30</v>
      </c>
      <c r="I2008" s="10" t="s">
        <v>1992</v>
      </c>
      <c r="J2008" s="10">
        <v>0.15</v>
      </c>
      <c r="K2008" s="10">
        <v>0.15</v>
      </c>
      <c r="L2008" s="43">
        <v>28</v>
      </c>
      <c r="M2008" s="43"/>
      <c r="N2008" s="12" t="s">
        <v>613</v>
      </c>
      <c r="P2008" s="10">
        <v>4800</v>
      </c>
      <c r="Q2008" s="10">
        <v>180</v>
      </c>
      <c r="T2008" s="10">
        <v>180</v>
      </c>
      <c r="V2008" s="45"/>
      <c r="X2008" s="29">
        <v>12</v>
      </c>
      <c r="Y2008" s="54" t="s">
        <v>49</v>
      </c>
    </row>
    <row r="2009" spans="1:27" ht="23.1" customHeight="1" x14ac:dyDescent="0.25">
      <c r="A2009" s="53" t="s">
        <v>1489</v>
      </c>
      <c r="B2009" s="10" t="s">
        <v>113</v>
      </c>
      <c r="C2009" s="10">
        <v>11</v>
      </c>
      <c r="D2009" s="10" t="s">
        <v>1543</v>
      </c>
      <c r="E2009" s="41" t="s">
        <v>1544</v>
      </c>
      <c r="F2009" s="41" t="e">
        <v>#N/A</v>
      </c>
      <c r="G2009" s="7" t="s">
        <v>102</v>
      </c>
      <c r="H2009" s="7">
        <v>5</v>
      </c>
      <c r="I2009" s="10"/>
      <c r="K2009" s="10">
        <v>1</v>
      </c>
      <c r="L2009" s="43"/>
      <c r="M2009" s="43">
        <v>37</v>
      </c>
      <c r="N2009" s="12" t="s">
        <v>108</v>
      </c>
      <c r="V2009" s="45"/>
      <c r="W2009" s="14">
        <v>4</v>
      </c>
      <c r="X2009" s="29">
        <v>4</v>
      </c>
      <c r="Y2009" s="54" t="s">
        <v>71</v>
      </c>
      <c r="Z2009" t="s">
        <v>1545</v>
      </c>
      <c r="AA2009" t="s">
        <v>238</v>
      </c>
    </row>
    <row r="2010" spans="1:27" ht="23.1" customHeight="1" x14ac:dyDescent="0.25">
      <c r="A2010" s="53" t="s">
        <v>1489</v>
      </c>
      <c r="B2010" s="10" t="s">
        <v>113</v>
      </c>
      <c r="C2010" s="10">
        <v>11</v>
      </c>
      <c r="D2010" s="10" t="s">
        <v>1543</v>
      </c>
      <c r="E2010" s="41" t="s">
        <v>1544</v>
      </c>
      <c r="F2010" s="41" t="e">
        <v>#N/A</v>
      </c>
      <c r="G2010" s="7" t="s">
        <v>102</v>
      </c>
      <c r="H2010" s="7">
        <v>10</v>
      </c>
      <c r="I2010" s="10"/>
      <c r="K2010" s="10">
        <v>1</v>
      </c>
      <c r="L2010" s="43"/>
      <c r="M2010" s="43">
        <v>37</v>
      </c>
      <c r="N2010" s="12" t="s">
        <v>108</v>
      </c>
      <c r="V2010" s="45"/>
      <c r="W2010" s="14">
        <v>4</v>
      </c>
      <c r="X2010" s="29">
        <v>4</v>
      </c>
      <c r="Y2010" s="54" t="s">
        <v>71</v>
      </c>
      <c r="Z2010" t="s">
        <v>1545</v>
      </c>
      <c r="AA2010" t="s">
        <v>238</v>
      </c>
    </row>
    <row r="2011" spans="1:27" ht="23.1" customHeight="1" x14ac:dyDescent="0.25">
      <c r="A2011" s="53" t="s">
        <v>1489</v>
      </c>
      <c r="B2011" s="10" t="s">
        <v>113</v>
      </c>
      <c r="C2011" s="10">
        <v>108</v>
      </c>
      <c r="D2011" s="10" t="s">
        <v>889</v>
      </c>
      <c r="E2011" s="41" t="s">
        <v>887</v>
      </c>
      <c r="F2011" s="41" t="s">
        <v>887</v>
      </c>
      <c r="G2011" s="7" t="s">
        <v>154</v>
      </c>
      <c r="H2011" s="7">
        <v>70</v>
      </c>
      <c r="I2011" s="10" t="s">
        <v>2289</v>
      </c>
      <c r="K2011" s="10">
        <v>0.2</v>
      </c>
      <c r="L2011" s="43">
        <v>28</v>
      </c>
      <c r="M2011" s="43"/>
      <c r="N2011" s="12" t="s">
        <v>159</v>
      </c>
      <c r="P2011" s="10">
        <v>4800</v>
      </c>
      <c r="Q2011" s="10">
        <v>60</v>
      </c>
      <c r="S2011" s="11">
        <v>1</v>
      </c>
      <c r="T2011" s="10">
        <v>180</v>
      </c>
      <c r="V2011" s="45">
        <v>1</v>
      </c>
      <c r="X2011" s="29">
        <v>20</v>
      </c>
      <c r="Y2011" s="54" t="s">
        <v>13</v>
      </c>
      <c r="Z2011" t="s">
        <v>1245</v>
      </c>
      <c r="AA2011" s="1" t="s">
        <v>238</v>
      </c>
    </row>
    <row r="2012" spans="1:27" ht="23.1" customHeight="1" x14ac:dyDescent="0.25">
      <c r="A2012" s="53" t="s">
        <v>1489</v>
      </c>
      <c r="B2012" s="10" t="s">
        <v>113</v>
      </c>
      <c r="C2012" s="10">
        <v>57</v>
      </c>
      <c r="D2012" s="10" t="s">
        <v>1031</v>
      </c>
      <c r="E2012" s="41" t="s">
        <v>1032</v>
      </c>
      <c r="F2012" s="41" t="s">
        <v>1032</v>
      </c>
      <c r="G2012" s="7" t="s">
        <v>107</v>
      </c>
      <c r="H2012" s="7">
        <v>35</v>
      </c>
      <c r="I2012" s="10" t="s">
        <v>2141</v>
      </c>
      <c r="K2012" s="10">
        <v>1.5</v>
      </c>
      <c r="L2012" s="43">
        <v>28</v>
      </c>
      <c r="M2012" s="43">
        <v>28</v>
      </c>
      <c r="N2012" s="12" t="s">
        <v>1043</v>
      </c>
      <c r="P2012" s="10">
        <v>540</v>
      </c>
      <c r="T2012" s="10">
        <v>100</v>
      </c>
      <c r="V2012" s="45"/>
      <c r="X2012" s="29">
        <v>13.5</v>
      </c>
      <c r="Y2012" s="54" t="s">
        <v>0</v>
      </c>
    </row>
    <row r="2013" spans="1:27" ht="23.1" customHeight="1" x14ac:dyDescent="0.25">
      <c r="A2013" s="53" t="s">
        <v>1489</v>
      </c>
      <c r="B2013" s="10" t="s">
        <v>113</v>
      </c>
      <c r="C2013" s="10">
        <v>10</v>
      </c>
      <c r="D2013" s="10" t="s">
        <v>217</v>
      </c>
      <c r="E2013" s="41" t="s">
        <v>218</v>
      </c>
      <c r="F2013" s="41" t="s">
        <v>218</v>
      </c>
      <c r="G2013" s="7" t="s">
        <v>107</v>
      </c>
      <c r="H2013" s="7">
        <v>55</v>
      </c>
      <c r="I2013" s="10" t="s">
        <v>2227</v>
      </c>
      <c r="K2013" s="10">
        <v>1</v>
      </c>
      <c r="L2013" s="43">
        <v>31</v>
      </c>
      <c r="M2013" s="43"/>
      <c r="N2013" s="12" t="s">
        <v>247</v>
      </c>
      <c r="P2013" s="10">
        <v>270</v>
      </c>
      <c r="S2013" s="11">
        <v>1</v>
      </c>
      <c r="T2013" s="10">
        <v>90</v>
      </c>
      <c r="V2013" s="45"/>
      <c r="W2013" s="14">
        <v>1</v>
      </c>
      <c r="X2013" s="29">
        <v>5.5</v>
      </c>
      <c r="Y2013" s="54" t="s">
        <v>23</v>
      </c>
      <c r="Z2013" t="s">
        <v>1546</v>
      </c>
      <c r="AA2013" t="s">
        <v>238</v>
      </c>
    </row>
    <row r="2014" spans="1:27" ht="23.1" customHeight="1" x14ac:dyDescent="0.25">
      <c r="A2014" s="53" t="s">
        <v>1489</v>
      </c>
      <c r="B2014" s="10" t="s">
        <v>113</v>
      </c>
      <c r="C2014" s="10">
        <v>10</v>
      </c>
      <c r="D2014" s="10" t="s">
        <v>217</v>
      </c>
      <c r="E2014" s="41" t="s">
        <v>218</v>
      </c>
      <c r="F2014" s="41" t="s">
        <v>218</v>
      </c>
      <c r="G2014" s="7" t="s">
        <v>107</v>
      </c>
      <c r="H2014" s="7">
        <v>55</v>
      </c>
      <c r="I2014" s="10" t="s">
        <v>2227</v>
      </c>
      <c r="K2014" s="10">
        <v>1</v>
      </c>
      <c r="L2014" s="43">
        <v>31</v>
      </c>
      <c r="M2014" s="43"/>
      <c r="N2014" s="12" t="s">
        <v>456</v>
      </c>
      <c r="P2014" s="10">
        <v>270</v>
      </c>
      <c r="T2014" s="10">
        <v>90</v>
      </c>
      <c r="V2014" s="45"/>
      <c r="W2014" s="14">
        <v>1</v>
      </c>
      <c r="X2014" s="29">
        <v>5.5</v>
      </c>
      <c r="Y2014" s="54" t="s">
        <v>23</v>
      </c>
    </row>
    <row r="2015" spans="1:27" ht="23.1" customHeight="1" x14ac:dyDescent="0.25">
      <c r="A2015" s="53" t="s">
        <v>1489</v>
      </c>
      <c r="B2015" s="10" t="s">
        <v>113</v>
      </c>
      <c r="C2015" s="10">
        <v>56</v>
      </c>
      <c r="D2015" s="10" t="s">
        <v>1397</v>
      </c>
      <c r="E2015" s="41" t="s">
        <v>1398</v>
      </c>
      <c r="F2015" s="41" t="s">
        <v>1398</v>
      </c>
      <c r="G2015" s="7" t="s">
        <v>118</v>
      </c>
      <c r="H2015" s="7">
        <v>22</v>
      </c>
      <c r="I2015" s="10"/>
      <c r="K2015" s="10">
        <v>3</v>
      </c>
      <c r="L2015" s="43">
        <v>26</v>
      </c>
      <c r="M2015" s="43">
        <v>31</v>
      </c>
      <c r="N2015" s="12" t="s">
        <v>1547</v>
      </c>
      <c r="O2015" s="10">
        <v>15</v>
      </c>
      <c r="V2015" s="45"/>
      <c r="X2015" s="32">
        <v>0.8</v>
      </c>
      <c r="Y2015" s="54" t="s">
        <v>18</v>
      </c>
    </row>
    <row r="2016" spans="1:27" ht="23.1" customHeight="1" x14ac:dyDescent="0.25">
      <c r="A2016" s="53" t="s">
        <v>1489</v>
      </c>
      <c r="B2016" s="10" t="s">
        <v>113</v>
      </c>
      <c r="C2016" s="10">
        <v>56</v>
      </c>
      <c r="D2016" s="10" t="s">
        <v>1397</v>
      </c>
      <c r="E2016" s="41" t="s">
        <v>1398</v>
      </c>
      <c r="F2016" s="41" t="s">
        <v>1398</v>
      </c>
      <c r="G2016" s="7" t="s">
        <v>118</v>
      </c>
      <c r="H2016" s="7">
        <v>25</v>
      </c>
      <c r="I2016" s="10" t="s">
        <v>2284</v>
      </c>
      <c r="K2016" s="10">
        <v>3</v>
      </c>
      <c r="L2016" s="43">
        <v>26</v>
      </c>
      <c r="M2016" s="43">
        <v>31</v>
      </c>
      <c r="N2016" s="12" t="s">
        <v>1547</v>
      </c>
      <c r="P2016" s="10">
        <v>160</v>
      </c>
      <c r="T2016" s="10">
        <v>60</v>
      </c>
      <c r="V2016" s="45"/>
      <c r="X2016" s="29">
        <v>8</v>
      </c>
      <c r="Y2016" s="54" t="s">
        <v>18</v>
      </c>
    </row>
    <row r="2017" spans="1:27" ht="23.1" customHeight="1" x14ac:dyDescent="0.25">
      <c r="A2017" s="53" t="s">
        <v>1489</v>
      </c>
      <c r="B2017" s="10" t="s">
        <v>113</v>
      </c>
      <c r="C2017" s="10">
        <v>56</v>
      </c>
      <c r="D2017" s="10" t="s">
        <v>1397</v>
      </c>
      <c r="E2017" s="41" t="s">
        <v>1398</v>
      </c>
      <c r="F2017" s="41" t="s">
        <v>1398</v>
      </c>
      <c r="G2017" s="7" t="s">
        <v>118</v>
      </c>
      <c r="H2017" s="7">
        <v>30</v>
      </c>
      <c r="I2017" s="10" t="s">
        <v>2370</v>
      </c>
      <c r="K2017" s="10">
        <v>5</v>
      </c>
      <c r="L2017" s="43">
        <v>26</v>
      </c>
      <c r="M2017" s="43">
        <v>31</v>
      </c>
      <c r="N2017" s="12" t="s">
        <v>1547</v>
      </c>
      <c r="P2017" s="10">
        <v>75</v>
      </c>
      <c r="T2017" s="10">
        <v>90</v>
      </c>
      <c r="V2017" s="45">
        <v>1</v>
      </c>
      <c r="X2017" s="29">
        <v>7.8</v>
      </c>
      <c r="Y2017" s="54" t="s">
        <v>18</v>
      </c>
    </row>
    <row r="2018" spans="1:27" ht="23.1" customHeight="1" x14ac:dyDescent="0.25">
      <c r="A2018" s="53" t="s">
        <v>1489</v>
      </c>
      <c r="B2018" s="10" t="s">
        <v>113</v>
      </c>
      <c r="C2018" s="10">
        <v>55</v>
      </c>
      <c r="D2018" s="10" t="s">
        <v>1506</v>
      </c>
      <c r="E2018" s="41" t="s">
        <v>1507</v>
      </c>
      <c r="F2018" s="41" t="s">
        <v>1507</v>
      </c>
      <c r="G2018" s="7" t="s">
        <v>154</v>
      </c>
      <c r="H2018" s="7">
        <v>40</v>
      </c>
      <c r="I2018" s="10" t="s">
        <v>2283</v>
      </c>
      <c r="K2018" s="10">
        <v>5</v>
      </c>
      <c r="L2018" s="43">
        <v>28</v>
      </c>
      <c r="M2018" s="43">
        <v>28</v>
      </c>
      <c r="N2018" s="12" t="s">
        <v>164</v>
      </c>
      <c r="P2018" s="10">
        <v>120</v>
      </c>
      <c r="T2018" s="10">
        <v>90</v>
      </c>
      <c r="V2018" s="45"/>
      <c r="X2018" s="29">
        <v>10</v>
      </c>
      <c r="Y2018" s="54" t="s">
        <v>18</v>
      </c>
    </row>
    <row r="2019" spans="1:27" ht="23.1" customHeight="1" x14ac:dyDescent="0.25">
      <c r="A2019" s="53" t="s">
        <v>1489</v>
      </c>
      <c r="B2019" s="10" t="s">
        <v>113</v>
      </c>
      <c r="C2019" s="10">
        <v>78</v>
      </c>
      <c r="D2019" s="10" t="s">
        <v>992</v>
      </c>
      <c r="E2019" s="41" t="s">
        <v>993</v>
      </c>
      <c r="F2019" s="41" t="s">
        <v>993</v>
      </c>
      <c r="G2019" s="7" t="s">
        <v>154</v>
      </c>
      <c r="H2019" s="7">
        <v>25</v>
      </c>
      <c r="I2019" s="10" t="s">
        <v>1993</v>
      </c>
      <c r="K2019" s="10">
        <v>1</v>
      </c>
      <c r="L2019" s="43">
        <v>31</v>
      </c>
      <c r="M2019" s="43"/>
      <c r="N2019" s="12" t="s">
        <v>234</v>
      </c>
      <c r="P2019" s="10">
        <v>400</v>
      </c>
      <c r="Q2019" s="10">
        <v>60</v>
      </c>
      <c r="S2019" s="11">
        <v>1</v>
      </c>
      <c r="T2019" s="10">
        <v>90</v>
      </c>
      <c r="V2019" s="45">
        <v>1</v>
      </c>
      <c r="W2019" s="10">
        <v>2</v>
      </c>
      <c r="X2019" s="29">
        <v>11.2</v>
      </c>
      <c r="Y2019" s="54" t="s">
        <v>5</v>
      </c>
      <c r="Z2019" t="s">
        <v>1548</v>
      </c>
      <c r="AA2019" s="1" t="s">
        <v>238</v>
      </c>
    </row>
    <row r="2020" spans="1:27" ht="23.1" customHeight="1" x14ac:dyDescent="0.25">
      <c r="A2020" s="53" t="s">
        <v>1489</v>
      </c>
      <c r="B2020" s="10" t="s">
        <v>113</v>
      </c>
      <c r="C2020" s="10">
        <v>107</v>
      </c>
      <c r="D2020" s="10" t="s">
        <v>1275</v>
      </c>
      <c r="E2020" s="41" t="s">
        <v>215</v>
      </c>
      <c r="F2020" s="41" t="s">
        <v>215</v>
      </c>
      <c r="G2020" s="7" t="s">
        <v>154</v>
      </c>
      <c r="H2020" s="7">
        <v>40</v>
      </c>
      <c r="I2020" s="10" t="s">
        <v>2272</v>
      </c>
      <c r="J2020" s="10">
        <v>2</v>
      </c>
      <c r="K2020" s="10">
        <v>2</v>
      </c>
      <c r="L2020" s="43">
        <v>28</v>
      </c>
      <c r="M2020" s="43">
        <v>28</v>
      </c>
      <c r="N2020" s="12" t="s">
        <v>1276</v>
      </c>
      <c r="P2020" s="10">
        <v>390</v>
      </c>
      <c r="S2020" s="11">
        <v>2</v>
      </c>
      <c r="T2020" s="10">
        <v>60</v>
      </c>
      <c r="V2020" s="45"/>
      <c r="X2020" s="29">
        <v>13</v>
      </c>
      <c r="Y2020" s="54" t="s">
        <v>13</v>
      </c>
    </row>
    <row r="2021" spans="1:27" ht="23.1" customHeight="1" x14ac:dyDescent="0.25">
      <c r="A2021" s="53" t="s">
        <v>1549</v>
      </c>
      <c r="B2021" s="10" t="s">
        <v>110</v>
      </c>
      <c r="C2021" s="10">
        <v>21</v>
      </c>
      <c r="D2021" s="10" t="s">
        <v>100</v>
      </c>
      <c r="E2021" s="41" t="s">
        <v>101</v>
      </c>
      <c r="F2021" s="41" t="s">
        <v>101</v>
      </c>
      <c r="G2021" s="7" t="s">
        <v>154</v>
      </c>
      <c r="H2021" s="7">
        <v>30</v>
      </c>
      <c r="I2021" s="10" t="s">
        <v>1877</v>
      </c>
      <c r="K2021" s="10">
        <v>0.15</v>
      </c>
      <c r="L2021" s="43">
        <v>28</v>
      </c>
      <c r="M2021" s="43"/>
      <c r="N2021" s="12" t="s">
        <v>613</v>
      </c>
      <c r="P2021" s="10">
        <v>6000</v>
      </c>
      <c r="Q2021" s="10">
        <v>180</v>
      </c>
      <c r="T2021" s="10">
        <v>180</v>
      </c>
      <c r="V2021" s="45"/>
      <c r="X2021" s="29">
        <v>15</v>
      </c>
      <c r="Y2021" s="54" t="s">
        <v>58</v>
      </c>
    </row>
    <row r="2022" spans="1:27" ht="23.1" customHeight="1" x14ac:dyDescent="0.25">
      <c r="A2022" s="53" t="s">
        <v>1549</v>
      </c>
      <c r="B2022" s="10" t="s">
        <v>110</v>
      </c>
      <c r="C2022" s="10">
        <v>76</v>
      </c>
      <c r="D2022" s="10" t="s">
        <v>1433</v>
      </c>
      <c r="E2022" s="41" t="s">
        <v>1384</v>
      </c>
      <c r="F2022" s="41" t="s">
        <v>1384</v>
      </c>
      <c r="G2022" s="7" t="s">
        <v>154</v>
      </c>
      <c r="H2022" s="7">
        <v>10</v>
      </c>
      <c r="I2022" s="10" t="s">
        <v>2484</v>
      </c>
      <c r="K2022" s="10">
        <v>8</v>
      </c>
      <c r="L2022" s="43">
        <v>9</v>
      </c>
      <c r="M2022" s="43">
        <v>9</v>
      </c>
      <c r="N2022" s="12" t="s">
        <v>393</v>
      </c>
      <c r="P2022" s="10">
        <v>30</v>
      </c>
      <c r="T2022" s="10">
        <v>60</v>
      </c>
      <c r="V2022" s="45"/>
      <c r="X2022" s="29">
        <v>4</v>
      </c>
      <c r="Y2022" s="54" t="s">
        <v>46</v>
      </c>
    </row>
    <row r="2023" spans="1:27" ht="23.1" customHeight="1" x14ac:dyDescent="0.25">
      <c r="A2023" s="53" t="s">
        <v>1549</v>
      </c>
      <c r="B2023" s="10" t="s">
        <v>110</v>
      </c>
      <c r="C2023" s="10">
        <v>11</v>
      </c>
      <c r="D2023" s="10" t="s">
        <v>1535</v>
      </c>
      <c r="E2023" s="41" t="s">
        <v>1536</v>
      </c>
      <c r="F2023" s="41" t="s">
        <v>1536</v>
      </c>
      <c r="G2023" s="7" t="s">
        <v>123</v>
      </c>
      <c r="H2023" s="7">
        <v>20</v>
      </c>
      <c r="I2023" s="10" t="s">
        <v>2280</v>
      </c>
      <c r="K2023" s="10">
        <v>3</v>
      </c>
      <c r="L2023" s="43">
        <v>37</v>
      </c>
      <c r="M2023" s="43">
        <v>37</v>
      </c>
      <c r="N2023" s="12" t="s">
        <v>1435</v>
      </c>
      <c r="P2023" s="10">
        <v>180</v>
      </c>
      <c r="T2023" s="10">
        <v>90</v>
      </c>
      <c r="V2023" s="45"/>
      <c r="X2023" s="29">
        <v>9</v>
      </c>
      <c r="Y2023" s="54" t="s">
        <v>38</v>
      </c>
    </row>
    <row r="2024" spans="1:27" ht="23.1" customHeight="1" x14ac:dyDescent="0.25">
      <c r="A2024" s="53" t="s">
        <v>1549</v>
      </c>
      <c r="B2024" s="10" t="s">
        <v>113</v>
      </c>
      <c r="C2024" s="10">
        <v>9</v>
      </c>
      <c r="D2024" s="10" t="s">
        <v>1539</v>
      </c>
      <c r="E2024" s="41" t="s">
        <v>409</v>
      </c>
      <c r="F2024" s="41" t="s">
        <v>409</v>
      </c>
      <c r="G2024" s="7" t="s">
        <v>375</v>
      </c>
      <c r="H2024" s="7">
        <v>15</v>
      </c>
      <c r="I2024" s="10" t="s">
        <v>2290</v>
      </c>
      <c r="K2024" s="10">
        <v>22</v>
      </c>
      <c r="L2024" s="43">
        <v>28</v>
      </c>
      <c r="M2024" s="43">
        <v>28</v>
      </c>
      <c r="N2024" s="12" t="s">
        <v>282</v>
      </c>
      <c r="P2024" s="10">
        <v>20</v>
      </c>
      <c r="T2024" s="10">
        <v>90</v>
      </c>
      <c r="V2024" s="45">
        <v>1</v>
      </c>
      <c r="W2024" s="14">
        <v>2</v>
      </c>
      <c r="X2024" s="29">
        <v>10.8</v>
      </c>
      <c r="Y2024" s="54" t="s">
        <v>23</v>
      </c>
      <c r="Z2024" t="s">
        <v>1540</v>
      </c>
      <c r="AA2024" s="1" t="s">
        <v>238</v>
      </c>
    </row>
    <row r="2025" spans="1:27" ht="23.1" customHeight="1" x14ac:dyDescent="0.25">
      <c r="A2025" s="53" t="s">
        <v>1549</v>
      </c>
      <c r="B2025" s="10" t="s">
        <v>110</v>
      </c>
      <c r="C2025" s="10">
        <v>21</v>
      </c>
      <c r="D2025" s="10" t="s">
        <v>321</v>
      </c>
      <c r="E2025" s="41" t="s">
        <v>322</v>
      </c>
      <c r="F2025" s="41" t="s">
        <v>322</v>
      </c>
      <c r="G2025" s="7" t="s">
        <v>323</v>
      </c>
      <c r="H2025" s="7">
        <v>40</v>
      </c>
      <c r="I2025" s="10" t="s">
        <v>1969</v>
      </c>
      <c r="K2025" s="10">
        <v>2</v>
      </c>
      <c r="L2025" s="43">
        <v>28</v>
      </c>
      <c r="M2025" s="43">
        <v>28</v>
      </c>
      <c r="N2025" s="12" t="s">
        <v>1500</v>
      </c>
      <c r="P2025" s="10">
        <v>390</v>
      </c>
      <c r="Q2025" s="10">
        <v>120</v>
      </c>
      <c r="S2025" s="11">
        <v>2</v>
      </c>
      <c r="T2025" s="10">
        <v>180</v>
      </c>
      <c r="V2025" s="45">
        <v>1</v>
      </c>
      <c r="X2025" s="29">
        <v>20</v>
      </c>
      <c r="Y2025" s="54" t="s">
        <v>58</v>
      </c>
    </row>
    <row r="2026" spans="1:27" ht="23.1" customHeight="1" x14ac:dyDescent="0.25">
      <c r="A2026" s="53" t="s">
        <v>1549</v>
      </c>
      <c r="B2026" s="10" t="s">
        <v>110</v>
      </c>
      <c r="C2026" s="10">
        <v>24</v>
      </c>
      <c r="D2026" s="10" t="s">
        <v>321</v>
      </c>
      <c r="E2026" s="41" t="s">
        <v>322</v>
      </c>
      <c r="F2026" s="41" t="s">
        <v>322</v>
      </c>
      <c r="G2026" s="7" t="s">
        <v>323</v>
      </c>
      <c r="H2026" s="7">
        <v>35</v>
      </c>
      <c r="I2026" s="10" t="s">
        <v>1925</v>
      </c>
      <c r="K2026" s="10">
        <v>0.7</v>
      </c>
      <c r="L2026" s="43">
        <v>28</v>
      </c>
      <c r="M2026" s="43"/>
      <c r="N2026" s="12" t="s">
        <v>1550</v>
      </c>
      <c r="P2026" s="10">
        <v>480</v>
      </c>
      <c r="Q2026" s="10">
        <v>120</v>
      </c>
      <c r="S2026" s="11">
        <v>1</v>
      </c>
      <c r="T2026" s="10">
        <v>180</v>
      </c>
      <c r="V2026" s="45">
        <v>1</v>
      </c>
      <c r="X2026" s="29">
        <v>10.6</v>
      </c>
      <c r="Y2026" s="54" t="s">
        <v>58</v>
      </c>
    </row>
    <row r="2027" spans="1:27" ht="23.1" customHeight="1" x14ac:dyDescent="0.25">
      <c r="A2027" s="53" t="s">
        <v>1549</v>
      </c>
      <c r="B2027" s="10" t="s">
        <v>110</v>
      </c>
      <c r="C2027" s="10">
        <v>24</v>
      </c>
      <c r="D2027" s="10" t="s">
        <v>254</v>
      </c>
      <c r="E2027" s="41" t="s">
        <v>1016</v>
      </c>
      <c r="F2027" s="41" t="s">
        <v>1016</v>
      </c>
      <c r="G2027" s="7" t="s">
        <v>375</v>
      </c>
      <c r="H2027" s="7">
        <v>40</v>
      </c>
      <c r="I2027" s="10" t="s">
        <v>2110</v>
      </c>
      <c r="K2027" s="10">
        <v>0.5</v>
      </c>
      <c r="L2027" s="43">
        <v>37</v>
      </c>
      <c r="M2027" s="43">
        <v>37</v>
      </c>
      <c r="N2027" s="12" t="s">
        <v>256</v>
      </c>
      <c r="P2027" s="10">
        <v>3000</v>
      </c>
      <c r="Q2027" s="10">
        <v>90</v>
      </c>
      <c r="T2027" s="10">
        <v>120</v>
      </c>
      <c r="V2027" s="45"/>
      <c r="X2027" s="29">
        <v>25</v>
      </c>
      <c r="Y2027" s="54" t="s">
        <v>2</v>
      </c>
    </row>
    <row r="2028" spans="1:27" ht="23.1" customHeight="1" x14ac:dyDescent="0.25">
      <c r="A2028" s="53" t="s">
        <v>1549</v>
      </c>
      <c r="B2028" s="10" t="s">
        <v>110</v>
      </c>
      <c r="C2028" s="10">
        <v>121</v>
      </c>
      <c r="D2028" s="10" t="s">
        <v>288</v>
      </c>
      <c r="E2028" s="41" t="s">
        <v>1532</v>
      </c>
      <c r="F2028" s="41" t="s">
        <v>1532</v>
      </c>
      <c r="G2028" s="7" t="s">
        <v>250</v>
      </c>
      <c r="H2028" s="7">
        <v>50</v>
      </c>
      <c r="I2028" s="10" t="s">
        <v>2021</v>
      </c>
      <c r="K2028" s="10">
        <v>0.4</v>
      </c>
      <c r="L2028" s="43">
        <v>28</v>
      </c>
      <c r="M2028" s="43">
        <v>28</v>
      </c>
      <c r="N2028" s="12" t="s">
        <v>1551</v>
      </c>
      <c r="P2028" s="10">
        <v>3000</v>
      </c>
      <c r="Q2028" s="10">
        <v>90</v>
      </c>
      <c r="S2028" s="11">
        <v>1</v>
      </c>
      <c r="T2028" s="10">
        <v>150</v>
      </c>
      <c r="V2028" s="45"/>
      <c r="X2028" s="29">
        <v>21.5</v>
      </c>
      <c r="Y2028" s="54" t="s">
        <v>2</v>
      </c>
    </row>
    <row r="2029" spans="1:27" ht="23.1" customHeight="1" x14ac:dyDescent="0.25">
      <c r="A2029" s="53" t="s">
        <v>1549</v>
      </c>
      <c r="B2029" s="10" t="s">
        <v>110</v>
      </c>
      <c r="C2029" s="10">
        <v>69</v>
      </c>
      <c r="D2029" s="10" t="s">
        <v>484</v>
      </c>
      <c r="E2029" s="41" t="s">
        <v>485</v>
      </c>
      <c r="F2029" s="41" t="s">
        <v>485</v>
      </c>
      <c r="G2029" s="7" t="s">
        <v>300</v>
      </c>
      <c r="H2029" s="7">
        <v>30</v>
      </c>
      <c r="I2029" s="10" t="s">
        <v>1921</v>
      </c>
      <c r="J2029" s="10">
        <v>1.2</v>
      </c>
      <c r="K2029" s="10">
        <v>1.2</v>
      </c>
      <c r="L2029" s="43">
        <v>28</v>
      </c>
      <c r="M2029" s="43">
        <v>28</v>
      </c>
      <c r="N2029" s="12" t="s">
        <v>1552</v>
      </c>
      <c r="P2029" s="10">
        <v>960</v>
      </c>
      <c r="Q2029" s="10">
        <v>120</v>
      </c>
      <c r="S2029" s="11">
        <v>2</v>
      </c>
      <c r="T2029" s="10">
        <v>180</v>
      </c>
      <c r="V2029" s="45"/>
      <c r="X2029" s="29">
        <v>23.2</v>
      </c>
      <c r="Y2029" s="54" t="s">
        <v>2</v>
      </c>
    </row>
    <row r="2030" spans="1:27" ht="23.1" customHeight="1" x14ac:dyDescent="0.25">
      <c r="A2030" s="53" t="s">
        <v>1549</v>
      </c>
      <c r="B2030" s="10" t="s">
        <v>113</v>
      </c>
      <c r="C2030" s="10">
        <v>69</v>
      </c>
      <c r="D2030" s="10" t="s">
        <v>484</v>
      </c>
      <c r="E2030" s="41" t="s">
        <v>485</v>
      </c>
      <c r="F2030" s="41" t="s">
        <v>485</v>
      </c>
      <c r="G2030" s="7" t="s">
        <v>300</v>
      </c>
      <c r="H2030" s="7">
        <v>32</v>
      </c>
      <c r="I2030" s="10"/>
      <c r="K2030" s="10">
        <v>1</v>
      </c>
      <c r="L2030" s="43">
        <v>28</v>
      </c>
      <c r="M2030" s="43">
        <v>28</v>
      </c>
      <c r="N2030" s="12" t="s">
        <v>1552</v>
      </c>
      <c r="O2030" s="10">
        <v>150</v>
      </c>
      <c r="R2030" s="10">
        <v>120</v>
      </c>
      <c r="S2030" s="11">
        <v>1</v>
      </c>
      <c r="V2030" s="45"/>
      <c r="X2030" s="32">
        <v>4.5</v>
      </c>
      <c r="Y2030" s="54" t="s">
        <v>2</v>
      </c>
    </row>
    <row r="2031" spans="1:27" ht="23.1" customHeight="1" x14ac:dyDescent="0.25">
      <c r="A2031" s="53" t="s">
        <v>1337</v>
      </c>
      <c r="B2031" s="10" t="s">
        <v>113</v>
      </c>
      <c r="C2031" s="10">
        <v>76</v>
      </c>
      <c r="D2031" s="10" t="s">
        <v>1553</v>
      </c>
      <c r="E2031" s="41" t="s">
        <v>409</v>
      </c>
      <c r="F2031" s="41" t="e">
        <v>#N/A</v>
      </c>
      <c r="G2031" s="7" t="s">
        <v>102</v>
      </c>
      <c r="H2031" s="7">
        <v>25</v>
      </c>
      <c r="I2031" s="10"/>
      <c r="J2031" s="10">
        <v>3</v>
      </c>
      <c r="K2031" s="10">
        <v>2</v>
      </c>
      <c r="L2031" s="43">
        <v>9</v>
      </c>
      <c r="M2031" s="43">
        <v>9</v>
      </c>
      <c r="N2031" s="12" t="s">
        <v>596</v>
      </c>
      <c r="O2031" s="10">
        <v>55</v>
      </c>
      <c r="V2031" s="45"/>
      <c r="X2031" s="32">
        <v>1.8</v>
      </c>
      <c r="Y2031" s="54" t="s">
        <v>12</v>
      </c>
    </row>
    <row r="2032" spans="1:27" ht="23.1" customHeight="1" x14ac:dyDescent="0.25">
      <c r="A2032" s="53" t="s">
        <v>1337</v>
      </c>
      <c r="B2032" s="10" t="s">
        <v>113</v>
      </c>
      <c r="C2032" s="10">
        <v>76</v>
      </c>
      <c r="D2032" s="10" t="s">
        <v>1553</v>
      </c>
      <c r="E2032" s="41" t="s">
        <v>409</v>
      </c>
      <c r="F2032" s="41" t="e">
        <v>#N/A</v>
      </c>
      <c r="G2032" s="7" t="s">
        <v>102</v>
      </c>
      <c r="H2032" s="7">
        <v>30</v>
      </c>
      <c r="I2032" s="10"/>
      <c r="J2032" s="10">
        <v>16</v>
      </c>
      <c r="K2032" s="10">
        <v>1</v>
      </c>
      <c r="L2032" s="43">
        <v>26</v>
      </c>
      <c r="M2032" s="43"/>
      <c r="N2032" s="12" t="s">
        <v>596</v>
      </c>
      <c r="O2032" s="10">
        <v>20</v>
      </c>
      <c r="U2032" s="10">
        <v>60</v>
      </c>
      <c r="V2032" s="45">
        <v>1</v>
      </c>
      <c r="X2032" s="32">
        <v>1.3</v>
      </c>
      <c r="Y2032" s="54" t="s">
        <v>12</v>
      </c>
    </row>
    <row r="2033" spans="1:27" ht="23.1" customHeight="1" x14ac:dyDescent="0.25">
      <c r="A2033" s="53" t="s">
        <v>1432</v>
      </c>
      <c r="B2033" s="10" t="s">
        <v>113</v>
      </c>
      <c r="C2033" s="10">
        <v>108</v>
      </c>
      <c r="D2033" s="10" t="s">
        <v>889</v>
      </c>
      <c r="E2033" s="41" t="s">
        <v>887</v>
      </c>
      <c r="F2033" s="41" t="s">
        <v>887</v>
      </c>
      <c r="G2033" s="7" t="s">
        <v>154</v>
      </c>
      <c r="H2033" s="7">
        <v>55</v>
      </c>
      <c r="I2033" s="10" t="s">
        <v>2485</v>
      </c>
      <c r="J2033" s="10">
        <v>0.5</v>
      </c>
      <c r="K2033" s="10">
        <v>0.8</v>
      </c>
      <c r="L2033" s="43">
        <v>9</v>
      </c>
      <c r="M2033" s="43">
        <v>9</v>
      </c>
      <c r="N2033" s="12" t="s">
        <v>159</v>
      </c>
      <c r="P2033" s="10">
        <v>1440</v>
      </c>
      <c r="Q2033" s="10">
        <v>60</v>
      </c>
      <c r="S2033" s="11">
        <v>1</v>
      </c>
      <c r="T2033" s="10">
        <v>90</v>
      </c>
      <c r="V2033" s="45">
        <v>1</v>
      </c>
      <c r="W2033" s="10">
        <v>2</v>
      </c>
      <c r="X2033" s="29">
        <v>23.7</v>
      </c>
      <c r="Y2033" s="54" t="s">
        <v>13</v>
      </c>
      <c r="Z2033" t="s">
        <v>1245</v>
      </c>
      <c r="AA2033" s="1" t="s">
        <v>238</v>
      </c>
    </row>
    <row r="2034" spans="1:27" ht="23.1" customHeight="1" x14ac:dyDescent="0.25">
      <c r="A2034" s="53" t="s">
        <v>1221</v>
      </c>
      <c r="B2034" s="10" t="s">
        <v>113</v>
      </c>
      <c r="C2034" s="10">
        <v>12</v>
      </c>
      <c r="D2034" s="10" t="s">
        <v>735</v>
      </c>
      <c r="E2034" s="41" t="s">
        <v>249</v>
      </c>
      <c r="F2034" s="41" t="s">
        <v>249</v>
      </c>
      <c r="G2034" s="7" t="s">
        <v>250</v>
      </c>
      <c r="H2034" s="7">
        <v>25</v>
      </c>
      <c r="I2034" s="10" t="s">
        <v>1923</v>
      </c>
      <c r="J2034" s="10">
        <v>1</v>
      </c>
      <c r="K2034" s="10">
        <v>1</v>
      </c>
      <c r="L2034" s="43">
        <v>37</v>
      </c>
      <c r="M2034" s="43">
        <v>37</v>
      </c>
      <c r="N2034" s="12" t="s">
        <v>1554</v>
      </c>
      <c r="P2034" s="10">
        <v>1080</v>
      </c>
      <c r="T2034" s="10">
        <v>120</v>
      </c>
      <c r="V2034" s="45"/>
      <c r="X2034" s="29">
        <v>18</v>
      </c>
      <c r="Y2034" s="54" t="s">
        <v>72</v>
      </c>
    </row>
    <row r="2035" spans="1:27" ht="23.1" customHeight="1" x14ac:dyDescent="0.25">
      <c r="A2035" s="53" t="s">
        <v>1337</v>
      </c>
      <c r="B2035" s="10" t="s">
        <v>110</v>
      </c>
      <c r="C2035" s="10">
        <v>19</v>
      </c>
      <c r="D2035" s="10" t="s">
        <v>395</v>
      </c>
      <c r="E2035" s="41" t="s">
        <v>396</v>
      </c>
      <c r="F2035" s="41" t="e">
        <v>#N/A</v>
      </c>
      <c r="G2035" s="7" t="s">
        <v>300</v>
      </c>
      <c r="H2035" s="7">
        <v>30</v>
      </c>
      <c r="I2035" s="10" t="s">
        <v>2193</v>
      </c>
      <c r="J2035" s="10">
        <v>1</v>
      </c>
      <c r="K2035" s="10">
        <v>2</v>
      </c>
      <c r="L2035" s="43">
        <v>32</v>
      </c>
      <c r="M2035" s="43">
        <v>32</v>
      </c>
      <c r="N2035" s="12" t="s">
        <v>1555</v>
      </c>
      <c r="P2035" s="10">
        <v>630</v>
      </c>
      <c r="Q2035" s="10">
        <v>90</v>
      </c>
      <c r="S2035" s="11">
        <v>2</v>
      </c>
      <c r="T2035" s="10">
        <v>90</v>
      </c>
      <c r="V2035" s="45"/>
      <c r="X2035" s="29">
        <v>24</v>
      </c>
      <c r="Y2035" s="54" t="s">
        <v>17</v>
      </c>
    </row>
    <row r="2036" spans="1:27" ht="23.1" customHeight="1" x14ac:dyDescent="0.25">
      <c r="A2036" s="53" t="s">
        <v>1337</v>
      </c>
      <c r="B2036" s="10" t="s">
        <v>110</v>
      </c>
      <c r="C2036" s="10">
        <v>44</v>
      </c>
      <c r="D2036" s="10" t="s">
        <v>495</v>
      </c>
      <c r="E2036" s="41" t="s">
        <v>267</v>
      </c>
      <c r="F2036" s="41" t="s">
        <v>267</v>
      </c>
      <c r="G2036" s="7" t="s">
        <v>118</v>
      </c>
      <c r="H2036" s="7">
        <v>55</v>
      </c>
      <c r="I2036" s="10" t="s">
        <v>2166</v>
      </c>
      <c r="J2036" s="10">
        <v>0.5</v>
      </c>
      <c r="K2036" s="10">
        <v>0.5</v>
      </c>
      <c r="L2036" s="43">
        <v>32</v>
      </c>
      <c r="M2036" s="43">
        <v>32</v>
      </c>
      <c r="N2036" s="12" t="s">
        <v>155</v>
      </c>
      <c r="P2036" s="10">
        <v>1260</v>
      </c>
      <c r="Q2036" s="10">
        <v>90</v>
      </c>
      <c r="T2036" s="10">
        <v>60</v>
      </c>
      <c r="V2036" s="45">
        <v>1</v>
      </c>
      <c r="W2036" s="14">
        <v>1</v>
      </c>
      <c r="X2036" s="29">
        <v>12.5</v>
      </c>
      <c r="Y2036" s="54" t="s">
        <v>64</v>
      </c>
      <c r="Z2036" t="s">
        <v>1556</v>
      </c>
    </row>
    <row r="2037" spans="1:27" ht="23.1" customHeight="1" x14ac:dyDescent="0.25">
      <c r="A2037" s="53" t="s">
        <v>1337</v>
      </c>
      <c r="B2037" s="10" t="s">
        <v>110</v>
      </c>
      <c r="C2037" s="10">
        <v>97</v>
      </c>
      <c r="D2037" s="10" t="s">
        <v>1076</v>
      </c>
      <c r="E2037" s="41" t="s">
        <v>1065</v>
      </c>
      <c r="F2037" s="41" t="s">
        <v>1065</v>
      </c>
      <c r="G2037" s="7" t="s">
        <v>250</v>
      </c>
      <c r="H2037" s="7">
        <v>60</v>
      </c>
      <c r="I2037" s="10" t="s">
        <v>2156</v>
      </c>
      <c r="J2037" s="10">
        <v>1</v>
      </c>
      <c r="K2037" s="10">
        <v>1.1000000000000001</v>
      </c>
      <c r="L2037" s="43">
        <v>32</v>
      </c>
      <c r="M2037" s="43">
        <v>32</v>
      </c>
      <c r="N2037" s="12" t="s">
        <v>429</v>
      </c>
      <c r="P2037" s="10">
        <v>570</v>
      </c>
      <c r="Q2037" s="10">
        <v>60</v>
      </c>
      <c r="S2037" s="11">
        <v>1</v>
      </c>
      <c r="T2037" s="10">
        <v>60</v>
      </c>
      <c r="V2037" s="45"/>
      <c r="X2037" s="29">
        <v>11.5</v>
      </c>
      <c r="Y2037" s="54" t="s">
        <v>39</v>
      </c>
    </row>
    <row r="2038" spans="1:27" ht="23.1" customHeight="1" x14ac:dyDescent="0.25">
      <c r="A2038" s="53" t="s">
        <v>1337</v>
      </c>
      <c r="B2038" s="10" t="s">
        <v>110</v>
      </c>
      <c r="C2038" s="10">
        <v>101</v>
      </c>
      <c r="D2038" s="10" t="s">
        <v>1128</v>
      </c>
      <c r="E2038" s="41" t="s">
        <v>708</v>
      </c>
      <c r="F2038" s="41" t="e">
        <v>#N/A</v>
      </c>
      <c r="G2038" s="7" t="s">
        <v>250</v>
      </c>
      <c r="H2038" s="7">
        <v>30</v>
      </c>
      <c r="I2038" s="10" t="s">
        <v>2199</v>
      </c>
      <c r="J2038" s="10">
        <v>1</v>
      </c>
      <c r="K2038" s="10">
        <v>1</v>
      </c>
      <c r="L2038" s="43">
        <v>32</v>
      </c>
      <c r="M2038" s="43">
        <v>32</v>
      </c>
      <c r="N2038" s="12" t="s">
        <v>722</v>
      </c>
      <c r="P2038" s="10">
        <v>750</v>
      </c>
      <c r="Q2038" s="10">
        <v>60</v>
      </c>
      <c r="S2038" s="11">
        <v>1</v>
      </c>
      <c r="T2038" s="10">
        <v>180</v>
      </c>
      <c r="V2038" s="45"/>
      <c r="X2038" s="29">
        <v>13.5</v>
      </c>
      <c r="Y2038" s="54" t="s">
        <v>47</v>
      </c>
    </row>
    <row r="2039" spans="1:27" ht="23.1" customHeight="1" x14ac:dyDescent="0.25">
      <c r="A2039" s="53" t="s">
        <v>1337</v>
      </c>
      <c r="B2039" s="10" t="s">
        <v>110</v>
      </c>
      <c r="C2039" s="10">
        <v>101</v>
      </c>
      <c r="D2039" s="10" t="s">
        <v>1128</v>
      </c>
      <c r="E2039" s="41" t="s">
        <v>708</v>
      </c>
      <c r="F2039" s="41" t="e">
        <v>#N/A</v>
      </c>
      <c r="G2039" s="7" t="s">
        <v>250</v>
      </c>
      <c r="H2039" s="7">
        <v>30</v>
      </c>
      <c r="I2039" s="10" t="s">
        <v>2199</v>
      </c>
      <c r="J2039" s="10">
        <v>1</v>
      </c>
      <c r="K2039" s="10">
        <v>1</v>
      </c>
      <c r="L2039" s="43">
        <v>32</v>
      </c>
      <c r="M2039" s="43">
        <v>32</v>
      </c>
      <c r="N2039" s="12" t="s">
        <v>722</v>
      </c>
      <c r="P2039" s="10">
        <v>750</v>
      </c>
      <c r="Q2039" s="10">
        <v>60</v>
      </c>
      <c r="S2039" s="11">
        <v>1</v>
      </c>
      <c r="T2039" s="10">
        <v>180</v>
      </c>
      <c r="V2039" s="45">
        <v>1</v>
      </c>
      <c r="X2039" s="29">
        <v>16.5</v>
      </c>
      <c r="Y2039" s="54" t="s">
        <v>47</v>
      </c>
    </row>
    <row r="2040" spans="1:27" ht="23.1" customHeight="1" x14ac:dyDescent="0.25">
      <c r="A2040" s="53" t="s">
        <v>1337</v>
      </c>
      <c r="B2040" s="10" t="s">
        <v>110</v>
      </c>
      <c r="C2040" s="10">
        <v>105</v>
      </c>
      <c r="D2040" s="10" t="s">
        <v>1176</v>
      </c>
      <c r="E2040" s="41" t="s">
        <v>1098</v>
      </c>
      <c r="F2040" s="41" t="s">
        <v>1098</v>
      </c>
      <c r="G2040" s="7" t="s">
        <v>250</v>
      </c>
      <c r="H2040" s="7">
        <v>50</v>
      </c>
      <c r="I2040" s="10" t="s">
        <v>2185</v>
      </c>
      <c r="J2040" s="10">
        <v>0.6</v>
      </c>
      <c r="K2040" s="10">
        <v>0.4</v>
      </c>
      <c r="L2040" s="43">
        <v>32</v>
      </c>
      <c r="M2040" s="43">
        <v>32</v>
      </c>
      <c r="N2040" s="12" t="s">
        <v>429</v>
      </c>
      <c r="P2040" s="10">
        <v>1080</v>
      </c>
      <c r="Q2040" s="10">
        <v>60</v>
      </c>
      <c r="S2040" s="11">
        <v>1</v>
      </c>
      <c r="T2040" s="10">
        <v>120</v>
      </c>
      <c r="V2040" s="45"/>
      <c r="X2040" s="29">
        <v>8.1999999999999993</v>
      </c>
      <c r="Y2040" s="54" t="s">
        <v>9</v>
      </c>
    </row>
    <row r="2041" spans="1:27" ht="23.1" customHeight="1" x14ac:dyDescent="0.25">
      <c r="A2041" s="53" t="s">
        <v>1337</v>
      </c>
      <c r="B2041" s="10" t="s">
        <v>110</v>
      </c>
      <c r="C2041" s="10">
        <v>99</v>
      </c>
      <c r="D2041" s="10" t="s">
        <v>1191</v>
      </c>
      <c r="E2041" s="41" t="s">
        <v>1192</v>
      </c>
      <c r="F2041" s="41" t="s">
        <v>1192</v>
      </c>
      <c r="G2041" s="7" t="s">
        <v>300</v>
      </c>
      <c r="H2041" s="7">
        <v>15</v>
      </c>
      <c r="I2041" s="10" t="s">
        <v>1871</v>
      </c>
      <c r="J2041" s="10">
        <v>1</v>
      </c>
      <c r="K2041" s="10">
        <v>0.9</v>
      </c>
      <c r="L2041" s="43">
        <v>32</v>
      </c>
      <c r="M2041" s="43">
        <v>32</v>
      </c>
      <c r="N2041" s="12" t="s">
        <v>219</v>
      </c>
      <c r="P2041" s="10">
        <v>360</v>
      </c>
      <c r="Q2041" s="10">
        <v>60</v>
      </c>
      <c r="S2041" s="11">
        <v>1</v>
      </c>
      <c r="T2041" s="10">
        <v>90</v>
      </c>
      <c r="V2041" s="45">
        <v>1</v>
      </c>
      <c r="X2041" s="29">
        <v>7.9</v>
      </c>
      <c r="Y2041" s="54" t="s">
        <v>29</v>
      </c>
      <c r="Z2041" t="s">
        <v>1557</v>
      </c>
    </row>
    <row r="2042" spans="1:27" ht="23.1" customHeight="1" x14ac:dyDescent="0.25">
      <c r="A2042" s="53" t="s">
        <v>1337</v>
      </c>
      <c r="B2042" s="10" t="s">
        <v>110</v>
      </c>
      <c r="C2042" s="10">
        <v>103</v>
      </c>
      <c r="D2042" s="10" t="s">
        <v>834</v>
      </c>
      <c r="E2042" s="41" t="s">
        <v>835</v>
      </c>
      <c r="F2042" s="41" t="s">
        <v>835</v>
      </c>
      <c r="G2042" s="7" t="s">
        <v>154</v>
      </c>
      <c r="H2042" s="7">
        <v>65</v>
      </c>
      <c r="I2042" s="10" t="s">
        <v>2200</v>
      </c>
      <c r="J2042" s="10">
        <v>3</v>
      </c>
      <c r="K2042" s="10">
        <v>2</v>
      </c>
      <c r="L2042" s="43">
        <v>32</v>
      </c>
      <c r="M2042" s="43">
        <v>32</v>
      </c>
      <c r="N2042" s="12" t="s">
        <v>1374</v>
      </c>
      <c r="P2042" s="10">
        <v>100</v>
      </c>
      <c r="Q2042" s="10">
        <v>60</v>
      </c>
      <c r="S2042" s="11">
        <v>2</v>
      </c>
      <c r="T2042" s="10">
        <v>60</v>
      </c>
      <c r="V2042" s="45">
        <v>1</v>
      </c>
      <c r="X2042" s="29">
        <v>6.3</v>
      </c>
      <c r="Y2042" s="54" t="s">
        <v>61</v>
      </c>
      <c r="Z2042" t="s">
        <v>1557</v>
      </c>
    </row>
    <row r="2043" spans="1:27" ht="23.1" customHeight="1" x14ac:dyDescent="0.25">
      <c r="A2043" s="53" t="s">
        <v>1337</v>
      </c>
      <c r="B2043" s="10" t="s">
        <v>110</v>
      </c>
      <c r="C2043" s="10">
        <v>102</v>
      </c>
      <c r="D2043" s="10" t="s">
        <v>1097</v>
      </c>
      <c r="E2043" s="41" t="s">
        <v>1098</v>
      </c>
      <c r="F2043" s="41" t="s">
        <v>1098</v>
      </c>
      <c r="G2043" s="7" t="s">
        <v>250</v>
      </c>
      <c r="H2043" s="7">
        <v>50</v>
      </c>
      <c r="I2043" s="10" t="s">
        <v>2185</v>
      </c>
      <c r="J2043" s="10">
        <v>0.6</v>
      </c>
      <c r="K2043" s="10">
        <v>0.6</v>
      </c>
      <c r="L2043" s="43">
        <v>32</v>
      </c>
      <c r="M2043" s="43">
        <v>32</v>
      </c>
      <c r="N2043" s="12" t="s">
        <v>292</v>
      </c>
      <c r="P2043" s="10">
        <v>1080</v>
      </c>
      <c r="Q2043" s="10">
        <v>60</v>
      </c>
      <c r="S2043" s="11">
        <v>1</v>
      </c>
      <c r="T2043" s="10">
        <v>120</v>
      </c>
      <c r="V2043" s="45"/>
      <c r="X2043" s="29">
        <v>11.8</v>
      </c>
      <c r="Y2043" s="54" t="s">
        <v>36</v>
      </c>
    </row>
    <row r="2044" spans="1:27" ht="23.1" customHeight="1" x14ac:dyDescent="0.25">
      <c r="A2044" s="53" t="s">
        <v>1337</v>
      </c>
      <c r="B2044" s="10" t="s">
        <v>110</v>
      </c>
      <c r="C2044" s="10">
        <v>98</v>
      </c>
      <c r="D2044" s="10" t="s">
        <v>404</v>
      </c>
      <c r="E2044" s="41" t="s">
        <v>405</v>
      </c>
      <c r="F2044" s="41" t="s">
        <v>405</v>
      </c>
      <c r="G2044" s="7" t="s">
        <v>118</v>
      </c>
      <c r="H2044" s="7">
        <v>35</v>
      </c>
      <c r="I2044" s="10" t="s">
        <v>2174</v>
      </c>
      <c r="J2044" s="10">
        <v>0.5</v>
      </c>
      <c r="K2044" s="10">
        <v>0.1</v>
      </c>
      <c r="L2044" s="43">
        <v>32</v>
      </c>
      <c r="M2044" s="43">
        <v>32</v>
      </c>
      <c r="N2044" s="12" t="s">
        <v>199</v>
      </c>
      <c r="P2044" s="10">
        <v>800</v>
      </c>
      <c r="Q2044" s="10">
        <v>60</v>
      </c>
      <c r="T2044" s="10">
        <v>120</v>
      </c>
      <c r="V2044" s="45"/>
      <c r="X2044" s="29">
        <v>1.3</v>
      </c>
      <c r="Y2044" s="54" t="s">
        <v>36</v>
      </c>
    </row>
    <row r="2045" spans="1:27" ht="23.1" customHeight="1" x14ac:dyDescent="0.25">
      <c r="A2045" s="53" t="s">
        <v>1337</v>
      </c>
      <c r="B2045" s="10" t="s">
        <v>110</v>
      </c>
      <c r="C2045" s="10">
        <v>98</v>
      </c>
      <c r="D2045" s="10" t="s">
        <v>404</v>
      </c>
      <c r="E2045" s="41" t="s">
        <v>405</v>
      </c>
      <c r="F2045" s="41" t="s">
        <v>405</v>
      </c>
      <c r="G2045" s="7" t="s">
        <v>118</v>
      </c>
      <c r="H2045" s="7">
        <v>13</v>
      </c>
      <c r="I2045" s="10"/>
      <c r="J2045" s="10">
        <v>1</v>
      </c>
      <c r="K2045" s="10">
        <v>1.8</v>
      </c>
      <c r="L2045" s="43">
        <v>32</v>
      </c>
      <c r="M2045" s="43">
        <v>32</v>
      </c>
      <c r="N2045" s="12" t="s">
        <v>1558</v>
      </c>
      <c r="O2045" s="47">
        <v>300</v>
      </c>
      <c r="P2045" s="47"/>
      <c r="Q2045" s="47"/>
      <c r="R2045" s="47">
        <v>60</v>
      </c>
      <c r="S2045" s="11">
        <v>2</v>
      </c>
      <c r="U2045" s="10">
        <v>120</v>
      </c>
      <c r="V2045" s="45">
        <v>1</v>
      </c>
      <c r="X2045" s="32">
        <v>13</v>
      </c>
      <c r="Y2045" s="54" t="s">
        <v>36</v>
      </c>
    </row>
    <row r="2046" spans="1:27" ht="23.1" customHeight="1" x14ac:dyDescent="0.25">
      <c r="A2046" s="53" t="s">
        <v>1337</v>
      </c>
      <c r="B2046" s="10" t="s">
        <v>110</v>
      </c>
      <c r="C2046" s="10">
        <v>106</v>
      </c>
      <c r="D2046" s="10" t="s">
        <v>1070</v>
      </c>
      <c r="E2046" s="41" t="s">
        <v>101</v>
      </c>
      <c r="F2046" s="41" t="s">
        <v>101</v>
      </c>
      <c r="G2046" s="7" t="s">
        <v>300</v>
      </c>
      <c r="H2046" s="7">
        <v>25</v>
      </c>
      <c r="I2046" s="10" t="s">
        <v>2163</v>
      </c>
      <c r="J2046" s="10">
        <v>0.2</v>
      </c>
      <c r="K2046" s="10">
        <v>0.1</v>
      </c>
      <c r="L2046" s="43">
        <v>32</v>
      </c>
      <c r="M2046" s="43">
        <v>32</v>
      </c>
      <c r="N2046" s="12" t="s">
        <v>476</v>
      </c>
      <c r="P2046" s="10">
        <v>4800</v>
      </c>
      <c r="Q2046" s="10">
        <v>180</v>
      </c>
      <c r="T2046" s="10">
        <v>180</v>
      </c>
      <c r="V2046" s="45"/>
      <c r="X2046" s="29">
        <v>8</v>
      </c>
      <c r="Y2046" s="54" t="s">
        <v>36</v>
      </c>
    </row>
    <row r="2047" spans="1:27" ht="23.1" customHeight="1" x14ac:dyDescent="0.25">
      <c r="A2047" s="53" t="s">
        <v>1337</v>
      </c>
      <c r="B2047" s="10" t="s">
        <v>110</v>
      </c>
      <c r="C2047" s="10">
        <v>106</v>
      </c>
      <c r="D2047" s="10" t="s">
        <v>1070</v>
      </c>
      <c r="E2047" s="41" t="s">
        <v>101</v>
      </c>
      <c r="F2047" s="41" t="s">
        <v>101</v>
      </c>
      <c r="G2047" s="7" t="s">
        <v>300</v>
      </c>
      <c r="H2047" s="7">
        <v>30</v>
      </c>
      <c r="I2047" s="10" t="s">
        <v>2486</v>
      </c>
      <c r="K2047" s="10">
        <v>0.3</v>
      </c>
      <c r="L2047" s="43">
        <v>32</v>
      </c>
      <c r="M2047" s="43">
        <v>32</v>
      </c>
      <c r="N2047" s="12" t="s">
        <v>476</v>
      </c>
      <c r="P2047" s="10">
        <v>1500</v>
      </c>
      <c r="Q2047" s="10">
        <v>180</v>
      </c>
      <c r="S2047" s="11">
        <v>1</v>
      </c>
      <c r="T2047" s="10">
        <v>180</v>
      </c>
      <c r="V2047" s="45">
        <v>1</v>
      </c>
      <c r="X2047" s="29">
        <v>13.5</v>
      </c>
      <c r="Y2047" s="54" t="s">
        <v>36</v>
      </c>
    </row>
    <row r="2048" spans="1:27" ht="23.1" customHeight="1" x14ac:dyDescent="0.25">
      <c r="A2048" s="53" t="s">
        <v>1337</v>
      </c>
      <c r="B2048" s="10" t="s">
        <v>110</v>
      </c>
      <c r="C2048" s="10">
        <v>118</v>
      </c>
      <c r="D2048" s="10" t="s">
        <v>1171</v>
      </c>
      <c r="E2048" s="41" t="s">
        <v>1172</v>
      </c>
      <c r="F2048" s="41" t="s">
        <v>1172</v>
      </c>
      <c r="G2048" s="7" t="s">
        <v>300</v>
      </c>
      <c r="H2048" s="7">
        <v>38</v>
      </c>
      <c r="I2048" s="10"/>
      <c r="K2048" s="10">
        <v>0.2</v>
      </c>
      <c r="L2048" s="43">
        <v>32</v>
      </c>
      <c r="M2048" s="43">
        <v>32</v>
      </c>
      <c r="N2048" s="12" t="s">
        <v>330</v>
      </c>
      <c r="O2048" s="10">
        <v>400</v>
      </c>
      <c r="V2048" s="45"/>
      <c r="X2048" s="32">
        <v>1.3</v>
      </c>
      <c r="Y2048" s="54" t="s">
        <v>36</v>
      </c>
    </row>
    <row r="2049" spans="1:25" ht="23.1" customHeight="1" x14ac:dyDescent="0.25">
      <c r="A2049" s="53" t="s">
        <v>1337</v>
      </c>
      <c r="B2049" s="10" t="s">
        <v>110</v>
      </c>
      <c r="C2049" s="10">
        <v>118</v>
      </c>
      <c r="D2049" s="10" t="s">
        <v>1171</v>
      </c>
      <c r="E2049" s="41" t="s">
        <v>1172</v>
      </c>
      <c r="F2049" s="41" t="s">
        <v>1172</v>
      </c>
      <c r="G2049" s="7" t="s">
        <v>300</v>
      </c>
      <c r="H2049" s="7">
        <v>5</v>
      </c>
      <c r="I2049" s="10" t="s">
        <v>1930</v>
      </c>
      <c r="K2049" s="10">
        <v>0.5</v>
      </c>
      <c r="L2049" s="43">
        <v>32</v>
      </c>
      <c r="M2049" s="43">
        <v>32</v>
      </c>
      <c r="N2049" s="12" t="s">
        <v>1036</v>
      </c>
      <c r="P2049" s="10">
        <v>180</v>
      </c>
      <c r="Q2049" s="10">
        <v>60</v>
      </c>
      <c r="S2049" s="11">
        <v>1</v>
      </c>
      <c r="T2049" s="10">
        <v>60</v>
      </c>
      <c r="V2049" s="45">
        <v>1</v>
      </c>
      <c r="X2049" s="29">
        <v>3.5</v>
      </c>
      <c r="Y2049" s="54" t="s">
        <v>36</v>
      </c>
    </row>
    <row r="2050" spans="1:25" ht="23.1" customHeight="1" x14ac:dyDescent="0.25">
      <c r="A2050" s="53" t="s">
        <v>1337</v>
      </c>
      <c r="B2050" s="10" t="s">
        <v>110</v>
      </c>
      <c r="C2050" s="10">
        <v>117</v>
      </c>
      <c r="D2050" s="10" t="s">
        <v>1081</v>
      </c>
      <c r="E2050" s="41" t="s">
        <v>1082</v>
      </c>
      <c r="F2050" s="41" t="s">
        <v>1082</v>
      </c>
      <c r="G2050" s="7" t="s">
        <v>123</v>
      </c>
      <c r="H2050" s="7">
        <v>35</v>
      </c>
      <c r="I2050" s="10" t="s">
        <v>2201</v>
      </c>
      <c r="K2050" s="10">
        <v>0.8</v>
      </c>
      <c r="L2050" s="43">
        <v>32</v>
      </c>
      <c r="M2050" s="43">
        <v>32</v>
      </c>
      <c r="N2050" s="12" t="s">
        <v>861</v>
      </c>
      <c r="P2050" s="10">
        <v>700</v>
      </c>
      <c r="Q2050" s="10">
        <v>60</v>
      </c>
      <c r="T2050" s="10">
        <v>90</v>
      </c>
      <c r="V2050" s="45"/>
      <c r="X2050" s="29">
        <v>9.3000000000000007</v>
      </c>
      <c r="Y2050" s="54" t="s">
        <v>36</v>
      </c>
    </row>
    <row r="2051" spans="1:25" ht="23.1" customHeight="1" x14ac:dyDescent="0.25">
      <c r="A2051" s="53" t="s">
        <v>1337</v>
      </c>
      <c r="B2051" s="10" t="s">
        <v>110</v>
      </c>
      <c r="C2051" s="10">
        <v>45</v>
      </c>
      <c r="D2051" s="10" t="s">
        <v>1128</v>
      </c>
      <c r="E2051" s="41" t="s">
        <v>708</v>
      </c>
      <c r="F2051" s="41" t="e">
        <v>#N/A</v>
      </c>
      <c r="G2051" s="7" t="s">
        <v>250</v>
      </c>
      <c r="H2051" s="7">
        <v>10</v>
      </c>
      <c r="I2051" s="10" t="s">
        <v>2487</v>
      </c>
      <c r="J2051" s="10">
        <v>1</v>
      </c>
      <c r="K2051" s="10">
        <v>6.5</v>
      </c>
      <c r="L2051" s="43">
        <v>32</v>
      </c>
      <c r="M2051" s="43">
        <v>32</v>
      </c>
      <c r="N2051" s="12" t="s">
        <v>1342</v>
      </c>
      <c r="P2051" s="10">
        <v>180</v>
      </c>
      <c r="Q2051" s="10">
        <v>60</v>
      </c>
      <c r="S2051" s="11">
        <v>7</v>
      </c>
      <c r="T2051" s="10">
        <v>60</v>
      </c>
      <c r="V2051" s="45">
        <v>1</v>
      </c>
      <c r="X2051" s="29">
        <v>27.5</v>
      </c>
      <c r="Y2051" s="54" t="s">
        <v>36</v>
      </c>
    </row>
    <row r="2052" spans="1:25" ht="23.1" customHeight="1" x14ac:dyDescent="0.25">
      <c r="A2052" s="53" t="s">
        <v>1337</v>
      </c>
      <c r="B2052" s="10" t="s">
        <v>110</v>
      </c>
      <c r="C2052" s="10">
        <v>100</v>
      </c>
      <c r="D2052" s="10" t="s">
        <v>484</v>
      </c>
      <c r="E2052" s="41" t="s">
        <v>485</v>
      </c>
      <c r="F2052" s="41" t="s">
        <v>485</v>
      </c>
      <c r="G2052" s="7" t="s">
        <v>300</v>
      </c>
      <c r="H2052" s="7">
        <v>25</v>
      </c>
      <c r="I2052" s="10" t="s">
        <v>2140</v>
      </c>
      <c r="J2052" s="10">
        <v>0.5</v>
      </c>
      <c r="K2052" s="10">
        <v>0.5</v>
      </c>
      <c r="L2052" s="43">
        <v>32</v>
      </c>
      <c r="M2052" s="43">
        <v>32</v>
      </c>
      <c r="N2052" s="12" t="s">
        <v>247</v>
      </c>
      <c r="P2052" s="10">
        <v>660</v>
      </c>
      <c r="Q2052" s="10">
        <v>60</v>
      </c>
      <c r="T2052" s="10">
        <v>180</v>
      </c>
      <c r="V2052" s="45"/>
      <c r="X2052" s="29">
        <v>5.5</v>
      </c>
      <c r="Y2052" s="54" t="s">
        <v>36</v>
      </c>
    </row>
    <row r="2053" spans="1:25" ht="23.1" customHeight="1" x14ac:dyDescent="0.25">
      <c r="A2053" s="53" t="s">
        <v>1337</v>
      </c>
      <c r="B2053" s="10" t="s">
        <v>110</v>
      </c>
      <c r="C2053" s="10">
        <v>100</v>
      </c>
      <c r="D2053" s="10" t="s">
        <v>298</v>
      </c>
      <c r="E2053" s="41" t="s">
        <v>299</v>
      </c>
      <c r="F2053" s="41" t="s">
        <v>299</v>
      </c>
      <c r="G2053" s="7" t="s">
        <v>300</v>
      </c>
      <c r="H2053" s="7">
        <v>25</v>
      </c>
      <c r="I2053" s="10" t="s">
        <v>2140</v>
      </c>
      <c r="J2053" s="10">
        <v>0.5</v>
      </c>
      <c r="K2053" s="10">
        <v>0.3</v>
      </c>
      <c r="L2053" s="43">
        <v>32</v>
      </c>
      <c r="M2053" s="43">
        <v>32</v>
      </c>
      <c r="N2053" s="12" t="s">
        <v>164</v>
      </c>
      <c r="P2053" s="10">
        <v>660</v>
      </c>
      <c r="Q2053" s="10">
        <v>60</v>
      </c>
      <c r="S2053" s="11">
        <v>1</v>
      </c>
      <c r="T2053" s="10">
        <v>180</v>
      </c>
      <c r="V2053" s="45">
        <v>1</v>
      </c>
      <c r="X2053" s="29">
        <v>7.3</v>
      </c>
      <c r="Y2053" s="54" t="s">
        <v>36</v>
      </c>
    </row>
    <row r="2054" spans="1:25" ht="23.1" customHeight="1" x14ac:dyDescent="0.25">
      <c r="A2054" s="53" t="s">
        <v>1337</v>
      </c>
      <c r="B2054" s="10" t="s">
        <v>110</v>
      </c>
      <c r="C2054" s="10">
        <v>82</v>
      </c>
      <c r="D2054" s="10" t="s">
        <v>1074</v>
      </c>
      <c r="E2054" s="41" t="s">
        <v>1075</v>
      </c>
      <c r="F2054" s="41" t="s">
        <v>1075</v>
      </c>
      <c r="G2054" s="7" t="s">
        <v>154</v>
      </c>
      <c r="H2054" s="7">
        <v>25</v>
      </c>
      <c r="I2054" s="10" t="s">
        <v>2488</v>
      </c>
      <c r="J2054" s="10">
        <v>3</v>
      </c>
      <c r="K2054" s="10">
        <v>3</v>
      </c>
      <c r="L2054" s="43">
        <v>32</v>
      </c>
      <c r="M2054" s="43">
        <v>32</v>
      </c>
      <c r="N2054" s="12" t="s">
        <v>1114</v>
      </c>
      <c r="P2054" s="10">
        <v>210</v>
      </c>
      <c r="T2054" s="10">
        <v>120</v>
      </c>
      <c r="V2054" s="45"/>
      <c r="X2054" s="29">
        <v>10.5</v>
      </c>
      <c r="Y2054" s="54" t="s">
        <v>36</v>
      </c>
    </row>
    <row r="2055" spans="1:25" ht="23.1" customHeight="1" x14ac:dyDescent="0.25">
      <c r="A2055" s="53" t="s">
        <v>1337</v>
      </c>
      <c r="B2055" s="10" t="s">
        <v>110</v>
      </c>
      <c r="C2055" s="10">
        <v>83</v>
      </c>
      <c r="D2055" s="10" t="s">
        <v>1095</v>
      </c>
      <c r="E2055" s="41" t="s">
        <v>1096</v>
      </c>
      <c r="F2055" s="41" t="s">
        <v>1096</v>
      </c>
      <c r="G2055" s="7" t="s">
        <v>658</v>
      </c>
      <c r="H2055" s="7">
        <v>15</v>
      </c>
      <c r="I2055" s="10" t="s">
        <v>2048</v>
      </c>
      <c r="J2055" s="10">
        <v>3</v>
      </c>
      <c r="K2055" s="10">
        <v>3.6</v>
      </c>
      <c r="L2055" s="43">
        <v>32</v>
      </c>
      <c r="M2055" s="43">
        <v>32</v>
      </c>
      <c r="N2055" s="12" t="s">
        <v>412</v>
      </c>
      <c r="P2055" s="10">
        <v>270</v>
      </c>
      <c r="Q2055" s="10">
        <v>60</v>
      </c>
      <c r="S2055" s="11">
        <v>4</v>
      </c>
      <c r="T2055" s="10">
        <v>60</v>
      </c>
      <c r="V2055" s="45"/>
      <c r="X2055" s="29">
        <v>20.2</v>
      </c>
      <c r="Y2055" s="54" t="s">
        <v>36</v>
      </c>
    </row>
    <row r="2056" spans="1:25" ht="23.1" customHeight="1" x14ac:dyDescent="0.25">
      <c r="A2056" s="53" t="s">
        <v>1337</v>
      </c>
      <c r="B2056" s="10" t="s">
        <v>110</v>
      </c>
      <c r="C2056" s="10">
        <v>82</v>
      </c>
      <c r="D2056" s="10" t="s">
        <v>1074</v>
      </c>
      <c r="E2056" s="41" t="s">
        <v>1075</v>
      </c>
      <c r="F2056" s="41" t="s">
        <v>1075</v>
      </c>
      <c r="G2056" s="7" t="s">
        <v>154</v>
      </c>
      <c r="H2056" s="7">
        <v>30</v>
      </c>
      <c r="I2056" s="10" t="s">
        <v>2291</v>
      </c>
      <c r="K2056" s="10">
        <v>0.6</v>
      </c>
      <c r="L2056" s="43">
        <v>32</v>
      </c>
      <c r="M2056" s="43">
        <v>32</v>
      </c>
      <c r="N2056" s="12" t="s">
        <v>221</v>
      </c>
      <c r="P2056" s="10">
        <v>240</v>
      </c>
      <c r="S2056" s="11">
        <v>1</v>
      </c>
      <c r="T2056" s="10">
        <v>120</v>
      </c>
      <c r="V2056" s="45">
        <v>1</v>
      </c>
      <c r="X2056" s="29">
        <v>4.4000000000000004</v>
      </c>
      <c r="Y2056" s="54" t="s">
        <v>36</v>
      </c>
    </row>
    <row r="2057" spans="1:25" ht="23.1" customHeight="1" x14ac:dyDescent="0.25">
      <c r="A2057" s="53" t="s">
        <v>1337</v>
      </c>
      <c r="B2057" s="10" t="s">
        <v>113</v>
      </c>
      <c r="C2057" s="10">
        <v>99</v>
      </c>
      <c r="D2057" s="10" t="s">
        <v>1191</v>
      </c>
      <c r="E2057" s="41" t="s">
        <v>1192</v>
      </c>
      <c r="F2057" s="41" t="s">
        <v>1192</v>
      </c>
      <c r="G2057" s="7" t="s">
        <v>300</v>
      </c>
      <c r="H2057" s="7">
        <v>15</v>
      </c>
      <c r="I2057" s="10" t="s">
        <v>2489</v>
      </c>
      <c r="J2057" s="10">
        <v>2</v>
      </c>
      <c r="K2057" s="10">
        <v>3</v>
      </c>
      <c r="L2057" s="43">
        <v>25</v>
      </c>
      <c r="M2057" s="43">
        <v>25</v>
      </c>
      <c r="N2057" s="12" t="s">
        <v>1559</v>
      </c>
      <c r="P2057" s="10">
        <v>360</v>
      </c>
      <c r="Q2057" s="10">
        <v>60</v>
      </c>
      <c r="S2057" s="11">
        <v>3</v>
      </c>
      <c r="T2057" s="10">
        <v>90</v>
      </c>
      <c r="V2057" s="45"/>
      <c r="X2057" s="29">
        <v>21</v>
      </c>
      <c r="Y2057" s="54" t="s">
        <v>21</v>
      </c>
    </row>
    <row r="2058" spans="1:25" ht="23.1" customHeight="1" x14ac:dyDescent="0.25">
      <c r="A2058" s="53" t="s">
        <v>1337</v>
      </c>
      <c r="B2058" s="10" t="s">
        <v>113</v>
      </c>
      <c r="C2058" s="10">
        <v>98</v>
      </c>
      <c r="D2058" s="10" t="s">
        <v>404</v>
      </c>
      <c r="E2058" s="41" t="s">
        <v>405</v>
      </c>
      <c r="F2058" s="41" t="s">
        <v>405</v>
      </c>
      <c r="G2058" s="7" t="s">
        <v>118</v>
      </c>
      <c r="H2058" s="7">
        <v>13</v>
      </c>
      <c r="I2058" s="10"/>
      <c r="J2058" s="10">
        <v>3</v>
      </c>
      <c r="K2058" s="10">
        <v>2.1</v>
      </c>
      <c r="L2058" s="43">
        <v>25</v>
      </c>
      <c r="M2058" s="43">
        <v>25</v>
      </c>
      <c r="N2058" s="12" t="s">
        <v>1560</v>
      </c>
      <c r="O2058" s="47">
        <v>300</v>
      </c>
      <c r="P2058" s="47"/>
      <c r="Q2058" s="47"/>
      <c r="R2058" s="47">
        <v>60</v>
      </c>
      <c r="S2058" s="11">
        <v>2</v>
      </c>
      <c r="V2058" s="45"/>
      <c r="X2058" s="32">
        <v>12.5</v>
      </c>
      <c r="Y2058" s="54" t="s">
        <v>62</v>
      </c>
    </row>
    <row r="2059" spans="1:25" ht="23.1" customHeight="1" x14ac:dyDescent="0.25">
      <c r="A2059" s="53" t="s">
        <v>1337</v>
      </c>
      <c r="B2059" s="10" t="s">
        <v>113</v>
      </c>
      <c r="C2059" s="10">
        <v>97</v>
      </c>
      <c r="D2059" s="10" t="s">
        <v>1076</v>
      </c>
      <c r="E2059" s="41" t="s">
        <v>1065</v>
      </c>
      <c r="F2059" s="41" t="s">
        <v>1065</v>
      </c>
      <c r="G2059" s="7" t="s">
        <v>250</v>
      </c>
      <c r="H2059" s="7">
        <v>60</v>
      </c>
      <c r="I2059" s="10" t="s">
        <v>2161</v>
      </c>
      <c r="J2059" s="10">
        <v>1</v>
      </c>
      <c r="K2059" s="10">
        <v>0.9</v>
      </c>
      <c r="L2059" s="43">
        <v>25</v>
      </c>
      <c r="M2059" s="43">
        <v>25</v>
      </c>
      <c r="N2059" s="12" t="s">
        <v>429</v>
      </c>
      <c r="P2059" s="10">
        <v>570</v>
      </c>
      <c r="Q2059" s="10">
        <v>60</v>
      </c>
      <c r="S2059" s="11">
        <v>1</v>
      </c>
      <c r="T2059" s="10">
        <v>60</v>
      </c>
      <c r="V2059" s="45"/>
      <c r="X2059" s="29">
        <v>9.6</v>
      </c>
      <c r="Y2059" s="54" t="s">
        <v>1</v>
      </c>
    </row>
    <row r="2060" spans="1:25" ht="23.1" customHeight="1" x14ac:dyDescent="0.25">
      <c r="A2060" s="53" t="s">
        <v>1337</v>
      </c>
      <c r="B2060" s="10" t="s">
        <v>113</v>
      </c>
      <c r="C2060" s="10">
        <v>105</v>
      </c>
      <c r="D2060" s="10" t="s">
        <v>1176</v>
      </c>
      <c r="E2060" s="41" t="s">
        <v>1098</v>
      </c>
      <c r="F2060" s="41" t="s">
        <v>1098</v>
      </c>
      <c r="G2060" s="7" t="s">
        <v>250</v>
      </c>
      <c r="H2060" s="7">
        <v>50</v>
      </c>
      <c r="I2060" s="10" t="s">
        <v>2185</v>
      </c>
      <c r="J2060" s="10">
        <v>0.4</v>
      </c>
      <c r="K2060" s="10">
        <v>0.6</v>
      </c>
      <c r="L2060" s="43">
        <v>25</v>
      </c>
      <c r="M2060" s="43">
        <v>25</v>
      </c>
      <c r="N2060" s="12" t="s">
        <v>429</v>
      </c>
      <c r="P2060" s="10">
        <v>1080</v>
      </c>
      <c r="Q2060" s="10">
        <v>60</v>
      </c>
      <c r="T2060" s="10">
        <v>120</v>
      </c>
      <c r="V2060" s="45"/>
      <c r="X2060" s="29">
        <v>10.8</v>
      </c>
      <c r="Y2060" s="54" t="s">
        <v>28</v>
      </c>
    </row>
    <row r="2061" spans="1:25" ht="23.1" customHeight="1" x14ac:dyDescent="0.25">
      <c r="A2061" s="53" t="s">
        <v>1337</v>
      </c>
      <c r="B2061" s="10" t="s">
        <v>113</v>
      </c>
      <c r="C2061" s="10">
        <v>82</v>
      </c>
      <c r="D2061" s="10" t="s">
        <v>1074</v>
      </c>
      <c r="E2061" s="41" t="s">
        <v>1075</v>
      </c>
      <c r="F2061" s="41" t="s">
        <v>1075</v>
      </c>
      <c r="G2061" s="7" t="s">
        <v>154</v>
      </c>
      <c r="H2061" s="7">
        <v>30</v>
      </c>
      <c r="I2061" s="10" t="s">
        <v>2291</v>
      </c>
      <c r="J2061" s="10">
        <v>3</v>
      </c>
      <c r="K2061" s="10">
        <v>3.4</v>
      </c>
      <c r="L2061" s="43">
        <v>25</v>
      </c>
      <c r="M2061" s="43">
        <v>25</v>
      </c>
      <c r="N2061" s="12" t="s">
        <v>1561</v>
      </c>
      <c r="P2061" s="10">
        <v>240</v>
      </c>
      <c r="S2061" s="11">
        <v>3</v>
      </c>
      <c r="T2061" s="10">
        <v>120</v>
      </c>
      <c r="V2061" s="45"/>
      <c r="X2061" s="29">
        <v>13.6</v>
      </c>
      <c r="Y2061" s="54" t="s">
        <v>56</v>
      </c>
    </row>
    <row r="2062" spans="1:25" ht="23.1" customHeight="1" x14ac:dyDescent="0.25">
      <c r="A2062" s="53" t="s">
        <v>1337</v>
      </c>
      <c r="B2062" s="10" t="s">
        <v>113</v>
      </c>
      <c r="C2062" s="10">
        <v>19</v>
      </c>
      <c r="D2062" s="10" t="s">
        <v>395</v>
      </c>
      <c r="E2062" s="41" t="s">
        <v>396</v>
      </c>
      <c r="F2062" s="41" t="e">
        <v>#N/A</v>
      </c>
      <c r="G2062" s="7" t="s">
        <v>300</v>
      </c>
      <c r="H2062" s="7">
        <v>30</v>
      </c>
      <c r="I2062" s="10" t="s">
        <v>2193</v>
      </c>
      <c r="J2062" s="10">
        <v>3</v>
      </c>
      <c r="K2062" s="10">
        <v>0.5</v>
      </c>
      <c r="L2062" s="43">
        <v>25</v>
      </c>
      <c r="M2062" s="43">
        <v>25</v>
      </c>
      <c r="N2062" s="12" t="s">
        <v>399</v>
      </c>
      <c r="P2062" s="10">
        <v>630</v>
      </c>
      <c r="Q2062" s="10">
        <v>90</v>
      </c>
      <c r="S2062" s="11">
        <v>1</v>
      </c>
      <c r="T2062" s="10">
        <v>90</v>
      </c>
      <c r="V2062" s="45">
        <v>1</v>
      </c>
      <c r="X2062" s="29">
        <v>8.3000000000000007</v>
      </c>
      <c r="Y2062" s="54" t="s">
        <v>11</v>
      </c>
    </row>
    <row r="2063" spans="1:25" ht="23.1" customHeight="1" x14ac:dyDescent="0.25">
      <c r="A2063" s="53" t="s">
        <v>1337</v>
      </c>
      <c r="B2063" s="10" t="s">
        <v>113</v>
      </c>
      <c r="C2063" s="10">
        <v>83</v>
      </c>
      <c r="D2063" s="10" t="s">
        <v>1095</v>
      </c>
      <c r="E2063" s="41" t="s">
        <v>1096</v>
      </c>
      <c r="F2063" s="41" t="s">
        <v>1096</v>
      </c>
      <c r="G2063" s="7" t="s">
        <v>658</v>
      </c>
      <c r="H2063" s="7">
        <v>15</v>
      </c>
      <c r="I2063" s="10" t="s">
        <v>2292</v>
      </c>
      <c r="J2063" s="10">
        <v>3</v>
      </c>
      <c r="K2063" s="10">
        <v>3</v>
      </c>
      <c r="L2063" s="43">
        <v>25</v>
      </c>
      <c r="M2063" s="43">
        <v>25</v>
      </c>
      <c r="N2063" s="12" t="s">
        <v>412</v>
      </c>
      <c r="P2063" s="10">
        <v>270</v>
      </c>
      <c r="Q2063" s="10">
        <v>60</v>
      </c>
      <c r="S2063" s="11">
        <v>3</v>
      </c>
      <c r="T2063" s="10">
        <v>60</v>
      </c>
      <c r="V2063" s="45"/>
      <c r="X2063" s="29">
        <v>16.5</v>
      </c>
      <c r="Y2063" s="54" t="s">
        <v>48</v>
      </c>
    </row>
    <row r="2064" spans="1:25" ht="23.1" customHeight="1" x14ac:dyDescent="0.25">
      <c r="A2064" s="53" t="s">
        <v>1337</v>
      </c>
      <c r="B2064" s="10" t="s">
        <v>113</v>
      </c>
      <c r="C2064" s="10">
        <v>44</v>
      </c>
      <c r="D2064" s="10" t="s">
        <v>495</v>
      </c>
      <c r="E2064" s="41" t="s">
        <v>267</v>
      </c>
      <c r="F2064" s="41" t="s">
        <v>267</v>
      </c>
      <c r="G2064" s="7" t="s">
        <v>118</v>
      </c>
      <c r="H2064" s="7">
        <v>55</v>
      </c>
      <c r="I2064" s="10" t="s">
        <v>2166</v>
      </c>
      <c r="J2064" s="10">
        <v>0.6</v>
      </c>
      <c r="K2064" s="10">
        <v>0.6</v>
      </c>
      <c r="L2064" s="43">
        <v>25</v>
      </c>
      <c r="M2064" s="43">
        <v>25</v>
      </c>
      <c r="N2064" s="12" t="s">
        <v>429</v>
      </c>
      <c r="P2064" s="10">
        <v>1260</v>
      </c>
      <c r="Q2064" s="10">
        <v>90</v>
      </c>
      <c r="T2064" s="10">
        <v>60</v>
      </c>
      <c r="V2064" s="45"/>
      <c r="X2064" s="29">
        <v>12.6</v>
      </c>
      <c r="Y2064" s="54" t="s">
        <v>48</v>
      </c>
    </row>
    <row r="2065" spans="1:26" ht="23.1" customHeight="1" x14ac:dyDescent="0.25">
      <c r="A2065" s="53" t="s">
        <v>1337</v>
      </c>
      <c r="B2065" s="10" t="s">
        <v>113</v>
      </c>
      <c r="C2065" s="10">
        <v>100</v>
      </c>
      <c r="D2065" s="10" t="s">
        <v>298</v>
      </c>
      <c r="E2065" s="41" t="s">
        <v>299</v>
      </c>
      <c r="F2065" s="41" t="s">
        <v>299</v>
      </c>
      <c r="G2065" s="7" t="s">
        <v>300</v>
      </c>
      <c r="H2065" s="7">
        <v>25</v>
      </c>
      <c r="I2065" s="10" t="s">
        <v>2140</v>
      </c>
      <c r="J2065" s="10">
        <v>1</v>
      </c>
      <c r="K2065" s="10">
        <v>1</v>
      </c>
      <c r="L2065" s="43">
        <v>25</v>
      </c>
      <c r="M2065" s="43">
        <v>25</v>
      </c>
      <c r="N2065" s="12" t="s">
        <v>914</v>
      </c>
      <c r="P2065" s="10">
        <v>660</v>
      </c>
      <c r="Q2065" s="10">
        <v>60</v>
      </c>
      <c r="S2065" s="11">
        <v>1</v>
      </c>
      <c r="T2065" s="10">
        <v>180</v>
      </c>
      <c r="V2065" s="45"/>
      <c r="X2065" s="29">
        <v>12</v>
      </c>
      <c r="Y2065" s="54" t="s">
        <v>48</v>
      </c>
    </row>
    <row r="2066" spans="1:26" ht="23.1" customHeight="1" x14ac:dyDescent="0.25">
      <c r="A2066" s="53" t="s">
        <v>1337</v>
      </c>
      <c r="B2066" s="10" t="s">
        <v>113</v>
      </c>
      <c r="C2066" s="10">
        <v>102</v>
      </c>
      <c r="D2066" s="10" t="s">
        <v>1067</v>
      </c>
      <c r="E2066" s="41" t="s">
        <v>1068</v>
      </c>
      <c r="F2066" s="41" t="s">
        <v>1068</v>
      </c>
      <c r="G2066" s="42" t="s">
        <v>323</v>
      </c>
      <c r="H2066" s="7">
        <v>10</v>
      </c>
      <c r="I2066" s="10" t="s">
        <v>2293</v>
      </c>
      <c r="J2066" s="10">
        <v>1</v>
      </c>
      <c r="L2066" s="43">
        <v>25</v>
      </c>
      <c r="M2066" s="43">
        <v>25</v>
      </c>
      <c r="N2066" s="12" t="s">
        <v>316</v>
      </c>
      <c r="P2066" s="10">
        <v>220</v>
      </c>
      <c r="Q2066" s="10">
        <v>60</v>
      </c>
      <c r="S2066" s="11">
        <v>1</v>
      </c>
      <c r="T2066" s="10">
        <v>60</v>
      </c>
      <c r="V2066" s="45"/>
      <c r="X2066" s="29">
        <v>1</v>
      </c>
      <c r="Y2066" s="54" t="s">
        <v>48</v>
      </c>
    </row>
    <row r="2067" spans="1:26" ht="23.1" customHeight="1" x14ac:dyDescent="0.25">
      <c r="A2067" s="53" t="s">
        <v>1337</v>
      </c>
      <c r="B2067" s="10" t="s">
        <v>113</v>
      </c>
      <c r="C2067" s="10">
        <v>106</v>
      </c>
      <c r="D2067" s="10" t="s">
        <v>1070</v>
      </c>
      <c r="E2067" s="41" t="s">
        <v>101</v>
      </c>
      <c r="F2067" s="41" t="s">
        <v>101</v>
      </c>
      <c r="G2067" s="7" t="s">
        <v>300</v>
      </c>
      <c r="H2067" s="7">
        <v>30</v>
      </c>
      <c r="I2067" s="10" t="s">
        <v>2127</v>
      </c>
      <c r="J2067" s="10">
        <v>0.7</v>
      </c>
      <c r="K2067" s="10">
        <v>0.5</v>
      </c>
      <c r="L2067" s="43">
        <v>25</v>
      </c>
      <c r="M2067" s="43">
        <v>25</v>
      </c>
      <c r="N2067" s="12" t="s">
        <v>476</v>
      </c>
      <c r="P2067" s="10">
        <v>1500</v>
      </c>
      <c r="Q2067" s="10">
        <v>180</v>
      </c>
      <c r="T2067" s="10">
        <v>180</v>
      </c>
      <c r="V2067" s="45"/>
      <c r="X2067" s="29">
        <v>12.5</v>
      </c>
      <c r="Y2067" s="54" t="s">
        <v>48</v>
      </c>
    </row>
    <row r="2068" spans="1:26" ht="23.1" customHeight="1" x14ac:dyDescent="0.25">
      <c r="A2068" s="53" t="s">
        <v>1337</v>
      </c>
      <c r="B2068" s="10" t="s">
        <v>113</v>
      </c>
      <c r="C2068" s="10">
        <v>45</v>
      </c>
      <c r="D2068" s="10" t="s">
        <v>1128</v>
      </c>
      <c r="E2068" s="41" t="s">
        <v>708</v>
      </c>
      <c r="F2068" s="41" t="e">
        <v>#N/A</v>
      </c>
      <c r="G2068" s="7" t="s">
        <v>250</v>
      </c>
      <c r="H2068" s="7">
        <v>10</v>
      </c>
      <c r="I2068" s="10" t="s">
        <v>2059</v>
      </c>
      <c r="J2068" s="10">
        <v>3</v>
      </c>
      <c r="K2068" s="10">
        <v>3.5</v>
      </c>
      <c r="L2068" s="43">
        <v>25</v>
      </c>
      <c r="M2068" s="43">
        <v>25</v>
      </c>
      <c r="N2068" s="12" t="s">
        <v>852</v>
      </c>
      <c r="P2068" s="10">
        <v>180</v>
      </c>
      <c r="Q2068" s="10">
        <v>60</v>
      </c>
      <c r="S2068" s="11">
        <v>3</v>
      </c>
      <c r="T2068" s="10">
        <v>60</v>
      </c>
      <c r="V2068" s="45"/>
      <c r="X2068" s="29">
        <v>13.5</v>
      </c>
      <c r="Y2068" s="54" t="s">
        <v>48</v>
      </c>
    </row>
    <row r="2069" spans="1:26" ht="23.1" customHeight="1" x14ac:dyDescent="0.25">
      <c r="A2069" s="53" t="s">
        <v>1337</v>
      </c>
      <c r="B2069" s="10" t="s">
        <v>113</v>
      </c>
      <c r="C2069" s="10">
        <v>103</v>
      </c>
      <c r="D2069" s="10" t="s">
        <v>834</v>
      </c>
      <c r="E2069" s="41" t="s">
        <v>835</v>
      </c>
      <c r="F2069" s="41" t="s">
        <v>835</v>
      </c>
      <c r="G2069" s="7" t="s">
        <v>154</v>
      </c>
      <c r="H2069" s="7">
        <v>65</v>
      </c>
      <c r="I2069" s="10" t="s">
        <v>2200</v>
      </c>
      <c r="J2069" s="10">
        <v>2</v>
      </c>
      <c r="K2069" s="10">
        <v>2</v>
      </c>
      <c r="L2069" s="43">
        <v>25</v>
      </c>
      <c r="M2069" s="43">
        <v>25</v>
      </c>
      <c r="N2069" s="12" t="s">
        <v>1562</v>
      </c>
      <c r="P2069" s="10">
        <v>100</v>
      </c>
      <c r="Q2069" s="10">
        <v>60</v>
      </c>
      <c r="S2069" s="11">
        <v>2</v>
      </c>
      <c r="T2069" s="10">
        <v>60</v>
      </c>
      <c r="V2069" s="45"/>
      <c r="W2069" s="14">
        <v>3</v>
      </c>
      <c r="X2069" s="29">
        <v>8.3000000000000007</v>
      </c>
      <c r="Y2069" s="54" t="s">
        <v>48</v>
      </c>
      <c r="Z2069" t="s">
        <v>1413</v>
      </c>
    </row>
    <row r="2070" spans="1:26" ht="23.1" customHeight="1" x14ac:dyDescent="0.25">
      <c r="A2070" s="53" t="s">
        <v>1337</v>
      </c>
      <c r="B2070" s="10" t="s">
        <v>113</v>
      </c>
      <c r="C2070" s="10">
        <v>103</v>
      </c>
      <c r="D2070" s="10" t="s">
        <v>937</v>
      </c>
      <c r="E2070" s="41" t="s">
        <v>938</v>
      </c>
      <c r="F2070" s="41" t="s">
        <v>938</v>
      </c>
      <c r="G2070" s="42" t="s">
        <v>939</v>
      </c>
      <c r="H2070" s="7">
        <v>50</v>
      </c>
      <c r="I2070" s="10" t="s">
        <v>2490</v>
      </c>
      <c r="K2070" s="10">
        <v>1</v>
      </c>
      <c r="L2070" s="43">
        <v>25</v>
      </c>
      <c r="M2070" s="43">
        <v>25</v>
      </c>
      <c r="N2070" s="12" t="s">
        <v>425</v>
      </c>
      <c r="P2070" s="10">
        <v>60</v>
      </c>
      <c r="Q2070" s="10">
        <v>60</v>
      </c>
      <c r="S2070" s="11">
        <v>1</v>
      </c>
      <c r="T2070" s="10">
        <v>60</v>
      </c>
      <c r="V2070" s="45">
        <v>1</v>
      </c>
      <c r="W2070" s="10">
        <v>3</v>
      </c>
      <c r="X2070" s="29">
        <v>6</v>
      </c>
      <c r="Y2070" s="54" t="s">
        <v>48</v>
      </c>
      <c r="Z2070" t="s">
        <v>1413</v>
      </c>
    </row>
    <row r="2071" spans="1:26" ht="23.1" customHeight="1" x14ac:dyDescent="0.25">
      <c r="A2071" s="53" t="s">
        <v>1337</v>
      </c>
      <c r="B2071" s="10" t="s">
        <v>113</v>
      </c>
      <c r="C2071" s="10">
        <v>103</v>
      </c>
      <c r="D2071" s="10" t="s">
        <v>937</v>
      </c>
      <c r="E2071" s="41" t="s">
        <v>938</v>
      </c>
      <c r="F2071" s="41" t="s">
        <v>938</v>
      </c>
      <c r="G2071" s="42" t="s">
        <v>939</v>
      </c>
      <c r="H2071" s="7">
        <v>55</v>
      </c>
      <c r="I2071" s="10" t="s">
        <v>2004</v>
      </c>
      <c r="K2071" s="10">
        <v>0.3</v>
      </c>
      <c r="L2071" s="43">
        <v>25</v>
      </c>
      <c r="M2071" s="43">
        <v>25</v>
      </c>
      <c r="N2071" s="12" t="s">
        <v>425</v>
      </c>
      <c r="P2071" s="10">
        <v>600</v>
      </c>
      <c r="Q2071" s="10">
        <v>60</v>
      </c>
      <c r="S2071" s="11">
        <v>1</v>
      </c>
      <c r="T2071" s="10">
        <v>90</v>
      </c>
      <c r="V2071" s="45">
        <v>1</v>
      </c>
      <c r="X2071" s="29">
        <v>5.5</v>
      </c>
      <c r="Y2071" s="54" t="s">
        <v>48</v>
      </c>
    </row>
    <row r="2072" spans="1:26" ht="23.1" customHeight="1" x14ac:dyDescent="0.25">
      <c r="A2072" s="53" t="s">
        <v>1337</v>
      </c>
      <c r="B2072" s="10" t="s">
        <v>113</v>
      </c>
      <c r="C2072" s="10">
        <v>117</v>
      </c>
      <c r="D2072" s="10" t="s">
        <v>1081</v>
      </c>
      <c r="E2072" s="41" t="s">
        <v>1082</v>
      </c>
      <c r="F2072" s="41" t="s">
        <v>1082</v>
      </c>
      <c r="G2072" s="7" t="s">
        <v>123</v>
      </c>
      <c r="H2072" s="7">
        <v>35</v>
      </c>
      <c r="I2072" s="10" t="s">
        <v>2201</v>
      </c>
      <c r="K2072" s="10">
        <v>0.2</v>
      </c>
      <c r="L2072" s="43">
        <v>25</v>
      </c>
      <c r="M2072" s="43">
        <v>25</v>
      </c>
      <c r="N2072" s="12" t="s">
        <v>860</v>
      </c>
      <c r="P2072" s="10">
        <v>700</v>
      </c>
      <c r="Q2072" s="10">
        <v>60</v>
      </c>
      <c r="T2072" s="10">
        <v>90</v>
      </c>
      <c r="V2072" s="45"/>
      <c r="X2072" s="29">
        <v>2.2999999999999998</v>
      </c>
      <c r="Y2072" s="54" t="s">
        <v>48</v>
      </c>
    </row>
    <row r="2073" spans="1:26" ht="23.1" customHeight="1" x14ac:dyDescent="0.25">
      <c r="A2073" s="53" t="s">
        <v>1337</v>
      </c>
      <c r="B2073" s="10" t="s">
        <v>113</v>
      </c>
      <c r="C2073" s="10">
        <v>117</v>
      </c>
      <c r="D2073" s="10" t="s">
        <v>1083</v>
      </c>
      <c r="E2073" s="41" t="s">
        <v>1082</v>
      </c>
      <c r="F2073" s="41" t="s">
        <v>1082</v>
      </c>
      <c r="G2073" s="7" t="s">
        <v>123</v>
      </c>
      <c r="H2073" s="7">
        <v>35</v>
      </c>
      <c r="I2073" s="10" t="s">
        <v>2201</v>
      </c>
      <c r="K2073" s="10">
        <v>0.6</v>
      </c>
      <c r="L2073" s="43">
        <v>25</v>
      </c>
      <c r="M2073" s="43">
        <v>25</v>
      </c>
      <c r="N2073" s="12" t="s">
        <v>860</v>
      </c>
      <c r="P2073" s="10">
        <v>700</v>
      </c>
      <c r="Q2073" s="10">
        <v>60</v>
      </c>
      <c r="T2073" s="10">
        <v>90</v>
      </c>
      <c r="V2073" s="45">
        <v>1</v>
      </c>
      <c r="X2073" s="29">
        <v>8.5</v>
      </c>
      <c r="Y2073" s="54" t="s">
        <v>48</v>
      </c>
    </row>
    <row r="2074" spans="1:26" ht="23.1" customHeight="1" x14ac:dyDescent="0.25">
      <c r="A2074" s="53" t="s">
        <v>1337</v>
      </c>
      <c r="B2074" s="10" t="s">
        <v>113</v>
      </c>
      <c r="C2074" s="10">
        <v>118</v>
      </c>
      <c r="D2074" s="10" t="s">
        <v>1171</v>
      </c>
      <c r="E2074" s="41" t="s">
        <v>1172</v>
      </c>
      <c r="F2074" s="41" t="s">
        <v>1172</v>
      </c>
      <c r="G2074" s="7" t="s">
        <v>300</v>
      </c>
      <c r="H2074" s="7">
        <v>5</v>
      </c>
      <c r="I2074" s="10" t="s">
        <v>2448</v>
      </c>
      <c r="K2074" s="10">
        <v>1.5</v>
      </c>
      <c r="L2074" s="43">
        <v>25</v>
      </c>
      <c r="M2074" s="43">
        <v>25</v>
      </c>
      <c r="N2074" s="12" t="s">
        <v>1563</v>
      </c>
      <c r="P2074" s="10">
        <v>180</v>
      </c>
      <c r="Q2074" s="10">
        <v>60</v>
      </c>
      <c r="T2074" s="10">
        <v>60</v>
      </c>
      <c r="V2074" s="45"/>
      <c r="X2074" s="29">
        <v>4.5</v>
      </c>
      <c r="Y2074" s="54" t="s">
        <v>48</v>
      </c>
    </row>
    <row r="2075" spans="1:26" ht="23.1" customHeight="1" x14ac:dyDescent="0.25">
      <c r="A2075" s="53" t="s">
        <v>1337</v>
      </c>
      <c r="B2075" s="10" t="s">
        <v>113</v>
      </c>
      <c r="C2075" s="10">
        <v>118</v>
      </c>
      <c r="D2075" s="10"/>
      <c r="E2075" s="41" t="s">
        <v>1564</v>
      </c>
      <c r="F2075" s="41">
        <v>0</v>
      </c>
      <c r="G2075" s="7" t="s">
        <v>102</v>
      </c>
      <c r="I2075" s="10"/>
      <c r="L2075" s="43">
        <v>25</v>
      </c>
      <c r="M2075" s="43">
        <v>25</v>
      </c>
      <c r="V2075" s="45">
        <v>1</v>
      </c>
      <c r="W2075" s="14">
        <v>6</v>
      </c>
      <c r="X2075" s="29">
        <v>6</v>
      </c>
      <c r="Y2075" s="54" t="s">
        <v>48</v>
      </c>
      <c r="Z2075" t="s">
        <v>1565</v>
      </c>
    </row>
    <row r="2076" spans="1:26" ht="23.1" customHeight="1" x14ac:dyDescent="0.25">
      <c r="A2076" s="53" t="s">
        <v>1333</v>
      </c>
      <c r="B2076" s="10" t="s">
        <v>110</v>
      </c>
      <c r="C2076" s="10">
        <v>19</v>
      </c>
      <c r="D2076" s="10" t="s">
        <v>395</v>
      </c>
      <c r="E2076" s="41" t="s">
        <v>396</v>
      </c>
      <c r="F2076" s="41" t="e">
        <v>#N/A</v>
      </c>
      <c r="G2076" s="7" t="s">
        <v>300</v>
      </c>
      <c r="H2076" s="7">
        <v>30</v>
      </c>
      <c r="I2076" s="10" t="s">
        <v>2491</v>
      </c>
      <c r="J2076" s="10">
        <v>1</v>
      </c>
      <c r="K2076" s="10">
        <v>0.7</v>
      </c>
      <c r="L2076" s="43">
        <v>32</v>
      </c>
      <c r="M2076" s="43">
        <v>32</v>
      </c>
      <c r="N2076" s="12" t="s">
        <v>1177</v>
      </c>
      <c r="P2076" s="10">
        <v>630</v>
      </c>
      <c r="Q2076" s="10">
        <v>90</v>
      </c>
      <c r="S2076" s="11">
        <v>1</v>
      </c>
      <c r="T2076" s="10">
        <v>90</v>
      </c>
      <c r="V2076" s="45"/>
      <c r="X2076" s="29">
        <v>8.9</v>
      </c>
      <c r="Y2076" s="54" t="s">
        <v>17</v>
      </c>
    </row>
    <row r="2077" spans="1:26" ht="23.1" customHeight="1" x14ac:dyDescent="0.25">
      <c r="A2077" s="53" t="s">
        <v>1333</v>
      </c>
      <c r="B2077" s="10" t="s">
        <v>110</v>
      </c>
      <c r="C2077" s="10">
        <v>44</v>
      </c>
      <c r="D2077" s="10" t="s">
        <v>495</v>
      </c>
      <c r="E2077" s="41" t="s">
        <v>267</v>
      </c>
      <c r="F2077" s="41" t="s">
        <v>267</v>
      </c>
      <c r="G2077" s="7" t="s">
        <v>118</v>
      </c>
      <c r="H2077" s="7">
        <v>55</v>
      </c>
      <c r="I2077" s="10" t="s">
        <v>2166</v>
      </c>
      <c r="J2077" s="10">
        <v>0.6</v>
      </c>
      <c r="K2077" s="10">
        <v>0.5</v>
      </c>
      <c r="L2077" s="43">
        <v>32</v>
      </c>
      <c r="M2077" s="43">
        <v>32</v>
      </c>
      <c r="N2077" s="12" t="s">
        <v>155</v>
      </c>
      <c r="P2077" s="10">
        <v>1260</v>
      </c>
      <c r="Q2077" s="10">
        <v>90</v>
      </c>
      <c r="T2077" s="10">
        <v>60</v>
      </c>
      <c r="V2077" s="45"/>
      <c r="W2077" s="14">
        <v>2</v>
      </c>
      <c r="X2077" s="29">
        <v>12.5</v>
      </c>
      <c r="Y2077" s="54" t="s">
        <v>64</v>
      </c>
      <c r="Z2077" t="s">
        <v>1566</v>
      </c>
    </row>
    <row r="2078" spans="1:26" ht="23.1" customHeight="1" x14ac:dyDescent="0.25">
      <c r="A2078" s="53" t="s">
        <v>1333</v>
      </c>
      <c r="B2078" s="10" t="s">
        <v>110</v>
      </c>
      <c r="C2078" s="10">
        <v>97</v>
      </c>
      <c r="D2078" s="10" t="s">
        <v>1076</v>
      </c>
      <c r="E2078" s="41" t="s">
        <v>1065</v>
      </c>
      <c r="F2078" s="41" t="s">
        <v>1065</v>
      </c>
      <c r="G2078" s="7" t="s">
        <v>250</v>
      </c>
      <c r="H2078" s="7">
        <v>60</v>
      </c>
      <c r="I2078" s="10" t="s">
        <v>2156</v>
      </c>
      <c r="J2078" s="10">
        <v>1</v>
      </c>
      <c r="K2078" s="10">
        <v>1.1000000000000001</v>
      </c>
      <c r="L2078" s="43">
        <v>32</v>
      </c>
      <c r="M2078" s="43">
        <v>32</v>
      </c>
      <c r="N2078" s="12" t="s">
        <v>429</v>
      </c>
      <c r="P2078" s="10">
        <v>570</v>
      </c>
      <c r="Q2078" s="10">
        <v>60</v>
      </c>
      <c r="S2078" s="11">
        <v>1</v>
      </c>
      <c r="T2078" s="10">
        <v>60</v>
      </c>
      <c r="V2078" s="45"/>
      <c r="X2078" s="29">
        <v>11.5</v>
      </c>
      <c r="Y2078" s="54" t="s">
        <v>39</v>
      </c>
    </row>
    <row r="2079" spans="1:26" ht="23.1" customHeight="1" x14ac:dyDescent="0.25">
      <c r="A2079" s="53" t="s">
        <v>1333</v>
      </c>
      <c r="B2079" s="10" t="s">
        <v>110</v>
      </c>
      <c r="C2079" s="10">
        <v>101</v>
      </c>
      <c r="D2079" s="10" t="s">
        <v>1128</v>
      </c>
      <c r="E2079" s="41" t="s">
        <v>708</v>
      </c>
      <c r="F2079" s="41" t="e">
        <v>#N/A</v>
      </c>
      <c r="G2079" s="7" t="s">
        <v>250</v>
      </c>
      <c r="H2079" s="7">
        <v>35</v>
      </c>
      <c r="I2079" s="10" t="s">
        <v>2027</v>
      </c>
      <c r="K2079" s="10">
        <v>3</v>
      </c>
      <c r="L2079" s="43">
        <v>32</v>
      </c>
      <c r="M2079" s="43">
        <v>32</v>
      </c>
      <c r="N2079" s="12" t="s">
        <v>1114</v>
      </c>
      <c r="P2079" s="10">
        <v>150</v>
      </c>
      <c r="Q2079" s="10">
        <v>75</v>
      </c>
      <c r="S2079" s="11">
        <v>3</v>
      </c>
      <c r="T2079" s="10">
        <v>180</v>
      </c>
      <c r="V2079" s="45"/>
      <c r="W2079" s="14">
        <v>2</v>
      </c>
      <c r="X2079" s="29">
        <v>13.3</v>
      </c>
      <c r="Y2079" s="54" t="s">
        <v>47</v>
      </c>
      <c r="Z2079" t="s">
        <v>1011</v>
      </c>
    </row>
    <row r="2080" spans="1:26" ht="23.1" customHeight="1" x14ac:dyDescent="0.25">
      <c r="A2080" s="53" t="s">
        <v>1333</v>
      </c>
      <c r="B2080" s="10" t="s">
        <v>110</v>
      </c>
      <c r="C2080" s="10">
        <v>105</v>
      </c>
      <c r="D2080" s="10" t="s">
        <v>1176</v>
      </c>
      <c r="E2080" s="41" t="s">
        <v>1098</v>
      </c>
      <c r="F2080" s="41" t="s">
        <v>1098</v>
      </c>
      <c r="G2080" s="7" t="s">
        <v>250</v>
      </c>
      <c r="H2080" s="7">
        <v>35</v>
      </c>
      <c r="I2080" s="10" t="s">
        <v>2073</v>
      </c>
      <c r="J2080" s="10">
        <v>4</v>
      </c>
      <c r="K2080" s="10">
        <v>6</v>
      </c>
      <c r="L2080" s="43">
        <v>32</v>
      </c>
      <c r="M2080" s="43">
        <v>32</v>
      </c>
      <c r="N2080" s="12" t="s">
        <v>1567</v>
      </c>
      <c r="P2080" s="10">
        <v>90</v>
      </c>
      <c r="Q2080" s="10">
        <v>60</v>
      </c>
      <c r="S2080" s="11">
        <v>6</v>
      </c>
      <c r="T2080" s="10">
        <v>60</v>
      </c>
      <c r="V2080" s="45"/>
      <c r="X2080" s="29">
        <v>15</v>
      </c>
      <c r="Y2080" s="54" t="s">
        <v>9</v>
      </c>
    </row>
    <row r="2081" spans="1:25" ht="23.1" customHeight="1" x14ac:dyDescent="0.25">
      <c r="A2081" s="53" t="s">
        <v>1333</v>
      </c>
      <c r="B2081" s="10" t="s">
        <v>110</v>
      </c>
      <c r="C2081" s="10">
        <v>99</v>
      </c>
      <c r="D2081" s="10" t="s">
        <v>1191</v>
      </c>
      <c r="E2081" s="41" t="s">
        <v>1192</v>
      </c>
      <c r="F2081" s="41" t="s">
        <v>1192</v>
      </c>
      <c r="G2081" s="7" t="s">
        <v>300</v>
      </c>
      <c r="H2081" s="7">
        <v>15</v>
      </c>
      <c r="I2081" s="10" t="s">
        <v>1871</v>
      </c>
      <c r="J2081" s="10">
        <v>1</v>
      </c>
      <c r="K2081" s="10">
        <v>0.1</v>
      </c>
      <c r="L2081" s="43">
        <v>32</v>
      </c>
      <c r="M2081" s="43">
        <v>32</v>
      </c>
      <c r="N2081" s="12" t="s">
        <v>519</v>
      </c>
      <c r="P2081" s="10">
        <v>360</v>
      </c>
      <c r="Q2081" s="10">
        <v>60</v>
      </c>
      <c r="T2081" s="10">
        <v>90</v>
      </c>
      <c r="V2081" s="45"/>
      <c r="X2081" s="29">
        <v>0.6</v>
      </c>
      <c r="Y2081" s="54" t="s">
        <v>29</v>
      </c>
    </row>
    <row r="2082" spans="1:25" ht="23.1" customHeight="1" x14ac:dyDescent="0.25">
      <c r="A2082" s="53" t="s">
        <v>1333</v>
      </c>
      <c r="B2082" s="10" t="s">
        <v>110</v>
      </c>
      <c r="C2082" s="10">
        <v>99</v>
      </c>
      <c r="D2082" s="10" t="s">
        <v>1191</v>
      </c>
      <c r="E2082" s="41" t="s">
        <v>1192</v>
      </c>
      <c r="F2082" s="41" t="s">
        <v>1192</v>
      </c>
      <c r="G2082" s="7" t="s">
        <v>300</v>
      </c>
      <c r="H2082" s="7">
        <v>20</v>
      </c>
      <c r="I2082" s="10" t="s">
        <v>2181</v>
      </c>
      <c r="J2082" s="10">
        <v>0.5</v>
      </c>
      <c r="K2082" s="10">
        <v>1.8</v>
      </c>
      <c r="L2082" s="43">
        <v>32</v>
      </c>
      <c r="M2082" s="43">
        <v>32</v>
      </c>
      <c r="N2082" s="12" t="s">
        <v>1137</v>
      </c>
      <c r="P2082" s="10">
        <v>450</v>
      </c>
      <c r="Q2082" s="10">
        <v>60</v>
      </c>
      <c r="S2082" s="11">
        <v>2</v>
      </c>
      <c r="T2082" s="10">
        <v>90</v>
      </c>
      <c r="V2082" s="45">
        <v>1</v>
      </c>
      <c r="X2082" s="29">
        <v>17</v>
      </c>
      <c r="Y2082" s="54" t="s">
        <v>29</v>
      </c>
    </row>
    <row r="2083" spans="1:25" ht="23.1" customHeight="1" x14ac:dyDescent="0.25">
      <c r="A2083" s="53" t="s">
        <v>1333</v>
      </c>
      <c r="B2083" s="10" t="s">
        <v>110</v>
      </c>
      <c r="C2083" s="10">
        <v>103</v>
      </c>
      <c r="D2083" s="10" t="s">
        <v>937</v>
      </c>
      <c r="E2083" s="41" t="s">
        <v>938</v>
      </c>
      <c r="F2083" s="41" t="s">
        <v>938</v>
      </c>
      <c r="G2083" s="42" t="s">
        <v>939</v>
      </c>
      <c r="H2083" s="7">
        <v>55</v>
      </c>
      <c r="I2083" s="10" t="s">
        <v>2004</v>
      </c>
      <c r="J2083" s="10">
        <v>0.7</v>
      </c>
      <c r="K2083" s="10">
        <v>0.7</v>
      </c>
      <c r="L2083" s="43">
        <v>32</v>
      </c>
      <c r="M2083" s="43">
        <v>32</v>
      </c>
      <c r="N2083" s="12" t="s">
        <v>425</v>
      </c>
      <c r="P2083" s="10">
        <v>600</v>
      </c>
      <c r="Q2083" s="10">
        <v>60</v>
      </c>
      <c r="T2083" s="10">
        <v>90</v>
      </c>
      <c r="V2083" s="45"/>
      <c r="X2083" s="29">
        <v>7</v>
      </c>
      <c r="Y2083" s="54" t="s">
        <v>61</v>
      </c>
    </row>
    <row r="2084" spans="1:25" ht="23.1" customHeight="1" x14ac:dyDescent="0.25">
      <c r="A2084" s="53" t="s">
        <v>1333</v>
      </c>
      <c r="B2084" s="10" t="s">
        <v>110</v>
      </c>
      <c r="C2084" s="10">
        <v>102</v>
      </c>
      <c r="D2084" s="10" t="s">
        <v>1097</v>
      </c>
      <c r="E2084" s="41" t="s">
        <v>1098</v>
      </c>
      <c r="F2084" s="41" t="s">
        <v>1098</v>
      </c>
      <c r="G2084" s="7" t="s">
        <v>250</v>
      </c>
      <c r="H2084" s="7">
        <v>35</v>
      </c>
      <c r="I2084" s="10" t="s">
        <v>2073</v>
      </c>
      <c r="J2084" s="10">
        <v>1</v>
      </c>
      <c r="K2084" s="10">
        <v>4</v>
      </c>
      <c r="L2084" s="43">
        <v>32</v>
      </c>
      <c r="M2084" s="43">
        <v>32</v>
      </c>
      <c r="N2084" s="12" t="s">
        <v>292</v>
      </c>
      <c r="P2084" s="10">
        <v>90</v>
      </c>
      <c r="Q2084" s="10">
        <v>60</v>
      </c>
      <c r="S2084" s="11">
        <v>4</v>
      </c>
      <c r="T2084" s="10">
        <v>60</v>
      </c>
      <c r="V2084" s="45"/>
      <c r="X2084" s="29">
        <v>10</v>
      </c>
      <c r="Y2084" s="54" t="s">
        <v>36</v>
      </c>
    </row>
    <row r="2085" spans="1:25" ht="23.1" customHeight="1" x14ac:dyDescent="0.25">
      <c r="A2085" s="53" t="s">
        <v>1333</v>
      </c>
      <c r="B2085" s="10" t="s">
        <v>110</v>
      </c>
      <c r="C2085" s="10">
        <v>102</v>
      </c>
      <c r="D2085" s="10" t="s">
        <v>1067</v>
      </c>
      <c r="E2085" s="41" t="s">
        <v>1068</v>
      </c>
      <c r="F2085" s="41" t="s">
        <v>1068</v>
      </c>
      <c r="G2085" s="42" t="s">
        <v>323</v>
      </c>
      <c r="H2085" s="7">
        <v>55</v>
      </c>
      <c r="I2085" s="10" t="s">
        <v>2295</v>
      </c>
      <c r="J2085" s="10">
        <v>0</v>
      </c>
      <c r="K2085" s="10">
        <v>4</v>
      </c>
      <c r="L2085" s="43">
        <v>32</v>
      </c>
      <c r="M2085" s="43">
        <v>32</v>
      </c>
      <c r="N2085" s="12" t="s">
        <v>427</v>
      </c>
      <c r="P2085" s="10">
        <v>120</v>
      </c>
      <c r="Q2085" s="10">
        <v>60</v>
      </c>
      <c r="S2085" s="11">
        <v>4</v>
      </c>
      <c r="T2085" s="10">
        <v>120</v>
      </c>
      <c r="V2085" s="45">
        <v>1</v>
      </c>
      <c r="X2085" s="29">
        <v>14</v>
      </c>
      <c r="Y2085" s="54" t="s">
        <v>36</v>
      </c>
    </row>
    <row r="2086" spans="1:25" ht="23.1" customHeight="1" x14ac:dyDescent="0.25">
      <c r="A2086" s="53" t="s">
        <v>1333</v>
      </c>
      <c r="B2086" s="10" t="s">
        <v>110</v>
      </c>
      <c r="C2086" s="10">
        <v>98</v>
      </c>
      <c r="D2086" s="10" t="s">
        <v>404</v>
      </c>
      <c r="E2086" s="41" t="s">
        <v>405</v>
      </c>
      <c r="F2086" s="41" t="s">
        <v>405</v>
      </c>
      <c r="G2086" s="7" t="s">
        <v>118</v>
      </c>
      <c r="H2086" s="7">
        <v>13</v>
      </c>
      <c r="I2086" s="10"/>
      <c r="J2086" s="10">
        <v>0.8</v>
      </c>
      <c r="K2086" s="10">
        <v>1.1000000000000001</v>
      </c>
      <c r="L2086" s="43">
        <v>32</v>
      </c>
      <c r="M2086" s="43">
        <v>32</v>
      </c>
      <c r="N2086" s="12" t="s">
        <v>1115</v>
      </c>
      <c r="O2086" s="47">
        <v>300</v>
      </c>
      <c r="P2086" s="47"/>
      <c r="Q2086" s="47"/>
      <c r="R2086" s="47">
        <v>60</v>
      </c>
      <c r="S2086" s="11">
        <v>1</v>
      </c>
      <c r="V2086" s="45"/>
      <c r="X2086" s="32">
        <v>6.5</v>
      </c>
      <c r="Y2086" s="54" t="s">
        <v>36</v>
      </c>
    </row>
    <row r="2087" spans="1:25" ht="23.1" customHeight="1" x14ac:dyDescent="0.25">
      <c r="A2087" s="53" t="s">
        <v>1333</v>
      </c>
      <c r="B2087" s="10" t="s">
        <v>110</v>
      </c>
      <c r="C2087" s="10">
        <v>98</v>
      </c>
      <c r="D2087" s="10" t="s">
        <v>404</v>
      </c>
      <c r="E2087" s="41" t="s">
        <v>405</v>
      </c>
      <c r="F2087" s="41" t="s">
        <v>405</v>
      </c>
      <c r="G2087" s="7" t="s">
        <v>118</v>
      </c>
      <c r="H2087" s="7">
        <v>13</v>
      </c>
      <c r="I2087" s="10"/>
      <c r="K2087" s="10">
        <v>1</v>
      </c>
      <c r="L2087" s="43">
        <v>32</v>
      </c>
      <c r="M2087" s="43">
        <v>32</v>
      </c>
      <c r="N2087" s="12" t="s">
        <v>355</v>
      </c>
      <c r="O2087" s="47">
        <v>300</v>
      </c>
      <c r="P2087" s="47"/>
      <c r="Q2087" s="47"/>
      <c r="R2087" s="47">
        <v>60</v>
      </c>
      <c r="S2087" s="11">
        <v>1</v>
      </c>
      <c r="U2087" s="10">
        <v>120</v>
      </c>
      <c r="V2087" s="45">
        <v>1</v>
      </c>
      <c r="X2087" s="32">
        <v>8</v>
      </c>
      <c r="Y2087" s="54" t="s">
        <v>36</v>
      </c>
    </row>
    <row r="2088" spans="1:25" ht="23.1" customHeight="1" x14ac:dyDescent="0.25">
      <c r="A2088" s="53" t="s">
        <v>1333</v>
      </c>
      <c r="B2088" s="10" t="s">
        <v>110</v>
      </c>
      <c r="C2088" s="10">
        <v>106</v>
      </c>
      <c r="D2088" s="10" t="s">
        <v>1070</v>
      </c>
      <c r="E2088" s="41" t="s">
        <v>101</v>
      </c>
      <c r="F2088" s="41" t="s">
        <v>101</v>
      </c>
      <c r="G2088" s="7" t="s">
        <v>300</v>
      </c>
      <c r="H2088" s="7">
        <v>35</v>
      </c>
      <c r="I2088" s="10" t="s">
        <v>2157</v>
      </c>
      <c r="J2088" s="10">
        <v>0.5</v>
      </c>
      <c r="K2088" s="10">
        <v>0.4</v>
      </c>
      <c r="L2088" s="43">
        <v>32</v>
      </c>
      <c r="M2088" s="43">
        <v>32</v>
      </c>
      <c r="N2088" s="12" t="s">
        <v>476</v>
      </c>
      <c r="P2088" s="10">
        <v>1200</v>
      </c>
      <c r="Q2088" s="10">
        <v>150</v>
      </c>
      <c r="S2088" s="11">
        <v>1</v>
      </c>
      <c r="T2088" s="10">
        <v>180</v>
      </c>
      <c r="V2088" s="45">
        <v>1</v>
      </c>
      <c r="X2088" s="29">
        <v>13.5</v>
      </c>
      <c r="Y2088" s="54" t="s">
        <v>36</v>
      </c>
    </row>
    <row r="2089" spans="1:25" ht="23.1" customHeight="1" x14ac:dyDescent="0.25">
      <c r="A2089" s="53" t="s">
        <v>1333</v>
      </c>
      <c r="B2089" s="10" t="s">
        <v>110</v>
      </c>
      <c r="C2089" s="10">
        <v>106</v>
      </c>
      <c r="D2089" s="10" t="s">
        <v>1070</v>
      </c>
      <c r="E2089" s="41" t="s">
        <v>101</v>
      </c>
      <c r="F2089" s="41" t="s">
        <v>101</v>
      </c>
      <c r="G2089" s="7" t="s">
        <v>300</v>
      </c>
      <c r="H2089" s="7">
        <v>30</v>
      </c>
      <c r="I2089" s="10" t="s">
        <v>2492</v>
      </c>
      <c r="K2089" s="10">
        <v>0.2</v>
      </c>
      <c r="L2089" s="43">
        <v>32</v>
      </c>
      <c r="M2089" s="43">
        <v>32</v>
      </c>
      <c r="N2089" s="12" t="s">
        <v>476</v>
      </c>
      <c r="P2089" s="10">
        <v>1500</v>
      </c>
      <c r="Q2089" s="10">
        <v>180</v>
      </c>
      <c r="T2089" s="10">
        <v>180</v>
      </c>
      <c r="V2089" s="45"/>
      <c r="X2089" s="29">
        <v>5</v>
      </c>
      <c r="Y2089" s="54" t="s">
        <v>36</v>
      </c>
    </row>
    <row r="2090" spans="1:25" ht="23.1" customHeight="1" x14ac:dyDescent="0.25">
      <c r="A2090" s="53" t="s">
        <v>1333</v>
      </c>
      <c r="B2090" s="10" t="s">
        <v>110</v>
      </c>
      <c r="C2090" s="10">
        <v>118</v>
      </c>
      <c r="D2090" s="10" t="s">
        <v>1171</v>
      </c>
      <c r="E2090" s="41" t="s">
        <v>1172</v>
      </c>
      <c r="F2090" s="41" t="s">
        <v>1172</v>
      </c>
      <c r="G2090" s="7" t="s">
        <v>300</v>
      </c>
      <c r="H2090" s="7">
        <v>10</v>
      </c>
      <c r="I2090" s="10" t="s">
        <v>2493</v>
      </c>
      <c r="K2090" s="10">
        <v>2</v>
      </c>
      <c r="L2090" s="43">
        <v>32</v>
      </c>
      <c r="M2090" s="43">
        <v>32</v>
      </c>
      <c r="N2090" s="12" t="s">
        <v>1568</v>
      </c>
      <c r="P2090" s="10">
        <v>180</v>
      </c>
      <c r="Q2090" s="10">
        <v>60</v>
      </c>
      <c r="T2090" s="10">
        <v>90</v>
      </c>
      <c r="V2090" s="45">
        <v>1</v>
      </c>
      <c r="X2090" s="29">
        <v>7.5</v>
      </c>
      <c r="Y2090" s="54" t="s">
        <v>36</v>
      </c>
    </row>
    <row r="2091" spans="1:25" ht="23.1" customHeight="1" x14ac:dyDescent="0.25">
      <c r="A2091" s="53" t="s">
        <v>1333</v>
      </c>
      <c r="B2091" s="10" t="s">
        <v>110</v>
      </c>
      <c r="C2091" s="10">
        <v>117</v>
      </c>
      <c r="D2091" s="10" t="s">
        <v>1083</v>
      </c>
      <c r="E2091" s="41" t="s">
        <v>1082</v>
      </c>
      <c r="F2091" s="41" t="s">
        <v>1082</v>
      </c>
      <c r="G2091" s="7" t="s">
        <v>123</v>
      </c>
      <c r="H2091" s="7">
        <v>35</v>
      </c>
      <c r="I2091" s="10" t="s">
        <v>2201</v>
      </c>
      <c r="K2091" s="10">
        <v>0.4</v>
      </c>
      <c r="L2091" s="43">
        <v>32</v>
      </c>
      <c r="M2091" s="43">
        <v>32</v>
      </c>
      <c r="N2091" s="12" t="s">
        <v>860</v>
      </c>
      <c r="P2091" s="10">
        <v>700</v>
      </c>
      <c r="Q2091" s="10">
        <v>60</v>
      </c>
      <c r="T2091" s="10">
        <v>90</v>
      </c>
      <c r="V2091" s="45"/>
      <c r="X2091" s="29">
        <v>4.7</v>
      </c>
      <c r="Y2091" s="54" t="s">
        <v>36</v>
      </c>
    </row>
    <row r="2092" spans="1:25" ht="23.1" customHeight="1" x14ac:dyDescent="0.25">
      <c r="A2092" s="53" t="s">
        <v>1333</v>
      </c>
      <c r="B2092" s="10" t="s">
        <v>110</v>
      </c>
      <c r="C2092" s="10">
        <v>100</v>
      </c>
      <c r="D2092" s="10" t="s">
        <v>298</v>
      </c>
      <c r="E2092" s="41" t="s">
        <v>299</v>
      </c>
      <c r="F2092" s="41" t="s">
        <v>299</v>
      </c>
      <c r="G2092" s="7" t="s">
        <v>300</v>
      </c>
      <c r="H2092" s="7">
        <v>25</v>
      </c>
      <c r="I2092" s="10" t="s">
        <v>2140</v>
      </c>
      <c r="J2092" s="10">
        <v>1</v>
      </c>
      <c r="K2092" s="10">
        <v>1.1000000000000001</v>
      </c>
      <c r="L2092" s="43">
        <v>32</v>
      </c>
      <c r="M2092" s="43">
        <v>32</v>
      </c>
      <c r="N2092" s="12" t="s">
        <v>1205</v>
      </c>
      <c r="P2092" s="10">
        <v>660</v>
      </c>
      <c r="Q2092" s="10">
        <v>60</v>
      </c>
      <c r="S2092" s="11">
        <v>1</v>
      </c>
      <c r="T2092" s="10">
        <v>180</v>
      </c>
      <c r="V2092" s="45"/>
      <c r="X2092" s="29">
        <v>13.1</v>
      </c>
      <c r="Y2092" s="54" t="s">
        <v>36</v>
      </c>
    </row>
    <row r="2093" spans="1:25" ht="23.1" customHeight="1" x14ac:dyDescent="0.25">
      <c r="A2093" s="53" t="s">
        <v>1333</v>
      </c>
      <c r="B2093" s="10" t="s">
        <v>110</v>
      </c>
      <c r="C2093" s="10">
        <v>82</v>
      </c>
      <c r="D2093" s="10" t="s">
        <v>1074</v>
      </c>
      <c r="E2093" s="41" t="s">
        <v>1075</v>
      </c>
      <c r="F2093" s="41" t="s">
        <v>1075</v>
      </c>
      <c r="G2093" s="7" t="s">
        <v>154</v>
      </c>
      <c r="H2093" s="7">
        <v>30</v>
      </c>
      <c r="I2093" s="10" t="s">
        <v>2291</v>
      </c>
      <c r="J2093" s="10">
        <v>1</v>
      </c>
      <c r="K2093" s="10">
        <v>1.1000000000000001</v>
      </c>
      <c r="L2093" s="43">
        <v>32</v>
      </c>
      <c r="M2093" s="43">
        <v>32</v>
      </c>
      <c r="N2093" s="12" t="s">
        <v>1119</v>
      </c>
      <c r="P2093" s="10">
        <v>240</v>
      </c>
      <c r="S2093" s="11">
        <v>1</v>
      </c>
      <c r="T2093" s="10">
        <v>120</v>
      </c>
      <c r="V2093" s="45"/>
      <c r="X2093" s="29">
        <v>4.4000000000000004</v>
      </c>
      <c r="Y2093" s="54" t="s">
        <v>36</v>
      </c>
    </row>
    <row r="2094" spans="1:25" ht="23.1" customHeight="1" x14ac:dyDescent="0.25">
      <c r="A2094" s="53" t="s">
        <v>1333</v>
      </c>
      <c r="B2094" s="10" t="s">
        <v>110</v>
      </c>
      <c r="C2094" s="10">
        <v>83</v>
      </c>
      <c r="D2094" s="10" t="s">
        <v>1095</v>
      </c>
      <c r="E2094" s="41" t="s">
        <v>1096</v>
      </c>
      <c r="F2094" s="41" t="s">
        <v>1096</v>
      </c>
      <c r="G2094" s="7" t="s">
        <v>658</v>
      </c>
      <c r="H2094" s="7">
        <v>15</v>
      </c>
      <c r="I2094" s="10" t="s">
        <v>2048</v>
      </c>
      <c r="J2094" s="10">
        <v>3</v>
      </c>
      <c r="K2094" s="10">
        <v>2.4</v>
      </c>
      <c r="L2094" s="43">
        <v>32</v>
      </c>
      <c r="M2094" s="43">
        <v>32</v>
      </c>
      <c r="N2094" s="12" t="s">
        <v>412</v>
      </c>
      <c r="P2094" s="10">
        <v>270</v>
      </c>
      <c r="Q2094" s="10">
        <v>60</v>
      </c>
      <c r="S2094" s="11">
        <v>2</v>
      </c>
      <c r="T2094" s="10">
        <v>60</v>
      </c>
      <c r="V2094" s="45"/>
      <c r="X2094" s="29">
        <v>12.8</v>
      </c>
      <c r="Y2094" s="54" t="s">
        <v>36</v>
      </c>
    </row>
    <row r="2095" spans="1:25" ht="23.1" customHeight="1" x14ac:dyDescent="0.25">
      <c r="A2095" s="53" t="s">
        <v>1333</v>
      </c>
      <c r="B2095" s="10" t="s">
        <v>110</v>
      </c>
      <c r="C2095" s="10">
        <v>83</v>
      </c>
      <c r="D2095" s="10" t="s">
        <v>1095</v>
      </c>
      <c r="E2095" s="41" t="s">
        <v>1096</v>
      </c>
      <c r="F2095" s="41" t="s">
        <v>1096</v>
      </c>
      <c r="G2095" s="7" t="s">
        <v>658</v>
      </c>
      <c r="H2095" s="7">
        <v>25</v>
      </c>
      <c r="I2095" s="10" t="s">
        <v>2054</v>
      </c>
      <c r="K2095" s="10">
        <v>1</v>
      </c>
      <c r="L2095" s="43">
        <v>32</v>
      </c>
      <c r="M2095" s="43">
        <v>32</v>
      </c>
      <c r="N2095" s="12" t="s">
        <v>351</v>
      </c>
      <c r="P2095" s="10">
        <v>90</v>
      </c>
      <c r="Q2095" s="10">
        <v>60</v>
      </c>
      <c r="S2095" s="11">
        <v>1</v>
      </c>
      <c r="T2095" s="10">
        <v>60</v>
      </c>
      <c r="V2095" s="45">
        <v>1</v>
      </c>
      <c r="X2095" s="29">
        <v>3.5</v>
      </c>
      <c r="Y2095" s="54" t="s">
        <v>36</v>
      </c>
    </row>
    <row r="2096" spans="1:25" ht="23.1" customHeight="1" x14ac:dyDescent="0.25">
      <c r="A2096" s="53" t="s">
        <v>1333</v>
      </c>
      <c r="B2096" s="10" t="s">
        <v>110</v>
      </c>
      <c r="C2096" s="10">
        <v>82</v>
      </c>
      <c r="D2096" s="10" t="s">
        <v>1569</v>
      </c>
      <c r="E2096" s="41" t="s">
        <v>1570</v>
      </c>
      <c r="F2096" s="41" t="s">
        <v>1570</v>
      </c>
      <c r="G2096" s="7" t="s">
        <v>102</v>
      </c>
      <c r="H2096" s="7">
        <v>5</v>
      </c>
      <c r="I2096" s="10" t="s">
        <v>2060</v>
      </c>
      <c r="K2096" s="10">
        <v>1</v>
      </c>
      <c r="L2096" s="43">
        <v>32</v>
      </c>
      <c r="M2096" s="43">
        <v>32</v>
      </c>
      <c r="N2096" s="12" t="s">
        <v>596</v>
      </c>
      <c r="P2096" s="10">
        <v>180</v>
      </c>
      <c r="Q2096" s="10">
        <v>60</v>
      </c>
      <c r="S2096" s="11">
        <v>1</v>
      </c>
      <c r="T2096" s="10">
        <v>60</v>
      </c>
      <c r="V2096" s="45">
        <v>1</v>
      </c>
      <c r="X2096" s="29">
        <v>5</v>
      </c>
      <c r="Y2096" s="54" t="s">
        <v>36</v>
      </c>
    </row>
    <row r="2097" spans="1:26" ht="23.1" customHeight="1" x14ac:dyDescent="0.25">
      <c r="A2097" s="53" t="s">
        <v>1333</v>
      </c>
      <c r="B2097" s="10" t="s">
        <v>113</v>
      </c>
      <c r="C2097" s="10">
        <v>99</v>
      </c>
      <c r="D2097" s="10" t="s">
        <v>1191</v>
      </c>
      <c r="E2097" s="41" t="s">
        <v>1192</v>
      </c>
      <c r="F2097" s="41" t="s">
        <v>1192</v>
      </c>
      <c r="G2097" s="7" t="s">
        <v>300</v>
      </c>
      <c r="H2097" s="7">
        <v>20</v>
      </c>
      <c r="I2097" s="10" t="s">
        <v>2294</v>
      </c>
      <c r="K2097" s="10">
        <v>2.1</v>
      </c>
      <c r="L2097" s="43">
        <v>25</v>
      </c>
      <c r="M2097" s="43">
        <v>25</v>
      </c>
      <c r="N2097" s="12" t="s">
        <v>1120</v>
      </c>
      <c r="P2097" s="10">
        <v>450</v>
      </c>
      <c r="Q2097" s="10">
        <v>60</v>
      </c>
      <c r="S2097" s="11">
        <v>2</v>
      </c>
      <c r="T2097" s="10">
        <v>90</v>
      </c>
      <c r="V2097" s="45"/>
      <c r="X2097" s="29">
        <v>17.8</v>
      </c>
      <c r="Y2097" s="54" t="s">
        <v>21</v>
      </c>
    </row>
    <row r="2098" spans="1:26" ht="23.1" customHeight="1" x14ac:dyDescent="0.25">
      <c r="A2098" s="53" t="s">
        <v>1333</v>
      </c>
      <c r="B2098" s="10" t="s">
        <v>113</v>
      </c>
      <c r="C2098" s="10">
        <v>99</v>
      </c>
      <c r="D2098" s="10" t="s">
        <v>1191</v>
      </c>
      <c r="E2098" s="41" t="s">
        <v>1192</v>
      </c>
      <c r="F2098" s="41" t="s">
        <v>1192</v>
      </c>
      <c r="G2098" s="7" t="s">
        <v>300</v>
      </c>
      <c r="H2098" s="7">
        <v>25</v>
      </c>
      <c r="I2098" s="10" t="s">
        <v>2182</v>
      </c>
      <c r="K2098" s="10">
        <v>2</v>
      </c>
      <c r="L2098" s="43">
        <v>25</v>
      </c>
      <c r="M2098" s="43">
        <v>25</v>
      </c>
      <c r="N2098" s="12" t="s">
        <v>1120</v>
      </c>
      <c r="P2098" s="10">
        <v>120</v>
      </c>
      <c r="Q2098" s="10">
        <v>60</v>
      </c>
      <c r="S2098" s="11">
        <v>2</v>
      </c>
      <c r="T2098" s="10">
        <v>60</v>
      </c>
      <c r="V2098" s="45"/>
      <c r="X2098" s="29">
        <v>6</v>
      </c>
      <c r="Y2098" s="54" t="s">
        <v>21</v>
      </c>
    </row>
    <row r="2099" spans="1:26" ht="23.1" customHeight="1" x14ac:dyDescent="0.25">
      <c r="A2099" s="53" t="s">
        <v>1333</v>
      </c>
      <c r="B2099" s="10" t="s">
        <v>113</v>
      </c>
      <c r="C2099" s="10">
        <v>97</v>
      </c>
      <c r="D2099" s="10" t="s">
        <v>1076</v>
      </c>
      <c r="E2099" s="41" t="s">
        <v>1065</v>
      </c>
      <c r="F2099" s="41" t="s">
        <v>1065</v>
      </c>
      <c r="G2099" s="7" t="s">
        <v>250</v>
      </c>
      <c r="H2099" s="7">
        <v>60</v>
      </c>
      <c r="I2099" s="10" t="s">
        <v>2156</v>
      </c>
      <c r="J2099" s="10">
        <v>1</v>
      </c>
      <c r="K2099" s="10">
        <v>1</v>
      </c>
      <c r="L2099" s="43">
        <v>25</v>
      </c>
      <c r="M2099" s="43">
        <v>25</v>
      </c>
      <c r="N2099" s="12" t="s">
        <v>429</v>
      </c>
      <c r="P2099" s="10">
        <v>570</v>
      </c>
      <c r="Q2099" s="10">
        <v>60</v>
      </c>
      <c r="S2099" s="11">
        <v>1</v>
      </c>
      <c r="T2099" s="10">
        <v>60</v>
      </c>
      <c r="V2099" s="45"/>
      <c r="X2099" s="29">
        <v>10.5</v>
      </c>
      <c r="Y2099" s="54" t="s">
        <v>1</v>
      </c>
    </row>
    <row r="2100" spans="1:26" ht="23.1" customHeight="1" x14ac:dyDescent="0.25">
      <c r="A2100" s="53" t="s">
        <v>1333</v>
      </c>
      <c r="B2100" s="10" t="s">
        <v>113</v>
      </c>
      <c r="C2100" s="10">
        <v>105</v>
      </c>
      <c r="D2100" s="10" t="s">
        <v>1176</v>
      </c>
      <c r="E2100" s="41" t="s">
        <v>1098</v>
      </c>
      <c r="F2100" s="41" t="s">
        <v>1098</v>
      </c>
      <c r="G2100" s="7" t="s">
        <v>250</v>
      </c>
      <c r="H2100" s="7">
        <v>40</v>
      </c>
      <c r="I2100" s="10" t="s">
        <v>2494</v>
      </c>
      <c r="J2100" s="10">
        <v>1</v>
      </c>
      <c r="K2100" s="10">
        <v>0.9</v>
      </c>
      <c r="L2100" s="43">
        <v>25</v>
      </c>
      <c r="M2100" s="43">
        <v>25</v>
      </c>
      <c r="N2100" s="12" t="s">
        <v>429</v>
      </c>
      <c r="P2100" s="10">
        <v>450</v>
      </c>
      <c r="Q2100" s="10">
        <v>60</v>
      </c>
      <c r="S2100" s="11">
        <v>1</v>
      </c>
      <c r="T2100" s="10">
        <v>120</v>
      </c>
      <c r="V2100" s="45">
        <v>1</v>
      </c>
      <c r="X2100" s="29">
        <v>9.8000000000000007</v>
      </c>
      <c r="Y2100" s="54" t="s">
        <v>28</v>
      </c>
    </row>
    <row r="2101" spans="1:26" ht="23.1" customHeight="1" x14ac:dyDescent="0.25">
      <c r="A2101" s="53" t="s">
        <v>1333</v>
      </c>
      <c r="B2101" s="10" t="s">
        <v>113</v>
      </c>
      <c r="C2101" s="10">
        <v>82</v>
      </c>
      <c r="D2101" s="10" t="s">
        <v>1571</v>
      </c>
      <c r="E2101" s="41" t="s">
        <v>1570</v>
      </c>
      <c r="F2101" s="41" t="e">
        <v>#N/A</v>
      </c>
      <c r="G2101" s="7" t="s">
        <v>102</v>
      </c>
      <c r="H2101" s="7">
        <v>5</v>
      </c>
      <c r="I2101" s="10"/>
      <c r="J2101" s="10">
        <v>3</v>
      </c>
      <c r="K2101" s="10">
        <v>3</v>
      </c>
      <c r="L2101" s="43">
        <v>25</v>
      </c>
      <c r="M2101" s="43">
        <v>25</v>
      </c>
      <c r="N2101" s="12" t="s">
        <v>596</v>
      </c>
      <c r="P2101" s="10">
        <v>40</v>
      </c>
      <c r="S2101" s="11">
        <v>3</v>
      </c>
      <c r="V2101" s="45"/>
      <c r="X2101" s="29">
        <v>2</v>
      </c>
      <c r="Y2101" s="54" t="s">
        <v>56</v>
      </c>
    </row>
    <row r="2102" spans="1:26" ht="23.1" customHeight="1" x14ac:dyDescent="0.25">
      <c r="A2102" s="53" t="s">
        <v>1333</v>
      </c>
      <c r="B2102" s="10" t="s">
        <v>113</v>
      </c>
      <c r="C2102" s="10">
        <v>82</v>
      </c>
      <c r="D2102" s="10" t="s">
        <v>1571</v>
      </c>
      <c r="E2102" s="41" t="s">
        <v>1570</v>
      </c>
      <c r="F2102" s="41" t="e">
        <v>#N/A</v>
      </c>
      <c r="G2102" s="7" t="s">
        <v>102</v>
      </c>
      <c r="H2102" s="7">
        <v>10</v>
      </c>
      <c r="I2102" s="10"/>
      <c r="J2102" s="10">
        <v>4</v>
      </c>
      <c r="K2102" s="10">
        <v>4</v>
      </c>
      <c r="L2102" s="43">
        <v>25</v>
      </c>
      <c r="M2102" s="43">
        <v>25</v>
      </c>
      <c r="N2102" s="12" t="s">
        <v>596</v>
      </c>
      <c r="P2102" s="10">
        <v>90</v>
      </c>
      <c r="S2102" s="11">
        <v>4</v>
      </c>
      <c r="U2102" s="10">
        <v>90</v>
      </c>
      <c r="V2102" s="45">
        <v>1</v>
      </c>
      <c r="X2102" s="29">
        <v>6</v>
      </c>
      <c r="Y2102" s="54" t="s">
        <v>56</v>
      </c>
    </row>
    <row r="2103" spans="1:26" ht="23.1" customHeight="1" x14ac:dyDescent="0.25">
      <c r="A2103" s="53" t="s">
        <v>1333</v>
      </c>
      <c r="B2103" s="10" t="s">
        <v>113</v>
      </c>
      <c r="C2103" s="10">
        <v>103</v>
      </c>
      <c r="D2103" s="10" t="s">
        <v>1071</v>
      </c>
      <c r="E2103" s="41" t="s">
        <v>1072</v>
      </c>
      <c r="F2103" s="41" t="e">
        <v>#N/A</v>
      </c>
      <c r="G2103" s="7" t="s">
        <v>250</v>
      </c>
      <c r="H2103" s="7">
        <v>40</v>
      </c>
      <c r="I2103" s="10" t="s">
        <v>2296</v>
      </c>
      <c r="J2103" s="10">
        <v>0.6</v>
      </c>
      <c r="K2103" s="10">
        <v>0.6</v>
      </c>
      <c r="L2103" s="43">
        <v>25</v>
      </c>
      <c r="M2103" s="43">
        <v>25</v>
      </c>
      <c r="N2103" s="12" t="s">
        <v>1100</v>
      </c>
      <c r="P2103" s="10">
        <v>1020</v>
      </c>
      <c r="Q2103" s="10">
        <v>90</v>
      </c>
      <c r="S2103" s="11">
        <v>1</v>
      </c>
      <c r="T2103" s="10">
        <v>180</v>
      </c>
      <c r="V2103" s="45">
        <v>1</v>
      </c>
      <c r="W2103" s="10">
        <v>3</v>
      </c>
      <c r="X2103" s="29">
        <v>17.7</v>
      </c>
      <c r="Y2103" s="54" t="s">
        <v>62</v>
      </c>
      <c r="Z2103" t="s">
        <v>1572</v>
      </c>
    </row>
    <row r="2104" spans="1:26" ht="23.1" customHeight="1" x14ac:dyDescent="0.25">
      <c r="A2104" s="53" t="s">
        <v>1333</v>
      </c>
      <c r="B2104" s="10" t="s">
        <v>113</v>
      </c>
      <c r="C2104" s="10">
        <v>19</v>
      </c>
      <c r="D2104" s="10" t="s">
        <v>395</v>
      </c>
      <c r="E2104" s="41" t="s">
        <v>396</v>
      </c>
      <c r="F2104" s="41" t="e">
        <v>#N/A</v>
      </c>
      <c r="G2104" s="7" t="s">
        <v>300</v>
      </c>
      <c r="H2104" s="7">
        <v>30</v>
      </c>
      <c r="I2104" s="10" t="s">
        <v>2193</v>
      </c>
      <c r="J2104" s="10">
        <v>1</v>
      </c>
      <c r="K2104" s="10">
        <v>1.4</v>
      </c>
      <c r="L2104" s="43">
        <v>25</v>
      </c>
      <c r="M2104" s="43">
        <v>25</v>
      </c>
      <c r="N2104" s="12" t="s">
        <v>1100</v>
      </c>
      <c r="P2104" s="10">
        <v>630</v>
      </c>
      <c r="Q2104" s="10">
        <v>90</v>
      </c>
      <c r="S2104" s="11">
        <v>1</v>
      </c>
      <c r="T2104" s="10">
        <v>90</v>
      </c>
      <c r="V2104" s="45"/>
      <c r="X2104" s="29">
        <v>16.2</v>
      </c>
      <c r="Y2104" s="54" t="s">
        <v>11</v>
      </c>
    </row>
    <row r="2105" spans="1:26" ht="23.1" customHeight="1" x14ac:dyDescent="0.25">
      <c r="A2105" s="53" t="s">
        <v>1333</v>
      </c>
      <c r="B2105" s="10" t="s">
        <v>113</v>
      </c>
      <c r="C2105" s="10">
        <v>83</v>
      </c>
      <c r="D2105" s="10" t="s">
        <v>1095</v>
      </c>
      <c r="E2105" s="41" t="s">
        <v>1096</v>
      </c>
      <c r="F2105" s="41" t="s">
        <v>1096</v>
      </c>
      <c r="G2105" s="7" t="s">
        <v>658</v>
      </c>
      <c r="H2105" s="7">
        <v>25</v>
      </c>
      <c r="I2105" s="10" t="s">
        <v>2054</v>
      </c>
      <c r="J2105" s="10">
        <v>5</v>
      </c>
      <c r="K2105" s="10">
        <v>7</v>
      </c>
      <c r="L2105" s="43">
        <v>25</v>
      </c>
      <c r="M2105" s="43">
        <v>25</v>
      </c>
      <c r="N2105" s="12" t="s">
        <v>351</v>
      </c>
      <c r="P2105" s="10">
        <v>90</v>
      </c>
      <c r="Q2105" s="10">
        <v>60</v>
      </c>
      <c r="S2105" s="11">
        <v>7</v>
      </c>
      <c r="T2105" s="10">
        <v>60</v>
      </c>
      <c r="V2105" s="45"/>
      <c r="X2105" s="29">
        <v>17.5</v>
      </c>
      <c r="Y2105" s="54" t="s">
        <v>65</v>
      </c>
    </row>
    <row r="2106" spans="1:26" ht="23.1" customHeight="1" x14ac:dyDescent="0.25">
      <c r="A2106" s="53" t="s">
        <v>1333</v>
      </c>
      <c r="B2106" s="10" t="s">
        <v>113</v>
      </c>
      <c r="C2106" s="10">
        <v>44</v>
      </c>
      <c r="D2106" s="10" t="s">
        <v>495</v>
      </c>
      <c r="E2106" s="41" t="s">
        <v>267</v>
      </c>
      <c r="F2106" s="41" t="s">
        <v>267</v>
      </c>
      <c r="G2106" s="7" t="s">
        <v>118</v>
      </c>
      <c r="H2106" s="7">
        <v>55</v>
      </c>
      <c r="I2106" s="10" t="s">
        <v>2166</v>
      </c>
      <c r="J2106" s="10">
        <v>0.6</v>
      </c>
      <c r="K2106" s="10">
        <v>0.5</v>
      </c>
      <c r="L2106" s="43">
        <v>25</v>
      </c>
      <c r="M2106" s="43">
        <v>25</v>
      </c>
      <c r="N2106" s="12" t="s">
        <v>429</v>
      </c>
      <c r="P2106" s="10">
        <v>1260</v>
      </c>
      <c r="Q2106" s="10">
        <v>90</v>
      </c>
      <c r="S2106" s="11">
        <v>1</v>
      </c>
      <c r="T2106" s="10">
        <v>60</v>
      </c>
      <c r="V2106" s="45"/>
      <c r="X2106" s="29">
        <v>12</v>
      </c>
      <c r="Y2106" s="54" t="s">
        <v>65</v>
      </c>
    </row>
    <row r="2107" spans="1:26" ht="23.1" customHeight="1" x14ac:dyDescent="0.25">
      <c r="A2107" s="53" t="s">
        <v>1333</v>
      </c>
      <c r="B2107" s="10" t="s">
        <v>113</v>
      </c>
      <c r="C2107" s="10">
        <v>100</v>
      </c>
      <c r="D2107" s="10" t="s">
        <v>298</v>
      </c>
      <c r="E2107" s="41" t="s">
        <v>299</v>
      </c>
      <c r="F2107" s="41" t="s">
        <v>299</v>
      </c>
      <c r="G2107" s="7" t="s">
        <v>300</v>
      </c>
      <c r="H2107" s="7">
        <v>25</v>
      </c>
      <c r="I2107" s="10" t="s">
        <v>2393</v>
      </c>
      <c r="J2107" s="10">
        <v>0.5</v>
      </c>
      <c r="K2107" s="10">
        <v>0.6</v>
      </c>
      <c r="L2107" s="43">
        <v>25</v>
      </c>
      <c r="M2107" s="43">
        <v>25</v>
      </c>
      <c r="N2107" s="12" t="s">
        <v>456</v>
      </c>
      <c r="P2107" s="10">
        <v>660</v>
      </c>
      <c r="Q2107" s="10">
        <v>60</v>
      </c>
      <c r="T2107" s="10">
        <v>180</v>
      </c>
      <c r="V2107" s="45"/>
      <c r="X2107" s="29">
        <v>6.6</v>
      </c>
      <c r="Y2107" s="54" t="s">
        <v>65</v>
      </c>
    </row>
    <row r="2108" spans="1:26" ht="23.1" customHeight="1" x14ac:dyDescent="0.25">
      <c r="A2108" s="53" t="s">
        <v>1333</v>
      </c>
      <c r="B2108" s="10" t="s">
        <v>113</v>
      </c>
      <c r="C2108" s="10">
        <v>100</v>
      </c>
      <c r="D2108" s="10" t="s">
        <v>484</v>
      </c>
      <c r="E2108" s="41" t="s">
        <v>485</v>
      </c>
      <c r="F2108" s="41" t="s">
        <v>485</v>
      </c>
      <c r="G2108" s="7" t="s">
        <v>300</v>
      </c>
      <c r="H2108" s="7">
        <v>15</v>
      </c>
      <c r="I2108" s="10" t="s">
        <v>2495</v>
      </c>
      <c r="J2108" s="10">
        <v>2</v>
      </c>
      <c r="K2108" s="10">
        <v>2</v>
      </c>
      <c r="L2108" s="43">
        <v>25</v>
      </c>
      <c r="M2108" s="43">
        <v>25</v>
      </c>
      <c r="N2108" s="12" t="s">
        <v>1573</v>
      </c>
      <c r="P2108" s="10">
        <v>120</v>
      </c>
      <c r="Q2108" s="10">
        <v>60</v>
      </c>
      <c r="S2108" s="11">
        <v>2</v>
      </c>
      <c r="T2108" s="10">
        <v>90</v>
      </c>
      <c r="V2108" s="45">
        <v>1</v>
      </c>
      <c r="X2108" s="29">
        <v>7.5</v>
      </c>
      <c r="Y2108" s="54" t="s">
        <v>65</v>
      </c>
    </row>
    <row r="2109" spans="1:26" ht="23.1" customHeight="1" x14ac:dyDescent="0.25">
      <c r="A2109" s="53" t="s">
        <v>1333</v>
      </c>
      <c r="B2109" s="10" t="s">
        <v>113</v>
      </c>
      <c r="C2109" s="10">
        <v>102</v>
      </c>
      <c r="D2109" s="10" t="s">
        <v>1097</v>
      </c>
      <c r="E2109" s="41" t="s">
        <v>1098</v>
      </c>
      <c r="F2109" s="41" t="s">
        <v>1098</v>
      </c>
      <c r="G2109" s="7" t="s">
        <v>250</v>
      </c>
      <c r="H2109" s="7">
        <v>40</v>
      </c>
      <c r="I2109" s="10" t="s">
        <v>2172</v>
      </c>
      <c r="J2109" s="10">
        <v>1</v>
      </c>
      <c r="K2109" s="10">
        <v>1</v>
      </c>
      <c r="L2109" s="43">
        <v>25</v>
      </c>
      <c r="M2109" s="43">
        <v>25</v>
      </c>
      <c r="N2109" s="12" t="s">
        <v>292</v>
      </c>
      <c r="P2109" s="10">
        <v>450</v>
      </c>
      <c r="Q2109" s="10">
        <v>60</v>
      </c>
      <c r="S2109" s="11">
        <v>1</v>
      </c>
      <c r="T2109" s="10">
        <v>120</v>
      </c>
      <c r="V2109" s="45">
        <v>1</v>
      </c>
      <c r="X2109" s="29">
        <v>10.5</v>
      </c>
      <c r="Y2109" s="54" t="s">
        <v>65</v>
      </c>
    </row>
    <row r="2110" spans="1:26" ht="23.1" customHeight="1" x14ac:dyDescent="0.25">
      <c r="A2110" s="53" t="s">
        <v>1333</v>
      </c>
      <c r="B2110" s="10" t="s">
        <v>113</v>
      </c>
      <c r="C2110" s="10">
        <v>98</v>
      </c>
      <c r="D2110" s="10" t="s">
        <v>481</v>
      </c>
      <c r="E2110" s="41" t="s">
        <v>482</v>
      </c>
      <c r="F2110" s="41" t="s">
        <v>482</v>
      </c>
      <c r="G2110" s="7" t="s">
        <v>118</v>
      </c>
      <c r="H2110" s="7">
        <v>13</v>
      </c>
      <c r="I2110" s="10"/>
      <c r="J2110" s="10">
        <v>2</v>
      </c>
      <c r="K2110" s="10">
        <v>3</v>
      </c>
      <c r="L2110" s="43">
        <v>25</v>
      </c>
      <c r="M2110" s="43">
        <v>25</v>
      </c>
      <c r="N2110" s="12" t="s">
        <v>1051</v>
      </c>
      <c r="O2110" s="47">
        <v>300</v>
      </c>
      <c r="P2110" s="47"/>
      <c r="Q2110" s="47"/>
      <c r="R2110" s="47">
        <v>60</v>
      </c>
      <c r="S2110" s="11">
        <v>3</v>
      </c>
      <c r="V2110" s="45"/>
      <c r="X2110" s="32">
        <v>18</v>
      </c>
      <c r="Y2110" s="54" t="s">
        <v>65</v>
      </c>
    </row>
    <row r="2111" spans="1:26" ht="23.1" customHeight="1" x14ac:dyDescent="0.25">
      <c r="A2111" s="53" t="s">
        <v>1333</v>
      </c>
      <c r="B2111" s="10" t="s">
        <v>113</v>
      </c>
      <c r="C2111" s="10">
        <v>101</v>
      </c>
      <c r="D2111" s="10" t="s">
        <v>1099</v>
      </c>
      <c r="E2111" s="41" t="s">
        <v>760</v>
      </c>
      <c r="F2111" s="41" t="e">
        <v>#N/A</v>
      </c>
      <c r="G2111" s="7" t="s">
        <v>300</v>
      </c>
      <c r="H2111" s="7">
        <v>15</v>
      </c>
      <c r="I2111" s="10" t="s">
        <v>2297</v>
      </c>
      <c r="J2111" s="10">
        <v>5</v>
      </c>
      <c r="K2111" s="10">
        <v>2</v>
      </c>
      <c r="L2111" s="43">
        <v>25</v>
      </c>
      <c r="M2111" s="43">
        <v>25</v>
      </c>
      <c r="N2111" s="12" t="s">
        <v>1080</v>
      </c>
      <c r="P2111" s="10">
        <v>100</v>
      </c>
      <c r="Q2111" s="10">
        <v>60</v>
      </c>
      <c r="S2111" s="11">
        <v>2</v>
      </c>
      <c r="T2111" s="10">
        <v>60</v>
      </c>
      <c r="V2111" s="45">
        <v>1</v>
      </c>
      <c r="X2111" s="29">
        <v>6.3</v>
      </c>
      <c r="Y2111" s="54" t="s">
        <v>65</v>
      </c>
    </row>
    <row r="2112" spans="1:26" ht="23.1" customHeight="1" x14ac:dyDescent="0.25">
      <c r="A2112" s="53" t="s">
        <v>1333</v>
      </c>
      <c r="B2112" s="10" t="s">
        <v>113</v>
      </c>
      <c r="C2112" s="10">
        <v>101</v>
      </c>
      <c r="D2112" s="10" t="s">
        <v>1099</v>
      </c>
      <c r="E2112" s="41" t="s">
        <v>760</v>
      </c>
      <c r="F2112" s="41" t="e">
        <v>#N/A</v>
      </c>
      <c r="G2112" s="7" t="s">
        <v>300</v>
      </c>
      <c r="H2112" s="7">
        <v>20</v>
      </c>
      <c r="I2112" s="10" t="s">
        <v>2150</v>
      </c>
      <c r="J2112" s="10">
        <v>0.3</v>
      </c>
      <c r="K2112" s="10">
        <v>1.7</v>
      </c>
      <c r="L2112" s="43">
        <v>25</v>
      </c>
      <c r="M2112" s="43">
        <v>25</v>
      </c>
      <c r="N2112" s="12" t="s">
        <v>1080</v>
      </c>
      <c r="P2112" s="10">
        <v>300</v>
      </c>
      <c r="Q2112" s="10">
        <v>60</v>
      </c>
      <c r="S2112" s="11">
        <v>2</v>
      </c>
      <c r="T2112" s="10">
        <v>120</v>
      </c>
      <c r="V2112" s="45">
        <v>1</v>
      </c>
      <c r="W2112" s="10">
        <v>3</v>
      </c>
      <c r="X2112" s="29">
        <v>15.5</v>
      </c>
      <c r="Y2112" s="54" t="s">
        <v>65</v>
      </c>
      <c r="Z2112" t="s">
        <v>1413</v>
      </c>
    </row>
    <row r="2113" spans="1:25" ht="23.1" customHeight="1" x14ac:dyDescent="0.25">
      <c r="A2113" s="53" t="s">
        <v>1333</v>
      </c>
      <c r="B2113" s="10" t="s">
        <v>113</v>
      </c>
      <c r="C2113" s="10">
        <v>118</v>
      </c>
      <c r="D2113" s="10" t="s">
        <v>1171</v>
      </c>
      <c r="E2113" s="41" t="s">
        <v>1172</v>
      </c>
      <c r="F2113" s="41" t="s">
        <v>1172</v>
      </c>
      <c r="G2113" s="7" t="s">
        <v>300</v>
      </c>
      <c r="H2113" s="7">
        <v>15</v>
      </c>
      <c r="I2113" s="10" t="s">
        <v>1931</v>
      </c>
      <c r="K2113" s="10">
        <v>0.9</v>
      </c>
      <c r="L2113" s="43">
        <v>25</v>
      </c>
      <c r="M2113" s="43">
        <v>25</v>
      </c>
      <c r="N2113" s="12" t="s">
        <v>1574</v>
      </c>
      <c r="P2113" s="10">
        <v>900</v>
      </c>
      <c r="Q2113" s="10">
        <v>120</v>
      </c>
      <c r="S2113" s="11">
        <v>1</v>
      </c>
      <c r="T2113" s="10">
        <v>60</v>
      </c>
      <c r="V2113" s="45">
        <v>1</v>
      </c>
      <c r="X2113" s="29">
        <v>16.5</v>
      </c>
      <c r="Y2113" s="54" t="s">
        <v>65</v>
      </c>
    </row>
    <row r="2114" spans="1:25" ht="23.1" customHeight="1" x14ac:dyDescent="0.25">
      <c r="A2114" s="53" t="s">
        <v>1244</v>
      </c>
      <c r="B2114" s="10" t="s">
        <v>110</v>
      </c>
      <c r="C2114" s="10">
        <v>19</v>
      </c>
      <c r="D2114" s="10" t="s">
        <v>395</v>
      </c>
      <c r="E2114" s="41" t="s">
        <v>396</v>
      </c>
      <c r="F2114" s="41" t="e">
        <v>#N/A</v>
      </c>
      <c r="G2114" s="7" t="s">
        <v>300</v>
      </c>
      <c r="H2114" s="7">
        <v>30</v>
      </c>
      <c r="I2114" s="10" t="s">
        <v>2193</v>
      </c>
      <c r="J2114" s="10">
        <v>1</v>
      </c>
      <c r="K2114" s="10">
        <v>1</v>
      </c>
      <c r="L2114" s="43">
        <v>32</v>
      </c>
      <c r="M2114" s="43">
        <v>32</v>
      </c>
      <c r="N2114" s="12" t="s">
        <v>506</v>
      </c>
      <c r="P2114" s="10">
        <v>630</v>
      </c>
      <c r="Q2114" s="10">
        <v>90</v>
      </c>
      <c r="S2114" s="11">
        <v>1</v>
      </c>
      <c r="T2114" s="10">
        <v>90</v>
      </c>
      <c r="V2114" s="45"/>
      <c r="X2114" s="29">
        <v>12</v>
      </c>
      <c r="Y2114" s="54" t="s">
        <v>17</v>
      </c>
    </row>
    <row r="2115" spans="1:25" ht="23.1" customHeight="1" x14ac:dyDescent="0.25">
      <c r="A2115" s="53" t="s">
        <v>1244</v>
      </c>
      <c r="B2115" s="10" t="s">
        <v>110</v>
      </c>
      <c r="C2115" s="10">
        <v>44</v>
      </c>
      <c r="D2115" s="10" t="s">
        <v>495</v>
      </c>
      <c r="E2115" s="41" t="s">
        <v>267</v>
      </c>
      <c r="F2115" s="41" t="s">
        <v>267</v>
      </c>
      <c r="G2115" s="7" t="s">
        <v>118</v>
      </c>
      <c r="H2115" s="7">
        <v>55</v>
      </c>
      <c r="I2115" s="10" t="s">
        <v>2496</v>
      </c>
      <c r="J2115" s="10">
        <v>0.6</v>
      </c>
      <c r="K2115" s="10">
        <v>0.6</v>
      </c>
      <c r="L2115" s="43">
        <v>32</v>
      </c>
      <c r="M2115" s="43">
        <v>32</v>
      </c>
      <c r="N2115" s="12" t="s">
        <v>429</v>
      </c>
      <c r="P2115" s="10">
        <v>1260</v>
      </c>
      <c r="Q2115" s="10">
        <v>90</v>
      </c>
      <c r="S2115" s="11">
        <v>1</v>
      </c>
      <c r="T2115" s="10">
        <v>60</v>
      </c>
      <c r="V2115" s="45"/>
      <c r="X2115" s="29">
        <v>14.1</v>
      </c>
      <c r="Y2115" s="54" t="s">
        <v>64</v>
      </c>
    </row>
    <row r="2116" spans="1:25" ht="23.1" customHeight="1" x14ac:dyDescent="0.25">
      <c r="A2116" s="53" t="s">
        <v>1244</v>
      </c>
      <c r="B2116" s="10" t="s">
        <v>110</v>
      </c>
      <c r="C2116" s="10">
        <v>97</v>
      </c>
      <c r="D2116" s="10" t="s">
        <v>1064</v>
      </c>
      <c r="E2116" s="41" t="s">
        <v>1065</v>
      </c>
      <c r="F2116" s="41" t="s">
        <v>1065</v>
      </c>
      <c r="G2116" s="7" t="s">
        <v>250</v>
      </c>
      <c r="H2116" s="7">
        <v>60</v>
      </c>
      <c r="I2116" s="10" t="s">
        <v>2156</v>
      </c>
      <c r="J2116" s="10">
        <v>1</v>
      </c>
      <c r="K2116" s="10">
        <v>1</v>
      </c>
      <c r="L2116" s="43">
        <v>32</v>
      </c>
      <c r="M2116" s="43">
        <v>32</v>
      </c>
      <c r="N2116" s="12" t="s">
        <v>429</v>
      </c>
      <c r="P2116" s="10">
        <v>570</v>
      </c>
      <c r="Q2116" s="10">
        <v>60</v>
      </c>
      <c r="S2116" s="11">
        <v>1</v>
      </c>
      <c r="T2116" s="10">
        <v>60</v>
      </c>
      <c r="V2116" s="45">
        <v>1</v>
      </c>
      <c r="X2116" s="29">
        <v>11.5</v>
      </c>
      <c r="Y2116" s="54" t="s">
        <v>39</v>
      </c>
    </row>
    <row r="2117" spans="1:25" ht="23.1" customHeight="1" x14ac:dyDescent="0.25">
      <c r="A2117" s="53" t="s">
        <v>1244</v>
      </c>
      <c r="B2117" s="10" t="s">
        <v>110</v>
      </c>
      <c r="C2117" s="10">
        <v>101</v>
      </c>
      <c r="D2117" s="10" t="s">
        <v>1211</v>
      </c>
      <c r="E2117" s="41" t="s">
        <v>760</v>
      </c>
      <c r="F2117" s="41" t="s">
        <v>760</v>
      </c>
      <c r="G2117" s="7" t="s">
        <v>300</v>
      </c>
      <c r="H2117" s="7">
        <v>20</v>
      </c>
      <c r="I2117" s="10" t="s">
        <v>2150</v>
      </c>
      <c r="J2117" s="10">
        <v>2.5</v>
      </c>
      <c r="K2117" s="10">
        <v>2</v>
      </c>
      <c r="L2117" s="43">
        <v>32</v>
      </c>
      <c r="M2117" s="43">
        <v>32</v>
      </c>
      <c r="N2117" s="12" t="s">
        <v>1051</v>
      </c>
      <c r="P2117" s="10">
        <v>300</v>
      </c>
      <c r="Q2117" s="10">
        <v>60</v>
      </c>
      <c r="S2117" s="11">
        <v>2</v>
      </c>
      <c r="T2117" s="10">
        <v>120</v>
      </c>
      <c r="V2117" s="45"/>
      <c r="X2117" s="29">
        <v>12</v>
      </c>
      <c r="Y2117" s="54" t="s">
        <v>47</v>
      </c>
    </row>
    <row r="2118" spans="1:25" ht="23.1" customHeight="1" x14ac:dyDescent="0.25">
      <c r="A2118" s="53" t="s">
        <v>1244</v>
      </c>
      <c r="B2118" s="10" t="s">
        <v>110</v>
      </c>
      <c r="C2118" s="10">
        <v>101</v>
      </c>
      <c r="D2118" s="10" t="s">
        <v>1211</v>
      </c>
      <c r="E2118" s="41" t="s">
        <v>760</v>
      </c>
      <c r="F2118" s="41" t="s">
        <v>760</v>
      </c>
      <c r="G2118" s="7" t="s">
        <v>300</v>
      </c>
      <c r="H2118" s="7">
        <v>15</v>
      </c>
      <c r="I2118" s="10" t="s">
        <v>2297</v>
      </c>
      <c r="J2118" s="10">
        <v>2</v>
      </c>
      <c r="K2118" s="10">
        <v>2</v>
      </c>
      <c r="L2118" s="43">
        <v>32</v>
      </c>
      <c r="M2118" s="43">
        <v>32</v>
      </c>
      <c r="N2118" s="12" t="s">
        <v>1115</v>
      </c>
      <c r="P2118" s="10">
        <v>100</v>
      </c>
      <c r="Q2118" s="10">
        <v>60</v>
      </c>
      <c r="S2118" s="11">
        <v>2</v>
      </c>
      <c r="T2118" s="10">
        <v>60</v>
      </c>
      <c r="V2118" s="45"/>
      <c r="X2118" s="29">
        <v>5.3</v>
      </c>
      <c r="Y2118" s="54" t="s">
        <v>47</v>
      </c>
    </row>
    <row r="2119" spans="1:25" ht="23.1" customHeight="1" x14ac:dyDescent="0.25">
      <c r="A2119" s="53" t="s">
        <v>1244</v>
      </c>
      <c r="B2119" s="10" t="s">
        <v>110</v>
      </c>
      <c r="C2119" s="10">
        <v>105</v>
      </c>
      <c r="D2119" s="10" t="s">
        <v>1176</v>
      </c>
      <c r="E2119" s="41" t="s">
        <v>1098</v>
      </c>
      <c r="F2119" s="41" t="s">
        <v>1098</v>
      </c>
      <c r="G2119" s="7" t="s">
        <v>250</v>
      </c>
      <c r="H2119" s="7">
        <v>40</v>
      </c>
      <c r="I2119" s="10" t="s">
        <v>2172</v>
      </c>
      <c r="J2119" s="10">
        <v>1.3</v>
      </c>
      <c r="K2119" s="10">
        <v>0.6</v>
      </c>
      <c r="L2119" s="43">
        <v>32</v>
      </c>
      <c r="M2119" s="43">
        <v>32</v>
      </c>
      <c r="N2119" s="12" t="s">
        <v>429</v>
      </c>
      <c r="P2119" s="10">
        <v>450</v>
      </c>
      <c r="Q2119" s="10">
        <v>60</v>
      </c>
      <c r="S2119" s="11">
        <v>1</v>
      </c>
      <c r="T2119" s="10">
        <v>120</v>
      </c>
      <c r="V2119" s="45"/>
      <c r="X2119" s="29">
        <v>5.5</v>
      </c>
      <c r="Y2119" s="54" t="s">
        <v>9</v>
      </c>
    </row>
    <row r="2120" spans="1:25" ht="23.1" customHeight="1" x14ac:dyDescent="0.25">
      <c r="A2120" s="53" t="s">
        <v>1244</v>
      </c>
      <c r="B2120" s="10" t="s">
        <v>110</v>
      </c>
      <c r="C2120" s="10">
        <v>105</v>
      </c>
      <c r="D2120" s="10" t="s">
        <v>1176</v>
      </c>
      <c r="E2120" s="41" t="s">
        <v>1098</v>
      </c>
      <c r="F2120" s="41" t="s">
        <v>1098</v>
      </c>
      <c r="G2120" s="7" t="s">
        <v>250</v>
      </c>
      <c r="H2120" s="7">
        <v>45</v>
      </c>
      <c r="I2120" s="10" t="s">
        <v>2189</v>
      </c>
      <c r="J2120" s="10">
        <v>1</v>
      </c>
      <c r="K2120" s="10">
        <v>1</v>
      </c>
      <c r="L2120" s="43">
        <v>32</v>
      </c>
      <c r="M2120" s="43">
        <v>32</v>
      </c>
      <c r="N2120" s="12" t="s">
        <v>429</v>
      </c>
      <c r="P2120" s="10">
        <v>30</v>
      </c>
      <c r="Q2120" s="10">
        <v>60</v>
      </c>
      <c r="S2120" s="11">
        <v>1</v>
      </c>
      <c r="T2120" s="10">
        <v>60</v>
      </c>
      <c r="V2120" s="45"/>
      <c r="X2120" s="29">
        <v>1.5</v>
      </c>
      <c r="Y2120" s="54" t="s">
        <v>9</v>
      </c>
    </row>
    <row r="2121" spans="1:25" ht="23.1" customHeight="1" x14ac:dyDescent="0.25">
      <c r="A2121" s="53" t="s">
        <v>1244</v>
      </c>
      <c r="B2121" s="10" t="s">
        <v>110</v>
      </c>
      <c r="C2121" s="10">
        <v>99</v>
      </c>
      <c r="D2121" s="10" t="s">
        <v>1191</v>
      </c>
      <c r="E2121" s="41" t="s">
        <v>1192</v>
      </c>
      <c r="F2121" s="41" t="s">
        <v>1192</v>
      </c>
      <c r="G2121" s="7" t="s">
        <v>300</v>
      </c>
      <c r="H2121" s="7">
        <v>25</v>
      </c>
      <c r="I2121" s="10" t="s">
        <v>2497</v>
      </c>
      <c r="K2121" s="10">
        <v>2</v>
      </c>
      <c r="L2121" s="43">
        <v>32</v>
      </c>
      <c r="M2121" s="43">
        <v>32</v>
      </c>
      <c r="N2121" s="12" t="s">
        <v>1575</v>
      </c>
      <c r="P2121" s="10">
        <v>120</v>
      </c>
      <c r="Q2121" s="10">
        <v>60</v>
      </c>
      <c r="S2121" s="11">
        <v>2</v>
      </c>
      <c r="T2121" s="10">
        <v>60</v>
      </c>
      <c r="V2121" s="45">
        <v>1</v>
      </c>
      <c r="X2121" s="29">
        <v>7</v>
      </c>
      <c r="Y2121" s="54" t="s">
        <v>29</v>
      </c>
    </row>
    <row r="2122" spans="1:25" ht="23.1" customHeight="1" x14ac:dyDescent="0.25">
      <c r="A2122" s="53" t="s">
        <v>1244</v>
      </c>
      <c r="B2122" s="10" t="s">
        <v>110</v>
      </c>
      <c r="C2122" s="10">
        <v>99</v>
      </c>
      <c r="D2122" s="10" t="s">
        <v>1191</v>
      </c>
      <c r="E2122" s="41" t="s">
        <v>1192</v>
      </c>
      <c r="F2122" s="41" t="s">
        <v>1192</v>
      </c>
      <c r="G2122" s="7" t="s">
        <v>300</v>
      </c>
      <c r="H2122" s="7">
        <v>30</v>
      </c>
      <c r="I2122" s="10" t="s">
        <v>2186</v>
      </c>
      <c r="K2122" s="10">
        <v>0.1</v>
      </c>
      <c r="L2122" s="43">
        <v>32</v>
      </c>
      <c r="M2122" s="43">
        <v>32</v>
      </c>
      <c r="N2122" s="12" t="s">
        <v>221</v>
      </c>
      <c r="P2122" s="10">
        <v>1080</v>
      </c>
      <c r="Q2122" s="10">
        <v>120</v>
      </c>
      <c r="S2122" s="11">
        <v>1</v>
      </c>
      <c r="T2122" s="10">
        <v>120</v>
      </c>
      <c r="V2122" s="45">
        <v>1</v>
      </c>
      <c r="X2122" s="29">
        <v>5.8</v>
      </c>
      <c r="Y2122" s="54" t="s">
        <v>29</v>
      </c>
    </row>
    <row r="2123" spans="1:25" ht="23.1" customHeight="1" x14ac:dyDescent="0.25">
      <c r="A2123" s="53" t="s">
        <v>1244</v>
      </c>
      <c r="B2123" s="10" t="s">
        <v>110</v>
      </c>
      <c r="C2123" s="10">
        <v>99</v>
      </c>
      <c r="D2123" s="10" t="s">
        <v>1191</v>
      </c>
      <c r="E2123" s="41" t="s">
        <v>1192</v>
      </c>
      <c r="F2123" s="41" t="s">
        <v>1192</v>
      </c>
      <c r="G2123" s="7" t="s">
        <v>300</v>
      </c>
      <c r="H2123" s="7">
        <v>20</v>
      </c>
      <c r="I2123" s="10" t="s">
        <v>2181</v>
      </c>
      <c r="J2123" s="10">
        <v>0.5</v>
      </c>
      <c r="K2123" s="10">
        <v>0.1</v>
      </c>
      <c r="L2123" s="43">
        <v>32</v>
      </c>
      <c r="M2123" s="43">
        <v>32</v>
      </c>
      <c r="N2123" s="12" t="s">
        <v>219</v>
      </c>
      <c r="P2123" s="10">
        <v>450</v>
      </c>
      <c r="Q2123" s="10">
        <v>60</v>
      </c>
      <c r="T2123" s="10">
        <v>90</v>
      </c>
      <c r="V2123" s="45"/>
      <c r="X2123" s="29">
        <v>0.8</v>
      </c>
      <c r="Y2123" s="54" t="s">
        <v>29</v>
      </c>
    </row>
    <row r="2124" spans="1:25" ht="23.1" customHeight="1" x14ac:dyDescent="0.25">
      <c r="A2124" s="53" t="s">
        <v>1244</v>
      </c>
      <c r="B2124" s="10" t="s">
        <v>110</v>
      </c>
      <c r="C2124" s="10">
        <v>99</v>
      </c>
      <c r="D2124" s="10" t="s">
        <v>1191</v>
      </c>
      <c r="E2124" s="41" t="s">
        <v>1192</v>
      </c>
      <c r="F2124" s="41" t="s">
        <v>1192</v>
      </c>
      <c r="G2124" s="7" t="s">
        <v>300</v>
      </c>
      <c r="H2124" s="7">
        <v>25</v>
      </c>
      <c r="I2124" s="10" t="s">
        <v>2182</v>
      </c>
      <c r="J2124" s="10">
        <v>1</v>
      </c>
      <c r="K2124" s="10">
        <v>4</v>
      </c>
      <c r="L2124" s="43">
        <v>32</v>
      </c>
      <c r="M2124" s="43">
        <v>32</v>
      </c>
      <c r="N2124" s="12" t="s">
        <v>1561</v>
      </c>
      <c r="P2124" s="10">
        <v>120</v>
      </c>
      <c r="Q2124" s="10">
        <v>60</v>
      </c>
      <c r="S2124" s="11">
        <v>4</v>
      </c>
      <c r="T2124" s="10">
        <v>60</v>
      </c>
      <c r="V2124" s="45">
        <v>1</v>
      </c>
      <c r="X2124" s="29">
        <v>13</v>
      </c>
      <c r="Y2124" s="54" t="s">
        <v>29</v>
      </c>
    </row>
    <row r="2125" spans="1:25" ht="23.1" customHeight="1" x14ac:dyDescent="0.25">
      <c r="A2125" s="53" t="s">
        <v>1244</v>
      </c>
      <c r="B2125" s="10" t="s">
        <v>110</v>
      </c>
      <c r="C2125" s="10">
        <v>103</v>
      </c>
      <c r="D2125" s="10" t="s">
        <v>1071</v>
      </c>
      <c r="E2125" s="41" t="s">
        <v>1072</v>
      </c>
      <c r="F2125" s="41" t="e">
        <v>#N/A</v>
      </c>
      <c r="G2125" s="7" t="s">
        <v>250</v>
      </c>
      <c r="H2125" s="7">
        <v>40</v>
      </c>
      <c r="I2125" s="10" t="s">
        <v>2296</v>
      </c>
      <c r="J2125" s="10">
        <v>0.8</v>
      </c>
      <c r="K2125" s="10">
        <v>0.6</v>
      </c>
      <c r="L2125" s="43">
        <v>32</v>
      </c>
      <c r="M2125" s="43">
        <v>32</v>
      </c>
      <c r="N2125" s="12" t="s">
        <v>1184</v>
      </c>
      <c r="P2125" s="10">
        <v>1020</v>
      </c>
      <c r="Q2125" s="10">
        <v>90</v>
      </c>
      <c r="T2125" s="10">
        <v>180</v>
      </c>
      <c r="V2125" s="45"/>
      <c r="X2125" s="29">
        <v>10.199999999999999</v>
      </c>
      <c r="Y2125" s="54" t="s">
        <v>61</v>
      </c>
    </row>
    <row r="2126" spans="1:25" ht="23.1" customHeight="1" x14ac:dyDescent="0.25">
      <c r="A2126" s="53" t="s">
        <v>1244</v>
      </c>
      <c r="B2126" s="10" t="s">
        <v>110</v>
      </c>
      <c r="C2126" s="10">
        <v>102</v>
      </c>
      <c r="D2126" s="10" t="s">
        <v>1097</v>
      </c>
      <c r="E2126" s="41" t="s">
        <v>1098</v>
      </c>
      <c r="F2126" s="41" t="s">
        <v>1098</v>
      </c>
      <c r="G2126" s="7" t="s">
        <v>250</v>
      </c>
      <c r="H2126" s="7">
        <v>40</v>
      </c>
      <c r="I2126" s="10" t="s">
        <v>2172</v>
      </c>
      <c r="J2126" s="10">
        <v>1.3</v>
      </c>
      <c r="K2126" s="10">
        <v>1.3</v>
      </c>
      <c r="L2126" s="43">
        <v>32</v>
      </c>
      <c r="M2126" s="43">
        <v>32</v>
      </c>
      <c r="N2126" s="12" t="s">
        <v>292</v>
      </c>
      <c r="P2126" s="10">
        <v>450</v>
      </c>
      <c r="Q2126" s="10">
        <v>60</v>
      </c>
      <c r="S2126" s="11">
        <v>2</v>
      </c>
      <c r="T2126" s="10">
        <v>120</v>
      </c>
      <c r="V2126" s="45"/>
      <c r="X2126" s="29">
        <v>11.8</v>
      </c>
      <c r="Y2126" s="54" t="s">
        <v>36</v>
      </c>
    </row>
    <row r="2127" spans="1:25" ht="23.1" customHeight="1" x14ac:dyDescent="0.25">
      <c r="A2127" s="53" t="s">
        <v>1244</v>
      </c>
      <c r="B2127" s="10" t="s">
        <v>110</v>
      </c>
      <c r="C2127" s="10">
        <v>98</v>
      </c>
      <c r="D2127" s="10" t="s">
        <v>481</v>
      </c>
      <c r="E2127" s="41" t="s">
        <v>482</v>
      </c>
      <c r="F2127" s="41" t="s">
        <v>482</v>
      </c>
      <c r="G2127" s="7" t="s">
        <v>118</v>
      </c>
      <c r="H2127" s="7">
        <v>13</v>
      </c>
      <c r="I2127" s="10"/>
      <c r="J2127" s="10">
        <v>1</v>
      </c>
      <c r="K2127" s="10">
        <v>1</v>
      </c>
      <c r="L2127" s="43">
        <v>32</v>
      </c>
      <c r="M2127" s="43">
        <v>32</v>
      </c>
      <c r="N2127" s="12" t="s">
        <v>689</v>
      </c>
      <c r="O2127" s="47">
        <v>300</v>
      </c>
      <c r="P2127" s="47"/>
      <c r="Q2127" s="47"/>
      <c r="R2127" s="47">
        <v>60</v>
      </c>
      <c r="S2127" s="11">
        <v>1</v>
      </c>
      <c r="V2127" s="45"/>
      <c r="X2127" s="32">
        <v>6</v>
      </c>
      <c r="Y2127" s="54" t="s">
        <v>36</v>
      </c>
    </row>
    <row r="2128" spans="1:25" ht="23.1" customHeight="1" x14ac:dyDescent="0.25">
      <c r="A2128" s="53" t="s">
        <v>1244</v>
      </c>
      <c r="B2128" s="10" t="s">
        <v>110</v>
      </c>
      <c r="C2128" s="10">
        <v>98</v>
      </c>
      <c r="D2128" s="10" t="s">
        <v>481</v>
      </c>
      <c r="E2128" s="41" t="s">
        <v>482</v>
      </c>
      <c r="F2128" s="41" t="s">
        <v>482</v>
      </c>
      <c r="G2128" s="7" t="s">
        <v>118</v>
      </c>
      <c r="H2128" s="7">
        <v>15</v>
      </c>
      <c r="I2128" s="10" t="s">
        <v>2144</v>
      </c>
      <c r="J2128" s="10">
        <v>0.5</v>
      </c>
      <c r="K2128" s="10">
        <v>0.5</v>
      </c>
      <c r="L2128" s="43">
        <v>32</v>
      </c>
      <c r="M2128" s="43">
        <v>32</v>
      </c>
      <c r="N2128" s="12" t="s">
        <v>689</v>
      </c>
      <c r="P2128" s="10">
        <v>720</v>
      </c>
      <c r="Q2128" s="10">
        <v>60</v>
      </c>
      <c r="S2128" s="11">
        <v>1</v>
      </c>
      <c r="T2128" s="10">
        <v>120</v>
      </c>
      <c r="V2128" s="45">
        <v>1</v>
      </c>
      <c r="X2128" s="29">
        <v>9</v>
      </c>
      <c r="Y2128" s="54" t="s">
        <v>36</v>
      </c>
    </row>
    <row r="2129" spans="1:25" ht="23.1" customHeight="1" x14ac:dyDescent="0.25">
      <c r="A2129" s="53" t="s">
        <v>1244</v>
      </c>
      <c r="B2129" s="10" t="s">
        <v>110</v>
      </c>
      <c r="C2129" s="10">
        <v>106</v>
      </c>
      <c r="D2129" s="10" t="s">
        <v>1070</v>
      </c>
      <c r="E2129" s="41" t="s">
        <v>101</v>
      </c>
      <c r="F2129" s="41" t="s">
        <v>101</v>
      </c>
      <c r="G2129" s="7" t="s">
        <v>300</v>
      </c>
      <c r="H2129" s="7">
        <v>35</v>
      </c>
      <c r="I2129" s="10" t="s">
        <v>2498</v>
      </c>
      <c r="J2129" s="10">
        <v>0.5</v>
      </c>
      <c r="K2129" s="10">
        <v>0.6</v>
      </c>
      <c r="L2129" s="43">
        <v>32</v>
      </c>
      <c r="M2129" s="43">
        <v>32</v>
      </c>
      <c r="N2129" s="12" t="s">
        <v>476</v>
      </c>
      <c r="P2129" s="10">
        <v>1200</v>
      </c>
      <c r="Q2129" s="10">
        <v>150</v>
      </c>
      <c r="T2129" s="10">
        <v>180</v>
      </c>
      <c r="V2129" s="45"/>
      <c r="X2129" s="29">
        <v>12</v>
      </c>
      <c r="Y2129" s="54" t="s">
        <v>36</v>
      </c>
    </row>
    <row r="2130" spans="1:25" ht="23.1" customHeight="1" x14ac:dyDescent="0.25">
      <c r="A2130" s="53" t="s">
        <v>1244</v>
      </c>
      <c r="B2130" s="10" t="s">
        <v>110</v>
      </c>
      <c r="C2130" s="10">
        <v>118</v>
      </c>
      <c r="D2130" s="10" t="s">
        <v>1171</v>
      </c>
      <c r="E2130" s="41" t="s">
        <v>1172</v>
      </c>
      <c r="F2130" s="41" t="s">
        <v>1172</v>
      </c>
      <c r="G2130" s="7" t="s">
        <v>300</v>
      </c>
      <c r="H2130" s="7">
        <v>15</v>
      </c>
      <c r="I2130" s="10" t="s">
        <v>1931</v>
      </c>
      <c r="K2130" s="10">
        <v>0.5</v>
      </c>
      <c r="L2130" s="43">
        <v>32</v>
      </c>
      <c r="M2130" s="43">
        <v>32</v>
      </c>
      <c r="N2130" s="12" t="s">
        <v>1576</v>
      </c>
      <c r="P2130" s="10">
        <v>900</v>
      </c>
      <c r="Q2130" s="10">
        <v>120</v>
      </c>
      <c r="T2130" s="10">
        <v>60</v>
      </c>
      <c r="V2130" s="45"/>
      <c r="X2130" s="29">
        <v>7.5</v>
      </c>
      <c r="Y2130" s="54" t="s">
        <v>36</v>
      </c>
    </row>
    <row r="2131" spans="1:25" ht="23.1" customHeight="1" x14ac:dyDescent="0.25">
      <c r="A2131" s="53" t="s">
        <v>1244</v>
      </c>
      <c r="B2131" s="10" t="s">
        <v>110</v>
      </c>
      <c r="C2131" s="10">
        <v>45</v>
      </c>
      <c r="D2131" s="10" t="s">
        <v>1577</v>
      </c>
      <c r="E2131" s="41" t="s">
        <v>1578</v>
      </c>
      <c r="F2131" s="41" t="e">
        <v>#N/A</v>
      </c>
      <c r="H2131" s="7">
        <v>15</v>
      </c>
      <c r="I2131" s="10"/>
      <c r="J2131" s="10">
        <v>1</v>
      </c>
      <c r="K2131" s="10">
        <v>1</v>
      </c>
      <c r="L2131" s="43">
        <v>32</v>
      </c>
      <c r="M2131" s="43">
        <v>32</v>
      </c>
      <c r="S2131" s="11">
        <v>1</v>
      </c>
      <c r="V2131" s="45"/>
      <c r="W2131" s="14">
        <v>7.5</v>
      </c>
      <c r="X2131" s="29">
        <v>7.5</v>
      </c>
      <c r="Y2131" s="54" t="s">
        <v>36</v>
      </c>
    </row>
    <row r="2132" spans="1:25" ht="23.1" customHeight="1" x14ac:dyDescent="0.25">
      <c r="A2132" s="53" t="s">
        <v>1244</v>
      </c>
      <c r="B2132" s="10" t="s">
        <v>110</v>
      </c>
      <c r="C2132" s="10">
        <v>45</v>
      </c>
      <c r="D2132" s="10" t="s">
        <v>1579</v>
      </c>
      <c r="E2132" s="41" t="s">
        <v>1578</v>
      </c>
      <c r="F2132" s="41" t="e">
        <v>#N/A</v>
      </c>
      <c r="H2132" s="7">
        <v>15</v>
      </c>
      <c r="I2132" s="10"/>
      <c r="J2132" s="10">
        <v>1</v>
      </c>
      <c r="K2132" s="10">
        <v>1</v>
      </c>
      <c r="L2132" s="43">
        <v>32</v>
      </c>
      <c r="M2132" s="43">
        <v>32</v>
      </c>
      <c r="S2132" s="11">
        <v>1</v>
      </c>
      <c r="V2132" s="45"/>
      <c r="W2132" s="14">
        <v>7.5</v>
      </c>
      <c r="X2132" s="29">
        <v>7.5</v>
      </c>
      <c r="Y2132" s="54" t="s">
        <v>36</v>
      </c>
    </row>
    <row r="2133" spans="1:25" ht="23.1" customHeight="1" x14ac:dyDescent="0.25">
      <c r="A2133" s="53" t="s">
        <v>1244</v>
      </c>
      <c r="B2133" s="10" t="s">
        <v>110</v>
      </c>
      <c r="C2133" s="10">
        <v>100</v>
      </c>
      <c r="D2133" s="10" t="s">
        <v>484</v>
      </c>
      <c r="E2133" s="41" t="s">
        <v>485</v>
      </c>
      <c r="F2133" s="41" t="s">
        <v>485</v>
      </c>
      <c r="G2133" s="7" t="s">
        <v>300</v>
      </c>
      <c r="H2133" s="7">
        <v>15</v>
      </c>
      <c r="I2133" s="10" t="s">
        <v>2499</v>
      </c>
      <c r="J2133" s="10">
        <v>1</v>
      </c>
      <c r="K2133" s="10">
        <v>1</v>
      </c>
      <c r="L2133" s="43">
        <v>32</v>
      </c>
      <c r="M2133" s="43">
        <v>32</v>
      </c>
      <c r="N2133" s="12" t="s">
        <v>722</v>
      </c>
      <c r="P2133" s="10">
        <v>120</v>
      </c>
      <c r="Q2133" s="10">
        <v>60</v>
      </c>
      <c r="S2133" s="11">
        <v>1</v>
      </c>
      <c r="T2133" s="10">
        <v>90</v>
      </c>
      <c r="V2133" s="45"/>
      <c r="X2133" s="29">
        <v>3</v>
      </c>
      <c r="Y2133" s="54" t="s">
        <v>36</v>
      </c>
    </row>
    <row r="2134" spans="1:25" ht="23.1" customHeight="1" x14ac:dyDescent="0.25">
      <c r="A2134" s="53" t="s">
        <v>1244</v>
      </c>
      <c r="B2134" s="10" t="s">
        <v>110</v>
      </c>
      <c r="C2134" s="10">
        <v>100</v>
      </c>
      <c r="D2134" s="10" t="s">
        <v>298</v>
      </c>
      <c r="E2134" s="41" t="s">
        <v>299</v>
      </c>
      <c r="F2134" s="41" t="s">
        <v>299</v>
      </c>
      <c r="G2134" s="7" t="s">
        <v>300</v>
      </c>
      <c r="H2134" s="7">
        <v>15</v>
      </c>
      <c r="I2134" s="10" t="s">
        <v>2134</v>
      </c>
      <c r="J2134" s="10">
        <v>3</v>
      </c>
      <c r="K2134" s="10">
        <v>3</v>
      </c>
      <c r="L2134" s="43">
        <v>32</v>
      </c>
      <c r="M2134" s="43">
        <v>32</v>
      </c>
      <c r="N2134" s="12" t="s">
        <v>1580</v>
      </c>
      <c r="P2134" s="10">
        <v>120</v>
      </c>
      <c r="Q2134" s="10">
        <v>60</v>
      </c>
      <c r="S2134" s="11">
        <v>1</v>
      </c>
      <c r="T2134" s="10">
        <v>90</v>
      </c>
      <c r="V2134" s="45">
        <v>1</v>
      </c>
      <c r="X2134" s="29">
        <v>8.5</v>
      </c>
      <c r="Y2134" s="54" t="s">
        <v>36</v>
      </c>
    </row>
    <row r="2135" spans="1:25" ht="23.1" customHeight="1" x14ac:dyDescent="0.25">
      <c r="A2135" s="53" t="s">
        <v>1244</v>
      </c>
      <c r="B2135" s="10" t="s">
        <v>110</v>
      </c>
      <c r="C2135" s="10">
        <v>100</v>
      </c>
      <c r="D2135" s="10" t="s">
        <v>298</v>
      </c>
      <c r="E2135" s="41" t="s">
        <v>299</v>
      </c>
      <c r="F2135" s="41" t="s">
        <v>299</v>
      </c>
      <c r="G2135" s="7" t="s">
        <v>300</v>
      </c>
      <c r="H2135" s="7">
        <v>20</v>
      </c>
      <c r="I2135" s="10" t="s">
        <v>2135</v>
      </c>
      <c r="J2135" s="10">
        <v>0.7</v>
      </c>
      <c r="K2135" s="10">
        <v>0.7</v>
      </c>
      <c r="L2135" s="43">
        <v>32</v>
      </c>
      <c r="M2135" s="43">
        <v>32</v>
      </c>
      <c r="N2135" s="12" t="s">
        <v>418</v>
      </c>
      <c r="P2135" s="10">
        <v>420</v>
      </c>
      <c r="Q2135" s="10">
        <v>60</v>
      </c>
      <c r="S2135" s="11">
        <v>1</v>
      </c>
      <c r="T2135" s="10">
        <v>90</v>
      </c>
      <c r="V2135" s="45">
        <v>1</v>
      </c>
      <c r="X2135" s="29">
        <v>7.4</v>
      </c>
      <c r="Y2135" s="54" t="s">
        <v>36</v>
      </c>
    </row>
    <row r="2136" spans="1:25" ht="23.1" customHeight="1" x14ac:dyDescent="0.25">
      <c r="A2136" s="53" t="s">
        <v>1244</v>
      </c>
      <c r="B2136" s="10" t="s">
        <v>110</v>
      </c>
      <c r="C2136" s="10">
        <v>83</v>
      </c>
      <c r="D2136" s="10" t="s">
        <v>1095</v>
      </c>
      <c r="E2136" s="41" t="s">
        <v>1096</v>
      </c>
      <c r="F2136" s="41" t="s">
        <v>1096</v>
      </c>
      <c r="G2136" s="7" t="s">
        <v>658</v>
      </c>
      <c r="H2136" s="7">
        <v>25</v>
      </c>
      <c r="I2136" s="10" t="s">
        <v>2054</v>
      </c>
      <c r="J2136" s="10">
        <v>7</v>
      </c>
      <c r="K2136" s="10">
        <v>12</v>
      </c>
      <c r="L2136" s="43">
        <v>32</v>
      </c>
      <c r="M2136" s="43">
        <v>32</v>
      </c>
      <c r="N2136" s="12" t="s">
        <v>1581</v>
      </c>
      <c r="P2136" s="10">
        <v>90</v>
      </c>
      <c r="Q2136" s="10">
        <v>60</v>
      </c>
      <c r="S2136" s="11">
        <v>12</v>
      </c>
      <c r="T2136" s="10">
        <v>60</v>
      </c>
      <c r="V2136" s="45"/>
      <c r="X2136" s="29">
        <v>30</v>
      </c>
      <c r="Y2136" s="54" t="s">
        <v>36</v>
      </c>
    </row>
    <row r="2137" spans="1:25" ht="23.1" customHeight="1" x14ac:dyDescent="0.25">
      <c r="A2137" s="53" t="s">
        <v>1244</v>
      </c>
      <c r="B2137" s="10" t="s">
        <v>110</v>
      </c>
      <c r="C2137" s="10">
        <v>82</v>
      </c>
      <c r="D2137" s="10" t="s">
        <v>1582</v>
      </c>
      <c r="E2137" s="41" t="s">
        <v>1283</v>
      </c>
      <c r="F2137" s="41" t="s">
        <v>1283</v>
      </c>
      <c r="G2137" s="7" t="s">
        <v>102</v>
      </c>
      <c r="H2137" s="7">
        <v>5</v>
      </c>
      <c r="I2137" s="10" t="s">
        <v>2060</v>
      </c>
      <c r="K2137" s="10">
        <v>1</v>
      </c>
      <c r="L2137" s="43">
        <v>32</v>
      </c>
      <c r="M2137" s="43">
        <v>32</v>
      </c>
      <c r="N2137" s="12" t="s">
        <v>596</v>
      </c>
      <c r="P2137" s="10">
        <v>180</v>
      </c>
      <c r="Q2137" s="10">
        <v>60</v>
      </c>
      <c r="S2137" s="11">
        <v>1</v>
      </c>
      <c r="T2137" s="10">
        <v>60</v>
      </c>
      <c r="V2137" s="45">
        <v>1</v>
      </c>
      <c r="X2137" s="29">
        <v>5</v>
      </c>
      <c r="Y2137" s="54" t="s">
        <v>36</v>
      </c>
    </row>
    <row r="2138" spans="1:25" ht="23.1" customHeight="1" x14ac:dyDescent="0.25">
      <c r="A2138" s="53" t="s">
        <v>1244</v>
      </c>
      <c r="B2138" s="10" t="s">
        <v>110</v>
      </c>
      <c r="C2138" s="10">
        <v>82</v>
      </c>
      <c r="D2138" s="10" t="s">
        <v>1582</v>
      </c>
      <c r="E2138" s="41" t="s">
        <v>1283</v>
      </c>
      <c r="F2138" s="41" t="s">
        <v>1283</v>
      </c>
      <c r="G2138" s="7" t="s">
        <v>102</v>
      </c>
      <c r="H2138" s="7">
        <v>5</v>
      </c>
      <c r="I2138" s="10" t="s">
        <v>2387</v>
      </c>
      <c r="K2138" s="10">
        <v>1</v>
      </c>
      <c r="L2138" s="43">
        <v>32</v>
      </c>
      <c r="M2138" s="43">
        <v>32</v>
      </c>
      <c r="N2138" s="12" t="s">
        <v>596</v>
      </c>
      <c r="P2138" s="10">
        <v>180</v>
      </c>
      <c r="Q2138" s="10">
        <v>60</v>
      </c>
      <c r="S2138" s="11">
        <v>1</v>
      </c>
      <c r="T2138" s="10">
        <v>60</v>
      </c>
      <c r="V2138" s="45">
        <v>1</v>
      </c>
      <c r="X2138" s="29">
        <v>5</v>
      </c>
      <c r="Y2138" s="54" t="s">
        <v>36</v>
      </c>
    </row>
    <row r="2139" spans="1:25" ht="23.1" customHeight="1" x14ac:dyDescent="0.25">
      <c r="A2139" s="53" t="s">
        <v>1244</v>
      </c>
      <c r="B2139" s="10" t="s">
        <v>110</v>
      </c>
      <c r="C2139" s="10">
        <v>82</v>
      </c>
      <c r="D2139" s="10" t="s">
        <v>1583</v>
      </c>
      <c r="E2139" s="41" t="s">
        <v>1283</v>
      </c>
      <c r="F2139" s="41" t="s">
        <v>1283</v>
      </c>
      <c r="G2139" s="7" t="s">
        <v>102</v>
      </c>
      <c r="H2139" s="7">
        <v>5</v>
      </c>
      <c r="I2139" s="10" t="s">
        <v>2060</v>
      </c>
      <c r="K2139" s="10">
        <v>1</v>
      </c>
      <c r="L2139" s="43">
        <v>32</v>
      </c>
      <c r="M2139" s="43">
        <v>32</v>
      </c>
      <c r="N2139" s="12" t="s">
        <v>596</v>
      </c>
      <c r="P2139" s="10">
        <v>180</v>
      </c>
      <c r="Q2139" s="10">
        <v>60</v>
      </c>
      <c r="S2139" s="11">
        <v>1</v>
      </c>
      <c r="T2139" s="10">
        <v>60</v>
      </c>
      <c r="V2139" s="45">
        <v>1</v>
      </c>
      <c r="X2139" s="29">
        <v>5</v>
      </c>
      <c r="Y2139" s="54" t="s">
        <v>36</v>
      </c>
    </row>
    <row r="2140" spans="1:25" ht="23.1" customHeight="1" x14ac:dyDescent="0.25">
      <c r="A2140" s="53" t="s">
        <v>1244</v>
      </c>
      <c r="B2140" s="10" t="s">
        <v>110</v>
      </c>
      <c r="C2140" s="10">
        <v>82</v>
      </c>
      <c r="D2140" s="10" t="s">
        <v>1584</v>
      </c>
      <c r="E2140" s="41" t="s">
        <v>1570</v>
      </c>
      <c r="F2140" s="41" t="s">
        <v>1570</v>
      </c>
      <c r="G2140" s="7" t="s">
        <v>102</v>
      </c>
      <c r="H2140" s="7">
        <v>10</v>
      </c>
      <c r="I2140" s="10" t="s">
        <v>2038</v>
      </c>
      <c r="K2140" s="10">
        <v>1</v>
      </c>
      <c r="L2140" s="43">
        <v>32</v>
      </c>
      <c r="M2140" s="43">
        <v>32</v>
      </c>
      <c r="N2140" s="12" t="s">
        <v>596</v>
      </c>
      <c r="P2140" s="10">
        <v>60</v>
      </c>
      <c r="Q2140" s="10">
        <v>60</v>
      </c>
      <c r="S2140" s="11">
        <v>1</v>
      </c>
      <c r="T2140" s="10">
        <v>90</v>
      </c>
      <c r="V2140" s="45">
        <v>1</v>
      </c>
      <c r="X2140" s="29">
        <v>3.5</v>
      </c>
      <c r="Y2140" s="54" t="s">
        <v>36</v>
      </c>
    </row>
    <row r="2141" spans="1:25" ht="23.1" customHeight="1" x14ac:dyDescent="0.25">
      <c r="A2141" s="53" t="s">
        <v>1244</v>
      </c>
      <c r="B2141" s="10" t="s">
        <v>113</v>
      </c>
      <c r="C2141" s="10">
        <v>99</v>
      </c>
      <c r="D2141" s="10" t="s">
        <v>1191</v>
      </c>
      <c r="E2141" s="41" t="s">
        <v>1192</v>
      </c>
      <c r="F2141" s="41" t="s">
        <v>1192</v>
      </c>
      <c r="G2141" s="7" t="s">
        <v>300</v>
      </c>
      <c r="H2141" s="7">
        <v>30</v>
      </c>
      <c r="I2141" s="10" t="s">
        <v>2500</v>
      </c>
      <c r="J2141" s="10">
        <v>0.5</v>
      </c>
      <c r="K2141" s="10">
        <v>0.7</v>
      </c>
      <c r="L2141" s="43">
        <v>25</v>
      </c>
      <c r="M2141" s="43">
        <v>25</v>
      </c>
      <c r="N2141" s="12" t="s">
        <v>221</v>
      </c>
      <c r="P2141" s="10">
        <v>1080</v>
      </c>
      <c r="Q2141" s="10">
        <v>120</v>
      </c>
      <c r="T2141" s="10">
        <v>120</v>
      </c>
      <c r="V2141" s="45"/>
      <c r="X2141" s="29">
        <v>12.6</v>
      </c>
      <c r="Y2141" s="54" t="s">
        <v>21</v>
      </c>
    </row>
    <row r="2142" spans="1:25" ht="23.1" customHeight="1" x14ac:dyDescent="0.25">
      <c r="A2142" s="53" t="s">
        <v>1244</v>
      </c>
      <c r="B2142" s="10" t="s">
        <v>113</v>
      </c>
      <c r="C2142" s="10">
        <v>97</v>
      </c>
      <c r="D2142" s="10" t="s">
        <v>1076</v>
      </c>
      <c r="E2142" s="41" t="s">
        <v>1065</v>
      </c>
      <c r="F2142" s="41" t="s">
        <v>1065</v>
      </c>
      <c r="G2142" s="7" t="s">
        <v>250</v>
      </c>
      <c r="H2142" s="7">
        <v>60</v>
      </c>
      <c r="I2142" s="10" t="s">
        <v>2156</v>
      </c>
      <c r="J2142" s="10">
        <v>1</v>
      </c>
      <c r="K2142" s="10">
        <v>1</v>
      </c>
      <c r="L2142" s="43">
        <v>25</v>
      </c>
      <c r="M2142" s="43">
        <v>25</v>
      </c>
      <c r="N2142" s="12" t="s">
        <v>429</v>
      </c>
      <c r="P2142" s="10">
        <v>570</v>
      </c>
      <c r="Q2142" s="10">
        <v>60</v>
      </c>
      <c r="S2142" s="11">
        <v>1</v>
      </c>
      <c r="T2142" s="10">
        <v>60</v>
      </c>
      <c r="V2142" s="45"/>
      <c r="X2142" s="29">
        <v>10.5</v>
      </c>
      <c r="Y2142" s="54" t="s">
        <v>1</v>
      </c>
    </row>
    <row r="2143" spans="1:25" ht="23.1" customHeight="1" x14ac:dyDescent="0.25">
      <c r="A2143" s="53" t="s">
        <v>1244</v>
      </c>
      <c r="B2143" s="10" t="s">
        <v>113</v>
      </c>
      <c r="C2143" s="10">
        <v>105</v>
      </c>
      <c r="D2143" s="10" t="s">
        <v>1176</v>
      </c>
      <c r="E2143" s="41" t="s">
        <v>1098</v>
      </c>
      <c r="F2143" s="41" t="s">
        <v>1098</v>
      </c>
      <c r="G2143" s="7" t="s">
        <v>250</v>
      </c>
      <c r="H2143" s="7">
        <v>40</v>
      </c>
      <c r="I2143" s="10" t="s">
        <v>2172</v>
      </c>
      <c r="J2143" s="10">
        <v>1</v>
      </c>
      <c r="K2143" s="10">
        <v>1.5</v>
      </c>
      <c r="L2143" s="43">
        <v>25</v>
      </c>
      <c r="M2143" s="43">
        <v>25</v>
      </c>
      <c r="N2143" s="12" t="s">
        <v>429</v>
      </c>
      <c r="P2143" s="10">
        <v>450</v>
      </c>
      <c r="Q2143" s="10">
        <v>60</v>
      </c>
      <c r="S2143" s="11">
        <v>1</v>
      </c>
      <c r="T2143" s="10">
        <v>120</v>
      </c>
      <c r="V2143" s="45"/>
      <c r="X2143" s="29">
        <v>12.3</v>
      </c>
      <c r="Y2143" s="54" t="s">
        <v>28</v>
      </c>
    </row>
    <row r="2144" spans="1:25" ht="23.1" customHeight="1" x14ac:dyDescent="0.25">
      <c r="A2144" s="53" t="s">
        <v>1244</v>
      </c>
      <c r="B2144" s="10" t="s">
        <v>113</v>
      </c>
      <c r="C2144" s="10">
        <v>105</v>
      </c>
      <c r="D2144" s="10" t="s">
        <v>1176</v>
      </c>
      <c r="E2144" s="41" t="s">
        <v>1098</v>
      </c>
      <c r="F2144" s="41" t="s">
        <v>1098</v>
      </c>
      <c r="G2144" s="7" t="s">
        <v>250</v>
      </c>
      <c r="H2144" s="7">
        <v>45</v>
      </c>
      <c r="I2144" s="10" t="s">
        <v>2189</v>
      </c>
      <c r="J2144" s="10">
        <v>1</v>
      </c>
      <c r="K2144" s="10">
        <v>1</v>
      </c>
      <c r="L2144" s="43">
        <v>25</v>
      </c>
      <c r="M2144" s="43">
        <v>25</v>
      </c>
      <c r="N2144" s="12" t="s">
        <v>429</v>
      </c>
      <c r="P2144" s="10">
        <v>30</v>
      </c>
      <c r="Q2144" s="10">
        <v>60</v>
      </c>
      <c r="S2144" s="11">
        <v>1</v>
      </c>
      <c r="T2144" s="10">
        <v>60</v>
      </c>
      <c r="V2144" s="45"/>
      <c r="X2144" s="29">
        <v>1.5</v>
      </c>
      <c r="Y2144" s="54" t="s">
        <v>28</v>
      </c>
    </row>
    <row r="2145" spans="1:26" ht="23.1" customHeight="1" x14ac:dyDescent="0.25">
      <c r="A2145" s="53" t="s">
        <v>1244</v>
      </c>
      <c r="B2145" s="10" t="s">
        <v>113</v>
      </c>
      <c r="C2145" s="10">
        <v>82</v>
      </c>
      <c r="D2145" s="10" t="s">
        <v>1074</v>
      </c>
      <c r="E2145" s="41" t="s">
        <v>1075</v>
      </c>
      <c r="F2145" s="41" t="s">
        <v>1075</v>
      </c>
      <c r="G2145" s="7" t="s">
        <v>154</v>
      </c>
      <c r="H2145" s="7">
        <v>40</v>
      </c>
      <c r="I2145" s="10" t="s">
        <v>2124</v>
      </c>
      <c r="J2145" s="10">
        <v>3</v>
      </c>
      <c r="K2145" s="10">
        <v>5</v>
      </c>
      <c r="L2145" s="43">
        <v>25</v>
      </c>
      <c r="M2145" s="43">
        <v>25</v>
      </c>
      <c r="N2145" s="12" t="s">
        <v>1298</v>
      </c>
      <c r="P2145" s="10">
        <v>100</v>
      </c>
      <c r="S2145" s="11">
        <v>5</v>
      </c>
      <c r="T2145" s="10">
        <v>60</v>
      </c>
      <c r="V2145" s="45">
        <v>1</v>
      </c>
      <c r="W2145" s="10">
        <v>3</v>
      </c>
      <c r="X2145" s="29">
        <v>12.3</v>
      </c>
      <c r="Y2145" s="54" t="s">
        <v>56</v>
      </c>
      <c r="Z2145" t="s">
        <v>1572</v>
      </c>
    </row>
    <row r="2146" spans="1:26" ht="23.1" customHeight="1" x14ac:dyDescent="0.25">
      <c r="A2146" s="53" t="s">
        <v>1244</v>
      </c>
      <c r="B2146" s="10" t="s">
        <v>113</v>
      </c>
      <c r="C2146" s="10">
        <v>103</v>
      </c>
      <c r="D2146" s="10" t="s">
        <v>1071</v>
      </c>
      <c r="E2146" s="41" t="s">
        <v>1072</v>
      </c>
      <c r="F2146" s="41" t="e">
        <v>#N/A</v>
      </c>
      <c r="G2146" s="7" t="s">
        <v>250</v>
      </c>
      <c r="H2146" s="7">
        <v>40</v>
      </c>
      <c r="I2146" s="10" t="s">
        <v>2296</v>
      </c>
      <c r="J2146" s="10">
        <v>0.8</v>
      </c>
      <c r="K2146" s="10">
        <v>0.6</v>
      </c>
      <c r="L2146" s="43">
        <v>25</v>
      </c>
      <c r="M2146" s="43">
        <v>25</v>
      </c>
      <c r="N2146" s="12" t="s">
        <v>1184</v>
      </c>
      <c r="P2146" s="10">
        <v>1020</v>
      </c>
      <c r="Q2146" s="10">
        <v>90</v>
      </c>
      <c r="T2146" s="10">
        <v>180</v>
      </c>
      <c r="V2146" s="45"/>
      <c r="X2146" s="29">
        <v>10.199999999999999</v>
      </c>
      <c r="Y2146" s="54" t="s">
        <v>62</v>
      </c>
    </row>
    <row r="2147" spans="1:26" ht="23.1" customHeight="1" x14ac:dyDescent="0.25">
      <c r="A2147" s="53" t="s">
        <v>1244</v>
      </c>
      <c r="B2147" s="10" t="s">
        <v>113</v>
      </c>
      <c r="C2147" s="10">
        <v>19</v>
      </c>
      <c r="D2147" s="10" t="s">
        <v>395</v>
      </c>
      <c r="E2147" s="41" t="s">
        <v>396</v>
      </c>
      <c r="F2147" s="41" t="e">
        <v>#N/A</v>
      </c>
      <c r="G2147" s="7" t="s">
        <v>300</v>
      </c>
      <c r="H2147" s="7">
        <v>30</v>
      </c>
      <c r="I2147" s="10" t="s">
        <v>2193</v>
      </c>
      <c r="J2147" s="10">
        <v>1</v>
      </c>
      <c r="K2147" s="10">
        <v>1.2</v>
      </c>
      <c r="L2147" s="43">
        <v>25</v>
      </c>
      <c r="M2147" s="43">
        <v>25</v>
      </c>
      <c r="N2147" s="12" t="s">
        <v>1555</v>
      </c>
      <c r="P2147" s="10">
        <v>630</v>
      </c>
      <c r="Q2147" s="10">
        <v>90</v>
      </c>
      <c r="S2147" s="11">
        <v>1</v>
      </c>
      <c r="T2147" s="10">
        <v>90</v>
      </c>
      <c r="V2147" s="45"/>
      <c r="X2147" s="29">
        <v>14.1</v>
      </c>
      <c r="Y2147" s="54" t="s">
        <v>11</v>
      </c>
    </row>
    <row r="2148" spans="1:26" ht="23.1" customHeight="1" x14ac:dyDescent="0.25">
      <c r="A2148" s="53" t="s">
        <v>1244</v>
      </c>
      <c r="B2148" s="10" t="s">
        <v>113</v>
      </c>
      <c r="C2148" s="10">
        <v>83</v>
      </c>
      <c r="D2148" s="10" t="s">
        <v>1095</v>
      </c>
      <c r="E2148" s="41" t="s">
        <v>1096</v>
      </c>
      <c r="F2148" s="41" t="s">
        <v>1096</v>
      </c>
      <c r="G2148" s="7" t="s">
        <v>658</v>
      </c>
      <c r="H2148" s="7">
        <v>30</v>
      </c>
      <c r="I2148" s="10" t="s">
        <v>2131</v>
      </c>
      <c r="J2148" s="10">
        <v>1</v>
      </c>
      <c r="K2148" s="10">
        <v>1.5</v>
      </c>
      <c r="L2148" s="43">
        <v>25</v>
      </c>
      <c r="M2148" s="43">
        <v>25</v>
      </c>
      <c r="N2148" s="12" t="s">
        <v>412</v>
      </c>
      <c r="P2148" s="10">
        <v>570</v>
      </c>
      <c r="Q2148" s="10">
        <v>60</v>
      </c>
      <c r="S2148" s="11">
        <v>2</v>
      </c>
      <c r="T2148" s="10">
        <v>120</v>
      </c>
      <c r="V2148" s="45">
        <v>1</v>
      </c>
      <c r="X2148" s="29">
        <v>18.3</v>
      </c>
      <c r="Y2148" s="54" t="s">
        <v>67</v>
      </c>
    </row>
    <row r="2149" spans="1:26" ht="23.1" customHeight="1" x14ac:dyDescent="0.25">
      <c r="A2149" s="53" t="s">
        <v>1244</v>
      </c>
      <c r="B2149" s="10" t="s">
        <v>113</v>
      </c>
      <c r="C2149" s="10">
        <v>44</v>
      </c>
      <c r="D2149" s="10" t="s">
        <v>495</v>
      </c>
      <c r="E2149" s="41" t="s">
        <v>267</v>
      </c>
      <c r="F2149" s="41" t="s">
        <v>267</v>
      </c>
      <c r="G2149" s="7" t="s">
        <v>118</v>
      </c>
      <c r="H2149" s="7">
        <v>55</v>
      </c>
      <c r="I2149" s="10" t="s">
        <v>2166</v>
      </c>
      <c r="J2149" s="10">
        <v>0.6</v>
      </c>
      <c r="K2149" s="10">
        <v>0.7</v>
      </c>
      <c r="L2149" s="43">
        <v>25</v>
      </c>
      <c r="M2149" s="43">
        <v>25</v>
      </c>
      <c r="N2149" s="12" t="s">
        <v>429</v>
      </c>
      <c r="P2149" s="10">
        <v>1260</v>
      </c>
      <c r="Q2149" s="10">
        <v>90</v>
      </c>
      <c r="T2149" s="10">
        <v>60</v>
      </c>
      <c r="V2149" s="45"/>
      <c r="X2149" s="29">
        <v>14.7</v>
      </c>
      <c r="Y2149" s="54" t="s">
        <v>67</v>
      </c>
    </row>
    <row r="2150" spans="1:26" ht="23.1" customHeight="1" x14ac:dyDescent="0.25">
      <c r="A2150" s="53" t="s">
        <v>1244</v>
      </c>
      <c r="B2150" s="10" t="s">
        <v>113</v>
      </c>
      <c r="C2150" s="10">
        <v>100</v>
      </c>
      <c r="D2150" s="10" t="s">
        <v>298</v>
      </c>
      <c r="E2150" s="41" t="s">
        <v>299</v>
      </c>
      <c r="F2150" s="41" t="s">
        <v>299</v>
      </c>
      <c r="G2150" s="7" t="s">
        <v>300</v>
      </c>
      <c r="H2150" s="7">
        <v>20</v>
      </c>
      <c r="I2150" s="10" t="s">
        <v>2135</v>
      </c>
      <c r="J2150" s="10">
        <v>1.8</v>
      </c>
      <c r="K2150" s="10">
        <v>2.2000000000000002</v>
      </c>
      <c r="L2150" s="43">
        <v>25</v>
      </c>
      <c r="M2150" s="43">
        <v>25</v>
      </c>
      <c r="N2150" s="12" t="s">
        <v>1585</v>
      </c>
      <c r="P2150" s="10">
        <v>420</v>
      </c>
      <c r="Q2150" s="10">
        <v>60</v>
      </c>
      <c r="S2150" s="11">
        <v>2</v>
      </c>
      <c r="T2150" s="10">
        <v>90</v>
      </c>
      <c r="V2150" s="45"/>
      <c r="X2150" s="29">
        <v>17.399999999999999</v>
      </c>
      <c r="Y2150" s="54" t="s">
        <v>67</v>
      </c>
    </row>
    <row r="2151" spans="1:26" ht="23.1" customHeight="1" x14ac:dyDescent="0.25">
      <c r="A2151" s="53" t="s">
        <v>1244</v>
      </c>
      <c r="B2151" s="10" t="s">
        <v>113</v>
      </c>
      <c r="C2151" s="10">
        <v>102</v>
      </c>
      <c r="D2151" s="10" t="s">
        <v>1097</v>
      </c>
      <c r="E2151" s="41" t="s">
        <v>1098</v>
      </c>
      <c r="F2151" s="41" t="s">
        <v>1098</v>
      </c>
      <c r="G2151" s="7" t="s">
        <v>250</v>
      </c>
      <c r="H2151" s="7">
        <v>40</v>
      </c>
      <c r="I2151" s="10" t="s">
        <v>2172</v>
      </c>
      <c r="J2151" s="10">
        <v>1.3</v>
      </c>
      <c r="K2151" s="10">
        <v>1.6</v>
      </c>
      <c r="L2151" s="43">
        <v>25</v>
      </c>
      <c r="M2151" s="43">
        <v>25</v>
      </c>
      <c r="N2151" s="12" t="s">
        <v>292</v>
      </c>
      <c r="P2151" s="10">
        <v>450</v>
      </c>
      <c r="Q2151" s="10">
        <v>60</v>
      </c>
      <c r="S2151" s="11">
        <v>1</v>
      </c>
      <c r="T2151" s="10">
        <v>120</v>
      </c>
      <c r="V2151" s="45"/>
      <c r="X2151" s="29">
        <v>13</v>
      </c>
      <c r="Y2151" s="54" t="s">
        <v>67</v>
      </c>
    </row>
    <row r="2152" spans="1:26" ht="23.1" customHeight="1" x14ac:dyDescent="0.25">
      <c r="A2152" s="53" t="s">
        <v>1244</v>
      </c>
      <c r="B2152" s="10" t="s">
        <v>113</v>
      </c>
      <c r="C2152" s="10">
        <v>98</v>
      </c>
      <c r="D2152" s="10" t="s">
        <v>481</v>
      </c>
      <c r="E2152" s="41" t="s">
        <v>482</v>
      </c>
      <c r="F2152" s="41" t="s">
        <v>482</v>
      </c>
      <c r="G2152" s="7" t="s">
        <v>118</v>
      </c>
      <c r="H2152" s="7">
        <v>15</v>
      </c>
      <c r="I2152" s="10" t="s">
        <v>2144</v>
      </c>
      <c r="J2152" s="10">
        <v>0.8</v>
      </c>
      <c r="K2152" s="10">
        <v>1.3</v>
      </c>
      <c r="L2152" s="43">
        <v>25</v>
      </c>
      <c r="M2152" s="43">
        <v>25</v>
      </c>
      <c r="N2152" s="12" t="s">
        <v>1586</v>
      </c>
      <c r="P2152" s="10">
        <v>720</v>
      </c>
      <c r="Q2152" s="10">
        <v>60</v>
      </c>
      <c r="S2152" s="11">
        <v>1</v>
      </c>
      <c r="T2152" s="10">
        <v>120</v>
      </c>
      <c r="V2152" s="45"/>
      <c r="X2152" s="29">
        <v>16.600000000000001</v>
      </c>
      <c r="Y2152" s="54" t="s">
        <v>67</v>
      </c>
    </row>
    <row r="2153" spans="1:26" ht="23.1" customHeight="1" x14ac:dyDescent="0.25">
      <c r="A2153" s="53" t="s">
        <v>1244</v>
      </c>
      <c r="B2153" s="10" t="s">
        <v>113</v>
      </c>
      <c r="C2153" s="10">
        <v>106</v>
      </c>
      <c r="D2153" s="10" t="s">
        <v>1070</v>
      </c>
      <c r="E2153" s="41" t="s">
        <v>101</v>
      </c>
      <c r="F2153" s="41" t="s">
        <v>101</v>
      </c>
      <c r="G2153" s="7" t="s">
        <v>300</v>
      </c>
      <c r="H2153" s="7">
        <v>25</v>
      </c>
      <c r="I2153" s="10" t="s">
        <v>2163</v>
      </c>
      <c r="J2153" s="10">
        <v>0.15</v>
      </c>
      <c r="K2153" s="10">
        <v>0.15</v>
      </c>
      <c r="L2153" s="43">
        <v>25</v>
      </c>
      <c r="M2153" s="43">
        <v>25</v>
      </c>
      <c r="N2153" s="12" t="s">
        <v>247</v>
      </c>
      <c r="P2153" s="10">
        <v>4800</v>
      </c>
      <c r="Q2153" s="10">
        <v>180</v>
      </c>
      <c r="S2153" s="11">
        <v>1</v>
      </c>
      <c r="T2153" s="10">
        <v>180</v>
      </c>
      <c r="V2153" s="45">
        <v>1</v>
      </c>
      <c r="X2153" s="29">
        <v>18</v>
      </c>
      <c r="Y2153" s="54" t="s">
        <v>67</v>
      </c>
    </row>
    <row r="2154" spans="1:26" ht="23.1" customHeight="1" x14ac:dyDescent="0.25">
      <c r="A2154" s="53" t="s">
        <v>1244</v>
      </c>
      <c r="B2154" s="10" t="s">
        <v>113</v>
      </c>
      <c r="C2154" s="10">
        <v>101</v>
      </c>
      <c r="D2154" s="10" t="s">
        <v>1099</v>
      </c>
      <c r="E2154" s="41" t="s">
        <v>760</v>
      </c>
      <c r="F2154" s="41" t="e">
        <v>#N/A</v>
      </c>
      <c r="G2154" s="7" t="s">
        <v>300</v>
      </c>
      <c r="H2154" s="7">
        <v>15</v>
      </c>
      <c r="I2154" s="10" t="s">
        <v>2297</v>
      </c>
      <c r="K2154" s="10">
        <v>1</v>
      </c>
      <c r="L2154" s="43">
        <v>25</v>
      </c>
      <c r="M2154" s="43">
        <v>25</v>
      </c>
      <c r="N2154" s="12" t="s">
        <v>1586</v>
      </c>
      <c r="P2154" s="10">
        <v>100</v>
      </c>
      <c r="Q2154" s="10">
        <v>60</v>
      </c>
      <c r="S2154" s="11">
        <v>1</v>
      </c>
      <c r="T2154" s="10">
        <v>60</v>
      </c>
      <c r="V2154" s="45"/>
      <c r="X2154" s="29">
        <v>2.7</v>
      </c>
      <c r="Y2154" s="54" t="s">
        <v>67</v>
      </c>
    </row>
    <row r="2155" spans="1:26" ht="23.1" customHeight="1" x14ac:dyDescent="0.25">
      <c r="A2155" s="53" t="s">
        <v>1244</v>
      </c>
      <c r="B2155" s="10" t="s">
        <v>113</v>
      </c>
      <c r="C2155" s="10">
        <v>101</v>
      </c>
      <c r="D2155" s="10" t="s">
        <v>1099</v>
      </c>
      <c r="E2155" s="41" t="s">
        <v>760</v>
      </c>
      <c r="F2155" s="41" t="e">
        <v>#N/A</v>
      </c>
      <c r="G2155" s="7" t="s">
        <v>300</v>
      </c>
      <c r="H2155" s="7">
        <v>20</v>
      </c>
      <c r="I2155" s="10" t="s">
        <v>2395</v>
      </c>
      <c r="K2155" s="10">
        <v>1.3</v>
      </c>
      <c r="L2155" s="43">
        <v>25</v>
      </c>
      <c r="M2155" s="43">
        <v>25</v>
      </c>
      <c r="N2155" s="12" t="s">
        <v>1586</v>
      </c>
      <c r="P2155" s="10">
        <v>300</v>
      </c>
      <c r="Q2155" s="10">
        <v>60</v>
      </c>
      <c r="S2155" s="11">
        <v>1</v>
      </c>
      <c r="T2155" s="10">
        <v>120</v>
      </c>
      <c r="V2155" s="45"/>
      <c r="X2155" s="29">
        <v>7.5</v>
      </c>
      <c r="Y2155" s="54" t="s">
        <v>67</v>
      </c>
    </row>
    <row r="2156" spans="1:26" ht="23.1" customHeight="1" x14ac:dyDescent="0.25">
      <c r="A2156" s="53" t="s">
        <v>1244</v>
      </c>
      <c r="B2156" s="10" t="s">
        <v>113</v>
      </c>
      <c r="C2156" s="10">
        <v>101</v>
      </c>
      <c r="D2156" s="10" t="s">
        <v>1099</v>
      </c>
      <c r="E2156" s="41" t="s">
        <v>760</v>
      </c>
      <c r="F2156" s="41" t="e">
        <v>#N/A</v>
      </c>
      <c r="G2156" s="7" t="s">
        <v>300</v>
      </c>
      <c r="H2156" s="7">
        <v>25</v>
      </c>
      <c r="I2156" s="10" t="s">
        <v>2154</v>
      </c>
      <c r="J2156" s="10">
        <v>0.1</v>
      </c>
      <c r="K2156" s="10">
        <v>0.3</v>
      </c>
      <c r="L2156" s="43">
        <v>25</v>
      </c>
      <c r="M2156" s="43">
        <v>25</v>
      </c>
      <c r="N2156" s="12" t="s">
        <v>355</v>
      </c>
      <c r="P2156" s="10">
        <v>900</v>
      </c>
      <c r="Q2156" s="10">
        <v>60</v>
      </c>
      <c r="S2156" s="11">
        <v>1</v>
      </c>
      <c r="T2156" s="10">
        <v>180</v>
      </c>
      <c r="V2156" s="45">
        <v>1</v>
      </c>
      <c r="X2156" s="29">
        <v>8.5</v>
      </c>
      <c r="Y2156" s="54" t="s">
        <v>67</v>
      </c>
    </row>
    <row r="2157" spans="1:26" ht="23.1" customHeight="1" x14ac:dyDescent="0.25">
      <c r="A2157" s="53" t="s">
        <v>1360</v>
      </c>
      <c r="B2157" s="10" t="s">
        <v>110</v>
      </c>
      <c r="C2157" s="10">
        <v>19</v>
      </c>
      <c r="D2157" s="10" t="s">
        <v>395</v>
      </c>
      <c r="E2157" s="41" t="s">
        <v>396</v>
      </c>
      <c r="F2157" s="41" t="e">
        <v>#N/A</v>
      </c>
      <c r="G2157" s="7" t="s">
        <v>300</v>
      </c>
      <c r="H2157" s="7">
        <v>30</v>
      </c>
      <c r="I2157" s="10" t="s">
        <v>2491</v>
      </c>
      <c r="J2157" s="10">
        <v>1</v>
      </c>
      <c r="K2157" s="10">
        <v>1</v>
      </c>
      <c r="L2157" s="43">
        <v>32</v>
      </c>
      <c r="M2157" s="43">
        <v>32</v>
      </c>
      <c r="N2157" s="12" t="s">
        <v>781</v>
      </c>
      <c r="P2157" s="10">
        <v>630</v>
      </c>
      <c r="Q2157" s="10">
        <v>90</v>
      </c>
      <c r="S2157" s="11">
        <v>1</v>
      </c>
      <c r="T2157" s="10">
        <v>90</v>
      </c>
      <c r="V2157" s="45"/>
      <c r="X2157" s="29">
        <v>12</v>
      </c>
      <c r="Y2157" s="54" t="s">
        <v>17</v>
      </c>
    </row>
    <row r="2158" spans="1:26" ht="23.1" customHeight="1" x14ac:dyDescent="0.25">
      <c r="A2158" s="53" t="s">
        <v>1360</v>
      </c>
      <c r="B2158" s="10" t="s">
        <v>110</v>
      </c>
      <c r="C2158" s="10">
        <v>44</v>
      </c>
      <c r="D2158" s="10" t="s">
        <v>495</v>
      </c>
      <c r="E2158" s="41" t="s">
        <v>267</v>
      </c>
      <c r="F2158" s="41" t="s">
        <v>267</v>
      </c>
      <c r="G2158" s="7" t="s">
        <v>118</v>
      </c>
      <c r="H2158" s="7">
        <v>55</v>
      </c>
      <c r="I2158" s="10" t="s">
        <v>2166</v>
      </c>
      <c r="J2158" s="10">
        <v>0.6</v>
      </c>
      <c r="K2158" s="10">
        <v>0.4</v>
      </c>
      <c r="L2158" s="43">
        <v>32</v>
      </c>
      <c r="M2158" s="43">
        <v>32</v>
      </c>
      <c r="N2158" s="12" t="s">
        <v>429</v>
      </c>
      <c r="P2158" s="10">
        <v>1260</v>
      </c>
      <c r="Q2158" s="10">
        <v>90</v>
      </c>
      <c r="S2158" s="11">
        <v>1</v>
      </c>
      <c r="T2158" s="10">
        <v>60</v>
      </c>
      <c r="V2158" s="45"/>
      <c r="X2158" s="29">
        <v>9.9</v>
      </c>
      <c r="Y2158" s="54" t="s">
        <v>64</v>
      </c>
      <c r="Z2158" t="s">
        <v>1587</v>
      </c>
    </row>
    <row r="2159" spans="1:26" ht="23.1" customHeight="1" x14ac:dyDescent="0.25">
      <c r="A2159" s="53" t="s">
        <v>1360</v>
      </c>
      <c r="B2159" s="10" t="s">
        <v>110</v>
      </c>
      <c r="C2159" s="10">
        <v>97</v>
      </c>
      <c r="D2159" s="10" t="s">
        <v>1064</v>
      </c>
      <c r="E2159" s="41" t="s">
        <v>1065</v>
      </c>
      <c r="F2159" s="41" t="s">
        <v>1065</v>
      </c>
      <c r="G2159" s="7" t="s">
        <v>250</v>
      </c>
      <c r="H2159" s="7">
        <v>60</v>
      </c>
      <c r="I2159" s="10" t="s">
        <v>2156</v>
      </c>
      <c r="J2159" s="10">
        <v>1</v>
      </c>
      <c r="K2159" s="10">
        <v>1</v>
      </c>
      <c r="L2159" s="43">
        <v>32</v>
      </c>
      <c r="M2159" s="43">
        <v>32</v>
      </c>
      <c r="N2159" s="12" t="s">
        <v>429</v>
      </c>
      <c r="P2159" s="10">
        <v>570</v>
      </c>
      <c r="Q2159" s="10">
        <v>60</v>
      </c>
      <c r="S2159" s="11">
        <v>1</v>
      </c>
      <c r="T2159" s="10">
        <v>60</v>
      </c>
      <c r="V2159" s="45"/>
      <c r="X2159" s="29">
        <v>10.5</v>
      </c>
      <c r="Y2159" s="54" t="s">
        <v>39</v>
      </c>
    </row>
    <row r="2160" spans="1:26" ht="23.1" customHeight="1" x14ac:dyDescent="0.25">
      <c r="A2160" s="53" t="s">
        <v>1360</v>
      </c>
      <c r="B2160" s="10" t="s">
        <v>110</v>
      </c>
      <c r="C2160" s="10">
        <v>101</v>
      </c>
      <c r="D2160" s="10" t="s">
        <v>1099</v>
      </c>
      <c r="E2160" s="41" t="s">
        <v>760</v>
      </c>
      <c r="F2160" s="41" t="e">
        <v>#N/A</v>
      </c>
      <c r="G2160" s="7" t="s">
        <v>300</v>
      </c>
      <c r="H2160" s="7">
        <v>25</v>
      </c>
      <c r="I2160" s="10" t="s">
        <v>2154</v>
      </c>
      <c r="J2160" s="10">
        <v>0.7</v>
      </c>
      <c r="K2160" s="10">
        <v>0.7</v>
      </c>
      <c r="L2160" s="43">
        <v>32</v>
      </c>
      <c r="M2160" s="43">
        <v>32</v>
      </c>
      <c r="N2160" s="12" t="s">
        <v>355</v>
      </c>
      <c r="P2160" s="10">
        <v>900</v>
      </c>
      <c r="Q2160" s="10">
        <v>60</v>
      </c>
      <c r="T2160" s="10">
        <v>180</v>
      </c>
      <c r="V2160" s="45"/>
      <c r="X2160" s="29">
        <v>10.5</v>
      </c>
      <c r="Y2160" s="54" t="s">
        <v>47</v>
      </c>
    </row>
    <row r="2161" spans="1:26" ht="23.1" customHeight="1" x14ac:dyDescent="0.25">
      <c r="A2161" s="53" t="s">
        <v>1360</v>
      </c>
      <c r="B2161" s="10" t="s">
        <v>110</v>
      </c>
      <c r="C2161" s="10">
        <v>105</v>
      </c>
      <c r="D2161" s="10" t="s">
        <v>1176</v>
      </c>
      <c r="E2161" s="41" t="s">
        <v>1098</v>
      </c>
      <c r="F2161" s="41" t="s">
        <v>1098</v>
      </c>
      <c r="G2161" s="7" t="s">
        <v>250</v>
      </c>
      <c r="H2161" s="7">
        <v>40</v>
      </c>
      <c r="I2161" s="10" t="s">
        <v>2172</v>
      </c>
      <c r="J2161" s="10">
        <v>1</v>
      </c>
      <c r="K2161" s="10">
        <v>1</v>
      </c>
      <c r="L2161" s="43">
        <v>32</v>
      </c>
      <c r="M2161" s="43">
        <v>32</v>
      </c>
      <c r="N2161" s="12" t="s">
        <v>429</v>
      </c>
      <c r="P2161" s="10">
        <v>450</v>
      </c>
      <c r="Q2161" s="10">
        <v>60</v>
      </c>
      <c r="T2161" s="10">
        <v>120</v>
      </c>
      <c r="V2161" s="45"/>
      <c r="X2161" s="29">
        <v>7.5</v>
      </c>
      <c r="Y2161" s="54" t="s">
        <v>9</v>
      </c>
    </row>
    <row r="2162" spans="1:26" ht="23.1" customHeight="1" x14ac:dyDescent="0.25">
      <c r="A2162" s="53" t="s">
        <v>1360</v>
      </c>
      <c r="B2162" s="10" t="s">
        <v>110</v>
      </c>
      <c r="C2162" s="10">
        <v>105</v>
      </c>
      <c r="D2162" s="10" t="s">
        <v>1176</v>
      </c>
      <c r="E2162" s="41" t="s">
        <v>1098</v>
      </c>
      <c r="F2162" s="41" t="s">
        <v>1098</v>
      </c>
      <c r="G2162" s="7" t="s">
        <v>250</v>
      </c>
      <c r="H2162" s="7">
        <v>45</v>
      </c>
      <c r="I2162" s="10" t="s">
        <v>2189</v>
      </c>
      <c r="J2162" s="10">
        <v>1</v>
      </c>
      <c r="K2162" s="10">
        <v>1</v>
      </c>
      <c r="L2162" s="43">
        <v>32</v>
      </c>
      <c r="M2162" s="43">
        <v>32</v>
      </c>
      <c r="N2162" s="12" t="s">
        <v>429</v>
      </c>
      <c r="P2162" s="10">
        <v>30</v>
      </c>
      <c r="Q2162" s="10">
        <v>60</v>
      </c>
      <c r="S2162" s="11">
        <v>1</v>
      </c>
      <c r="T2162" s="10">
        <v>60</v>
      </c>
      <c r="V2162" s="45"/>
      <c r="X2162" s="29">
        <v>1.5</v>
      </c>
      <c r="Y2162" s="54" t="s">
        <v>9</v>
      </c>
    </row>
    <row r="2163" spans="1:26" ht="23.1" customHeight="1" x14ac:dyDescent="0.25">
      <c r="A2163" s="53" t="s">
        <v>1360</v>
      </c>
      <c r="B2163" s="10" t="s">
        <v>110</v>
      </c>
      <c r="C2163" s="10">
        <v>99</v>
      </c>
      <c r="D2163" s="10" t="s">
        <v>1191</v>
      </c>
      <c r="E2163" s="41" t="s">
        <v>1192</v>
      </c>
      <c r="F2163" s="41" t="s">
        <v>1192</v>
      </c>
      <c r="G2163" s="7" t="s">
        <v>300</v>
      </c>
      <c r="H2163" s="7">
        <v>30</v>
      </c>
      <c r="I2163" s="10" t="s">
        <v>2186</v>
      </c>
      <c r="J2163" s="10">
        <v>0.6</v>
      </c>
      <c r="K2163" s="10">
        <v>0.8</v>
      </c>
      <c r="L2163" s="43">
        <v>32</v>
      </c>
      <c r="M2163" s="43">
        <v>32</v>
      </c>
      <c r="N2163" s="12" t="s">
        <v>519</v>
      </c>
      <c r="P2163" s="10">
        <v>1080</v>
      </c>
      <c r="Q2163" s="10">
        <v>120</v>
      </c>
      <c r="S2163" s="11">
        <v>1</v>
      </c>
      <c r="T2163" s="10">
        <v>120</v>
      </c>
      <c r="V2163" s="45"/>
      <c r="X2163" s="29">
        <v>16.399999999999999</v>
      </c>
      <c r="Y2163" s="54" t="s">
        <v>29</v>
      </c>
    </row>
    <row r="2164" spans="1:26" ht="23.1" customHeight="1" x14ac:dyDescent="0.25">
      <c r="A2164" s="53" t="s">
        <v>1360</v>
      </c>
      <c r="B2164" s="10" t="s">
        <v>110</v>
      </c>
      <c r="C2164" s="10">
        <v>103</v>
      </c>
      <c r="D2164" s="10" t="s">
        <v>1071</v>
      </c>
      <c r="E2164" s="41" t="s">
        <v>1072</v>
      </c>
      <c r="F2164" s="41" t="e">
        <v>#N/A</v>
      </c>
      <c r="G2164" s="7" t="s">
        <v>250</v>
      </c>
      <c r="H2164" s="7">
        <v>40</v>
      </c>
      <c r="I2164" s="10" t="s">
        <v>2296</v>
      </c>
      <c r="J2164" s="10">
        <v>0.8</v>
      </c>
      <c r="K2164" s="10">
        <v>0.7</v>
      </c>
      <c r="L2164" s="43">
        <v>32</v>
      </c>
      <c r="M2164" s="43">
        <v>32</v>
      </c>
      <c r="N2164" s="12" t="s">
        <v>1588</v>
      </c>
      <c r="P2164" s="10">
        <v>1020</v>
      </c>
      <c r="Q2164" s="10">
        <v>90</v>
      </c>
      <c r="S2164" s="11">
        <v>1</v>
      </c>
      <c r="T2164" s="10">
        <v>180</v>
      </c>
      <c r="V2164" s="45"/>
      <c r="X2164" s="29">
        <v>13.4</v>
      </c>
      <c r="Y2164" s="54" t="s">
        <v>61</v>
      </c>
    </row>
    <row r="2165" spans="1:26" ht="23.1" customHeight="1" x14ac:dyDescent="0.25">
      <c r="A2165" s="53" t="s">
        <v>1360</v>
      </c>
      <c r="B2165" s="10" t="s">
        <v>110</v>
      </c>
      <c r="C2165" s="10">
        <v>102</v>
      </c>
      <c r="D2165" s="10" t="s">
        <v>1097</v>
      </c>
      <c r="E2165" s="41" t="s">
        <v>1098</v>
      </c>
      <c r="F2165" s="41" t="s">
        <v>1098</v>
      </c>
      <c r="G2165" s="7" t="s">
        <v>250</v>
      </c>
      <c r="H2165" s="7">
        <v>40</v>
      </c>
      <c r="I2165" s="10" t="s">
        <v>2172</v>
      </c>
      <c r="K2165" s="10">
        <v>0.1</v>
      </c>
      <c r="L2165" s="43">
        <v>32</v>
      </c>
      <c r="M2165" s="43">
        <v>32</v>
      </c>
      <c r="N2165" s="12" t="s">
        <v>292</v>
      </c>
      <c r="P2165" s="10">
        <v>450</v>
      </c>
      <c r="Q2165" s="10">
        <v>60</v>
      </c>
      <c r="T2165" s="10">
        <v>120</v>
      </c>
      <c r="V2165" s="45"/>
      <c r="X2165" s="29">
        <v>0.8</v>
      </c>
      <c r="Y2165" s="54" t="s">
        <v>36</v>
      </c>
    </row>
    <row r="2166" spans="1:26" ht="23.1" customHeight="1" x14ac:dyDescent="0.25">
      <c r="A2166" s="53" t="s">
        <v>1360</v>
      </c>
      <c r="B2166" s="10" t="s">
        <v>110</v>
      </c>
      <c r="C2166" s="10">
        <v>102</v>
      </c>
      <c r="D2166" s="10" t="s">
        <v>1097</v>
      </c>
      <c r="E2166" s="41" t="s">
        <v>1098</v>
      </c>
      <c r="F2166" s="41" t="s">
        <v>1098</v>
      </c>
      <c r="G2166" s="7" t="s">
        <v>250</v>
      </c>
      <c r="H2166" s="7">
        <v>45</v>
      </c>
      <c r="I2166" s="10" t="s">
        <v>2189</v>
      </c>
      <c r="K2166" s="10">
        <v>4</v>
      </c>
      <c r="L2166" s="43">
        <v>32</v>
      </c>
      <c r="M2166" s="43">
        <v>32</v>
      </c>
      <c r="N2166" s="12" t="s">
        <v>292</v>
      </c>
      <c r="P2166" s="10">
        <v>30</v>
      </c>
      <c r="Q2166" s="10">
        <v>60</v>
      </c>
      <c r="S2166" s="11">
        <v>4</v>
      </c>
      <c r="T2166" s="10">
        <v>60</v>
      </c>
      <c r="V2166" s="45">
        <v>1</v>
      </c>
      <c r="X2166" s="29">
        <v>7</v>
      </c>
      <c r="Y2166" s="54" t="s">
        <v>36</v>
      </c>
    </row>
    <row r="2167" spans="1:26" ht="23.1" customHeight="1" x14ac:dyDescent="0.25">
      <c r="A2167" s="53" t="s">
        <v>1360</v>
      </c>
      <c r="B2167" s="10" t="s">
        <v>110</v>
      </c>
      <c r="C2167" s="10">
        <v>102</v>
      </c>
      <c r="D2167" s="10" t="s">
        <v>1097</v>
      </c>
      <c r="E2167" s="41" t="s">
        <v>1098</v>
      </c>
      <c r="F2167" s="41" t="s">
        <v>1098</v>
      </c>
      <c r="G2167" s="7" t="s">
        <v>250</v>
      </c>
      <c r="H2167" s="7">
        <v>50</v>
      </c>
      <c r="I2167" s="10" t="s">
        <v>2185</v>
      </c>
      <c r="J2167" s="10">
        <v>0.2</v>
      </c>
      <c r="K2167" s="10">
        <v>0.3</v>
      </c>
      <c r="L2167" s="43">
        <v>32</v>
      </c>
      <c r="M2167" s="43">
        <v>32</v>
      </c>
      <c r="N2167" s="12" t="s">
        <v>292</v>
      </c>
      <c r="P2167" s="10">
        <v>1080</v>
      </c>
      <c r="Q2167" s="10">
        <v>60</v>
      </c>
      <c r="S2167" s="11">
        <v>1</v>
      </c>
      <c r="T2167" s="10">
        <v>120</v>
      </c>
      <c r="V2167" s="45">
        <v>1</v>
      </c>
      <c r="X2167" s="29">
        <v>8.4</v>
      </c>
      <c r="Y2167" s="54" t="s">
        <v>36</v>
      </c>
    </row>
    <row r="2168" spans="1:26" ht="23.1" customHeight="1" x14ac:dyDescent="0.25">
      <c r="A2168" s="53" t="s">
        <v>870</v>
      </c>
      <c r="B2168" s="10" t="s">
        <v>110</v>
      </c>
      <c r="C2168" s="10">
        <v>104</v>
      </c>
      <c r="D2168" s="10" t="s">
        <v>1589</v>
      </c>
      <c r="E2168" s="41" t="s">
        <v>1570</v>
      </c>
      <c r="F2168" s="41" t="s">
        <v>1570</v>
      </c>
      <c r="G2168" s="7" t="s">
        <v>102</v>
      </c>
      <c r="H2168" s="7">
        <v>15</v>
      </c>
      <c r="I2168" s="10" t="s">
        <v>2112</v>
      </c>
      <c r="J2168" s="10">
        <v>1</v>
      </c>
      <c r="K2168" s="10">
        <v>1</v>
      </c>
      <c r="L2168" s="43">
        <v>32</v>
      </c>
      <c r="M2168" s="43">
        <v>32</v>
      </c>
      <c r="N2168" s="12" t="s">
        <v>596</v>
      </c>
      <c r="P2168" s="10">
        <v>80</v>
      </c>
      <c r="Q2168" s="10">
        <v>60</v>
      </c>
      <c r="S2168" s="11">
        <v>1</v>
      </c>
      <c r="T2168" s="10">
        <v>60</v>
      </c>
      <c r="V2168" s="45">
        <v>1</v>
      </c>
      <c r="X2168" s="29">
        <v>3.3</v>
      </c>
      <c r="Y2168" s="54" t="s">
        <v>36</v>
      </c>
    </row>
    <row r="2169" spans="1:26" ht="23.1" customHeight="1" x14ac:dyDescent="0.25">
      <c r="A2169" s="53" t="s">
        <v>870</v>
      </c>
      <c r="B2169" s="10" t="s">
        <v>110</v>
      </c>
      <c r="C2169" s="10">
        <v>104</v>
      </c>
      <c r="D2169" s="10" t="s">
        <v>1590</v>
      </c>
      <c r="E2169" s="41" t="s">
        <v>1578</v>
      </c>
      <c r="F2169" s="41" t="e">
        <v>#N/A</v>
      </c>
      <c r="G2169" s="7" t="s">
        <v>102</v>
      </c>
      <c r="H2169" s="7">
        <v>15</v>
      </c>
      <c r="I2169" s="10"/>
      <c r="J2169" s="10">
        <v>1</v>
      </c>
      <c r="K2169" s="10">
        <v>1</v>
      </c>
      <c r="L2169" s="43">
        <v>32</v>
      </c>
      <c r="M2169" s="43">
        <v>32</v>
      </c>
      <c r="N2169" s="12" t="s">
        <v>596</v>
      </c>
      <c r="S2169" s="11">
        <v>1</v>
      </c>
      <c r="V2169" s="45">
        <v>1</v>
      </c>
      <c r="W2169" s="14">
        <v>6</v>
      </c>
      <c r="X2169" s="29">
        <v>6</v>
      </c>
      <c r="Y2169" s="54" t="s">
        <v>36</v>
      </c>
      <c r="Z2169" t="s">
        <v>1591</v>
      </c>
    </row>
    <row r="2170" spans="1:26" ht="23.1" customHeight="1" x14ac:dyDescent="0.25">
      <c r="A2170" s="53" t="s">
        <v>1360</v>
      </c>
      <c r="B2170" s="10" t="s">
        <v>110</v>
      </c>
      <c r="C2170" s="10">
        <v>98</v>
      </c>
      <c r="D2170" s="10" t="s">
        <v>481</v>
      </c>
      <c r="E2170" s="41" t="s">
        <v>482</v>
      </c>
      <c r="F2170" s="41" t="s">
        <v>482</v>
      </c>
      <c r="G2170" s="7" t="s">
        <v>118</v>
      </c>
      <c r="H2170" s="7">
        <v>15</v>
      </c>
      <c r="I2170" s="10" t="s">
        <v>2394</v>
      </c>
      <c r="J2170" s="10">
        <v>0.8</v>
      </c>
      <c r="K2170" s="10">
        <v>1.1000000000000001</v>
      </c>
      <c r="L2170" s="43">
        <v>32</v>
      </c>
      <c r="M2170" s="43">
        <v>32</v>
      </c>
      <c r="N2170" s="12" t="s">
        <v>1592</v>
      </c>
      <c r="P2170" s="10">
        <v>720</v>
      </c>
      <c r="Q2170" s="10">
        <v>60</v>
      </c>
      <c r="S2170" s="11">
        <v>1</v>
      </c>
      <c r="T2170" s="10">
        <v>120</v>
      </c>
      <c r="V2170" s="45"/>
      <c r="X2170" s="29">
        <v>14.2</v>
      </c>
      <c r="Y2170" s="54" t="s">
        <v>36</v>
      </c>
    </row>
    <row r="2171" spans="1:26" ht="23.1" customHeight="1" x14ac:dyDescent="0.25">
      <c r="A2171" s="53" t="s">
        <v>1360</v>
      </c>
      <c r="B2171" s="10" t="s">
        <v>110</v>
      </c>
      <c r="C2171" s="10">
        <v>118</v>
      </c>
      <c r="D2171" s="10" t="s">
        <v>1171</v>
      </c>
      <c r="E2171" s="41" t="s">
        <v>1172</v>
      </c>
      <c r="F2171" s="41" t="s">
        <v>1172</v>
      </c>
      <c r="G2171" s="7" t="s">
        <v>300</v>
      </c>
      <c r="H2171" s="7">
        <v>20</v>
      </c>
      <c r="I2171" s="10" t="s">
        <v>2298</v>
      </c>
      <c r="K2171" s="10">
        <v>1</v>
      </c>
      <c r="L2171" s="43">
        <v>32</v>
      </c>
      <c r="M2171" s="43">
        <v>32</v>
      </c>
      <c r="N2171" s="12" t="s">
        <v>1576</v>
      </c>
      <c r="P2171" s="10">
        <v>430</v>
      </c>
      <c r="Q2171" s="10">
        <v>60</v>
      </c>
      <c r="S2171" s="11">
        <v>1</v>
      </c>
      <c r="T2171" s="10">
        <v>60</v>
      </c>
      <c r="V2171" s="45"/>
      <c r="X2171" s="29">
        <v>8.1999999999999993</v>
      </c>
      <c r="Y2171" s="54" t="s">
        <v>36</v>
      </c>
    </row>
    <row r="2172" spans="1:26" ht="23.1" customHeight="1" x14ac:dyDescent="0.25">
      <c r="A2172" s="53" t="s">
        <v>1360</v>
      </c>
      <c r="B2172" s="10" t="s">
        <v>110</v>
      </c>
      <c r="C2172" s="10">
        <v>100</v>
      </c>
      <c r="D2172" s="10" t="s">
        <v>484</v>
      </c>
      <c r="E2172" s="41" t="s">
        <v>485</v>
      </c>
      <c r="F2172" s="41" t="s">
        <v>485</v>
      </c>
      <c r="G2172" s="7" t="s">
        <v>300</v>
      </c>
      <c r="H2172" s="7">
        <v>20</v>
      </c>
      <c r="I2172" s="10" t="s">
        <v>2135</v>
      </c>
      <c r="J2172" s="10">
        <v>1</v>
      </c>
      <c r="K2172" s="10">
        <v>2</v>
      </c>
      <c r="L2172" s="43">
        <v>32</v>
      </c>
      <c r="M2172" s="43">
        <v>32</v>
      </c>
      <c r="N2172" s="12" t="s">
        <v>1121</v>
      </c>
      <c r="P2172" s="10">
        <v>420</v>
      </c>
      <c r="Q2172" s="10">
        <v>60</v>
      </c>
      <c r="S2172" s="11">
        <v>2</v>
      </c>
      <c r="T2172" s="10">
        <v>90</v>
      </c>
      <c r="V2172" s="45">
        <v>1</v>
      </c>
      <c r="X2172" s="29">
        <v>17.5</v>
      </c>
      <c r="Y2172" s="54" t="s">
        <v>36</v>
      </c>
    </row>
    <row r="2173" spans="1:26" ht="23.1" customHeight="1" x14ac:dyDescent="0.25">
      <c r="A2173" s="53" t="s">
        <v>1360</v>
      </c>
      <c r="B2173" s="10" t="s">
        <v>110</v>
      </c>
      <c r="C2173" s="10">
        <v>100</v>
      </c>
      <c r="D2173" s="10" t="s">
        <v>298</v>
      </c>
      <c r="E2173" s="41" t="s">
        <v>299</v>
      </c>
      <c r="F2173" s="41" t="s">
        <v>299</v>
      </c>
      <c r="G2173" s="7" t="s">
        <v>300</v>
      </c>
      <c r="H2173" s="7">
        <v>20</v>
      </c>
      <c r="I2173" s="10" t="s">
        <v>2135</v>
      </c>
      <c r="J2173" s="10">
        <v>0.1</v>
      </c>
      <c r="K2173" s="10">
        <v>0.1</v>
      </c>
      <c r="L2173" s="43">
        <v>32</v>
      </c>
      <c r="M2173" s="43">
        <v>32</v>
      </c>
      <c r="N2173" s="12" t="s">
        <v>722</v>
      </c>
      <c r="P2173" s="10">
        <v>420</v>
      </c>
      <c r="Q2173" s="10">
        <v>60</v>
      </c>
      <c r="T2173" s="10">
        <v>90</v>
      </c>
      <c r="V2173" s="45"/>
      <c r="X2173" s="29">
        <v>0.7</v>
      </c>
      <c r="Y2173" s="54" t="s">
        <v>36</v>
      </c>
    </row>
    <row r="2174" spans="1:26" ht="23.1" customHeight="1" x14ac:dyDescent="0.25">
      <c r="A2174" s="53" t="s">
        <v>1360</v>
      </c>
      <c r="B2174" s="10" t="s">
        <v>110</v>
      </c>
      <c r="C2174" s="10">
        <v>83</v>
      </c>
      <c r="D2174" s="10" t="s">
        <v>1095</v>
      </c>
      <c r="E2174" s="41" t="s">
        <v>1096</v>
      </c>
      <c r="F2174" s="41" t="s">
        <v>1096</v>
      </c>
      <c r="G2174" s="7" t="s">
        <v>658</v>
      </c>
      <c r="H2174" s="7">
        <v>30</v>
      </c>
      <c r="I2174" s="10" t="s">
        <v>2131</v>
      </c>
      <c r="J2174" s="10">
        <v>1.3</v>
      </c>
      <c r="K2174" s="10">
        <v>1.6</v>
      </c>
      <c r="L2174" s="43">
        <v>32</v>
      </c>
      <c r="M2174" s="43">
        <v>32</v>
      </c>
      <c r="N2174" s="12" t="s">
        <v>412</v>
      </c>
      <c r="P2174" s="10">
        <v>570</v>
      </c>
      <c r="Q2174" s="10">
        <v>60</v>
      </c>
      <c r="S2174" s="11">
        <v>2</v>
      </c>
      <c r="T2174" s="10">
        <v>120</v>
      </c>
      <c r="V2174" s="45"/>
      <c r="X2174" s="29">
        <v>17.2</v>
      </c>
      <c r="Y2174" s="54" t="s">
        <v>36</v>
      </c>
    </row>
    <row r="2175" spans="1:26" ht="23.1" customHeight="1" x14ac:dyDescent="0.25">
      <c r="A2175" s="53" t="s">
        <v>1360</v>
      </c>
      <c r="B2175" s="10" t="s">
        <v>110</v>
      </c>
      <c r="C2175" s="10">
        <v>82</v>
      </c>
      <c r="D2175" s="10" t="s">
        <v>1074</v>
      </c>
      <c r="E2175" s="41" t="s">
        <v>1075</v>
      </c>
      <c r="F2175" s="41" t="s">
        <v>1075</v>
      </c>
      <c r="G2175" s="7" t="s">
        <v>154</v>
      </c>
      <c r="H2175" s="7">
        <v>45</v>
      </c>
      <c r="I2175" s="10" t="s">
        <v>2125</v>
      </c>
      <c r="J2175" s="10">
        <v>0.7</v>
      </c>
      <c r="K2175" s="10">
        <v>0.7</v>
      </c>
      <c r="L2175" s="43">
        <v>32</v>
      </c>
      <c r="M2175" s="43">
        <v>32</v>
      </c>
      <c r="N2175" s="12" t="s">
        <v>221</v>
      </c>
      <c r="P2175" s="10">
        <v>600</v>
      </c>
      <c r="S2175" s="11">
        <v>1</v>
      </c>
      <c r="T2175" s="10">
        <v>120</v>
      </c>
      <c r="V2175" s="45">
        <v>1</v>
      </c>
      <c r="X2175" s="29">
        <v>9</v>
      </c>
      <c r="Y2175" s="54" t="s">
        <v>36</v>
      </c>
    </row>
    <row r="2176" spans="1:26" ht="23.1" customHeight="1" x14ac:dyDescent="0.25">
      <c r="A2176" s="53" t="s">
        <v>1360</v>
      </c>
      <c r="B2176" s="10" t="s">
        <v>113</v>
      </c>
      <c r="C2176" s="10">
        <v>99</v>
      </c>
      <c r="D2176" s="10" t="s">
        <v>1191</v>
      </c>
      <c r="E2176" s="41" t="s">
        <v>1192</v>
      </c>
      <c r="F2176" s="41" t="s">
        <v>1192</v>
      </c>
      <c r="G2176" s="7" t="s">
        <v>300</v>
      </c>
      <c r="H2176" s="7">
        <v>30</v>
      </c>
      <c r="I2176" s="10" t="s">
        <v>2186</v>
      </c>
      <c r="J2176" s="10">
        <v>0.6</v>
      </c>
      <c r="K2176" s="10">
        <v>0.8</v>
      </c>
      <c r="L2176" s="43">
        <v>25</v>
      </c>
      <c r="M2176" s="43">
        <v>25</v>
      </c>
      <c r="N2176" s="12" t="s">
        <v>1137</v>
      </c>
      <c r="P2176" s="10">
        <v>1080</v>
      </c>
      <c r="Q2176" s="10">
        <v>120</v>
      </c>
      <c r="S2176" s="11">
        <v>1</v>
      </c>
      <c r="T2176" s="10">
        <v>120</v>
      </c>
      <c r="V2176" s="45"/>
      <c r="X2176" s="29">
        <v>16.399999999999999</v>
      </c>
      <c r="Y2176" s="54" t="s">
        <v>21</v>
      </c>
    </row>
    <row r="2177" spans="1:26" ht="23.1" customHeight="1" x14ac:dyDescent="0.25">
      <c r="A2177" s="53" t="s">
        <v>1360</v>
      </c>
      <c r="B2177" s="10" t="s">
        <v>113</v>
      </c>
      <c r="C2177" s="10">
        <v>97</v>
      </c>
      <c r="D2177" s="10" t="s">
        <v>1064</v>
      </c>
      <c r="E2177" s="41" t="s">
        <v>1065</v>
      </c>
      <c r="F2177" s="41" t="s">
        <v>1065</v>
      </c>
      <c r="G2177" s="7" t="s">
        <v>250</v>
      </c>
      <c r="H2177" s="7">
        <v>60</v>
      </c>
      <c r="I2177" s="10" t="s">
        <v>2156</v>
      </c>
      <c r="J2177" s="10">
        <v>1</v>
      </c>
      <c r="K2177" s="10">
        <v>1</v>
      </c>
      <c r="L2177" s="43">
        <v>25</v>
      </c>
      <c r="M2177" s="43">
        <v>25</v>
      </c>
      <c r="N2177" s="12" t="s">
        <v>429</v>
      </c>
      <c r="P2177" s="10">
        <v>570</v>
      </c>
      <c r="Q2177" s="10">
        <v>60</v>
      </c>
      <c r="S2177" s="11">
        <v>1</v>
      </c>
      <c r="T2177" s="10">
        <v>60</v>
      </c>
      <c r="V2177" s="45"/>
      <c r="X2177" s="29">
        <v>10.5</v>
      </c>
      <c r="Y2177" s="54" t="s">
        <v>1</v>
      </c>
    </row>
    <row r="2178" spans="1:26" ht="23.1" customHeight="1" x14ac:dyDescent="0.25">
      <c r="A2178" s="53" t="s">
        <v>1360</v>
      </c>
      <c r="B2178" s="10" t="s">
        <v>113</v>
      </c>
      <c r="C2178" s="10">
        <v>105</v>
      </c>
      <c r="D2178" s="10" t="s">
        <v>1176</v>
      </c>
      <c r="E2178" s="41" t="s">
        <v>1098</v>
      </c>
      <c r="F2178" s="41" t="s">
        <v>1098</v>
      </c>
      <c r="G2178" s="7" t="s">
        <v>250</v>
      </c>
      <c r="H2178" s="7">
        <v>40</v>
      </c>
      <c r="I2178" s="10" t="s">
        <v>2172</v>
      </c>
      <c r="J2178" s="10">
        <v>1</v>
      </c>
      <c r="K2178" s="10">
        <v>1</v>
      </c>
      <c r="L2178" s="43">
        <v>25</v>
      </c>
      <c r="M2178" s="43">
        <v>25</v>
      </c>
      <c r="N2178" s="12" t="s">
        <v>429</v>
      </c>
      <c r="P2178" s="10">
        <v>450</v>
      </c>
      <c r="Q2178" s="10">
        <v>60</v>
      </c>
      <c r="S2178" s="11">
        <v>1</v>
      </c>
      <c r="T2178" s="10">
        <v>120</v>
      </c>
      <c r="V2178" s="45"/>
      <c r="X2178" s="29">
        <v>8.5</v>
      </c>
      <c r="Y2178" s="54" t="s">
        <v>28</v>
      </c>
    </row>
    <row r="2179" spans="1:26" ht="23.1" customHeight="1" x14ac:dyDescent="0.25">
      <c r="A2179" s="53" t="s">
        <v>1360</v>
      </c>
      <c r="B2179" s="10" t="s">
        <v>113</v>
      </c>
      <c r="C2179" s="10">
        <v>105</v>
      </c>
      <c r="D2179" s="10" t="s">
        <v>1176</v>
      </c>
      <c r="E2179" s="41" t="s">
        <v>1098</v>
      </c>
      <c r="F2179" s="41" t="s">
        <v>1098</v>
      </c>
      <c r="G2179" s="7" t="s">
        <v>250</v>
      </c>
      <c r="H2179" s="7">
        <v>45</v>
      </c>
      <c r="I2179" s="10" t="s">
        <v>2189</v>
      </c>
      <c r="J2179" s="10">
        <v>1</v>
      </c>
      <c r="K2179" s="10">
        <v>1</v>
      </c>
      <c r="L2179" s="43">
        <v>25</v>
      </c>
      <c r="M2179" s="43">
        <v>25</v>
      </c>
      <c r="N2179" s="12" t="s">
        <v>429</v>
      </c>
      <c r="P2179" s="10">
        <v>30</v>
      </c>
      <c r="Q2179" s="10">
        <v>60</v>
      </c>
      <c r="S2179" s="11">
        <v>1</v>
      </c>
      <c r="T2179" s="10">
        <v>60</v>
      </c>
      <c r="V2179" s="45"/>
      <c r="X2179" s="29">
        <v>1.5</v>
      </c>
      <c r="Y2179" s="54" t="s">
        <v>28</v>
      </c>
    </row>
    <row r="2180" spans="1:26" ht="23.1" customHeight="1" x14ac:dyDescent="0.25">
      <c r="A2180" s="53" t="s">
        <v>1360</v>
      </c>
      <c r="B2180" s="10" t="s">
        <v>113</v>
      </c>
      <c r="C2180" s="10">
        <v>82</v>
      </c>
      <c r="D2180" s="10" t="s">
        <v>1074</v>
      </c>
      <c r="E2180" s="41" t="s">
        <v>1075</v>
      </c>
      <c r="F2180" s="41" t="s">
        <v>1075</v>
      </c>
      <c r="G2180" s="7" t="s">
        <v>154</v>
      </c>
      <c r="H2180" s="7">
        <v>45</v>
      </c>
      <c r="I2180" s="10" t="s">
        <v>2125</v>
      </c>
      <c r="J2180" s="10">
        <v>1.3</v>
      </c>
      <c r="K2180" s="10">
        <v>1.1000000000000001</v>
      </c>
      <c r="L2180" s="43">
        <v>25</v>
      </c>
      <c r="M2180" s="43">
        <v>25</v>
      </c>
      <c r="N2180" s="12" t="s">
        <v>219</v>
      </c>
      <c r="P2180" s="10">
        <v>600</v>
      </c>
      <c r="S2180" s="11">
        <v>1</v>
      </c>
      <c r="T2180" s="10">
        <v>120</v>
      </c>
      <c r="V2180" s="45"/>
      <c r="X2180" s="29">
        <v>11</v>
      </c>
      <c r="Y2180" s="54" t="s">
        <v>56</v>
      </c>
    </row>
    <row r="2181" spans="1:26" ht="23.1" customHeight="1" x14ac:dyDescent="0.25">
      <c r="A2181" s="53" t="s">
        <v>1360</v>
      </c>
      <c r="B2181" s="10" t="s">
        <v>113</v>
      </c>
      <c r="C2181" s="10">
        <v>103</v>
      </c>
      <c r="D2181" s="10" t="s">
        <v>1071</v>
      </c>
      <c r="E2181" s="41" t="s">
        <v>1072</v>
      </c>
      <c r="F2181" s="41" t="e">
        <v>#N/A</v>
      </c>
      <c r="G2181" s="7" t="s">
        <v>250</v>
      </c>
      <c r="H2181" s="7">
        <v>40</v>
      </c>
      <c r="I2181" s="10" t="s">
        <v>2296</v>
      </c>
      <c r="J2181" s="10">
        <v>0.5</v>
      </c>
      <c r="K2181" s="10">
        <v>0.5</v>
      </c>
      <c r="L2181" s="43">
        <v>25</v>
      </c>
      <c r="M2181" s="43">
        <v>25</v>
      </c>
      <c r="N2181" s="12" t="s">
        <v>1593</v>
      </c>
      <c r="P2181" s="10">
        <v>1020</v>
      </c>
      <c r="Q2181" s="10">
        <v>90</v>
      </c>
      <c r="T2181" s="10">
        <v>180</v>
      </c>
      <c r="V2181" s="45"/>
      <c r="X2181" s="29">
        <v>8.5</v>
      </c>
      <c r="Y2181" s="54" t="s">
        <v>62</v>
      </c>
    </row>
    <row r="2182" spans="1:26" ht="23.1" customHeight="1" x14ac:dyDescent="0.25">
      <c r="A2182" s="53" t="s">
        <v>1360</v>
      </c>
      <c r="B2182" s="10" t="s">
        <v>113</v>
      </c>
      <c r="C2182" s="10">
        <v>103</v>
      </c>
      <c r="D2182" s="10" t="s">
        <v>937</v>
      </c>
      <c r="E2182" s="41" t="s">
        <v>938</v>
      </c>
      <c r="F2182" s="41" t="s">
        <v>938</v>
      </c>
      <c r="G2182" s="42" t="s">
        <v>939</v>
      </c>
      <c r="H2182" s="7">
        <v>50</v>
      </c>
      <c r="I2182" s="10" t="s">
        <v>2126</v>
      </c>
      <c r="J2182" s="10">
        <v>1</v>
      </c>
      <c r="K2182" s="10">
        <v>1</v>
      </c>
      <c r="L2182" s="43">
        <v>25</v>
      </c>
      <c r="M2182" s="43">
        <v>25</v>
      </c>
      <c r="N2182" s="12" t="s">
        <v>890</v>
      </c>
      <c r="P2182" s="10">
        <v>60</v>
      </c>
      <c r="Q2182" s="10">
        <v>60</v>
      </c>
      <c r="S2182" s="11">
        <v>1</v>
      </c>
      <c r="T2182" s="10">
        <v>60</v>
      </c>
      <c r="V2182" s="45">
        <v>1</v>
      </c>
      <c r="W2182" s="14">
        <v>5</v>
      </c>
      <c r="X2182" s="29">
        <v>8</v>
      </c>
      <c r="Y2182" s="54" t="s">
        <v>62</v>
      </c>
      <c r="Z2182" t="s">
        <v>1594</v>
      </c>
    </row>
    <row r="2183" spans="1:26" ht="23.1" customHeight="1" x14ac:dyDescent="0.25">
      <c r="A2183" s="53" t="s">
        <v>1360</v>
      </c>
      <c r="B2183" s="10" t="s">
        <v>113</v>
      </c>
      <c r="C2183" s="10">
        <v>19</v>
      </c>
      <c r="D2183" s="10" t="s">
        <v>1423</v>
      </c>
      <c r="E2183" s="41" t="s">
        <v>1424</v>
      </c>
      <c r="F2183" s="41" t="s">
        <v>1424</v>
      </c>
      <c r="G2183" s="7" t="s">
        <v>300</v>
      </c>
      <c r="H2183" s="7">
        <v>5</v>
      </c>
      <c r="I2183" s="10" t="s">
        <v>2299</v>
      </c>
      <c r="J2183" s="10">
        <v>2</v>
      </c>
      <c r="K2183" s="10">
        <v>0.2</v>
      </c>
      <c r="L2183" s="43">
        <v>25</v>
      </c>
      <c r="M2183" s="43">
        <v>25</v>
      </c>
      <c r="P2183" s="10">
        <v>40</v>
      </c>
      <c r="T2183" s="10">
        <v>60</v>
      </c>
      <c r="V2183" s="45"/>
      <c r="W2183" s="14">
        <v>2</v>
      </c>
      <c r="X2183" s="29">
        <v>2.1</v>
      </c>
      <c r="Y2183" s="54" t="s">
        <v>11</v>
      </c>
      <c r="Z2183" t="s">
        <v>1548</v>
      </c>
    </row>
    <row r="2184" spans="1:26" ht="23.1" customHeight="1" x14ac:dyDescent="0.25">
      <c r="A2184" s="53" t="s">
        <v>1360</v>
      </c>
      <c r="B2184" s="10" t="s">
        <v>113</v>
      </c>
      <c r="C2184" s="10">
        <v>19</v>
      </c>
      <c r="D2184" s="10" t="s">
        <v>395</v>
      </c>
      <c r="E2184" s="41" t="s">
        <v>396</v>
      </c>
      <c r="F2184" s="41" t="e">
        <v>#N/A</v>
      </c>
      <c r="G2184" s="7" t="s">
        <v>300</v>
      </c>
      <c r="H2184" s="7">
        <v>30</v>
      </c>
      <c r="I2184" s="10" t="s">
        <v>2193</v>
      </c>
      <c r="K2184" s="10">
        <v>0.2</v>
      </c>
      <c r="L2184" s="43">
        <v>25</v>
      </c>
      <c r="M2184" s="43">
        <v>25</v>
      </c>
      <c r="N2184" s="12" t="s">
        <v>781</v>
      </c>
      <c r="P2184" s="10">
        <v>630</v>
      </c>
      <c r="Q2184" s="10">
        <v>90</v>
      </c>
      <c r="T2184" s="10">
        <v>90</v>
      </c>
      <c r="V2184" s="45"/>
      <c r="X2184" s="29">
        <v>2.1</v>
      </c>
      <c r="Y2184" s="54" t="s">
        <v>11</v>
      </c>
    </row>
    <row r="2185" spans="1:26" ht="23.1" customHeight="1" x14ac:dyDescent="0.25">
      <c r="A2185" s="53" t="s">
        <v>1360</v>
      </c>
      <c r="B2185" s="10" t="s">
        <v>113</v>
      </c>
      <c r="C2185" s="10">
        <v>83</v>
      </c>
      <c r="D2185" s="10" t="s">
        <v>1095</v>
      </c>
      <c r="E2185" s="41" t="s">
        <v>1096</v>
      </c>
      <c r="F2185" s="41" t="s">
        <v>1096</v>
      </c>
      <c r="G2185" s="7" t="s">
        <v>658</v>
      </c>
      <c r="H2185" s="7">
        <v>30</v>
      </c>
      <c r="I2185" s="10" t="s">
        <v>2131</v>
      </c>
      <c r="J2185" s="10">
        <v>1.3</v>
      </c>
      <c r="K2185" s="10">
        <v>1.6</v>
      </c>
      <c r="L2185" s="43">
        <v>25</v>
      </c>
      <c r="M2185" s="43">
        <v>25</v>
      </c>
      <c r="N2185" s="12" t="s">
        <v>412</v>
      </c>
      <c r="P2185" s="10">
        <v>570</v>
      </c>
      <c r="Q2185" s="10">
        <v>60</v>
      </c>
      <c r="S2185" s="11">
        <v>1</v>
      </c>
      <c r="T2185" s="10">
        <v>120</v>
      </c>
      <c r="V2185" s="45"/>
      <c r="X2185" s="29">
        <v>16.2</v>
      </c>
      <c r="Y2185" s="54" t="s">
        <v>65</v>
      </c>
    </row>
    <row r="2186" spans="1:26" ht="23.1" customHeight="1" x14ac:dyDescent="0.25">
      <c r="A2186" s="53" t="s">
        <v>1360</v>
      </c>
      <c r="B2186" s="10" t="s">
        <v>113</v>
      </c>
      <c r="C2186" s="10">
        <v>44</v>
      </c>
      <c r="D2186" s="10" t="s">
        <v>495</v>
      </c>
      <c r="E2186" s="41" t="s">
        <v>267</v>
      </c>
      <c r="F2186" s="41" t="s">
        <v>267</v>
      </c>
      <c r="G2186" s="7" t="s">
        <v>118</v>
      </c>
      <c r="H2186" s="7">
        <v>55</v>
      </c>
      <c r="I2186" s="10" t="s">
        <v>2166</v>
      </c>
      <c r="J2186" s="10">
        <v>0.6</v>
      </c>
      <c r="K2186" s="10">
        <v>0.7</v>
      </c>
      <c r="L2186" s="43">
        <v>25</v>
      </c>
      <c r="M2186" s="43">
        <v>25</v>
      </c>
      <c r="N2186" s="12" t="s">
        <v>429</v>
      </c>
      <c r="P2186" s="10">
        <v>1260</v>
      </c>
      <c r="Q2186" s="10">
        <v>90</v>
      </c>
      <c r="T2186" s="10">
        <v>60</v>
      </c>
      <c r="V2186" s="45"/>
      <c r="X2186" s="29">
        <v>14.7</v>
      </c>
      <c r="Y2186" s="54" t="s">
        <v>65</v>
      </c>
    </row>
    <row r="2187" spans="1:26" ht="23.1" customHeight="1" x14ac:dyDescent="0.25">
      <c r="A2187" s="53" t="s">
        <v>1360</v>
      </c>
      <c r="B2187" s="10" t="s">
        <v>113</v>
      </c>
      <c r="C2187" s="10">
        <v>100</v>
      </c>
      <c r="D2187" s="10" t="s">
        <v>298</v>
      </c>
      <c r="E2187" s="41" t="s">
        <v>299</v>
      </c>
      <c r="F2187" s="41" t="s">
        <v>299</v>
      </c>
      <c r="G2187" s="7" t="s">
        <v>300</v>
      </c>
      <c r="H2187" s="7">
        <v>25</v>
      </c>
      <c r="I2187" s="10" t="s">
        <v>2140</v>
      </c>
      <c r="J2187" s="10">
        <v>0.8</v>
      </c>
      <c r="K2187" s="10">
        <v>0.8</v>
      </c>
      <c r="L2187" s="43">
        <v>25</v>
      </c>
      <c r="M2187" s="43">
        <v>25</v>
      </c>
      <c r="N2187" s="12" t="s">
        <v>418</v>
      </c>
      <c r="P2187" s="10">
        <v>660</v>
      </c>
      <c r="Q2187" s="10">
        <v>60</v>
      </c>
      <c r="S2187" s="11">
        <v>1</v>
      </c>
      <c r="T2187" s="10">
        <v>180</v>
      </c>
      <c r="V2187" s="45">
        <v>1</v>
      </c>
      <c r="X2187" s="29">
        <v>12.8</v>
      </c>
      <c r="Y2187" s="54" t="s">
        <v>65</v>
      </c>
    </row>
    <row r="2188" spans="1:26" ht="23.1" customHeight="1" x14ac:dyDescent="0.25">
      <c r="A2188" s="53" t="s">
        <v>1360</v>
      </c>
      <c r="B2188" s="10" t="s">
        <v>113</v>
      </c>
      <c r="C2188" s="10">
        <v>100</v>
      </c>
      <c r="D2188" s="10" t="s">
        <v>484</v>
      </c>
      <c r="E2188" s="41" t="s">
        <v>485</v>
      </c>
      <c r="F2188" s="41" t="s">
        <v>485</v>
      </c>
      <c r="G2188" s="7" t="s">
        <v>300</v>
      </c>
      <c r="H2188" s="7">
        <v>20</v>
      </c>
      <c r="I2188" s="10" t="s">
        <v>2135</v>
      </c>
      <c r="K2188" s="10">
        <v>1</v>
      </c>
      <c r="L2188" s="43">
        <v>25</v>
      </c>
      <c r="M2188" s="43">
        <v>25</v>
      </c>
      <c r="N2188" s="12" t="s">
        <v>418</v>
      </c>
      <c r="P2188" s="10">
        <v>420</v>
      </c>
      <c r="Q2188" s="10">
        <v>60</v>
      </c>
      <c r="S2188" s="11">
        <v>1</v>
      </c>
      <c r="T2188" s="10">
        <v>90</v>
      </c>
      <c r="V2188" s="45"/>
      <c r="X2188" s="29">
        <v>8</v>
      </c>
      <c r="Y2188" s="54" t="s">
        <v>65</v>
      </c>
    </row>
    <row r="2189" spans="1:26" ht="23.1" customHeight="1" x14ac:dyDescent="0.25">
      <c r="A2189" s="53" t="s">
        <v>1360</v>
      </c>
      <c r="B2189" s="10" t="s">
        <v>113</v>
      </c>
      <c r="C2189" s="10">
        <v>102</v>
      </c>
      <c r="D2189" s="10" t="s">
        <v>1097</v>
      </c>
      <c r="E2189" s="41" t="s">
        <v>1098</v>
      </c>
      <c r="F2189" s="41" t="s">
        <v>1098</v>
      </c>
      <c r="G2189" s="7" t="s">
        <v>250</v>
      </c>
      <c r="H2189" s="7">
        <v>50</v>
      </c>
      <c r="I2189" s="10" t="s">
        <v>2185</v>
      </c>
      <c r="J2189" s="10">
        <v>0.6</v>
      </c>
      <c r="K2189" s="10">
        <v>0.6</v>
      </c>
      <c r="L2189" s="43">
        <v>25</v>
      </c>
      <c r="M2189" s="43">
        <v>25</v>
      </c>
      <c r="N2189" s="12" t="s">
        <v>292</v>
      </c>
      <c r="P2189" s="10">
        <v>1080</v>
      </c>
      <c r="Q2189" s="10">
        <v>60</v>
      </c>
      <c r="T2189" s="10">
        <v>120</v>
      </c>
      <c r="V2189" s="45"/>
      <c r="X2189" s="29">
        <v>10.8</v>
      </c>
      <c r="Y2189" s="54" t="s">
        <v>65</v>
      </c>
    </row>
    <row r="2190" spans="1:26" ht="23.1" customHeight="1" x14ac:dyDescent="0.25">
      <c r="A2190" s="53" t="s">
        <v>1360</v>
      </c>
      <c r="B2190" s="10" t="s">
        <v>113</v>
      </c>
      <c r="C2190" s="10">
        <v>98</v>
      </c>
      <c r="D2190" s="10" t="s">
        <v>481</v>
      </c>
      <c r="E2190" s="41" t="s">
        <v>482</v>
      </c>
      <c r="F2190" s="41" t="s">
        <v>482</v>
      </c>
      <c r="G2190" s="7" t="s">
        <v>118</v>
      </c>
      <c r="H2190" s="7">
        <v>15</v>
      </c>
      <c r="I2190" s="10" t="s">
        <v>2394</v>
      </c>
      <c r="J2190" s="10">
        <v>0.8</v>
      </c>
      <c r="K2190" s="10">
        <v>1.1000000000000001</v>
      </c>
      <c r="L2190" s="43">
        <v>25</v>
      </c>
      <c r="M2190" s="43">
        <v>25</v>
      </c>
      <c r="N2190" s="12" t="s">
        <v>1339</v>
      </c>
      <c r="P2190" s="10">
        <v>720</v>
      </c>
      <c r="Q2190" s="10">
        <v>60</v>
      </c>
      <c r="S2190" s="11">
        <v>1</v>
      </c>
      <c r="T2190" s="10">
        <v>120</v>
      </c>
      <c r="V2190" s="45"/>
      <c r="X2190" s="29">
        <v>14.2</v>
      </c>
      <c r="Y2190" s="54" t="s">
        <v>65</v>
      </c>
    </row>
    <row r="2191" spans="1:26" ht="23.1" customHeight="1" x14ac:dyDescent="0.25">
      <c r="A2191" s="53" t="s">
        <v>1360</v>
      </c>
      <c r="B2191" s="10" t="s">
        <v>113</v>
      </c>
      <c r="C2191" s="10">
        <v>101</v>
      </c>
      <c r="D2191" s="10" t="s">
        <v>1099</v>
      </c>
      <c r="E2191" s="41" t="s">
        <v>760</v>
      </c>
      <c r="F2191" s="41" t="e">
        <v>#N/A</v>
      </c>
      <c r="G2191" s="7" t="s">
        <v>300</v>
      </c>
      <c r="H2191" s="7">
        <v>25</v>
      </c>
      <c r="I2191" s="10" t="s">
        <v>2154</v>
      </c>
      <c r="J2191" s="10">
        <v>0.7</v>
      </c>
      <c r="K2191" s="10">
        <v>0.9</v>
      </c>
      <c r="L2191" s="43">
        <v>25</v>
      </c>
      <c r="M2191" s="43">
        <v>25</v>
      </c>
      <c r="N2191" s="12" t="s">
        <v>672</v>
      </c>
      <c r="P2191" s="10">
        <v>900</v>
      </c>
      <c r="Q2191" s="10">
        <v>60</v>
      </c>
      <c r="S2191" s="11">
        <v>1</v>
      </c>
      <c r="T2191" s="10">
        <v>180</v>
      </c>
      <c r="V2191" s="45"/>
      <c r="X2191" s="29">
        <v>14.5</v>
      </c>
      <c r="Y2191" s="54" t="s">
        <v>65</v>
      </c>
    </row>
    <row r="2192" spans="1:26" ht="23.1" customHeight="1" x14ac:dyDescent="0.25">
      <c r="A2192" s="53" t="s">
        <v>1360</v>
      </c>
      <c r="B2192" s="10" t="s">
        <v>113</v>
      </c>
      <c r="C2192" s="10">
        <v>118</v>
      </c>
      <c r="D2192" s="10" t="s">
        <v>1171</v>
      </c>
      <c r="E2192" s="41" t="s">
        <v>1172</v>
      </c>
      <c r="F2192" s="41" t="s">
        <v>1172</v>
      </c>
      <c r="G2192" s="7" t="s">
        <v>300</v>
      </c>
      <c r="H2192" s="7">
        <v>20</v>
      </c>
      <c r="I2192" s="10" t="s">
        <v>2298</v>
      </c>
      <c r="K2192" s="10">
        <v>1</v>
      </c>
      <c r="L2192" s="43">
        <v>25</v>
      </c>
      <c r="M2192" s="43">
        <v>25</v>
      </c>
      <c r="N2192" s="12" t="s">
        <v>952</v>
      </c>
      <c r="P2192" s="10">
        <v>430</v>
      </c>
      <c r="Q2192" s="10">
        <v>60</v>
      </c>
      <c r="S2192" s="11">
        <v>1</v>
      </c>
      <c r="T2192" s="10">
        <v>60</v>
      </c>
      <c r="V2192" s="45"/>
      <c r="X2192" s="29">
        <v>8.1999999999999993</v>
      </c>
      <c r="Y2192" s="54" t="s">
        <v>65</v>
      </c>
    </row>
    <row r="2193" spans="1:26" ht="23.1" customHeight="1" x14ac:dyDescent="0.25">
      <c r="A2193" s="53" t="s">
        <v>1360</v>
      </c>
      <c r="B2193" s="10" t="s">
        <v>113</v>
      </c>
      <c r="C2193" s="10">
        <v>104</v>
      </c>
      <c r="D2193" s="10" t="s">
        <v>1595</v>
      </c>
      <c r="E2193" s="41" t="s">
        <v>1570</v>
      </c>
      <c r="F2193" s="41" t="s">
        <v>1570</v>
      </c>
      <c r="G2193" s="7" t="s">
        <v>102</v>
      </c>
      <c r="H2193" s="7">
        <v>15</v>
      </c>
      <c r="I2193" s="10" t="s">
        <v>2112</v>
      </c>
      <c r="J2193" s="10">
        <v>1</v>
      </c>
      <c r="K2193" s="10">
        <v>1</v>
      </c>
      <c r="L2193" s="43">
        <v>25</v>
      </c>
      <c r="M2193" s="43">
        <v>25</v>
      </c>
      <c r="N2193" s="12" t="s">
        <v>596</v>
      </c>
      <c r="P2193" s="10">
        <v>80</v>
      </c>
      <c r="Q2193" s="10">
        <v>60</v>
      </c>
      <c r="S2193" s="11">
        <v>1</v>
      </c>
      <c r="T2193" s="10">
        <v>60</v>
      </c>
      <c r="V2193" s="45">
        <v>1</v>
      </c>
      <c r="X2193" s="29">
        <v>3.3</v>
      </c>
      <c r="Y2193" s="54" t="s">
        <v>65</v>
      </c>
    </row>
    <row r="2194" spans="1:26" ht="23.1" customHeight="1" x14ac:dyDescent="0.25">
      <c r="A2194" s="53" t="s">
        <v>1360</v>
      </c>
      <c r="B2194" s="10" t="s">
        <v>113</v>
      </c>
      <c r="C2194" s="10">
        <v>104</v>
      </c>
      <c r="D2194" s="10" t="s">
        <v>1596</v>
      </c>
      <c r="E2194" s="41" t="s">
        <v>1283</v>
      </c>
      <c r="F2194" s="41" t="e">
        <v>#N/A</v>
      </c>
      <c r="G2194" s="7" t="s">
        <v>102</v>
      </c>
      <c r="H2194" s="7">
        <v>5</v>
      </c>
      <c r="I2194" s="10"/>
      <c r="K2194" s="10">
        <v>1</v>
      </c>
      <c r="L2194" s="43">
        <v>25</v>
      </c>
      <c r="M2194" s="43">
        <v>25</v>
      </c>
      <c r="N2194" s="12" t="s">
        <v>596</v>
      </c>
      <c r="S2194" s="11">
        <v>1</v>
      </c>
      <c r="V2194" s="45">
        <v>1</v>
      </c>
      <c r="W2194" s="14">
        <v>4</v>
      </c>
      <c r="X2194" s="29">
        <v>4</v>
      </c>
      <c r="Y2194" s="54" t="s">
        <v>65</v>
      </c>
    </row>
    <row r="2195" spans="1:26" ht="23.1" customHeight="1" x14ac:dyDescent="0.25">
      <c r="A2195" s="53" t="s">
        <v>1360</v>
      </c>
      <c r="B2195" s="10" t="s">
        <v>113</v>
      </c>
      <c r="C2195" s="10">
        <v>104</v>
      </c>
      <c r="D2195" s="10" t="s">
        <v>1596</v>
      </c>
      <c r="E2195" s="41" t="s">
        <v>1283</v>
      </c>
      <c r="F2195" s="41" t="e">
        <v>#N/A</v>
      </c>
      <c r="G2195" s="7" t="s">
        <v>102</v>
      </c>
      <c r="H2195" s="7">
        <v>10</v>
      </c>
      <c r="I2195" s="10"/>
      <c r="K2195" s="10">
        <v>1</v>
      </c>
      <c r="L2195" s="43">
        <v>25</v>
      </c>
      <c r="M2195" s="43">
        <v>25</v>
      </c>
      <c r="N2195" s="12" t="s">
        <v>596</v>
      </c>
      <c r="S2195" s="11">
        <v>1</v>
      </c>
      <c r="V2195" s="45">
        <v>1</v>
      </c>
      <c r="W2195" s="14">
        <v>4</v>
      </c>
      <c r="X2195" s="29">
        <v>4</v>
      </c>
      <c r="Y2195" s="54" t="s">
        <v>65</v>
      </c>
    </row>
    <row r="2196" spans="1:26" ht="23.1" customHeight="1" x14ac:dyDescent="0.25">
      <c r="A2196" s="53" t="s">
        <v>1360</v>
      </c>
      <c r="B2196" s="10" t="s">
        <v>113</v>
      </c>
      <c r="C2196" s="10">
        <v>104</v>
      </c>
      <c r="D2196" s="10" t="s">
        <v>1596</v>
      </c>
      <c r="E2196" s="41" t="s">
        <v>1283</v>
      </c>
      <c r="F2196" s="41" t="e">
        <v>#N/A</v>
      </c>
      <c r="G2196" s="7" t="s">
        <v>102</v>
      </c>
      <c r="H2196" s="7">
        <v>15</v>
      </c>
      <c r="I2196" s="10"/>
      <c r="K2196" s="10">
        <v>1</v>
      </c>
      <c r="L2196" s="43">
        <v>25</v>
      </c>
      <c r="M2196" s="43">
        <v>25</v>
      </c>
      <c r="N2196" s="12" t="s">
        <v>596</v>
      </c>
      <c r="S2196" s="11">
        <v>1</v>
      </c>
      <c r="V2196" s="45">
        <v>1</v>
      </c>
      <c r="W2196" s="14">
        <v>4</v>
      </c>
      <c r="X2196" s="29">
        <v>4</v>
      </c>
      <c r="Y2196" s="54" t="s">
        <v>65</v>
      </c>
    </row>
    <row r="2197" spans="1:26" ht="23.1" customHeight="1" x14ac:dyDescent="0.25">
      <c r="A2197" s="53" t="s">
        <v>1432</v>
      </c>
      <c r="B2197" s="10" t="s">
        <v>110</v>
      </c>
      <c r="C2197" s="10">
        <v>19</v>
      </c>
      <c r="D2197" s="10" t="s">
        <v>1423</v>
      </c>
      <c r="E2197" s="41" t="s">
        <v>1424</v>
      </c>
      <c r="F2197" s="41" t="s">
        <v>1424</v>
      </c>
      <c r="G2197" s="7" t="s">
        <v>300</v>
      </c>
      <c r="H2197" s="7">
        <v>5</v>
      </c>
      <c r="I2197" s="10" t="s">
        <v>2299</v>
      </c>
      <c r="J2197" s="10">
        <v>3</v>
      </c>
      <c r="K2197" s="10">
        <v>1.5</v>
      </c>
      <c r="L2197" s="43">
        <v>32</v>
      </c>
      <c r="M2197" s="43">
        <v>32</v>
      </c>
      <c r="N2197" s="12" t="s">
        <v>1597</v>
      </c>
      <c r="P2197" s="10">
        <v>40</v>
      </c>
      <c r="S2197" s="11">
        <v>2</v>
      </c>
      <c r="T2197" s="10">
        <v>60</v>
      </c>
      <c r="V2197" s="45"/>
      <c r="X2197" s="29">
        <v>1</v>
      </c>
      <c r="Y2197" s="54" t="s">
        <v>17</v>
      </c>
    </row>
    <row r="2198" spans="1:26" ht="23.1" customHeight="1" x14ac:dyDescent="0.25">
      <c r="A2198" s="53" t="s">
        <v>1432</v>
      </c>
      <c r="B2198" s="10" t="s">
        <v>110</v>
      </c>
      <c r="C2198" s="10">
        <v>44</v>
      </c>
      <c r="D2198" s="10" t="s">
        <v>495</v>
      </c>
      <c r="E2198" s="41" t="s">
        <v>267</v>
      </c>
      <c r="F2198" s="41" t="s">
        <v>267</v>
      </c>
      <c r="G2198" s="7" t="s">
        <v>118</v>
      </c>
      <c r="H2198" s="7">
        <v>55</v>
      </c>
      <c r="I2198" s="10" t="s">
        <v>2166</v>
      </c>
      <c r="J2198" s="10">
        <v>0.6</v>
      </c>
      <c r="K2198" s="10">
        <v>0.6</v>
      </c>
      <c r="L2198" s="43">
        <v>32</v>
      </c>
      <c r="M2198" s="43">
        <v>32</v>
      </c>
      <c r="N2198" s="12" t="s">
        <v>429</v>
      </c>
      <c r="P2198" s="10">
        <v>1260</v>
      </c>
      <c r="Q2198" s="10">
        <v>90</v>
      </c>
      <c r="S2198" s="11">
        <v>1</v>
      </c>
      <c r="T2198" s="10">
        <v>60</v>
      </c>
      <c r="V2198" s="45"/>
      <c r="X2198" s="29">
        <v>14.1</v>
      </c>
      <c r="Y2198" s="54" t="s">
        <v>64</v>
      </c>
      <c r="Z2198" t="s">
        <v>1587</v>
      </c>
    </row>
    <row r="2199" spans="1:26" ht="23.1" customHeight="1" x14ac:dyDescent="0.25">
      <c r="A2199" s="53" t="s">
        <v>1432</v>
      </c>
      <c r="B2199" s="10" t="s">
        <v>110</v>
      </c>
      <c r="C2199" s="10">
        <v>97</v>
      </c>
      <c r="D2199" s="10" t="s">
        <v>1064</v>
      </c>
      <c r="E2199" s="41" t="s">
        <v>1065</v>
      </c>
      <c r="F2199" s="41" t="s">
        <v>1065</v>
      </c>
      <c r="G2199" s="7" t="s">
        <v>250</v>
      </c>
      <c r="H2199" s="7">
        <v>60</v>
      </c>
      <c r="I2199" s="10" t="s">
        <v>2156</v>
      </c>
      <c r="J2199" s="10">
        <v>1</v>
      </c>
      <c r="K2199" s="10">
        <v>1</v>
      </c>
      <c r="L2199" s="43">
        <v>32</v>
      </c>
      <c r="M2199" s="43">
        <v>32</v>
      </c>
      <c r="N2199" s="12" t="s">
        <v>429</v>
      </c>
      <c r="P2199" s="10">
        <v>570</v>
      </c>
      <c r="Q2199" s="10">
        <v>60</v>
      </c>
      <c r="S2199" s="11">
        <v>1</v>
      </c>
      <c r="T2199" s="10">
        <v>60</v>
      </c>
      <c r="V2199" s="45"/>
      <c r="X2199" s="29">
        <v>10.5</v>
      </c>
      <c r="Y2199" s="54" t="s">
        <v>39</v>
      </c>
    </row>
    <row r="2200" spans="1:26" ht="23.1" customHeight="1" x14ac:dyDescent="0.25">
      <c r="A2200" s="53" t="s">
        <v>1432</v>
      </c>
      <c r="B2200" s="10" t="s">
        <v>110</v>
      </c>
      <c r="C2200" s="10">
        <v>101</v>
      </c>
      <c r="D2200" s="10" t="s">
        <v>1099</v>
      </c>
      <c r="E2200" s="41" t="s">
        <v>760</v>
      </c>
      <c r="F2200" s="41" t="e">
        <v>#N/A</v>
      </c>
      <c r="G2200" s="7" t="s">
        <v>300</v>
      </c>
      <c r="H2200" s="7">
        <v>25</v>
      </c>
      <c r="I2200" s="10" t="s">
        <v>2154</v>
      </c>
      <c r="J2200" s="10">
        <v>0.7</v>
      </c>
      <c r="K2200" s="10">
        <v>0.8</v>
      </c>
      <c r="L2200" s="43">
        <v>32</v>
      </c>
      <c r="M2200" s="43">
        <v>32</v>
      </c>
      <c r="N2200" s="12" t="s">
        <v>1339</v>
      </c>
      <c r="P2200" s="10">
        <v>900</v>
      </c>
      <c r="Q2200" s="10">
        <v>60</v>
      </c>
      <c r="S2200" s="11">
        <v>1</v>
      </c>
      <c r="T2200" s="10">
        <v>180</v>
      </c>
      <c r="V2200" s="45"/>
      <c r="X2200" s="29">
        <v>13</v>
      </c>
      <c r="Y2200" s="54" t="s">
        <v>47</v>
      </c>
    </row>
    <row r="2201" spans="1:26" ht="23.1" customHeight="1" x14ac:dyDescent="0.25">
      <c r="A2201" s="53" t="s">
        <v>1432</v>
      </c>
      <c r="B2201" s="10" t="s">
        <v>110</v>
      </c>
      <c r="C2201" s="10">
        <v>105</v>
      </c>
      <c r="D2201" s="10" t="s">
        <v>1176</v>
      </c>
      <c r="E2201" s="41" t="s">
        <v>1098</v>
      </c>
      <c r="F2201" s="41" t="s">
        <v>1098</v>
      </c>
      <c r="G2201" s="7" t="s">
        <v>250</v>
      </c>
      <c r="H2201" s="7">
        <v>40</v>
      </c>
      <c r="I2201" s="10" t="s">
        <v>2172</v>
      </c>
      <c r="J2201" s="10">
        <v>1</v>
      </c>
      <c r="K2201" s="10">
        <v>1</v>
      </c>
      <c r="L2201" s="43">
        <v>32</v>
      </c>
      <c r="M2201" s="43">
        <v>32</v>
      </c>
      <c r="N2201" s="12" t="s">
        <v>216</v>
      </c>
      <c r="P2201" s="10">
        <v>450</v>
      </c>
      <c r="Q2201" s="10">
        <v>60</v>
      </c>
      <c r="S2201" s="11">
        <v>1</v>
      </c>
      <c r="T2201" s="10">
        <v>120</v>
      </c>
      <c r="V2201" s="45"/>
      <c r="X2201" s="29">
        <v>8.5</v>
      </c>
      <c r="Y2201" s="54" t="s">
        <v>9</v>
      </c>
    </row>
    <row r="2202" spans="1:26" ht="23.1" customHeight="1" x14ac:dyDescent="0.25">
      <c r="A2202" s="53" t="s">
        <v>1432</v>
      </c>
      <c r="B2202" s="10" t="s">
        <v>110</v>
      </c>
      <c r="C2202" s="10">
        <v>105</v>
      </c>
      <c r="D2202" s="10" t="s">
        <v>1176</v>
      </c>
      <c r="E2202" s="41" t="s">
        <v>1098</v>
      </c>
      <c r="F2202" s="41" t="s">
        <v>1098</v>
      </c>
      <c r="G2202" s="7" t="s">
        <v>250</v>
      </c>
      <c r="H2202" s="7">
        <v>45</v>
      </c>
      <c r="I2202" s="10" t="s">
        <v>2189</v>
      </c>
      <c r="J2202" s="10">
        <v>1</v>
      </c>
      <c r="K2202" s="10">
        <v>2</v>
      </c>
      <c r="L2202" s="43">
        <v>32</v>
      </c>
      <c r="M2202" s="43">
        <v>32</v>
      </c>
      <c r="N2202" s="12" t="s">
        <v>1567</v>
      </c>
      <c r="P2202" s="10">
        <v>30</v>
      </c>
      <c r="Q2202" s="10">
        <v>60</v>
      </c>
      <c r="S2202" s="11">
        <v>1</v>
      </c>
      <c r="T2202" s="10">
        <v>60</v>
      </c>
      <c r="V2202" s="45"/>
      <c r="X2202" s="29">
        <v>2</v>
      </c>
      <c r="Y2202" s="54" t="s">
        <v>9</v>
      </c>
    </row>
    <row r="2203" spans="1:26" ht="23.1" customHeight="1" x14ac:dyDescent="0.25">
      <c r="A2203" s="53" t="s">
        <v>1432</v>
      </c>
      <c r="B2203" s="10" t="s">
        <v>110</v>
      </c>
      <c r="C2203" s="10">
        <v>99</v>
      </c>
      <c r="D2203" s="10" t="s">
        <v>1191</v>
      </c>
      <c r="E2203" s="41" t="s">
        <v>1192</v>
      </c>
      <c r="F2203" s="41" t="s">
        <v>1192</v>
      </c>
      <c r="G2203" s="7" t="s">
        <v>300</v>
      </c>
      <c r="H2203" s="7">
        <v>30</v>
      </c>
      <c r="I2203" s="10" t="s">
        <v>2186</v>
      </c>
      <c r="J2203" s="10">
        <v>0.5</v>
      </c>
      <c r="K2203" s="10">
        <v>0.6</v>
      </c>
      <c r="L2203" s="43">
        <v>32</v>
      </c>
      <c r="M2203" s="43">
        <v>32</v>
      </c>
      <c r="N2203" s="12" t="s">
        <v>1104</v>
      </c>
      <c r="P2203" s="10">
        <v>1080</v>
      </c>
      <c r="Q2203" s="10">
        <v>120</v>
      </c>
      <c r="S2203" s="11">
        <v>2</v>
      </c>
      <c r="T2203" s="10">
        <v>120</v>
      </c>
      <c r="V2203" s="45"/>
      <c r="X2203" s="29">
        <v>14.8</v>
      </c>
      <c r="Y2203" s="54" t="s">
        <v>29</v>
      </c>
    </row>
    <row r="2204" spans="1:26" ht="23.1" customHeight="1" x14ac:dyDescent="0.25">
      <c r="A2204" s="53" t="s">
        <v>1432</v>
      </c>
      <c r="B2204" s="10" t="s">
        <v>110</v>
      </c>
      <c r="C2204" s="10">
        <v>103</v>
      </c>
      <c r="D2204" s="10" t="s">
        <v>937</v>
      </c>
      <c r="E2204" s="41" t="s">
        <v>938</v>
      </c>
      <c r="F2204" s="41" t="s">
        <v>938</v>
      </c>
      <c r="G2204" s="7" t="s">
        <v>939</v>
      </c>
      <c r="H2204" s="7">
        <v>50</v>
      </c>
      <c r="I2204" s="10" t="s">
        <v>2126</v>
      </c>
      <c r="J2204" s="10">
        <v>1</v>
      </c>
      <c r="K2204" s="10">
        <v>1</v>
      </c>
      <c r="L2204" s="43">
        <v>32</v>
      </c>
      <c r="M2204" s="43">
        <v>32</v>
      </c>
      <c r="N2204" s="12" t="s">
        <v>128</v>
      </c>
      <c r="P2204" s="10">
        <v>60</v>
      </c>
      <c r="Q2204" s="10">
        <v>60</v>
      </c>
      <c r="S2204" s="11">
        <v>1</v>
      </c>
      <c r="T2204" s="10">
        <v>60</v>
      </c>
      <c r="V2204" s="45"/>
      <c r="W2204" s="14">
        <v>1</v>
      </c>
      <c r="X2204" s="29">
        <v>3</v>
      </c>
      <c r="Y2204" s="54" t="s">
        <v>61</v>
      </c>
      <c r="Z2204" t="s">
        <v>1598</v>
      </c>
    </row>
    <row r="2205" spans="1:26" ht="23.1" customHeight="1" x14ac:dyDescent="0.25">
      <c r="A2205" s="53" t="s">
        <v>1432</v>
      </c>
      <c r="B2205" s="10" t="s">
        <v>110</v>
      </c>
      <c r="C2205" s="10">
        <v>103</v>
      </c>
      <c r="D2205" s="10" t="s">
        <v>937</v>
      </c>
      <c r="E2205" s="41" t="s">
        <v>938</v>
      </c>
      <c r="F2205" s="41" t="s">
        <v>938</v>
      </c>
      <c r="G2205" s="7" t="s">
        <v>939</v>
      </c>
      <c r="H2205" s="7">
        <v>55</v>
      </c>
      <c r="I2205" s="10" t="s">
        <v>2004</v>
      </c>
      <c r="J2205" s="10">
        <v>0.5</v>
      </c>
      <c r="K2205" s="10">
        <v>1</v>
      </c>
      <c r="L2205" s="43">
        <v>32</v>
      </c>
      <c r="M2205" s="43">
        <v>32</v>
      </c>
      <c r="N2205" s="12" t="s">
        <v>890</v>
      </c>
      <c r="P2205" s="10">
        <v>600</v>
      </c>
      <c r="Q2205" s="10">
        <v>60</v>
      </c>
      <c r="S2205" s="11">
        <v>1</v>
      </c>
      <c r="T2205" s="10">
        <v>90</v>
      </c>
      <c r="V2205" s="45">
        <v>1</v>
      </c>
      <c r="W2205" s="10">
        <v>2</v>
      </c>
      <c r="X2205" s="29">
        <v>14.5</v>
      </c>
      <c r="Y2205" s="54" t="s">
        <v>61</v>
      </c>
      <c r="Z2205" t="s">
        <v>1473</v>
      </c>
    </row>
    <row r="2206" spans="1:26" ht="23.1" customHeight="1" x14ac:dyDescent="0.25">
      <c r="A2206" s="53" t="s">
        <v>1432</v>
      </c>
      <c r="B2206" s="10" t="s">
        <v>110</v>
      </c>
      <c r="C2206" s="10">
        <v>102</v>
      </c>
      <c r="D2206" s="10" t="s">
        <v>1097</v>
      </c>
      <c r="E2206" s="41" t="s">
        <v>1098</v>
      </c>
      <c r="F2206" s="41" t="s">
        <v>1098</v>
      </c>
      <c r="G2206" s="7" t="s">
        <v>250</v>
      </c>
      <c r="H2206" s="7">
        <v>50</v>
      </c>
      <c r="I2206" s="10" t="s">
        <v>2185</v>
      </c>
      <c r="J2206" s="10">
        <v>0.6</v>
      </c>
      <c r="K2206" s="10">
        <v>0.6</v>
      </c>
      <c r="L2206" s="43">
        <v>32</v>
      </c>
      <c r="M2206" s="43">
        <v>32</v>
      </c>
      <c r="N2206" s="12" t="s">
        <v>292</v>
      </c>
      <c r="P2206" s="10">
        <v>1080</v>
      </c>
      <c r="Q2206" s="10">
        <v>60</v>
      </c>
      <c r="S2206" s="11">
        <v>1</v>
      </c>
      <c r="T2206" s="10">
        <v>120</v>
      </c>
      <c r="V2206" s="45"/>
      <c r="X2206" s="29">
        <v>11.8</v>
      </c>
      <c r="Y2206" s="54" t="s">
        <v>36</v>
      </c>
    </row>
    <row r="2207" spans="1:26" ht="23.1" customHeight="1" x14ac:dyDescent="0.25">
      <c r="A2207" s="53" t="s">
        <v>1432</v>
      </c>
      <c r="B2207" s="10" t="s">
        <v>110</v>
      </c>
      <c r="C2207" s="10">
        <v>104</v>
      </c>
      <c r="D2207" s="10" t="s">
        <v>1582</v>
      </c>
      <c r="E2207" s="41" t="s">
        <v>1283</v>
      </c>
      <c r="F2207" s="41" t="s">
        <v>1283</v>
      </c>
      <c r="G2207" s="7" t="s">
        <v>102</v>
      </c>
      <c r="H2207" s="7">
        <v>10</v>
      </c>
      <c r="I2207" s="10" t="s">
        <v>2300</v>
      </c>
      <c r="J2207" s="10">
        <v>1</v>
      </c>
      <c r="K2207" s="10">
        <v>1</v>
      </c>
      <c r="L2207" s="43">
        <v>32</v>
      </c>
      <c r="M2207" s="43">
        <v>32</v>
      </c>
      <c r="N2207" s="12" t="s">
        <v>596</v>
      </c>
      <c r="P2207" s="10">
        <v>60</v>
      </c>
      <c r="Q2207" s="10">
        <v>60</v>
      </c>
      <c r="S2207" s="11">
        <v>1</v>
      </c>
      <c r="T2207" s="10">
        <v>90</v>
      </c>
      <c r="V2207" s="45">
        <v>1</v>
      </c>
      <c r="X2207" s="29">
        <v>3.5</v>
      </c>
      <c r="Y2207" s="54" t="s">
        <v>36</v>
      </c>
    </row>
    <row r="2208" spans="1:26" ht="23.1" customHeight="1" x14ac:dyDescent="0.25">
      <c r="A2208" s="53" t="s">
        <v>1432</v>
      </c>
      <c r="B2208" s="10" t="s">
        <v>110</v>
      </c>
      <c r="C2208" s="10">
        <v>104</v>
      </c>
      <c r="D2208" s="10" t="s">
        <v>1583</v>
      </c>
      <c r="E2208" s="41" t="s">
        <v>1283</v>
      </c>
      <c r="F2208" s="41" t="s">
        <v>1283</v>
      </c>
      <c r="G2208" s="7" t="s">
        <v>102</v>
      </c>
      <c r="H2208" s="7">
        <v>10</v>
      </c>
      <c r="I2208" s="10" t="s">
        <v>2300</v>
      </c>
      <c r="J2208" s="10">
        <v>1</v>
      </c>
      <c r="K2208" s="10">
        <v>1</v>
      </c>
      <c r="L2208" s="43">
        <v>32</v>
      </c>
      <c r="M2208" s="43">
        <v>32</v>
      </c>
      <c r="N2208" s="12" t="s">
        <v>596</v>
      </c>
      <c r="P2208" s="10">
        <v>60</v>
      </c>
      <c r="Q2208" s="10">
        <v>60</v>
      </c>
      <c r="S2208" s="11">
        <v>1</v>
      </c>
      <c r="T2208" s="10">
        <v>90</v>
      </c>
      <c r="V2208" s="45">
        <v>1</v>
      </c>
      <c r="X2208" s="29">
        <v>3.5</v>
      </c>
      <c r="Y2208" s="54" t="s">
        <v>36</v>
      </c>
      <c r="Z2208" t="s">
        <v>1591</v>
      </c>
    </row>
    <row r="2209" spans="1:26" ht="23.1" customHeight="1" x14ac:dyDescent="0.25">
      <c r="A2209" s="53" t="s">
        <v>1432</v>
      </c>
      <c r="B2209" s="10" t="s">
        <v>110</v>
      </c>
      <c r="C2209" s="10">
        <v>98</v>
      </c>
      <c r="D2209" s="10" t="s">
        <v>481</v>
      </c>
      <c r="E2209" s="41" t="s">
        <v>482</v>
      </c>
      <c r="F2209" s="41" t="s">
        <v>482</v>
      </c>
      <c r="G2209" s="7" t="s">
        <v>118</v>
      </c>
      <c r="H2209" s="7">
        <v>15</v>
      </c>
      <c r="I2209" s="10" t="s">
        <v>2144</v>
      </c>
      <c r="J2209" s="10">
        <v>0.8</v>
      </c>
      <c r="K2209" s="10">
        <v>1</v>
      </c>
      <c r="L2209" s="43">
        <v>32</v>
      </c>
      <c r="M2209" s="43">
        <v>32</v>
      </c>
      <c r="N2209" s="12" t="s">
        <v>355</v>
      </c>
      <c r="P2209" s="10">
        <v>720</v>
      </c>
      <c r="Q2209" s="10">
        <v>60</v>
      </c>
      <c r="S2209" s="11">
        <v>1</v>
      </c>
      <c r="T2209" s="10">
        <v>120</v>
      </c>
      <c r="V2209" s="45"/>
      <c r="W2209" s="14">
        <v>6</v>
      </c>
      <c r="X2209" s="29">
        <v>19</v>
      </c>
      <c r="Y2209" s="54" t="s">
        <v>36</v>
      </c>
    </row>
    <row r="2210" spans="1:26" ht="23.1" customHeight="1" x14ac:dyDescent="0.25">
      <c r="A2210" s="53" t="s">
        <v>1432</v>
      </c>
      <c r="B2210" s="10" t="s">
        <v>110</v>
      </c>
      <c r="C2210" s="10">
        <v>106</v>
      </c>
      <c r="D2210" s="10" t="s">
        <v>1070</v>
      </c>
      <c r="E2210" s="41" t="s">
        <v>101</v>
      </c>
      <c r="F2210" s="41" t="s">
        <v>101</v>
      </c>
      <c r="G2210" s="7" t="s">
        <v>300</v>
      </c>
      <c r="H2210" s="7">
        <v>25</v>
      </c>
      <c r="I2210" s="10" t="s">
        <v>2163</v>
      </c>
      <c r="J2210" s="10">
        <v>0.2</v>
      </c>
      <c r="K2210" s="10">
        <v>0.2</v>
      </c>
      <c r="L2210" s="43">
        <v>32</v>
      </c>
      <c r="M2210" s="43">
        <v>32</v>
      </c>
      <c r="N2210" s="12" t="s">
        <v>247</v>
      </c>
      <c r="P2210" s="10">
        <v>4800</v>
      </c>
      <c r="Q2210" s="10">
        <v>180</v>
      </c>
      <c r="T2210" s="10">
        <v>180</v>
      </c>
      <c r="V2210" s="45"/>
      <c r="X2210" s="29">
        <v>16</v>
      </c>
      <c r="Y2210" s="54" t="s">
        <v>36</v>
      </c>
    </row>
    <row r="2211" spans="1:26" ht="23.1" customHeight="1" x14ac:dyDescent="0.25">
      <c r="A2211" s="53" t="s">
        <v>1432</v>
      </c>
      <c r="B2211" s="10" t="s">
        <v>110</v>
      </c>
      <c r="C2211" s="10">
        <v>118</v>
      </c>
      <c r="D2211" s="10" t="s">
        <v>1171</v>
      </c>
      <c r="E2211" s="41" t="s">
        <v>1172</v>
      </c>
      <c r="F2211" s="41" t="s">
        <v>1172</v>
      </c>
      <c r="G2211" s="7" t="s">
        <v>300</v>
      </c>
      <c r="H2211" s="7">
        <v>25</v>
      </c>
      <c r="I2211" s="10" t="s">
        <v>2175</v>
      </c>
      <c r="K2211" s="10">
        <v>2</v>
      </c>
      <c r="L2211" s="43">
        <v>32</v>
      </c>
      <c r="M2211" s="43">
        <v>32</v>
      </c>
      <c r="N2211" s="12" t="s">
        <v>1599</v>
      </c>
      <c r="P2211" s="10">
        <v>240</v>
      </c>
      <c r="Q2211" s="10">
        <v>60</v>
      </c>
      <c r="S2211" s="11">
        <v>1</v>
      </c>
      <c r="T2211" s="10">
        <v>60</v>
      </c>
      <c r="V2211" s="45">
        <v>1</v>
      </c>
      <c r="X2211" s="29">
        <v>10</v>
      </c>
      <c r="Y2211" s="54" t="s">
        <v>36</v>
      </c>
    </row>
    <row r="2212" spans="1:26" ht="23.1" customHeight="1" x14ac:dyDescent="0.25">
      <c r="A2212" s="53" t="s">
        <v>1432</v>
      </c>
      <c r="B2212" s="10" t="s">
        <v>110</v>
      </c>
      <c r="C2212" s="10">
        <v>100</v>
      </c>
      <c r="D2212" s="10" t="s">
        <v>298</v>
      </c>
      <c r="E2212" s="41" t="s">
        <v>299</v>
      </c>
      <c r="F2212" s="41" t="s">
        <v>299</v>
      </c>
      <c r="G2212" s="7" t="s">
        <v>300</v>
      </c>
      <c r="H2212" s="7">
        <v>25</v>
      </c>
      <c r="I2212" s="10" t="s">
        <v>2140</v>
      </c>
      <c r="J2212" s="10">
        <v>1</v>
      </c>
      <c r="K2212" s="10">
        <v>1.2</v>
      </c>
      <c r="L2212" s="43">
        <v>32</v>
      </c>
      <c r="M2212" s="43">
        <v>32</v>
      </c>
      <c r="N2212" s="12" t="s">
        <v>1600</v>
      </c>
      <c r="P2212" s="10">
        <v>660</v>
      </c>
      <c r="Q2212" s="10">
        <v>60</v>
      </c>
      <c r="S2212" s="11">
        <v>1</v>
      </c>
      <c r="T2212" s="10">
        <v>180</v>
      </c>
      <c r="V2212" s="45"/>
      <c r="X2212" s="29">
        <v>14.2</v>
      </c>
      <c r="Y2212" s="54" t="s">
        <v>36</v>
      </c>
    </row>
    <row r="2213" spans="1:26" ht="23.1" customHeight="1" x14ac:dyDescent="0.25">
      <c r="A2213" s="53" t="s">
        <v>1432</v>
      </c>
      <c r="B2213" s="10" t="s">
        <v>110</v>
      </c>
      <c r="C2213" s="10">
        <v>83</v>
      </c>
      <c r="D2213" s="10" t="s">
        <v>1095</v>
      </c>
      <c r="E2213" s="41" t="s">
        <v>1096</v>
      </c>
      <c r="F2213" s="41" t="s">
        <v>1096</v>
      </c>
      <c r="G2213" s="7" t="s">
        <v>658</v>
      </c>
      <c r="H2213" s="7">
        <v>30</v>
      </c>
      <c r="I2213" s="10" t="s">
        <v>2131</v>
      </c>
      <c r="J2213" s="10">
        <v>1.3</v>
      </c>
      <c r="K2213" s="10">
        <v>1.6</v>
      </c>
      <c r="L2213" s="43">
        <v>32</v>
      </c>
      <c r="M2213" s="43">
        <v>32</v>
      </c>
      <c r="N2213" s="12" t="s">
        <v>412</v>
      </c>
      <c r="P2213" s="10">
        <v>570</v>
      </c>
      <c r="Q2213" s="10">
        <v>60</v>
      </c>
      <c r="S2213" s="11">
        <v>2</v>
      </c>
      <c r="T2213" s="10">
        <v>120</v>
      </c>
      <c r="V2213" s="45"/>
      <c r="X2213" s="29">
        <v>17.2</v>
      </c>
      <c r="Y2213" s="54" t="s">
        <v>36</v>
      </c>
    </row>
    <row r="2214" spans="1:26" ht="23.1" customHeight="1" x14ac:dyDescent="0.25">
      <c r="A2214" s="53" t="s">
        <v>1432</v>
      </c>
      <c r="B2214" s="10" t="s">
        <v>110</v>
      </c>
      <c r="C2214" s="10">
        <v>82</v>
      </c>
      <c r="D2214" s="10" t="s">
        <v>1074</v>
      </c>
      <c r="E2214" s="41" t="s">
        <v>1075</v>
      </c>
      <c r="F2214" s="41" t="s">
        <v>1075</v>
      </c>
      <c r="G2214" s="7" t="s">
        <v>154</v>
      </c>
      <c r="H2214" s="7">
        <v>45</v>
      </c>
      <c r="I2214" s="10" t="s">
        <v>2125</v>
      </c>
      <c r="J2214" s="10">
        <v>1.3</v>
      </c>
      <c r="K2214" s="10">
        <v>1.2</v>
      </c>
      <c r="L2214" s="43">
        <v>32</v>
      </c>
      <c r="M2214" s="43">
        <v>32</v>
      </c>
      <c r="N2214" s="12" t="s">
        <v>1118</v>
      </c>
      <c r="P2214" s="10">
        <v>600</v>
      </c>
      <c r="T2214" s="10">
        <v>120</v>
      </c>
      <c r="V2214" s="45"/>
      <c r="X2214" s="29">
        <v>12</v>
      </c>
      <c r="Y2214" s="54" t="s">
        <v>36</v>
      </c>
    </row>
    <row r="2215" spans="1:26" ht="23.1" customHeight="1" x14ac:dyDescent="0.25">
      <c r="A2215" s="53" t="s">
        <v>1432</v>
      </c>
      <c r="B2215" s="10" t="s">
        <v>113</v>
      </c>
      <c r="C2215" s="10">
        <v>99</v>
      </c>
      <c r="D2215" s="10" t="s">
        <v>1191</v>
      </c>
      <c r="E2215" s="41" t="s">
        <v>1192</v>
      </c>
      <c r="F2215" s="41" t="s">
        <v>1192</v>
      </c>
      <c r="G2215" s="7" t="s">
        <v>300</v>
      </c>
      <c r="H2215" s="7">
        <v>30</v>
      </c>
      <c r="I2215" s="10" t="s">
        <v>2186</v>
      </c>
      <c r="J2215" s="10">
        <v>0.6</v>
      </c>
      <c r="K2215" s="10">
        <v>0.9</v>
      </c>
      <c r="L2215" s="43">
        <v>25</v>
      </c>
      <c r="M2215" s="43">
        <v>25</v>
      </c>
      <c r="N2215" s="12" t="s">
        <v>219</v>
      </c>
      <c r="P2215" s="10">
        <v>1080</v>
      </c>
      <c r="Q2215" s="10">
        <v>120</v>
      </c>
      <c r="T2215" s="10">
        <v>120</v>
      </c>
      <c r="V2215" s="45"/>
      <c r="X2215" s="29">
        <v>16.2</v>
      </c>
      <c r="Y2215" s="54" t="s">
        <v>21</v>
      </c>
    </row>
    <row r="2216" spans="1:26" ht="23.1" customHeight="1" x14ac:dyDescent="0.25">
      <c r="A2216" s="53" t="s">
        <v>1432</v>
      </c>
      <c r="B2216" s="10" t="s">
        <v>113</v>
      </c>
      <c r="C2216" s="10">
        <v>97</v>
      </c>
      <c r="D2216" s="10" t="s">
        <v>1064</v>
      </c>
      <c r="E2216" s="41" t="s">
        <v>1065</v>
      </c>
      <c r="F2216" s="41" t="s">
        <v>1065</v>
      </c>
      <c r="G2216" s="7" t="s">
        <v>250</v>
      </c>
      <c r="H2216" s="7">
        <v>60</v>
      </c>
      <c r="I2216" s="10" t="s">
        <v>2156</v>
      </c>
      <c r="J2216" s="10">
        <v>1</v>
      </c>
      <c r="K2216" s="10">
        <v>1</v>
      </c>
      <c r="L2216" s="43">
        <v>25</v>
      </c>
      <c r="M2216" s="43">
        <v>25</v>
      </c>
      <c r="N2216" s="12" t="s">
        <v>429</v>
      </c>
      <c r="P2216" s="10">
        <v>570</v>
      </c>
      <c r="Q2216" s="10">
        <v>60</v>
      </c>
      <c r="S2216" s="11">
        <v>1</v>
      </c>
      <c r="T2216" s="10">
        <v>60</v>
      </c>
      <c r="V2216" s="45"/>
      <c r="X2216" s="29">
        <v>10.5</v>
      </c>
      <c r="Y2216" s="54" t="s">
        <v>1</v>
      </c>
    </row>
    <row r="2217" spans="1:26" ht="23.1" customHeight="1" x14ac:dyDescent="0.25">
      <c r="A2217" s="53" t="s">
        <v>1432</v>
      </c>
      <c r="B2217" s="10" t="s">
        <v>113</v>
      </c>
      <c r="C2217" s="10">
        <v>105</v>
      </c>
      <c r="D2217" s="10" t="s">
        <v>1176</v>
      </c>
      <c r="E2217" s="41" t="s">
        <v>1098</v>
      </c>
      <c r="F2217" s="41" t="s">
        <v>1098</v>
      </c>
      <c r="G2217" s="7" t="s">
        <v>250</v>
      </c>
      <c r="H2217" s="7">
        <v>50</v>
      </c>
      <c r="I2217" s="10" t="s">
        <v>2185</v>
      </c>
      <c r="J2217" s="10">
        <v>0.4</v>
      </c>
      <c r="K2217" s="10">
        <v>0.7</v>
      </c>
      <c r="L2217" s="43">
        <v>25</v>
      </c>
      <c r="M2217" s="43">
        <v>25</v>
      </c>
      <c r="N2217" s="12" t="s">
        <v>429</v>
      </c>
      <c r="P2217" s="10">
        <v>1080</v>
      </c>
      <c r="Q2217" s="10">
        <v>60</v>
      </c>
      <c r="S2217" s="11">
        <v>1</v>
      </c>
      <c r="T2217" s="10">
        <v>120</v>
      </c>
      <c r="V2217" s="45">
        <v>1</v>
      </c>
      <c r="X2217" s="29">
        <v>15.6</v>
      </c>
      <c r="Y2217" s="54" t="s">
        <v>28</v>
      </c>
    </row>
    <row r="2218" spans="1:26" ht="23.1" customHeight="1" x14ac:dyDescent="0.25">
      <c r="A2218" s="53" t="s">
        <v>1432</v>
      </c>
      <c r="B2218" s="10" t="s">
        <v>113</v>
      </c>
      <c r="C2218" s="10">
        <v>82</v>
      </c>
      <c r="D2218" s="10" t="s">
        <v>1074</v>
      </c>
      <c r="E2218" s="41" t="s">
        <v>1075</v>
      </c>
      <c r="F2218" s="41" t="s">
        <v>1075</v>
      </c>
      <c r="G2218" s="7" t="s">
        <v>154</v>
      </c>
      <c r="H2218" s="7">
        <v>45</v>
      </c>
      <c r="I2218" s="10" t="s">
        <v>2125</v>
      </c>
      <c r="J2218" s="10">
        <v>1</v>
      </c>
      <c r="K2218" s="10">
        <v>1.4</v>
      </c>
      <c r="L2218" s="43">
        <v>25</v>
      </c>
      <c r="M2218" s="43">
        <v>25</v>
      </c>
      <c r="N2218" s="12" t="s">
        <v>1119</v>
      </c>
      <c r="P2218" s="10">
        <v>600</v>
      </c>
      <c r="S2218" s="11">
        <v>2</v>
      </c>
      <c r="T2218" s="10">
        <v>120</v>
      </c>
      <c r="V2218" s="45"/>
      <c r="X2218" s="29">
        <v>14</v>
      </c>
      <c r="Y2218" s="54" t="s">
        <v>56</v>
      </c>
    </row>
    <row r="2219" spans="1:26" ht="23.1" customHeight="1" x14ac:dyDescent="0.25">
      <c r="A2219" s="53" t="s">
        <v>1432</v>
      </c>
      <c r="B2219" s="10" t="s">
        <v>113</v>
      </c>
      <c r="C2219" s="10">
        <v>103</v>
      </c>
      <c r="D2219" s="10" t="s">
        <v>1601</v>
      </c>
      <c r="E2219" s="41" t="s">
        <v>1602</v>
      </c>
      <c r="F2219" s="41" t="s">
        <v>1602</v>
      </c>
      <c r="G2219" s="7" t="s">
        <v>102</v>
      </c>
      <c r="H2219" s="7">
        <v>5</v>
      </c>
      <c r="I2219" s="10" t="s">
        <v>2060</v>
      </c>
      <c r="J2219" s="10">
        <v>1</v>
      </c>
      <c r="K2219" s="10">
        <v>1</v>
      </c>
      <c r="L2219" s="43">
        <v>25</v>
      </c>
      <c r="M2219" s="43">
        <v>25</v>
      </c>
      <c r="N2219" s="12" t="s">
        <v>596</v>
      </c>
      <c r="P2219" s="10">
        <v>240</v>
      </c>
      <c r="Q2219" s="10">
        <v>90</v>
      </c>
      <c r="S2219" s="11">
        <v>1</v>
      </c>
      <c r="T2219" s="10">
        <v>90</v>
      </c>
      <c r="V2219" s="45">
        <v>1</v>
      </c>
      <c r="W2219" s="10">
        <v>3</v>
      </c>
      <c r="X2219" s="29">
        <v>10</v>
      </c>
      <c r="Y2219" s="54" t="s">
        <v>62</v>
      </c>
      <c r="Z2219" t="s">
        <v>1603</v>
      </c>
    </row>
    <row r="2220" spans="1:26" ht="23.1" customHeight="1" x14ac:dyDescent="0.25">
      <c r="A2220" s="53" t="s">
        <v>1432</v>
      </c>
      <c r="B2220" s="10" t="s">
        <v>113</v>
      </c>
      <c r="C2220" s="10">
        <v>103</v>
      </c>
      <c r="D2220" s="10" t="s">
        <v>1601</v>
      </c>
      <c r="E2220" s="41" t="s">
        <v>1602</v>
      </c>
      <c r="F2220" s="41" t="s">
        <v>1602</v>
      </c>
      <c r="G2220" s="7" t="s">
        <v>102</v>
      </c>
      <c r="H2220" s="7">
        <v>10</v>
      </c>
      <c r="I2220" s="10" t="s">
        <v>1952</v>
      </c>
      <c r="J2220" s="10">
        <v>1</v>
      </c>
      <c r="K2220" s="10">
        <v>1</v>
      </c>
      <c r="L2220" s="43">
        <v>25</v>
      </c>
      <c r="M2220" s="43">
        <v>25</v>
      </c>
      <c r="N2220" s="12" t="s">
        <v>596</v>
      </c>
      <c r="P2220" s="10">
        <v>600</v>
      </c>
      <c r="Q2220" s="10">
        <v>90</v>
      </c>
      <c r="S2220" s="11">
        <v>1</v>
      </c>
      <c r="T2220" s="10">
        <v>90</v>
      </c>
      <c r="V2220" s="45">
        <v>1</v>
      </c>
      <c r="X2220" s="29">
        <v>13</v>
      </c>
      <c r="Y2220" s="54" t="s">
        <v>62</v>
      </c>
    </row>
    <row r="2221" spans="1:26" ht="23.1" customHeight="1" x14ac:dyDescent="0.25">
      <c r="A2221" s="53" t="s">
        <v>1432</v>
      </c>
      <c r="B2221" s="10" t="s">
        <v>113</v>
      </c>
      <c r="C2221" s="10">
        <v>19</v>
      </c>
      <c r="D2221" s="10" t="s">
        <v>1604</v>
      </c>
      <c r="E2221" s="41" t="s">
        <v>1605</v>
      </c>
      <c r="F2221" s="41" t="s">
        <v>1605</v>
      </c>
      <c r="G2221" s="7" t="s">
        <v>300</v>
      </c>
      <c r="H2221" s="7">
        <v>5</v>
      </c>
      <c r="I2221" s="10" t="s">
        <v>1930</v>
      </c>
      <c r="J2221" s="10">
        <v>3</v>
      </c>
      <c r="K2221" s="10">
        <v>1.5</v>
      </c>
      <c r="L2221" s="43">
        <v>25</v>
      </c>
      <c r="M2221" s="43">
        <v>25</v>
      </c>
      <c r="N2221" s="12" t="s">
        <v>1606</v>
      </c>
      <c r="P2221" s="10">
        <v>240</v>
      </c>
      <c r="Q2221" s="10">
        <v>60</v>
      </c>
      <c r="S2221" s="11">
        <v>1</v>
      </c>
      <c r="T2221" s="10">
        <v>120</v>
      </c>
      <c r="V2221" s="45"/>
      <c r="X2221" s="29">
        <v>7</v>
      </c>
      <c r="Y2221" s="54" t="s">
        <v>11</v>
      </c>
    </row>
    <row r="2222" spans="1:26" ht="23.1" customHeight="1" x14ac:dyDescent="0.25">
      <c r="A2222" s="53" t="s">
        <v>1432</v>
      </c>
      <c r="B2222" s="10" t="s">
        <v>113</v>
      </c>
      <c r="C2222" s="10">
        <v>19</v>
      </c>
      <c r="D2222" s="10" t="s">
        <v>1607</v>
      </c>
      <c r="E2222" s="41" t="s">
        <v>1608</v>
      </c>
      <c r="F2222" s="41" t="s">
        <v>1608</v>
      </c>
      <c r="G2222" s="7" t="s">
        <v>300</v>
      </c>
      <c r="H2222" s="7">
        <v>5</v>
      </c>
      <c r="I2222" s="10" t="s">
        <v>1930</v>
      </c>
      <c r="K2222" s="10">
        <v>1</v>
      </c>
      <c r="L2222" s="43">
        <v>25</v>
      </c>
      <c r="M2222" s="43">
        <v>25</v>
      </c>
      <c r="N2222" s="12" t="s">
        <v>1597</v>
      </c>
      <c r="P2222" s="10">
        <v>240</v>
      </c>
      <c r="Q2222" s="10">
        <v>60</v>
      </c>
      <c r="S2222" s="11">
        <v>1</v>
      </c>
      <c r="T2222" s="10">
        <v>120</v>
      </c>
      <c r="V2222" s="45"/>
      <c r="X2222" s="29">
        <v>5</v>
      </c>
      <c r="Y2222" s="54" t="s">
        <v>11</v>
      </c>
    </row>
    <row r="2223" spans="1:26" ht="23.1" customHeight="1" x14ac:dyDescent="0.25">
      <c r="A2223" s="53" t="s">
        <v>1432</v>
      </c>
      <c r="B2223" s="10" t="s">
        <v>113</v>
      </c>
      <c r="C2223" s="10">
        <v>83</v>
      </c>
      <c r="D2223" s="10" t="s">
        <v>1095</v>
      </c>
      <c r="E2223" s="41" t="s">
        <v>1096</v>
      </c>
      <c r="F2223" s="41" t="s">
        <v>1096</v>
      </c>
      <c r="G2223" s="7" t="s">
        <v>658</v>
      </c>
      <c r="H2223" s="7">
        <v>30</v>
      </c>
      <c r="I2223" s="10" t="s">
        <v>2131</v>
      </c>
      <c r="J2223" s="10">
        <v>1.5</v>
      </c>
      <c r="K2223" s="10">
        <v>1.6</v>
      </c>
      <c r="L2223" s="43">
        <v>25</v>
      </c>
      <c r="M2223" s="43">
        <v>25</v>
      </c>
      <c r="N2223" s="12" t="s">
        <v>412</v>
      </c>
      <c r="P2223" s="10">
        <v>570</v>
      </c>
      <c r="Q2223" s="10">
        <v>60</v>
      </c>
      <c r="S2223" s="11">
        <v>1</v>
      </c>
      <c r="T2223" s="10">
        <v>120</v>
      </c>
      <c r="V2223" s="45"/>
      <c r="X2223" s="29">
        <v>16.2</v>
      </c>
      <c r="Y2223" s="54" t="s">
        <v>65</v>
      </c>
    </row>
    <row r="2224" spans="1:26" ht="23.1" customHeight="1" x14ac:dyDescent="0.25">
      <c r="A2224" s="53" t="s">
        <v>1432</v>
      </c>
      <c r="B2224" s="10" t="s">
        <v>113</v>
      </c>
      <c r="C2224" s="10">
        <v>44</v>
      </c>
      <c r="D2224" s="10" t="s">
        <v>495</v>
      </c>
      <c r="E2224" s="41" t="s">
        <v>267</v>
      </c>
      <c r="F2224" s="41" t="s">
        <v>267</v>
      </c>
      <c r="G2224" s="7" t="s">
        <v>118</v>
      </c>
      <c r="H2224" s="7">
        <v>55</v>
      </c>
      <c r="I2224" s="10" t="s">
        <v>2166</v>
      </c>
      <c r="J2224" s="10">
        <v>0.5</v>
      </c>
      <c r="K2224" s="10">
        <v>0.5</v>
      </c>
      <c r="L2224" s="43">
        <v>25</v>
      </c>
      <c r="M2224" s="43">
        <v>25</v>
      </c>
      <c r="N2224" s="12" t="s">
        <v>429</v>
      </c>
      <c r="P2224" s="10">
        <v>1260</v>
      </c>
      <c r="Q2224" s="10">
        <v>90</v>
      </c>
      <c r="T2224" s="10">
        <v>60</v>
      </c>
      <c r="V2224" s="45"/>
      <c r="W2224" s="14">
        <v>3</v>
      </c>
      <c r="X2224" s="29">
        <v>13.5</v>
      </c>
      <c r="Y2224" s="54" t="s">
        <v>65</v>
      </c>
      <c r="Z2224" t="s">
        <v>1603</v>
      </c>
    </row>
    <row r="2225" spans="1:26" ht="23.1" customHeight="1" x14ac:dyDescent="0.25">
      <c r="A2225" s="53" t="s">
        <v>1432</v>
      </c>
      <c r="B2225" s="10" t="s">
        <v>113</v>
      </c>
      <c r="C2225" s="10">
        <v>100</v>
      </c>
      <c r="D2225" s="10" t="s">
        <v>298</v>
      </c>
      <c r="E2225" s="41" t="s">
        <v>299</v>
      </c>
      <c r="F2225" s="41" t="s">
        <v>299</v>
      </c>
      <c r="G2225" s="7" t="s">
        <v>300</v>
      </c>
      <c r="H2225" s="7">
        <v>25</v>
      </c>
      <c r="I2225" s="10" t="s">
        <v>2140</v>
      </c>
      <c r="J2225" s="10">
        <v>1</v>
      </c>
      <c r="K2225" s="10">
        <v>1</v>
      </c>
      <c r="L2225" s="43">
        <v>25</v>
      </c>
      <c r="M2225" s="43">
        <v>25</v>
      </c>
      <c r="N2225" s="12" t="s">
        <v>199</v>
      </c>
      <c r="P2225" s="10">
        <v>660</v>
      </c>
      <c r="Q2225" s="10">
        <v>60</v>
      </c>
      <c r="S2225" s="11">
        <v>1</v>
      </c>
      <c r="T2225" s="10">
        <v>180</v>
      </c>
      <c r="V2225" s="45"/>
      <c r="X2225" s="29">
        <v>12</v>
      </c>
      <c r="Y2225" s="54" t="s">
        <v>65</v>
      </c>
    </row>
    <row r="2226" spans="1:26" ht="23.1" customHeight="1" x14ac:dyDescent="0.25">
      <c r="A2226" s="53" t="s">
        <v>1432</v>
      </c>
      <c r="B2226" s="10" t="s">
        <v>113</v>
      </c>
      <c r="C2226" s="10">
        <v>102</v>
      </c>
      <c r="D2226" s="10" t="s">
        <v>1097</v>
      </c>
      <c r="E2226" s="41" t="s">
        <v>1098</v>
      </c>
      <c r="F2226" s="41" t="s">
        <v>1098</v>
      </c>
      <c r="G2226" s="7" t="s">
        <v>250</v>
      </c>
      <c r="H2226" s="7">
        <v>50</v>
      </c>
      <c r="I2226" s="10" t="s">
        <v>2185</v>
      </c>
      <c r="J2226" s="10">
        <v>0.5</v>
      </c>
      <c r="K2226" s="10">
        <v>0.5</v>
      </c>
      <c r="L2226" s="43">
        <v>25</v>
      </c>
      <c r="M2226" s="43">
        <v>25</v>
      </c>
      <c r="N2226" s="12" t="s">
        <v>292</v>
      </c>
      <c r="P2226" s="10">
        <v>1080</v>
      </c>
      <c r="Q2226" s="10">
        <v>60</v>
      </c>
      <c r="T2226" s="10">
        <v>120</v>
      </c>
      <c r="V2226" s="45"/>
      <c r="X2226" s="29">
        <v>9</v>
      </c>
      <c r="Y2226" s="54" t="s">
        <v>65</v>
      </c>
    </row>
    <row r="2227" spans="1:26" ht="23.1" customHeight="1" x14ac:dyDescent="0.25">
      <c r="A2227" s="53" t="s">
        <v>1432</v>
      </c>
      <c r="B2227" s="10" t="s">
        <v>113</v>
      </c>
      <c r="C2227" s="10">
        <v>102</v>
      </c>
      <c r="D2227" s="10" t="s">
        <v>1067</v>
      </c>
      <c r="E2227" s="41" t="s">
        <v>1068</v>
      </c>
      <c r="F2227" s="41" t="s">
        <v>1068</v>
      </c>
      <c r="G2227" s="7" t="s">
        <v>323</v>
      </c>
      <c r="H2227" s="7">
        <v>65</v>
      </c>
      <c r="I2227" s="10" t="s">
        <v>2282</v>
      </c>
      <c r="J2227" s="10">
        <v>4</v>
      </c>
      <c r="K2227" s="10">
        <v>4</v>
      </c>
      <c r="L2227" s="43">
        <v>25</v>
      </c>
      <c r="M2227" s="43">
        <v>25</v>
      </c>
      <c r="N2227" s="12" t="s">
        <v>1609</v>
      </c>
      <c r="P2227" s="10">
        <v>30</v>
      </c>
      <c r="Q2227" s="10">
        <v>60</v>
      </c>
      <c r="S2227" s="11">
        <v>4</v>
      </c>
      <c r="T2227" s="10">
        <v>90</v>
      </c>
      <c r="V2227" s="45">
        <v>1</v>
      </c>
      <c r="W2227" s="10">
        <v>2</v>
      </c>
      <c r="X2227" s="29">
        <v>9.5</v>
      </c>
      <c r="Y2227" s="54" t="s">
        <v>65</v>
      </c>
      <c r="Z2227" t="s">
        <v>1548</v>
      </c>
    </row>
    <row r="2228" spans="1:26" ht="23.1" customHeight="1" x14ac:dyDescent="0.25">
      <c r="A2228" s="53" t="s">
        <v>1432</v>
      </c>
      <c r="B2228" s="10" t="s">
        <v>113</v>
      </c>
      <c r="C2228" s="10">
        <v>98</v>
      </c>
      <c r="D2228" s="10" t="s">
        <v>404</v>
      </c>
      <c r="E2228" s="41" t="s">
        <v>405</v>
      </c>
      <c r="F2228" s="41" t="s">
        <v>405</v>
      </c>
      <c r="G2228" s="7" t="s">
        <v>118</v>
      </c>
      <c r="H2228" s="7">
        <v>15</v>
      </c>
      <c r="I2228" s="10" t="s">
        <v>2144</v>
      </c>
      <c r="J2228" s="10">
        <v>0.8</v>
      </c>
      <c r="K2228" s="10">
        <v>1</v>
      </c>
      <c r="L2228" s="43">
        <v>25</v>
      </c>
      <c r="M2228" s="43">
        <v>25</v>
      </c>
      <c r="N2228" s="12" t="s">
        <v>842</v>
      </c>
      <c r="P2228" s="10">
        <v>720</v>
      </c>
      <c r="Q2228" s="10">
        <v>60</v>
      </c>
      <c r="S2228" s="11">
        <v>1</v>
      </c>
      <c r="T2228" s="10">
        <v>120</v>
      </c>
      <c r="V2228" s="45">
        <v>1</v>
      </c>
      <c r="X2228" s="29">
        <v>15</v>
      </c>
      <c r="Y2228" s="54" t="s">
        <v>65</v>
      </c>
    </row>
    <row r="2229" spans="1:26" ht="23.1" customHeight="1" x14ac:dyDescent="0.25">
      <c r="A2229" s="53" t="s">
        <v>1432</v>
      </c>
      <c r="B2229" s="10" t="s">
        <v>113</v>
      </c>
      <c r="C2229" s="10">
        <v>101</v>
      </c>
      <c r="D2229" s="10" t="s">
        <v>1099</v>
      </c>
      <c r="E2229" s="41" t="s">
        <v>760</v>
      </c>
      <c r="F2229" s="41" t="e">
        <v>#N/A</v>
      </c>
      <c r="G2229" s="7" t="s">
        <v>300</v>
      </c>
      <c r="H2229" s="7">
        <v>25</v>
      </c>
      <c r="I2229" s="10" t="s">
        <v>2154</v>
      </c>
      <c r="J2229" s="10">
        <v>0.7</v>
      </c>
      <c r="K2229" s="10">
        <v>1</v>
      </c>
      <c r="L2229" s="43">
        <v>25</v>
      </c>
      <c r="M2229" s="43">
        <v>25</v>
      </c>
      <c r="N2229" s="12" t="s">
        <v>1115</v>
      </c>
      <c r="P2229" s="10">
        <v>900</v>
      </c>
      <c r="Q2229" s="10">
        <v>60</v>
      </c>
      <c r="S2229" s="11">
        <v>1</v>
      </c>
      <c r="T2229" s="10">
        <v>180</v>
      </c>
      <c r="V2229" s="45"/>
      <c r="X2229" s="29">
        <v>16</v>
      </c>
      <c r="Y2229" s="54" t="s">
        <v>65</v>
      </c>
    </row>
    <row r="2230" spans="1:26" ht="23.1" customHeight="1" x14ac:dyDescent="0.25">
      <c r="A2230" s="53" t="s">
        <v>1432</v>
      </c>
      <c r="B2230" s="10" t="s">
        <v>113</v>
      </c>
      <c r="C2230" s="10">
        <v>104</v>
      </c>
      <c r="D2230" s="10" t="s">
        <v>1583</v>
      </c>
      <c r="E2230" s="41" t="s">
        <v>1283</v>
      </c>
      <c r="F2230" s="41" t="s">
        <v>1283</v>
      </c>
      <c r="G2230" s="7" t="s">
        <v>102</v>
      </c>
      <c r="H2230" s="7">
        <v>15</v>
      </c>
      <c r="I2230" s="10" t="s">
        <v>2501</v>
      </c>
      <c r="K2230" s="10">
        <v>1</v>
      </c>
      <c r="L2230" s="43">
        <v>25</v>
      </c>
      <c r="M2230" s="43">
        <v>25</v>
      </c>
      <c r="N2230" s="12" t="s">
        <v>596</v>
      </c>
      <c r="P2230" s="10">
        <v>210</v>
      </c>
      <c r="Q2230" s="10">
        <v>60</v>
      </c>
      <c r="S2230" s="11">
        <v>1</v>
      </c>
      <c r="T2230" s="10">
        <v>60</v>
      </c>
      <c r="V2230" s="45">
        <v>1</v>
      </c>
      <c r="X2230" s="29">
        <v>5.5</v>
      </c>
      <c r="Y2230" s="54" t="s">
        <v>65</v>
      </c>
    </row>
    <row r="2231" spans="1:26" ht="23.1" customHeight="1" x14ac:dyDescent="0.25">
      <c r="A2231" s="53" t="s">
        <v>1432</v>
      </c>
      <c r="B2231" s="10" t="s">
        <v>113</v>
      </c>
      <c r="C2231" s="10">
        <v>104</v>
      </c>
      <c r="D2231" s="10" t="s">
        <v>1583</v>
      </c>
      <c r="E2231" s="41" t="s">
        <v>1283</v>
      </c>
      <c r="F2231" s="41" t="s">
        <v>1283</v>
      </c>
      <c r="G2231" s="7" t="s">
        <v>102</v>
      </c>
      <c r="H2231" s="7">
        <v>20</v>
      </c>
      <c r="I2231" s="10" t="s">
        <v>2234</v>
      </c>
      <c r="K2231" s="10">
        <v>0.4</v>
      </c>
      <c r="L2231" s="43">
        <v>25</v>
      </c>
      <c r="M2231" s="43">
        <v>25</v>
      </c>
      <c r="N2231" s="12" t="s">
        <v>596</v>
      </c>
      <c r="P2231" s="10">
        <v>330</v>
      </c>
      <c r="Q2231" s="10">
        <v>60</v>
      </c>
      <c r="S2231" s="11">
        <v>1</v>
      </c>
      <c r="T2231" s="10">
        <v>90</v>
      </c>
      <c r="V2231" s="45">
        <v>1</v>
      </c>
      <c r="X2231" s="29">
        <v>4.7</v>
      </c>
      <c r="Y2231" s="54" t="s">
        <v>65</v>
      </c>
    </row>
    <row r="2232" spans="1:26" ht="23.1" customHeight="1" x14ac:dyDescent="0.25">
      <c r="A2232" s="53" t="s">
        <v>1432</v>
      </c>
      <c r="B2232" s="10" t="s">
        <v>113</v>
      </c>
      <c r="C2232" s="10">
        <v>104</v>
      </c>
      <c r="D2232" s="10" t="s">
        <v>1582</v>
      </c>
      <c r="E2232" s="41" t="s">
        <v>1283</v>
      </c>
      <c r="F2232" s="41" t="s">
        <v>1283</v>
      </c>
      <c r="G2232" s="7" t="s">
        <v>102</v>
      </c>
      <c r="H2232" s="7">
        <v>15</v>
      </c>
      <c r="I2232" s="10" t="s">
        <v>2043</v>
      </c>
      <c r="J2232" s="10">
        <v>1</v>
      </c>
      <c r="K2232" s="10">
        <v>1</v>
      </c>
      <c r="L2232" s="43">
        <v>25</v>
      </c>
      <c r="M2232" s="43">
        <v>25</v>
      </c>
      <c r="N2232" s="12" t="s">
        <v>596</v>
      </c>
      <c r="P2232" s="10">
        <v>210</v>
      </c>
      <c r="Q2232" s="10">
        <v>60</v>
      </c>
      <c r="S2232" s="11">
        <v>1</v>
      </c>
      <c r="T2232" s="10">
        <v>60</v>
      </c>
      <c r="V2232" s="45">
        <v>1</v>
      </c>
      <c r="X2232" s="29">
        <v>5.5</v>
      </c>
      <c r="Y2232" s="54" t="s">
        <v>65</v>
      </c>
    </row>
    <row r="2233" spans="1:26" ht="23.1" customHeight="1" x14ac:dyDescent="0.25">
      <c r="A2233" s="53" t="s">
        <v>1489</v>
      </c>
      <c r="B2233" s="10" t="s">
        <v>110</v>
      </c>
      <c r="C2233" s="10">
        <v>19</v>
      </c>
      <c r="D2233" s="10" t="s">
        <v>1607</v>
      </c>
      <c r="E2233" s="41" t="s">
        <v>1608</v>
      </c>
      <c r="F2233" s="41" t="s">
        <v>1608</v>
      </c>
      <c r="G2233" s="7" t="s">
        <v>300</v>
      </c>
      <c r="H2233" s="7">
        <v>5</v>
      </c>
      <c r="I2233" s="10" t="s">
        <v>1930</v>
      </c>
      <c r="J2233" s="10">
        <v>2</v>
      </c>
      <c r="K2233" s="10">
        <v>2.5</v>
      </c>
      <c r="L2233" s="43">
        <v>32</v>
      </c>
      <c r="M2233" s="43">
        <v>32</v>
      </c>
      <c r="N2233" s="12" t="s">
        <v>1610</v>
      </c>
      <c r="P2233" s="10">
        <v>240</v>
      </c>
      <c r="Q2233" s="10">
        <v>60</v>
      </c>
      <c r="S2233" s="11">
        <v>2</v>
      </c>
      <c r="T2233" s="10">
        <v>120</v>
      </c>
      <c r="V2233" s="45"/>
      <c r="X2233" s="29">
        <v>12</v>
      </c>
      <c r="Y2233" s="54" t="s">
        <v>17</v>
      </c>
    </row>
    <row r="2234" spans="1:26" ht="23.1" customHeight="1" x14ac:dyDescent="0.25">
      <c r="A2234" s="53" t="s">
        <v>1489</v>
      </c>
      <c r="B2234" s="10" t="s">
        <v>110</v>
      </c>
      <c r="C2234" s="10">
        <v>44</v>
      </c>
      <c r="D2234" s="10" t="s">
        <v>495</v>
      </c>
      <c r="E2234" s="41" t="s">
        <v>267</v>
      </c>
      <c r="F2234" s="41" t="s">
        <v>267</v>
      </c>
      <c r="G2234" s="7" t="s">
        <v>118</v>
      </c>
      <c r="H2234" s="7">
        <v>5</v>
      </c>
      <c r="I2234" s="10" t="s">
        <v>2299</v>
      </c>
      <c r="J2234" s="10">
        <v>3</v>
      </c>
      <c r="K2234" s="10">
        <v>4</v>
      </c>
      <c r="L2234" s="43">
        <v>32</v>
      </c>
      <c r="M2234" s="43">
        <v>32</v>
      </c>
      <c r="N2234" s="12" t="s">
        <v>221</v>
      </c>
      <c r="P2234" s="10">
        <v>60</v>
      </c>
      <c r="S2234" s="11">
        <v>4</v>
      </c>
      <c r="T2234" s="10">
        <v>60</v>
      </c>
      <c r="V2234" s="45"/>
      <c r="X2234" s="29">
        <v>4</v>
      </c>
      <c r="Y2234" s="54" t="s">
        <v>64</v>
      </c>
    </row>
    <row r="2235" spans="1:26" ht="23.1" customHeight="1" x14ac:dyDescent="0.25">
      <c r="A2235" s="53" t="s">
        <v>1489</v>
      </c>
      <c r="B2235" s="10" t="s">
        <v>110</v>
      </c>
      <c r="C2235" s="10">
        <v>97</v>
      </c>
      <c r="D2235" s="10" t="s">
        <v>1064</v>
      </c>
      <c r="E2235" s="41" t="s">
        <v>1065</v>
      </c>
      <c r="F2235" s="41" t="s">
        <v>1065</v>
      </c>
      <c r="G2235" s="7" t="s">
        <v>250</v>
      </c>
      <c r="H2235" s="7">
        <v>65</v>
      </c>
      <c r="I2235" s="10" t="s">
        <v>2184</v>
      </c>
      <c r="J2235" s="10">
        <v>3</v>
      </c>
      <c r="K2235" s="10">
        <v>3</v>
      </c>
      <c r="L2235" s="43">
        <v>32</v>
      </c>
      <c r="M2235" s="43">
        <v>32</v>
      </c>
      <c r="N2235" s="12" t="s">
        <v>429</v>
      </c>
      <c r="P2235" s="10">
        <v>60</v>
      </c>
      <c r="Q2235" s="10">
        <v>60</v>
      </c>
      <c r="S2235" s="11">
        <v>4</v>
      </c>
      <c r="T2235" s="10">
        <v>60</v>
      </c>
      <c r="V2235" s="45">
        <v>1</v>
      </c>
      <c r="X2235" s="29">
        <v>8</v>
      </c>
      <c r="Y2235" s="54" t="s">
        <v>39</v>
      </c>
    </row>
    <row r="2236" spans="1:26" ht="23.1" customHeight="1" x14ac:dyDescent="0.25">
      <c r="A2236" s="53" t="s">
        <v>1489</v>
      </c>
      <c r="B2236" s="10" t="s">
        <v>110</v>
      </c>
      <c r="C2236" s="10">
        <v>101</v>
      </c>
      <c r="D2236" s="10" t="s">
        <v>1099</v>
      </c>
      <c r="E2236" s="41" t="s">
        <v>760</v>
      </c>
      <c r="F2236" s="41" t="e">
        <v>#N/A</v>
      </c>
      <c r="G2236" s="7" t="s">
        <v>300</v>
      </c>
      <c r="H2236" s="7">
        <v>25</v>
      </c>
      <c r="I2236" s="10" t="s">
        <v>2154</v>
      </c>
      <c r="J2236" s="10">
        <v>0.6</v>
      </c>
      <c r="K2236" s="10">
        <v>0.9</v>
      </c>
      <c r="L2236" s="43">
        <v>32</v>
      </c>
      <c r="M2236" s="43">
        <v>32</v>
      </c>
      <c r="N2236" s="12" t="s">
        <v>1115</v>
      </c>
      <c r="P2236" s="10">
        <v>900</v>
      </c>
      <c r="Q2236" s="10">
        <v>60</v>
      </c>
      <c r="S2236" s="11">
        <v>1</v>
      </c>
      <c r="T2236" s="10">
        <v>180</v>
      </c>
      <c r="V2236" s="45"/>
      <c r="X2236" s="29">
        <v>14.5</v>
      </c>
      <c r="Y2236" s="54" t="s">
        <v>47</v>
      </c>
    </row>
    <row r="2237" spans="1:26" ht="23.1" customHeight="1" x14ac:dyDescent="0.25">
      <c r="A2237" s="53" t="s">
        <v>1489</v>
      </c>
      <c r="B2237" s="10" t="s">
        <v>110</v>
      </c>
      <c r="C2237" s="10">
        <v>105</v>
      </c>
      <c r="D2237" s="10" t="s">
        <v>1176</v>
      </c>
      <c r="E2237" s="41" t="s">
        <v>1098</v>
      </c>
      <c r="F2237" s="41" t="s">
        <v>1098</v>
      </c>
      <c r="G2237" s="7" t="s">
        <v>250</v>
      </c>
      <c r="H2237" s="7">
        <v>50</v>
      </c>
      <c r="I2237" s="10" t="s">
        <v>2185</v>
      </c>
      <c r="J2237" s="10">
        <v>0.5</v>
      </c>
      <c r="K2237" s="10">
        <v>0.4</v>
      </c>
      <c r="L2237" s="43">
        <v>32</v>
      </c>
      <c r="M2237" s="43">
        <v>32</v>
      </c>
      <c r="N2237" s="12" t="s">
        <v>429</v>
      </c>
      <c r="P2237" s="10">
        <v>1080</v>
      </c>
      <c r="Q2237" s="10">
        <v>60</v>
      </c>
      <c r="S2237" s="11">
        <v>1</v>
      </c>
      <c r="T2237" s="10">
        <v>120</v>
      </c>
      <c r="V2237" s="45"/>
      <c r="X2237" s="29">
        <v>8.1999999999999993</v>
      </c>
      <c r="Y2237" s="54" t="s">
        <v>9</v>
      </c>
    </row>
    <row r="2238" spans="1:26" ht="23.1" customHeight="1" x14ac:dyDescent="0.25">
      <c r="A2238" s="53" t="s">
        <v>1489</v>
      </c>
      <c r="B2238" s="10" t="s">
        <v>110</v>
      </c>
      <c r="C2238" s="10">
        <v>99</v>
      </c>
      <c r="D2238" s="10" t="s">
        <v>1191</v>
      </c>
      <c r="E2238" s="41" t="s">
        <v>1192</v>
      </c>
      <c r="F2238" s="41" t="s">
        <v>1192</v>
      </c>
      <c r="G2238" s="7" t="s">
        <v>300</v>
      </c>
      <c r="H2238" s="7">
        <v>30</v>
      </c>
      <c r="I2238" s="10" t="s">
        <v>2186</v>
      </c>
      <c r="J2238" s="10">
        <v>0.2</v>
      </c>
      <c r="K2238" s="10">
        <v>0.1</v>
      </c>
      <c r="L2238" s="43">
        <v>32</v>
      </c>
      <c r="M2238" s="43">
        <v>32</v>
      </c>
      <c r="N2238" s="12" t="s">
        <v>219</v>
      </c>
      <c r="P2238" s="10">
        <v>1080</v>
      </c>
      <c r="Q2238" s="10">
        <v>120</v>
      </c>
      <c r="T2238" s="10">
        <v>120</v>
      </c>
      <c r="V2238" s="45"/>
      <c r="X2238" s="29">
        <v>1.8</v>
      </c>
      <c r="Y2238" s="54" t="s">
        <v>29</v>
      </c>
    </row>
    <row r="2239" spans="1:26" ht="23.1" customHeight="1" x14ac:dyDescent="0.25">
      <c r="A2239" s="53" t="s">
        <v>1489</v>
      </c>
      <c r="B2239" s="10" t="s">
        <v>110</v>
      </c>
      <c r="C2239" s="10">
        <v>99</v>
      </c>
      <c r="D2239" s="10" t="s">
        <v>776</v>
      </c>
      <c r="E2239" s="41" t="s">
        <v>777</v>
      </c>
      <c r="F2239" s="41" t="s">
        <v>777</v>
      </c>
      <c r="G2239" s="7" t="s">
        <v>107</v>
      </c>
      <c r="H2239" s="7">
        <v>15</v>
      </c>
      <c r="I2239" s="10" t="s">
        <v>2142</v>
      </c>
      <c r="J2239" s="10">
        <v>0.4</v>
      </c>
      <c r="K2239" s="10">
        <v>0.7</v>
      </c>
      <c r="L2239" s="43">
        <v>32</v>
      </c>
      <c r="M2239" s="43">
        <v>32</v>
      </c>
      <c r="N2239" s="12" t="s">
        <v>508</v>
      </c>
      <c r="P2239" s="10">
        <v>480</v>
      </c>
      <c r="Q2239" s="10">
        <v>60</v>
      </c>
      <c r="S2239" s="11">
        <v>1</v>
      </c>
      <c r="T2239" s="10">
        <v>120</v>
      </c>
      <c r="V2239" s="45">
        <v>1</v>
      </c>
      <c r="W2239" s="10">
        <v>3</v>
      </c>
      <c r="X2239" s="29">
        <v>11.6</v>
      </c>
      <c r="Y2239" s="54" t="s">
        <v>29</v>
      </c>
      <c r="Z2239" t="s">
        <v>1611</v>
      </c>
    </row>
    <row r="2240" spans="1:26" ht="23.1" customHeight="1" x14ac:dyDescent="0.25">
      <c r="A2240" s="53" t="s">
        <v>1489</v>
      </c>
      <c r="B2240" s="10" t="s">
        <v>110</v>
      </c>
      <c r="C2240" s="10">
        <v>103</v>
      </c>
      <c r="D2240" s="10" t="s">
        <v>1601</v>
      </c>
      <c r="E2240" s="41" t="s">
        <v>1602</v>
      </c>
      <c r="F2240" s="41" t="s">
        <v>1602</v>
      </c>
      <c r="G2240" s="7" t="s">
        <v>102</v>
      </c>
      <c r="H2240" s="7">
        <v>15</v>
      </c>
      <c r="I2240" s="10" t="s">
        <v>1931</v>
      </c>
      <c r="J2240" s="10">
        <v>1</v>
      </c>
      <c r="K2240" s="10">
        <v>1</v>
      </c>
      <c r="L2240" s="43">
        <v>32</v>
      </c>
      <c r="M2240" s="43">
        <v>32</v>
      </c>
      <c r="N2240" s="12" t="s">
        <v>596</v>
      </c>
      <c r="P2240" s="10">
        <v>180</v>
      </c>
      <c r="Q2240" s="10">
        <v>120</v>
      </c>
      <c r="S2240" s="11">
        <v>1</v>
      </c>
      <c r="T2240" s="10">
        <v>90</v>
      </c>
      <c r="V2240" s="45">
        <v>1</v>
      </c>
      <c r="X2240" s="29">
        <v>6.5</v>
      </c>
      <c r="Y2240" s="54" t="s">
        <v>61</v>
      </c>
    </row>
    <row r="2241" spans="1:26" ht="23.1" customHeight="1" x14ac:dyDescent="0.25">
      <c r="A2241" s="53" t="s">
        <v>1489</v>
      </c>
      <c r="B2241" s="10" t="s">
        <v>110</v>
      </c>
      <c r="C2241" s="10">
        <v>102</v>
      </c>
      <c r="D2241" s="10" t="s">
        <v>1097</v>
      </c>
      <c r="E2241" s="41" t="s">
        <v>1098</v>
      </c>
      <c r="F2241" s="41" t="s">
        <v>1098</v>
      </c>
      <c r="G2241" s="7" t="s">
        <v>250</v>
      </c>
      <c r="H2241" s="7">
        <v>50</v>
      </c>
      <c r="I2241" s="10" t="s">
        <v>2185</v>
      </c>
      <c r="J2241" s="10">
        <v>0.5</v>
      </c>
      <c r="K2241" s="10">
        <v>0.5</v>
      </c>
      <c r="L2241" s="43">
        <v>32</v>
      </c>
      <c r="M2241" s="43">
        <v>32</v>
      </c>
      <c r="N2241" s="12" t="s">
        <v>292</v>
      </c>
      <c r="P2241" s="10">
        <v>1080</v>
      </c>
      <c r="Q2241" s="10">
        <v>60</v>
      </c>
      <c r="S2241" s="11">
        <v>1</v>
      </c>
      <c r="T2241" s="10">
        <v>120</v>
      </c>
      <c r="V2241" s="45">
        <v>1</v>
      </c>
      <c r="X2241" s="29">
        <v>12</v>
      </c>
      <c r="Y2241" s="54" t="s">
        <v>36</v>
      </c>
    </row>
    <row r="2242" spans="1:26" ht="23.1" customHeight="1" x14ac:dyDescent="0.25">
      <c r="A2242" s="53" t="s">
        <v>1489</v>
      </c>
      <c r="B2242" s="10" t="s">
        <v>110</v>
      </c>
      <c r="C2242" s="10">
        <v>104</v>
      </c>
      <c r="D2242" s="10" t="s">
        <v>1582</v>
      </c>
      <c r="E2242" s="41" t="s">
        <v>1283</v>
      </c>
      <c r="F2242" s="41" t="s">
        <v>1283</v>
      </c>
      <c r="G2242" s="7" t="s">
        <v>102</v>
      </c>
      <c r="H2242" s="7">
        <v>20</v>
      </c>
      <c r="I2242" s="10" t="s">
        <v>2234</v>
      </c>
      <c r="J2242" s="10">
        <v>1</v>
      </c>
      <c r="K2242" s="10">
        <v>0.6</v>
      </c>
      <c r="L2242" s="43">
        <v>32</v>
      </c>
      <c r="M2242" s="43">
        <v>32</v>
      </c>
      <c r="N2242" s="12" t="s">
        <v>596</v>
      </c>
      <c r="P2242" s="10">
        <v>330</v>
      </c>
      <c r="Q2242" s="10">
        <v>60</v>
      </c>
      <c r="T2242" s="10">
        <v>90</v>
      </c>
      <c r="V2242" s="45"/>
      <c r="X2242" s="29">
        <v>3.3</v>
      </c>
      <c r="Y2242" s="54" t="s">
        <v>36</v>
      </c>
    </row>
    <row r="2243" spans="1:26" ht="23.1" customHeight="1" x14ac:dyDescent="0.25">
      <c r="A2243" s="53" t="s">
        <v>1489</v>
      </c>
      <c r="B2243" s="10" t="s">
        <v>110</v>
      </c>
      <c r="C2243" s="10">
        <v>104</v>
      </c>
      <c r="D2243" s="10" t="s">
        <v>1583</v>
      </c>
      <c r="E2243" s="41" t="s">
        <v>1283</v>
      </c>
      <c r="F2243" s="41" t="s">
        <v>1283</v>
      </c>
      <c r="G2243" s="7" t="s">
        <v>102</v>
      </c>
      <c r="H2243" s="7">
        <v>20</v>
      </c>
      <c r="I2243" s="10" t="s">
        <v>2234</v>
      </c>
      <c r="J2243" s="10">
        <v>0.3</v>
      </c>
      <c r="K2243" s="10">
        <v>0.8</v>
      </c>
      <c r="L2243" s="43">
        <v>32</v>
      </c>
      <c r="M2243" s="43">
        <v>32</v>
      </c>
      <c r="N2243" s="12" t="s">
        <v>596</v>
      </c>
      <c r="P2243" s="10">
        <v>330</v>
      </c>
      <c r="Q2243" s="10">
        <v>60</v>
      </c>
      <c r="S2243" s="11">
        <v>1</v>
      </c>
      <c r="T2243" s="10">
        <v>90</v>
      </c>
      <c r="V2243" s="45">
        <v>1</v>
      </c>
      <c r="X2243" s="29">
        <v>6.9</v>
      </c>
      <c r="Y2243" s="54" t="s">
        <v>36</v>
      </c>
    </row>
    <row r="2244" spans="1:26" ht="23.1" customHeight="1" x14ac:dyDescent="0.25">
      <c r="A2244" s="53" t="s">
        <v>1489</v>
      </c>
      <c r="B2244" s="10" t="s">
        <v>110</v>
      </c>
      <c r="C2244" s="10">
        <v>98</v>
      </c>
      <c r="D2244" s="10" t="s">
        <v>404</v>
      </c>
      <c r="E2244" s="41" t="s">
        <v>405</v>
      </c>
      <c r="F2244" s="41" t="s">
        <v>405</v>
      </c>
      <c r="G2244" s="7" t="s">
        <v>118</v>
      </c>
      <c r="H2244" s="7">
        <v>15</v>
      </c>
      <c r="I2244" s="10" t="s">
        <v>2144</v>
      </c>
      <c r="J2244" s="10">
        <v>0.7</v>
      </c>
      <c r="K2244" s="10">
        <v>0.8</v>
      </c>
      <c r="L2244" s="43">
        <v>32</v>
      </c>
      <c r="M2244" s="43">
        <v>32</v>
      </c>
      <c r="N2244" s="12" t="s">
        <v>509</v>
      </c>
      <c r="P2244" s="10">
        <v>720</v>
      </c>
      <c r="Q2244" s="10">
        <v>60</v>
      </c>
      <c r="S2244" s="11">
        <v>1</v>
      </c>
      <c r="T2244" s="10">
        <v>120</v>
      </c>
      <c r="V2244" s="45"/>
      <c r="X2244" s="29">
        <v>10.6</v>
      </c>
      <c r="Y2244" s="54" t="s">
        <v>36</v>
      </c>
    </row>
    <row r="2245" spans="1:26" ht="23.1" customHeight="1" x14ac:dyDescent="0.25">
      <c r="A2245" s="53" t="s">
        <v>1489</v>
      </c>
      <c r="B2245" s="10" t="s">
        <v>110</v>
      </c>
      <c r="C2245" s="10">
        <v>106</v>
      </c>
      <c r="D2245" s="10" t="s">
        <v>1070</v>
      </c>
      <c r="E2245" s="41" t="s">
        <v>101</v>
      </c>
      <c r="F2245" s="41" t="s">
        <v>101</v>
      </c>
      <c r="G2245" s="7" t="s">
        <v>300</v>
      </c>
      <c r="H2245" s="7">
        <v>25</v>
      </c>
      <c r="I2245" s="10" t="s">
        <v>2163</v>
      </c>
      <c r="J2245" s="10">
        <v>0.15</v>
      </c>
      <c r="K2245" s="10">
        <v>0.15</v>
      </c>
      <c r="L2245" s="43">
        <v>32</v>
      </c>
      <c r="M2245" s="43">
        <v>32</v>
      </c>
      <c r="N2245" s="12" t="s">
        <v>247</v>
      </c>
      <c r="P2245" s="10">
        <v>4800</v>
      </c>
      <c r="Q2245" s="10">
        <v>180</v>
      </c>
      <c r="T2245" s="10">
        <v>180</v>
      </c>
      <c r="V2245" s="45"/>
      <c r="X2245" s="29">
        <v>12</v>
      </c>
      <c r="Y2245" s="54" t="s">
        <v>36</v>
      </c>
    </row>
    <row r="2246" spans="1:26" ht="23.1" customHeight="1" x14ac:dyDescent="0.25">
      <c r="A2246" s="53" t="s">
        <v>1489</v>
      </c>
      <c r="B2246" s="10" t="s">
        <v>110</v>
      </c>
      <c r="C2246" s="10">
        <v>118</v>
      </c>
      <c r="D2246" s="10" t="s">
        <v>1171</v>
      </c>
      <c r="E2246" s="41" t="s">
        <v>1172</v>
      </c>
      <c r="F2246" s="41" t="s">
        <v>1172</v>
      </c>
      <c r="G2246" s="7" t="s">
        <v>300</v>
      </c>
      <c r="H2246" s="7">
        <v>25</v>
      </c>
      <c r="I2246" s="10" t="s">
        <v>2175</v>
      </c>
      <c r="K2246" s="10">
        <v>1</v>
      </c>
      <c r="L2246" s="43">
        <v>32</v>
      </c>
      <c r="M2246" s="43">
        <v>32</v>
      </c>
      <c r="N2246" s="12" t="s">
        <v>719</v>
      </c>
      <c r="P2246" s="10">
        <v>240</v>
      </c>
      <c r="Q2246" s="10">
        <v>60</v>
      </c>
      <c r="S2246" s="11">
        <v>1</v>
      </c>
      <c r="T2246" s="10">
        <v>60</v>
      </c>
      <c r="V2246" s="45">
        <v>1</v>
      </c>
      <c r="X2246" s="29">
        <v>6</v>
      </c>
      <c r="Y2246" s="54" t="s">
        <v>36</v>
      </c>
    </row>
    <row r="2247" spans="1:26" ht="23.1" customHeight="1" x14ac:dyDescent="0.25">
      <c r="A2247" s="53" t="s">
        <v>1489</v>
      </c>
      <c r="B2247" s="10" t="s">
        <v>110</v>
      </c>
      <c r="C2247" s="10">
        <v>118</v>
      </c>
      <c r="D2247" s="10" t="s">
        <v>1171</v>
      </c>
      <c r="E2247" s="41" t="s">
        <v>1172</v>
      </c>
      <c r="F2247" s="41" t="s">
        <v>1172</v>
      </c>
      <c r="G2247" s="7" t="s">
        <v>300</v>
      </c>
      <c r="H2247" s="7">
        <v>30</v>
      </c>
      <c r="I2247" s="10" t="s">
        <v>2170</v>
      </c>
      <c r="K2247" s="10">
        <v>0.1</v>
      </c>
      <c r="L2247" s="43">
        <v>32</v>
      </c>
      <c r="M2247" s="43">
        <v>32</v>
      </c>
      <c r="N2247" s="12" t="s">
        <v>719</v>
      </c>
      <c r="P2247" s="10">
        <v>1500</v>
      </c>
      <c r="Q2247" s="10">
        <v>60</v>
      </c>
      <c r="S2247" s="11">
        <v>1</v>
      </c>
      <c r="T2247" s="10">
        <v>120</v>
      </c>
      <c r="V2247" s="45">
        <v>1</v>
      </c>
      <c r="X2247" s="29">
        <v>5.5</v>
      </c>
      <c r="Y2247" s="54" t="s">
        <v>36</v>
      </c>
    </row>
    <row r="2248" spans="1:26" ht="23.1" customHeight="1" x14ac:dyDescent="0.25">
      <c r="A2248" s="53" t="s">
        <v>1489</v>
      </c>
      <c r="B2248" s="10" t="s">
        <v>110</v>
      </c>
      <c r="C2248" s="10">
        <v>117</v>
      </c>
      <c r="D2248" s="10" t="s">
        <v>1083</v>
      </c>
      <c r="E2248" s="41" t="s">
        <v>1082</v>
      </c>
      <c r="F2248" s="41" t="s">
        <v>1082</v>
      </c>
      <c r="G2248" s="7" t="s">
        <v>123</v>
      </c>
      <c r="H2248" s="7">
        <v>30</v>
      </c>
      <c r="I2248" s="10" t="s">
        <v>1863</v>
      </c>
      <c r="K2248" s="10">
        <v>1</v>
      </c>
      <c r="L2248" s="43">
        <v>32</v>
      </c>
      <c r="M2248" s="43">
        <v>32</v>
      </c>
      <c r="N2248" s="12" t="s">
        <v>780</v>
      </c>
      <c r="P2248" s="10">
        <v>240</v>
      </c>
      <c r="Q2248" s="10">
        <v>60</v>
      </c>
      <c r="S2248" s="11">
        <v>1</v>
      </c>
      <c r="T2248" s="10">
        <v>90</v>
      </c>
      <c r="V2248" s="45">
        <v>1</v>
      </c>
      <c r="W2248" s="10">
        <v>3</v>
      </c>
      <c r="X2248" s="29">
        <v>9.5</v>
      </c>
      <c r="Y2248" s="54" t="s">
        <v>36</v>
      </c>
      <c r="Z2248" t="s">
        <v>1612</v>
      </c>
    </row>
    <row r="2249" spans="1:26" ht="23.1" customHeight="1" x14ac:dyDescent="0.25">
      <c r="A2249" s="53" t="s">
        <v>1489</v>
      </c>
      <c r="B2249" s="10" t="s">
        <v>110</v>
      </c>
      <c r="C2249" s="10">
        <v>117</v>
      </c>
      <c r="D2249" s="10" t="s">
        <v>1083</v>
      </c>
      <c r="E2249" s="41" t="s">
        <v>1082</v>
      </c>
      <c r="F2249" s="41" t="s">
        <v>1082</v>
      </c>
      <c r="G2249" s="7" t="s">
        <v>123</v>
      </c>
      <c r="H2249" s="7">
        <v>35</v>
      </c>
      <c r="I2249" s="10" t="s">
        <v>2201</v>
      </c>
      <c r="K2249" s="10">
        <v>0.2</v>
      </c>
      <c r="L2249" s="43">
        <v>32</v>
      </c>
      <c r="M2249" s="43">
        <v>32</v>
      </c>
      <c r="N2249" s="12" t="s">
        <v>780</v>
      </c>
      <c r="P2249" s="10">
        <v>700</v>
      </c>
      <c r="Q2249" s="10">
        <v>60</v>
      </c>
      <c r="S2249" s="11">
        <v>1</v>
      </c>
      <c r="T2249" s="10">
        <v>90</v>
      </c>
      <c r="V2249" s="45">
        <v>1</v>
      </c>
      <c r="X2249" s="29">
        <v>4.8</v>
      </c>
      <c r="Y2249" s="54" t="s">
        <v>36</v>
      </c>
    </row>
    <row r="2250" spans="1:26" ht="23.1" customHeight="1" x14ac:dyDescent="0.25">
      <c r="A2250" s="53" t="s">
        <v>1489</v>
      </c>
      <c r="B2250" s="10" t="s">
        <v>110</v>
      </c>
      <c r="C2250" s="10">
        <v>100</v>
      </c>
      <c r="D2250" s="10" t="s">
        <v>484</v>
      </c>
      <c r="E2250" s="41" t="s">
        <v>485</v>
      </c>
      <c r="F2250" s="41" t="s">
        <v>485</v>
      </c>
      <c r="G2250" s="7" t="s">
        <v>300</v>
      </c>
      <c r="H2250" s="7">
        <v>25</v>
      </c>
      <c r="I2250" s="10" t="s">
        <v>2140</v>
      </c>
      <c r="J2250" s="10">
        <v>0.8</v>
      </c>
      <c r="K2250" s="10">
        <v>0.8</v>
      </c>
      <c r="L2250" s="43">
        <v>32</v>
      </c>
      <c r="M2250" s="43">
        <v>32</v>
      </c>
      <c r="N2250" s="12" t="s">
        <v>418</v>
      </c>
      <c r="P2250" s="10">
        <v>660</v>
      </c>
      <c r="Q2250" s="10">
        <v>60</v>
      </c>
      <c r="S2250" s="11">
        <v>1</v>
      </c>
      <c r="T2250" s="10">
        <v>180</v>
      </c>
      <c r="V2250" s="45">
        <v>1</v>
      </c>
      <c r="X2250" s="29">
        <v>12.8</v>
      </c>
      <c r="Y2250" s="54" t="s">
        <v>36</v>
      </c>
    </row>
    <row r="2251" spans="1:26" ht="23.1" customHeight="1" x14ac:dyDescent="0.25">
      <c r="A2251" s="53" t="s">
        <v>1489</v>
      </c>
      <c r="B2251" s="10" t="s">
        <v>110</v>
      </c>
      <c r="C2251" s="10">
        <v>83</v>
      </c>
      <c r="D2251" s="10" t="s">
        <v>1095</v>
      </c>
      <c r="E2251" s="41" t="s">
        <v>1096</v>
      </c>
      <c r="F2251" s="41" t="s">
        <v>1096</v>
      </c>
      <c r="G2251" s="7" t="s">
        <v>658</v>
      </c>
      <c r="H2251" s="7">
        <v>30</v>
      </c>
      <c r="I2251" s="10" t="s">
        <v>2131</v>
      </c>
      <c r="J2251" s="10">
        <v>1</v>
      </c>
      <c r="K2251" s="10">
        <v>1.4</v>
      </c>
      <c r="L2251" s="43">
        <v>32</v>
      </c>
      <c r="M2251" s="43">
        <v>32</v>
      </c>
      <c r="N2251" s="12" t="s">
        <v>1094</v>
      </c>
      <c r="P2251" s="10">
        <v>570</v>
      </c>
      <c r="Q2251" s="10">
        <v>60</v>
      </c>
      <c r="S2251" s="11">
        <v>2</v>
      </c>
      <c r="T2251" s="10">
        <v>120</v>
      </c>
      <c r="V2251" s="45"/>
      <c r="X2251" s="29">
        <v>15.3</v>
      </c>
      <c r="Y2251" s="54" t="s">
        <v>36</v>
      </c>
    </row>
    <row r="2252" spans="1:26" ht="23.1" customHeight="1" x14ac:dyDescent="0.25">
      <c r="A2252" s="53" t="s">
        <v>1489</v>
      </c>
      <c r="B2252" s="10" t="s">
        <v>110</v>
      </c>
      <c r="C2252" s="10">
        <v>82</v>
      </c>
      <c r="D2252" s="10" t="s">
        <v>1074</v>
      </c>
      <c r="E2252" s="41" t="s">
        <v>1075</v>
      </c>
      <c r="F2252" s="41" t="s">
        <v>1075</v>
      </c>
      <c r="G2252" s="7" t="s">
        <v>154</v>
      </c>
      <c r="H2252" s="7">
        <v>45</v>
      </c>
      <c r="I2252" s="10" t="s">
        <v>2125</v>
      </c>
      <c r="J2252" s="10">
        <v>1</v>
      </c>
      <c r="K2252" s="10">
        <v>0.6</v>
      </c>
      <c r="L2252" s="43">
        <v>32</v>
      </c>
      <c r="M2252" s="43">
        <v>32</v>
      </c>
      <c r="N2252" s="12" t="s">
        <v>199</v>
      </c>
      <c r="P2252" s="10">
        <v>600</v>
      </c>
      <c r="T2252" s="10">
        <v>120</v>
      </c>
      <c r="V2252" s="45"/>
      <c r="X2252" s="29">
        <v>6</v>
      </c>
      <c r="Y2252" s="54" t="s">
        <v>36</v>
      </c>
    </row>
    <row r="2253" spans="1:26" ht="23.1" customHeight="1" x14ac:dyDescent="0.25">
      <c r="A2253" s="53" t="s">
        <v>1489</v>
      </c>
      <c r="B2253" s="10" t="s">
        <v>113</v>
      </c>
      <c r="C2253" s="10">
        <v>99</v>
      </c>
      <c r="D2253" s="10" t="s">
        <v>776</v>
      </c>
      <c r="E2253" s="41" t="s">
        <v>777</v>
      </c>
      <c r="F2253" s="41" t="s">
        <v>777</v>
      </c>
      <c r="G2253" s="7" t="s">
        <v>107</v>
      </c>
      <c r="H2253" s="7">
        <v>15</v>
      </c>
      <c r="I2253" s="10" t="s">
        <v>2142</v>
      </c>
      <c r="J2253" s="10">
        <v>1.3</v>
      </c>
      <c r="K2253" s="10">
        <v>2.2999999999999998</v>
      </c>
      <c r="L2253" s="43">
        <v>25</v>
      </c>
      <c r="M2253" s="43">
        <v>25</v>
      </c>
      <c r="N2253" s="12" t="s">
        <v>1613</v>
      </c>
      <c r="P2253" s="10">
        <v>480</v>
      </c>
      <c r="Q2253" s="10">
        <v>60</v>
      </c>
      <c r="S2253" s="11">
        <v>2</v>
      </c>
      <c r="T2253" s="10">
        <v>120</v>
      </c>
      <c r="V2253" s="45"/>
      <c r="X2253" s="29">
        <v>20.399999999999999</v>
      </c>
      <c r="Y2253" s="54" t="s">
        <v>21</v>
      </c>
    </row>
    <row r="2254" spans="1:26" ht="23.1" customHeight="1" x14ac:dyDescent="0.25">
      <c r="A2254" s="53" t="s">
        <v>1489</v>
      </c>
      <c r="B2254" s="10" t="s">
        <v>113</v>
      </c>
      <c r="C2254" s="10">
        <v>97</v>
      </c>
      <c r="D2254" s="10" t="s">
        <v>1064</v>
      </c>
      <c r="E2254" s="41" t="s">
        <v>1065</v>
      </c>
      <c r="F2254" s="41" t="s">
        <v>1065</v>
      </c>
      <c r="G2254" s="7" t="s">
        <v>250</v>
      </c>
      <c r="H2254" s="7">
        <v>65</v>
      </c>
      <c r="I2254" s="10" t="s">
        <v>2184</v>
      </c>
      <c r="J2254" s="10">
        <v>3</v>
      </c>
      <c r="K2254" s="10">
        <v>3</v>
      </c>
      <c r="L2254" s="43">
        <v>25</v>
      </c>
      <c r="M2254" s="43">
        <v>25</v>
      </c>
      <c r="N2254" s="12" t="s">
        <v>429</v>
      </c>
      <c r="P2254" s="10">
        <v>60</v>
      </c>
      <c r="Q2254" s="10">
        <v>60</v>
      </c>
      <c r="S2254" s="11">
        <v>2</v>
      </c>
      <c r="T2254" s="10">
        <v>60</v>
      </c>
      <c r="V2254" s="45"/>
      <c r="X2254" s="29">
        <v>5</v>
      </c>
      <c r="Y2254" s="54" t="s">
        <v>1</v>
      </c>
    </row>
    <row r="2255" spans="1:26" ht="23.1" customHeight="1" x14ac:dyDescent="0.25">
      <c r="A2255" s="53" t="s">
        <v>1489</v>
      </c>
      <c r="B2255" s="10" t="s">
        <v>113</v>
      </c>
      <c r="C2255" s="10">
        <v>97</v>
      </c>
      <c r="D2255" s="10" t="s">
        <v>1076</v>
      </c>
      <c r="E2255" s="41" t="s">
        <v>1065</v>
      </c>
      <c r="F2255" s="41" t="s">
        <v>1065</v>
      </c>
      <c r="G2255" s="7" t="s">
        <v>250</v>
      </c>
      <c r="H2255" s="7">
        <v>65</v>
      </c>
      <c r="I2255" s="10" t="s">
        <v>2184</v>
      </c>
      <c r="J2255" s="10">
        <v>1</v>
      </c>
      <c r="K2255" s="10">
        <v>1</v>
      </c>
      <c r="L2255" s="43">
        <v>25</v>
      </c>
      <c r="M2255" s="43">
        <v>25</v>
      </c>
      <c r="N2255" s="12" t="s">
        <v>429</v>
      </c>
      <c r="P2255" s="10">
        <v>60</v>
      </c>
      <c r="Q2255" s="10">
        <v>60</v>
      </c>
      <c r="S2255" s="11">
        <v>1</v>
      </c>
      <c r="T2255" s="10">
        <v>60</v>
      </c>
      <c r="V2255" s="45">
        <v>1</v>
      </c>
      <c r="X2255" s="29">
        <v>3</v>
      </c>
      <c r="Y2255" s="54" t="s">
        <v>1</v>
      </c>
    </row>
    <row r="2256" spans="1:26" ht="23.1" customHeight="1" x14ac:dyDescent="0.25">
      <c r="A2256" s="53" t="s">
        <v>1489</v>
      </c>
      <c r="B2256" s="10" t="s">
        <v>113</v>
      </c>
      <c r="C2256" s="10">
        <v>105</v>
      </c>
      <c r="D2256" s="10" t="s">
        <v>1176</v>
      </c>
      <c r="E2256" s="41" t="s">
        <v>1098</v>
      </c>
      <c r="F2256" s="41" t="s">
        <v>1098</v>
      </c>
      <c r="G2256" s="7" t="s">
        <v>250</v>
      </c>
      <c r="H2256" s="7">
        <v>50</v>
      </c>
      <c r="I2256" s="10" t="s">
        <v>2185</v>
      </c>
      <c r="J2256" s="10">
        <v>0.5</v>
      </c>
      <c r="K2256" s="10">
        <v>0.5</v>
      </c>
      <c r="L2256" s="43">
        <v>25</v>
      </c>
      <c r="M2256" s="43">
        <v>25</v>
      </c>
      <c r="N2256" s="12" t="s">
        <v>429</v>
      </c>
      <c r="P2256" s="10">
        <v>1080</v>
      </c>
      <c r="Q2256" s="10">
        <v>60</v>
      </c>
      <c r="T2256" s="10">
        <v>120</v>
      </c>
      <c r="V2256" s="45"/>
      <c r="X2256" s="29">
        <v>9</v>
      </c>
      <c r="Y2256" s="54" t="s">
        <v>28</v>
      </c>
    </row>
    <row r="2257" spans="1:26" ht="23.1" customHeight="1" x14ac:dyDescent="0.25">
      <c r="A2257" s="53" t="s">
        <v>1489</v>
      </c>
      <c r="B2257" s="10" t="s">
        <v>113</v>
      </c>
      <c r="C2257" s="10">
        <v>82</v>
      </c>
      <c r="D2257" s="10" t="s">
        <v>1074</v>
      </c>
      <c r="E2257" s="41" t="s">
        <v>1075</v>
      </c>
      <c r="F2257" s="41" t="s">
        <v>1075</v>
      </c>
      <c r="G2257" s="7" t="s">
        <v>154</v>
      </c>
      <c r="H2257" s="7">
        <v>50</v>
      </c>
      <c r="I2257" s="10" t="s">
        <v>2148</v>
      </c>
      <c r="J2257" s="10">
        <v>1</v>
      </c>
      <c r="K2257" s="10">
        <v>1</v>
      </c>
      <c r="L2257" s="43">
        <v>25</v>
      </c>
      <c r="M2257" s="43">
        <v>25</v>
      </c>
      <c r="N2257" s="12" t="s">
        <v>221</v>
      </c>
      <c r="P2257" s="10">
        <v>500</v>
      </c>
      <c r="S2257" s="11">
        <v>1</v>
      </c>
      <c r="T2257" s="10">
        <v>120</v>
      </c>
      <c r="V2257" s="45">
        <v>1</v>
      </c>
      <c r="W2257" s="10">
        <v>2</v>
      </c>
      <c r="X2257" s="29">
        <v>12.3</v>
      </c>
      <c r="Y2257" s="54" t="s">
        <v>56</v>
      </c>
      <c r="Z2257" t="s">
        <v>1614</v>
      </c>
    </row>
    <row r="2258" spans="1:26" ht="23.1" customHeight="1" x14ac:dyDescent="0.25">
      <c r="A2258" s="53" t="s">
        <v>1489</v>
      </c>
      <c r="B2258" s="10" t="s">
        <v>113</v>
      </c>
      <c r="C2258" s="10">
        <v>103</v>
      </c>
      <c r="D2258" s="10" t="s">
        <v>1615</v>
      </c>
      <c r="E2258" s="41" t="s">
        <v>259</v>
      </c>
      <c r="F2258" s="41" t="s">
        <v>259</v>
      </c>
      <c r="G2258" s="7" t="s">
        <v>123</v>
      </c>
      <c r="H2258" s="7">
        <v>10</v>
      </c>
      <c r="I2258" s="10" t="s">
        <v>1916</v>
      </c>
      <c r="J2258" s="10">
        <v>4</v>
      </c>
      <c r="K2258" s="10">
        <v>1</v>
      </c>
      <c r="L2258" s="43">
        <v>25</v>
      </c>
      <c r="M2258" s="43">
        <v>25</v>
      </c>
      <c r="N2258" s="12" t="s">
        <v>1616</v>
      </c>
      <c r="P2258" s="10">
        <v>180</v>
      </c>
      <c r="Q2258" s="10">
        <v>60</v>
      </c>
      <c r="S2258" s="11">
        <v>1</v>
      </c>
      <c r="T2258" s="10">
        <v>60</v>
      </c>
      <c r="V2258" s="45">
        <v>1</v>
      </c>
      <c r="X2258" s="29">
        <v>5</v>
      </c>
      <c r="Y2258" s="54" t="s">
        <v>62</v>
      </c>
    </row>
    <row r="2259" spans="1:26" ht="23.1" customHeight="1" x14ac:dyDescent="0.25">
      <c r="A2259" s="53" t="s">
        <v>1489</v>
      </c>
      <c r="B2259" s="10" t="s">
        <v>113</v>
      </c>
      <c r="C2259" s="10">
        <v>103</v>
      </c>
      <c r="D2259" s="10" t="s">
        <v>1601</v>
      </c>
      <c r="E2259" s="41" t="s">
        <v>1602</v>
      </c>
      <c r="F2259" s="41" t="s">
        <v>1602</v>
      </c>
      <c r="G2259" s="7" t="s">
        <v>102</v>
      </c>
      <c r="H2259" s="7">
        <v>20</v>
      </c>
      <c r="I2259" s="10" t="s">
        <v>1936</v>
      </c>
      <c r="J2259" s="10">
        <v>1</v>
      </c>
      <c r="K2259" s="10">
        <v>1</v>
      </c>
      <c r="L2259" s="43">
        <v>25</v>
      </c>
      <c r="M2259" s="43">
        <v>25</v>
      </c>
      <c r="N2259" s="12" t="s">
        <v>596</v>
      </c>
      <c r="P2259" s="10">
        <v>60</v>
      </c>
      <c r="Q2259" s="10">
        <v>120</v>
      </c>
      <c r="S2259" s="11">
        <v>1</v>
      </c>
      <c r="T2259" s="10">
        <v>90</v>
      </c>
      <c r="V2259" s="45">
        <v>1</v>
      </c>
      <c r="X2259" s="29">
        <v>4.5</v>
      </c>
      <c r="Y2259" s="54" t="s">
        <v>62</v>
      </c>
    </row>
    <row r="2260" spans="1:26" ht="23.1" customHeight="1" x14ac:dyDescent="0.25">
      <c r="A2260" s="53" t="s">
        <v>1489</v>
      </c>
      <c r="B2260" s="10" t="s">
        <v>113</v>
      </c>
      <c r="C2260" s="10">
        <v>19</v>
      </c>
      <c r="D2260" s="10" t="s">
        <v>1604</v>
      </c>
      <c r="E2260" s="41" t="s">
        <v>1605</v>
      </c>
      <c r="F2260" s="41" t="s">
        <v>1605</v>
      </c>
      <c r="G2260" s="7" t="s">
        <v>300</v>
      </c>
      <c r="H2260" s="7">
        <v>5</v>
      </c>
      <c r="I2260" s="10" t="s">
        <v>1930</v>
      </c>
      <c r="K2260" s="10">
        <v>1.5</v>
      </c>
      <c r="L2260" s="43">
        <v>25</v>
      </c>
      <c r="M2260" s="43">
        <v>25</v>
      </c>
      <c r="N2260" s="12" t="s">
        <v>1617</v>
      </c>
      <c r="P2260" s="10">
        <v>240</v>
      </c>
      <c r="Q2260" s="10">
        <v>60</v>
      </c>
      <c r="S2260" s="11">
        <v>1</v>
      </c>
      <c r="T2260" s="10">
        <v>120</v>
      </c>
      <c r="V2260" s="45"/>
      <c r="X2260" s="29">
        <v>7</v>
      </c>
      <c r="Y2260" s="54" t="s">
        <v>11</v>
      </c>
    </row>
    <row r="2261" spans="1:26" ht="23.1" customHeight="1" x14ac:dyDescent="0.25">
      <c r="A2261" s="53" t="s">
        <v>1489</v>
      </c>
      <c r="B2261" s="10" t="s">
        <v>113</v>
      </c>
      <c r="C2261" s="10">
        <v>19</v>
      </c>
      <c r="D2261" s="10" t="s">
        <v>1607</v>
      </c>
      <c r="E2261" s="41" t="s">
        <v>1608</v>
      </c>
      <c r="F2261" s="41" t="s">
        <v>1608</v>
      </c>
      <c r="G2261" s="7" t="s">
        <v>300</v>
      </c>
      <c r="H2261" s="7">
        <v>5</v>
      </c>
      <c r="I2261" s="10" t="s">
        <v>1930</v>
      </c>
      <c r="J2261" s="10">
        <v>2</v>
      </c>
      <c r="K2261" s="10">
        <v>1</v>
      </c>
      <c r="L2261" s="43">
        <v>25</v>
      </c>
      <c r="M2261" s="43">
        <v>25</v>
      </c>
      <c r="N2261" s="12" t="s">
        <v>1618</v>
      </c>
      <c r="P2261" s="10">
        <v>240</v>
      </c>
      <c r="Q2261" s="10">
        <v>60</v>
      </c>
      <c r="S2261" s="11">
        <v>1</v>
      </c>
      <c r="T2261" s="10">
        <v>120</v>
      </c>
      <c r="V2261" s="45"/>
      <c r="X2261" s="29">
        <v>5</v>
      </c>
      <c r="Y2261" s="54" t="s">
        <v>11</v>
      </c>
    </row>
    <row r="2262" spans="1:26" ht="23.1" customHeight="1" x14ac:dyDescent="0.25">
      <c r="A2262" s="53" t="s">
        <v>1489</v>
      </c>
      <c r="B2262" s="10" t="s">
        <v>113</v>
      </c>
      <c r="C2262" s="10">
        <v>83</v>
      </c>
      <c r="D2262" s="10" t="s">
        <v>1095</v>
      </c>
      <c r="E2262" s="41" t="s">
        <v>1096</v>
      </c>
      <c r="F2262" s="41" t="s">
        <v>1096</v>
      </c>
      <c r="G2262" s="7" t="s">
        <v>658</v>
      </c>
      <c r="H2262" s="7">
        <v>30</v>
      </c>
      <c r="I2262" s="10" t="s">
        <v>2131</v>
      </c>
      <c r="J2262" s="10">
        <v>1</v>
      </c>
      <c r="K2262" s="10">
        <v>1.5</v>
      </c>
      <c r="L2262" s="43">
        <v>25</v>
      </c>
      <c r="M2262" s="43">
        <v>25</v>
      </c>
      <c r="N2262" s="12" t="s">
        <v>1619</v>
      </c>
      <c r="P2262" s="10">
        <v>570</v>
      </c>
      <c r="Q2262" s="10">
        <v>60</v>
      </c>
      <c r="S2262" s="11">
        <v>1</v>
      </c>
      <c r="T2262" s="10">
        <v>120</v>
      </c>
      <c r="V2262" s="45"/>
      <c r="X2262" s="29">
        <v>15.3</v>
      </c>
      <c r="Y2262" s="54" t="s">
        <v>66</v>
      </c>
    </row>
    <row r="2263" spans="1:26" ht="23.1" customHeight="1" x14ac:dyDescent="0.25">
      <c r="A2263" s="53" t="s">
        <v>1489</v>
      </c>
      <c r="B2263" s="10" t="s">
        <v>113</v>
      </c>
      <c r="C2263" s="10">
        <v>44</v>
      </c>
      <c r="D2263" s="10" t="s">
        <v>266</v>
      </c>
      <c r="E2263" s="41" t="s">
        <v>267</v>
      </c>
      <c r="F2263" s="41" t="s">
        <v>267</v>
      </c>
      <c r="G2263" s="7" t="s">
        <v>118</v>
      </c>
      <c r="H2263" s="7">
        <v>10</v>
      </c>
      <c r="I2263" s="10" t="s">
        <v>1916</v>
      </c>
      <c r="J2263" s="10">
        <v>3</v>
      </c>
      <c r="K2263" s="10">
        <v>3</v>
      </c>
      <c r="L2263" s="43">
        <v>25</v>
      </c>
      <c r="M2263" s="43">
        <v>25</v>
      </c>
      <c r="N2263" s="12" t="s">
        <v>1620</v>
      </c>
      <c r="P2263" s="10">
        <v>180</v>
      </c>
      <c r="Q2263" s="10">
        <v>60</v>
      </c>
      <c r="S2263" s="11">
        <v>3</v>
      </c>
      <c r="T2263" s="10">
        <v>60</v>
      </c>
      <c r="V2263" s="45">
        <v>1</v>
      </c>
      <c r="X2263" s="29">
        <v>13</v>
      </c>
      <c r="Y2263" s="54" t="s">
        <v>66</v>
      </c>
    </row>
    <row r="2264" spans="1:26" ht="23.1" customHeight="1" x14ac:dyDescent="0.25">
      <c r="A2264" s="53" t="s">
        <v>1489</v>
      </c>
      <c r="B2264" s="10" t="s">
        <v>113</v>
      </c>
      <c r="C2264" s="10">
        <v>100</v>
      </c>
      <c r="D2264" s="10" t="s">
        <v>298</v>
      </c>
      <c r="E2264" s="41" t="s">
        <v>299</v>
      </c>
      <c r="F2264" s="41" t="s">
        <v>299</v>
      </c>
      <c r="G2264" s="7" t="s">
        <v>300</v>
      </c>
      <c r="H2264" s="7">
        <v>25</v>
      </c>
      <c r="I2264" s="10" t="s">
        <v>2140</v>
      </c>
      <c r="J2264" s="10">
        <v>0.8</v>
      </c>
      <c r="K2264" s="10">
        <v>1.2</v>
      </c>
      <c r="L2264" s="43">
        <v>25</v>
      </c>
      <c r="M2264" s="43">
        <v>25</v>
      </c>
      <c r="N2264" s="12" t="s">
        <v>1573</v>
      </c>
      <c r="P2264" s="10">
        <v>660</v>
      </c>
      <c r="Q2264" s="10">
        <v>60</v>
      </c>
      <c r="S2264" s="11">
        <v>1</v>
      </c>
      <c r="T2264" s="10">
        <v>180</v>
      </c>
      <c r="V2264" s="45"/>
      <c r="X2264" s="29">
        <v>14.2</v>
      </c>
      <c r="Y2264" s="54" t="s">
        <v>66</v>
      </c>
    </row>
    <row r="2265" spans="1:26" ht="23.1" customHeight="1" x14ac:dyDescent="0.25">
      <c r="A2265" s="53" t="s">
        <v>1489</v>
      </c>
      <c r="B2265" s="10" t="s">
        <v>113</v>
      </c>
      <c r="C2265" s="10">
        <v>102</v>
      </c>
      <c r="D2265" s="10" t="s">
        <v>1097</v>
      </c>
      <c r="E2265" s="41" t="s">
        <v>1098</v>
      </c>
      <c r="F2265" s="41" t="s">
        <v>1098</v>
      </c>
      <c r="G2265" s="7" t="s">
        <v>250</v>
      </c>
      <c r="H2265" s="7">
        <v>50</v>
      </c>
      <c r="I2265" s="10" t="s">
        <v>2185</v>
      </c>
      <c r="J2265" s="10">
        <v>0.5</v>
      </c>
      <c r="K2265" s="10">
        <v>0.5</v>
      </c>
      <c r="L2265" s="43">
        <v>25</v>
      </c>
      <c r="M2265" s="43">
        <v>25</v>
      </c>
      <c r="N2265" s="12" t="s">
        <v>292</v>
      </c>
      <c r="P2265" s="10">
        <v>1080</v>
      </c>
      <c r="Q2265" s="10">
        <v>60</v>
      </c>
      <c r="T2265" s="10">
        <v>120</v>
      </c>
      <c r="V2265" s="45"/>
      <c r="X2265" s="29">
        <v>9</v>
      </c>
      <c r="Y2265" s="54" t="s">
        <v>66</v>
      </c>
    </row>
    <row r="2266" spans="1:26" ht="23.1" customHeight="1" x14ac:dyDescent="0.25">
      <c r="A2266" s="53" t="s">
        <v>1489</v>
      </c>
      <c r="B2266" s="10" t="s">
        <v>113</v>
      </c>
      <c r="C2266" s="10">
        <v>98</v>
      </c>
      <c r="D2266" s="10" t="s">
        <v>404</v>
      </c>
      <c r="E2266" s="41" t="s">
        <v>405</v>
      </c>
      <c r="F2266" s="41" t="s">
        <v>405</v>
      </c>
      <c r="G2266" s="7" t="s">
        <v>118</v>
      </c>
      <c r="H2266" s="7">
        <v>15</v>
      </c>
      <c r="I2266" s="10" t="s">
        <v>2144</v>
      </c>
      <c r="J2266" s="10">
        <v>0.7</v>
      </c>
      <c r="K2266" s="10">
        <v>1.1000000000000001</v>
      </c>
      <c r="L2266" s="43">
        <v>25</v>
      </c>
      <c r="M2266" s="43">
        <v>25</v>
      </c>
      <c r="N2266" s="12" t="s">
        <v>1339</v>
      </c>
      <c r="P2266" s="10">
        <v>720</v>
      </c>
      <c r="Q2266" s="10">
        <v>60</v>
      </c>
      <c r="S2266" s="11">
        <v>1</v>
      </c>
      <c r="T2266" s="10">
        <v>120</v>
      </c>
      <c r="V2266" s="45"/>
      <c r="X2266" s="29">
        <v>14.2</v>
      </c>
      <c r="Y2266" s="54" t="s">
        <v>66</v>
      </c>
    </row>
    <row r="2267" spans="1:26" ht="23.1" customHeight="1" x14ac:dyDescent="0.25">
      <c r="A2267" s="53" t="s">
        <v>1489</v>
      </c>
      <c r="B2267" s="10" t="s">
        <v>113</v>
      </c>
      <c r="C2267" s="10">
        <v>106</v>
      </c>
      <c r="D2267" s="10" t="s">
        <v>1070</v>
      </c>
      <c r="E2267" s="41" t="s">
        <v>101</v>
      </c>
      <c r="F2267" s="41" t="s">
        <v>101</v>
      </c>
      <c r="G2267" s="7" t="s">
        <v>300</v>
      </c>
      <c r="H2267" s="7">
        <v>25</v>
      </c>
      <c r="I2267" s="10" t="s">
        <v>2163</v>
      </c>
      <c r="J2267" s="10">
        <v>0.15</v>
      </c>
      <c r="K2267" s="10">
        <v>0.15</v>
      </c>
      <c r="L2267" s="43">
        <v>25</v>
      </c>
      <c r="M2267" s="43">
        <v>25</v>
      </c>
      <c r="N2267" s="12" t="s">
        <v>247</v>
      </c>
      <c r="P2267" s="10">
        <v>4800</v>
      </c>
      <c r="Q2267" s="10">
        <v>180</v>
      </c>
      <c r="T2267" s="10">
        <v>180</v>
      </c>
      <c r="V2267" s="45"/>
      <c r="X2267" s="29">
        <v>12</v>
      </c>
      <c r="Y2267" s="54" t="s">
        <v>66</v>
      </c>
    </row>
    <row r="2268" spans="1:26" ht="23.1" customHeight="1" x14ac:dyDescent="0.25">
      <c r="A2268" s="53" t="s">
        <v>1489</v>
      </c>
      <c r="B2268" s="10" t="s">
        <v>113</v>
      </c>
      <c r="C2268" s="10">
        <v>101</v>
      </c>
      <c r="D2268" s="10" t="s">
        <v>1099</v>
      </c>
      <c r="E2268" s="41" t="s">
        <v>760</v>
      </c>
      <c r="F2268" s="41" t="e">
        <v>#N/A</v>
      </c>
      <c r="G2268" s="7" t="s">
        <v>300</v>
      </c>
      <c r="H2268" s="7">
        <v>25</v>
      </c>
      <c r="I2268" s="10" t="s">
        <v>2154</v>
      </c>
      <c r="J2268" s="10">
        <v>0.4</v>
      </c>
      <c r="K2268" s="10">
        <v>0.4</v>
      </c>
      <c r="L2268" s="43">
        <v>25</v>
      </c>
      <c r="M2268" s="43">
        <v>25</v>
      </c>
      <c r="N2268" s="12" t="s">
        <v>689</v>
      </c>
      <c r="P2268" s="10">
        <v>900</v>
      </c>
      <c r="Q2268" s="10">
        <v>60</v>
      </c>
      <c r="T2268" s="10">
        <v>180</v>
      </c>
      <c r="V2268" s="45"/>
      <c r="X2268" s="29">
        <v>6</v>
      </c>
      <c r="Y2268" s="54" t="s">
        <v>66</v>
      </c>
    </row>
    <row r="2269" spans="1:26" ht="23.1" customHeight="1" x14ac:dyDescent="0.25">
      <c r="A2269" s="53" t="s">
        <v>1489</v>
      </c>
      <c r="B2269" s="10" t="s">
        <v>113</v>
      </c>
      <c r="C2269" s="10">
        <v>101</v>
      </c>
      <c r="D2269" s="10" t="s">
        <v>1099</v>
      </c>
      <c r="E2269" s="41" t="s">
        <v>760</v>
      </c>
      <c r="F2269" s="41" t="e">
        <v>#N/A</v>
      </c>
      <c r="G2269" s="7" t="s">
        <v>300</v>
      </c>
      <c r="H2269" s="7">
        <v>25</v>
      </c>
      <c r="I2269" s="10" t="s">
        <v>2154</v>
      </c>
      <c r="J2269" s="10">
        <v>1</v>
      </c>
      <c r="K2269" s="10">
        <v>1</v>
      </c>
      <c r="L2269" s="43">
        <v>25</v>
      </c>
      <c r="M2269" s="43">
        <v>25</v>
      </c>
      <c r="N2269" s="12" t="s">
        <v>689</v>
      </c>
      <c r="O2269" s="10">
        <v>120</v>
      </c>
      <c r="P2269" s="10">
        <v>900</v>
      </c>
      <c r="Q2269" s="10">
        <v>60</v>
      </c>
      <c r="R2269" s="10">
        <v>60</v>
      </c>
      <c r="S2269" s="11">
        <v>1</v>
      </c>
      <c r="T2269" s="10">
        <v>180</v>
      </c>
      <c r="V2269" s="45">
        <v>90</v>
      </c>
      <c r="W2269" s="10">
        <v>2</v>
      </c>
      <c r="X2269" s="32">
        <v>5</v>
      </c>
      <c r="Y2269" s="54" t="s">
        <v>66</v>
      </c>
      <c r="Z2269" t="s">
        <v>1396</v>
      </c>
    </row>
    <row r="2270" spans="1:26" ht="23.1" customHeight="1" x14ac:dyDescent="0.25">
      <c r="A2270" s="53" t="s">
        <v>1489</v>
      </c>
      <c r="B2270" s="10" t="s">
        <v>113</v>
      </c>
      <c r="C2270" s="10">
        <v>104</v>
      </c>
      <c r="D2270" s="10" t="s">
        <v>1583</v>
      </c>
      <c r="E2270" s="41" t="s">
        <v>1283</v>
      </c>
      <c r="F2270" s="41" t="s">
        <v>1283</v>
      </c>
      <c r="G2270" s="7" t="s">
        <v>102</v>
      </c>
      <c r="H2270" s="7">
        <v>25</v>
      </c>
      <c r="I2270" s="10" t="s">
        <v>2305</v>
      </c>
      <c r="J2270" s="10">
        <v>1</v>
      </c>
      <c r="K2270" s="10">
        <v>0.5</v>
      </c>
      <c r="L2270" s="43">
        <v>25</v>
      </c>
      <c r="M2270" s="43">
        <v>25</v>
      </c>
      <c r="N2270" s="12" t="s">
        <v>596</v>
      </c>
      <c r="P2270" s="10">
        <v>220</v>
      </c>
      <c r="Q2270" s="10">
        <v>60</v>
      </c>
      <c r="S2270" s="11">
        <v>1</v>
      </c>
      <c r="T2270" s="10">
        <v>90</v>
      </c>
      <c r="V2270" s="45">
        <v>1</v>
      </c>
      <c r="X2270" s="29">
        <v>4.3</v>
      </c>
      <c r="Y2270" s="54" t="s">
        <v>66</v>
      </c>
    </row>
    <row r="2271" spans="1:26" ht="23.1" customHeight="1" x14ac:dyDescent="0.25">
      <c r="A2271" s="53" t="s">
        <v>1489</v>
      </c>
      <c r="B2271" s="10" t="s">
        <v>113</v>
      </c>
      <c r="C2271" s="10">
        <v>104</v>
      </c>
      <c r="D2271" s="10" t="s">
        <v>1582</v>
      </c>
      <c r="E2271" s="41" t="s">
        <v>1283</v>
      </c>
      <c r="F2271" s="41" t="s">
        <v>1283</v>
      </c>
      <c r="G2271" s="7" t="s">
        <v>102</v>
      </c>
      <c r="H2271" s="7">
        <v>20</v>
      </c>
      <c r="I2271" s="10" t="s">
        <v>2301</v>
      </c>
      <c r="K2271" s="10">
        <v>0.2</v>
      </c>
      <c r="L2271" s="43">
        <v>25</v>
      </c>
      <c r="M2271" s="43">
        <v>25</v>
      </c>
      <c r="N2271" s="12" t="s">
        <v>596</v>
      </c>
      <c r="P2271" s="10">
        <v>330</v>
      </c>
      <c r="Q2271" s="10">
        <v>60</v>
      </c>
      <c r="T2271" s="10">
        <v>90</v>
      </c>
      <c r="V2271" s="45"/>
      <c r="X2271" s="29">
        <v>1.1000000000000001</v>
      </c>
      <c r="Y2271" s="54" t="s">
        <v>66</v>
      </c>
    </row>
    <row r="2272" spans="1:26" ht="23.1" customHeight="1" x14ac:dyDescent="0.25">
      <c r="A2272" s="53" t="s">
        <v>1489</v>
      </c>
      <c r="B2272" s="10" t="s">
        <v>113</v>
      </c>
      <c r="C2272" s="10">
        <v>104</v>
      </c>
      <c r="D2272" s="10" t="s">
        <v>1582</v>
      </c>
      <c r="E2272" s="41" t="s">
        <v>1283</v>
      </c>
      <c r="F2272" s="41" t="s">
        <v>1283</v>
      </c>
      <c r="G2272" s="7" t="s">
        <v>102</v>
      </c>
      <c r="H2272" s="7">
        <v>25</v>
      </c>
      <c r="I2272" s="10" t="s">
        <v>2305</v>
      </c>
      <c r="K2272" s="10">
        <v>1</v>
      </c>
      <c r="L2272" s="43">
        <v>25</v>
      </c>
      <c r="M2272" s="43">
        <v>25</v>
      </c>
      <c r="N2272" s="12" t="s">
        <v>596</v>
      </c>
      <c r="P2272" s="10">
        <v>220</v>
      </c>
      <c r="Q2272" s="10">
        <v>60</v>
      </c>
      <c r="S2272" s="11">
        <v>1</v>
      </c>
      <c r="T2272" s="10">
        <v>90</v>
      </c>
      <c r="V2272" s="45">
        <v>1</v>
      </c>
      <c r="X2272" s="29">
        <v>6.2</v>
      </c>
      <c r="Y2272" s="54" t="s">
        <v>66</v>
      </c>
    </row>
    <row r="2273" spans="1:26" ht="23.1" customHeight="1" x14ac:dyDescent="0.25">
      <c r="A2273" s="53" t="s">
        <v>1621</v>
      </c>
      <c r="B2273" s="10" t="s">
        <v>113</v>
      </c>
      <c r="C2273" s="10">
        <v>19</v>
      </c>
      <c r="D2273" s="10" t="s">
        <v>1607</v>
      </c>
      <c r="E2273" s="41" t="s">
        <v>1608</v>
      </c>
      <c r="F2273" s="41" t="s">
        <v>1608</v>
      </c>
      <c r="G2273" s="7" t="s">
        <v>300</v>
      </c>
      <c r="H2273" s="7">
        <v>10</v>
      </c>
      <c r="I2273" s="10" t="s">
        <v>2306</v>
      </c>
      <c r="J2273" s="10">
        <v>1</v>
      </c>
      <c r="K2273" s="10">
        <v>1</v>
      </c>
      <c r="L2273" s="43">
        <v>32</v>
      </c>
      <c r="M2273" s="43">
        <v>32</v>
      </c>
      <c r="N2273" s="12" t="s">
        <v>1622</v>
      </c>
      <c r="P2273" s="10">
        <v>90</v>
      </c>
      <c r="Q2273" s="10">
        <v>60</v>
      </c>
      <c r="S2273" s="11">
        <v>1</v>
      </c>
      <c r="T2273" s="10">
        <v>120</v>
      </c>
      <c r="V2273" s="45">
        <v>1</v>
      </c>
      <c r="X2273" s="29">
        <v>4.5</v>
      </c>
      <c r="Y2273" s="54" t="s">
        <v>17</v>
      </c>
    </row>
    <row r="2274" spans="1:26" ht="23.1" customHeight="1" x14ac:dyDescent="0.25">
      <c r="A2274" s="53" t="s">
        <v>1621</v>
      </c>
      <c r="B2274" s="10" t="s">
        <v>113</v>
      </c>
      <c r="C2274" s="10">
        <v>19</v>
      </c>
      <c r="D2274" s="10" t="s">
        <v>1604</v>
      </c>
      <c r="E2274" s="41" t="s">
        <v>1605</v>
      </c>
      <c r="F2274" s="41" t="s">
        <v>1605</v>
      </c>
      <c r="G2274" s="7" t="s">
        <v>300</v>
      </c>
      <c r="H2274" s="7">
        <v>10</v>
      </c>
      <c r="I2274" s="10" t="s">
        <v>2306</v>
      </c>
      <c r="J2274" s="10">
        <v>3</v>
      </c>
      <c r="K2274" s="10">
        <v>3</v>
      </c>
      <c r="L2274" s="43">
        <v>32</v>
      </c>
      <c r="M2274" s="43">
        <v>32</v>
      </c>
      <c r="N2274" s="12" t="s">
        <v>1623</v>
      </c>
      <c r="P2274" s="10">
        <v>90</v>
      </c>
      <c r="Q2274" s="10">
        <v>60</v>
      </c>
      <c r="S2274" s="11">
        <v>3</v>
      </c>
      <c r="T2274" s="10">
        <v>120</v>
      </c>
      <c r="V2274" s="45"/>
      <c r="X2274" s="29">
        <v>7.5</v>
      </c>
      <c r="Y2274" s="54" t="s">
        <v>17</v>
      </c>
    </row>
    <row r="2275" spans="1:26" ht="23.1" customHeight="1" x14ac:dyDescent="0.25">
      <c r="A2275" s="53" t="s">
        <v>1621</v>
      </c>
      <c r="B2275" s="10" t="s">
        <v>113</v>
      </c>
      <c r="C2275" s="10">
        <v>44</v>
      </c>
      <c r="D2275" s="10" t="s">
        <v>495</v>
      </c>
      <c r="E2275" s="41" t="s">
        <v>267</v>
      </c>
      <c r="F2275" s="41" t="s">
        <v>267</v>
      </c>
      <c r="G2275" s="7" t="s">
        <v>118</v>
      </c>
      <c r="H2275" s="7">
        <v>15</v>
      </c>
      <c r="I2275" s="10" t="s">
        <v>2262</v>
      </c>
      <c r="K2275" s="10">
        <v>0.9</v>
      </c>
      <c r="L2275" s="43">
        <v>32</v>
      </c>
      <c r="M2275" s="43">
        <v>32</v>
      </c>
      <c r="N2275" s="12" t="s">
        <v>221</v>
      </c>
      <c r="P2275" s="10">
        <v>190</v>
      </c>
      <c r="Q2275" s="10">
        <v>90</v>
      </c>
      <c r="S2275" s="11">
        <v>1</v>
      </c>
      <c r="T2275" s="10">
        <v>60</v>
      </c>
      <c r="V2275" s="45">
        <v>1</v>
      </c>
      <c r="X2275" s="29">
        <v>5.4</v>
      </c>
      <c r="Y2275" s="54" t="s">
        <v>64</v>
      </c>
    </row>
    <row r="2276" spans="1:26" ht="23.1" customHeight="1" x14ac:dyDescent="0.25">
      <c r="A2276" s="53" t="s">
        <v>1621</v>
      </c>
      <c r="B2276" s="10" t="s">
        <v>113</v>
      </c>
      <c r="C2276" s="10">
        <v>44</v>
      </c>
      <c r="D2276" s="10" t="s">
        <v>266</v>
      </c>
      <c r="E2276" s="41" t="s">
        <v>267</v>
      </c>
      <c r="F2276" s="41" t="s">
        <v>267</v>
      </c>
      <c r="G2276" s="7" t="s">
        <v>118</v>
      </c>
      <c r="H2276" s="7">
        <v>15</v>
      </c>
      <c r="I2276" s="10" t="s">
        <v>2262</v>
      </c>
      <c r="J2276" s="10">
        <v>5</v>
      </c>
      <c r="K2276" s="10">
        <v>5</v>
      </c>
      <c r="L2276" s="43">
        <v>32</v>
      </c>
      <c r="M2276" s="43">
        <v>32</v>
      </c>
      <c r="N2276" s="12" t="s">
        <v>491</v>
      </c>
      <c r="P2276" s="10">
        <v>190</v>
      </c>
      <c r="Q2276" s="10">
        <v>90</v>
      </c>
      <c r="S2276" s="11">
        <v>5</v>
      </c>
      <c r="T2276" s="10">
        <v>60</v>
      </c>
      <c r="V2276" s="45"/>
      <c r="X2276" s="29">
        <v>23.3</v>
      </c>
      <c r="Y2276" s="54" t="s">
        <v>64</v>
      </c>
    </row>
    <row r="2277" spans="1:26" ht="23.1" customHeight="1" x14ac:dyDescent="0.25">
      <c r="A2277" s="53" t="s">
        <v>1621</v>
      </c>
      <c r="B2277" s="10" t="s">
        <v>113</v>
      </c>
      <c r="C2277" s="10">
        <v>97</v>
      </c>
      <c r="D2277" s="10" t="s">
        <v>1076</v>
      </c>
      <c r="E2277" s="41" t="s">
        <v>1065</v>
      </c>
      <c r="F2277" s="41" t="s">
        <v>1065</v>
      </c>
      <c r="G2277" s="7" t="s">
        <v>250</v>
      </c>
      <c r="H2277" s="7">
        <v>65</v>
      </c>
      <c r="I2277" s="10" t="s">
        <v>2184</v>
      </c>
      <c r="J2277" s="10">
        <v>2</v>
      </c>
      <c r="K2277" s="10">
        <v>2</v>
      </c>
      <c r="L2277" s="43">
        <v>32</v>
      </c>
      <c r="M2277" s="43">
        <v>32</v>
      </c>
      <c r="N2277" s="12" t="s">
        <v>429</v>
      </c>
      <c r="P2277" s="10">
        <v>60</v>
      </c>
      <c r="Q2277" s="10">
        <v>60</v>
      </c>
      <c r="S2277" s="11">
        <v>2</v>
      </c>
      <c r="T2277" s="10">
        <v>60</v>
      </c>
      <c r="V2277" s="45"/>
      <c r="X2277" s="29">
        <v>4</v>
      </c>
      <c r="Y2277" s="54" t="s">
        <v>39</v>
      </c>
    </row>
    <row r="2278" spans="1:26" ht="23.1" customHeight="1" x14ac:dyDescent="0.25">
      <c r="A2278" s="53" t="s">
        <v>1621</v>
      </c>
      <c r="B2278" s="10" t="s">
        <v>113</v>
      </c>
      <c r="C2278" s="10">
        <v>97</v>
      </c>
      <c r="D2278" s="10" t="s">
        <v>1076</v>
      </c>
      <c r="E2278" s="41" t="s">
        <v>1065</v>
      </c>
      <c r="F2278" s="41" t="s">
        <v>1065</v>
      </c>
      <c r="G2278" s="7" t="s">
        <v>250</v>
      </c>
      <c r="H2278" s="7">
        <v>70</v>
      </c>
      <c r="I2278" s="10" t="s">
        <v>2101</v>
      </c>
      <c r="J2278" s="10">
        <v>6</v>
      </c>
      <c r="K2278" s="10">
        <v>4</v>
      </c>
      <c r="L2278" s="43">
        <v>32</v>
      </c>
      <c r="M2278" s="43">
        <v>32</v>
      </c>
      <c r="N2278" s="12" t="s">
        <v>429</v>
      </c>
      <c r="P2278" s="10">
        <v>90</v>
      </c>
      <c r="Q2278" s="10">
        <v>60</v>
      </c>
      <c r="S2278" s="11">
        <v>4</v>
      </c>
      <c r="T2278" s="10">
        <v>90</v>
      </c>
      <c r="V2278" s="45">
        <v>1</v>
      </c>
      <c r="X2278" s="29">
        <v>11.5</v>
      </c>
      <c r="Y2278" s="54" t="s">
        <v>39</v>
      </c>
    </row>
    <row r="2279" spans="1:26" ht="23.1" customHeight="1" x14ac:dyDescent="0.25">
      <c r="A2279" s="53" t="s">
        <v>1621</v>
      </c>
      <c r="B2279" s="10" t="s">
        <v>113</v>
      </c>
      <c r="C2279" s="10">
        <v>101</v>
      </c>
      <c r="D2279" s="10" t="s">
        <v>1099</v>
      </c>
      <c r="E2279" s="41" t="s">
        <v>760</v>
      </c>
      <c r="F2279" s="41" t="e">
        <v>#N/A</v>
      </c>
      <c r="G2279" s="7" t="s">
        <v>300</v>
      </c>
      <c r="H2279" s="7">
        <v>30</v>
      </c>
      <c r="I2279" s="10" t="s">
        <v>2133</v>
      </c>
      <c r="J2279" s="10">
        <v>0.9</v>
      </c>
      <c r="K2279" s="10">
        <v>1.4</v>
      </c>
      <c r="L2279" s="43">
        <v>32</v>
      </c>
      <c r="M2279" s="43">
        <v>32</v>
      </c>
      <c r="N2279" s="12" t="s">
        <v>1080</v>
      </c>
      <c r="P2279" s="10">
        <v>700</v>
      </c>
      <c r="Q2279" s="10">
        <v>60</v>
      </c>
      <c r="S2279" s="11">
        <v>1</v>
      </c>
      <c r="T2279" s="10">
        <v>120</v>
      </c>
      <c r="V2279" s="45"/>
      <c r="X2279" s="29">
        <v>17.3</v>
      </c>
      <c r="Y2279" s="54" t="s">
        <v>47</v>
      </c>
      <c r="Z2279" t="s">
        <v>1624</v>
      </c>
    </row>
    <row r="2280" spans="1:26" ht="23.1" customHeight="1" x14ac:dyDescent="0.25">
      <c r="A2280" s="53" t="s">
        <v>1621</v>
      </c>
      <c r="B2280" s="10" t="s">
        <v>113</v>
      </c>
      <c r="C2280" s="10">
        <v>105</v>
      </c>
      <c r="D2280" s="10" t="s">
        <v>1176</v>
      </c>
      <c r="E2280" s="41" t="s">
        <v>1098</v>
      </c>
      <c r="F2280" s="41" t="s">
        <v>1098</v>
      </c>
      <c r="G2280" s="7" t="s">
        <v>250</v>
      </c>
      <c r="H2280" s="7">
        <v>60</v>
      </c>
      <c r="I2280" s="10" t="s">
        <v>2502</v>
      </c>
      <c r="J2280" s="10">
        <v>3</v>
      </c>
      <c r="K2280" s="10">
        <v>3</v>
      </c>
      <c r="L2280" s="43">
        <v>32</v>
      </c>
      <c r="M2280" s="43">
        <v>32</v>
      </c>
      <c r="N2280" s="12" t="s">
        <v>429</v>
      </c>
      <c r="P2280" s="10">
        <v>90</v>
      </c>
      <c r="Q2280" s="10">
        <v>60</v>
      </c>
      <c r="S2280" s="11">
        <v>3</v>
      </c>
      <c r="T2280" s="10">
        <v>90</v>
      </c>
      <c r="V2280" s="45"/>
      <c r="X2280" s="29">
        <v>7.5</v>
      </c>
      <c r="Y2280" s="54" t="s">
        <v>9</v>
      </c>
    </row>
    <row r="2281" spans="1:26" ht="23.1" customHeight="1" x14ac:dyDescent="0.25">
      <c r="A2281" s="53" t="s">
        <v>1621</v>
      </c>
      <c r="B2281" s="10" t="s">
        <v>113</v>
      </c>
      <c r="C2281" s="10">
        <v>105</v>
      </c>
      <c r="D2281" s="10" t="s">
        <v>1176</v>
      </c>
      <c r="E2281" s="41" t="s">
        <v>1098</v>
      </c>
      <c r="F2281" s="41" t="s">
        <v>1098</v>
      </c>
      <c r="G2281" s="7" t="s">
        <v>250</v>
      </c>
      <c r="H2281" s="7">
        <v>60</v>
      </c>
      <c r="I2281" s="10" t="s">
        <v>2307</v>
      </c>
      <c r="J2281" s="10">
        <v>0.3</v>
      </c>
      <c r="L2281" s="43">
        <v>32</v>
      </c>
      <c r="M2281" s="43">
        <v>32</v>
      </c>
      <c r="N2281" s="12" t="s">
        <v>292</v>
      </c>
      <c r="P2281" s="10">
        <v>90</v>
      </c>
      <c r="Q2281" s="10">
        <v>60</v>
      </c>
      <c r="S2281" s="11">
        <v>1</v>
      </c>
      <c r="T2281" s="10">
        <v>90</v>
      </c>
      <c r="V2281" s="45">
        <v>1</v>
      </c>
      <c r="X2281" s="29">
        <v>2.5</v>
      </c>
      <c r="Y2281" s="54" t="s">
        <v>9</v>
      </c>
    </row>
    <row r="2282" spans="1:26" ht="23.1" customHeight="1" x14ac:dyDescent="0.25">
      <c r="A2282" s="53" t="s">
        <v>1621</v>
      </c>
      <c r="B2282" s="10" t="s">
        <v>113</v>
      </c>
      <c r="C2282" s="10">
        <v>99</v>
      </c>
      <c r="D2282" s="10" t="s">
        <v>738</v>
      </c>
      <c r="E2282" s="41" t="s">
        <v>739</v>
      </c>
      <c r="F2282" s="41" t="s">
        <v>739</v>
      </c>
      <c r="G2282" s="7" t="s">
        <v>107</v>
      </c>
      <c r="H2282" s="7">
        <v>15</v>
      </c>
      <c r="I2282" s="10" t="s">
        <v>2142</v>
      </c>
      <c r="J2282" s="10">
        <v>1.5</v>
      </c>
      <c r="K2282" s="10">
        <v>2.1</v>
      </c>
      <c r="L2282" s="43">
        <v>32</v>
      </c>
      <c r="M2282" s="43">
        <v>32</v>
      </c>
      <c r="N2282" s="12" t="s">
        <v>1625</v>
      </c>
      <c r="P2282" s="10">
        <v>480</v>
      </c>
      <c r="Q2282" s="10">
        <v>60</v>
      </c>
      <c r="S2282" s="11">
        <v>2</v>
      </c>
      <c r="T2282" s="10">
        <v>120</v>
      </c>
      <c r="V2282" s="45"/>
      <c r="X2282" s="29">
        <v>18.8</v>
      </c>
      <c r="Y2282" s="54" t="s">
        <v>29</v>
      </c>
    </row>
    <row r="2283" spans="1:26" ht="23.1" customHeight="1" x14ac:dyDescent="0.25">
      <c r="A2283" s="53" t="s">
        <v>1621</v>
      </c>
      <c r="B2283" s="10" t="s">
        <v>113</v>
      </c>
      <c r="C2283" s="10">
        <v>103</v>
      </c>
      <c r="D2283" s="10" t="s">
        <v>1615</v>
      </c>
      <c r="E2283" s="41" t="s">
        <v>259</v>
      </c>
      <c r="F2283" s="41" t="s">
        <v>259</v>
      </c>
      <c r="G2283" s="7" t="s">
        <v>123</v>
      </c>
      <c r="H2283" s="7">
        <v>15</v>
      </c>
      <c r="I2283" s="10" t="s">
        <v>1926</v>
      </c>
      <c r="J2283" s="10">
        <v>3</v>
      </c>
      <c r="K2283" s="10">
        <v>4</v>
      </c>
      <c r="L2283" s="43">
        <v>32</v>
      </c>
      <c r="M2283" s="43">
        <v>32</v>
      </c>
      <c r="N2283" s="12" t="s">
        <v>1626</v>
      </c>
      <c r="P2283" s="10">
        <v>140</v>
      </c>
      <c r="Q2283" s="10">
        <v>60</v>
      </c>
      <c r="S2283" s="11">
        <v>3</v>
      </c>
      <c r="T2283" s="10">
        <v>60</v>
      </c>
      <c r="V2283" s="45"/>
      <c r="X2283" s="29">
        <v>12.3</v>
      </c>
      <c r="Y2283" s="54" t="s">
        <v>61</v>
      </c>
    </row>
    <row r="2284" spans="1:26" ht="23.1" customHeight="1" x14ac:dyDescent="0.25">
      <c r="A2284" s="53" t="s">
        <v>1621</v>
      </c>
      <c r="B2284" s="10" t="s">
        <v>113</v>
      </c>
      <c r="C2284" s="10">
        <v>102</v>
      </c>
      <c r="D2284" s="10" t="s">
        <v>1097</v>
      </c>
      <c r="E2284" s="41" t="s">
        <v>1098</v>
      </c>
      <c r="F2284" s="41" t="s">
        <v>1098</v>
      </c>
      <c r="G2284" s="7" t="s">
        <v>250</v>
      </c>
      <c r="H2284" s="7">
        <v>50</v>
      </c>
      <c r="I2284" s="10" t="s">
        <v>2185</v>
      </c>
      <c r="J2284" s="10">
        <v>0.4</v>
      </c>
      <c r="K2284" s="10">
        <v>0.4</v>
      </c>
      <c r="L2284" s="43">
        <v>32</v>
      </c>
      <c r="M2284" s="43">
        <v>32</v>
      </c>
      <c r="N2284" s="12" t="s">
        <v>292</v>
      </c>
      <c r="P2284" s="10">
        <v>1080</v>
      </c>
      <c r="Q2284" s="10">
        <v>60</v>
      </c>
      <c r="T2284" s="10">
        <v>120</v>
      </c>
      <c r="V2284" s="45"/>
      <c r="X2284" s="29">
        <v>7.2</v>
      </c>
      <c r="Y2284" s="54" t="s">
        <v>34</v>
      </c>
    </row>
    <row r="2285" spans="1:26" ht="23.1" customHeight="1" x14ac:dyDescent="0.25">
      <c r="A2285" s="53" t="s">
        <v>1621</v>
      </c>
      <c r="B2285" s="10" t="s">
        <v>113</v>
      </c>
      <c r="C2285" s="10">
        <v>102</v>
      </c>
      <c r="D2285" s="10" t="s">
        <v>1108</v>
      </c>
      <c r="E2285" s="41" t="s">
        <v>1109</v>
      </c>
      <c r="F2285" s="41" t="s">
        <v>1109</v>
      </c>
      <c r="G2285" s="42" t="s">
        <v>323</v>
      </c>
      <c r="H2285" s="7">
        <v>45</v>
      </c>
      <c r="I2285" s="10" t="s">
        <v>2138</v>
      </c>
      <c r="K2285" s="10">
        <v>0.3</v>
      </c>
      <c r="L2285" s="43">
        <v>32</v>
      </c>
      <c r="M2285" s="43">
        <v>32</v>
      </c>
      <c r="N2285" s="12" t="s">
        <v>282</v>
      </c>
      <c r="P2285" s="10">
        <v>1080</v>
      </c>
      <c r="Q2285" s="10">
        <v>60</v>
      </c>
      <c r="S2285" s="11">
        <v>1</v>
      </c>
      <c r="T2285" s="10">
        <v>150</v>
      </c>
      <c r="V2285" s="45">
        <v>1</v>
      </c>
      <c r="W2285" s="14">
        <v>3</v>
      </c>
      <c r="X2285" s="29">
        <v>11.9</v>
      </c>
      <c r="Y2285" s="54" t="s">
        <v>34</v>
      </c>
      <c r="Z2285" t="s">
        <v>1572</v>
      </c>
    </row>
    <row r="2286" spans="1:26" ht="23.1" customHeight="1" x14ac:dyDescent="0.25">
      <c r="A2286" s="53" t="s">
        <v>1621</v>
      </c>
      <c r="B2286" s="10" t="s">
        <v>113</v>
      </c>
      <c r="C2286" s="10">
        <v>104</v>
      </c>
      <c r="D2286" s="10" t="s">
        <v>1627</v>
      </c>
      <c r="E2286" s="41" t="s">
        <v>1570</v>
      </c>
      <c r="F2286" s="41" t="s">
        <v>1570</v>
      </c>
      <c r="G2286" s="7" t="s">
        <v>102</v>
      </c>
      <c r="H2286" s="7">
        <v>25</v>
      </c>
      <c r="I2286" s="10" t="s">
        <v>2054</v>
      </c>
      <c r="J2286" s="10">
        <v>1</v>
      </c>
      <c r="K2286" s="10">
        <v>1</v>
      </c>
      <c r="L2286" s="43">
        <v>32</v>
      </c>
      <c r="M2286" s="43">
        <v>32</v>
      </c>
      <c r="N2286" s="12" t="s">
        <v>596</v>
      </c>
      <c r="P2286" s="10">
        <v>180</v>
      </c>
      <c r="Q2286" s="10">
        <v>60</v>
      </c>
      <c r="T2286" s="10">
        <v>60</v>
      </c>
      <c r="V2286" s="45"/>
      <c r="X2286" s="29">
        <v>3</v>
      </c>
      <c r="Y2286" s="54" t="s">
        <v>34</v>
      </c>
    </row>
    <row r="2287" spans="1:26" ht="23.1" customHeight="1" x14ac:dyDescent="0.25">
      <c r="A2287" s="53" t="s">
        <v>1621</v>
      </c>
      <c r="B2287" s="10" t="s">
        <v>113</v>
      </c>
      <c r="C2287" s="10">
        <v>104</v>
      </c>
      <c r="D2287" s="10" t="s">
        <v>1595</v>
      </c>
      <c r="E2287" s="41" t="s">
        <v>1570</v>
      </c>
      <c r="F2287" s="41" t="s">
        <v>1570</v>
      </c>
      <c r="G2287" s="7" t="s">
        <v>102</v>
      </c>
      <c r="H2287" s="7">
        <v>25</v>
      </c>
      <c r="I2287" s="10" t="s">
        <v>2054</v>
      </c>
      <c r="K2287" s="10">
        <v>1</v>
      </c>
      <c r="L2287" s="43">
        <v>32</v>
      </c>
      <c r="M2287" s="43">
        <v>32</v>
      </c>
      <c r="N2287" s="12" t="s">
        <v>596</v>
      </c>
      <c r="P2287" s="10">
        <v>180</v>
      </c>
      <c r="Q2287" s="10">
        <v>60</v>
      </c>
      <c r="S2287" s="11">
        <v>1</v>
      </c>
      <c r="T2287" s="10">
        <v>60</v>
      </c>
      <c r="V2287" s="45">
        <v>1</v>
      </c>
      <c r="X2287" s="29">
        <v>5</v>
      </c>
      <c r="Y2287" s="54" t="s">
        <v>34</v>
      </c>
    </row>
    <row r="2288" spans="1:26" ht="23.1" customHeight="1" x14ac:dyDescent="0.25">
      <c r="A2288" s="53" t="s">
        <v>1621</v>
      </c>
      <c r="B2288" s="10" t="s">
        <v>113</v>
      </c>
      <c r="C2288" s="10">
        <v>104</v>
      </c>
      <c r="D2288" s="10" t="s">
        <v>1569</v>
      </c>
      <c r="E2288" s="41" t="s">
        <v>1570</v>
      </c>
      <c r="F2288" s="41" t="s">
        <v>1570</v>
      </c>
      <c r="G2288" s="7" t="s">
        <v>102</v>
      </c>
      <c r="H2288" s="7">
        <v>25</v>
      </c>
      <c r="I2288" s="10" t="s">
        <v>2054</v>
      </c>
      <c r="K2288" s="10">
        <v>1</v>
      </c>
      <c r="L2288" s="43">
        <v>32</v>
      </c>
      <c r="M2288" s="43">
        <v>32</v>
      </c>
      <c r="N2288" s="12" t="s">
        <v>596</v>
      </c>
      <c r="P2288" s="10">
        <v>180</v>
      </c>
      <c r="Q2288" s="10">
        <v>60</v>
      </c>
      <c r="S2288" s="11">
        <v>1</v>
      </c>
      <c r="T2288" s="10">
        <v>60</v>
      </c>
      <c r="V2288" s="45">
        <v>1</v>
      </c>
      <c r="X2288" s="29">
        <v>5</v>
      </c>
      <c r="Y2288" s="54" t="s">
        <v>34</v>
      </c>
    </row>
    <row r="2289" spans="1:26" ht="23.1" customHeight="1" x14ac:dyDescent="0.25">
      <c r="A2289" s="53" t="s">
        <v>1621</v>
      </c>
      <c r="B2289" s="10" t="s">
        <v>113</v>
      </c>
      <c r="C2289" s="10">
        <v>98</v>
      </c>
      <c r="D2289" s="10" t="s">
        <v>404</v>
      </c>
      <c r="E2289" s="41" t="s">
        <v>405</v>
      </c>
      <c r="F2289" s="41" t="s">
        <v>405</v>
      </c>
      <c r="G2289" s="7" t="s">
        <v>118</v>
      </c>
      <c r="H2289" s="7">
        <v>15</v>
      </c>
      <c r="I2289" s="10" t="s">
        <v>2144</v>
      </c>
      <c r="J2289" s="10">
        <v>1</v>
      </c>
      <c r="K2289" s="10">
        <v>1</v>
      </c>
      <c r="L2289" s="43">
        <v>32</v>
      </c>
      <c r="M2289" s="43">
        <v>32</v>
      </c>
      <c r="N2289" s="12" t="s">
        <v>722</v>
      </c>
      <c r="P2289" s="10">
        <v>720</v>
      </c>
      <c r="Q2289" s="10">
        <v>60</v>
      </c>
      <c r="S2289" s="11">
        <v>1</v>
      </c>
      <c r="T2289" s="10">
        <v>120</v>
      </c>
      <c r="V2289" s="45"/>
      <c r="X2289" s="29">
        <v>13</v>
      </c>
      <c r="Y2289" s="54" t="s">
        <v>34</v>
      </c>
    </row>
    <row r="2290" spans="1:26" ht="23.1" customHeight="1" x14ac:dyDescent="0.25">
      <c r="A2290" s="53" t="s">
        <v>1621</v>
      </c>
      <c r="B2290" s="10" t="s">
        <v>113</v>
      </c>
      <c r="C2290" s="10">
        <v>106</v>
      </c>
      <c r="D2290" s="10" t="s">
        <v>1070</v>
      </c>
      <c r="E2290" s="41" t="s">
        <v>101</v>
      </c>
      <c r="F2290" s="41" t="s">
        <v>101</v>
      </c>
      <c r="G2290" s="7" t="s">
        <v>300</v>
      </c>
      <c r="H2290" s="7">
        <v>30</v>
      </c>
      <c r="I2290" s="10" t="s">
        <v>2503</v>
      </c>
      <c r="J2290" s="10">
        <v>0.5</v>
      </c>
      <c r="K2290" s="10">
        <v>0.5</v>
      </c>
      <c r="L2290" s="43">
        <v>32</v>
      </c>
      <c r="M2290" s="43">
        <v>32</v>
      </c>
      <c r="N2290" s="12" t="s">
        <v>247</v>
      </c>
      <c r="P2290" s="10">
        <v>1500</v>
      </c>
      <c r="Q2290" s="10">
        <v>180</v>
      </c>
      <c r="T2290" s="10">
        <v>180</v>
      </c>
      <c r="V2290" s="45"/>
      <c r="X2290" s="29">
        <v>12.5</v>
      </c>
      <c r="Y2290" s="54" t="s">
        <v>34</v>
      </c>
    </row>
    <row r="2291" spans="1:26" ht="23.1" customHeight="1" x14ac:dyDescent="0.25">
      <c r="A2291" s="53" t="s">
        <v>1621</v>
      </c>
      <c r="B2291" s="10" t="s">
        <v>113</v>
      </c>
      <c r="C2291" s="10">
        <v>118</v>
      </c>
      <c r="D2291" s="10" t="s">
        <v>1171</v>
      </c>
      <c r="E2291" s="41" t="s">
        <v>1172</v>
      </c>
      <c r="F2291" s="41" t="s">
        <v>1172</v>
      </c>
      <c r="G2291" s="7" t="s">
        <v>300</v>
      </c>
      <c r="H2291" s="7">
        <v>30</v>
      </c>
      <c r="I2291" s="10" t="s">
        <v>2170</v>
      </c>
      <c r="K2291" s="10">
        <v>0.6</v>
      </c>
      <c r="L2291" s="43">
        <v>32</v>
      </c>
      <c r="M2291" s="43">
        <v>32</v>
      </c>
      <c r="N2291" s="12" t="s">
        <v>719</v>
      </c>
      <c r="P2291" s="10">
        <v>1500</v>
      </c>
      <c r="Q2291" s="10">
        <v>60</v>
      </c>
      <c r="T2291" s="10">
        <v>120</v>
      </c>
      <c r="V2291" s="45"/>
      <c r="X2291" s="29">
        <v>15</v>
      </c>
      <c r="Y2291" s="54" t="s">
        <v>34</v>
      </c>
    </row>
    <row r="2292" spans="1:26" ht="23.1" customHeight="1" x14ac:dyDescent="0.25">
      <c r="A2292" s="53" t="s">
        <v>1621</v>
      </c>
      <c r="B2292" s="10" t="s">
        <v>113</v>
      </c>
      <c r="C2292" s="10">
        <v>117</v>
      </c>
      <c r="D2292" s="10" t="s">
        <v>1083</v>
      </c>
      <c r="E2292" s="41" t="s">
        <v>1082</v>
      </c>
      <c r="F2292" s="41" t="s">
        <v>1082</v>
      </c>
      <c r="G2292" s="7" t="s">
        <v>123</v>
      </c>
      <c r="H2292" s="7">
        <v>35</v>
      </c>
      <c r="I2292" s="10" t="s">
        <v>2201</v>
      </c>
      <c r="K2292" s="10">
        <v>0.6</v>
      </c>
      <c r="L2292" s="43">
        <v>32</v>
      </c>
      <c r="M2292" s="43">
        <v>32</v>
      </c>
      <c r="N2292" s="12" t="s">
        <v>780</v>
      </c>
      <c r="P2292" s="10">
        <v>700</v>
      </c>
      <c r="Q2292" s="10">
        <v>60</v>
      </c>
      <c r="T2292" s="10">
        <v>90</v>
      </c>
      <c r="V2292" s="45"/>
      <c r="W2292" s="14">
        <v>3</v>
      </c>
      <c r="X2292" s="29">
        <v>10</v>
      </c>
      <c r="Y2292" s="54" t="s">
        <v>34</v>
      </c>
      <c r="Z2292" t="s">
        <v>1612</v>
      </c>
    </row>
    <row r="2293" spans="1:26" ht="23.1" customHeight="1" x14ac:dyDescent="0.25">
      <c r="A2293" s="53" t="s">
        <v>1621</v>
      </c>
      <c r="B2293" s="10" t="s">
        <v>113</v>
      </c>
      <c r="C2293" s="10">
        <v>100</v>
      </c>
      <c r="D2293" s="10" t="s">
        <v>484</v>
      </c>
      <c r="E2293" s="41" t="s">
        <v>485</v>
      </c>
      <c r="F2293" s="41" t="s">
        <v>485</v>
      </c>
      <c r="G2293" s="7" t="s">
        <v>300</v>
      </c>
      <c r="H2293" s="7">
        <v>15</v>
      </c>
      <c r="I2293" s="10" t="s">
        <v>2134</v>
      </c>
      <c r="J2293" s="10">
        <v>1</v>
      </c>
      <c r="K2293" s="10">
        <v>1</v>
      </c>
      <c r="L2293" s="43">
        <v>32</v>
      </c>
      <c r="M2293" s="43">
        <v>32</v>
      </c>
      <c r="N2293" s="12" t="s">
        <v>355</v>
      </c>
      <c r="P2293" s="10">
        <v>120</v>
      </c>
      <c r="Q2293" s="10">
        <v>60</v>
      </c>
      <c r="S2293" s="11">
        <v>1</v>
      </c>
      <c r="T2293" s="10">
        <v>90</v>
      </c>
      <c r="V2293" s="45">
        <v>1</v>
      </c>
      <c r="X2293" s="29">
        <v>4.5</v>
      </c>
      <c r="Y2293" s="54" t="s">
        <v>34</v>
      </c>
    </row>
    <row r="2294" spans="1:26" ht="23.1" customHeight="1" x14ac:dyDescent="0.25">
      <c r="A2294" s="53" t="s">
        <v>1621</v>
      </c>
      <c r="B2294" s="10" t="s">
        <v>113</v>
      </c>
      <c r="C2294" s="10">
        <v>100</v>
      </c>
      <c r="D2294" s="10" t="s">
        <v>484</v>
      </c>
      <c r="E2294" s="41" t="s">
        <v>485</v>
      </c>
      <c r="F2294" s="41" t="s">
        <v>485</v>
      </c>
      <c r="G2294" s="7" t="s">
        <v>300</v>
      </c>
      <c r="H2294" s="7">
        <v>20</v>
      </c>
      <c r="I2294" s="10" t="s">
        <v>2135</v>
      </c>
      <c r="J2294" s="10">
        <v>1</v>
      </c>
      <c r="K2294" s="10">
        <v>1</v>
      </c>
      <c r="L2294" s="43">
        <v>32</v>
      </c>
      <c r="M2294" s="43">
        <v>32</v>
      </c>
      <c r="N2294" s="12" t="s">
        <v>355</v>
      </c>
      <c r="P2294" s="10">
        <v>420</v>
      </c>
      <c r="Q2294" s="10">
        <v>60</v>
      </c>
      <c r="S2294" s="11">
        <v>1</v>
      </c>
      <c r="T2294" s="10">
        <v>90</v>
      </c>
      <c r="V2294" s="45">
        <v>1</v>
      </c>
      <c r="X2294" s="29">
        <v>9.5</v>
      </c>
      <c r="Y2294" s="54" t="s">
        <v>34</v>
      </c>
    </row>
    <row r="2295" spans="1:26" ht="23.1" customHeight="1" x14ac:dyDescent="0.25">
      <c r="A2295" s="53" t="s">
        <v>1621</v>
      </c>
      <c r="B2295" s="10" t="s">
        <v>113</v>
      </c>
      <c r="C2295" s="10">
        <v>83</v>
      </c>
      <c r="D2295" s="10" t="s">
        <v>1095</v>
      </c>
      <c r="E2295" s="41" t="s">
        <v>1096</v>
      </c>
      <c r="F2295" s="41" t="s">
        <v>1096</v>
      </c>
      <c r="G2295" s="7" t="s">
        <v>658</v>
      </c>
      <c r="H2295" s="7">
        <v>30</v>
      </c>
      <c r="I2295" s="10" t="s">
        <v>2131</v>
      </c>
      <c r="J2295" s="10">
        <v>1.5</v>
      </c>
      <c r="K2295" s="10">
        <v>1.5</v>
      </c>
      <c r="L2295" s="43">
        <v>32</v>
      </c>
      <c r="M2295" s="43">
        <v>32</v>
      </c>
      <c r="N2295" s="12" t="s">
        <v>351</v>
      </c>
      <c r="P2295" s="10">
        <v>570</v>
      </c>
      <c r="Q2295" s="10">
        <v>60</v>
      </c>
      <c r="S2295" s="11">
        <v>1</v>
      </c>
      <c r="T2295" s="10">
        <v>120</v>
      </c>
      <c r="V2295" s="45"/>
      <c r="X2295" s="29">
        <v>15.3</v>
      </c>
      <c r="Y2295" s="54" t="s">
        <v>34</v>
      </c>
    </row>
    <row r="2296" spans="1:26" ht="23.1" customHeight="1" x14ac:dyDescent="0.25">
      <c r="A2296" s="53" t="s">
        <v>1621</v>
      </c>
      <c r="B2296" s="10" t="s">
        <v>113</v>
      </c>
      <c r="C2296" s="10">
        <v>82</v>
      </c>
      <c r="D2296" s="10" t="s">
        <v>1074</v>
      </c>
      <c r="E2296" s="41" t="s">
        <v>1075</v>
      </c>
      <c r="F2296" s="41" t="s">
        <v>1075</v>
      </c>
      <c r="G2296" s="7" t="s">
        <v>154</v>
      </c>
      <c r="H2296" s="7">
        <v>50</v>
      </c>
      <c r="I2296" s="10" t="s">
        <v>2148</v>
      </c>
      <c r="J2296" s="10">
        <v>1.5</v>
      </c>
      <c r="K2296" s="10">
        <v>2</v>
      </c>
      <c r="L2296" s="43">
        <v>32</v>
      </c>
      <c r="M2296" s="43">
        <v>32</v>
      </c>
      <c r="N2296" s="12" t="s">
        <v>1114</v>
      </c>
      <c r="P2296" s="10">
        <v>500</v>
      </c>
      <c r="S2296" s="11">
        <v>2</v>
      </c>
      <c r="T2296" s="10">
        <v>120</v>
      </c>
      <c r="V2296" s="45"/>
      <c r="X2296" s="29">
        <v>16.7</v>
      </c>
      <c r="Y2296" s="54" t="s">
        <v>34</v>
      </c>
    </row>
    <row r="2297" spans="1:26" ht="23.1" customHeight="1" x14ac:dyDescent="0.25">
      <c r="A2297" s="53" t="s">
        <v>1621</v>
      </c>
      <c r="B2297" s="10" t="s">
        <v>110</v>
      </c>
      <c r="C2297" s="10">
        <v>99</v>
      </c>
      <c r="D2297" s="10" t="s">
        <v>776</v>
      </c>
      <c r="E2297" s="41" t="s">
        <v>777</v>
      </c>
      <c r="F2297" s="41" t="s">
        <v>777</v>
      </c>
      <c r="G2297" s="7" t="s">
        <v>107</v>
      </c>
      <c r="H2297" s="7">
        <v>15</v>
      </c>
      <c r="I2297" s="10" t="s">
        <v>2142</v>
      </c>
      <c r="J2297" s="10">
        <v>1</v>
      </c>
      <c r="K2297" s="10">
        <v>1</v>
      </c>
      <c r="L2297" s="43">
        <v>25</v>
      </c>
      <c r="M2297" s="43">
        <v>25</v>
      </c>
      <c r="N2297" s="12" t="s">
        <v>1550</v>
      </c>
      <c r="P2297" s="10">
        <v>480</v>
      </c>
      <c r="Q2297" s="10">
        <v>60</v>
      </c>
      <c r="S2297" s="11">
        <v>1</v>
      </c>
      <c r="T2297" s="10">
        <v>120</v>
      </c>
      <c r="V2297" s="45"/>
      <c r="X2297" s="29">
        <v>9</v>
      </c>
      <c r="Y2297" s="54" t="s">
        <v>21</v>
      </c>
    </row>
    <row r="2298" spans="1:26" ht="23.1" customHeight="1" x14ac:dyDescent="0.25">
      <c r="A2298" s="53" t="s">
        <v>1621</v>
      </c>
      <c r="B2298" s="10" t="s">
        <v>110</v>
      </c>
      <c r="C2298" s="10">
        <v>99</v>
      </c>
      <c r="D2298" s="10" t="s">
        <v>738</v>
      </c>
      <c r="E2298" s="41" t="s">
        <v>739</v>
      </c>
      <c r="F2298" s="41" t="s">
        <v>739</v>
      </c>
      <c r="G2298" s="7" t="s">
        <v>107</v>
      </c>
      <c r="H2298" s="7">
        <v>15</v>
      </c>
      <c r="I2298" s="10" t="s">
        <v>2142</v>
      </c>
      <c r="J2298" s="10">
        <v>0.5</v>
      </c>
      <c r="K2298" s="10">
        <v>0.8</v>
      </c>
      <c r="L2298" s="43">
        <v>25</v>
      </c>
      <c r="M2298" s="43">
        <v>25</v>
      </c>
      <c r="N2298" s="12" t="s">
        <v>1628</v>
      </c>
      <c r="P2298" s="10">
        <v>480</v>
      </c>
      <c r="Q2298" s="10">
        <v>60</v>
      </c>
      <c r="S2298" s="11">
        <v>1</v>
      </c>
      <c r="T2298" s="10">
        <v>120</v>
      </c>
      <c r="V2298" s="45">
        <v>1</v>
      </c>
      <c r="W2298" s="10">
        <v>3</v>
      </c>
      <c r="X2298" s="29">
        <v>12.4</v>
      </c>
      <c r="Y2298" s="54" t="s">
        <v>21</v>
      </c>
      <c r="Z2298" t="s">
        <v>1557</v>
      </c>
    </row>
    <row r="2299" spans="1:26" ht="23.1" customHeight="1" x14ac:dyDescent="0.25">
      <c r="A2299" s="53" t="s">
        <v>1621</v>
      </c>
      <c r="B2299" s="10" t="s">
        <v>110</v>
      </c>
      <c r="C2299" s="10">
        <v>97</v>
      </c>
      <c r="D2299" s="10" t="s">
        <v>1076</v>
      </c>
      <c r="E2299" s="41" t="s">
        <v>1065</v>
      </c>
      <c r="F2299" s="41" t="s">
        <v>1065</v>
      </c>
      <c r="G2299" s="7" t="s">
        <v>250</v>
      </c>
      <c r="H2299" s="7">
        <v>65</v>
      </c>
      <c r="I2299" s="10" t="s">
        <v>2184</v>
      </c>
      <c r="J2299" s="10">
        <v>4</v>
      </c>
      <c r="K2299" s="10">
        <v>4</v>
      </c>
      <c r="L2299" s="43">
        <v>25</v>
      </c>
      <c r="M2299" s="43">
        <v>25</v>
      </c>
      <c r="N2299" s="12" t="s">
        <v>429</v>
      </c>
      <c r="P2299" s="10">
        <v>60</v>
      </c>
      <c r="Q2299" s="10">
        <v>60</v>
      </c>
      <c r="S2299" s="11">
        <v>3</v>
      </c>
      <c r="T2299" s="10">
        <v>60</v>
      </c>
      <c r="V2299" s="45"/>
      <c r="W2299" s="14">
        <v>4</v>
      </c>
      <c r="X2299" s="29">
        <v>11</v>
      </c>
      <c r="Y2299" s="54" t="s">
        <v>1</v>
      </c>
      <c r="Z2299" t="s">
        <v>1629</v>
      </c>
    </row>
    <row r="2300" spans="1:26" ht="23.1" customHeight="1" x14ac:dyDescent="0.25">
      <c r="A2300" s="53" t="s">
        <v>1621</v>
      </c>
      <c r="B2300" s="10" t="s">
        <v>110</v>
      </c>
      <c r="C2300" s="10">
        <v>105</v>
      </c>
      <c r="D2300" s="10" t="s">
        <v>1176</v>
      </c>
      <c r="E2300" s="41" t="s">
        <v>1098</v>
      </c>
      <c r="F2300" s="41" t="s">
        <v>1098</v>
      </c>
      <c r="G2300" s="7" t="s">
        <v>250</v>
      </c>
      <c r="H2300" s="7">
        <v>50</v>
      </c>
      <c r="I2300" s="10" t="s">
        <v>2185</v>
      </c>
      <c r="J2300" s="10">
        <v>0.6</v>
      </c>
      <c r="K2300" s="10">
        <v>0.4</v>
      </c>
      <c r="L2300" s="43">
        <v>25</v>
      </c>
      <c r="M2300" s="43">
        <v>25</v>
      </c>
      <c r="N2300" s="12" t="s">
        <v>429</v>
      </c>
      <c r="P2300" s="10">
        <v>1080</v>
      </c>
      <c r="Q2300" s="10">
        <v>60</v>
      </c>
      <c r="T2300" s="10">
        <v>120</v>
      </c>
      <c r="V2300" s="45"/>
      <c r="X2300" s="29">
        <v>7.2</v>
      </c>
      <c r="Y2300" s="54" t="s">
        <v>28</v>
      </c>
    </row>
    <row r="2301" spans="1:26" ht="23.1" customHeight="1" x14ac:dyDescent="0.25">
      <c r="A2301" s="53" t="s">
        <v>1621</v>
      </c>
      <c r="B2301" s="10" t="s">
        <v>110</v>
      </c>
      <c r="C2301" s="10">
        <v>105</v>
      </c>
      <c r="D2301" s="10" t="s">
        <v>1176</v>
      </c>
      <c r="E2301" s="41" t="s">
        <v>1098</v>
      </c>
      <c r="F2301" s="41" t="s">
        <v>1098</v>
      </c>
      <c r="G2301" s="7" t="s">
        <v>250</v>
      </c>
      <c r="H2301" s="7">
        <v>60</v>
      </c>
      <c r="I2301" s="10" t="s">
        <v>2307</v>
      </c>
      <c r="K2301" s="10">
        <v>1</v>
      </c>
      <c r="L2301" s="43">
        <v>25</v>
      </c>
      <c r="M2301" s="43">
        <v>25</v>
      </c>
      <c r="N2301" s="12" t="s">
        <v>429</v>
      </c>
      <c r="P2301" s="10">
        <v>90</v>
      </c>
      <c r="Q2301" s="10">
        <v>60</v>
      </c>
      <c r="S2301" s="11">
        <v>1</v>
      </c>
      <c r="T2301" s="10">
        <v>90</v>
      </c>
      <c r="V2301" s="45">
        <v>1</v>
      </c>
      <c r="X2301" s="29">
        <v>4</v>
      </c>
      <c r="Y2301" s="54" t="s">
        <v>28</v>
      </c>
    </row>
    <row r="2302" spans="1:26" ht="23.1" customHeight="1" x14ac:dyDescent="0.25">
      <c r="A2302" s="53" t="s">
        <v>1621</v>
      </c>
      <c r="B2302" s="10" t="s">
        <v>110</v>
      </c>
      <c r="C2302" s="10">
        <v>82</v>
      </c>
      <c r="D2302" s="10" t="s">
        <v>1074</v>
      </c>
      <c r="E2302" s="41" t="s">
        <v>1075</v>
      </c>
      <c r="F2302" s="41" t="s">
        <v>1075</v>
      </c>
      <c r="G2302" s="7" t="s">
        <v>154</v>
      </c>
      <c r="H2302" s="7">
        <v>50</v>
      </c>
      <c r="I2302" s="10" t="s">
        <v>2148</v>
      </c>
      <c r="J2302" s="10">
        <v>1.5</v>
      </c>
      <c r="K2302" s="10">
        <v>1.8</v>
      </c>
      <c r="L2302" s="43">
        <v>25</v>
      </c>
      <c r="M2302" s="43">
        <v>25</v>
      </c>
      <c r="N2302" s="12" t="s">
        <v>1118</v>
      </c>
      <c r="P2302" s="10">
        <v>500</v>
      </c>
      <c r="S2302" s="11">
        <v>2</v>
      </c>
      <c r="T2302" s="10">
        <v>120</v>
      </c>
      <c r="V2302" s="45"/>
      <c r="X2302" s="29">
        <v>15</v>
      </c>
      <c r="Y2302" s="54" t="s">
        <v>56</v>
      </c>
    </row>
    <row r="2303" spans="1:26" ht="23.1" customHeight="1" x14ac:dyDescent="0.25">
      <c r="A2303" s="53" t="s">
        <v>1621</v>
      </c>
      <c r="B2303" s="10" t="s">
        <v>110</v>
      </c>
      <c r="C2303" s="10">
        <v>103</v>
      </c>
      <c r="D2303" s="10" t="s">
        <v>1615</v>
      </c>
      <c r="E2303" s="41" t="s">
        <v>259</v>
      </c>
      <c r="F2303" s="41" t="s">
        <v>259</v>
      </c>
      <c r="G2303" s="7" t="s">
        <v>123</v>
      </c>
      <c r="H2303" s="7">
        <v>10</v>
      </c>
      <c r="I2303" s="10" t="s">
        <v>1916</v>
      </c>
      <c r="J2303" s="10">
        <v>4</v>
      </c>
      <c r="K2303" s="10">
        <v>3</v>
      </c>
      <c r="L2303" s="43">
        <v>25</v>
      </c>
      <c r="M2303" s="43">
        <v>25</v>
      </c>
      <c r="N2303" s="12" t="s">
        <v>1630</v>
      </c>
      <c r="P2303" s="10">
        <v>180</v>
      </c>
      <c r="Q2303" s="10">
        <v>60</v>
      </c>
      <c r="S2303" s="11">
        <v>3</v>
      </c>
      <c r="T2303" s="10">
        <v>60</v>
      </c>
      <c r="V2303" s="45"/>
      <c r="X2303" s="29">
        <v>12</v>
      </c>
      <c r="Y2303" s="54" t="s">
        <v>62</v>
      </c>
    </row>
    <row r="2304" spans="1:26" ht="23.1" customHeight="1" x14ac:dyDescent="0.25">
      <c r="A2304" s="53" t="s">
        <v>1621</v>
      </c>
      <c r="B2304" s="10" t="s">
        <v>110</v>
      </c>
      <c r="C2304" s="10">
        <v>103</v>
      </c>
      <c r="D2304" s="10" t="s">
        <v>1615</v>
      </c>
      <c r="E2304" s="41" t="s">
        <v>259</v>
      </c>
      <c r="F2304" s="41" t="s">
        <v>259</v>
      </c>
      <c r="G2304" s="7" t="s">
        <v>123</v>
      </c>
      <c r="H2304" s="7">
        <v>15</v>
      </c>
      <c r="I2304" s="10" t="s">
        <v>1926</v>
      </c>
      <c r="J2304" s="10">
        <v>1</v>
      </c>
      <c r="L2304" s="43">
        <v>25</v>
      </c>
      <c r="M2304" s="43">
        <v>25</v>
      </c>
      <c r="N2304" s="12" t="s">
        <v>1616</v>
      </c>
      <c r="P2304" s="10">
        <v>140</v>
      </c>
      <c r="Q2304" s="10">
        <v>60</v>
      </c>
      <c r="S2304" s="11">
        <v>1</v>
      </c>
      <c r="T2304" s="10">
        <v>60</v>
      </c>
      <c r="V2304" s="45">
        <v>1</v>
      </c>
      <c r="X2304" s="29">
        <v>2</v>
      </c>
      <c r="Y2304" s="54" t="s">
        <v>62</v>
      </c>
    </row>
    <row r="2305" spans="1:27" ht="23.1" customHeight="1" x14ac:dyDescent="0.25">
      <c r="A2305" s="53" t="s">
        <v>1621</v>
      </c>
      <c r="B2305" s="10" t="s">
        <v>110</v>
      </c>
      <c r="C2305" s="10">
        <v>19</v>
      </c>
      <c r="D2305" s="10" t="s">
        <v>1604</v>
      </c>
      <c r="E2305" s="41" t="s">
        <v>1605</v>
      </c>
      <c r="F2305" s="41" t="s">
        <v>1605</v>
      </c>
      <c r="G2305" s="7" t="s">
        <v>300</v>
      </c>
      <c r="H2305" s="7">
        <v>10</v>
      </c>
      <c r="I2305" s="10" t="s">
        <v>2306</v>
      </c>
      <c r="J2305" s="10">
        <v>2.5</v>
      </c>
      <c r="K2305" s="10">
        <v>2</v>
      </c>
      <c r="L2305" s="43">
        <v>25</v>
      </c>
      <c r="M2305" s="43">
        <v>25</v>
      </c>
      <c r="N2305" s="12" t="s">
        <v>1631</v>
      </c>
      <c r="P2305" s="10">
        <v>90</v>
      </c>
      <c r="Q2305" s="10">
        <v>60</v>
      </c>
      <c r="S2305" s="11">
        <v>2</v>
      </c>
      <c r="T2305" s="10">
        <v>120</v>
      </c>
      <c r="V2305" s="45">
        <v>1</v>
      </c>
      <c r="X2305" s="29">
        <v>7</v>
      </c>
      <c r="Y2305" s="54" t="s">
        <v>11</v>
      </c>
    </row>
    <row r="2306" spans="1:27" ht="23.1" customHeight="1" x14ac:dyDescent="0.25">
      <c r="A2306" s="53" t="s">
        <v>1621</v>
      </c>
      <c r="B2306" s="10" t="s">
        <v>110</v>
      </c>
      <c r="C2306" s="10">
        <v>83</v>
      </c>
      <c r="D2306" s="10" t="s">
        <v>1095</v>
      </c>
      <c r="E2306" s="41" t="s">
        <v>1096</v>
      </c>
      <c r="F2306" s="41" t="s">
        <v>1096</v>
      </c>
      <c r="G2306" s="7" t="s">
        <v>658</v>
      </c>
      <c r="H2306" s="7">
        <v>30</v>
      </c>
      <c r="I2306" s="10" t="s">
        <v>2131</v>
      </c>
      <c r="J2306" s="10">
        <v>1.5</v>
      </c>
      <c r="K2306" s="10">
        <v>1.5</v>
      </c>
      <c r="L2306" s="43">
        <v>25</v>
      </c>
      <c r="M2306" s="43">
        <v>25</v>
      </c>
      <c r="N2306" s="12" t="s">
        <v>351</v>
      </c>
      <c r="P2306" s="10">
        <v>570</v>
      </c>
      <c r="Q2306" s="10">
        <v>60</v>
      </c>
      <c r="S2306" s="11">
        <v>2</v>
      </c>
      <c r="T2306" s="10">
        <v>120</v>
      </c>
      <c r="V2306" s="45"/>
      <c r="X2306" s="29">
        <v>16.3</v>
      </c>
      <c r="Y2306" s="54" t="s">
        <v>66</v>
      </c>
    </row>
    <row r="2307" spans="1:27" ht="23.1" customHeight="1" x14ac:dyDescent="0.25">
      <c r="A2307" s="53" t="s">
        <v>1621</v>
      </c>
      <c r="B2307" s="10" t="s">
        <v>110</v>
      </c>
      <c r="C2307" s="10">
        <v>44</v>
      </c>
      <c r="D2307" s="10" t="s">
        <v>266</v>
      </c>
      <c r="E2307" s="41" t="s">
        <v>267</v>
      </c>
      <c r="F2307" s="41" t="s">
        <v>267</v>
      </c>
      <c r="G2307" s="7" t="s">
        <v>118</v>
      </c>
      <c r="H2307" s="7">
        <v>10</v>
      </c>
      <c r="I2307" s="10" t="s">
        <v>1916</v>
      </c>
      <c r="J2307" s="10">
        <v>3</v>
      </c>
      <c r="K2307" s="10">
        <v>3</v>
      </c>
      <c r="L2307" s="43">
        <v>25</v>
      </c>
      <c r="M2307" s="43">
        <v>25</v>
      </c>
      <c r="N2307" s="12" t="s">
        <v>1004</v>
      </c>
      <c r="P2307" s="10">
        <v>180</v>
      </c>
      <c r="Q2307" s="10">
        <v>60</v>
      </c>
      <c r="S2307" s="11">
        <v>3</v>
      </c>
      <c r="T2307" s="10">
        <v>60</v>
      </c>
      <c r="V2307" s="45"/>
      <c r="X2307" s="29">
        <v>12</v>
      </c>
      <c r="Y2307" s="54" t="s">
        <v>66</v>
      </c>
    </row>
    <row r="2308" spans="1:27" ht="23.1" customHeight="1" x14ac:dyDescent="0.25">
      <c r="A2308" s="53" t="s">
        <v>1621</v>
      </c>
      <c r="B2308" s="10" t="s">
        <v>110</v>
      </c>
      <c r="C2308" s="10">
        <v>44</v>
      </c>
      <c r="D2308" s="10" t="s">
        <v>266</v>
      </c>
      <c r="E2308" s="41" t="s">
        <v>267</v>
      </c>
      <c r="F2308" s="41" t="s">
        <v>267</v>
      </c>
      <c r="G2308" s="7" t="s">
        <v>118</v>
      </c>
      <c r="H2308" s="7">
        <v>15</v>
      </c>
      <c r="I2308" s="10" t="s">
        <v>2262</v>
      </c>
      <c r="J2308" s="10">
        <v>1</v>
      </c>
      <c r="K2308" s="10">
        <v>1</v>
      </c>
      <c r="L2308" s="43">
        <v>25</v>
      </c>
      <c r="M2308" s="43">
        <v>25</v>
      </c>
      <c r="N2308" s="12" t="s">
        <v>1632</v>
      </c>
      <c r="P2308" s="10">
        <v>190</v>
      </c>
      <c r="Q2308" s="10">
        <v>90</v>
      </c>
      <c r="S2308" s="11">
        <v>1</v>
      </c>
      <c r="T2308" s="10">
        <v>60</v>
      </c>
      <c r="V2308" s="45">
        <v>1</v>
      </c>
      <c r="X2308" s="29">
        <v>5.7</v>
      </c>
      <c r="Y2308" s="54" t="s">
        <v>66</v>
      </c>
    </row>
    <row r="2309" spans="1:27" ht="23.1" customHeight="1" x14ac:dyDescent="0.25">
      <c r="A2309" s="53" t="s">
        <v>1621</v>
      </c>
      <c r="B2309" s="10" t="s">
        <v>110</v>
      </c>
      <c r="C2309" s="10">
        <v>100</v>
      </c>
      <c r="D2309" s="10" t="s">
        <v>484</v>
      </c>
      <c r="E2309" s="41" t="s">
        <v>485</v>
      </c>
      <c r="F2309" s="41" t="s">
        <v>485</v>
      </c>
      <c r="G2309" s="7" t="s">
        <v>300</v>
      </c>
      <c r="H2309" s="7">
        <v>25</v>
      </c>
      <c r="I2309" s="10" t="s">
        <v>2140</v>
      </c>
      <c r="J2309" s="10">
        <v>1</v>
      </c>
      <c r="K2309" s="10">
        <v>1</v>
      </c>
      <c r="L2309" s="43">
        <v>25</v>
      </c>
      <c r="M2309" s="43">
        <v>25</v>
      </c>
      <c r="N2309" s="12" t="s">
        <v>722</v>
      </c>
      <c r="P2309" s="10">
        <v>660</v>
      </c>
      <c r="Q2309" s="10">
        <v>60</v>
      </c>
      <c r="T2309" s="10">
        <v>180</v>
      </c>
      <c r="V2309" s="45"/>
      <c r="X2309" s="29">
        <v>11</v>
      </c>
      <c r="Y2309" s="54" t="s">
        <v>66</v>
      </c>
    </row>
    <row r="2310" spans="1:27" ht="23.1" customHeight="1" x14ac:dyDescent="0.25">
      <c r="A2310" s="53" t="s">
        <v>1621</v>
      </c>
      <c r="B2310" s="10" t="s">
        <v>110</v>
      </c>
      <c r="C2310" s="10">
        <v>102</v>
      </c>
      <c r="D2310" s="10" t="s">
        <v>1097</v>
      </c>
      <c r="E2310" s="41" t="s">
        <v>1098</v>
      </c>
      <c r="F2310" s="41" t="s">
        <v>1098</v>
      </c>
      <c r="G2310" s="7" t="s">
        <v>250</v>
      </c>
      <c r="H2310" s="7">
        <v>50</v>
      </c>
      <c r="I2310" s="10" t="s">
        <v>2185</v>
      </c>
      <c r="J2310" s="10">
        <v>0.6</v>
      </c>
      <c r="K2310" s="10">
        <v>0.6</v>
      </c>
      <c r="L2310" s="43">
        <v>25</v>
      </c>
      <c r="M2310" s="43">
        <v>25</v>
      </c>
      <c r="N2310" s="12" t="s">
        <v>292</v>
      </c>
      <c r="P2310" s="10">
        <v>1080</v>
      </c>
      <c r="Q2310" s="10">
        <v>60</v>
      </c>
      <c r="S2310" s="11">
        <v>1</v>
      </c>
      <c r="T2310" s="10">
        <v>120</v>
      </c>
      <c r="V2310" s="45"/>
      <c r="X2310" s="29">
        <v>11.8</v>
      </c>
      <c r="Y2310" s="54" t="s">
        <v>66</v>
      </c>
    </row>
    <row r="2311" spans="1:27" ht="23.1" customHeight="1" x14ac:dyDescent="0.25">
      <c r="A2311" s="53" t="s">
        <v>1621</v>
      </c>
      <c r="B2311" s="10" t="s">
        <v>110</v>
      </c>
      <c r="C2311" s="10">
        <v>98</v>
      </c>
      <c r="D2311" s="10" t="s">
        <v>404</v>
      </c>
      <c r="E2311" s="41" t="s">
        <v>405</v>
      </c>
      <c r="F2311" s="41" t="s">
        <v>405</v>
      </c>
      <c r="G2311" s="7" t="s">
        <v>118</v>
      </c>
      <c r="H2311" s="7">
        <v>15</v>
      </c>
      <c r="I2311" s="10" t="s">
        <v>2144</v>
      </c>
      <c r="J2311" s="10">
        <v>0.8</v>
      </c>
      <c r="K2311" s="10">
        <v>1.1000000000000001</v>
      </c>
      <c r="L2311" s="43">
        <v>25</v>
      </c>
      <c r="M2311" s="43">
        <v>25</v>
      </c>
      <c r="N2311" s="12" t="s">
        <v>1080</v>
      </c>
      <c r="P2311" s="10">
        <v>720</v>
      </c>
      <c r="Q2311" s="10">
        <v>60</v>
      </c>
      <c r="T2311" s="10">
        <v>120</v>
      </c>
      <c r="V2311" s="45"/>
      <c r="X2311" s="29">
        <v>13.2</v>
      </c>
      <c r="Y2311" s="54" t="s">
        <v>66</v>
      </c>
    </row>
    <row r="2312" spans="1:27" ht="23.1" customHeight="1" x14ac:dyDescent="0.25">
      <c r="A2312" s="53" t="s">
        <v>1621</v>
      </c>
      <c r="B2312" s="10" t="s">
        <v>110</v>
      </c>
      <c r="C2312" s="10">
        <v>106</v>
      </c>
      <c r="D2312" s="10" t="s">
        <v>1070</v>
      </c>
      <c r="E2312" s="41" t="s">
        <v>101</v>
      </c>
      <c r="F2312" s="41" t="s">
        <v>101</v>
      </c>
      <c r="G2312" s="7" t="s">
        <v>300</v>
      </c>
      <c r="H2312" s="7">
        <v>25</v>
      </c>
      <c r="I2312" s="10" t="s">
        <v>2163</v>
      </c>
      <c r="J2312" s="10">
        <v>0.15</v>
      </c>
      <c r="K2312" s="10">
        <v>0.15</v>
      </c>
      <c r="L2312" s="43">
        <v>25</v>
      </c>
      <c r="M2312" s="43">
        <v>25</v>
      </c>
      <c r="N2312" s="12" t="s">
        <v>247</v>
      </c>
      <c r="P2312" s="10">
        <v>4800</v>
      </c>
      <c r="Q2312" s="10">
        <v>180</v>
      </c>
      <c r="T2312" s="10">
        <v>180</v>
      </c>
      <c r="V2312" s="45"/>
      <c r="X2312" s="29">
        <v>12</v>
      </c>
      <c r="Y2312" s="54" t="s">
        <v>66</v>
      </c>
    </row>
    <row r="2313" spans="1:27" ht="23.1" customHeight="1" x14ac:dyDescent="0.25">
      <c r="A2313" s="53" t="s">
        <v>1621</v>
      </c>
      <c r="B2313" s="10" t="s">
        <v>110</v>
      </c>
      <c r="C2313" s="10">
        <v>106</v>
      </c>
      <c r="D2313" s="10" t="s">
        <v>1070</v>
      </c>
      <c r="E2313" s="41" t="s">
        <v>101</v>
      </c>
      <c r="F2313" s="41" t="s">
        <v>101</v>
      </c>
      <c r="G2313" s="7" t="s">
        <v>300</v>
      </c>
      <c r="H2313" s="7">
        <v>30</v>
      </c>
      <c r="I2313" s="10" t="s">
        <v>2127</v>
      </c>
      <c r="J2313" s="10">
        <v>0.2</v>
      </c>
      <c r="K2313" s="10">
        <v>0.2</v>
      </c>
      <c r="L2313" s="43">
        <v>25</v>
      </c>
      <c r="M2313" s="43">
        <v>25</v>
      </c>
      <c r="N2313" s="12" t="s">
        <v>247</v>
      </c>
      <c r="P2313" s="10">
        <v>1500</v>
      </c>
      <c r="Q2313" s="10">
        <v>180</v>
      </c>
      <c r="S2313" s="11">
        <v>1</v>
      </c>
      <c r="T2313" s="10">
        <v>180</v>
      </c>
      <c r="V2313" s="45">
        <v>1</v>
      </c>
      <c r="X2313" s="29">
        <v>11</v>
      </c>
      <c r="Y2313" s="54" t="s">
        <v>66</v>
      </c>
    </row>
    <row r="2314" spans="1:27" ht="23.1" customHeight="1" x14ac:dyDescent="0.25">
      <c r="A2314" s="53" t="s">
        <v>1621</v>
      </c>
      <c r="B2314" s="10" t="s">
        <v>110</v>
      </c>
      <c r="C2314" s="10">
        <v>101</v>
      </c>
      <c r="D2314" s="10" t="s">
        <v>1099</v>
      </c>
      <c r="E2314" s="41" t="s">
        <v>760</v>
      </c>
      <c r="F2314" s="41" t="e">
        <v>#N/A</v>
      </c>
      <c r="G2314" s="7" t="s">
        <v>300</v>
      </c>
      <c r="H2314" s="7">
        <v>27</v>
      </c>
      <c r="I2314" s="10"/>
      <c r="J2314" s="10">
        <v>4</v>
      </c>
      <c r="K2314" s="10">
        <v>4</v>
      </c>
      <c r="L2314" s="43">
        <v>25</v>
      </c>
      <c r="M2314" s="43">
        <v>25</v>
      </c>
      <c r="N2314" s="12" t="s">
        <v>1633</v>
      </c>
      <c r="O2314" s="10">
        <v>120</v>
      </c>
      <c r="R2314" s="10">
        <v>60</v>
      </c>
      <c r="S2314" s="11">
        <v>4</v>
      </c>
      <c r="V2314" s="45"/>
      <c r="X2314" s="32">
        <v>12</v>
      </c>
      <c r="Y2314" s="54" t="s">
        <v>66</v>
      </c>
    </row>
    <row r="2315" spans="1:27" ht="23.1" customHeight="1" x14ac:dyDescent="0.25">
      <c r="A2315" s="53" t="s">
        <v>1621</v>
      </c>
      <c r="B2315" s="10" t="s">
        <v>110</v>
      </c>
      <c r="C2315" s="10">
        <v>101</v>
      </c>
      <c r="D2315" s="10" t="s">
        <v>1099</v>
      </c>
      <c r="E2315" s="41" t="s">
        <v>760</v>
      </c>
      <c r="F2315" s="41" t="e">
        <v>#N/A</v>
      </c>
      <c r="G2315" s="7" t="s">
        <v>300</v>
      </c>
      <c r="H2315" s="7">
        <v>30</v>
      </c>
      <c r="I2315" s="10" t="s">
        <v>2133</v>
      </c>
      <c r="J2315" s="10">
        <v>0.1</v>
      </c>
      <c r="K2315" s="10">
        <v>0.3</v>
      </c>
      <c r="L2315" s="43">
        <v>25</v>
      </c>
      <c r="M2315" s="43">
        <v>25</v>
      </c>
      <c r="N2315" s="12" t="s">
        <v>355</v>
      </c>
      <c r="P2315" s="10">
        <v>700</v>
      </c>
      <c r="Q2315" s="10">
        <v>60</v>
      </c>
      <c r="S2315" s="11">
        <v>1</v>
      </c>
      <c r="T2315" s="10">
        <v>120</v>
      </c>
      <c r="V2315" s="45">
        <v>1</v>
      </c>
      <c r="X2315" s="29">
        <v>6.5</v>
      </c>
      <c r="Y2315" s="54" t="s">
        <v>66</v>
      </c>
    </row>
    <row r="2316" spans="1:27" ht="23.1" customHeight="1" x14ac:dyDescent="0.25">
      <c r="A2316" s="53" t="s">
        <v>1621</v>
      </c>
      <c r="B2316" s="10" t="s">
        <v>110</v>
      </c>
      <c r="C2316" s="10">
        <v>104</v>
      </c>
      <c r="D2316" s="10" t="s">
        <v>1583</v>
      </c>
      <c r="E2316" s="41" t="s">
        <v>1283</v>
      </c>
      <c r="F2316" s="41" t="s">
        <v>1283</v>
      </c>
      <c r="G2316" s="7" t="s">
        <v>102</v>
      </c>
      <c r="H2316" s="7">
        <v>25</v>
      </c>
      <c r="I2316" s="10" t="s">
        <v>2504</v>
      </c>
      <c r="J2316" s="10">
        <v>0.5</v>
      </c>
      <c r="K2316" s="10">
        <v>0.5</v>
      </c>
      <c r="L2316" s="43">
        <v>25</v>
      </c>
      <c r="M2316" s="43">
        <v>25</v>
      </c>
      <c r="N2316" s="12" t="s">
        <v>596</v>
      </c>
      <c r="P2316" s="10">
        <v>220</v>
      </c>
      <c r="Q2316" s="10">
        <v>60</v>
      </c>
      <c r="T2316" s="10">
        <v>90</v>
      </c>
      <c r="V2316" s="45"/>
      <c r="X2316" s="29">
        <v>1.8</v>
      </c>
      <c r="Y2316" s="54" t="s">
        <v>66</v>
      </c>
    </row>
    <row r="2317" spans="1:27" ht="23.1" customHeight="1" x14ac:dyDescent="0.25">
      <c r="A2317" s="53" t="s">
        <v>1621</v>
      </c>
      <c r="B2317" s="10" t="s">
        <v>110</v>
      </c>
      <c r="C2317" s="10">
        <v>104</v>
      </c>
      <c r="D2317" s="10" t="s">
        <v>1583</v>
      </c>
      <c r="E2317" s="41" t="s">
        <v>1283</v>
      </c>
      <c r="F2317" s="41" t="s">
        <v>1283</v>
      </c>
      <c r="G2317" s="7" t="s">
        <v>102</v>
      </c>
      <c r="H2317" s="7">
        <v>25</v>
      </c>
      <c r="I2317" s="10" t="s">
        <v>2305</v>
      </c>
      <c r="J2317" s="10">
        <v>1</v>
      </c>
      <c r="L2317" s="43">
        <v>25</v>
      </c>
      <c r="M2317" s="43">
        <v>25</v>
      </c>
      <c r="N2317" s="12" t="s">
        <v>596</v>
      </c>
      <c r="P2317" s="10">
        <v>220</v>
      </c>
      <c r="Q2317" s="10">
        <v>60</v>
      </c>
      <c r="S2317" s="11">
        <v>1</v>
      </c>
      <c r="T2317" s="10">
        <v>90</v>
      </c>
      <c r="V2317" s="45">
        <v>1</v>
      </c>
      <c r="X2317" s="29">
        <v>2.5</v>
      </c>
      <c r="Y2317" s="54" t="s">
        <v>66</v>
      </c>
    </row>
    <row r="2318" spans="1:27" ht="23.1" customHeight="1" x14ac:dyDescent="0.25">
      <c r="A2318" s="53" t="s">
        <v>1621</v>
      </c>
      <c r="B2318" s="10" t="s">
        <v>110</v>
      </c>
      <c r="C2318" s="10">
        <v>76</v>
      </c>
      <c r="D2318" s="10" t="s">
        <v>1634</v>
      </c>
      <c r="E2318" s="41" t="s">
        <v>625</v>
      </c>
      <c r="F2318" s="41" t="s">
        <v>625</v>
      </c>
      <c r="G2318" s="7" t="s">
        <v>118</v>
      </c>
      <c r="H2318" s="7">
        <v>5</v>
      </c>
      <c r="I2318" s="10" t="s">
        <v>1930</v>
      </c>
      <c r="K2318" s="10">
        <v>3</v>
      </c>
      <c r="L2318" s="43">
        <v>28</v>
      </c>
      <c r="M2318" s="43">
        <v>31</v>
      </c>
      <c r="N2318" s="12" t="s">
        <v>1635</v>
      </c>
      <c r="P2318" s="10">
        <v>60</v>
      </c>
      <c r="T2318" s="10">
        <v>60</v>
      </c>
      <c r="V2318" s="59">
        <v>1</v>
      </c>
      <c r="W2318" s="59">
        <v>2</v>
      </c>
      <c r="X2318" s="29">
        <v>6</v>
      </c>
      <c r="Y2318" s="54" t="s">
        <v>20</v>
      </c>
      <c r="Z2318" t="s">
        <v>1473</v>
      </c>
      <c r="AA2318" s="1" t="s">
        <v>238</v>
      </c>
    </row>
    <row r="2319" spans="1:27" ht="23.1" customHeight="1" x14ac:dyDescent="0.25">
      <c r="A2319" s="53" t="s">
        <v>1621</v>
      </c>
      <c r="B2319" s="10" t="s">
        <v>110</v>
      </c>
      <c r="C2319" s="10">
        <v>76</v>
      </c>
      <c r="D2319" s="10" t="s">
        <v>1634</v>
      </c>
      <c r="E2319" s="41" t="s">
        <v>625</v>
      </c>
      <c r="F2319" s="41" t="s">
        <v>625</v>
      </c>
      <c r="G2319" s="7" t="s">
        <v>118</v>
      </c>
      <c r="H2319" s="7">
        <v>15</v>
      </c>
      <c r="I2319" s="10" t="s">
        <v>2290</v>
      </c>
      <c r="K2319" s="10">
        <v>3</v>
      </c>
      <c r="L2319" s="43">
        <v>28</v>
      </c>
      <c r="M2319" s="43">
        <v>31</v>
      </c>
      <c r="N2319" s="12" t="s">
        <v>1635</v>
      </c>
      <c r="P2319" s="10">
        <v>20</v>
      </c>
      <c r="T2319" s="10">
        <v>90</v>
      </c>
      <c r="V2319" s="59">
        <v>1</v>
      </c>
      <c r="W2319" s="59"/>
      <c r="X2319" s="29">
        <v>2.5</v>
      </c>
      <c r="Y2319" s="54" t="s">
        <v>20</v>
      </c>
    </row>
    <row r="2320" spans="1:27" ht="23.1" customHeight="1" x14ac:dyDescent="0.25">
      <c r="A2320" s="53" t="s">
        <v>1621</v>
      </c>
      <c r="B2320" s="10" t="s">
        <v>110</v>
      </c>
      <c r="C2320" s="10">
        <v>108</v>
      </c>
      <c r="D2320" s="10" t="s">
        <v>889</v>
      </c>
      <c r="E2320" s="41" t="s">
        <v>887</v>
      </c>
      <c r="F2320" s="41" t="s">
        <v>887</v>
      </c>
      <c r="G2320" s="7" t="s">
        <v>154</v>
      </c>
      <c r="H2320" s="7">
        <v>70</v>
      </c>
      <c r="I2320" s="10" t="s">
        <v>2289</v>
      </c>
      <c r="J2320" s="10">
        <v>0.2</v>
      </c>
      <c r="K2320" s="10">
        <v>0.4</v>
      </c>
      <c r="L2320" s="43">
        <v>28</v>
      </c>
      <c r="M2320" s="43">
        <v>28</v>
      </c>
      <c r="N2320" s="12" t="s">
        <v>159</v>
      </c>
      <c r="P2320" s="10">
        <v>4800</v>
      </c>
      <c r="Q2320" s="10">
        <v>60</v>
      </c>
      <c r="T2320" s="10">
        <v>180</v>
      </c>
      <c r="V2320" s="59"/>
      <c r="W2320" s="59"/>
      <c r="X2320" s="29">
        <v>32</v>
      </c>
      <c r="Y2320" s="54" t="s">
        <v>13</v>
      </c>
      <c r="Z2320" t="s">
        <v>1636</v>
      </c>
    </row>
    <row r="2321" spans="1:27" ht="23.1" customHeight="1" x14ac:dyDescent="0.25">
      <c r="A2321" s="20" t="s">
        <v>1621</v>
      </c>
      <c r="B2321" s="7" t="s">
        <v>110</v>
      </c>
      <c r="C2321" s="7">
        <v>24</v>
      </c>
      <c r="D2321" s="7" t="s">
        <v>738</v>
      </c>
      <c r="E2321" s="41" t="s">
        <v>739</v>
      </c>
      <c r="F2321" s="41" t="s">
        <v>739</v>
      </c>
      <c r="G2321" s="7" t="s">
        <v>107</v>
      </c>
      <c r="H2321" s="7">
        <v>30</v>
      </c>
      <c r="I2321" s="10" t="s">
        <v>2061</v>
      </c>
      <c r="J2321" s="10">
        <v>0.6</v>
      </c>
      <c r="K2321" s="10">
        <v>0.6</v>
      </c>
      <c r="L2321" s="43">
        <v>5</v>
      </c>
      <c r="M2321" s="43">
        <v>28</v>
      </c>
      <c r="N2321" s="12" t="s">
        <v>860</v>
      </c>
      <c r="P2321" s="10">
        <v>1700</v>
      </c>
      <c r="Q2321" s="10">
        <v>120</v>
      </c>
      <c r="S2321" s="11">
        <v>1</v>
      </c>
      <c r="T2321" s="10">
        <v>210</v>
      </c>
      <c r="V2321" s="59">
        <v>1</v>
      </c>
      <c r="W2321" s="59">
        <v>3</v>
      </c>
      <c r="X2321" s="29">
        <v>25.5</v>
      </c>
      <c r="Y2321" s="54" t="s">
        <v>26</v>
      </c>
      <c r="Z2321" t="s">
        <v>1637</v>
      </c>
    </row>
    <row r="2322" spans="1:27" ht="23.1" customHeight="1" x14ac:dyDescent="0.25">
      <c r="A2322" s="20" t="s">
        <v>1621</v>
      </c>
      <c r="B2322" s="7" t="s">
        <v>110</v>
      </c>
      <c r="C2322" s="7">
        <v>84</v>
      </c>
      <c r="D2322" s="7" t="s">
        <v>1047</v>
      </c>
      <c r="E2322" s="41" t="s">
        <v>424</v>
      </c>
      <c r="F2322" s="41" t="s">
        <v>424</v>
      </c>
      <c r="G2322" s="7" t="s">
        <v>107</v>
      </c>
      <c r="H2322" s="7">
        <v>40</v>
      </c>
      <c r="I2322" s="10" t="s">
        <v>2096</v>
      </c>
      <c r="K2322" s="10">
        <v>2</v>
      </c>
      <c r="L2322" s="43">
        <v>28</v>
      </c>
      <c r="M2322" s="43"/>
      <c r="N2322" s="12" t="s">
        <v>1048</v>
      </c>
      <c r="P2322" s="10">
        <v>360</v>
      </c>
      <c r="Q2322" s="10">
        <v>30</v>
      </c>
      <c r="T2322" s="10">
        <v>120</v>
      </c>
      <c r="V2322" s="59"/>
      <c r="W2322" s="59">
        <v>10</v>
      </c>
      <c r="X2322" s="29">
        <v>22</v>
      </c>
      <c r="Y2322" s="54" t="s">
        <v>26</v>
      </c>
      <c r="Z2322" t="s">
        <v>1638</v>
      </c>
    </row>
    <row r="2323" spans="1:27" ht="23.1" customHeight="1" x14ac:dyDescent="0.25">
      <c r="A2323" s="20" t="s">
        <v>1621</v>
      </c>
      <c r="B2323" s="7" t="s">
        <v>110</v>
      </c>
      <c r="C2323" s="7">
        <v>69</v>
      </c>
      <c r="D2323" s="7" t="s">
        <v>484</v>
      </c>
      <c r="E2323" s="41" t="s">
        <v>485</v>
      </c>
      <c r="F2323" s="41" t="s">
        <v>485</v>
      </c>
      <c r="G2323" s="7" t="s">
        <v>300</v>
      </c>
      <c r="H2323" s="7">
        <v>30</v>
      </c>
      <c r="I2323" s="10" t="s">
        <v>1921</v>
      </c>
      <c r="J2323" s="10">
        <v>0.8</v>
      </c>
      <c r="K2323" s="10">
        <v>0.8</v>
      </c>
      <c r="L2323" s="43">
        <v>28</v>
      </c>
      <c r="M2323" s="43"/>
      <c r="N2323" s="12" t="s">
        <v>164</v>
      </c>
      <c r="P2323" s="10">
        <v>960</v>
      </c>
      <c r="Q2323" s="10">
        <v>120</v>
      </c>
      <c r="T2323" s="10">
        <v>180</v>
      </c>
      <c r="V2323" s="59"/>
      <c r="W2323" s="59"/>
      <c r="X2323" s="29">
        <v>12.8</v>
      </c>
      <c r="Y2323" s="54" t="s">
        <v>26</v>
      </c>
    </row>
    <row r="2324" spans="1:27" ht="23.1" customHeight="1" x14ac:dyDescent="0.25">
      <c r="A2324" s="20" t="s">
        <v>1621</v>
      </c>
      <c r="B2324" s="7" t="s">
        <v>110</v>
      </c>
      <c r="C2324" s="7">
        <v>69</v>
      </c>
      <c r="D2324" s="7" t="s">
        <v>484</v>
      </c>
      <c r="E2324" s="41" t="s">
        <v>485</v>
      </c>
      <c r="F2324" s="41" t="s">
        <v>485</v>
      </c>
      <c r="G2324" s="7" t="s">
        <v>300</v>
      </c>
      <c r="H2324" s="7">
        <v>32</v>
      </c>
      <c r="I2324" s="10"/>
      <c r="J2324" s="10">
        <v>0</v>
      </c>
      <c r="K2324" s="10">
        <v>1</v>
      </c>
      <c r="L2324" s="43">
        <v>28</v>
      </c>
      <c r="M2324" s="43">
        <v>28</v>
      </c>
      <c r="N2324" s="12" t="s">
        <v>164</v>
      </c>
      <c r="O2324" s="10">
        <v>150</v>
      </c>
      <c r="R2324" s="10">
        <v>120</v>
      </c>
      <c r="S2324" s="11">
        <v>1</v>
      </c>
      <c r="V2324" s="59"/>
      <c r="W2324" s="59"/>
      <c r="X2324" s="32">
        <v>4.5</v>
      </c>
      <c r="Y2324" s="54" t="s">
        <v>26</v>
      </c>
    </row>
    <row r="2325" spans="1:27" ht="23.1" customHeight="1" x14ac:dyDescent="0.25">
      <c r="A2325" s="20" t="s">
        <v>1621</v>
      </c>
      <c r="B2325" s="7" t="s">
        <v>110</v>
      </c>
      <c r="C2325" s="7">
        <v>91</v>
      </c>
      <c r="D2325" s="7" t="s">
        <v>254</v>
      </c>
      <c r="E2325" s="41" t="s">
        <v>1016</v>
      </c>
      <c r="F2325" s="41" t="s">
        <v>1016</v>
      </c>
      <c r="G2325" s="7" t="s">
        <v>375</v>
      </c>
      <c r="H2325" s="7">
        <v>40</v>
      </c>
      <c r="I2325" s="10" t="s">
        <v>2110</v>
      </c>
      <c r="J2325" s="10">
        <v>0.3</v>
      </c>
      <c r="K2325" s="10">
        <v>0.4</v>
      </c>
      <c r="L2325" s="43">
        <v>37</v>
      </c>
      <c r="M2325" s="43">
        <v>37</v>
      </c>
      <c r="N2325" s="12" t="s">
        <v>256</v>
      </c>
      <c r="P2325" s="10">
        <v>3000</v>
      </c>
      <c r="Q2325" s="10">
        <v>90</v>
      </c>
      <c r="T2325" s="10">
        <v>120</v>
      </c>
      <c r="V2325" s="59"/>
      <c r="W2325" s="59"/>
      <c r="X2325" s="29">
        <v>20</v>
      </c>
      <c r="Y2325" s="54" t="s">
        <v>26</v>
      </c>
    </row>
    <row r="2326" spans="1:27" ht="23.1" customHeight="1" x14ac:dyDescent="0.25">
      <c r="A2326" s="20" t="s">
        <v>1621</v>
      </c>
      <c r="B2326" s="7" t="s">
        <v>110</v>
      </c>
      <c r="C2326" s="7">
        <v>119</v>
      </c>
      <c r="D2326" s="7" t="s">
        <v>352</v>
      </c>
      <c r="E2326" s="41" t="s">
        <v>353</v>
      </c>
      <c r="F2326" s="41" t="e">
        <v>#N/A</v>
      </c>
      <c r="G2326" s="7" t="s">
        <v>300</v>
      </c>
      <c r="H2326" s="7">
        <v>35</v>
      </c>
      <c r="I2326" s="10" t="s">
        <v>2396</v>
      </c>
      <c r="J2326" s="10">
        <v>0.6</v>
      </c>
      <c r="K2326" s="10">
        <v>0.6</v>
      </c>
      <c r="L2326" s="43">
        <v>5</v>
      </c>
      <c r="M2326" s="43">
        <v>26</v>
      </c>
      <c r="N2326" s="12" t="s">
        <v>355</v>
      </c>
      <c r="P2326" s="10">
        <v>1440</v>
      </c>
      <c r="Q2326" s="10">
        <v>90</v>
      </c>
      <c r="T2326" s="10">
        <v>180</v>
      </c>
      <c r="V2326" s="59">
        <v>1</v>
      </c>
      <c r="W2326" s="59">
        <v>5</v>
      </c>
      <c r="X2326" s="29">
        <v>22.4</v>
      </c>
      <c r="Y2326" s="54" t="s">
        <v>26</v>
      </c>
      <c r="Z2326" t="s">
        <v>1639</v>
      </c>
    </row>
    <row r="2327" spans="1:27" ht="23.1" customHeight="1" x14ac:dyDescent="0.25">
      <c r="A2327" s="20" t="s">
        <v>1621</v>
      </c>
      <c r="B2327" s="7" t="s">
        <v>110</v>
      </c>
      <c r="C2327" s="7">
        <v>121</v>
      </c>
      <c r="D2327" s="7" t="s">
        <v>288</v>
      </c>
      <c r="E2327" s="41" t="s">
        <v>1532</v>
      </c>
      <c r="F2327" s="41" t="s">
        <v>1532</v>
      </c>
      <c r="G2327" s="7" t="s">
        <v>250</v>
      </c>
      <c r="H2327" s="7">
        <v>50</v>
      </c>
      <c r="I2327" s="10" t="s">
        <v>2021</v>
      </c>
      <c r="J2327" s="10">
        <v>0.3</v>
      </c>
      <c r="K2327" s="10">
        <v>0.4</v>
      </c>
      <c r="L2327" s="43">
        <v>28</v>
      </c>
      <c r="M2327" s="43"/>
      <c r="N2327" s="12" t="s">
        <v>357</v>
      </c>
      <c r="P2327" s="10">
        <v>3000</v>
      </c>
      <c r="Q2327" s="10">
        <v>90</v>
      </c>
      <c r="T2327" s="10">
        <v>150</v>
      </c>
      <c r="V2327" s="59"/>
      <c r="W2327" s="59"/>
      <c r="X2327" s="29">
        <v>20</v>
      </c>
      <c r="Y2327" s="54" t="s">
        <v>26</v>
      </c>
    </row>
    <row r="2328" spans="1:27" ht="23.1" customHeight="1" x14ac:dyDescent="0.25">
      <c r="A2328" s="20" t="s">
        <v>1621</v>
      </c>
      <c r="B2328" s="7" t="s">
        <v>110</v>
      </c>
      <c r="C2328" s="7">
        <v>16</v>
      </c>
      <c r="D2328" s="7" t="s">
        <v>1420</v>
      </c>
      <c r="E2328" s="41" t="s">
        <v>1421</v>
      </c>
      <c r="F2328" s="41" t="s">
        <v>1421</v>
      </c>
      <c r="G2328" s="7" t="s">
        <v>123</v>
      </c>
      <c r="H2328" s="7">
        <v>20</v>
      </c>
      <c r="I2328" s="10" t="s">
        <v>2280</v>
      </c>
      <c r="J2328" s="10">
        <v>1.3</v>
      </c>
      <c r="K2328" s="10">
        <v>1.3</v>
      </c>
      <c r="L2328" s="43">
        <v>31</v>
      </c>
      <c r="M2328" s="43">
        <v>5</v>
      </c>
      <c r="N2328" s="12" t="s">
        <v>597</v>
      </c>
      <c r="P2328" s="10">
        <v>180</v>
      </c>
      <c r="T2328" s="10">
        <v>90</v>
      </c>
      <c r="V2328" s="59"/>
      <c r="W2328" s="59"/>
      <c r="X2328" s="29">
        <v>3.9</v>
      </c>
      <c r="Y2328" s="54" t="s">
        <v>38</v>
      </c>
    </row>
    <row r="2329" spans="1:27" ht="23.1" customHeight="1" x14ac:dyDescent="0.25">
      <c r="A2329" s="20" t="s">
        <v>1621</v>
      </c>
      <c r="B2329" s="7" t="s">
        <v>110</v>
      </c>
      <c r="C2329" s="7">
        <v>16</v>
      </c>
      <c r="D2329" s="7" t="s">
        <v>1420</v>
      </c>
      <c r="E2329" s="41" t="s">
        <v>1421</v>
      </c>
      <c r="F2329" s="41" t="s">
        <v>1421</v>
      </c>
      <c r="G2329" s="7" t="s">
        <v>123</v>
      </c>
      <c r="H2329" s="7">
        <v>25</v>
      </c>
      <c r="I2329" s="10" t="s">
        <v>2308</v>
      </c>
      <c r="J2329" s="10">
        <v>0.2</v>
      </c>
      <c r="K2329" s="10">
        <v>0.3</v>
      </c>
      <c r="L2329" s="43"/>
      <c r="M2329" s="43"/>
      <c r="N2329" s="12" t="s">
        <v>1440</v>
      </c>
      <c r="P2329" s="10">
        <v>780</v>
      </c>
      <c r="T2329" s="10">
        <v>90</v>
      </c>
      <c r="V2329" s="59">
        <v>1</v>
      </c>
      <c r="W2329" s="59">
        <v>2</v>
      </c>
      <c r="X2329" s="29">
        <v>7.4</v>
      </c>
      <c r="Y2329" s="54" t="s">
        <v>38</v>
      </c>
      <c r="Z2329" t="s">
        <v>1640</v>
      </c>
    </row>
    <row r="2330" spans="1:27" ht="23.1" customHeight="1" x14ac:dyDescent="0.25">
      <c r="A2330" s="20" t="s">
        <v>1621</v>
      </c>
      <c r="B2330" s="7" t="s">
        <v>110</v>
      </c>
      <c r="C2330" s="7">
        <v>77</v>
      </c>
      <c r="D2330" s="7" t="s">
        <v>1259</v>
      </c>
      <c r="E2330" s="41" t="s">
        <v>1040</v>
      </c>
      <c r="F2330" s="41" t="s">
        <v>1040</v>
      </c>
      <c r="G2330" s="7" t="s">
        <v>102</v>
      </c>
      <c r="H2330" s="7">
        <v>20</v>
      </c>
      <c r="I2330" s="10" t="s">
        <v>2106</v>
      </c>
      <c r="J2330" s="10">
        <v>8</v>
      </c>
      <c r="K2330" s="10">
        <v>8</v>
      </c>
      <c r="L2330" s="43">
        <v>9</v>
      </c>
      <c r="M2330" s="43">
        <v>9</v>
      </c>
      <c r="N2330" s="12" t="s">
        <v>596</v>
      </c>
      <c r="P2330" s="10">
        <v>20</v>
      </c>
      <c r="T2330" s="10">
        <v>60</v>
      </c>
      <c r="V2330" s="59">
        <v>1</v>
      </c>
      <c r="W2330" s="59">
        <v>2</v>
      </c>
      <c r="X2330" s="29">
        <v>5.7</v>
      </c>
      <c r="Y2330" s="54" t="s">
        <v>40</v>
      </c>
      <c r="Z2330" t="s">
        <v>1614</v>
      </c>
      <c r="AA2330" s="1" t="s">
        <v>238</v>
      </c>
    </row>
    <row r="2331" spans="1:27" ht="23.1" customHeight="1" x14ac:dyDescent="0.25">
      <c r="A2331" s="20" t="s">
        <v>1621</v>
      </c>
      <c r="B2331" s="7" t="s">
        <v>110</v>
      </c>
      <c r="C2331" s="7">
        <v>77</v>
      </c>
      <c r="D2331" s="7" t="s">
        <v>1259</v>
      </c>
      <c r="E2331" s="41" t="s">
        <v>1040</v>
      </c>
      <c r="F2331" s="41" t="s">
        <v>1040</v>
      </c>
      <c r="G2331" s="7" t="s">
        <v>102</v>
      </c>
      <c r="H2331" s="7">
        <v>20</v>
      </c>
      <c r="I2331" s="10" t="s">
        <v>2106</v>
      </c>
      <c r="J2331" s="10">
        <v>8</v>
      </c>
      <c r="K2331" s="10">
        <v>3</v>
      </c>
      <c r="L2331" s="43">
        <v>31</v>
      </c>
      <c r="M2331" s="43"/>
      <c r="N2331" s="12" t="s">
        <v>596</v>
      </c>
      <c r="P2331" s="10">
        <v>20</v>
      </c>
      <c r="T2331" s="10">
        <v>60</v>
      </c>
      <c r="V2331" s="59">
        <v>1</v>
      </c>
      <c r="W2331" s="59"/>
      <c r="X2331" s="29">
        <v>2</v>
      </c>
      <c r="Y2331" s="54" t="s">
        <v>40</v>
      </c>
      <c r="AA2331" s="1"/>
    </row>
    <row r="2332" spans="1:27" ht="23.1" customHeight="1" x14ac:dyDescent="0.25">
      <c r="A2332" s="20" t="s">
        <v>1621</v>
      </c>
      <c r="B2332" s="7" t="s">
        <v>110</v>
      </c>
      <c r="C2332" s="7">
        <v>78</v>
      </c>
      <c r="D2332" s="7" t="s">
        <v>992</v>
      </c>
      <c r="E2332" s="41" t="s">
        <v>993</v>
      </c>
      <c r="F2332" s="41" t="s">
        <v>993</v>
      </c>
      <c r="G2332" s="7" t="s">
        <v>154</v>
      </c>
      <c r="H2332" s="7">
        <v>25</v>
      </c>
      <c r="I2332" s="10" t="s">
        <v>1993</v>
      </c>
      <c r="J2332" s="10">
        <v>1</v>
      </c>
      <c r="K2332" s="10">
        <v>1</v>
      </c>
      <c r="L2332" s="43">
        <v>31</v>
      </c>
      <c r="M2332" s="43"/>
      <c r="N2332" s="12" t="s">
        <v>159</v>
      </c>
      <c r="P2332" s="10">
        <v>400</v>
      </c>
      <c r="Q2332" s="10">
        <v>60</v>
      </c>
      <c r="S2332" s="11">
        <v>1</v>
      </c>
      <c r="T2332" s="10">
        <v>90</v>
      </c>
      <c r="V2332" s="59"/>
      <c r="W2332" s="59"/>
      <c r="X2332" s="29">
        <v>7.7</v>
      </c>
      <c r="Y2332" s="54" t="s">
        <v>5</v>
      </c>
    </row>
    <row r="2333" spans="1:27" ht="23.1" customHeight="1" x14ac:dyDescent="0.25">
      <c r="A2333" s="20" t="s">
        <v>1621</v>
      </c>
      <c r="B2333" s="7" t="s">
        <v>110</v>
      </c>
      <c r="C2333" s="7">
        <v>78</v>
      </c>
      <c r="D2333" s="7" t="s">
        <v>992</v>
      </c>
      <c r="E2333" s="41" t="s">
        <v>993</v>
      </c>
      <c r="F2333" s="41" t="s">
        <v>993</v>
      </c>
      <c r="G2333" s="7" t="s">
        <v>154</v>
      </c>
      <c r="H2333" s="7">
        <v>30</v>
      </c>
      <c r="I2333" s="10" t="s">
        <v>1992</v>
      </c>
      <c r="K2333" s="10">
        <v>1</v>
      </c>
      <c r="L2333" s="43">
        <v>23</v>
      </c>
      <c r="M2333" s="43"/>
      <c r="N2333" s="12" t="s">
        <v>159</v>
      </c>
      <c r="P2333" s="10">
        <v>450</v>
      </c>
      <c r="Q2333" s="10">
        <v>60</v>
      </c>
      <c r="S2333" s="11">
        <v>1</v>
      </c>
      <c r="T2333" s="10">
        <v>90</v>
      </c>
      <c r="V2333" s="59">
        <v>1</v>
      </c>
      <c r="W2333" s="59"/>
      <c r="X2333" s="29">
        <v>10</v>
      </c>
      <c r="Y2333" s="54" t="s">
        <v>5</v>
      </c>
    </row>
    <row r="2334" spans="1:27" ht="23.1" customHeight="1" x14ac:dyDescent="0.25">
      <c r="A2334" s="20" t="s">
        <v>1621</v>
      </c>
      <c r="B2334" s="7" t="s">
        <v>110</v>
      </c>
      <c r="C2334" s="7">
        <v>58</v>
      </c>
      <c r="D2334" s="7" t="s">
        <v>730</v>
      </c>
      <c r="E2334" s="41" t="s">
        <v>731</v>
      </c>
      <c r="F2334" s="41" t="e">
        <v>#N/A</v>
      </c>
      <c r="G2334" s="7" t="s">
        <v>102</v>
      </c>
      <c r="H2334" s="7">
        <v>15</v>
      </c>
      <c r="I2334" s="10"/>
      <c r="J2334" s="10">
        <v>1</v>
      </c>
      <c r="K2334" s="10">
        <v>1</v>
      </c>
      <c r="L2334" s="43">
        <v>28</v>
      </c>
      <c r="M2334" s="43"/>
      <c r="N2334" s="12" t="s">
        <v>108</v>
      </c>
      <c r="V2334" s="59"/>
      <c r="W2334" s="59">
        <v>12</v>
      </c>
      <c r="X2334" s="29">
        <v>12</v>
      </c>
      <c r="Y2334" s="54" t="s">
        <v>57</v>
      </c>
      <c r="AA2334" t="s">
        <v>238</v>
      </c>
    </row>
    <row r="2335" spans="1:27" ht="23.1" customHeight="1" x14ac:dyDescent="0.25">
      <c r="A2335" s="20" t="s">
        <v>1621</v>
      </c>
      <c r="B2335" s="7" t="s">
        <v>110</v>
      </c>
      <c r="C2335" s="7">
        <v>47</v>
      </c>
      <c r="D2335" s="7" t="s">
        <v>978</v>
      </c>
      <c r="E2335" s="41" t="s">
        <v>979</v>
      </c>
      <c r="F2335" s="41" t="s">
        <v>979</v>
      </c>
      <c r="G2335" s="7" t="s">
        <v>123</v>
      </c>
      <c r="H2335" s="7">
        <v>38</v>
      </c>
      <c r="I2335" s="10"/>
      <c r="J2335" s="10">
        <v>0.8</v>
      </c>
      <c r="K2335" s="10">
        <v>0.8</v>
      </c>
      <c r="L2335" s="43">
        <v>37</v>
      </c>
      <c r="M2335" s="43">
        <v>37</v>
      </c>
      <c r="N2335" s="12" t="s">
        <v>1305</v>
      </c>
      <c r="O2335" s="10">
        <v>330</v>
      </c>
      <c r="R2335" s="10">
        <v>120</v>
      </c>
      <c r="S2335" s="11">
        <v>1</v>
      </c>
      <c r="U2335" s="10">
        <v>90</v>
      </c>
      <c r="V2335" s="59">
        <v>1</v>
      </c>
      <c r="W2335" s="59"/>
      <c r="X2335" s="32">
        <v>7.9</v>
      </c>
      <c r="Y2335" s="54" t="s">
        <v>22</v>
      </c>
    </row>
    <row r="2336" spans="1:27" ht="23.1" customHeight="1" x14ac:dyDescent="0.25">
      <c r="A2336" s="20" t="s">
        <v>1621</v>
      </c>
      <c r="B2336" s="7" t="s">
        <v>110</v>
      </c>
      <c r="C2336" s="7">
        <v>47</v>
      </c>
      <c r="D2336" s="7" t="s">
        <v>978</v>
      </c>
      <c r="E2336" s="41" t="s">
        <v>979</v>
      </c>
      <c r="F2336" s="41" t="s">
        <v>979</v>
      </c>
      <c r="G2336" s="7" t="s">
        <v>123</v>
      </c>
      <c r="H2336" s="7">
        <v>30</v>
      </c>
      <c r="I2336" s="10" t="s">
        <v>2199</v>
      </c>
      <c r="J2336" s="10">
        <v>0.1</v>
      </c>
      <c r="K2336" s="10">
        <v>0.1</v>
      </c>
      <c r="L2336" s="43">
        <v>28</v>
      </c>
      <c r="M2336" s="43"/>
      <c r="N2336" s="12" t="s">
        <v>1402</v>
      </c>
      <c r="P2336" s="10">
        <v>720</v>
      </c>
      <c r="Q2336" s="10">
        <v>120</v>
      </c>
      <c r="T2336" s="10">
        <v>90</v>
      </c>
      <c r="V2336" s="59"/>
      <c r="W2336" s="59"/>
      <c r="X2336" s="29">
        <v>1.2</v>
      </c>
      <c r="Y2336" s="54" t="s">
        <v>22</v>
      </c>
    </row>
    <row r="2337" spans="1:27" ht="23.1" customHeight="1" x14ac:dyDescent="0.25">
      <c r="A2337" s="20" t="s">
        <v>1621</v>
      </c>
      <c r="B2337" s="7" t="s">
        <v>110</v>
      </c>
      <c r="C2337" s="7">
        <v>23</v>
      </c>
      <c r="D2337" s="7" t="s">
        <v>498</v>
      </c>
      <c r="E2337" s="41" t="s">
        <v>499</v>
      </c>
      <c r="F2337" s="41" t="s">
        <v>499</v>
      </c>
      <c r="G2337" s="7" t="s">
        <v>118</v>
      </c>
      <c r="H2337" s="7">
        <v>30</v>
      </c>
      <c r="I2337" s="10" t="s">
        <v>2123</v>
      </c>
      <c r="J2337" s="10">
        <v>0.9</v>
      </c>
      <c r="K2337" s="10">
        <v>0.9</v>
      </c>
      <c r="L2337" s="43">
        <v>37</v>
      </c>
      <c r="M2337" s="43">
        <v>37</v>
      </c>
      <c r="N2337" s="12" t="s">
        <v>222</v>
      </c>
      <c r="P2337" s="10">
        <v>1020</v>
      </c>
      <c r="Q2337" s="10">
        <v>90</v>
      </c>
      <c r="S2337" s="11">
        <v>1</v>
      </c>
      <c r="T2337" s="10">
        <v>120</v>
      </c>
      <c r="V2337" s="59">
        <v>1</v>
      </c>
      <c r="W2337" s="59"/>
      <c r="X2337" s="29">
        <v>18.8</v>
      </c>
      <c r="Y2337" s="54" t="s">
        <v>22</v>
      </c>
    </row>
    <row r="2338" spans="1:27" ht="23.1" customHeight="1" x14ac:dyDescent="0.25">
      <c r="A2338" s="20" t="s">
        <v>1621</v>
      </c>
      <c r="B2338" s="7" t="s">
        <v>110</v>
      </c>
      <c r="C2338" s="7">
        <v>107</v>
      </c>
      <c r="D2338" s="7" t="s">
        <v>1415</v>
      </c>
      <c r="E2338" s="41" t="s">
        <v>215</v>
      </c>
      <c r="F2338" s="41" t="s">
        <v>215</v>
      </c>
      <c r="G2338" s="7" t="s">
        <v>154</v>
      </c>
      <c r="H2338" s="7">
        <v>40</v>
      </c>
      <c r="I2338" s="10" t="s">
        <v>2263</v>
      </c>
      <c r="J2338" s="10">
        <v>1</v>
      </c>
      <c r="K2338" s="10">
        <v>0.5</v>
      </c>
      <c r="L2338" s="43">
        <v>5</v>
      </c>
      <c r="M2338" s="43"/>
      <c r="N2338" s="12" t="s">
        <v>1641</v>
      </c>
      <c r="P2338" s="10">
        <v>390</v>
      </c>
      <c r="S2338" s="11">
        <v>1</v>
      </c>
      <c r="T2338" s="10">
        <v>60</v>
      </c>
      <c r="V2338" s="59">
        <v>1</v>
      </c>
      <c r="W2338" s="59"/>
      <c r="X2338" s="29">
        <v>4.3</v>
      </c>
      <c r="Y2338" s="54" t="s">
        <v>13</v>
      </c>
    </row>
    <row r="2339" spans="1:27" ht="23.1" customHeight="1" x14ac:dyDescent="0.25">
      <c r="A2339" s="20" t="s">
        <v>1621</v>
      </c>
      <c r="B2339" s="7" t="s">
        <v>110</v>
      </c>
      <c r="C2339" s="7">
        <v>69</v>
      </c>
      <c r="D2339" s="7" t="s">
        <v>298</v>
      </c>
      <c r="E2339" s="41" t="s">
        <v>299</v>
      </c>
      <c r="F2339" s="41" t="s">
        <v>299</v>
      </c>
      <c r="G2339" s="7" t="s">
        <v>300</v>
      </c>
      <c r="H2339" s="7">
        <v>30</v>
      </c>
      <c r="I2339" s="10" t="s">
        <v>1921</v>
      </c>
      <c r="J2339" s="10">
        <v>0.3</v>
      </c>
      <c r="K2339" s="10">
        <v>0.5</v>
      </c>
      <c r="L2339" s="43">
        <v>5</v>
      </c>
      <c r="M2339" s="43">
        <v>5</v>
      </c>
      <c r="N2339" s="12" t="s">
        <v>164</v>
      </c>
      <c r="P2339" s="10">
        <v>960</v>
      </c>
      <c r="Q2339" s="10">
        <v>120</v>
      </c>
      <c r="T2339" s="10">
        <v>180</v>
      </c>
      <c r="V2339" s="59">
        <v>1</v>
      </c>
      <c r="W2339" s="59">
        <v>8</v>
      </c>
      <c r="X2339" s="29">
        <v>19</v>
      </c>
      <c r="Y2339" s="54" t="s">
        <v>26</v>
      </c>
      <c r="Z2339" t="s">
        <v>1642</v>
      </c>
    </row>
    <row r="2340" spans="1:27" ht="23.1" customHeight="1" x14ac:dyDescent="0.25">
      <c r="A2340" s="20" t="s">
        <v>1621</v>
      </c>
      <c r="B2340" s="7" t="s">
        <v>110</v>
      </c>
      <c r="C2340" s="7">
        <v>21</v>
      </c>
      <c r="D2340" s="7" t="s">
        <v>321</v>
      </c>
      <c r="E2340" s="41" t="s">
        <v>322</v>
      </c>
      <c r="F2340" s="41" t="s">
        <v>322</v>
      </c>
      <c r="G2340" s="7" t="s">
        <v>323</v>
      </c>
      <c r="H2340" s="7">
        <v>50</v>
      </c>
      <c r="I2340" s="10" t="s">
        <v>1986</v>
      </c>
      <c r="J2340" s="10">
        <v>2</v>
      </c>
      <c r="K2340" s="10">
        <v>0.3</v>
      </c>
      <c r="L2340" s="43">
        <v>5</v>
      </c>
      <c r="M2340" s="43">
        <v>5</v>
      </c>
      <c r="N2340" s="12" t="s">
        <v>508</v>
      </c>
      <c r="P2340" s="10">
        <v>630</v>
      </c>
      <c r="Q2340" s="10">
        <v>120</v>
      </c>
      <c r="S2340" s="11">
        <v>1</v>
      </c>
      <c r="T2340" s="10">
        <v>180</v>
      </c>
      <c r="V2340" s="59">
        <v>1</v>
      </c>
      <c r="W2340" s="10">
        <v>2</v>
      </c>
      <c r="X2340" s="29">
        <v>10.199999999999999</v>
      </c>
      <c r="Y2340" s="54" t="s">
        <v>49</v>
      </c>
      <c r="Z2340" t="s">
        <v>953</v>
      </c>
    </row>
    <row r="2341" spans="1:27" ht="23.1" customHeight="1" x14ac:dyDescent="0.25">
      <c r="A2341" s="20" t="s">
        <v>1621</v>
      </c>
      <c r="B2341" s="7" t="s">
        <v>110</v>
      </c>
      <c r="C2341" s="7">
        <v>79</v>
      </c>
      <c r="D2341" s="7" t="s">
        <v>420</v>
      </c>
      <c r="E2341" s="41" t="s">
        <v>1247</v>
      </c>
      <c r="F2341" s="41" t="s">
        <v>1247</v>
      </c>
      <c r="G2341" s="7" t="s">
        <v>154</v>
      </c>
      <c r="H2341" s="7">
        <v>30</v>
      </c>
      <c r="I2341" s="10" t="s">
        <v>2053</v>
      </c>
      <c r="J2341" s="10">
        <v>0.3</v>
      </c>
      <c r="K2341" s="10">
        <v>0.6</v>
      </c>
      <c r="L2341" s="43">
        <v>23</v>
      </c>
      <c r="M2341" s="43">
        <v>23</v>
      </c>
      <c r="N2341" s="12" t="s">
        <v>421</v>
      </c>
      <c r="P2341" s="10">
        <v>1830</v>
      </c>
      <c r="Q2341" s="10">
        <v>90</v>
      </c>
      <c r="S2341" s="11">
        <v>1</v>
      </c>
      <c r="T2341" s="10">
        <v>120</v>
      </c>
      <c r="V2341" s="59">
        <v>1</v>
      </c>
      <c r="W2341" s="59"/>
      <c r="X2341" s="29">
        <v>21.8</v>
      </c>
      <c r="Y2341" s="54" t="s">
        <v>5</v>
      </c>
    </row>
    <row r="2342" spans="1:27" ht="23.1" customHeight="1" x14ac:dyDescent="0.25">
      <c r="A2342" s="20" t="s">
        <v>1621</v>
      </c>
      <c r="B2342" s="7" t="s">
        <v>110</v>
      </c>
      <c r="C2342" s="7">
        <v>59</v>
      </c>
      <c r="D2342" s="7" t="s">
        <v>1643</v>
      </c>
      <c r="E2342" s="41" t="s">
        <v>1644</v>
      </c>
      <c r="F2342" s="41" t="e">
        <v>#N/A</v>
      </c>
      <c r="G2342" s="7" t="s">
        <v>102</v>
      </c>
      <c r="H2342" s="7">
        <v>10</v>
      </c>
      <c r="I2342" s="10"/>
      <c r="K2342" s="10">
        <v>1</v>
      </c>
      <c r="L2342" s="43"/>
      <c r="M2342" s="43"/>
      <c r="N2342" s="12" t="s">
        <v>108</v>
      </c>
      <c r="V2342" s="59">
        <v>1</v>
      </c>
      <c r="W2342" s="59">
        <v>5</v>
      </c>
      <c r="X2342" s="29">
        <v>5</v>
      </c>
      <c r="Y2342" s="54" t="s">
        <v>42</v>
      </c>
      <c r="AA2342" t="s">
        <v>238</v>
      </c>
    </row>
    <row r="2343" spans="1:27" ht="23.1" customHeight="1" x14ac:dyDescent="0.25">
      <c r="A2343" s="20" t="s">
        <v>1621</v>
      </c>
      <c r="B2343" s="7" t="s">
        <v>110</v>
      </c>
      <c r="C2343" s="7">
        <v>59</v>
      </c>
      <c r="D2343" s="7" t="s">
        <v>1643</v>
      </c>
      <c r="E2343" s="41" t="s">
        <v>1644</v>
      </c>
      <c r="F2343" s="41" t="e">
        <v>#N/A</v>
      </c>
      <c r="G2343" s="7" t="s">
        <v>102</v>
      </c>
      <c r="H2343" s="7">
        <v>15</v>
      </c>
      <c r="I2343" s="10"/>
      <c r="K2343" s="10">
        <v>1</v>
      </c>
      <c r="L2343" s="43"/>
      <c r="M2343" s="43"/>
      <c r="N2343" s="12" t="s">
        <v>108</v>
      </c>
      <c r="V2343" s="59">
        <v>1</v>
      </c>
      <c r="W2343" s="59">
        <v>5</v>
      </c>
      <c r="X2343" s="29">
        <v>5</v>
      </c>
      <c r="Y2343" s="54" t="s">
        <v>42</v>
      </c>
      <c r="AA2343" t="s">
        <v>238</v>
      </c>
    </row>
    <row r="2344" spans="1:27" ht="23.1" customHeight="1" x14ac:dyDescent="0.25">
      <c r="A2344" s="20" t="s">
        <v>1621</v>
      </c>
      <c r="B2344" s="7" t="s">
        <v>110</v>
      </c>
      <c r="C2344" s="7">
        <v>59</v>
      </c>
      <c r="D2344" s="7" t="s">
        <v>1643</v>
      </c>
      <c r="E2344" s="41" t="s">
        <v>1644</v>
      </c>
      <c r="F2344" s="41" t="e">
        <v>#N/A</v>
      </c>
      <c r="G2344" s="7" t="s">
        <v>102</v>
      </c>
      <c r="H2344" s="7">
        <v>20</v>
      </c>
      <c r="I2344" s="10"/>
      <c r="K2344" s="10">
        <v>0.1</v>
      </c>
      <c r="L2344" s="43"/>
      <c r="M2344" s="43"/>
      <c r="N2344" s="12" t="s">
        <v>108</v>
      </c>
      <c r="V2344" s="59">
        <v>1</v>
      </c>
      <c r="W2344" s="59">
        <v>5</v>
      </c>
      <c r="X2344" s="29">
        <v>5</v>
      </c>
      <c r="Y2344" s="54" t="s">
        <v>42</v>
      </c>
      <c r="AA2344" t="s">
        <v>238</v>
      </c>
    </row>
    <row r="2345" spans="1:27" ht="23.1" customHeight="1" x14ac:dyDescent="0.25">
      <c r="A2345" s="20" t="s">
        <v>1621</v>
      </c>
      <c r="B2345" s="7" t="s">
        <v>110</v>
      </c>
      <c r="C2345" s="7">
        <v>55</v>
      </c>
      <c r="D2345" s="7" t="s">
        <v>1506</v>
      </c>
      <c r="E2345" s="41" t="s">
        <v>1507</v>
      </c>
      <c r="F2345" s="41" t="s">
        <v>1507</v>
      </c>
      <c r="G2345" s="7" t="s">
        <v>154</v>
      </c>
      <c r="H2345" s="7">
        <v>45</v>
      </c>
      <c r="I2345" s="10" t="s">
        <v>2309</v>
      </c>
      <c r="J2345" s="10">
        <v>3</v>
      </c>
      <c r="K2345" s="10">
        <v>4</v>
      </c>
      <c r="L2345" s="43">
        <v>31</v>
      </c>
      <c r="M2345" s="43">
        <v>26</v>
      </c>
      <c r="N2345" s="12" t="s">
        <v>164</v>
      </c>
      <c r="P2345" s="10">
        <v>100</v>
      </c>
      <c r="T2345" s="10">
        <v>60</v>
      </c>
      <c r="V2345" s="59">
        <v>1</v>
      </c>
      <c r="W2345" s="59">
        <v>4</v>
      </c>
      <c r="X2345" s="29">
        <v>11.7</v>
      </c>
      <c r="Y2345" s="54" t="s">
        <v>18</v>
      </c>
      <c r="Z2345" t="s">
        <v>1645</v>
      </c>
      <c r="AA2345" s="1" t="s">
        <v>238</v>
      </c>
    </row>
    <row r="2346" spans="1:27" ht="23.1" customHeight="1" x14ac:dyDescent="0.25">
      <c r="A2346" s="20" t="s">
        <v>1621</v>
      </c>
      <c r="B2346" s="7" t="s">
        <v>110</v>
      </c>
      <c r="C2346" s="7">
        <v>56</v>
      </c>
      <c r="D2346" s="7" t="s">
        <v>1646</v>
      </c>
      <c r="E2346" s="41" t="s">
        <v>1398</v>
      </c>
      <c r="F2346" s="41" t="s">
        <v>1398</v>
      </c>
      <c r="G2346" s="7" t="s">
        <v>118</v>
      </c>
      <c r="H2346" s="7">
        <v>22</v>
      </c>
      <c r="I2346" s="10"/>
      <c r="K2346" s="10">
        <v>4</v>
      </c>
      <c r="L2346" s="43">
        <v>37</v>
      </c>
      <c r="M2346" s="43">
        <v>37</v>
      </c>
      <c r="N2346" s="12" t="s">
        <v>1647</v>
      </c>
      <c r="O2346" s="10">
        <v>10</v>
      </c>
      <c r="V2346" s="59"/>
      <c r="W2346" s="59">
        <v>3</v>
      </c>
      <c r="X2346" s="32">
        <v>3.7</v>
      </c>
      <c r="Y2346" s="54" t="s">
        <v>18</v>
      </c>
      <c r="Z2346" t="s">
        <v>1648</v>
      </c>
    </row>
    <row r="2347" spans="1:27" ht="23.1" customHeight="1" x14ac:dyDescent="0.25">
      <c r="A2347" s="20" t="s">
        <v>1621</v>
      </c>
      <c r="B2347" s="7" t="s">
        <v>110</v>
      </c>
      <c r="C2347" s="7">
        <v>56</v>
      </c>
      <c r="D2347" s="7" t="s">
        <v>1646</v>
      </c>
      <c r="E2347" s="41" t="s">
        <v>1398</v>
      </c>
      <c r="F2347" s="41" t="s">
        <v>1398</v>
      </c>
      <c r="G2347" s="7" t="s">
        <v>118</v>
      </c>
      <c r="H2347" s="7">
        <v>25</v>
      </c>
      <c r="I2347" s="10" t="s">
        <v>2037</v>
      </c>
      <c r="K2347" s="10">
        <v>4</v>
      </c>
      <c r="L2347" s="43">
        <v>37</v>
      </c>
      <c r="M2347" s="43">
        <v>37</v>
      </c>
      <c r="N2347" s="12" t="s">
        <v>1647</v>
      </c>
      <c r="P2347" s="10">
        <v>160</v>
      </c>
      <c r="T2347" s="10">
        <v>90</v>
      </c>
      <c r="V2347" s="59">
        <v>1</v>
      </c>
      <c r="W2347" s="59"/>
      <c r="X2347" s="29">
        <v>12.2</v>
      </c>
      <c r="Y2347" s="54" t="s">
        <v>18</v>
      </c>
    </row>
    <row r="2348" spans="1:27" ht="23.1" customHeight="1" x14ac:dyDescent="0.25">
      <c r="A2348" s="20" t="s">
        <v>1621</v>
      </c>
      <c r="B2348" s="7" t="s">
        <v>110</v>
      </c>
      <c r="C2348" s="7">
        <v>11</v>
      </c>
      <c r="D2348" s="7" t="s">
        <v>1649</v>
      </c>
      <c r="E2348" s="41" t="s">
        <v>1650</v>
      </c>
      <c r="F2348" s="41" t="e">
        <v>#N/A</v>
      </c>
      <c r="G2348" s="7" t="s">
        <v>102</v>
      </c>
      <c r="H2348" s="7">
        <v>10</v>
      </c>
      <c r="I2348" s="10"/>
      <c r="K2348" s="10">
        <v>1</v>
      </c>
      <c r="L2348" s="43">
        <v>26</v>
      </c>
      <c r="M2348" s="43">
        <v>26</v>
      </c>
      <c r="N2348" s="12" t="s">
        <v>108</v>
      </c>
      <c r="V2348" s="59">
        <v>1</v>
      </c>
      <c r="W2348" s="59">
        <v>3</v>
      </c>
      <c r="X2348" s="29">
        <v>3</v>
      </c>
      <c r="Y2348" s="54" t="s">
        <v>38</v>
      </c>
    </row>
    <row r="2349" spans="1:27" ht="23.1" customHeight="1" x14ac:dyDescent="0.25">
      <c r="A2349" s="20" t="s">
        <v>1621</v>
      </c>
      <c r="B2349" s="7" t="s">
        <v>110</v>
      </c>
      <c r="C2349" s="7">
        <v>11</v>
      </c>
      <c r="D2349" s="7" t="s">
        <v>1649</v>
      </c>
      <c r="E2349" s="41" t="s">
        <v>1650</v>
      </c>
      <c r="F2349" s="41" t="e">
        <v>#N/A</v>
      </c>
      <c r="G2349" s="7" t="s">
        <v>102</v>
      </c>
      <c r="H2349" s="7">
        <v>15</v>
      </c>
      <c r="I2349" s="10"/>
      <c r="K2349" s="10">
        <v>1</v>
      </c>
      <c r="L2349" s="43">
        <v>26</v>
      </c>
      <c r="M2349" s="43">
        <v>26</v>
      </c>
      <c r="N2349" s="12" t="s">
        <v>108</v>
      </c>
      <c r="V2349" s="59">
        <v>1</v>
      </c>
      <c r="W2349" s="59">
        <v>3</v>
      </c>
      <c r="X2349" s="29">
        <v>3</v>
      </c>
      <c r="Y2349" s="54" t="s">
        <v>38</v>
      </c>
    </row>
    <row r="2350" spans="1:27" ht="23.1" customHeight="1" x14ac:dyDescent="0.25">
      <c r="A2350" s="20" t="s">
        <v>1621</v>
      </c>
      <c r="B2350" s="7" t="s">
        <v>110</v>
      </c>
      <c r="C2350" s="7">
        <v>11</v>
      </c>
      <c r="D2350" s="7" t="s">
        <v>1649</v>
      </c>
      <c r="E2350" s="41" t="s">
        <v>1650</v>
      </c>
      <c r="F2350" s="41" t="e">
        <v>#N/A</v>
      </c>
      <c r="G2350" s="7" t="s">
        <v>102</v>
      </c>
      <c r="H2350" s="7">
        <v>20</v>
      </c>
      <c r="I2350" s="10"/>
      <c r="K2350" s="10">
        <v>1</v>
      </c>
      <c r="L2350" s="43">
        <v>26</v>
      </c>
      <c r="M2350" s="43">
        <v>26</v>
      </c>
      <c r="N2350" s="12" t="s">
        <v>108</v>
      </c>
      <c r="V2350" s="59">
        <v>1</v>
      </c>
      <c r="W2350" s="59">
        <v>3</v>
      </c>
      <c r="X2350" s="29">
        <v>3</v>
      </c>
      <c r="Y2350" s="54" t="s">
        <v>38</v>
      </c>
    </row>
    <row r="2351" spans="1:27" ht="23.1" customHeight="1" x14ac:dyDescent="0.25">
      <c r="A2351" s="20" t="s">
        <v>1621</v>
      </c>
      <c r="B2351" s="7" t="s">
        <v>110</v>
      </c>
      <c r="C2351" s="7">
        <v>11</v>
      </c>
      <c r="D2351" s="7" t="s">
        <v>1651</v>
      </c>
      <c r="E2351" s="41" t="s">
        <v>1652</v>
      </c>
      <c r="F2351" s="41" t="e">
        <v>#N/A</v>
      </c>
      <c r="G2351" s="7" t="s">
        <v>102</v>
      </c>
      <c r="H2351" s="7">
        <v>10</v>
      </c>
      <c r="I2351" s="10"/>
      <c r="K2351" s="10">
        <v>4</v>
      </c>
      <c r="L2351" s="43">
        <v>37</v>
      </c>
      <c r="M2351" s="43">
        <v>37</v>
      </c>
      <c r="N2351" s="12" t="s">
        <v>108</v>
      </c>
      <c r="V2351" s="59">
        <v>1</v>
      </c>
      <c r="W2351" s="59">
        <v>3</v>
      </c>
      <c r="X2351" s="29">
        <v>3</v>
      </c>
      <c r="Y2351" s="54" t="s">
        <v>38</v>
      </c>
    </row>
    <row r="2352" spans="1:27" ht="23.1" customHeight="1" x14ac:dyDescent="0.25">
      <c r="A2352" s="58" t="s">
        <v>1621</v>
      </c>
      <c r="B2352" s="44" t="s">
        <v>110</v>
      </c>
      <c r="C2352" s="44">
        <v>14</v>
      </c>
      <c r="D2352" s="7" t="s">
        <v>1653</v>
      </c>
      <c r="E2352" s="41" t="s">
        <v>139</v>
      </c>
      <c r="F2352" s="41" t="s">
        <v>139</v>
      </c>
      <c r="G2352" s="7" t="s">
        <v>375</v>
      </c>
      <c r="H2352" s="7">
        <v>10</v>
      </c>
      <c r="I2352" s="10" t="s">
        <v>1916</v>
      </c>
      <c r="J2352" s="10">
        <v>3</v>
      </c>
      <c r="K2352" s="10">
        <v>5</v>
      </c>
      <c r="L2352" s="43">
        <v>28</v>
      </c>
      <c r="M2352" s="43">
        <v>26</v>
      </c>
      <c r="N2352" s="12" t="s">
        <v>282</v>
      </c>
      <c r="P2352" s="10">
        <v>180</v>
      </c>
      <c r="T2352" s="10">
        <v>60</v>
      </c>
      <c r="V2352" s="59"/>
      <c r="W2352" s="59"/>
      <c r="X2352" s="29">
        <v>15</v>
      </c>
      <c r="Y2352" s="54" t="s">
        <v>10</v>
      </c>
    </row>
    <row r="2353" spans="1:27" ht="23.1" customHeight="1" x14ac:dyDescent="0.25">
      <c r="A2353" s="58" t="s">
        <v>1432</v>
      </c>
      <c r="B2353" s="44" t="s">
        <v>113</v>
      </c>
      <c r="C2353" s="44">
        <v>14</v>
      </c>
      <c r="D2353" s="7" t="s">
        <v>1653</v>
      </c>
      <c r="E2353" s="41" t="s">
        <v>139</v>
      </c>
      <c r="F2353" s="41" t="s">
        <v>139</v>
      </c>
      <c r="G2353" s="7" t="s">
        <v>375</v>
      </c>
      <c r="H2353" s="7">
        <v>10</v>
      </c>
      <c r="I2353" s="10" t="s">
        <v>1916</v>
      </c>
      <c r="K2353" s="10">
        <v>3</v>
      </c>
      <c r="L2353" s="43">
        <v>26</v>
      </c>
      <c r="M2353" s="43">
        <v>26</v>
      </c>
      <c r="N2353" s="12" t="s">
        <v>282</v>
      </c>
      <c r="P2353" s="10">
        <v>180</v>
      </c>
      <c r="T2353" s="10">
        <v>60</v>
      </c>
      <c r="V2353" s="59">
        <v>1</v>
      </c>
      <c r="W2353" s="59">
        <v>2</v>
      </c>
      <c r="X2353" s="29">
        <v>12</v>
      </c>
      <c r="Y2353" s="54" t="s">
        <v>60</v>
      </c>
      <c r="Z2353" t="s">
        <v>1376</v>
      </c>
      <c r="AA2353" s="1" t="s">
        <v>238</v>
      </c>
    </row>
    <row r="2354" spans="1:27" ht="23.1" customHeight="1" x14ac:dyDescent="0.25">
      <c r="A2354" s="58" t="s">
        <v>1432</v>
      </c>
      <c r="B2354" s="44" t="s">
        <v>113</v>
      </c>
      <c r="C2354" s="44">
        <v>14</v>
      </c>
      <c r="D2354" s="7" t="s">
        <v>1388</v>
      </c>
      <c r="E2354" s="41" t="s">
        <v>625</v>
      </c>
      <c r="F2354" s="41" t="s">
        <v>625</v>
      </c>
      <c r="G2354" s="7" t="s">
        <v>250</v>
      </c>
      <c r="H2354" s="7">
        <v>20</v>
      </c>
      <c r="I2354" s="10" t="s">
        <v>2311</v>
      </c>
      <c r="J2354" s="10">
        <v>5</v>
      </c>
      <c r="K2354" s="10">
        <v>3</v>
      </c>
      <c r="L2354" s="43">
        <v>28</v>
      </c>
      <c r="M2354" s="43">
        <v>28</v>
      </c>
      <c r="N2354" s="12" t="s">
        <v>1389</v>
      </c>
      <c r="P2354" s="10">
        <v>140</v>
      </c>
      <c r="T2354" s="10">
        <v>120</v>
      </c>
      <c r="V2354" s="59"/>
      <c r="W2354" s="59"/>
      <c r="X2354" s="29">
        <v>7</v>
      </c>
      <c r="Y2354" s="54" t="s">
        <v>60</v>
      </c>
    </row>
    <row r="2355" spans="1:27" ht="23.1" customHeight="1" x14ac:dyDescent="0.25">
      <c r="A2355" s="58" t="s">
        <v>1489</v>
      </c>
      <c r="B2355" s="44" t="s">
        <v>110</v>
      </c>
      <c r="C2355" s="44">
        <v>14</v>
      </c>
      <c r="D2355" s="7" t="s">
        <v>1653</v>
      </c>
      <c r="E2355" s="41" t="s">
        <v>139</v>
      </c>
      <c r="F2355" s="41" t="s">
        <v>139</v>
      </c>
      <c r="G2355" s="7" t="s">
        <v>375</v>
      </c>
      <c r="H2355" s="7">
        <v>10</v>
      </c>
      <c r="I2355" s="10" t="s">
        <v>1916</v>
      </c>
      <c r="J2355" s="10">
        <v>3</v>
      </c>
      <c r="K2355" s="10">
        <v>6</v>
      </c>
      <c r="L2355" s="43">
        <v>26</v>
      </c>
      <c r="M2355" s="43">
        <v>26</v>
      </c>
      <c r="N2355" s="12" t="s">
        <v>282</v>
      </c>
      <c r="P2355" s="10">
        <v>180</v>
      </c>
      <c r="T2355" s="10">
        <v>60</v>
      </c>
      <c r="V2355" s="59"/>
      <c r="W2355" s="59"/>
      <c r="X2355" s="29">
        <v>18</v>
      </c>
      <c r="Y2355" s="54" t="s">
        <v>31</v>
      </c>
    </row>
    <row r="2356" spans="1:27" ht="23.1" customHeight="1" x14ac:dyDescent="0.25">
      <c r="A2356" s="58" t="s">
        <v>1489</v>
      </c>
      <c r="B2356" s="44" t="s">
        <v>113</v>
      </c>
      <c r="C2356" s="44">
        <v>14</v>
      </c>
      <c r="D2356" s="7" t="s">
        <v>1653</v>
      </c>
      <c r="E2356" s="41" t="s">
        <v>139</v>
      </c>
      <c r="F2356" s="41" t="s">
        <v>139</v>
      </c>
      <c r="G2356" s="7" t="s">
        <v>375</v>
      </c>
      <c r="H2356" s="7">
        <v>10</v>
      </c>
      <c r="I2356" s="10" t="s">
        <v>2315</v>
      </c>
      <c r="K2356" s="10">
        <v>6</v>
      </c>
      <c r="L2356" s="43">
        <v>26</v>
      </c>
      <c r="M2356" s="43">
        <v>26</v>
      </c>
      <c r="N2356" s="12" t="s">
        <v>282</v>
      </c>
      <c r="P2356" s="10">
        <v>180</v>
      </c>
      <c r="T2356" s="10">
        <v>60</v>
      </c>
      <c r="V2356" s="59"/>
      <c r="W2356" s="59"/>
      <c r="X2356" s="29">
        <v>18</v>
      </c>
      <c r="Y2356" s="54" t="s">
        <v>60</v>
      </c>
    </row>
    <row r="2357" spans="1:27" ht="23.1" customHeight="1" x14ac:dyDescent="0.25">
      <c r="A2357" s="20" t="s">
        <v>1621</v>
      </c>
      <c r="B2357" s="7" t="s">
        <v>110</v>
      </c>
      <c r="C2357" s="7">
        <v>107</v>
      </c>
      <c r="D2357" s="7" t="s">
        <v>1275</v>
      </c>
      <c r="E2357" s="41" t="s">
        <v>215</v>
      </c>
      <c r="F2357" s="41" t="s">
        <v>215</v>
      </c>
      <c r="G2357" s="7" t="s">
        <v>154</v>
      </c>
      <c r="H2357" s="7">
        <v>40</v>
      </c>
      <c r="I2357" s="10" t="s">
        <v>2505</v>
      </c>
      <c r="J2357" s="10">
        <v>1.2</v>
      </c>
      <c r="K2357" s="10">
        <v>2</v>
      </c>
      <c r="L2357" s="43">
        <v>31</v>
      </c>
      <c r="M2357" s="43">
        <v>26</v>
      </c>
      <c r="N2357" s="12" t="s">
        <v>1654</v>
      </c>
      <c r="P2357" s="10">
        <v>390</v>
      </c>
      <c r="S2357" s="11">
        <v>2</v>
      </c>
      <c r="T2357" s="10">
        <v>60</v>
      </c>
      <c r="V2357" s="59"/>
      <c r="W2357" s="59"/>
      <c r="X2357" s="29">
        <v>13</v>
      </c>
      <c r="Y2357" s="54" t="s">
        <v>13</v>
      </c>
    </row>
    <row r="2358" spans="1:27" ht="23.1" customHeight="1" x14ac:dyDescent="0.25">
      <c r="A2358" s="20" t="s">
        <v>1621</v>
      </c>
      <c r="B2358" s="7" t="s">
        <v>110</v>
      </c>
      <c r="C2358" s="7">
        <v>12</v>
      </c>
      <c r="D2358" s="7" t="s">
        <v>248</v>
      </c>
      <c r="E2358" s="41" t="s">
        <v>249</v>
      </c>
      <c r="F2358" s="41" t="s">
        <v>249</v>
      </c>
      <c r="G2358" s="7" t="s">
        <v>250</v>
      </c>
      <c r="H2358" s="7">
        <v>20</v>
      </c>
      <c r="I2358" s="10" t="s">
        <v>2506</v>
      </c>
      <c r="K2358" s="10">
        <v>6</v>
      </c>
      <c r="L2358" s="43">
        <v>28</v>
      </c>
      <c r="M2358" s="43">
        <v>28</v>
      </c>
      <c r="N2358" s="12" t="s">
        <v>1426</v>
      </c>
      <c r="P2358" s="10">
        <v>40</v>
      </c>
      <c r="Q2358" s="10">
        <v>60</v>
      </c>
      <c r="T2358" s="10">
        <v>90</v>
      </c>
      <c r="V2358" s="59">
        <v>1</v>
      </c>
      <c r="W2358" s="59">
        <v>2</v>
      </c>
      <c r="X2358" s="29">
        <v>7.5</v>
      </c>
      <c r="Y2358" s="54" t="s">
        <v>10</v>
      </c>
      <c r="Z2358" t="s">
        <v>1655</v>
      </c>
      <c r="AA2358" s="1" t="s">
        <v>238</v>
      </c>
    </row>
    <row r="2359" spans="1:27" ht="23.1" customHeight="1" x14ac:dyDescent="0.25">
      <c r="A2359" s="20" t="s">
        <v>1621</v>
      </c>
      <c r="B2359" s="7" t="s">
        <v>110</v>
      </c>
      <c r="C2359" s="7">
        <v>12</v>
      </c>
      <c r="D2359" s="7" t="s">
        <v>248</v>
      </c>
      <c r="E2359" s="41" t="s">
        <v>249</v>
      </c>
      <c r="F2359" s="41" t="s">
        <v>249</v>
      </c>
      <c r="G2359" s="7" t="s">
        <v>250</v>
      </c>
      <c r="H2359" s="7">
        <v>23</v>
      </c>
      <c r="I2359" s="10"/>
      <c r="K2359" s="10">
        <v>6</v>
      </c>
      <c r="L2359" s="43">
        <v>28</v>
      </c>
      <c r="M2359" s="43">
        <v>28</v>
      </c>
      <c r="N2359" s="12" t="s">
        <v>1426</v>
      </c>
      <c r="O2359" s="10">
        <v>15</v>
      </c>
      <c r="R2359" s="10">
        <v>60</v>
      </c>
      <c r="U2359" s="10">
        <v>120</v>
      </c>
      <c r="V2359" s="59">
        <v>1</v>
      </c>
      <c r="W2359" s="59">
        <v>2</v>
      </c>
      <c r="X2359" s="32">
        <v>5.5</v>
      </c>
      <c r="Y2359" s="54" t="s">
        <v>10</v>
      </c>
      <c r="Z2359" t="s">
        <v>1396</v>
      </c>
    </row>
    <row r="2360" spans="1:27" ht="23.1" customHeight="1" x14ac:dyDescent="0.25">
      <c r="A2360" s="20" t="s">
        <v>1621</v>
      </c>
      <c r="B2360" s="7" t="s">
        <v>110</v>
      </c>
      <c r="C2360" s="7">
        <v>17</v>
      </c>
      <c r="D2360" s="7" t="s">
        <v>1520</v>
      </c>
      <c r="E2360" s="41" t="s">
        <v>133</v>
      </c>
      <c r="F2360" s="41" t="s">
        <v>133</v>
      </c>
      <c r="G2360" s="7" t="s">
        <v>154</v>
      </c>
      <c r="H2360" s="7">
        <v>15</v>
      </c>
      <c r="I2360" s="10"/>
      <c r="J2360" s="10">
        <v>6</v>
      </c>
      <c r="K2360" s="10">
        <v>6</v>
      </c>
      <c r="L2360" s="43">
        <v>28</v>
      </c>
      <c r="M2360" s="43">
        <v>28</v>
      </c>
      <c r="N2360" s="12" t="s">
        <v>1521</v>
      </c>
      <c r="O2360" s="10">
        <v>80</v>
      </c>
      <c r="U2360" s="10">
        <v>60</v>
      </c>
      <c r="V2360" s="59">
        <v>1</v>
      </c>
      <c r="W2360" s="59">
        <v>2</v>
      </c>
      <c r="X2360" s="32">
        <v>11</v>
      </c>
      <c r="Y2360" s="54" t="s">
        <v>43</v>
      </c>
      <c r="Z2360" t="s">
        <v>1473</v>
      </c>
      <c r="AA2360" s="1" t="s">
        <v>238</v>
      </c>
    </row>
    <row r="2361" spans="1:27" ht="23.1" customHeight="1" x14ac:dyDescent="0.25">
      <c r="A2361" s="20" t="s">
        <v>1621</v>
      </c>
      <c r="B2361" s="7" t="s">
        <v>110</v>
      </c>
      <c r="C2361" s="7">
        <v>18</v>
      </c>
      <c r="D2361" s="7" t="s">
        <v>1030</v>
      </c>
      <c r="E2361" s="41" t="s">
        <v>919</v>
      </c>
      <c r="F2361" s="41" t="s">
        <v>919</v>
      </c>
      <c r="G2361" s="7" t="s">
        <v>323</v>
      </c>
      <c r="H2361" s="7">
        <v>25</v>
      </c>
      <c r="I2361" s="10" t="s">
        <v>2149</v>
      </c>
      <c r="J2361" s="10">
        <v>2</v>
      </c>
      <c r="K2361" s="10">
        <v>4</v>
      </c>
      <c r="L2361" s="43">
        <v>28</v>
      </c>
      <c r="M2361" s="43">
        <v>28</v>
      </c>
      <c r="N2361" s="12" t="s">
        <v>778</v>
      </c>
      <c r="P2361" s="10">
        <v>220</v>
      </c>
      <c r="T2361" s="10">
        <v>90</v>
      </c>
      <c r="V2361" s="59"/>
      <c r="W2361" s="59"/>
      <c r="X2361" s="29">
        <v>14.7</v>
      </c>
      <c r="Y2361" s="54" t="s">
        <v>43</v>
      </c>
    </row>
    <row r="2362" spans="1:27" ht="23.1" customHeight="1" x14ac:dyDescent="0.25">
      <c r="A2362" s="20" t="s">
        <v>1621</v>
      </c>
      <c r="B2362" s="7" t="s">
        <v>110</v>
      </c>
      <c r="C2362" s="7">
        <v>57</v>
      </c>
      <c r="D2362" s="7" t="s">
        <v>1042</v>
      </c>
      <c r="E2362" s="41" t="s">
        <v>1281</v>
      </c>
      <c r="F2362" s="41" t="s">
        <v>1281</v>
      </c>
      <c r="G2362" s="7" t="s">
        <v>107</v>
      </c>
      <c r="H2362" s="7">
        <v>35</v>
      </c>
      <c r="I2362" s="10" t="s">
        <v>2507</v>
      </c>
      <c r="J2362" s="10">
        <v>1</v>
      </c>
      <c r="K2362" s="10">
        <v>1</v>
      </c>
      <c r="L2362" s="43">
        <v>28</v>
      </c>
      <c r="M2362" s="43"/>
      <c r="N2362" s="12" t="s">
        <v>1656</v>
      </c>
      <c r="P2362" s="10">
        <v>540</v>
      </c>
      <c r="T2362" s="10">
        <v>100</v>
      </c>
      <c r="V2362" s="59"/>
      <c r="W2362" s="59"/>
      <c r="X2362" s="29">
        <v>9</v>
      </c>
      <c r="Y2362" s="54" t="s">
        <v>57</v>
      </c>
    </row>
    <row r="2363" spans="1:27" ht="23.1" customHeight="1" x14ac:dyDescent="0.25">
      <c r="A2363" s="20" t="s">
        <v>1621</v>
      </c>
      <c r="B2363" s="7" t="s">
        <v>110</v>
      </c>
      <c r="C2363" s="7">
        <v>9</v>
      </c>
      <c r="D2363" s="7" t="s">
        <v>1539</v>
      </c>
      <c r="E2363" s="41" t="s">
        <v>409</v>
      </c>
      <c r="F2363" s="41" t="s">
        <v>409</v>
      </c>
      <c r="G2363" s="7" t="s">
        <v>375</v>
      </c>
      <c r="H2363" s="7">
        <v>20</v>
      </c>
      <c r="I2363" s="10" t="s">
        <v>2313</v>
      </c>
      <c r="J2363" s="10">
        <v>12</v>
      </c>
      <c r="K2363" s="10">
        <v>22</v>
      </c>
      <c r="L2363" s="43">
        <v>28</v>
      </c>
      <c r="M2363" s="43">
        <v>28</v>
      </c>
      <c r="N2363" s="12" t="s">
        <v>282</v>
      </c>
      <c r="P2363" s="10">
        <v>35</v>
      </c>
      <c r="T2363" s="10">
        <v>90</v>
      </c>
      <c r="V2363" s="59">
        <v>1</v>
      </c>
      <c r="W2363" s="59">
        <v>2</v>
      </c>
      <c r="X2363" s="29">
        <v>16.3</v>
      </c>
      <c r="Y2363" s="54" t="s">
        <v>55</v>
      </c>
      <c r="Z2363" t="s">
        <v>1473</v>
      </c>
      <c r="AA2363" s="1" t="s">
        <v>238</v>
      </c>
    </row>
    <row r="2364" spans="1:27" ht="23.1" customHeight="1" x14ac:dyDescent="0.25">
      <c r="A2364" s="20" t="s">
        <v>1621</v>
      </c>
      <c r="B2364" s="7" t="s">
        <v>110</v>
      </c>
      <c r="C2364" s="7">
        <v>9</v>
      </c>
      <c r="D2364" s="7" t="s">
        <v>1539</v>
      </c>
      <c r="E2364" s="41" t="s">
        <v>409</v>
      </c>
      <c r="F2364" s="41" t="s">
        <v>409</v>
      </c>
      <c r="G2364" s="7" t="s">
        <v>375</v>
      </c>
      <c r="H2364" s="7">
        <v>25</v>
      </c>
      <c r="I2364" s="10" t="s">
        <v>2314</v>
      </c>
      <c r="J2364" s="10">
        <v>0</v>
      </c>
      <c r="K2364" s="10">
        <v>2</v>
      </c>
      <c r="L2364" s="43">
        <v>31</v>
      </c>
      <c r="M2364" s="43">
        <v>31</v>
      </c>
      <c r="N2364" s="12" t="s">
        <v>282</v>
      </c>
      <c r="P2364" s="10">
        <v>40</v>
      </c>
      <c r="T2364" s="10">
        <v>90</v>
      </c>
      <c r="V2364" s="59">
        <v>1</v>
      </c>
      <c r="W2364" s="59">
        <v>2</v>
      </c>
      <c r="X2364" s="29">
        <v>4.8</v>
      </c>
      <c r="Y2364" s="54" t="s">
        <v>55</v>
      </c>
      <c r="Z2364" t="s">
        <v>1473</v>
      </c>
      <c r="AA2364" s="1" t="s">
        <v>238</v>
      </c>
    </row>
    <row r="2365" spans="1:27" ht="23.1" customHeight="1" x14ac:dyDescent="0.25">
      <c r="A2365" s="20" t="s">
        <v>1621</v>
      </c>
      <c r="B2365" s="7" t="s">
        <v>110</v>
      </c>
      <c r="C2365" s="7">
        <v>10</v>
      </c>
      <c r="D2365" s="7" t="s">
        <v>1657</v>
      </c>
      <c r="E2365" s="41" t="s">
        <v>595</v>
      </c>
      <c r="F2365" s="41" t="e">
        <v>#N/A</v>
      </c>
      <c r="G2365" s="7" t="s">
        <v>102</v>
      </c>
      <c r="H2365" s="7">
        <v>5</v>
      </c>
      <c r="I2365" s="10"/>
      <c r="K2365" s="10">
        <v>1</v>
      </c>
      <c r="L2365" s="43">
        <v>28</v>
      </c>
      <c r="M2365" s="43">
        <v>28</v>
      </c>
      <c r="V2365" s="59">
        <v>1</v>
      </c>
      <c r="W2365" s="59">
        <v>4</v>
      </c>
      <c r="X2365" s="29">
        <v>4</v>
      </c>
      <c r="Y2365" s="54" t="s">
        <v>55</v>
      </c>
      <c r="AA2365" t="s">
        <v>238</v>
      </c>
    </row>
    <row r="2366" spans="1:27" ht="23.1" customHeight="1" x14ac:dyDescent="0.25">
      <c r="A2366" s="20" t="s">
        <v>1621</v>
      </c>
      <c r="B2366" s="7" t="s">
        <v>110</v>
      </c>
      <c r="C2366" s="7">
        <v>10</v>
      </c>
      <c r="D2366" s="7" t="s">
        <v>1657</v>
      </c>
      <c r="E2366" s="41" t="s">
        <v>595</v>
      </c>
      <c r="F2366" s="41" t="e">
        <v>#N/A</v>
      </c>
      <c r="G2366" s="7" t="s">
        <v>102</v>
      </c>
      <c r="H2366" s="7">
        <v>10</v>
      </c>
      <c r="I2366" s="10"/>
      <c r="K2366" s="10">
        <v>1</v>
      </c>
      <c r="L2366" s="43">
        <v>28</v>
      </c>
      <c r="M2366" s="43">
        <v>28</v>
      </c>
      <c r="V2366" s="59">
        <v>1</v>
      </c>
      <c r="W2366" s="59">
        <v>4</v>
      </c>
      <c r="X2366" s="29">
        <v>4</v>
      </c>
      <c r="Y2366" s="54" t="s">
        <v>55</v>
      </c>
      <c r="AA2366" t="s">
        <v>238</v>
      </c>
    </row>
    <row r="2367" spans="1:27" ht="23.1" customHeight="1" x14ac:dyDescent="0.25">
      <c r="A2367" s="20" t="s">
        <v>1621</v>
      </c>
      <c r="B2367" s="7" t="s">
        <v>110</v>
      </c>
      <c r="C2367" s="7">
        <v>10</v>
      </c>
      <c r="D2367" s="7" t="s">
        <v>1657</v>
      </c>
      <c r="E2367" s="41" t="s">
        <v>595</v>
      </c>
      <c r="F2367" s="41" t="e">
        <v>#N/A</v>
      </c>
      <c r="G2367" s="7" t="s">
        <v>102</v>
      </c>
      <c r="H2367" s="7">
        <v>15</v>
      </c>
      <c r="I2367" s="10"/>
      <c r="K2367" s="10">
        <v>0.2</v>
      </c>
      <c r="L2367" s="43">
        <v>28</v>
      </c>
      <c r="M2367" s="43">
        <v>28</v>
      </c>
      <c r="V2367" s="59">
        <v>1</v>
      </c>
      <c r="W2367" s="59">
        <v>2</v>
      </c>
      <c r="X2367" s="29">
        <v>2</v>
      </c>
      <c r="Y2367" s="54" t="s">
        <v>55</v>
      </c>
      <c r="AA2367" t="s">
        <v>238</v>
      </c>
    </row>
    <row r="2368" spans="1:27" ht="23.1" customHeight="1" x14ac:dyDescent="0.25">
      <c r="A2368" s="20" t="s">
        <v>1621</v>
      </c>
      <c r="B2368" s="7" t="s">
        <v>110</v>
      </c>
      <c r="C2368" s="7">
        <v>15</v>
      </c>
      <c r="D2368" s="7" t="s">
        <v>1255</v>
      </c>
      <c r="E2368" s="41" t="s">
        <v>117</v>
      </c>
      <c r="F2368" s="41" t="s">
        <v>117</v>
      </c>
      <c r="G2368" s="7" t="s">
        <v>118</v>
      </c>
      <c r="H2368" s="7">
        <v>15</v>
      </c>
      <c r="I2368" s="10" t="s">
        <v>1946</v>
      </c>
      <c r="J2368" s="10">
        <v>6</v>
      </c>
      <c r="K2368" s="10">
        <v>6</v>
      </c>
      <c r="L2368" s="43">
        <v>28</v>
      </c>
      <c r="M2368" s="43">
        <v>28</v>
      </c>
      <c r="N2368" s="12" t="s">
        <v>155</v>
      </c>
      <c r="P2368" s="10">
        <v>60</v>
      </c>
      <c r="T2368" s="10">
        <v>90</v>
      </c>
      <c r="V2368" s="59">
        <v>1</v>
      </c>
      <c r="W2368" s="59">
        <v>3</v>
      </c>
      <c r="X2368" s="29">
        <v>10.5</v>
      </c>
      <c r="Y2368" s="54" t="s">
        <v>57</v>
      </c>
      <c r="Z2368" t="s">
        <v>1658</v>
      </c>
      <c r="AA2368" s="1" t="s">
        <v>238</v>
      </c>
    </row>
    <row r="2369" spans="1:27" ht="23.1" customHeight="1" x14ac:dyDescent="0.25">
      <c r="A2369" s="20" t="s">
        <v>1621</v>
      </c>
      <c r="B2369" s="7" t="s">
        <v>110</v>
      </c>
      <c r="C2369" s="7">
        <v>21</v>
      </c>
      <c r="D2369" s="7" t="s">
        <v>321</v>
      </c>
      <c r="E2369" s="41" t="s">
        <v>322</v>
      </c>
      <c r="F2369" s="41" t="s">
        <v>322</v>
      </c>
      <c r="G2369" s="7" t="s">
        <v>323</v>
      </c>
      <c r="H2369" s="7">
        <v>40</v>
      </c>
      <c r="I2369" s="10" t="s">
        <v>2443</v>
      </c>
      <c r="J2369" s="10">
        <v>2</v>
      </c>
      <c r="K2369" s="10">
        <v>1</v>
      </c>
      <c r="L2369" s="43">
        <v>28</v>
      </c>
      <c r="M2369" s="43"/>
      <c r="N2369" s="12" t="s">
        <v>1550</v>
      </c>
      <c r="P2369" s="10">
        <v>390</v>
      </c>
      <c r="Q2369" s="10">
        <v>120</v>
      </c>
      <c r="S2369" s="11">
        <v>1</v>
      </c>
      <c r="T2369" s="10">
        <v>180</v>
      </c>
      <c r="V2369" s="59">
        <v>1</v>
      </c>
      <c r="X2369" s="29">
        <v>11.5</v>
      </c>
      <c r="Y2369" s="54" t="s">
        <v>49</v>
      </c>
    </row>
    <row r="2370" spans="1:27" ht="23.1" customHeight="1" x14ac:dyDescent="0.25">
      <c r="A2370" s="20" t="s">
        <v>1621</v>
      </c>
      <c r="B2370" s="7" t="s">
        <v>110</v>
      </c>
      <c r="C2370" s="7">
        <v>21</v>
      </c>
      <c r="D2370" s="7" t="s">
        <v>321</v>
      </c>
      <c r="E2370" s="41" t="s">
        <v>322</v>
      </c>
      <c r="F2370" s="41" t="s">
        <v>322</v>
      </c>
      <c r="G2370" s="7" t="s">
        <v>323</v>
      </c>
      <c r="H2370" s="7">
        <v>35</v>
      </c>
      <c r="I2370" s="10" t="s">
        <v>1925</v>
      </c>
      <c r="J2370" s="10">
        <v>0.2</v>
      </c>
      <c r="K2370" s="10">
        <v>0.3</v>
      </c>
      <c r="L2370" s="43">
        <v>28</v>
      </c>
      <c r="M2370" s="43"/>
      <c r="N2370" s="12" t="s">
        <v>1550</v>
      </c>
      <c r="P2370" s="10">
        <v>480</v>
      </c>
      <c r="Q2370" s="10">
        <v>120</v>
      </c>
      <c r="T2370" s="10">
        <v>180</v>
      </c>
      <c r="V2370" s="59"/>
      <c r="X2370" s="29">
        <v>2.4</v>
      </c>
      <c r="Y2370" s="54" t="s">
        <v>49</v>
      </c>
    </row>
    <row r="2371" spans="1:27" ht="23.1" customHeight="1" x14ac:dyDescent="0.25">
      <c r="A2371" s="20" t="s">
        <v>1621</v>
      </c>
      <c r="B2371" s="7" t="s">
        <v>110</v>
      </c>
      <c r="C2371" s="7">
        <v>22</v>
      </c>
      <c r="D2371" s="7" t="s">
        <v>611</v>
      </c>
      <c r="E2371" s="41" t="s">
        <v>612</v>
      </c>
      <c r="F2371" s="41" t="s">
        <v>612</v>
      </c>
      <c r="G2371" s="7" t="s">
        <v>154</v>
      </c>
      <c r="H2371" s="7">
        <v>30</v>
      </c>
      <c r="I2371" s="10" t="s">
        <v>2508</v>
      </c>
      <c r="J2371" s="10">
        <v>0.15</v>
      </c>
      <c r="K2371" s="10">
        <v>0.15</v>
      </c>
      <c r="L2371" s="43">
        <v>28</v>
      </c>
      <c r="M2371" s="43">
        <v>28</v>
      </c>
      <c r="N2371" s="12" t="s">
        <v>613</v>
      </c>
      <c r="P2371" s="10">
        <v>4800</v>
      </c>
      <c r="Q2371" s="10">
        <v>180</v>
      </c>
      <c r="T2371" s="10">
        <v>180</v>
      </c>
      <c r="V2371" s="59"/>
      <c r="W2371" s="14">
        <v>4</v>
      </c>
      <c r="X2371" s="29">
        <v>16</v>
      </c>
      <c r="Y2371" s="54" t="s">
        <v>49</v>
      </c>
      <c r="Z2371" s="66" t="s">
        <v>1875</v>
      </c>
    </row>
    <row r="2372" spans="1:27" ht="23.1" customHeight="1" x14ac:dyDescent="0.25">
      <c r="A2372" s="20" t="s">
        <v>1621</v>
      </c>
      <c r="B2372" s="7" t="s">
        <v>137</v>
      </c>
      <c r="C2372" s="7">
        <v>58</v>
      </c>
      <c r="D2372" s="7" t="s">
        <v>730</v>
      </c>
      <c r="E2372" s="41" t="s">
        <v>731</v>
      </c>
      <c r="F2372" s="41" t="e">
        <v>#N/A</v>
      </c>
      <c r="G2372" s="7" t="s">
        <v>108</v>
      </c>
      <c r="H2372" s="7">
        <v>15</v>
      </c>
      <c r="I2372" s="10"/>
      <c r="J2372" s="10">
        <v>1.5</v>
      </c>
      <c r="K2372" s="10">
        <v>1</v>
      </c>
      <c r="L2372" s="43"/>
      <c r="M2372" s="43"/>
      <c r="N2372" s="12" t="s">
        <v>108</v>
      </c>
      <c r="V2372" s="59"/>
      <c r="W2372" s="59">
        <v>12</v>
      </c>
      <c r="X2372" s="29">
        <v>12</v>
      </c>
      <c r="Y2372" s="54" t="s">
        <v>0</v>
      </c>
      <c r="AA2372" t="s">
        <v>238</v>
      </c>
    </row>
    <row r="2373" spans="1:27" ht="23.1" customHeight="1" x14ac:dyDescent="0.25">
      <c r="A2373" s="20" t="s">
        <v>1621</v>
      </c>
      <c r="B2373" s="7" t="s">
        <v>137</v>
      </c>
      <c r="C2373" s="7">
        <v>57</v>
      </c>
      <c r="D2373" s="7" t="s">
        <v>1042</v>
      </c>
      <c r="E2373" s="41" t="s">
        <v>1281</v>
      </c>
      <c r="F2373" s="41" t="s">
        <v>1281</v>
      </c>
      <c r="G2373" s="7" t="s">
        <v>107</v>
      </c>
      <c r="H2373" s="7">
        <v>35</v>
      </c>
      <c r="I2373" s="10" t="s">
        <v>2141</v>
      </c>
      <c r="J2373" s="10">
        <v>1</v>
      </c>
      <c r="K2373" s="10">
        <v>1.4</v>
      </c>
      <c r="L2373" s="43">
        <v>5</v>
      </c>
      <c r="M2373" s="43">
        <v>23</v>
      </c>
      <c r="N2373" s="12" t="s">
        <v>1033</v>
      </c>
      <c r="P2373" s="10">
        <v>540</v>
      </c>
      <c r="T2373" s="10">
        <v>100</v>
      </c>
      <c r="V2373" s="59"/>
      <c r="W2373" s="59"/>
      <c r="X2373" s="29">
        <v>12.6</v>
      </c>
      <c r="Y2373" s="54" t="s">
        <v>0</v>
      </c>
    </row>
    <row r="2374" spans="1:27" ht="23.1" customHeight="1" x14ac:dyDescent="0.25">
      <c r="A2374" s="20" t="s">
        <v>1621</v>
      </c>
      <c r="B2374" s="7" t="s">
        <v>137</v>
      </c>
      <c r="C2374" s="7">
        <v>10</v>
      </c>
      <c r="D2374" s="7" t="s">
        <v>1657</v>
      </c>
      <c r="E2374" s="41" t="s">
        <v>595</v>
      </c>
      <c r="F2374" s="41" t="e">
        <v>#N/A</v>
      </c>
      <c r="G2374" s="7" t="s">
        <v>102</v>
      </c>
      <c r="H2374" s="7">
        <v>15</v>
      </c>
      <c r="I2374" s="10"/>
      <c r="J2374" s="10">
        <v>1</v>
      </c>
      <c r="L2374" s="43"/>
      <c r="M2374" s="43"/>
      <c r="N2374" s="12" t="s">
        <v>108</v>
      </c>
      <c r="V2374" s="59">
        <v>1</v>
      </c>
      <c r="W2374" s="59">
        <v>2</v>
      </c>
      <c r="X2374" s="29">
        <v>2</v>
      </c>
      <c r="Y2374" s="54" t="s">
        <v>23</v>
      </c>
    </row>
    <row r="2375" spans="1:27" ht="23.1" customHeight="1" x14ac:dyDescent="0.25">
      <c r="A2375" s="20" t="s">
        <v>1621</v>
      </c>
      <c r="B2375" s="7" t="s">
        <v>137</v>
      </c>
      <c r="C2375" s="7">
        <v>10</v>
      </c>
      <c r="D2375" s="7" t="s">
        <v>197</v>
      </c>
      <c r="E2375" s="41" t="s">
        <v>198</v>
      </c>
      <c r="F2375" s="41" t="e">
        <v>#N/A</v>
      </c>
      <c r="G2375" s="7" t="s">
        <v>154</v>
      </c>
      <c r="H2375" s="7">
        <v>10</v>
      </c>
      <c r="I2375" s="10" t="s">
        <v>1916</v>
      </c>
      <c r="K2375" s="10">
        <v>3</v>
      </c>
      <c r="L2375" s="43"/>
      <c r="M2375" s="43"/>
      <c r="N2375" s="12" t="s">
        <v>1659</v>
      </c>
      <c r="P2375" s="10">
        <v>90</v>
      </c>
      <c r="S2375" s="11">
        <v>3</v>
      </c>
      <c r="T2375" s="10">
        <v>60</v>
      </c>
      <c r="V2375" s="59">
        <v>1</v>
      </c>
      <c r="W2375" s="59">
        <v>2</v>
      </c>
      <c r="X2375" s="29">
        <v>7.5</v>
      </c>
      <c r="Y2375" s="54" t="s">
        <v>23</v>
      </c>
      <c r="Z2375" t="s">
        <v>1473</v>
      </c>
      <c r="AA2375" s="1" t="s">
        <v>238</v>
      </c>
    </row>
    <row r="2376" spans="1:27" ht="23.1" customHeight="1" x14ac:dyDescent="0.25">
      <c r="A2376" s="20" t="s">
        <v>1621</v>
      </c>
      <c r="B2376" s="7" t="s">
        <v>137</v>
      </c>
      <c r="C2376" s="7">
        <v>10</v>
      </c>
      <c r="D2376" s="7" t="s">
        <v>197</v>
      </c>
      <c r="E2376" s="41" t="s">
        <v>198</v>
      </c>
      <c r="F2376" s="41" t="e">
        <v>#N/A</v>
      </c>
      <c r="G2376" s="7" t="s">
        <v>154</v>
      </c>
      <c r="H2376" s="7">
        <v>15</v>
      </c>
      <c r="I2376" s="10" t="s">
        <v>2151</v>
      </c>
      <c r="K2376" s="10">
        <v>2</v>
      </c>
      <c r="L2376" s="43"/>
      <c r="M2376" s="43"/>
      <c r="N2376" s="12" t="s">
        <v>1659</v>
      </c>
      <c r="P2376" s="10">
        <v>65</v>
      </c>
      <c r="S2376" s="11">
        <v>2</v>
      </c>
      <c r="T2376" s="10">
        <v>60</v>
      </c>
      <c r="V2376" s="59">
        <v>1</v>
      </c>
      <c r="W2376" s="59"/>
      <c r="X2376" s="29">
        <v>3.2</v>
      </c>
      <c r="Y2376" s="54" t="s">
        <v>23</v>
      </c>
    </row>
    <row r="2377" spans="1:27" ht="23.1" customHeight="1" x14ac:dyDescent="0.25">
      <c r="A2377" s="20" t="s">
        <v>1621</v>
      </c>
      <c r="B2377" s="7" t="s">
        <v>137</v>
      </c>
      <c r="C2377" s="7">
        <v>9</v>
      </c>
      <c r="D2377" s="7" t="s">
        <v>1539</v>
      </c>
      <c r="E2377" s="41" t="s">
        <v>409</v>
      </c>
      <c r="F2377" s="41" t="s">
        <v>409</v>
      </c>
      <c r="G2377" s="7" t="s">
        <v>375</v>
      </c>
      <c r="H2377" s="7">
        <v>25</v>
      </c>
      <c r="I2377" s="10" t="s">
        <v>2314</v>
      </c>
      <c r="K2377" s="10">
        <v>20</v>
      </c>
      <c r="L2377" s="43">
        <v>26</v>
      </c>
      <c r="M2377" s="43">
        <v>5</v>
      </c>
      <c r="N2377" s="12" t="s">
        <v>282</v>
      </c>
      <c r="P2377" s="10">
        <v>40</v>
      </c>
      <c r="T2377" s="10">
        <v>90</v>
      </c>
      <c r="V2377" s="59"/>
      <c r="W2377" s="59"/>
      <c r="X2377" s="29">
        <v>13.3</v>
      </c>
      <c r="Y2377" s="54" t="s">
        <v>23</v>
      </c>
    </row>
    <row r="2378" spans="1:27" ht="23.1" customHeight="1" x14ac:dyDescent="0.25">
      <c r="A2378" s="20" t="s">
        <v>1621</v>
      </c>
      <c r="B2378" s="7" t="s">
        <v>137</v>
      </c>
      <c r="C2378" s="7">
        <v>76</v>
      </c>
      <c r="D2378" s="7" t="s">
        <v>1634</v>
      </c>
      <c r="E2378" s="41" t="s">
        <v>625</v>
      </c>
      <c r="F2378" s="41" t="s">
        <v>625</v>
      </c>
      <c r="G2378" s="7" t="s">
        <v>118</v>
      </c>
      <c r="H2378" s="7">
        <v>20</v>
      </c>
      <c r="I2378" s="10" t="s">
        <v>1905</v>
      </c>
      <c r="J2378" s="10">
        <v>3</v>
      </c>
      <c r="K2378" s="10">
        <v>3</v>
      </c>
      <c r="L2378" s="43">
        <v>26</v>
      </c>
      <c r="M2378" s="43">
        <v>26</v>
      </c>
      <c r="N2378" s="12" t="s">
        <v>1635</v>
      </c>
      <c r="O2378" s="10">
        <v>90</v>
      </c>
      <c r="P2378" s="10">
        <v>60</v>
      </c>
      <c r="T2378" s="10">
        <v>90</v>
      </c>
      <c r="U2378" s="10">
        <v>90</v>
      </c>
      <c r="V2378" s="59">
        <v>1</v>
      </c>
      <c r="W2378" s="59"/>
      <c r="X2378" s="32">
        <v>6</v>
      </c>
      <c r="Y2378" s="54" t="s">
        <v>12</v>
      </c>
      <c r="Z2378" t="s">
        <v>1660</v>
      </c>
      <c r="AA2378" t="s">
        <v>1475</v>
      </c>
    </row>
    <row r="2379" spans="1:27" ht="23.1" customHeight="1" x14ac:dyDescent="0.25">
      <c r="A2379" s="20" t="s">
        <v>1621</v>
      </c>
      <c r="B2379" s="7" t="s">
        <v>137</v>
      </c>
      <c r="C2379" s="7">
        <v>76</v>
      </c>
      <c r="D2379" s="7" t="s">
        <v>1386</v>
      </c>
      <c r="E2379" s="41" t="s">
        <v>1288</v>
      </c>
      <c r="F2379" s="41" t="s">
        <v>1288</v>
      </c>
      <c r="G2379" s="7" t="s">
        <v>102</v>
      </c>
      <c r="H2379" s="7">
        <v>30</v>
      </c>
      <c r="I2379" s="10" t="s">
        <v>2243</v>
      </c>
      <c r="J2379" s="10">
        <v>30</v>
      </c>
      <c r="K2379" s="10">
        <v>30</v>
      </c>
      <c r="L2379" s="43">
        <v>37</v>
      </c>
      <c r="M2379" s="43">
        <v>5</v>
      </c>
      <c r="N2379" s="12" t="s">
        <v>596</v>
      </c>
      <c r="P2379" s="10">
        <v>20</v>
      </c>
      <c r="T2379" s="10">
        <v>90</v>
      </c>
      <c r="V2379" s="59">
        <v>1</v>
      </c>
      <c r="W2379" s="59"/>
      <c r="X2379" s="29">
        <v>11.5</v>
      </c>
      <c r="Y2379" s="54" t="s">
        <v>12</v>
      </c>
    </row>
    <row r="2380" spans="1:27" ht="23.1" customHeight="1" x14ac:dyDescent="0.25">
      <c r="A2380" s="20" t="s">
        <v>1621</v>
      </c>
      <c r="B2380" s="7" t="s">
        <v>137</v>
      </c>
      <c r="C2380" s="7">
        <v>59</v>
      </c>
      <c r="D2380" s="7" t="s">
        <v>1643</v>
      </c>
      <c r="E2380" s="41" t="s">
        <v>1644</v>
      </c>
      <c r="F2380" s="41" t="e">
        <v>#N/A</v>
      </c>
      <c r="G2380" s="7" t="s">
        <v>102</v>
      </c>
      <c r="H2380" s="7">
        <v>20</v>
      </c>
      <c r="I2380" s="10"/>
      <c r="J2380" s="10">
        <v>1</v>
      </c>
      <c r="K2380" s="10">
        <v>0.9</v>
      </c>
      <c r="L2380" s="43">
        <v>37</v>
      </c>
      <c r="M2380" s="43">
        <v>37</v>
      </c>
      <c r="N2380" s="12" t="s">
        <v>108</v>
      </c>
      <c r="V2380" s="59"/>
      <c r="W2380" s="59">
        <v>6</v>
      </c>
      <c r="X2380" s="29">
        <v>6</v>
      </c>
      <c r="Y2380" s="54" t="s">
        <v>6</v>
      </c>
    </row>
    <row r="2381" spans="1:27" ht="23.1" customHeight="1" x14ac:dyDescent="0.25">
      <c r="A2381" s="20" t="s">
        <v>1621</v>
      </c>
      <c r="B2381" s="7" t="s">
        <v>137</v>
      </c>
      <c r="C2381" s="7">
        <v>59</v>
      </c>
      <c r="D2381" s="7" t="s">
        <v>1661</v>
      </c>
      <c r="E2381" s="41" t="s">
        <v>595</v>
      </c>
      <c r="F2381" s="41" t="s">
        <v>595</v>
      </c>
      <c r="G2381" s="7" t="s">
        <v>102</v>
      </c>
      <c r="H2381" s="7">
        <v>5</v>
      </c>
      <c r="I2381" s="10" t="s">
        <v>2060</v>
      </c>
      <c r="K2381" s="10">
        <v>1</v>
      </c>
      <c r="L2381" s="43">
        <v>26</v>
      </c>
      <c r="M2381" s="43"/>
      <c r="N2381" s="12" t="s">
        <v>596</v>
      </c>
      <c r="P2381" s="10">
        <v>45</v>
      </c>
      <c r="T2381" s="10">
        <v>60</v>
      </c>
      <c r="V2381" s="59">
        <v>1</v>
      </c>
      <c r="W2381" s="59"/>
      <c r="X2381" s="29">
        <v>1.8</v>
      </c>
      <c r="Y2381" s="54" t="s">
        <v>6</v>
      </c>
    </row>
    <row r="2382" spans="1:27" ht="23.1" customHeight="1" x14ac:dyDescent="0.25">
      <c r="A2382" s="20" t="s">
        <v>1621</v>
      </c>
      <c r="B2382" s="7" t="s">
        <v>137</v>
      </c>
      <c r="C2382" s="7">
        <v>59</v>
      </c>
      <c r="D2382" s="7" t="s">
        <v>1661</v>
      </c>
      <c r="E2382" s="41" t="s">
        <v>595</v>
      </c>
      <c r="F2382" s="41" t="s">
        <v>595</v>
      </c>
      <c r="G2382" s="7" t="s">
        <v>102</v>
      </c>
      <c r="H2382" s="7">
        <v>10</v>
      </c>
      <c r="I2382" s="10" t="s">
        <v>2316</v>
      </c>
      <c r="K2382" s="10">
        <v>1</v>
      </c>
      <c r="L2382" s="43">
        <v>26</v>
      </c>
      <c r="M2382" s="43"/>
      <c r="N2382" s="12" t="s">
        <v>596</v>
      </c>
      <c r="P2382" s="10">
        <v>35</v>
      </c>
      <c r="T2382" s="10">
        <v>90</v>
      </c>
      <c r="V2382" s="59">
        <v>1</v>
      </c>
      <c r="W2382" s="59">
        <v>2</v>
      </c>
      <c r="X2382" s="29">
        <v>4.0999999999999996</v>
      </c>
      <c r="Y2382" s="54" t="s">
        <v>6</v>
      </c>
      <c r="Z2382" t="s">
        <v>1473</v>
      </c>
      <c r="AA2382" s="1" t="s">
        <v>238</v>
      </c>
    </row>
    <row r="2383" spans="1:27" ht="23.1" customHeight="1" x14ac:dyDescent="0.25">
      <c r="A2383" s="20" t="s">
        <v>1621</v>
      </c>
      <c r="B2383" s="7" t="s">
        <v>137</v>
      </c>
      <c r="C2383" s="7">
        <v>15</v>
      </c>
      <c r="D2383" s="7" t="s">
        <v>1255</v>
      </c>
      <c r="E2383" s="41" t="s">
        <v>117</v>
      </c>
      <c r="F2383" s="41" t="s">
        <v>117</v>
      </c>
      <c r="G2383" s="7" t="s">
        <v>300</v>
      </c>
      <c r="H2383" s="7">
        <v>15</v>
      </c>
      <c r="I2383" s="10" t="s">
        <v>1946</v>
      </c>
      <c r="K2383" s="10">
        <v>4</v>
      </c>
      <c r="L2383" s="43">
        <v>26</v>
      </c>
      <c r="M2383" s="43">
        <v>26</v>
      </c>
      <c r="N2383" s="12" t="s">
        <v>1662</v>
      </c>
      <c r="P2383" s="10">
        <v>75</v>
      </c>
      <c r="T2383" s="10">
        <v>90</v>
      </c>
      <c r="V2383" s="59"/>
      <c r="W2383" s="59"/>
      <c r="X2383" s="29">
        <v>5</v>
      </c>
      <c r="Y2383" s="54" t="s">
        <v>6</v>
      </c>
    </row>
    <row r="2384" spans="1:27" ht="23.1" customHeight="1" x14ac:dyDescent="0.25">
      <c r="A2384" s="20" t="s">
        <v>1621</v>
      </c>
      <c r="B2384" s="7" t="s">
        <v>137</v>
      </c>
      <c r="C2384" s="7">
        <v>77</v>
      </c>
      <c r="D2384" s="7" t="s">
        <v>1663</v>
      </c>
      <c r="E2384" s="41" t="s">
        <v>409</v>
      </c>
      <c r="F2384" s="41" t="s">
        <v>409</v>
      </c>
      <c r="G2384" s="7" t="s">
        <v>102</v>
      </c>
      <c r="H2384" s="7">
        <v>20</v>
      </c>
      <c r="I2384" s="10" t="s">
        <v>2317</v>
      </c>
      <c r="J2384" s="10">
        <v>10</v>
      </c>
      <c r="K2384" s="10">
        <v>12</v>
      </c>
      <c r="L2384" s="43">
        <v>26</v>
      </c>
      <c r="M2384" s="43">
        <v>26</v>
      </c>
      <c r="N2384" s="12" t="s">
        <v>596</v>
      </c>
      <c r="P2384" s="10">
        <v>140</v>
      </c>
      <c r="T2384" s="10">
        <v>90</v>
      </c>
      <c r="V2384" s="59"/>
      <c r="W2384" s="59"/>
      <c r="X2384" s="29">
        <v>28</v>
      </c>
      <c r="Y2384" s="54" t="s">
        <v>24</v>
      </c>
    </row>
    <row r="2385" spans="1:27" ht="23.1" customHeight="1" x14ac:dyDescent="0.25">
      <c r="A2385" s="20" t="s">
        <v>1621</v>
      </c>
      <c r="B2385" s="7" t="s">
        <v>137</v>
      </c>
      <c r="C2385" s="7">
        <v>18</v>
      </c>
      <c r="D2385" s="7" t="s">
        <v>918</v>
      </c>
      <c r="E2385" s="41" t="s">
        <v>919</v>
      </c>
      <c r="F2385" s="41" t="s">
        <v>919</v>
      </c>
      <c r="G2385" s="7" t="s">
        <v>323</v>
      </c>
      <c r="H2385" s="7">
        <v>25</v>
      </c>
      <c r="I2385" s="10" t="s">
        <v>2149</v>
      </c>
      <c r="J2385" s="10">
        <v>1</v>
      </c>
      <c r="K2385" s="10">
        <v>2</v>
      </c>
      <c r="L2385" s="43">
        <v>37</v>
      </c>
      <c r="M2385" s="43">
        <v>37</v>
      </c>
      <c r="N2385" s="12" t="s">
        <v>778</v>
      </c>
      <c r="P2385" s="10">
        <v>220</v>
      </c>
      <c r="T2385" s="10">
        <v>90</v>
      </c>
      <c r="V2385" s="59"/>
      <c r="W2385" s="59"/>
      <c r="X2385" s="29">
        <v>7.3</v>
      </c>
      <c r="Y2385" s="54" t="s">
        <v>14</v>
      </c>
    </row>
    <row r="2386" spans="1:27" ht="23.1" customHeight="1" x14ac:dyDescent="0.25">
      <c r="A2386" s="20" t="s">
        <v>1621</v>
      </c>
      <c r="B2386" s="7" t="s">
        <v>137</v>
      </c>
      <c r="C2386" s="7">
        <v>18</v>
      </c>
      <c r="D2386" s="7" t="s">
        <v>1030</v>
      </c>
      <c r="E2386" s="41" t="s">
        <v>919</v>
      </c>
      <c r="F2386" s="41" t="s">
        <v>919</v>
      </c>
      <c r="G2386" s="7" t="s">
        <v>323</v>
      </c>
      <c r="H2386" s="7">
        <v>25</v>
      </c>
      <c r="I2386" s="10" t="s">
        <v>2273</v>
      </c>
      <c r="J2386" s="10">
        <v>2</v>
      </c>
      <c r="K2386" s="10">
        <v>3</v>
      </c>
      <c r="L2386" s="43">
        <v>37</v>
      </c>
      <c r="M2386" s="43">
        <v>26</v>
      </c>
      <c r="N2386" s="12" t="s">
        <v>780</v>
      </c>
      <c r="P2386" s="10">
        <v>220</v>
      </c>
      <c r="T2386" s="10">
        <v>90</v>
      </c>
      <c r="V2386" s="59">
        <v>1</v>
      </c>
      <c r="W2386" s="59"/>
      <c r="X2386" s="29">
        <v>12.5</v>
      </c>
      <c r="Y2386" s="54" t="s">
        <v>14</v>
      </c>
    </row>
    <row r="2387" spans="1:27" ht="23.1" customHeight="1" x14ac:dyDescent="0.25">
      <c r="A2387" s="20" t="s">
        <v>1621</v>
      </c>
      <c r="B2387" s="7" t="s">
        <v>137</v>
      </c>
      <c r="C2387" s="7">
        <v>17</v>
      </c>
      <c r="D2387" s="7" t="s">
        <v>1520</v>
      </c>
      <c r="E2387" s="41" t="s">
        <v>133</v>
      </c>
      <c r="F2387" s="41" t="s">
        <v>133</v>
      </c>
      <c r="G2387" s="7" t="s">
        <v>154</v>
      </c>
      <c r="H2387" s="7">
        <v>20</v>
      </c>
      <c r="I2387" s="10"/>
      <c r="J2387" s="10">
        <v>5</v>
      </c>
      <c r="K2387" s="10">
        <v>5</v>
      </c>
      <c r="L2387" s="43">
        <v>26</v>
      </c>
      <c r="M2387" s="43">
        <v>28</v>
      </c>
      <c r="N2387" s="12" t="s">
        <v>1521</v>
      </c>
      <c r="O2387" s="10">
        <v>100</v>
      </c>
      <c r="U2387" s="10">
        <v>120</v>
      </c>
      <c r="V2387" s="59">
        <v>1</v>
      </c>
      <c r="W2387" s="59">
        <v>2</v>
      </c>
      <c r="X2387" s="32">
        <v>12.3</v>
      </c>
      <c r="Y2387" s="54" t="s">
        <v>14</v>
      </c>
      <c r="Z2387" t="s">
        <v>1319</v>
      </c>
    </row>
    <row r="2388" spans="1:27" ht="23.1" customHeight="1" x14ac:dyDescent="0.25">
      <c r="A2388" s="20" t="s">
        <v>1621</v>
      </c>
      <c r="B2388" s="7" t="s">
        <v>113</v>
      </c>
      <c r="C2388" s="7">
        <v>55</v>
      </c>
      <c r="D2388" s="7" t="s">
        <v>1506</v>
      </c>
      <c r="E2388" s="41" t="s">
        <v>1507</v>
      </c>
      <c r="F2388" s="41" t="s">
        <v>1507</v>
      </c>
      <c r="G2388" s="7" t="s">
        <v>154</v>
      </c>
      <c r="H2388" s="7">
        <v>45</v>
      </c>
      <c r="I2388" s="10" t="s">
        <v>2309</v>
      </c>
      <c r="J2388" s="10">
        <v>3</v>
      </c>
      <c r="K2388" s="10">
        <v>2</v>
      </c>
      <c r="L2388" s="43">
        <v>26</v>
      </c>
      <c r="M2388" s="43">
        <v>26</v>
      </c>
      <c r="N2388" s="12" t="s">
        <v>164</v>
      </c>
      <c r="P2388" s="10">
        <v>100</v>
      </c>
      <c r="T2388" s="10">
        <v>60</v>
      </c>
      <c r="V2388" s="59"/>
      <c r="W2388" s="59"/>
      <c r="X2388" s="29">
        <v>3.3</v>
      </c>
      <c r="Y2388" s="54" t="s">
        <v>44</v>
      </c>
    </row>
    <row r="2389" spans="1:27" ht="23.1" customHeight="1" x14ac:dyDescent="0.25">
      <c r="A2389" s="20" t="s">
        <v>1621</v>
      </c>
      <c r="B2389" s="7" t="s">
        <v>113</v>
      </c>
      <c r="C2389" s="7">
        <v>76</v>
      </c>
      <c r="D2389" s="7" t="s">
        <v>1386</v>
      </c>
      <c r="E2389" s="41" t="s">
        <v>1288</v>
      </c>
      <c r="F2389" s="41" t="s">
        <v>1288</v>
      </c>
      <c r="G2389" s="7" t="s">
        <v>102</v>
      </c>
      <c r="H2389" s="7">
        <v>30</v>
      </c>
      <c r="I2389" s="10" t="s">
        <v>2243</v>
      </c>
      <c r="J2389" s="10">
        <v>50</v>
      </c>
      <c r="K2389" s="10">
        <v>30</v>
      </c>
      <c r="L2389" s="43">
        <v>5</v>
      </c>
      <c r="M2389" s="43">
        <v>5</v>
      </c>
      <c r="N2389" s="12" t="s">
        <v>596</v>
      </c>
      <c r="P2389" s="10">
        <v>20</v>
      </c>
      <c r="T2389" s="10">
        <v>90</v>
      </c>
      <c r="V2389" s="59"/>
      <c r="W2389" s="59"/>
      <c r="X2389" s="29">
        <v>10</v>
      </c>
      <c r="Y2389" s="54" t="s">
        <v>46</v>
      </c>
    </row>
    <row r="2390" spans="1:27" ht="23.1" customHeight="1" x14ac:dyDescent="0.25">
      <c r="A2390" s="20" t="s">
        <v>1621</v>
      </c>
      <c r="B2390" s="7" t="s">
        <v>113</v>
      </c>
      <c r="C2390" s="7">
        <v>107</v>
      </c>
      <c r="D2390" s="7" t="s">
        <v>1415</v>
      </c>
      <c r="E2390" s="41" t="s">
        <v>215</v>
      </c>
      <c r="F2390" s="41" t="s">
        <v>215</v>
      </c>
      <c r="G2390" s="7" t="s">
        <v>154</v>
      </c>
      <c r="H2390" s="7">
        <v>40</v>
      </c>
      <c r="I2390" s="10" t="s">
        <v>2263</v>
      </c>
      <c r="K2390" s="10">
        <v>2.5</v>
      </c>
      <c r="L2390" s="43">
        <v>5</v>
      </c>
      <c r="M2390" s="43">
        <v>28</v>
      </c>
      <c r="N2390" s="12" t="s">
        <v>1641</v>
      </c>
      <c r="P2390" s="10">
        <v>390</v>
      </c>
      <c r="S2390" s="11">
        <v>1</v>
      </c>
      <c r="T2390" s="10">
        <v>60</v>
      </c>
      <c r="V2390" s="59"/>
      <c r="W2390" s="59"/>
      <c r="X2390" s="29">
        <v>16.3</v>
      </c>
      <c r="Y2390" s="54" t="s">
        <v>45</v>
      </c>
    </row>
    <row r="2391" spans="1:27" ht="23.1" customHeight="1" x14ac:dyDescent="0.25">
      <c r="A2391" s="20" t="s">
        <v>1621</v>
      </c>
      <c r="B2391" s="7" t="s">
        <v>113</v>
      </c>
      <c r="C2391" s="7">
        <v>21</v>
      </c>
      <c r="D2391" s="7" t="s">
        <v>321</v>
      </c>
      <c r="E2391" s="41" t="s">
        <v>322</v>
      </c>
      <c r="F2391" s="41" t="s">
        <v>322</v>
      </c>
      <c r="G2391" s="7" t="s">
        <v>323</v>
      </c>
      <c r="H2391" s="7">
        <v>50</v>
      </c>
      <c r="I2391" s="10" t="s">
        <v>1986</v>
      </c>
      <c r="J2391" s="10">
        <v>1.2</v>
      </c>
      <c r="K2391" s="10">
        <v>1.2</v>
      </c>
      <c r="L2391" s="43">
        <v>5</v>
      </c>
      <c r="M2391" s="43">
        <v>28</v>
      </c>
      <c r="N2391" s="12" t="s">
        <v>1664</v>
      </c>
      <c r="P2391" s="10">
        <v>630</v>
      </c>
      <c r="Q2391" s="10">
        <v>120</v>
      </c>
      <c r="S2391" s="11">
        <v>1</v>
      </c>
      <c r="T2391" s="10">
        <v>180</v>
      </c>
      <c r="V2391" s="59"/>
      <c r="W2391" s="59"/>
      <c r="X2391" s="29">
        <v>14.6</v>
      </c>
      <c r="Y2391" s="54" t="s">
        <v>58</v>
      </c>
    </row>
    <row r="2392" spans="1:27" ht="23.1" customHeight="1" x14ac:dyDescent="0.25">
      <c r="A2392" s="20" t="s">
        <v>1621</v>
      </c>
      <c r="B2392" s="7" t="s">
        <v>113</v>
      </c>
      <c r="C2392" s="7">
        <v>12</v>
      </c>
      <c r="D2392" s="7" t="s">
        <v>248</v>
      </c>
      <c r="E2392" s="41" t="s">
        <v>249</v>
      </c>
      <c r="F2392" s="41" t="s">
        <v>249</v>
      </c>
      <c r="G2392" s="7" t="s">
        <v>250</v>
      </c>
      <c r="H2392" s="7">
        <v>25</v>
      </c>
      <c r="I2392" s="10" t="s">
        <v>1923</v>
      </c>
      <c r="J2392" s="10">
        <v>1</v>
      </c>
      <c r="K2392" s="10">
        <v>1</v>
      </c>
      <c r="L2392" s="43">
        <v>28</v>
      </c>
      <c r="M2392" s="43">
        <v>28</v>
      </c>
      <c r="N2392" s="12" t="s">
        <v>1036</v>
      </c>
      <c r="P2392" s="10">
        <v>1080</v>
      </c>
      <c r="T2392" s="10">
        <v>120</v>
      </c>
      <c r="V2392" s="59">
        <v>1</v>
      </c>
      <c r="W2392" s="59"/>
      <c r="X2392" s="29">
        <v>20</v>
      </c>
      <c r="Y2392" s="54" t="s">
        <v>72</v>
      </c>
      <c r="AA2392" s="1"/>
    </row>
    <row r="2393" spans="1:27" ht="23.1" customHeight="1" x14ac:dyDescent="0.25">
      <c r="A2393" s="20" t="s">
        <v>1621</v>
      </c>
      <c r="B2393" s="7" t="s">
        <v>113</v>
      </c>
      <c r="C2393" s="7">
        <v>16</v>
      </c>
      <c r="D2393" s="7" t="s">
        <v>1420</v>
      </c>
      <c r="E2393" s="41" t="s">
        <v>1421</v>
      </c>
      <c r="F2393" s="41" t="s">
        <v>1421</v>
      </c>
      <c r="G2393" s="7" t="s">
        <v>123</v>
      </c>
      <c r="H2393" s="7">
        <v>25</v>
      </c>
      <c r="I2393" s="10" t="s">
        <v>2308</v>
      </c>
      <c r="J2393" s="10">
        <v>0.7</v>
      </c>
      <c r="K2393" s="10">
        <v>0.7</v>
      </c>
      <c r="L2393" s="43">
        <v>31</v>
      </c>
      <c r="M2393" s="43"/>
      <c r="N2393" s="12" t="s">
        <v>1440</v>
      </c>
      <c r="P2393" s="10">
        <v>780</v>
      </c>
      <c r="T2393" s="10">
        <v>90</v>
      </c>
      <c r="V2393" s="59"/>
      <c r="W2393" s="59"/>
      <c r="X2393" s="29">
        <v>9.1</v>
      </c>
      <c r="Y2393" s="54" t="s">
        <v>71</v>
      </c>
    </row>
    <row r="2394" spans="1:27" ht="23.1" customHeight="1" x14ac:dyDescent="0.25">
      <c r="A2394" s="20" t="s">
        <v>1621</v>
      </c>
      <c r="B2394" s="7" t="s">
        <v>113</v>
      </c>
      <c r="C2394" s="7">
        <v>57</v>
      </c>
      <c r="D2394" s="7" t="s">
        <v>1042</v>
      </c>
      <c r="E2394" s="41" t="s">
        <v>1281</v>
      </c>
      <c r="F2394" s="41" t="s">
        <v>1281</v>
      </c>
      <c r="G2394" s="7" t="s">
        <v>107</v>
      </c>
      <c r="H2394" s="7">
        <v>35</v>
      </c>
      <c r="I2394" s="10" t="s">
        <v>2312</v>
      </c>
      <c r="J2394" s="10">
        <v>1</v>
      </c>
      <c r="K2394" s="10">
        <v>1.6</v>
      </c>
      <c r="L2394" s="43">
        <v>23</v>
      </c>
      <c r="M2394" s="43">
        <v>28</v>
      </c>
      <c r="N2394" s="12" t="s">
        <v>1033</v>
      </c>
      <c r="P2394" s="10">
        <v>540</v>
      </c>
      <c r="T2394" s="10">
        <v>100</v>
      </c>
      <c r="V2394" s="59"/>
      <c r="W2394" s="59"/>
      <c r="X2394" s="29">
        <v>14.4</v>
      </c>
      <c r="Y2394" s="54" t="s">
        <v>7</v>
      </c>
    </row>
    <row r="2395" spans="1:27" ht="23.1" customHeight="1" x14ac:dyDescent="0.25">
      <c r="A2395" s="20" t="s">
        <v>1621</v>
      </c>
      <c r="B2395" s="7" t="s">
        <v>113</v>
      </c>
      <c r="C2395" s="7">
        <v>58</v>
      </c>
      <c r="D2395" s="7" t="s">
        <v>1665</v>
      </c>
      <c r="E2395" s="41" t="s">
        <v>1666</v>
      </c>
      <c r="F2395" s="41" t="e">
        <v>#N/A</v>
      </c>
      <c r="G2395" s="7" t="s">
        <v>102</v>
      </c>
      <c r="H2395" s="7">
        <v>15</v>
      </c>
      <c r="I2395" s="10"/>
      <c r="J2395" s="10">
        <v>0.5</v>
      </c>
      <c r="K2395" s="10">
        <v>1</v>
      </c>
      <c r="L2395" s="43">
        <v>28</v>
      </c>
      <c r="M2395" s="43"/>
      <c r="N2395" s="12" t="s">
        <v>108</v>
      </c>
      <c r="V2395" s="59"/>
      <c r="W2395" s="59">
        <v>12</v>
      </c>
      <c r="X2395" s="29">
        <v>12</v>
      </c>
      <c r="Y2395" s="54" t="s">
        <v>7</v>
      </c>
      <c r="Z2395" t="s">
        <v>1667</v>
      </c>
    </row>
    <row r="2396" spans="1:27" ht="23.1" customHeight="1" x14ac:dyDescent="0.25">
      <c r="A2396" s="20" t="s">
        <v>1621</v>
      </c>
      <c r="B2396" s="7" t="s">
        <v>113</v>
      </c>
      <c r="C2396" s="7">
        <v>77</v>
      </c>
      <c r="D2396" s="7" t="s">
        <v>1457</v>
      </c>
      <c r="E2396" s="41" t="s">
        <v>409</v>
      </c>
      <c r="F2396" s="41" t="s">
        <v>409</v>
      </c>
      <c r="G2396" s="7" t="s">
        <v>102</v>
      </c>
      <c r="H2396" s="7">
        <v>40</v>
      </c>
      <c r="I2396" s="10" t="s">
        <v>2318</v>
      </c>
      <c r="J2396" s="10">
        <v>8</v>
      </c>
      <c r="K2396" s="10">
        <v>8</v>
      </c>
      <c r="L2396" s="43">
        <v>5</v>
      </c>
      <c r="M2396" s="43">
        <v>31</v>
      </c>
      <c r="N2396" s="12" t="s">
        <v>596</v>
      </c>
      <c r="P2396" s="10">
        <v>20</v>
      </c>
      <c r="T2396" s="10">
        <v>60</v>
      </c>
      <c r="V2396" s="59">
        <v>1</v>
      </c>
      <c r="W2396" s="59">
        <v>2</v>
      </c>
      <c r="X2396" s="29">
        <v>5.7</v>
      </c>
      <c r="Y2396" s="54" t="s">
        <v>15</v>
      </c>
      <c r="Z2396" t="s">
        <v>1376</v>
      </c>
      <c r="AA2396" s="1" t="s">
        <v>238</v>
      </c>
    </row>
    <row r="2397" spans="1:27" ht="23.1" customHeight="1" x14ac:dyDescent="0.25">
      <c r="A2397" s="20" t="s">
        <v>1621</v>
      </c>
      <c r="B2397" s="7" t="s">
        <v>113</v>
      </c>
      <c r="C2397" s="7">
        <v>15</v>
      </c>
      <c r="D2397" s="7" t="s">
        <v>1255</v>
      </c>
      <c r="E2397" s="41" t="s">
        <v>117</v>
      </c>
      <c r="F2397" s="41" t="s">
        <v>117</v>
      </c>
      <c r="G2397" s="7" t="s">
        <v>300</v>
      </c>
      <c r="H2397" s="7">
        <v>20</v>
      </c>
      <c r="I2397" s="10" t="s">
        <v>2232</v>
      </c>
      <c r="J2397" s="10">
        <v>2.5</v>
      </c>
      <c r="K2397" s="10">
        <v>4</v>
      </c>
      <c r="L2397" s="43">
        <v>23</v>
      </c>
      <c r="M2397" s="43">
        <v>9</v>
      </c>
      <c r="N2397" s="12" t="s">
        <v>1517</v>
      </c>
      <c r="P2397" s="10">
        <v>220</v>
      </c>
      <c r="T2397" s="10">
        <v>90</v>
      </c>
      <c r="V2397" s="59">
        <v>1</v>
      </c>
      <c r="W2397" s="59">
        <v>2</v>
      </c>
      <c r="X2397" s="29">
        <v>18.2</v>
      </c>
      <c r="Y2397" s="54" t="s">
        <v>31</v>
      </c>
      <c r="Z2397" t="s">
        <v>1376</v>
      </c>
      <c r="AA2397" s="1" t="s">
        <v>238</v>
      </c>
    </row>
    <row r="2398" spans="1:27" ht="23.1" customHeight="1" x14ac:dyDescent="0.25">
      <c r="A2398" s="20" t="s">
        <v>1621</v>
      </c>
      <c r="B2398" s="7" t="s">
        <v>113</v>
      </c>
      <c r="C2398" s="7">
        <v>14</v>
      </c>
      <c r="D2398" s="7" t="s">
        <v>1653</v>
      </c>
      <c r="E2398" s="41" t="s">
        <v>139</v>
      </c>
      <c r="F2398" s="41" t="s">
        <v>139</v>
      </c>
      <c r="G2398" s="7" t="s">
        <v>375</v>
      </c>
      <c r="H2398" s="7">
        <v>15</v>
      </c>
      <c r="I2398" s="10" t="s">
        <v>1895</v>
      </c>
      <c r="J2398" s="10">
        <v>10</v>
      </c>
      <c r="K2398" s="10">
        <v>15</v>
      </c>
      <c r="L2398" s="43">
        <v>37</v>
      </c>
      <c r="M2398" s="43">
        <v>9</v>
      </c>
      <c r="N2398" s="12" t="s">
        <v>282</v>
      </c>
      <c r="P2398" s="10">
        <v>65</v>
      </c>
      <c r="T2398" s="10">
        <v>90</v>
      </c>
      <c r="V2398" s="59"/>
      <c r="W2398" s="59">
        <v>3</v>
      </c>
      <c r="X2398" s="29">
        <v>19.3</v>
      </c>
      <c r="Y2398" s="54" t="s">
        <v>31</v>
      </c>
      <c r="Z2398" t="s">
        <v>1572</v>
      </c>
      <c r="AA2398" s="1" t="s">
        <v>238</v>
      </c>
    </row>
    <row r="2399" spans="1:27" ht="23.1" customHeight="1" x14ac:dyDescent="0.25">
      <c r="A2399" s="20" t="s">
        <v>1621</v>
      </c>
      <c r="B2399" s="7" t="s">
        <v>113</v>
      </c>
      <c r="C2399" s="7">
        <v>108</v>
      </c>
      <c r="D2399" s="7" t="s">
        <v>889</v>
      </c>
      <c r="E2399" s="41" t="s">
        <v>887</v>
      </c>
      <c r="F2399" s="41" t="s">
        <v>887</v>
      </c>
      <c r="G2399" s="7" t="s">
        <v>154</v>
      </c>
      <c r="H2399" s="7">
        <v>70</v>
      </c>
      <c r="I2399" s="10" t="s">
        <v>2289</v>
      </c>
      <c r="J2399" s="10">
        <v>0.3</v>
      </c>
      <c r="K2399" s="10">
        <v>0.4</v>
      </c>
      <c r="L2399" s="43">
        <v>28</v>
      </c>
      <c r="M2399" s="43"/>
      <c r="N2399" s="12" t="s">
        <v>159</v>
      </c>
      <c r="P2399" s="10">
        <v>4800</v>
      </c>
      <c r="Q2399" s="10">
        <v>60</v>
      </c>
      <c r="T2399" s="10">
        <v>180</v>
      </c>
      <c r="V2399" s="59"/>
      <c r="W2399" s="59"/>
      <c r="X2399" s="29">
        <v>32</v>
      </c>
      <c r="Y2399" s="54" t="s">
        <v>45</v>
      </c>
    </row>
    <row r="2400" spans="1:27" ht="23.1" customHeight="1" x14ac:dyDescent="0.25">
      <c r="A2400" s="20" t="s">
        <v>1621</v>
      </c>
      <c r="B2400" s="7" t="s">
        <v>113</v>
      </c>
      <c r="C2400" s="7">
        <v>18</v>
      </c>
      <c r="D2400" s="7" t="s">
        <v>1030</v>
      </c>
      <c r="E2400" s="41" t="s">
        <v>919</v>
      </c>
      <c r="F2400" s="41" t="s">
        <v>919</v>
      </c>
      <c r="G2400" s="7" t="s">
        <v>323</v>
      </c>
      <c r="H2400" s="7">
        <v>25</v>
      </c>
      <c r="I2400" s="10" t="s">
        <v>2149</v>
      </c>
      <c r="J2400" s="10">
        <v>3</v>
      </c>
      <c r="K2400" s="10">
        <v>4</v>
      </c>
      <c r="L2400" s="43">
        <v>28</v>
      </c>
      <c r="M2400" s="43">
        <v>28</v>
      </c>
      <c r="N2400" s="12" t="s">
        <v>780</v>
      </c>
      <c r="P2400" s="10">
        <v>220</v>
      </c>
      <c r="T2400" s="10">
        <v>90</v>
      </c>
      <c r="V2400" s="59"/>
      <c r="W2400" s="59"/>
      <c r="X2400" s="29">
        <v>14.7</v>
      </c>
      <c r="Y2400" s="54" t="s">
        <v>16</v>
      </c>
    </row>
    <row r="2401" spans="1:27" ht="23.1" customHeight="1" x14ac:dyDescent="0.25">
      <c r="A2401" s="20" t="s">
        <v>1621</v>
      </c>
      <c r="B2401" s="7" t="s">
        <v>113</v>
      </c>
      <c r="C2401" s="7">
        <v>17</v>
      </c>
      <c r="D2401" s="7" t="s">
        <v>1520</v>
      </c>
      <c r="E2401" s="41" t="s">
        <v>133</v>
      </c>
      <c r="F2401" s="41" t="s">
        <v>133</v>
      </c>
      <c r="G2401" s="7" t="s">
        <v>154</v>
      </c>
      <c r="H2401" s="7">
        <v>20</v>
      </c>
      <c r="I2401" s="10"/>
      <c r="J2401" s="10">
        <v>1</v>
      </c>
      <c r="K2401" s="10">
        <v>1</v>
      </c>
      <c r="L2401" s="43">
        <v>28</v>
      </c>
      <c r="M2401" s="43"/>
      <c r="N2401" s="12" t="s">
        <v>1521</v>
      </c>
      <c r="O2401" s="10">
        <v>100</v>
      </c>
      <c r="P2401" s="10">
        <v>100</v>
      </c>
      <c r="V2401" s="59"/>
      <c r="W2401" s="59"/>
      <c r="X2401" s="32">
        <v>1.7</v>
      </c>
      <c r="Y2401" s="54" t="s">
        <v>16</v>
      </c>
    </row>
    <row r="2402" spans="1:27" ht="23.1" customHeight="1" x14ac:dyDescent="0.25">
      <c r="A2402" s="20" t="s">
        <v>1621</v>
      </c>
      <c r="B2402" s="7" t="s">
        <v>113</v>
      </c>
      <c r="C2402" s="7">
        <v>17</v>
      </c>
      <c r="D2402" s="7" t="s">
        <v>1520</v>
      </c>
      <c r="E2402" s="41" t="s">
        <v>133</v>
      </c>
      <c r="F2402" s="41" t="s">
        <v>133</v>
      </c>
      <c r="G2402" s="7" t="s">
        <v>154</v>
      </c>
      <c r="H2402" s="7">
        <v>25</v>
      </c>
      <c r="I2402" s="10"/>
      <c r="J2402" s="10">
        <v>6</v>
      </c>
      <c r="K2402" s="10">
        <v>2</v>
      </c>
      <c r="L2402" s="43">
        <v>28</v>
      </c>
      <c r="M2402" s="43">
        <v>28</v>
      </c>
      <c r="N2402" s="12" t="s">
        <v>1521</v>
      </c>
      <c r="O2402" s="10">
        <v>70</v>
      </c>
      <c r="P2402" s="10">
        <v>70</v>
      </c>
      <c r="U2402" s="10">
        <v>120</v>
      </c>
      <c r="V2402" s="59">
        <v>1</v>
      </c>
      <c r="W2402" s="59">
        <v>2</v>
      </c>
      <c r="X2402" s="32">
        <v>6.3</v>
      </c>
      <c r="Y2402" s="54" t="s">
        <v>16</v>
      </c>
      <c r="AA2402" t="s">
        <v>238</v>
      </c>
    </row>
    <row r="2403" spans="1:27" ht="23.1" customHeight="1" x14ac:dyDescent="0.25">
      <c r="A2403" s="20" t="s">
        <v>1621</v>
      </c>
      <c r="B2403" s="7" t="s">
        <v>113</v>
      </c>
      <c r="C2403" s="7">
        <v>13</v>
      </c>
      <c r="D2403" s="7" t="s">
        <v>1668</v>
      </c>
      <c r="E2403" s="41" t="s">
        <v>1669</v>
      </c>
      <c r="F2403" s="41" t="s">
        <v>1669</v>
      </c>
      <c r="G2403" s="7" t="s">
        <v>154</v>
      </c>
      <c r="H2403" s="7">
        <v>15</v>
      </c>
      <c r="I2403" s="10" t="s">
        <v>2319</v>
      </c>
      <c r="J2403" s="10">
        <v>3</v>
      </c>
      <c r="K2403" s="10">
        <v>3</v>
      </c>
      <c r="L2403" s="43">
        <v>37</v>
      </c>
      <c r="M2403" s="43">
        <v>37</v>
      </c>
      <c r="N2403" s="12" t="s">
        <v>1670</v>
      </c>
      <c r="P2403" s="10">
        <v>15</v>
      </c>
      <c r="T2403" s="10">
        <v>60</v>
      </c>
      <c r="V2403" s="59">
        <v>1</v>
      </c>
      <c r="W2403" s="59">
        <v>4</v>
      </c>
      <c r="X2403" s="29">
        <v>5.8</v>
      </c>
      <c r="Y2403" s="54" t="s">
        <v>72</v>
      </c>
      <c r="Z2403" t="s">
        <v>1671</v>
      </c>
      <c r="AA2403" s="1" t="s">
        <v>238</v>
      </c>
    </row>
    <row r="2404" spans="1:27" ht="23.1" customHeight="1" x14ac:dyDescent="0.25">
      <c r="A2404" s="20" t="s">
        <v>1621</v>
      </c>
      <c r="B2404" s="7" t="s">
        <v>113</v>
      </c>
      <c r="C2404" s="7">
        <v>13</v>
      </c>
      <c r="D2404" s="7" t="s">
        <v>1672</v>
      </c>
      <c r="E2404" s="41" t="s">
        <v>240</v>
      </c>
      <c r="F2404" s="41" t="s">
        <v>240</v>
      </c>
      <c r="G2404" s="7" t="s">
        <v>123</v>
      </c>
      <c r="H2404" s="7">
        <v>10</v>
      </c>
      <c r="I2404" s="10" t="s">
        <v>1916</v>
      </c>
      <c r="J2404" s="10">
        <v>20</v>
      </c>
      <c r="K2404" s="10">
        <v>20</v>
      </c>
      <c r="L2404" s="43">
        <v>5</v>
      </c>
      <c r="M2404" s="43">
        <v>5</v>
      </c>
      <c r="N2404" s="12" t="s">
        <v>221</v>
      </c>
      <c r="P2404" s="10">
        <v>40</v>
      </c>
      <c r="T2404" s="10">
        <v>60</v>
      </c>
      <c r="V2404" s="59">
        <v>1</v>
      </c>
      <c r="W2404" s="59"/>
      <c r="X2404" s="29">
        <v>14.3</v>
      </c>
      <c r="Y2404" s="54" t="s">
        <v>72</v>
      </c>
    </row>
    <row r="2405" spans="1:27" ht="23.1" customHeight="1" x14ac:dyDescent="0.25">
      <c r="A2405" s="20" t="s">
        <v>1621</v>
      </c>
      <c r="B2405" s="7" t="s">
        <v>113</v>
      </c>
      <c r="C2405" s="7">
        <v>22</v>
      </c>
      <c r="D2405" s="7" t="s">
        <v>1673</v>
      </c>
      <c r="E2405" s="41" t="s">
        <v>1674</v>
      </c>
      <c r="F2405" s="41" t="s">
        <v>1674</v>
      </c>
      <c r="G2405" s="7" t="s">
        <v>375</v>
      </c>
      <c r="H2405" s="7">
        <v>15</v>
      </c>
      <c r="I2405" s="10" t="s">
        <v>2320</v>
      </c>
      <c r="J2405" s="10">
        <v>1</v>
      </c>
      <c r="K2405" s="10">
        <v>1</v>
      </c>
      <c r="L2405" s="43">
        <v>5</v>
      </c>
      <c r="M2405" s="43">
        <v>5</v>
      </c>
      <c r="N2405" s="12" t="s">
        <v>1675</v>
      </c>
      <c r="P2405" s="10">
        <v>600</v>
      </c>
      <c r="Q2405" s="10">
        <v>120</v>
      </c>
      <c r="S2405" s="11">
        <v>1</v>
      </c>
      <c r="T2405" s="10">
        <v>180</v>
      </c>
      <c r="V2405" s="59">
        <v>1</v>
      </c>
      <c r="W2405" s="59">
        <v>4</v>
      </c>
      <c r="X2405" s="29">
        <v>19</v>
      </c>
      <c r="Y2405" s="54" t="s">
        <v>58</v>
      </c>
      <c r="Z2405" t="s">
        <v>1676</v>
      </c>
    </row>
    <row r="2406" spans="1:27" ht="23.1" customHeight="1" x14ac:dyDescent="0.25">
      <c r="A2406" s="20" t="s">
        <v>1621</v>
      </c>
      <c r="B2406" s="7" t="s">
        <v>113</v>
      </c>
      <c r="C2406" s="7">
        <v>78</v>
      </c>
      <c r="D2406" s="7" t="s">
        <v>992</v>
      </c>
      <c r="E2406" s="41" t="s">
        <v>993</v>
      </c>
      <c r="F2406" s="41" t="s">
        <v>993</v>
      </c>
      <c r="G2406" s="7" t="s">
        <v>154</v>
      </c>
      <c r="H2406" s="7">
        <v>30</v>
      </c>
      <c r="I2406" s="10" t="s">
        <v>1992</v>
      </c>
      <c r="J2406" s="10">
        <v>1.5</v>
      </c>
      <c r="K2406" s="10">
        <v>1.3</v>
      </c>
      <c r="L2406" s="43">
        <v>23</v>
      </c>
      <c r="M2406" s="43"/>
      <c r="N2406" s="12" t="s">
        <v>159</v>
      </c>
      <c r="P2406" s="10">
        <v>450</v>
      </c>
      <c r="Q2406" s="10">
        <v>60</v>
      </c>
      <c r="S2406" s="11">
        <v>1</v>
      </c>
      <c r="T2406" s="10">
        <v>90</v>
      </c>
      <c r="V2406" s="59"/>
      <c r="W2406" s="59"/>
      <c r="X2406" s="29">
        <v>10.8</v>
      </c>
      <c r="Y2406" s="54" t="s">
        <v>19</v>
      </c>
    </row>
    <row r="2407" spans="1:27" ht="23.1" customHeight="1" x14ac:dyDescent="0.25">
      <c r="A2407" s="20" t="s">
        <v>1621</v>
      </c>
      <c r="B2407" s="7" t="s">
        <v>113</v>
      </c>
      <c r="C2407" s="7">
        <v>59</v>
      </c>
      <c r="D2407" s="7" t="s">
        <v>1661</v>
      </c>
      <c r="E2407" s="41" t="s">
        <v>595</v>
      </c>
      <c r="F2407" s="41" t="s">
        <v>595</v>
      </c>
      <c r="G2407" s="7" t="s">
        <v>102</v>
      </c>
      <c r="H2407" s="7">
        <v>15</v>
      </c>
      <c r="I2407" s="10" t="s">
        <v>2321</v>
      </c>
      <c r="K2407" s="10">
        <v>1</v>
      </c>
      <c r="L2407" s="43">
        <v>5</v>
      </c>
      <c r="M2407" s="43"/>
      <c r="N2407" s="12" t="s">
        <v>596</v>
      </c>
      <c r="P2407" s="10">
        <v>150</v>
      </c>
      <c r="T2407" s="10">
        <v>60</v>
      </c>
      <c r="V2407" s="59">
        <v>1</v>
      </c>
      <c r="W2407" s="59">
        <v>2</v>
      </c>
      <c r="X2407" s="29">
        <v>5.5</v>
      </c>
      <c r="Y2407" s="64" t="s">
        <v>1847</v>
      </c>
      <c r="Z2407" t="s">
        <v>1677</v>
      </c>
      <c r="AA2407" s="1" t="s">
        <v>238</v>
      </c>
    </row>
    <row r="2408" spans="1:27" ht="23.1" customHeight="1" x14ac:dyDescent="0.25">
      <c r="A2408" s="20" t="s">
        <v>1621</v>
      </c>
      <c r="B2408" s="7" t="s">
        <v>113</v>
      </c>
      <c r="C2408" s="7">
        <v>59</v>
      </c>
      <c r="D2408" s="7" t="s">
        <v>1661</v>
      </c>
      <c r="E2408" s="41" t="s">
        <v>595</v>
      </c>
      <c r="F2408" s="41" t="s">
        <v>595</v>
      </c>
      <c r="G2408" s="7" t="s">
        <v>102</v>
      </c>
      <c r="H2408" s="7">
        <v>20</v>
      </c>
      <c r="I2408" s="10" t="s">
        <v>2397</v>
      </c>
      <c r="K2408" s="10">
        <v>1</v>
      </c>
      <c r="L2408" s="43"/>
      <c r="M2408" s="43">
        <v>31</v>
      </c>
      <c r="N2408" s="12" t="s">
        <v>596</v>
      </c>
      <c r="P2408" s="10">
        <v>70</v>
      </c>
      <c r="T2408" s="10">
        <v>90</v>
      </c>
      <c r="V2408" s="59">
        <v>1</v>
      </c>
      <c r="W2408" s="59"/>
      <c r="X2408" s="29">
        <v>2.7</v>
      </c>
      <c r="Y2408" s="64" t="s">
        <v>1847</v>
      </c>
    </row>
    <row r="2409" spans="1:27" ht="23.1" customHeight="1" x14ac:dyDescent="0.25">
      <c r="A2409" s="20" t="s">
        <v>1621</v>
      </c>
      <c r="B2409" s="7" t="s">
        <v>113</v>
      </c>
      <c r="C2409" s="7">
        <v>59</v>
      </c>
      <c r="D2409" s="7" t="s">
        <v>1661</v>
      </c>
      <c r="E2409" s="41" t="s">
        <v>595</v>
      </c>
      <c r="F2409" s="41" t="s">
        <v>595</v>
      </c>
      <c r="G2409" s="7" t="s">
        <v>102</v>
      </c>
      <c r="H2409" s="7">
        <v>25</v>
      </c>
      <c r="I2409" s="10" t="s">
        <v>2349</v>
      </c>
      <c r="K2409" s="10">
        <v>1</v>
      </c>
      <c r="L2409" s="43"/>
      <c r="M2409" s="43">
        <v>31</v>
      </c>
      <c r="N2409" s="12" t="s">
        <v>596</v>
      </c>
      <c r="P2409" s="10">
        <v>50</v>
      </c>
      <c r="T2409" s="10">
        <v>60</v>
      </c>
      <c r="V2409" s="59">
        <v>1</v>
      </c>
      <c r="W2409" s="59">
        <v>2</v>
      </c>
      <c r="X2409" s="29">
        <v>3.8</v>
      </c>
      <c r="Y2409" s="64" t="s">
        <v>1847</v>
      </c>
      <c r="Z2409" t="s">
        <v>1655</v>
      </c>
      <c r="AA2409" s="1" t="s">
        <v>238</v>
      </c>
    </row>
    <row r="2410" spans="1:27" ht="23.1" customHeight="1" x14ac:dyDescent="0.25">
      <c r="A2410" s="20" t="s">
        <v>1621</v>
      </c>
      <c r="B2410" s="7" t="s">
        <v>113</v>
      </c>
      <c r="C2410" s="7">
        <v>9</v>
      </c>
      <c r="D2410" s="7" t="s">
        <v>1678</v>
      </c>
      <c r="E2410" s="41" t="s">
        <v>259</v>
      </c>
      <c r="F2410" s="41" t="s">
        <v>259</v>
      </c>
      <c r="G2410" s="47" t="s">
        <v>123</v>
      </c>
      <c r="H2410" s="7">
        <v>5</v>
      </c>
      <c r="I2410" s="47" t="s">
        <v>2322</v>
      </c>
      <c r="K2410" s="10">
        <v>2</v>
      </c>
      <c r="L2410" s="43">
        <v>23</v>
      </c>
      <c r="M2410" s="43">
        <v>23</v>
      </c>
      <c r="N2410" s="12" t="s">
        <v>1404</v>
      </c>
      <c r="P2410" s="10">
        <v>120</v>
      </c>
      <c r="T2410" s="10">
        <v>60</v>
      </c>
      <c r="V2410" s="59">
        <v>1</v>
      </c>
      <c r="W2410" s="59">
        <v>4</v>
      </c>
      <c r="X2410" s="29">
        <v>9</v>
      </c>
      <c r="Y2410" s="54" t="s">
        <v>30</v>
      </c>
      <c r="AA2410" t="s">
        <v>238</v>
      </c>
    </row>
    <row r="2411" spans="1:27" ht="23.1" customHeight="1" x14ac:dyDescent="0.25">
      <c r="A2411" s="20" t="s">
        <v>1621</v>
      </c>
      <c r="B2411" s="7" t="s">
        <v>113</v>
      </c>
      <c r="C2411" s="7">
        <v>9</v>
      </c>
      <c r="D2411" s="7" t="s">
        <v>1678</v>
      </c>
      <c r="E2411" s="41" t="s">
        <v>259</v>
      </c>
      <c r="F2411" s="41" t="s">
        <v>259</v>
      </c>
      <c r="G2411" s="47" t="s">
        <v>123</v>
      </c>
      <c r="H2411" s="7">
        <v>10</v>
      </c>
      <c r="I2411" s="10" t="s">
        <v>2023</v>
      </c>
      <c r="K2411" s="10">
        <v>2</v>
      </c>
      <c r="L2411" s="43">
        <v>23</v>
      </c>
      <c r="M2411" s="43">
        <v>23</v>
      </c>
      <c r="N2411" s="12" t="s">
        <v>1404</v>
      </c>
      <c r="P2411" s="10">
        <v>70</v>
      </c>
      <c r="T2411" s="10">
        <v>60</v>
      </c>
      <c r="V2411" s="59">
        <v>1</v>
      </c>
      <c r="W2411" s="59">
        <v>4</v>
      </c>
      <c r="X2411" s="29">
        <v>7.3</v>
      </c>
      <c r="Y2411" s="54" t="s">
        <v>30</v>
      </c>
      <c r="AA2411" t="s">
        <v>238</v>
      </c>
    </row>
    <row r="2412" spans="1:27" ht="23.1" customHeight="1" x14ac:dyDescent="0.25">
      <c r="A2412" s="20" t="s">
        <v>1621</v>
      </c>
      <c r="B2412" s="7" t="s">
        <v>113</v>
      </c>
      <c r="C2412" s="7">
        <v>9</v>
      </c>
      <c r="D2412" s="7" t="s">
        <v>1678</v>
      </c>
      <c r="E2412" s="41" t="s">
        <v>259</v>
      </c>
      <c r="F2412" s="41" t="s">
        <v>259</v>
      </c>
      <c r="G2412" s="47" t="s">
        <v>123</v>
      </c>
      <c r="H2412" s="7">
        <v>15</v>
      </c>
      <c r="I2412" s="10" t="s">
        <v>2398</v>
      </c>
      <c r="K2412" s="10">
        <v>0.5</v>
      </c>
      <c r="L2412" s="43">
        <v>23</v>
      </c>
      <c r="M2412" s="43">
        <v>23</v>
      </c>
      <c r="N2412" s="12" t="s">
        <v>1404</v>
      </c>
      <c r="P2412" s="10">
        <v>500</v>
      </c>
      <c r="T2412" s="10">
        <v>60</v>
      </c>
      <c r="V2412" s="59">
        <v>1</v>
      </c>
      <c r="W2412" s="59">
        <v>2</v>
      </c>
      <c r="X2412" s="29">
        <v>7.2</v>
      </c>
      <c r="Y2412" s="54" t="s">
        <v>30</v>
      </c>
      <c r="AA2412" t="s">
        <v>238</v>
      </c>
    </row>
    <row r="2413" spans="1:27" ht="23.1" customHeight="1" x14ac:dyDescent="0.25">
      <c r="A2413" s="20" t="s">
        <v>1621</v>
      </c>
      <c r="B2413" s="7" t="s">
        <v>113</v>
      </c>
      <c r="C2413" s="7">
        <v>9</v>
      </c>
      <c r="D2413" s="7" t="s">
        <v>1679</v>
      </c>
      <c r="E2413" s="41" t="s">
        <v>259</v>
      </c>
      <c r="F2413" s="41" t="s">
        <v>259</v>
      </c>
      <c r="G2413" s="47" t="s">
        <v>123</v>
      </c>
      <c r="H2413" s="7">
        <v>5</v>
      </c>
      <c r="I2413" s="10" t="s">
        <v>2060</v>
      </c>
      <c r="K2413" s="10">
        <v>2</v>
      </c>
      <c r="L2413" s="43">
        <v>23</v>
      </c>
      <c r="M2413" s="43">
        <v>23</v>
      </c>
      <c r="N2413" s="12" t="s">
        <v>1680</v>
      </c>
      <c r="P2413" s="10">
        <v>120</v>
      </c>
      <c r="T2413" s="10">
        <v>60</v>
      </c>
      <c r="V2413" s="59">
        <v>1</v>
      </c>
      <c r="W2413" s="59">
        <v>2.5</v>
      </c>
      <c r="X2413" s="29">
        <v>7.5</v>
      </c>
      <c r="Y2413" s="54" t="s">
        <v>30</v>
      </c>
      <c r="AA2413" t="s">
        <v>238</v>
      </c>
    </row>
    <row r="2414" spans="1:27" ht="23.1" customHeight="1" x14ac:dyDescent="0.25">
      <c r="A2414" s="20" t="s">
        <v>1621</v>
      </c>
      <c r="B2414" s="7" t="s">
        <v>113</v>
      </c>
      <c r="C2414" s="7">
        <v>9</v>
      </c>
      <c r="D2414" s="7" t="s">
        <v>1679</v>
      </c>
      <c r="E2414" s="41" t="s">
        <v>259</v>
      </c>
      <c r="F2414" s="41" t="s">
        <v>259</v>
      </c>
      <c r="G2414" s="47" t="s">
        <v>123</v>
      </c>
      <c r="H2414" s="7">
        <v>10</v>
      </c>
      <c r="I2414" s="10" t="s">
        <v>2023</v>
      </c>
      <c r="K2414" s="10">
        <v>2</v>
      </c>
      <c r="L2414" s="43">
        <v>23</v>
      </c>
      <c r="M2414" s="43">
        <v>23</v>
      </c>
      <c r="N2414" s="12" t="s">
        <v>1680</v>
      </c>
      <c r="P2414" s="10">
        <v>70</v>
      </c>
      <c r="T2414" s="10">
        <v>60</v>
      </c>
      <c r="V2414" s="59">
        <v>1</v>
      </c>
      <c r="W2414" s="59">
        <v>2.5</v>
      </c>
      <c r="X2414" s="29">
        <v>5.8</v>
      </c>
      <c r="Y2414" s="54" t="s">
        <v>30</v>
      </c>
      <c r="AA2414" t="s">
        <v>238</v>
      </c>
    </row>
    <row r="2415" spans="1:27" ht="23.1" customHeight="1" x14ac:dyDescent="0.25">
      <c r="A2415" s="20" t="s">
        <v>1621</v>
      </c>
      <c r="B2415" s="7" t="s">
        <v>113</v>
      </c>
      <c r="C2415" s="7">
        <v>10</v>
      </c>
      <c r="D2415" s="7" t="s">
        <v>197</v>
      </c>
      <c r="E2415" s="41" t="s">
        <v>198</v>
      </c>
      <c r="F2415" s="41" t="e">
        <v>#N/A</v>
      </c>
      <c r="G2415" s="7" t="s">
        <v>154</v>
      </c>
      <c r="H2415" s="7">
        <v>20</v>
      </c>
      <c r="I2415" s="10" t="s">
        <v>2150</v>
      </c>
      <c r="J2415" s="10">
        <v>1.5</v>
      </c>
      <c r="K2415" s="10">
        <v>4</v>
      </c>
      <c r="L2415" s="43">
        <v>23</v>
      </c>
      <c r="M2415" s="43">
        <v>28</v>
      </c>
      <c r="N2415" s="12" t="s">
        <v>873</v>
      </c>
      <c r="P2415" s="10">
        <v>290</v>
      </c>
      <c r="T2415" s="10">
        <v>60</v>
      </c>
      <c r="V2415" s="59">
        <v>1</v>
      </c>
      <c r="W2415" s="59">
        <v>2</v>
      </c>
      <c r="X2415" s="29">
        <v>22.3</v>
      </c>
      <c r="Y2415" s="54" t="s">
        <v>30</v>
      </c>
      <c r="Z2415" t="s">
        <v>1681</v>
      </c>
      <c r="AA2415" s="1" t="s">
        <v>238</v>
      </c>
    </row>
    <row r="2416" spans="1:27" ht="23.1" customHeight="1" x14ac:dyDescent="0.25">
      <c r="A2416" s="20" t="s">
        <v>1621</v>
      </c>
      <c r="B2416" s="7" t="s">
        <v>113</v>
      </c>
      <c r="C2416" s="7">
        <v>10</v>
      </c>
      <c r="D2416" s="7" t="s">
        <v>197</v>
      </c>
      <c r="E2416" s="41" t="s">
        <v>198</v>
      </c>
      <c r="F2416" s="41" t="e">
        <v>#N/A</v>
      </c>
      <c r="G2416" s="7" t="s">
        <v>154</v>
      </c>
      <c r="H2416" s="7">
        <v>15</v>
      </c>
      <c r="I2416" s="10" t="s">
        <v>2151</v>
      </c>
      <c r="J2416" s="10">
        <v>2</v>
      </c>
      <c r="K2416" s="10">
        <v>2</v>
      </c>
      <c r="L2416" s="43">
        <v>23</v>
      </c>
      <c r="M2416" s="43">
        <v>23</v>
      </c>
      <c r="N2416" s="12" t="s">
        <v>1682</v>
      </c>
      <c r="P2416" s="10">
        <v>65</v>
      </c>
      <c r="T2416" s="10">
        <v>60</v>
      </c>
      <c r="V2416" s="59"/>
      <c r="W2416" s="59"/>
      <c r="X2416" s="29">
        <v>2.2000000000000002</v>
      </c>
      <c r="Y2416" s="54" t="s">
        <v>30</v>
      </c>
    </row>
    <row r="2417" spans="1:27" ht="23.1" customHeight="1" x14ac:dyDescent="0.25">
      <c r="A2417" s="20" t="s">
        <v>1621</v>
      </c>
      <c r="B2417" s="7" t="s">
        <v>113</v>
      </c>
      <c r="C2417" s="7">
        <v>56</v>
      </c>
      <c r="D2417" s="7" t="s">
        <v>1683</v>
      </c>
      <c r="E2417" s="41" t="s">
        <v>1398</v>
      </c>
      <c r="F2417" s="41" t="s">
        <v>1398</v>
      </c>
      <c r="G2417" s="7" t="s">
        <v>118</v>
      </c>
      <c r="H2417" s="7">
        <v>22</v>
      </c>
      <c r="I2417" s="10"/>
      <c r="K2417" s="10">
        <v>4</v>
      </c>
      <c r="L2417" s="43">
        <v>26</v>
      </c>
      <c r="M2417" s="43">
        <v>23</v>
      </c>
      <c r="N2417" s="12" t="s">
        <v>1417</v>
      </c>
      <c r="O2417" s="10">
        <v>10</v>
      </c>
      <c r="V2417" s="59"/>
      <c r="W2417" s="59"/>
      <c r="X2417" s="32">
        <v>0.7</v>
      </c>
      <c r="Y2417" s="54" t="s">
        <v>44</v>
      </c>
    </row>
    <row r="2418" spans="1:27" ht="23.1" customHeight="1" x14ac:dyDescent="0.25">
      <c r="A2418" s="20" t="s">
        <v>1621</v>
      </c>
      <c r="B2418" s="7" t="s">
        <v>113</v>
      </c>
      <c r="C2418" s="7">
        <v>56</v>
      </c>
      <c r="D2418" s="7" t="s">
        <v>1683</v>
      </c>
      <c r="E2418" s="41" t="s">
        <v>1398</v>
      </c>
      <c r="F2418" s="41" t="s">
        <v>1398</v>
      </c>
      <c r="G2418" s="7" t="s">
        <v>118</v>
      </c>
      <c r="H2418" s="7">
        <v>25</v>
      </c>
      <c r="I2418" s="10" t="s">
        <v>2037</v>
      </c>
      <c r="K2418" s="10">
        <v>4</v>
      </c>
      <c r="L2418" s="43">
        <v>26</v>
      </c>
      <c r="M2418" s="43">
        <v>23</v>
      </c>
      <c r="N2418" s="12" t="s">
        <v>1417</v>
      </c>
      <c r="P2418" s="10">
        <v>160</v>
      </c>
      <c r="T2418" s="10">
        <v>90</v>
      </c>
      <c r="V2418" s="59">
        <v>1</v>
      </c>
      <c r="W2418" s="59"/>
      <c r="X2418" s="29">
        <v>12.2</v>
      </c>
      <c r="Y2418" s="54" t="s">
        <v>44</v>
      </c>
    </row>
    <row r="2419" spans="1:27" ht="23.1" customHeight="1" x14ac:dyDescent="0.25">
      <c r="A2419" s="20" t="s">
        <v>1621</v>
      </c>
      <c r="B2419" s="7" t="s">
        <v>113</v>
      </c>
      <c r="C2419" s="7">
        <v>56</v>
      </c>
      <c r="D2419" s="7" t="s">
        <v>1646</v>
      </c>
      <c r="E2419" s="41" t="s">
        <v>1398</v>
      </c>
      <c r="F2419" s="41" t="s">
        <v>1398</v>
      </c>
      <c r="G2419" s="7" t="s">
        <v>118</v>
      </c>
      <c r="H2419" s="7">
        <v>30</v>
      </c>
      <c r="I2419" s="10" t="s">
        <v>1994</v>
      </c>
      <c r="K2419" s="10">
        <v>4</v>
      </c>
      <c r="L2419" s="43">
        <v>23</v>
      </c>
      <c r="M2419" s="43">
        <v>23</v>
      </c>
      <c r="N2419" s="12" t="s">
        <v>1647</v>
      </c>
      <c r="P2419" s="10">
        <v>50</v>
      </c>
      <c r="T2419" s="10">
        <v>60</v>
      </c>
      <c r="V2419" s="59">
        <v>1</v>
      </c>
      <c r="W2419" s="59"/>
      <c r="X2419" s="29">
        <v>4.3</v>
      </c>
      <c r="Y2419" s="54" t="s">
        <v>44</v>
      </c>
    </row>
    <row r="2420" spans="1:27" ht="23.1" customHeight="1" x14ac:dyDescent="0.25">
      <c r="A2420" s="20" t="s">
        <v>1621</v>
      </c>
      <c r="B2420" s="7" t="s">
        <v>113</v>
      </c>
      <c r="C2420" s="7">
        <v>24</v>
      </c>
      <c r="D2420" s="7" t="s">
        <v>776</v>
      </c>
      <c r="E2420" s="41" t="s">
        <v>777</v>
      </c>
      <c r="F2420" s="41" t="s">
        <v>777</v>
      </c>
      <c r="G2420" s="7" t="s">
        <v>107</v>
      </c>
      <c r="H2420" s="7">
        <v>30</v>
      </c>
      <c r="I2420" s="10" t="s">
        <v>2061</v>
      </c>
      <c r="J2420" s="10">
        <v>0.7</v>
      </c>
      <c r="K2420" s="10">
        <v>0.7</v>
      </c>
      <c r="L2420" s="43">
        <v>5</v>
      </c>
      <c r="M2420" s="43">
        <v>28</v>
      </c>
      <c r="N2420" s="12" t="s">
        <v>1196</v>
      </c>
      <c r="P2420" s="10">
        <v>1700</v>
      </c>
      <c r="Q2420" s="10">
        <v>120</v>
      </c>
      <c r="S2420" s="11">
        <v>1</v>
      </c>
      <c r="T2420" s="10">
        <v>210</v>
      </c>
      <c r="V2420" s="59"/>
      <c r="W2420" s="59"/>
      <c r="X2420" s="29">
        <v>21.8</v>
      </c>
      <c r="Y2420" s="54" t="s">
        <v>54</v>
      </c>
    </row>
    <row r="2421" spans="1:27" ht="23.1" customHeight="1" x14ac:dyDescent="0.25">
      <c r="A2421" s="20" t="s">
        <v>1621</v>
      </c>
      <c r="B2421" s="7" t="s">
        <v>113</v>
      </c>
      <c r="C2421" s="7">
        <v>69</v>
      </c>
      <c r="D2421" s="7" t="s">
        <v>298</v>
      </c>
      <c r="E2421" s="41" t="s">
        <v>299</v>
      </c>
      <c r="F2421" s="41" t="s">
        <v>299</v>
      </c>
      <c r="G2421" s="7" t="s">
        <v>300</v>
      </c>
      <c r="H2421" s="7">
        <v>30</v>
      </c>
      <c r="I2421" s="10" t="s">
        <v>2323</v>
      </c>
      <c r="J2421" s="10">
        <v>0.8</v>
      </c>
      <c r="K2421" s="10">
        <v>1.1000000000000001</v>
      </c>
      <c r="L2421" s="43">
        <v>5</v>
      </c>
      <c r="M2421" s="43">
        <v>28</v>
      </c>
      <c r="N2421" s="12" t="s">
        <v>1113</v>
      </c>
      <c r="P2421" s="10">
        <v>960</v>
      </c>
      <c r="Q2421" s="10">
        <v>120</v>
      </c>
      <c r="S2421" s="11">
        <v>1</v>
      </c>
      <c r="T2421" s="10">
        <v>180</v>
      </c>
      <c r="V2421" s="59"/>
      <c r="W2421" s="59"/>
      <c r="X2421" s="29">
        <v>19.600000000000001</v>
      </c>
      <c r="Y2421" s="54" t="s">
        <v>54</v>
      </c>
    </row>
    <row r="2422" spans="1:27" ht="23.1" customHeight="1" x14ac:dyDescent="0.25">
      <c r="A2422" s="20" t="s">
        <v>1621</v>
      </c>
      <c r="B2422" s="7" t="s">
        <v>113</v>
      </c>
      <c r="C2422" s="7">
        <v>69</v>
      </c>
      <c r="D2422" s="7" t="s">
        <v>298</v>
      </c>
      <c r="E2422" s="41" t="s">
        <v>299</v>
      </c>
      <c r="F2422" s="41" t="s">
        <v>299</v>
      </c>
      <c r="G2422" s="7" t="s">
        <v>300</v>
      </c>
      <c r="H2422" s="7">
        <v>32</v>
      </c>
      <c r="I2422" s="10"/>
      <c r="J2422" s="10">
        <v>1</v>
      </c>
      <c r="K2422" s="10">
        <v>1</v>
      </c>
      <c r="L2422" s="43">
        <v>5</v>
      </c>
      <c r="M2422" s="43">
        <v>5</v>
      </c>
      <c r="N2422" s="12" t="s">
        <v>164</v>
      </c>
      <c r="O2422" s="10">
        <v>150</v>
      </c>
      <c r="R2422" s="10">
        <v>120</v>
      </c>
      <c r="S2422" s="11">
        <v>1</v>
      </c>
      <c r="U2422" s="10">
        <v>180</v>
      </c>
      <c r="V2422" s="59">
        <v>1</v>
      </c>
      <c r="W2422" s="59"/>
      <c r="X2422" s="32">
        <v>7.5</v>
      </c>
      <c r="Y2422" s="54" t="s">
        <v>54</v>
      </c>
    </row>
    <row r="2423" spans="1:27" ht="23.1" customHeight="1" x14ac:dyDescent="0.25">
      <c r="A2423" s="20" t="s">
        <v>1621</v>
      </c>
      <c r="B2423" s="7" t="s">
        <v>113</v>
      </c>
      <c r="C2423" s="7">
        <v>91</v>
      </c>
      <c r="D2423" s="7" t="s">
        <v>254</v>
      </c>
      <c r="E2423" s="41" t="s">
        <v>1016</v>
      </c>
      <c r="F2423" s="41" t="s">
        <v>1016</v>
      </c>
      <c r="G2423" s="7" t="s">
        <v>375</v>
      </c>
      <c r="H2423" s="7">
        <v>40</v>
      </c>
      <c r="I2423" s="10" t="s">
        <v>2509</v>
      </c>
      <c r="J2423" s="10">
        <v>0.4</v>
      </c>
      <c r="K2423" s="10">
        <v>0.4</v>
      </c>
      <c r="L2423" s="43">
        <v>37</v>
      </c>
      <c r="M2423" s="43">
        <v>5</v>
      </c>
      <c r="N2423" s="12" t="s">
        <v>256</v>
      </c>
      <c r="P2423" s="10">
        <v>3000</v>
      </c>
      <c r="Q2423" s="10">
        <v>90</v>
      </c>
      <c r="S2423" s="11">
        <v>1</v>
      </c>
      <c r="T2423" s="10">
        <v>120</v>
      </c>
      <c r="V2423" s="59"/>
      <c r="W2423" s="59"/>
      <c r="X2423" s="29">
        <v>21.5</v>
      </c>
      <c r="Y2423" s="54" t="s">
        <v>54</v>
      </c>
    </row>
    <row r="2424" spans="1:27" ht="23.1" customHeight="1" x14ac:dyDescent="0.25">
      <c r="A2424" s="20" t="s">
        <v>1621</v>
      </c>
      <c r="B2424" s="7" t="s">
        <v>113</v>
      </c>
      <c r="C2424" s="7">
        <v>119</v>
      </c>
      <c r="D2424" s="7" t="s">
        <v>352</v>
      </c>
      <c r="E2424" s="41" t="s">
        <v>353</v>
      </c>
      <c r="F2424" s="41" t="e">
        <v>#N/A</v>
      </c>
      <c r="G2424" s="7" t="s">
        <v>300</v>
      </c>
      <c r="H2424" s="7">
        <v>35</v>
      </c>
      <c r="I2424" s="10" t="s">
        <v>2396</v>
      </c>
      <c r="J2424" s="10">
        <v>0.7</v>
      </c>
      <c r="K2424" s="10">
        <v>0.7</v>
      </c>
      <c r="L2424" s="43">
        <v>5</v>
      </c>
      <c r="M2424" s="43">
        <v>37</v>
      </c>
      <c r="N2424" s="12" t="s">
        <v>355</v>
      </c>
      <c r="P2424" s="10">
        <v>1440</v>
      </c>
      <c r="Q2424" s="10">
        <v>90</v>
      </c>
      <c r="S2424" s="11">
        <v>1</v>
      </c>
      <c r="T2424" s="10">
        <v>180</v>
      </c>
      <c r="V2424" s="59"/>
      <c r="W2424" s="59"/>
      <c r="X2424" s="29">
        <v>18.3</v>
      </c>
      <c r="Y2424" s="54" t="s">
        <v>54</v>
      </c>
    </row>
    <row r="2425" spans="1:27" ht="23.1" customHeight="1" x14ac:dyDescent="0.25">
      <c r="A2425" s="20" t="s">
        <v>1621</v>
      </c>
      <c r="B2425" s="7" t="s">
        <v>113</v>
      </c>
      <c r="C2425" s="7">
        <v>121</v>
      </c>
      <c r="D2425" s="7" t="s">
        <v>288</v>
      </c>
      <c r="E2425" s="41" t="s">
        <v>1532</v>
      </c>
      <c r="F2425" s="41" t="s">
        <v>1532</v>
      </c>
      <c r="G2425" s="7" t="s">
        <v>250</v>
      </c>
      <c r="H2425" s="7">
        <v>50</v>
      </c>
      <c r="I2425" s="10" t="s">
        <v>2021</v>
      </c>
      <c r="J2425" s="10">
        <v>0.3</v>
      </c>
      <c r="K2425" s="10">
        <v>0.4</v>
      </c>
      <c r="L2425" s="43">
        <v>28</v>
      </c>
      <c r="M2425" s="43"/>
      <c r="N2425" s="12" t="s">
        <v>357</v>
      </c>
      <c r="P2425" s="10">
        <v>3000</v>
      </c>
      <c r="Q2425" s="10">
        <v>90</v>
      </c>
      <c r="T2425" s="10">
        <v>150</v>
      </c>
      <c r="V2425" s="59"/>
      <c r="W2425" s="59"/>
      <c r="X2425" s="29">
        <v>20</v>
      </c>
      <c r="Y2425" s="54" t="s">
        <v>54</v>
      </c>
    </row>
    <row r="2426" spans="1:27" ht="23.1" customHeight="1" x14ac:dyDescent="0.25">
      <c r="A2426" s="20" t="s">
        <v>1621</v>
      </c>
      <c r="B2426" s="7" t="s">
        <v>113</v>
      </c>
      <c r="C2426" s="7">
        <v>23</v>
      </c>
      <c r="D2426" s="7" t="s">
        <v>498</v>
      </c>
      <c r="E2426" s="41" t="s">
        <v>499</v>
      </c>
      <c r="F2426" s="41" t="s">
        <v>499</v>
      </c>
      <c r="G2426" s="7" t="s">
        <v>118</v>
      </c>
      <c r="H2426" s="7">
        <v>30</v>
      </c>
      <c r="I2426" s="10" t="s">
        <v>2510</v>
      </c>
      <c r="J2426" s="10">
        <v>0.1</v>
      </c>
      <c r="K2426" s="10">
        <v>0.1</v>
      </c>
      <c r="L2426" s="43">
        <v>37</v>
      </c>
      <c r="M2426" s="43"/>
      <c r="N2426" s="12" t="s">
        <v>222</v>
      </c>
      <c r="P2426" s="10">
        <v>1020</v>
      </c>
      <c r="Q2426" s="10">
        <v>90</v>
      </c>
      <c r="T2426" s="10">
        <v>120</v>
      </c>
      <c r="V2426" s="59"/>
      <c r="W2426" s="59"/>
      <c r="X2426" s="29">
        <v>1.7</v>
      </c>
      <c r="Y2426" s="54" t="s">
        <v>33</v>
      </c>
    </row>
    <row r="2427" spans="1:27" ht="23.1" customHeight="1" x14ac:dyDescent="0.25">
      <c r="A2427" s="20" t="s">
        <v>1621</v>
      </c>
      <c r="B2427" s="7" t="s">
        <v>113</v>
      </c>
      <c r="C2427" s="7">
        <v>23</v>
      </c>
      <c r="D2427" s="7" t="s">
        <v>498</v>
      </c>
      <c r="E2427" s="41" t="s">
        <v>499</v>
      </c>
      <c r="F2427" s="41" t="s">
        <v>499</v>
      </c>
      <c r="G2427" s="7" t="s">
        <v>118</v>
      </c>
      <c r="H2427" s="7">
        <v>45</v>
      </c>
      <c r="I2427" s="10" t="s">
        <v>2324</v>
      </c>
      <c r="J2427" s="10">
        <v>2</v>
      </c>
      <c r="K2427" s="10">
        <v>2</v>
      </c>
      <c r="L2427" s="43">
        <v>5</v>
      </c>
      <c r="M2427" s="43">
        <v>28</v>
      </c>
      <c r="N2427" s="12" t="s">
        <v>1137</v>
      </c>
      <c r="P2427" s="10">
        <v>60</v>
      </c>
      <c r="Q2427" s="10">
        <v>90</v>
      </c>
      <c r="S2427" s="11">
        <v>2</v>
      </c>
      <c r="T2427" s="10">
        <v>120</v>
      </c>
      <c r="V2427" s="59">
        <v>1</v>
      </c>
      <c r="W2427" s="59"/>
      <c r="X2427" s="29">
        <v>7</v>
      </c>
      <c r="Y2427" s="54" t="s">
        <v>33</v>
      </c>
    </row>
    <row r="2428" spans="1:27" ht="23.1" customHeight="1" x14ac:dyDescent="0.25">
      <c r="A2428" s="20" t="s">
        <v>1621</v>
      </c>
      <c r="B2428" s="7" t="s">
        <v>113</v>
      </c>
      <c r="C2428" s="7">
        <v>23</v>
      </c>
      <c r="D2428" s="7" t="s">
        <v>498</v>
      </c>
      <c r="E2428" s="41" t="s">
        <v>499</v>
      </c>
      <c r="F2428" s="41" t="s">
        <v>499</v>
      </c>
      <c r="G2428" s="7" t="s">
        <v>118</v>
      </c>
      <c r="H2428" s="7">
        <v>50</v>
      </c>
      <c r="I2428" s="10" t="s">
        <v>2511</v>
      </c>
      <c r="J2428" s="10">
        <v>1</v>
      </c>
      <c r="K2428" s="10">
        <v>1.35</v>
      </c>
      <c r="L2428" s="43">
        <v>5</v>
      </c>
      <c r="M2428" s="43">
        <v>28</v>
      </c>
      <c r="N2428" s="12" t="s">
        <v>1137</v>
      </c>
      <c r="P2428" s="10">
        <v>600</v>
      </c>
      <c r="Q2428" s="10">
        <v>90</v>
      </c>
      <c r="S2428" s="11">
        <v>2</v>
      </c>
      <c r="T2428" s="10">
        <v>180</v>
      </c>
      <c r="V2428" s="59">
        <v>1</v>
      </c>
      <c r="W2428" s="59"/>
      <c r="X2428" s="29">
        <v>19.5</v>
      </c>
      <c r="Y2428" s="54" t="s">
        <v>33</v>
      </c>
    </row>
    <row r="2429" spans="1:27" ht="23.1" customHeight="1" x14ac:dyDescent="0.25">
      <c r="A2429" s="20" t="s">
        <v>1621</v>
      </c>
      <c r="B2429" s="7" t="s">
        <v>113</v>
      </c>
      <c r="C2429" s="7">
        <v>47</v>
      </c>
      <c r="D2429" s="7" t="s">
        <v>978</v>
      </c>
      <c r="E2429" s="41" t="s">
        <v>979</v>
      </c>
      <c r="F2429" s="41" t="s">
        <v>979</v>
      </c>
      <c r="G2429" s="7" t="s">
        <v>123</v>
      </c>
      <c r="H2429" s="7">
        <v>35</v>
      </c>
      <c r="I2429" s="10" t="s">
        <v>2174</v>
      </c>
      <c r="J2429" s="10">
        <v>1</v>
      </c>
      <c r="K2429" s="10">
        <v>1.2</v>
      </c>
      <c r="L2429" s="43">
        <v>37</v>
      </c>
      <c r="M2429" s="43">
        <v>5</v>
      </c>
      <c r="N2429" s="12" t="s">
        <v>1484</v>
      </c>
      <c r="P2429" s="10">
        <v>660</v>
      </c>
      <c r="Q2429" s="10">
        <v>120</v>
      </c>
      <c r="S2429" s="11">
        <v>1</v>
      </c>
      <c r="T2429" s="10">
        <v>60</v>
      </c>
      <c r="V2429" s="59"/>
      <c r="W2429" s="59"/>
      <c r="X2429" s="29">
        <v>15.2</v>
      </c>
      <c r="Y2429" s="54" t="s">
        <v>33</v>
      </c>
    </row>
    <row r="2430" spans="1:27" ht="23.1" customHeight="1" x14ac:dyDescent="0.25">
      <c r="A2430" s="20" t="s">
        <v>1621</v>
      </c>
      <c r="B2430" s="7" t="s">
        <v>113</v>
      </c>
      <c r="C2430" s="7">
        <v>47</v>
      </c>
      <c r="D2430" s="7" t="s">
        <v>978</v>
      </c>
      <c r="E2430" s="41" t="s">
        <v>979</v>
      </c>
      <c r="F2430" s="41" t="s">
        <v>979</v>
      </c>
      <c r="G2430" s="7" t="s">
        <v>123</v>
      </c>
      <c r="H2430" s="7">
        <v>35</v>
      </c>
      <c r="I2430" s="10" t="s">
        <v>2174</v>
      </c>
      <c r="J2430" s="10">
        <v>0.5</v>
      </c>
      <c r="K2430" s="10">
        <v>0.5</v>
      </c>
      <c r="L2430" s="43">
        <v>28</v>
      </c>
      <c r="M2430" s="43">
        <v>28</v>
      </c>
      <c r="N2430" s="12" t="s">
        <v>1402</v>
      </c>
      <c r="P2430" s="10">
        <v>660</v>
      </c>
      <c r="Q2430" s="10">
        <v>120</v>
      </c>
      <c r="S2430" s="11">
        <v>1</v>
      </c>
      <c r="T2430" s="10">
        <v>60</v>
      </c>
      <c r="V2430" s="59"/>
      <c r="W2430" s="59"/>
      <c r="X2430" s="29">
        <v>7.5</v>
      </c>
      <c r="Y2430" s="54" t="s">
        <v>33</v>
      </c>
    </row>
    <row r="2431" spans="1:27" ht="23.1" customHeight="1" x14ac:dyDescent="0.25">
      <c r="A2431" s="20" t="s">
        <v>1621</v>
      </c>
      <c r="B2431" s="7" t="s">
        <v>113</v>
      </c>
      <c r="C2431" s="7">
        <v>13</v>
      </c>
      <c r="D2431" s="7" t="s">
        <v>1519</v>
      </c>
      <c r="E2431" s="41" t="s">
        <v>133</v>
      </c>
      <c r="F2431" s="41" t="s">
        <v>133</v>
      </c>
      <c r="G2431" s="7" t="s">
        <v>300</v>
      </c>
      <c r="H2431" s="7">
        <v>15</v>
      </c>
      <c r="I2431" s="10" t="s">
        <v>1931</v>
      </c>
      <c r="J2431" s="10">
        <v>12</v>
      </c>
      <c r="K2431" s="10">
        <v>12</v>
      </c>
      <c r="L2431" s="43">
        <v>26</v>
      </c>
      <c r="M2431" s="43">
        <v>26</v>
      </c>
      <c r="N2431" s="12" t="s">
        <v>287</v>
      </c>
      <c r="P2431" s="10">
        <v>90</v>
      </c>
      <c r="T2431" s="10">
        <v>120</v>
      </c>
      <c r="V2431" s="59">
        <v>1</v>
      </c>
      <c r="W2431" s="59"/>
      <c r="X2431" s="29">
        <v>20</v>
      </c>
      <c r="Y2431" s="54" t="s">
        <v>72</v>
      </c>
    </row>
    <row r="2432" spans="1:27" ht="23.1" customHeight="1" x14ac:dyDescent="0.25">
      <c r="A2432" s="20" t="s">
        <v>1621</v>
      </c>
      <c r="B2432" s="7" t="s">
        <v>113</v>
      </c>
      <c r="C2432" s="7">
        <v>13</v>
      </c>
      <c r="D2432" s="7" t="s">
        <v>1668</v>
      </c>
      <c r="E2432" s="41" t="s">
        <v>1669</v>
      </c>
      <c r="F2432" s="41" t="s">
        <v>1669</v>
      </c>
      <c r="G2432" s="7" t="s">
        <v>154</v>
      </c>
      <c r="H2432" s="7">
        <v>10</v>
      </c>
      <c r="I2432" s="10" t="s">
        <v>2325</v>
      </c>
      <c r="J2432" s="10">
        <v>3</v>
      </c>
      <c r="K2432" s="10">
        <v>3</v>
      </c>
      <c r="L2432" s="43">
        <v>37</v>
      </c>
      <c r="M2432" s="43">
        <v>37</v>
      </c>
      <c r="N2432" s="12" t="s">
        <v>1670</v>
      </c>
      <c r="P2432" s="10">
        <v>30</v>
      </c>
      <c r="T2432" s="10">
        <v>60</v>
      </c>
      <c r="V2432" s="59">
        <v>1</v>
      </c>
      <c r="W2432" s="59">
        <v>2</v>
      </c>
      <c r="X2432" s="29">
        <v>4.5</v>
      </c>
      <c r="Y2432" s="54" t="s">
        <v>72</v>
      </c>
      <c r="Z2432" t="s">
        <v>1671</v>
      </c>
      <c r="AA2432" s="1" t="s">
        <v>238</v>
      </c>
    </row>
    <row r="2433" spans="1:27" ht="23.1" customHeight="1" x14ac:dyDescent="0.25">
      <c r="A2433" s="20" t="s">
        <v>1621</v>
      </c>
      <c r="B2433" s="7" t="s">
        <v>113</v>
      </c>
      <c r="C2433" s="7">
        <v>11</v>
      </c>
      <c r="D2433" s="7" t="s">
        <v>1651</v>
      </c>
      <c r="E2433" s="41" t="s">
        <v>1652</v>
      </c>
      <c r="F2433" s="41" t="e">
        <v>#N/A</v>
      </c>
      <c r="G2433" s="7" t="s">
        <v>102</v>
      </c>
      <c r="H2433" s="7">
        <v>10</v>
      </c>
      <c r="I2433" s="10"/>
      <c r="J2433" s="10">
        <v>8</v>
      </c>
      <c r="K2433" s="10">
        <v>4</v>
      </c>
      <c r="L2433" s="43">
        <v>37</v>
      </c>
      <c r="M2433" s="43">
        <v>37</v>
      </c>
      <c r="N2433" s="12" t="s">
        <v>108</v>
      </c>
      <c r="V2433" s="59"/>
      <c r="W2433" s="59">
        <v>5</v>
      </c>
      <c r="X2433" s="29">
        <v>5</v>
      </c>
      <c r="Y2433" s="54" t="s">
        <v>71</v>
      </c>
    </row>
    <row r="2434" spans="1:27" ht="23.1" customHeight="1" x14ac:dyDescent="0.25">
      <c r="A2434" s="20" t="s">
        <v>1621</v>
      </c>
      <c r="B2434" s="7" t="s">
        <v>113</v>
      </c>
      <c r="C2434" s="7">
        <v>11</v>
      </c>
      <c r="D2434" s="7" t="s">
        <v>1651</v>
      </c>
      <c r="E2434" s="41" t="s">
        <v>1652</v>
      </c>
      <c r="F2434" s="41" t="e">
        <v>#N/A</v>
      </c>
      <c r="G2434" s="7" t="s">
        <v>102</v>
      </c>
      <c r="H2434" s="7">
        <v>10</v>
      </c>
      <c r="I2434" s="10"/>
      <c r="J2434" s="10">
        <v>7</v>
      </c>
      <c r="K2434" s="10">
        <v>7</v>
      </c>
      <c r="L2434" s="43">
        <v>26</v>
      </c>
      <c r="M2434" s="43">
        <v>26</v>
      </c>
      <c r="N2434" s="12" t="s">
        <v>108</v>
      </c>
      <c r="V2434" s="59"/>
      <c r="W2434" s="59">
        <v>10</v>
      </c>
      <c r="X2434" s="29">
        <v>10</v>
      </c>
      <c r="Y2434" s="54" t="s">
        <v>71</v>
      </c>
      <c r="AA2434" t="s">
        <v>238</v>
      </c>
    </row>
    <row r="2435" spans="1:27" ht="23.1" customHeight="1" x14ac:dyDescent="0.25">
      <c r="A2435" s="20" t="s">
        <v>1621</v>
      </c>
      <c r="B2435" s="7" t="s">
        <v>113</v>
      </c>
      <c r="C2435" s="7">
        <v>79</v>
      </c>
      <c r="D2435" s="7" t="s">
        <v>420</v>
      </c>
      <c r="E2435" s="41" t="s">
        <v>1247</v>
      </c>
      <c r="F2435" s="41" t="s">
        <v>1247</v>
      </c>
      <c r="G2435" s="7" t="s">
        <v>154</v>
      </c>
      <c r="H2435" s="7">
        <v>30</v>
      </c>
      <c r="I2435" s="10" t="s">
        <v>2053</v>
      </c>
      <c r="J2435" s="10">
        <v>3</v>
      </c>
      <c r="K2435" s="10">
        <v>0.6</v>
      </c>
      <c r="L2435" s="43">
        <v>23</v>
      </c>
      <c r="M2435" s="43">
        <v>37</v>
      </c>
      <c r="N2435" s="12" t="s">
        <v>421</v>
      </c>
      <c r="P2435" s="10">
        <v>1830</v>
      </c>
      <c r="Q2435" s="10">
        <v>90</v>
      </c>
      <c r="S2435" s="11">
        <v>1</v>
      </c>
      <c r="T2435" s="10">
        <v>120</v>
      </c>
      <c r="V2435" s="59"/>
      <c r="W2435" s="59"/>
      <c r="X2435" s="29">
        <v>19.8</v>
      </c>
      <c r="Y2435" s="54" t="s">
        <v>19</v>
      </c>
    </row>
    <row r="2436" spans="1:27" ht="23.1" customHeight="1" x14ac:dyDescent="0.25">
      <c r="A2436" s="20" t="s">
        <v>1621</v>
      </c>
      <c r="B2436" s="7" t="s">
        <v>113</v>
      </c>
      <c r="C2436" s="7">
        <v>13</v>
      </c>
      <c r="E2436" s="41" t="s">
        <v>1684</v>
      </c>
      <c r="F2436" s="41">
        <v>0</v>
      </c>
      <c r="I2436" s="10"/>
      <c r="L2436" s="43"/>
      <c r="M2436" s="43"/>
      <c r="V2436" s="59"/>
      <c r="W2436" s="59">
        <v>10</v>
      </c>
      <c r="X2436" s="29">
        <v>10</v>
      </c>
      <c r="Y2436" s="54" t="s">
        <v>10</v>
      </c>
      <c r="AA2436" t="s">
        <v>238</v>
      </c>
    </row>
    <row r="2437" spans="1:27" ht="23.1" customHeight="1" x14ac:dyDescent="0.25">
      <c r="A2437" s="20" t="s">
        <v>1236</v>
      </c>
      <c r="B2437" s="7" t="s">
        <v>113</v>
      </c>
      <c r="C2437" s="7">
        <v>76</v>
      </c>
      <c r="D2437" s="7" t="s">
        <v>1553</v>
      </c>
      <c r="E2437" s="41" t="s">
        <v>409</v>
      </c>
      <c r="F2437" s="41" t="e">
        <v>#N/A</v>
      </c>
      <c r="G2437" s="7" t="s">
        <v>102</v>
      </c>
      <c r="H2437" s="7">
        <v>25</v>
      </c>
      <c r="I2437" s="10"/>
      <c r="J2437" s="10">
        <v>5</v>
      </c>
      <c r="K2437" s="10">
        <v>4</v>
      </c>
      <c r="L2437" s="43">
        <v>9</v>
      </c>
      <c r="M2437" s="43">
        <v>9</v>
      </c>
      <c r="N2437" s="12" t="s">
        <v>596</v>
      </c>
      <c r="O2437" s="10">
        <v>55</v>
      </c>
      <c r="U2437">
        <v>60</v>
      </c>
      <c r="V2437" s="59">
        <v>1</v>
      </c>
      <c r="W2437" s="59"/>
      <c r="X2437" s="32">
        <v>4.7</v>
      </c>
      <c r="Y2437" s="54" t="s">
        <v>46</v>
      </c>
      <c r="AA2437" t="s">
        <v>238</v>
      </c>
    </row>
    <row r="2438" spans="1:27" ht="23.1" customHeight="1" x14ac:dyDescent="0.25">
      <c r="A2438" s="20" t="s">
        <v>653</v>
      </c>
      <c r="B2438" s="7" t="s">
        <v>113</v>
      </c>
      <c r="C2438" s="7">
        <v>76</v>
      </c>
      <c r="D2438" s="7" t="s">
        <v>541</v>
      </c>
      <c r="E2438" s="41" t="s">
        <v>542</v>
      </c>
      <c r="F2438" s="41" t="s">
        <v>542</v>
      </c>
      <c r="G2438" s="7" t="s">
        <v>154</v>
      </c>
      <c r="H2438" s="7">
        <v>15</v>
      </c>
      <c r="I2438" s="10" t="s">
        <v>1926</v>
      </c>
      <c r="J2438" s="10">
        <v>2</v>
      </c>
      <c r="K2438" s="10">
        <v>2</v>
      </c>
      <c r="L2438" s="43">
        <v>5</v>
      </c>
      <c r="M2438" s="43">
        <v>5</v>
      </c>
      <c r="N2438" s="12" t="s">
        <v>351</v>
      </c>
      <c r="P2438" s="10">
        <v>90</v>
      </c>
      <c r="T2438" s="10">
        <v>90</v>
      </c>
      <c r="V2438" s="59"/>
      <c r="W2438" s="60">
        <v>4</v>
      </c>
      <c r="X2438" s="29">
        <v>7</v>
      </c>
      <c r="Y2438" s="54" t="s">
        <v>12</v>
      </c>
    </row>
    <row r="2439" spans="1:27" ht="23.1" customHeight="1" x14ac:dyDescent="0.25">
      <c r="A2439" t="s">
        <v>1221</v>
      </c>
      <c r="B2439" s="7" t="s">
        <v>110</v>
      </c>
      <c r="C2439" s="7">
        <v>21</v>
      </c>
      <c r="D2439" s="7" t="s">
        <v>321</v>
      </c>
      <c r="E2439" s="8" t="s">
        <v>322</v>
      </c>
      <c r="F2439" s="9" t="s">
        <v>322</v>
      </c>
      <c r="G2439" s="7" t="s">
        <v>323</v>
      </c>
      <c r="H2439" s="7">
        <v>50</v>
      </c>
      <c r="I2439" s="7" t="s">
        <v>1986</v>
      </c>
      <c r="J2439" s="10">
        <v>1</v>
      </c>
      <c r="K2439" s="10">
        <v>1</v>
      </c>
      <c r="L2439" s="11">
        <v>23</v>
      </c>
      <c r="N2439" s="12" t="s">
        <v>1685</v>
      </c>
      <c r="P2439" s="10">
        <v>630</v>
      </c>
      <c r="Q2439" s="10">
        <v>120</v>
      </c>
      <c r="S2439" s="11">
        <v>1</v>
      </c>
      <c r="T2439" s="10">
        <v>180</v>
      </c>
      <c r="V2439" s="13">
        <v>1</v>
      </c>
      <c r="X2439" s="29">
        <v>15.5</v>
      </c>
      <c r="Y2439" s="7" t="s">
        <v>49</v>
      </c>
    </row>
    <row r="2440" spans="1:27" ht="23.1" customHeight="1" x14ac:dyDescent="0.25">
      <c r="A2440" t="s">
        <v>1221</v>
      </c>
      <c r="B2440" s="7" t="s">
        <v>110</v>
      </c>
      <c r="C2440" s="7">
        <v>21</v>
      </c>
      <c r="D2440" s="7" t="s">
        <v>321</v>
      </c>
      <c r="E2440" s="8" t="s">
        <v>322</v>
      </c>
      <c r="F2440" s="9" t="s">
        <v>322</v>
      </c>
      <c r="G2440" s="7" t="s">
        <v>323</v>
      </c>
      <c r="H2440" s="7">
        <v>55</v>
      </c>
      <c r="I2440" s="7" t="s">
        <v>2004</v>
      </c>
      <c r="K2440" s="10">
        <v>0.1</v>
      </c>
      <c r="L2440" s="11">
        <v>19</v>
      </c>
      <c r="N2440" s="12" t="s">
        <v>860</v>
      </c>
      <c r="P2440" s="10">
        <v>660</v>
      </c>
      <c r="Q2440" s="10">
        <v>120</v>
      </c>
      <c r="T2440" s="10">
        <v>180</v>
      </c>
      <c r="X2440" s="29">
        <v>1.1000000000000001</v>
      </c>
      <c r="Y2440" s="7" t="s">
        <v>49</v>
      </c>
    </row>
    <row r="2441" spans="1:27" ht="23.1" customHeight="1" x14ac:dyDescent="0.25">
      <c r="A2441" t="s">
        <v>1221</v>
      </c>
      <c r="B2441" s="7" t="s">
        <v>110</v>
      </c>
      <c r="C2441" s="7">
        <v>59</v>
      </c>
      <c r="D2441" s="7" t="s">
        <v>1686</v>
      </c>
      <c r="E2441" s="8" t="s">
        <v>1687</v>
      </c>
      <c r="F2441" s="9" t="s">
        <v>1687</v>
      </c>
      <c r="G2441" s="7" t="s">
        <v>102</v>
      </c>
      <c r="H2441" s="7">
        <v>20</v>
      </c>
      <c r="I2441" s="7" t="s">
        <v>2317</v>
      </c>
      <c r="K2441" s="10">
        <v>1</v>
      </c>
      <c r="L2441" s="11">
        <v>23</v>
      </c>
      <c r="N2441" s="12" t="s">
        <v>596</v>
      </c>
      <c r="P2441" s="10">
        <v>140</v>
      </c>
      <c r="T2441" s="10">
        <v>90</v>
      </c>
      <c r="V2441" s="13">
        <v>1</v>
      </c>
      <c r="X2441" s="29">
        <v>3.8</v>
      </c>
      <c r="Y2441" s="7" t="s">
        <v>6</v>
      </c>
    </row>
    <row r="2442" spans="1:27" ht="23.1" customHeight="1" x14ac:dyDescent="0.25">
      <c r="A2442" t="s">
        <v>1221</v>
      </c>
      <c r="B2442" s="7" t="s">
        <v>110</v>
      </c>
      <c r="C2442" s="7">
        <v>15</v>
      </c>
      <c r="D2442" s="7" t="s">
        <v>1255</v>
      </c>
      <c r="E2442" s="8" t="s">
        <v>117</v>
      </c>
      <c r="F2442" s="9" t="s">
        <v>117</v>
      </c>
      <c r="G2442" s="7" t="s">
        <v>118</v>
      </c>
      <c r="H2442" s="7">
        <v>15</v>
      </c>
      <c r="I2442" s="7" t="s">
        <v>1946</v>
      </c>
      <c r="J2442" s="10">
        <v>6</v>
      </c>
      <c r="K2442" s="10">
        <v>12</v>
      </c>
      <c r="L2442" s="11">
        <v>9</v>
      </c>
      <c r="M2442" s="11">
        <v>9</v>
      </c>
      <c r="N2442" s="12" t="s">
        <v>256</v>
      </c>
      <c r="P2442" s="10">
        <v>60</v>
      </c>
      <c r="T2442" s="10">
        <v>90</v>
      </c>
      <c r="V2442" s="13">
        <v>1</v>
      </c>
      <c r="X2442" s="29">
        <v>13.5</v>
      </c>
      <c r="Y2442" s="7" t="s">
        <v>60</v>
      </c>
    </row>
    <row r="2443" spans="1:27" ht="23.1" customHeight="1" x14ac:dyDescent="0.25">
      <c r="A2443" t="s">
        <v>1221</v>
      </c>
      <c r="B2443" s="7" t="s">
        <v>110</v>
      </c>
      <c r="C2443" s="7">
        <v>15</v>
      </c>
      <c r="D2443" s="7" t="s">
        <v>1255</v>
      </c>
      <c r="E2443" s="8" t="s">
        <v>117</v>
      </c>
      <c r="F2443" s="9" t="s">
        <v>117</v>
      </c>
      <c r="G2443" s="7" t="s">
        <v>118</v>
      </c>
      <c r="H2443" s="7">
        <v>20</v>
      </c>
      <c r="I2443" s="7" t="s">
        <v>2232</v>
      </c>
      <c r="K2443" s="10">
        <v>1</v>
      </c>
      <c r="L2443" s="11">
        <v>23</v>
      </c>
      <c r="N2443" s="12" t="s">
        <v>256</v>
      </c>
      <c r="P2443" s="10">
        <v>270</v>
      </c>
      <c r="T2443" s="10">
        <v>90</v>
      </c>
      <c r="V2443" s="13">
        <v>1</v>
      </c>
      <c r="X2443" s="29">
        <v>6</v>
      </c>
      <c r="Y2443" s="7" t="s">
        <v>60</v>
      </c>
    </row>
    <row r="2444" spans="1:27" ht="23.1" customHeight="1" x14ac:dyDescent="0.25">
      <c r="A2444" t="s">
        <v>1221</v>
      </c>
      <c r="B2444" s="7" t="s">
        <v>110</v>
      </c>
      <c r="C2444" s="7">
        <v>76</v>
      </c>
      <c r="D2444" s="7" t="s">
        <v>1688</v>
      </c>
      <c r="E2444" s="8" t="s">
        <v>409</v>
      </c>
      <c r="F2444" s="9" t="s">
        <v>409</v>
      </c>
      <c r="G2444" s="7" t="s">
        <v>300</v>
      </c>
      <c r="H2444" s="7">
        <v>30</v>
      </c>
      <c r="I2444" s="7" t="s">
        <v>1901</v>
      </c>
      <c r="J2444" s="10">
        <v>15</v>
      </c>
      <c r="K2444" s="10">
        <v>9</v>
      </c>
      <c r="L2444" s="11">
        <v>9</v>
      </c>
      <c r="M2444" s="11">
        <v>19</v>
      </c>
      <c r="N2444" s="12" t="s">
        <v>393</v>
      </c>
      <c r="P2444" s="10">
        <v>30</v>
      </c>
      <c r="T2444" s="10">
        <v>60</v>
      </c>
      <c r="X2444" s="29">
        <v>4.5</v>
      </c>
      <c r="Y2444" s="7" t="s">
        <v>12</v>
      </c>
    </row>
    <row r="2445" spans="1:27" ht="23.1" customHeight="1" x14ac:dyDescent="0.25">
      <c r="A2445" t="s">
        <v>1221</v>
      </c>
      <c r="B2445" s="7" t="s">
        <v>110</v>
      </c>
      <c r="C2445" s="7">
        <v>76</v>
      </c>
      <c r="D2445" s="7" t="s">
        <v>1553</v>
      </c>
      <c r="E2445" s="8" t="s">
        <v>409</v>
      </c>
      <c r="F2445" s="9" t="e">
        <v>#N/A</v>
      </c>
      <c r="G2445" s="7" t="s">
        <v>102</v>
      </c>
      <c r="H2445" s="7">
        <v>10</v>
      </c>
      <c r="K2445" s="10">
        <v>8</v>
      </c>
      <c r="L2445" s="11">
        <v>19</v>
      </c>
      <c r="M2445" s="11">
        <v>5</v>
      </c>
      <c r="N2445" s="12" t="s">
        <v>596</v>
      </c>
      <c r="O2445" s="10">
        <v>60</v>
      </c>
      <c r="U2445" s="10">
        <v>60</v>
      </c>
      <c r="X2445" s="32">
        <v>8</v>
      </c>
      <c r="Y2445" s="7" t="s">
        <v>12</v>
      </c>
      <c r="Z2445" t="s">
        <v>1689</v>
      </c>
    </row>
    <row r="2446" spans="1:27" ht="23.1" customHeight="1" x14ac:dyDescent="0.25">
      <c r="A2446" t="s">
        <v>1221</v>
      </c>
      <c r="B2446" s="7" t="s">
        <v>110</v>
      </c>
      <c r="C2446" s="7">
        <v>57</v>
      </c>
      <c r="D2446" s="7" t="s">
        <v>1042</v>
      </c>
      <c r="E2446" s="8" t="s">
        <v>1281</v>
      </c>
      <c r="F2446" s="9" t="s">
        <v>1281</v>
      </c>
      <c r="G2446" s="7" t="s">
        <v>107</v>
      </c>
      <c r="H2446" s="7">
        <v>10</v>
      </c>
      <c r="I2446" s="7" t="s">
        <v>2512</v>
      </c>
      <c r="K2446" s="10">
        <v>6</v>
      </c>
      <c r="L2446" s="11">
        <v>9</v>
      </c>
      <c r="M2446" s="11">
        <v>26</v>
      </c>
      <c r="N2446" s="12" t="s">
        <v>1043</v>
      </c>
      <c r="P2446" s="10">
        <v>90</v>
      </c>
      <c r="T2446" s="10">
        <v>90</v>
      </c>
      <c r="V2446" s="13">
        <v>1</v>
      </c>
      <c r="X2446" s="29">
        <v>10.5</v>
      </c>
      <c r="Y2446" s="7" t="s">
        <v>0</v>
      </c>
    </row>
    <row r="2447" spans="1:27" ht="23.1" customHeight="1" x14ac:dyDescent="0.25">
      <c r="A2447" t="s">
        <v>1221</v>
      </c>
      <c r="B2447" s="7" t="s">
        <v>110</v>
      </c>
      <c r="C2447" s="7">
        <v>22</v>
      </c>
      <c r="D2447" s="7" t="s">
        <v>635</v>
      </c>
      <c r="E2447" s="8" t="s">
        <v>612</v>
      </c>
      <c r="F2447" s="9" t="s">
        <v>612</v>
      </c>
      <c r="G2447" s="7" t="s">
        <v>102</v>
      </c>
      <c r="H2447" s="7">
        <v>5</v>
      </c>
      <c r="I2447" s="7" t="s">
        <v>1957</v>
      </c>
      <c r="J2447" s="10">
        <v>0.5</v>
      </c>
      <c r="K2447" s="10">
        <v>0.4</v>
      </c>
      <c r="L2447" s="11">
        <v>9</v>
      </c>
      <c r="M2447" s="11">
        <v>9</v>
      </c>
      <c r="N2447" s="12" t="s">
        <v>159</v>
      </c>
      <c r="P2447" s="10">
        <v>2400</v>
      </c>
      <c r="Q2447" s="10">
        <v>210</v>
      </c>
      <c r="T2447" s="10">
        <v>210</v>
      </c>
      <c r="X2447" s="29">
        <v>16</v>
      </c>
      <c r="Y2447" s="7" t="s">
        <v>49</v>
      </c>
    </row>
    <row r="2448" spans="1:27" ht="23.1" customHeight="1" x14ac:dyDescent="0.25">
      <c r="A2448" t="s">
        <v>1221</v>
      </c>
      <c r="B2448" s="7" t="s">
        <v>110</v>
      </c>
      <c r="C2448" s="7">
        <v>22</v>
      </c>
      <c r="D2448" s="7" t="s">
        <v>635</v>
      </c>
      <c r="E2448" s="8" t="s">
        <v>612</v>
      </c>
      <c r="F2448" s="9" t="s">
        <v>612</v>
      </c>
      <c r="G2448" s="7" t="s">
        <v>102</v>
      </c>
      <c r="H2448" s="7">
        <v>10</v>
      </c>
      <c r="I2448" s="7" t="s">
        <v>1952</v>
      </c>
      <c r="J2448" s="10">
        <v>0.3</v>
      </c>
      <c r="K2448" s="10">
        <v>0.7</v>
      </c>
      <c r="L2448" s="11">
        <v>5</v>
      </c>
      <c r="N2448" s="12" t="s">
        <v>234</v>
      </c>
      <c r="P2448" s="10">
        <v>1500</v>
      </c>
      <c r="Q2448" s="10">
        <v>180</v>
      </c>
      <c r="S2448" s="11">
        <v>1</v>
      </c>
      <c r="T2448" s="10">
        <v>180</v>
      </c>
      <c r="V2448" s="13">
        <v>1</v>
      </c>
      <c r="W2448" s="10">
        <v>2</v>
      </c>
      <c r="X2448" s="29">
        <v>25.5</v>
      </c>
      <c r="Y2448" s="7" t="s">
        <v>49</v>
      </c>
      <c r="Z2448" t="s">
        <v>1548</v>
      </c>
    </row>
    <row r="2449" spans="1:27" ht="23.1" customHeight="1" x14ac:dyDescent="0.25">
      <c r="A2449" t="s">
        <v>1221</v>
      </c>
      <c r="B2449" s="7" t="s">
        <v>110</v>
      </c>
      <c r="C2449" s="7">
        <v>56</v>
      </c>
      <c r="D2449" s="7" t="s">
        <v>273</v>
      </c>
      <c r="E2449" s="8" t="s">
        <v>274</v>
      </c>
      <c r="F2449" s="9" t="s">
        <v>274</v>
      </c>
      <c r="G2449" s="7" t="s">
        <v>123</v>
      </c>
      <c r="H2449" s="7">
        <v>40</v>
      </c>
      <c r="I2449" s="7" t="s">
        <v>2326</v>
      </c>
      <c r="J2449" s="10">
        <v>3</v>
      </c>
      <c r="K2449" s="10">
        <v>1.9</v>
      </c>
      <c r="L2449" s="11">
        <v>26</v>
      </c>
      <c r="M2449" s="11">
        <v>37</v>
      </c>
      <c r="N2449" s="12" t="s">
        <v>275</v>
      </c>
      <c r="P2449" s="10">
        <v>240</v>
      </c>
      <c r="T2449" s="10">
        <v>120</v>
      </c>
      <c r="W2449" s="14">
        <v>8</v>
      </c>
      <c r="X2449" s="29">
        <v>15.6</v>
      </c>
      <c r="Y2449" s="7" t="s">
        <v>18</v>
      </c>
      <c r="Z2449" t="s">
        <v>1690</v>
      </c>
      <c r="AA2449" t="s">
        <v>238</v>
      </c>
    </row>
    <row r="2450" spans="1:27" ht="23.1" customHeight="1" x14ac:dyDescent="0.25">
      <c r="A2450" t="s">
        <v>1221</v>
      </c>
      <c r="B2450" s="7" t="s">
        <v>110</v>
      </c>
      <c r="C2450" s="7">
        <v>24</v>
      </c>
      <c r="D2450" s="7" t="s">
        <v>738</v>
      </c>
      <c r="E2450" s="8" t="s">
        <v>739</v>
      </c>
      <c r="F2450" s="9" t="s">
        <v>739</v>
      </c>
      <c r="G2450" s="7" t="s">
        <v>107</v>
      </c>
      <c r="H2450" s="7">
        <v>25</v>
      </c>
      <c r="I2450" s="7" t="s">
        <v>2035</v>
      </c>
      <c r="K2450" s="10">
        <v>1</v>
      </c>
      <c r="L2450" s="11">
        <v>23</v>
      </c>
      <c r="N2450" s="12" t="s">
        <v>295</v>
      </c>
      <c r="P2450" s="10">
        <v>840</v>
      </c>
      <c r="Q2450" s="10">
        <v>120</v>
      </c>
      <c r="S2450" s="11">
        <v>1</v>
      </c>
      <c r="T2450" s="10">
        <v>150</v>
      </c>
      <c r="V2450" s="13">
        <v>1</v>
      </c>
      <c r="X2450" s="29">
        <v>18.5</v>
      </c>
      <c r="Y2450" s="7" t="s">
        <v>68</v>
      </c>
    </row>
    <row r="2451" spans="1:27" ht="23.1" customHeight="1" x14ac:dyDescent="0.25">
      <c r="A2451" t="s">
        <v>1221</v>
      </c>
      <c r="B2451" s="7" t="s">
        <v>110</v>
      </c>
      <c r="C2451" s="7">
        <v>24</v>
      </c>
      <c r="D2451" s="7" t="s">
        <v>776</v>
      </c>
      <c r="E2451" s="8" t="s">
        <v>777</v>
      </c>
      <c r="F2451" s="9" t="s">
        <v>777</v>
      </c>
      <c r="G2451" s="7" t="s">
        <v>107</v>
      </c>
      <c r="H2451" s="7">
        <v>25</v>
      </c>
      <c r="I2451" s="7" t="s">
        <v>2035</v>
      </c>
      <c r="J2451" s="10">
        <v>0.4</v>
      </c>
      <c r="K2451" s="10">
        <v>0.4</v>
      </c>
      <c r="L2451" s="11">
        <v>9</v>
      </c>
      <c r="N2451" s="12" t="s">
        <v>609</v>
      </c>
      <c r="P2451" s="10">
        <v>840</v>
      </c>
      <c r="Q2451" s="10">
        <v>120</v>
      </c>
      <c r="T2451" s="10">
        <v>150</v>
      </c>
      <c r="X2451" s="29">
        <v>5.6</v>
      </c>
      <c r="Y2451" s="7" t="s">
        <v>68</v>
      </c>
    </row>
    <row r="2452" spans="1:27" ht="23.1" customHeight="1" x14ac:dyDescent="0.25">
      <c r="A2452" t="s">
        <v>1221</v>
      </c>
      <c r="B2452" s="7" t="s">
        <v>110</v>
      </c>
      <c r="C2452" s="7">
        <v>69</v>
      </c>
      <c r="D2452" s="7" t="s">
        <v>1271</v>
      </c>
      <c r="E2452" s="8" t="s">
        <v>1013</v>
      </c>
      <c r="F2452" s="9" t="s">
        <v>1013</v>
      </c>
      <c r="G2452" s="7" t="s">
        <v>250</v>
      </c>
      <c r="H2452" s="7">
        <v>35</v>
      </c>
      <c r="I2452" s="7" t="s">
        <v>2109</v>
      </c>
      <c r="J2452" s="10">
        <v>5</v>
      </c>
      <c r="K2452" s="10">
        <v>5</v>
      </c>
      <c r="L2452" s="11">
        <v>26</v>
      </c>
      <c r="M2452" s="11">
        <v>26</v>
      </c>
      <c r="N2452" s="12" t="s">
        <v>429</v>
      </c>
      <c r="P2452" s="10">
        <v>120</v>
      </c>
      <c r="Q2452" s="10">
        <v>60</v>
      </c>
      <c r="T2452" s="10">
        <v>120</v>
      </c>
      <c r="W2452" s="14">
        <v>3</v>
      </c>
      <c r="X2452" s="29">
        <v>13</v>
      </c>
      <c r="Y2452" s="7" t="s">
        <v>68</v>
      </c>
      <c r="Z2452" t="s">
        <v>1691</v>
      </c>
    </row>
    <row r="2453" spans="1:27" ht="23.1" customHeight="1" x14ac:dyDescent="0.25">
      <c r="A2453" t="s">
        <v>1221</v>
      </c>
      <c r="B2453" s="7" t="s">
        <v>110</v>
      </c>
      <c r="C2453" s="7">
        <v>69</v>
      </c>
      <c r="D2453" s="7" t="s">
        <v>1095</v>
      </c>
      <c r="E2453" s="8" t="s">
        <v>1096</v>
      </c>
      <c r="F2453" s="9" t="s">
        <v>1096</v>
      </c>
      <c r="G2453" s="7" t="s">
        <v>658</v>
      </c>
      <c r="H2453" s="7">
        <v>62</v>
      </c>
      <c r="J2453" s="10">
        <v>1</v>
      </c>
      <c r="K2453" s="10">
        <v>3.5</v>
      </c>
      <c r="L2453" s="11">
        <v>9</v>
      </c>
      <c r="M2453" s="11">
        <v>28</v>
      </c>
      <c r="N2453" s="12" t="s">
        <v>282</v>
      </c>
      <c r="O2453" s="10">
        <v>210</v>
      </c>
      <c r="R2453" s="10">
        <v>60</v>
      </c>
      <c r="S2453" s="11">
        <v>4</v>
      </c>
      <c r="U2453" s="10">
        <v>120</v>
      </c>
      <c r="V2453" s="13">
        <v>1</v>
      </c>
      <c r="W2453" s="10">
        <v>5</v>
      </c>
      <c r="X2453" s="32">
        <v>23.3</v>
      </c>
      <c r="Y2453" s="7" t="s">
        <v>68</v>
      </c>
      <c r="Z2453" t="s">
        <v>1639</v>
      </c>
    </row>
    <row r="2454" spans="1:27" ht="23.1" customHeight="1" x14ac:dyDescent="0.25">
      <c r="A2454" t="s">
        <v>1221</v>
      </c>
      <c r="B2454" s="7" t="s">
        <v>110</v>
      </c>
      <c r="C2454" s="7">
        <v>91</v>
      </c>
      <c r="D2454" s="7" t="s">
        <v>254</v>
      </c>
      <c r="E2454" s="8" t="s">
        <v>1016</v>
      </c>
      <c r="F2454" s="9" t="s">
        <v>1016</v>
      </c>
      <c r="G2454" s="7" t="s">
        <v>375</v>
      </c>
      <c r="H2454" s="7">
        <v>40</v>
      </c>
      <c r="I2454" s="7" t="s">
        <v>2110</v>
      </c>
      <c r="J2454" s="10">
        <v>0.3</v>
      </c>
      <c r="K2454" s="10">
        <v>0.4</v>
      </c>
      <c r="L2454" s="11">
        <v>28</v>
      </c>
      <c r="N2454" s="12" t="s">
        <v>664</v>
      </c>
      <c r="P2454" s="10">
        <v>3000</v>
      </c>
      <c r="Q2454" s="10">
        <v>90</v>
      </c>
      <c r="T2454" s="10">
        <v>120</v>
      </c>
      <c r="X2454" s="29">
        <v>20</v>
      </c>
      <c r="Y2454" s="7" t="s">
        <v>68</v>
      </c>
    </row>
    <row r="2455" spans="1:27" ht="23.1" customHeight="1" x14ac:dyDescent="0.25">
      <c r="A2455" t="s">
        <v>1221</v>
      </c>
      <c r="B2455" s="7" t="s">
        <v>110</v>
      </c>
      <c r="C2455" s="7">
        <v>84</v>
      </c>
      <c r="D2455" s="7" t="s">
        <v>1301</v>
      </c>
      <c r="E2455" s="8" t="s">
        <v>1302</v>
      </c>
      <c r="F2455" s="9" t="s">
        <v>1302</v>
      </c>
      <c r="G2455" s="7" t="s">
        <v>154</v>
      </c>
      <c r="H2455" s="7">
        <v>25</v>
      </c>
      <c r="I2455" s="7" t="s">
        <v>2399</v>
      </c>
      <c r="J2455" s="10">
        <v>2</v>
      </c>
      <c r="K2455" s="10">
        <v>2</v>
      </c>
      <c r="L2455" s="11">
        <v>9</v>
      </c>
      <c r="M2455" s="11">
        <v>26</v>
      </c>
      <c r="N2455" s="12" t="s">
        <v>1322</v>
      </c>
      <c r="P2455" s="10">
        <v>90</v>
      </c>
      <c r="Q2455" s="10">
        <v>60</v>
      </c>
      <c r="S2455" s="11">
        <v>2</v>
      </c>
      <c r="T2455" s="10">
        <v>120</v>
      </c>
      <c r="V2455" s="13">
        <v>1</v>
      </c>
      <c r="W2455" s="10">
        <v>3</v>
      </c>
      <c r="X2455" s="29">
        <v>10</v>
      </c>
      <c r="Y2455" s="7" t="s">
        <v>68</v>
      </c>
      <c r="Z2455" t="s">
        <v>1548</v>
      </c>
    </row>
    <row r="2456" spans="1:27" ht="23.1" customHeight="1" x14ac:dyDescent="0.25">
      <c r="A2456" t="s">
        <v>1221</v>
      </c>
      <c r="B2456" s="7" t="s">
        <v>110</v>
      </c>
      <c r="C2456" s="7">
        <v>84</v>
      </c>
      <c r="D2456" s="7" t="s">
        <v>1692</v>
      </c>
      <c r="E2456" s="8" t="s">
        <v>1693</v>
      </c>
      <c r="F2456" s="9" t="s">
        <v>1693</v>
      </c>
      <c r="G2456" s="7" t="s">
        <v>154</v>
      </c>
      <c r="H2456" s="7">
        <v>25</v>
      </c>
      <c r="I2456" s="7" t="s">
        <v>2327</v>
      </c>
      <c r="J2456" s="10">
        <v>2</v>
      </c>
      <c r="K2456" s="10">
        <v>2</v>
      </c>
      <c r="L2456" s="11">
        <v>19</v>
      </c>
      <c r="M2456" s="11">
        <v>26</v>
      </c>
      <c r="N2456" s="12" t="s">
        <v>1322</v>
      </c>
      <c r="Q2456" s="10">
        <v>60</v>
      </c>
      <c r="S2456" s="11">
        <v>2</v>
      </c>
      <c r="T2456" s="10">
        <v>120</v>
      </c>
      <c r="V2456" s="13">
        <v>1</v>
      </c>
      <c r="W2456" s="10">
        <v>3</v>
      </c>
      <c r="X2456" s="29">
        <v>7</v>
      </c>
      <c r="Y2456" s="7" t="s">
        <v>68</v>
      </c>
      <c r="Z2456" t="s">
        <v>1548</v>
      </c>
    </row>
    <row r="2457" spans="1:27" ht="23.1" customHeight="1" x14ac:dyDescent="0.25">
      <c r="A2457" t="s">
        <v>1221</v>
      </c>
      <c r="B2457" s="7" t="s">
        <v>110</v>
      </c>
      <c r="C2457" s="7">
        <v>121</v>
      </c>
      <c r="D2457" s="7" t="s">
        <v>1191</v>
      </c>
      <c r="E2457" s="8" t="s">
        <v>1192</v>
      </c>
      <c r="F2457" s="9" t="s">
        <v>1192</v>
      </c>
      <c r="G2457" s="7" t="s">
        <v>300</v>
      </c>
      <c r="H2457" s="7">
        <v>35</v>
      </c>
      <c r="I2457" s="7" t="s">
        <v>2400</v>
      </c>
      <c r="J2457" s="10">
        <v>1</v>
      </c>
      <c r="K2457" s="10">
        <v>1</v>
      </c>
      <c r="L2457" s="11">
        <v>26</v>
      </c>
      <c r="N2457" s="12" t="s">
        <v>470</v>
      </c>
      <c r="P2457" s="10">
        <v>150</v>
      </c>
      <c r="Q2457" s="10">
        <v>90</v>
      </c>
      <c r="S2457" s="11">
        <v>1</v>
      </c>
      <c r="T2457" s="10">
        <v>120</v>
      </c>
      <c r="V2457" s="13">
        <v>1</v>
      </c>
      <c r="W2457" s="10">
        <v>3</v>
      </c>
      <c r="X2457" s="29">
        <v>9</v>
      </c>
      <c r="Y2457" s="7" t="s">
        <v>68</v>
      </c>
      <c r="Z2457" t="s">
        <v>1691</v>
      </c>
    </row>
    <row r="2458" spans="1:27" ht="23.1" customHeight="1" x14ac:dyDescent="0.25">
      <c r="A2458" t="s">
        <v>1221</v>
      </c>
      <c r="B2458" s="7" t="s">
        <v>110</v>
      </c>
      <c r="C2458" s="7">
        <v>121</v>
      </c>
      <c r="D2458" s="7" t="s">
        <v>1071</v>
      </c>
      <c r="E2458" s="8" t="s">
        <v>1072</v>
      </c>
      <c r="F2458" s="9" t="e">
        <v>#N/A</v>
      </c>
      <c r="G2458" s="7" t="s">
        <v>250</v>
      </c>
      <c r="H2458" s="7">
        <v>35</v>
      </c>
      <c r="I2458" s="7" t="s">
        <v>2328</v>
      </c>
      <c r="J2458" s="10">
        <v>2</v>
      </c>
      <c r="K2458" s="10">
        <v>0.7</v>
      </c>
      <c r="L2458" s="11">
        <v>28</v>
      </c>
      <c r="N2458" s="12" t="s">
        <v>1593</v>
      </c>
      <c r="P2458" s="10">
        <v>960</v>
      </c>
      <c r="Q2458" s="10">
        <v>90</v>
      </c>
      <c r="S2458" s="11">
        <v>1</v>
      </c>
      <c r="T2458" s="10">
        <v>180</v>
      </c>
      <c r="V2458" s="13">
        <v>1</v>
      </c>
      <c r="W2458" s="10">
        <v>3</v>
      </c>
      <c r="X2458" s="29">
        <v>18.7</v>
      </c>
      <c r="Y2458" s="7" t="s">
        <v>68</v>
      </c>
      <c r="Z2458" t="s">
        <v>1548</v>
      </c>
    </row>
    <row r="2459" spans="1:27" ht="23.1" customHeight="1" x14ac:dyDescent="0.25">
      <c r="A2459" t="s">
        <v>1221</v>
      </c>
      <c r="B2459" s="7" t="s">
        <v>110</v>
      </c>
      <c r="C2459" s="7">
        <v>12</v>
      </c>
      <c r="D2459" s="7" t="s">
        <v>735</v>
      </c>
      <c r="E2459" s="8" t="s">
        <v>249</v>
      </c>
      <c r="F2459" s="9" t="s">
        <v>249</v>
      </c>
      <c r="G2459" s="7" t="s">
        <v>250</v>
      </c>
      <c r="H2459" s="7">
        <v>25</v>
      </c>
      <c r="I2459" s="7" t="s">
        <v>1923</v>
      </c>
      <c r="J2459" s="10">
        <v>1</v>
      </c>
      <c r="K2459" s="10">
        <v>1</v>
      </c>
      <c r="L2459" s="11">
        <v>37</v>
      </c>
      <c r="M2459" s="11">
        <v>37</v>
      </c>
      <c r="N2459" s="12" t="s">
        <v>1694</v>
      </c>
      <c r="P2459" s="10">
        <v>1080</v>
      </c>
      <c r="T2459" s="10">
        <v>120</v>
      </c>
      <c r="X2459" s="29">
        <v>18</v>
      </c>
      <c r="Y2459" s="7" t="s">
        <v>10</v>
      </c>
    </row>
    <row r="2460" spans="1:27" ht="23.1" customHeight="1" x14ac:dyDescent="0.25">
      <c r="A2460" t="s">
        <v>1221</v>
      </c>
      <c r="B2460" s="7" t="s">
        <v>110</v>
      </c>
      <c r="C2460" s="7">
        <v>108</v>
      </c>
      <c r="D2460" s="7" t="s">
        <v>992</v>
      </c>
      <c r="E2460" s="8" t="s">
        <v>993</v>
      </c>
      <c r="F2460" s="9" t="s">
        <v>993</v>
      </c>
      <c r="G2460" s="7" t="s">
        <v>154</v>
      </c>
      <c r="H2460" s="7">
        <v>10</v>
      </c>
      <c r="I2460" s="7" t="s">
        <v>1952</v>
      </c>
      <c r="J2460" s="10">
        <v>1</v>
      </c>
      <c r="K2460" s="10">
        <v>1</v>
      </c>
      <c r="L2460" s="11">
        <v>37</v>
      </c>
      <c r="N2460" s="12" t="s">
        <v>159</v>
      </c>
      <c r="P2460" s="10">
        <v>340</v>
      </c>
      <c r="Q2460" s="10">
        <v>60</v>
      </c>
      <c r="T2460" s="10">
        <v>90</v>
      </c>
      <c r="V2460" s="13">
        <v>1</v>
      </c>
      <c r="W2460" s="14">
        <v>2</v>
      </c>
      <c r="X2460" s="29">
        <v>9.1999999999999993</v>
      </c>
      <c r="Y2460" s="7" t="s">
        <v>13</v>
      </c>
      <c r="Z2460" t="s">
        <v>1695</v>
      </c>
      <c r="AA2460" t="s">
        <v>238</v>
      </c>
    </row>
    <row r="2461" spans="1:27" ht="23.1" customHeight="1" x14ac:dyDescent="0.25">
      <c r="A2461" t="s">
        <v>1221</v>
      </c>
      <c r="B2461" s="7" t="s">
        <v>110</v>
      </c>
      <c r="C2461" s="7">
        <v>108</v>
      </c>
      <c r="D2461" s="7" t="s">
        <v>889</v>
      </c>
      <c r="E2461" s="8" t="s">
        <v>887</v>
      </c>
      <c r="F2461" s="9" t="s">
        <v>887</v>
      </c>
      <c r="G2461" s="7" t="s">
        <v>154</v>
      </c>
      <c r="H2461" s="7">
        <v>25</v>
      </c>
      <c r="I2461" s="7" t="s">
        <v>2037</v>
      </c>
      <c r="K2461" s="10">
        <v>1</v>
      </c>
      <c r="L2461" s="11">
        <v>23</v>
      </c>
      <c r="N2461" s="12" t="s">
        <v>159</v>
      </c>
      <c r="P2461" s="10">
        <v>360</v>
      </c>
      <c r="Q2461" s="10">
        <v>60</v>
      </c>
      <c r="S2461" s="11">
        <v>1</v>
      </c>
      <c r="T2461" s="10">
        <v>90</v>
      </c>
      <c r="V2461" s="13">
        <v>1</v>
      </c>
      <c r="X2461" s="29">
        <v>8.5</v>
      </c>
      <c r="Y2461" s="7" t="s">
        <v>13</v>
      </c>
    </row>
    <row r="2462" spans="1:27" ht="23.1" customHeight="1" x14ac:dyDescent="0.25">
      <c r="A2462" t="s">
        <v>1221</v>
      </c>
      <c r="B2462" s="7" t="s">
        <v>110</v>
      </c>
      <c r="C2462" s="7">
        <v>107</v>
      </c>
      <c r="D2462" s="7" t="s">
        <v>173</v>
      </c>
      <c r="E2462" s="8" t="s">
        <v>174</v>
      </c>
      <c r="F2462" s="9" t="s">
        <v>1246</v>
      </c>
      <c r="G2462" s="7" t="s">
        <v>154</v>
      </c>
      <c r="H2462" s="7">
        <v>45</v>
      </c>
      <c r="I2462" s="7" t="s">
        <v>1866</v>
      </c>
      <c r="J2462" s="10">
        <v>0.5</v>
      </c>
      <c r="K2462" s="10">
        <v>0.6</v>
      </c>
      <c r="L2462" s="11">
        <v>28</v>
      </c>
      <c r="N2462" s="12" t="s">
        <v>470</v>
      </c>
      <c r="P2462" s="10">
        <v>1900</v>
      </c>
      <c r="Q2462" s="10">
        <v>90</v>
      </c>
      <c r="S2462" s="11">
        <v>1</v>
      </c>
      <c r="T2462" s="10">
        <v>180</v>
      </c>
      <c r="X2462" s="29">
        <v>20.5</v>
      </c>
      <c r="Y2462" s="7" t="s">
        <v>13</v>
      </c>
    </row>
    <row r="2463" spans="1:27" ht="23.1" customHeight="1" x14ac:dyDescent="0.25">
      <c r="A2463" t="s">
        <v>1221</v>
      </c>
      <c r="B2463" s="7" t="s">
        <v>110</v>
      </c>
      <c r="C2463" s="7">
        <v>10</v>
      </c>
      <c r="D2463" s="7" t="s">
        <v>946</v>
      </c>
      <c r="E2463" s="8" t="s">
        <v>947</v>
      </c>
      <c r="F2463" s="9" t="s">
        <v>947</v>
      </c>
      <c r="G2463" s="7" t="s">
        <v>300</v>
      </c>
      <c r="H2463" s="7">
        <v>10</v>
      </c>
      <c r="I2463" s="7" t="s">
        <v>2513</v>
      </c>
      <c r="J2463" s="10">
        <v>2</v>
      </c>
      <c r="K2463" s="10">
        <v>1.6</v>
      </c>
      <c r="L2463" s="11">
        <v>19</v>
      </c>
      <c r="M2463" s="11">
        <v>23</v>
      </c>
      <c r="N2463" s="12" t="s">
        <v>948</v>
      </c>
      <c r="P2463" s="10">
        <v>60</v>
      </c>
      <c r="T2463" s="10">
        <v>60</v>
      </c>
      <c r="V2463" s="13">
        <v>1</v>
      </c>
      <c r="X2463" s="29">
        <v>2.6</v>
      </c>
      <c r="Y2463" s="7" t="s">
        <v>23</v>
      </c>
    </row>
    <row r="2464" spans="1:27" ht="23.1" customHeight="1" x14ac:dyDescent="0.25">
      <c r="A2464" t="s">
        <v>1221</v>
      </c>
      <c r="B2464" s="7" t="s">
        <v>110</v>
      </c>
      <c r="C2464" s="7">
        <v>9</v>
      </c>
      <c r="D2464" s="7" t="s">
        <v>911</v>
      </c>
      <c r="E2464" s="8" t="s">
        <v>912</v>
      </c>
      <c r="F2464" s="9" t="s">
        <v>912</v>
      </c>
      <c r="G2464" s="7" t="s">
        <v>154</v>
      </c>
      <c r="H2464" s="7">
        <v>20</v>
      </c>
      <c r="I2464" s="7" t="s">
        <v>2235</v>
      </c>
      <c r="J2464" s="10">
        <v>5</v>
      </c>
      <c r="K2464" s="10">
        <v>4.8</v>
      </c>
      <c r="L2464" s="11">
        <v>9</v>
      </c>
      <c r="M2464" s="11">
        <v>9</v>
      </c>
      <c r="N2464" s="12" t="s">
        <v>429</v>
      </c>
      <c r="P2464" s="10">
        <v>140</v>
      </c>
      <c r="T2464" s="10">
        <v>60</v>
      </c>
      <c r="V2464" s="13">
        <v>1</v>
      </c>
      <c r="X2464" s="29">
        <v>12.2</v>
      </c>
      <c r="Y2464" s="7" t="s">
        <v>23</v>
      </c>
    </row>
    <row r="2465" spans="1:27" ht="23.1" customHeight="1" x14ac:dyDescent="0.25">
      <c r="A2465" t="s">
        <v>1221</v>
      </c>
      <c r="B2465" s="7" t="s">
        <v>110</v>
      </c>
      <c r="C2465" s="7">
        <v>78</v>
      </c>
      <c r="D2465" s="7" t="s">
        <v>261</v>
      </c>
      <c r="E2465" s="8" t="s">
        <v>133</v>
      </c>
      <c r="F2465" s="9" t="s">
        <v>133</v>
      </c>
      <c r="G2465" s="7" t="s">
        <v>102</v>
      </c>
      <c r="H2465" s="7">
        <v>85</v>
      </c>
      <c r="I2465" s="7" t="s">
        <v>2330</v>
      </c>
      <c r="J2465" s="10">
        <v>1</v>
      </c>
      <c r="K2465" s="10">
        <v>0.8</v>
      </c>
      <c r="L2465" s="11">
        <v>5</v>
      </c>
      <c r="N2465" s="12" t="s">
        <v>103</v>
      </c>
      <c r="P2465" s="10">
        <v>1020</v>
      </c>
      <c r="Q2465" s="10">
        <v>60</v>
      </c>
      <c r="T2465" s="10">
        <v>120</v>
      </c>
      <c r="W2465" s="14">
        <v>20</v>
      </c>
      <c r="X2465" s="29">
        <v>33.6</v>
      </c>
      <c r="Y2465" s="7" t="s">
        <v>5</v>
      </c>
      <c r="Z2465" t="s">
        <v>1696</v>
      </c>
      <c r="AA2465" t="s">
        <v>238</v>
      </c>
    </row>
    <row r="2466" spans="1:27" ht="23.1" customHeight="1" x14ac:dyDescent="0.25">
      <c r="A2466" t="s">
        <v>1221</v>
      </c>
      <c r="B2466" s="7" t="s">
        <v>110</v>
      </c>
      <c r="C2466" s="7">
        <v>78</v>
      </c>
      <c r="D2466" s="7" t="s">
        <v>261</v>
      </c>
      <c r="E2466" s="8" t="s">
        <v>133</v>
      </c>
      <c r="F2466" s="9" t="s">
        <v>133</v>
      </c>
      <c r="G2466" s="7" t="s">
        <v>102</v>
      </c>
      <c r="H2466" s="7">
        <v>85</v>
      </c>
      <c r="I2466" s="7" t="s">
        <v>2330</v>
      </c>
      <c r="J2466" s="10">
        <v>0.5</v>
      </c>
      <c r="K2466" s="10">
        <v>0.1</v>
      </c>
      <c r="L2466" s="11">
        <v>28</v>
      </c>
      <c r="N2466" s="12" t="s">
        <v>103</v>
      </c>
      <c r="P2466" s="10">
        <v>1020</v>
      </c>
      <c r="Q2466" s="10">
        <v>60</v>
      </c>
      <c r="S2466" s="11">
        <v>1</v>
      </c>
      <c r="T2466" s="10">
        <v>120</v>
      </c>
      <c r="X2466" s="29">
        <v>2.7</v>
      </c>
      <c r="Y2466" s="7" t="s">
        <v>5</v>
      </c>
      <c r="Z2466" t="s">
        <v>1269</v>
      </c>
    </row>
    <row r="2467" spans="1:27" ht="23.1" customHeight="1" x14ac:dyDescent="0.25">
      <c r="A2467" t="s">
        <v>1221</v>
      </c>
      <c r="B2467" s="7" t="s">
        <v>110</v>
      </c>
      <c r="C2467" s="7">
        <v>47</v>
      </c>
      <c r="D2467" s="7" t="s">
        <v>826</v>
      </c>
      <c r="E2467" s="8" t="s">
        <v>827</v>
      </c>
      <c r="F2467" s="9" t="s">
        <v>827</v>
      </c>
      <c r="G2467" s="7" t="s">
        <v>118</v>
      </c>
      <c r="H2467" s="7">
        <v>20</v>
      </c>
      <c r="I2467" s="7" t="s">
        <v>2107</v>
      </c>
      <c r="J2467" s="10">
        <v>0.5</v>
      </c>
      <c r="K2467" s="10">
        <v>0.75</v>
      </c>
      <c r="L2467" s="11">
        <v>19</v>
      </c>
      <c r="N2467" s="12" t="s">
        <v>860</v>
      </c>
      <c r="P2467" s="10">
        <v>780</v>
      </c>
      <c r="Q2467" s="10">
        <v>90</v>
      </c>
      <c r="T2467" s="10">
        <v>60</v>
      </c>
      <c r="X2467" s="29">
        <v>9.8000000000000007</v>
      </c>
      <c r="Y2467" s="7" t="s">
        <v>22</v>
      </c>
      <c r="Z2467" t="s">
        <v>1697</v>
      </c>
    </row>
    <row r="2468" spans="1:27" ht="23.1" customHeight="1" x14ac:dyDescent="0.25">
      <c r="A2468" t="s">
        <v>1221</v>
      </c>
      <c r="B2468" s="7" t="s">
        <v>110</v>
      </c>
      <c r="C2468" s="7">
        <v>47</v>
      </c>
      <c r="D2468" s="7" t="s">
        <v>978</v>
      </c>
      <c r="E2468" s="8" t="s">
        <v>979</v>
      </c>
      <c r="F2468" s="9" t="s">
        <v>979</v>
      </c>
      <c r="G2468" s="7" t="s">
        <v>154</v>
      </c>
      <c r="H2468" s="7">
        <v>60</v>
      </c>
      <c r="I2468" s="7" t="s">
        <v>2331</v>
      </c>
      <c r="N2468" s="12" t="s">
        <v>108</v>
      </c>
      <c r="P2468" s="10">
        <v>520</v>
      </c>
      <c r="Q2468" s="10">
        <v>120</v>
      </c>
      <c r="T2468" s="10">
        <v>90</v>
      </c>
      <c r="W2468" s="14">
        <v>3</v>
      </c>
      <c r="X2468" s="29">
        <v>3</v>
      </c>
      <c r="Y2468" s="7" t="s">
        <v>22</v>
      </c>
      <c r="Z2468" t="s">
        <v>1572</v>
      </c>
    </row>
    <row r="2469" spans="1:27" ht="23.1" customHeight="1" x14ac:dyDescent="0.25">
      <c r="A2469" t="s">
        <v>1221</v>
      </c>
      <c r="B2469" s="7" t="s">
        <v>110</v>
      </c>
      <c r="C2469" s="7">
        <v>23</v>
      </c>
      <c r="D2469" s="7" t="s">
        <v>987</v>
      </c>
      <c r="E2469" s="8" t="s">
        <v>988</v>
      </c>
      <c r="F2469" s="9" t="s">
        <v>988</v>
      </c>
      <c r="G2469" s="7" t="s">
        <v>118</v>
      </c>
      <c r="H2469" s="7">
        <v>20</v>
      </c>
      <c r="I2469" s="7" t="s">
        <v>2514</v>
      </c>
      <c r="J2469" s="10">
        <v>0.8</v>
      </c>
      <c r="K2469" s="10">
        <v>1.1499999999999999</v>
      </c>
      <c r="L2469" s="11">
        <v>19</v>
      </c>
      <c r="N2469" s="12" t="s">
        <v>989</v>
      </c>
      <c r="P2469" s="10">
        <v>420</v>
      </c>
      <c r="Q2469" s="10">
        <v>60</v>
      </c>
      <c r="S2469" s="11">
        <v>1</v>
      </c>
      <c r="T2469" s="10">
        <v>90</v>
      </c>
      <c r="X2469" s="29">
        <v>9.1</v>
      </c>
      <c r="Y2469" s="7" t="s">
        <v>22</v>
      </c>
    </row>
    <row r="2470" spans="1:27" ht="23.1" customHeight="1" x14ac:dyDescent="0.25">
      <c r="A2470" t="s">
        <v>1221</v>
      </c>
      <c r="B2470" s="7" t="s">
        <v>110</v>
      </c>
      <c r="C2470" s="7">
        <v>23</v>
      </c>
      <c r="D2470" s="7" t="s">
        <v>987</v>
      </c>
      <c r="E2470" s="8" t="s">
        <v>988</v>
      </c>
      <c r="F2470" s="9" t="s">
        <v>988</v>
      </c>
      <c r="G2470" s="7" t="s">
        <v>118</v>
      </c>
      <c r="H2470" s="7">
        <v>20</v>
      </c>
      <c r="I2470" s="7" t="s">
        <v>2332</v>
      </c>
      <c r="J2470" s="10">
        <v>0.8</v>
      </c>
      <c r="K2470" s="10">
        <v>0.8</v>
      </c>
      <c r="L2470" s="11">
        <v>31</v>
      </c>
      <c r="N2470" s="12" t="s">
        <v>155</v>
      </c>
      <c r="P2470" s="10">
        <v>420</v>
      </c>
      <c r="Q2470" s="10">
        <v>60</v>
      </c>
      <c r="S2470" s="11">
        <v>1</v>
      </c>
      <c r="T2470" s="10">
        <v>90</v>
      </c>
      <c r="X2470" s="29">
        <v>6.6</v>
      </c>
      <c r="Y2470" s="7" t="s">
        <v>22</v>
      </c>
    </row>
    <row r="2471" spans="1:27" ht="23.1" customHeight="1" x14ac:dyDescent="0.25">
      <c r="A2471" t="s">
        <v>1221</v>
      </c>
      <c r="B2471" s="7" t="s">
        <v>110</v>
      </c>
      <c r="C2471" s="7">
        <v>16</v>
      </c>
      <c r="D2471" s="7" t="s">
        <v>1045</v>
      </c>
      <c r="E2471" s="8" t="s">
        <v>409</v>
      </c>
      <c r="F2471" s="9" t="s">
        <v>409</v>
      </c>
      <c r="G2471" s="7" t="s">
        <v>102</v>
      </c>
      <c r="H2471" s="7">
        <v>10</v>
      </c>
      <c r="I2471" s="7" t="s">
        <v>2401</v>
      </c>
      <c r="J2471" s="10">
        <v>8</v>
      </c>
      <c r="K2471" s="10">
        <v>8</v>
      </c>
      <c r="L2471" s="11">
        <v>9</v>
      </c>
      <c r="M2471" s="11">
        <v>9</v>
      </c>
      <c r="N2471" s="12" t="s">
        <v>596</v>
      </c>
      <c r="P2471" s="10">
        <v>35</v>
      </c>
      <c r="T2471" s="10">
        <v>90</v>
      </c>
      <c r="V2471" s="13">
        <v>1</v>
      </c>
      <c r="X2471" s="29">
        <v>6.2</v>
      </c>
      <c r="Y2471" s="7" t="s">
        <v>71</v>
      </c>
    </row>
    <row r="2472" spans="1:27" ht="23.1" customHeight="1" x14ac:dyDescent="0.25">
      <c r="A2472" t="s">
        <v>1221</v>
      </c>
      <c r="B2472" s="7" t="s">
        <v>110</v>
      </c>
      <c r="C2472" s="7">
        <v>16</v>
      </c>
      <c r="D2472" s="7" t="s">
        <v>1045</v>
      </c>
      <c r="E2472" s="8" t="s">
        <v>409</v>
      </c>
      <c r="F2472" s="9" t="s">
        <v>409</v>
      </c>
      <c r="G2472" s="7" t="s">
        <v>102</v>
      </c>
      <c r="H2472" s="7">
        <v>15</v>
      </c>
      <c r="I2472" s="7" t="s">
        <v>2091</v>
      </c>
      <c r="J2472" s="10">
        <v>2</v>
      </c>
      <c r="K2472" s="10">
        <v>5</v>
      </c>
      <c r="L2472" s="11">
        <v>26</v>
      </c>
      <c r="M2472" s="11">
        <v>26</v>
      </c>
      <c r="N2472" s="12" t="s">
        <v>596</v>
      </c>
      <c r="P2472" s="10">
        <v>55</v>
      </c>
      <c r="T2472" s="10">
        <v>60</v>
      </c>
      <c r="V2472" s="13">
        <v>1</v>
      </c>
      <c r="W2472" s="14">
        <v>2</v>
      </c>
      <c r="X2472" s="29">
        <v>7.6</v>
      </c>
      <c r="Y2472" s="7" t="s">
        <v>71</v>
      </c>
      <c r="Z2472" t="s">
        <v>1376</v>
      </c>
      <c r="AA2472" t="s">
        <v>238</v>
      </c>
    </row>
    <row r="2473" spans="1:27" ht="23.1" customHeight="1" x14ac:dyDescent="0.25">
      <c r="A2473" t="s">
        <v>1221</v>
      </c>
      <c r="B2473" s="7" t="s">
        <v>110</v>
      </c>
      <c r="C2473" s="7">
        <v>18</v>
      </c>
      <c r="D2473" s="7" t="s">
        <v>1030</v>
      </c>
      <c r="E2473" s="8" t="s">
        <v>919</v>
      </c>
      <c r="F2473" s="9" t="s">
        <v>919</v>
      </c>
      <c r="G2473" s="7" t="s">
        <v>323</v>
      </c>
      <c r="H2473" s="7">
        <v>10</v>
      </c>
      <c r="I2473" s="7" t="s">
        <v>2114</v>
      </c>
      <c r="J2473" s="10">
        <v>3</v>
      </c>
      <c r="K2473" s="10">
        <v>10</v>
      </c>
      <c r="L2473" s="11">
        <v>19</v>
      </c>
      <c r="M2473" s="11">
        <v>19</v>
      </c>
      <c r="N2473" s="12" t="s">
        <v>778</v>
      </c>
      <c r="P2473" s="10">
        <v>60</v>
      </c>
      <c r="T2473" s="10">
        <v>90</v>
      </c>
      <c r="V2473" s="13">
        <v>1</v>
      </c>
      <c r="X2473" s="29">
        <v>11.5</v>
      </c>
      <c r="Y2473" s="7" t="s">
        <v>14</v>
      </c>
    </row>
    <row r="2474" spans="1:27" ht="23.1" customHeight="1" x14ac:dyDescent="0.25">
      <c r="A2474" t="s">
        <v>1221</v>
      </c>
      <c r="B2474" s="7" t="s">
        <v>110</v>
      </c>
      <c r="C2474" s="7">
        <v>18</v>
      </c>
      <c r="D2474" s="7" t="s">
        <v>921</v>
      </c>
      <c r="E2474" s="8" t="s">
        <v>919</v>
      </c>
      <c r="F2474" s="9" t="s">
        <v>919</v>
      </c>
      <c r="G2474" s="7" t="s">
        <v>323</v>
      </c>
      <c r="H2474" s="7">
        <v>10</v>
      </c>
      <c r="I2474" s="7" t="s">
        <v>2114</v>
      </c>
      <c r="J2474" s="10">
        <v>2</v>
      </c>
      <c r="K2474" s="10">
        <v>10</v>
      </c>
      <c r="L2474" s="11">
        <v>26</v>
      </c>
      <c r="M2474" s="11">
        <v>19</v>
      </c>
      <c r="N2474" s="12" t="s">
        <v>860</v>
      </c>
      <c r="P2474" s="10">
        <v>60</v>
      </c>
      <c r="T2474" s="10">
        <v>90</v>
      </c>
      <c r="V2474" s="13">
        <v>1</v>
      </c>
      <c r="X2474" s="29">
        <v>11.5</v>
      </c>
      <c r="Y2474" s="7" t="s">
        <v>14</v>
      </c>
    </row>
    <row r="2475" spans="1:27" ht="23.1" customHeight="1" x14ac:dyDescent="0.25">
      <c r="A2475" t="s">
        <v>1221</v>
      </c>
      <c r="B2475" s="7" t="s">
        <v>110</v>
      </c>
      <c r="C2475" s="7">
        <v>17</v>
      </c>
      <c r="D2475" s="7" t="s">
        <v>916</v>
      </c>
      <c r="E2475" s="8" t="s">
        <v>917</v>
      </c>
      <c r="F2475" s="9" t="s">
        <v>917</v>
      </c>
      <c r="G2475" s="7" t="s">
        <v>250</v>
      </c>
      <c r="H2475" s="7">
        <v>35</v>
      </c>
      <c r="I2475" s="7" t="s">
        <v>2515</v>
      </c>
      <c r="K2475" s="10">
        <v>15</v>
      </c>
      <c r="L2475" s="11">
        <v>19</v>
      </c>
      <c r="M2475" s="11">
        <v>19</v>
      </c>
      <c r="N2475" s="12" t="s">
        <v>247</v>
      </c>
      <c r="P2475" s="10">
        <v>55</v>
      </c>
      <c r="T2475" s="10">
        <v>60</v>
      </c>
      <c r="V2475" s="13">
        <v>1</v>
      </c>
      <c r="X2475" s="29">
        <v>14.8</v>
      </c>
      <c r="Y2475" s="7" t="s">
        <v>14</v>
      </c>
    </row>
    <row r="2476" spans="1:27" ht="23.1" customHeight="1" x14ac:dyDescent="0.25">
      <c r="A2476" t="s">
        <v>1221</v>
      </c>
      <c r="B2476" s="7" t="s">
        <v>110</v>
      </c>
      <c r="C2476" s="7">
        <v>59</v>
      </c>
      <c r="D2476" s="7" t="s">
        <v>1686</v>
      </c>
      <c r="E2476" s="8" t="s">
        <v>1687</v>
      </c>
      <c r="F2476" s="9" t="s">
        <v>1687</v>
      </c>
      <c r="G2476" s="7" t="s">
        <v>102</v>
      </c>
      <c r="H2476" s="7">
        <v>15</v>
      </c>
      <c r="I2476" s="7" t="s">
        <v>1864</v>
      </c>
      <c r="J2476" s="10">
        <v>8</v>
      </c>
      <c r="K2476" s="10">
        <v>8</v>
      </c>
      <c r="L2476" s="11">
        <v>26</v>
      </c>
      <c r="M2476" s="11">
        <v>26</v>
      </c>
      <c r="N2476" s="12" t="s">
        <v>596</v>
      </c>
      <c r="P2476" s="10">
        <v>40</v>
      </c>
      <c r="T2476" s="10">
        <v>60</v>
      </c>
      <c r="V2476" s="13">
        <v>1</v>
      </c>
      <c r="W2476" s="14">
        <v>2</v>
      </c>
      <c r="X2476" s="29">
        <v>8.3000000000000007</v>
      </c>
      <c r="Y2476" s="7" t="s">
        <v>6</v>
      </c>
      <c r="Z2476" t="s">
        <v>1671</v>
      </c>
      <c r="AA2476" t="s">
        <v>238</v>
      </c>
    </row>
    <row r="2477" spans="1:27" ht="23.1" customHeight="1" x14ac:dyDescent="0.25">
      <c r="A2477" t="s">
        <v>1221</v>
      </c>
      <c r="B2477" s="7" t="s">
        <v>110</v>
      </c>
      <c r="C2477" s="7">
        <v>55</v>
      </c>
      <c r="D2477" s="7" t="s">
        <v>923</v>
      </c>
      <c r="E2477" s="8" t="s">
        <v>139</v>
      </c>
      <c r="F2477" s="9" t="s">
        <v>139</v>
      </c>
      <c r="G2477" s="7" t="s">
        <v>250</v>
      </c>
      <c r="H2477" s="7">
        <v>25</v>
      </c>
      <c r="I2477" s="7" t="s">
        <v>2334</v>
      </c>
      <c r="K2477" s="10">
        <v>5</v>
      </c>
      <c r="L2477" s="11">
        <v>26</v>
      </c>
      <c r="M2477" s="11">
        <v>26</v>
      </c>
      <c r="N2477" s="12" t="s">
        <v>131</v>
      </c>
      <c r="P2477" s="10">
        <v>150</v>
      </c>
      <c r="T2477" s="10">
        <v>60</v>
      </c>
      <c r="X2477" s="29">
        <v>12.5</v>
      </c>
      <c r="Y2477" s="7" t="s">
        <v>18</v>
      </c>
    </row>
    <row r="2478" spans="1:27" ht="23.1" customHeight="1" x14ac:dyDescent="0.25">
      <c r="A2478" t="s">
        <v>1221</v>
      </c>
      <c r="B2478" s="7" t="s">
        <v>110</v>
      </c>
      <c r="C2478" s="7">
        <v>13</v>
      </c>
      <c r="D2478" s="7" t="s">
        <v>654</v>
      </c>
      <c r="E2478" s="8" t="s">
        <v>246</v>
      </c>
      <c r="F2478" s="9" t="s">
        <v>246</v>
      </c>
      <c r="G2478" s="7" t="s">
        <v>154</v>
      </c>
      <c r="H2478" s="7">
        <v>45</v>
      </c>
      <c r="I2478" s="7" t="s">
        <v>1954</v>
      </c>
      <c r="J2478" s="10">
        <v>3</v>
      </c>
      <c r="K2478" s="10">
        <v>3</v>
      </c>
      <c r="L2478" s="11">
        <v>26</v>
      </c>
      <c r="M2478" s="11">
        <v>23</v>
      </c>
      <c r="N2478" s="12" t="s">
        <v>247</v>
      </c>
      <c r="P2478" s="10">
        <v>250</v>
      </c>
      <c r="T2478" s="10">
        <v>60</v>
      </c>
      <c r="X2478" s="29">
        <v>12.5</v>
      </c>
      <c r="Y2478" s="7" t="s">
        <v>10</v>
      </c>
    </row>
    <row r="2479" spans="1:27" ht="23.1" customHeight="1" x14ac:dyDescent="0.25">
      <c r="A2479" t="s">
        <v>1221</v>
      </c>
      <c r="B2479" s="7" t="s">
        <v>110</v>
      </c>
      <c r="C2479" s="7">
        <v>77</v>
      </c>
      <c r="D2479" s="7" t="s">
        <v>1698</v>
      </c>
      <c r="E2479" s="8" t="s">
        <v>1699</v>
      </c>
      <c r="F2479" s="9" t="s">
        <v>1699</v>
      </c>
      <c r="G2479" s="7" t="s">
        <v>118</v>
      </c>
      <c r="H2479" s="7">
        <v>10</v>
      </c>
      <c r="I2479" s="7" t="s">
        <v>2315</v>
      </c>
      <c r="J2479" s="10">
        <v>20</v>
      </c>
      <c r="K2479" s="10">
        <v>50</v>
      </c>
      <c r="L2479" s="11">
        <v>19</v>
      </c>
      <c r="M2479" s="11">
        <v>5</v>
      </c>
      <c r="N2479" s="12" t="s">
        <v>393</v>
      </c>
      <c r="P2479" s="10">
        <v>30</v>
      </c>
      <c r="T2479" s="10">
        <v>60</v>
      </c>
      <c r="V2479" s="13">
        <v>1</v>
      </c>
      <c r="W2479" s="14">
        <v>2</v>
      </c>
      <c r="X2479" s="29">
        <v>28</v>
      </c>
      <c r="Y2479" s="7" t="s">
        <v>24</v>
      </c>
      <c r="Z2479" t="s">
        <v>1540</v>
      </c>
      <c r="AA2479" t="s">
        <v>238</v>
      </c>
    </row>
    <row r="2480" spans="1:27" ht="23.1" customHeight="1" x14ac:dyDescent="0.25">
      <c r="A2480" t="s">
        <v>1221</v>
      </c>
      <c r="B2480" s="7" t="s">
        <v>110</v>
      </c>
      <c r="C2480" s="7">
        <v>79</v>
      </c>
      <c r="D2480" s="7" t="s">
        <v>420</v>
      </c>
      <c r="E2480" s="8" t="s">
        <v>153</v>
      </c>
      <c r="F2480" s="9" t="s">
        <v>1247</v>
      </c>
      <c r="G2480" s="7" t="s">
        <v>154</v>
      </c>
      <c r="H2480" s="7">
        <v>45</v>
      </c>
      <c r="I2480" s="7" t="s">
        <v>2236</v>
      </c>
      <c r="J2480" s="10">
        <v>2</v>
      </c>
      <c r="K2480" s="10">
        <v>0.3</v>
      </c>
      <c r="L2480" s="11">
        <v>23</v>
      </c>
      <c r="N2480" s="12" t="s">
        <v>784</v>
      </c>
      <c r="P2480" s="10">
        <v>2460</v>
      </c>
      <c r="Q2480" s="10">
        <v>90</v>
      </c>
      <c r="T2480" s="10">
        <v>240</v>
      </c>
      <c r="W2480" s="14">
        <v>3</v>
      </c>
      <c r="X2480" s="29">
        <v>15.3</v>
      </c>
      <c r="Y2480" s="7" t="s">
        <v>5</v>
      </c>
      <c r="Z2480" t="s">
        <v>1700</v>
      </c>
    </row>
    <row r="2481" spans="1:27" ht="23.1" customHeight="1" x14ac:dyDescent="0.25">
      <c r="A2481" t="s">
        <v>1221</v>
      </c>
      <c r="B2481" s="7" t="s">
        <v>110</v>
      </c>
      <c r="C2481" s="7">
        <v>79</v>
      </c>
      <c r="D2481" s="7" t="s">
        <v>152</v>
      </c>
      <c r="E2481" s="8" t="s">
        <v>153</v>
      </c>
      <c r="F2481" s="9" t="s">
        <v>1247</v>
      </c>
      <c r="G2481" s="7" t="s">
        <v>154</v>
      </c>
      <c r="H2481" s="7">
        <v>40</v>
      </c>
      <c r="I2481" s="7" t="s">
        <v>2093</v>
      </c>
      <c r="J2481" s="10">
        <v>0.3</v>
      </c>
      <c r="K2481" s="10">
        <v>2</v>
      </c>
      <c r="L2481" s="11">
        <v>5</v>
      </c>
      <c r="M2481" s="11">
        <v>5</v>
      </c>
      <c r="N2481" s="12" t="s">
        <v>1701</v>
      </c>
      <c r="P2481" s="10">
        <v>270</v>
      </c>
      <c r="Q2481" s="10">
        <v>90</v>
      </c>
      <c r="S2481" s="11">
        <v>2</v>
      </c>
      <c r="T2481" s="10">
        <v>120</v>
      </c>
      <c r="V2481" s="13">
        <v>1</v>
      </c>
      <c r="X2481" s="29">
        <v>14</v>
      </c>
      <c r="Y2481" s="7" t="s">
        <v>5</v>
      </c>
    </row>
    <row r="2482" spans="1:27" ht="23.1" customHeight="1" x14ac:dyDescent="0.25">
      <c r="A2482" t="s">
        <v>1221</v>
      </c>
      <c r="B2482" s="7" t="s">
        <v>110</v>
      </c>
      <c r="C2482" s="7">
        <v>58</v>
      </c>
      <c r="D2482" s="7" t="s">
        <v>1047</v>
      </c>
      <c r="E2482" s="8" t="s">
        <v>424</v>
      </c>
      <c r="F2482" s="9" t="s">
        <v>424</v>
      </c>
      <c r="G2482" s="7" t="s">
        <v>107</v>
      </c>
      <c r="H2482" s="7">
        <v>15</v>
      </c>
      <c r="I2482" s="7" t="s">
        <v>1961</v>
      </c>
      <c r="J2482" s="10">
        <v>4.5</v>
      </c>
      <c r="K2482" s="10">
        <v>6</v>
      </c>
      <c r="L2482" s="11">
        <v>9</v>
      </c>
      <c r="M2482" s="11">
        <v>26</v>
      </c>
      <c r="N2482" s="12" t="s">
        <v>1049</v>
      </c>
      <c r="P2482" s="10">
        <v>150</v>
      </c>
      <c r="T2482" s="10">
        <v>100</v>
      </c>
      <c r="X2482" s="29">
        <v>15</v>
      </c>
      <c r="Y2482" s="7" t="s">
        <v>0</v>
      </c>
    </row>
    <row r="2483" spans="1:27" ht="23.1" customHeight="1" x14ac:dyDescent="0.25">
      <c r="A2483" t="s">
        <v>1221</v>
      </c>
      <c r="B2483" s="7" t="s">
        <v>110</v>
      </c>
      <c r="C2483" s="7">
        <v>14</v>
      </c>
      <c r="D2483" s="7" t="s">
        <v>1331</v>
      </c>
      <c r="E2483" s="8" t="s">
        <v>1332</v>
      </c>
      <c r="F2483" s="9" t="s">
        <v>1332</v>
      </c>
      <c r="G2483" s="7" t="s">
        <v>300</v>
      </c>
      <c r="H2483" s="7">
        <v>15</v>
      </c>
      <c r="I2483" s="7" t="s">
        <v>2231</v>
      </c>
      <c r="K2483" s="10">
        <v>10</v>
      </c>
      <c r="L2483" s="11">
        <v>26</v>
      </c>
      <c r="M2483" s="11">
        <v>5</v>
      </c>
      <c r="N2483" s="12" t="s">
        <v>316</v>
      </c>
      <c r="P2483" s="10">
        <v>35</v>
      </c>
      <c r="T2483" s="10">
        <v>120</v>
      </c>
      <c r="V2483" s="13">
        <v>1</v>
      </c>
      <c r="X2483" s="29">
        <v>7.8</v>
      </c>
      <c r="Y2483" s="7" t="s">
        <v>60</v>
      </c>
    </row>
    <row r="2484" spans="1:27" ht="23.1" customHeight="1" x14ac:dyDescent="0.25">
      <c r="A2484" t="s">
        <v>1221</v>
      </c>
      <c r="B2484" s="7" t="s">
        <v>110</v>
      </c>
      <c r="C2484" s="7">
        <v>57</v>
      </c>
      <c r="D2484" s="7" t="s">
        <v>1031</v>
      </c>
      <c r="E2484" s="8" t="s">
        <v>1032</v>
      </c>
      <c r="F2484" s="9" t="s">
        <v>1032</v>
      </c>
      <c r="G2484" s="7" t="s">
        <v>107</v>
      </c>
      <c r="H2484" s="7">
        <v>10</v>
      </c>
      <c r="I2484" s="7" t="s">
        <v>2024</v>
      </c>
      <c r="J2484" s="10">
        <v>7</v>
      </c>
      <c r="K2484" s="10">
        <v>6</v>
      </c>
      <c r="L2484" s="11">
        <v>26</v>
      </c>
      <c r="M2484" s="11">
        <v>9</v>
      </c>
      <c r="N2484" s="12" t="s">
        <v>1312</v>
      </c>
      <c r="P2484" s="10">
        <v>90</v>
      </c>
      <c r="T2484" s="10">
        <v>90</v>
      </c>
      <c r="X2484" s="29">
        <v>9</v>
      </c>
      <c r="Y2484" s="7" t="s">
        <v>0</v>
      </c>
    </row>
    <row r="2485" spans="1:27" ht="23.1" customHeight="1" x14ac:dyDescent="0.25">
      <c r="A2485" t="s">
        <v>1221</v>
      </c>
      <c r="B2485" s="7" t="s">
        <v>110</v>
      </c>
      <c r="C2485" s="7">
        <v>11</v>
      </c>
      <c r="D2485" s="7" t="s">
        <v>690</v>
      </c>
      <c r="E2485" s="8" t="s">
        <v>691</v>
      </c>
      <c r="F2485" s="9" t="s">
        <v>691</v>
      </c>
      <c r="G2485" s="7" t="s">
        <v>123</v>
      </c>
      <c r="H2485" s="7">
        <v>35</v>
      </c>
      <c r="I2485" s="7" t="s">
        <v>2086</v>
      </c>
      <c r="J2485" s="10">
        <v>1.3</v>
      </c>
      <c r="K2485" s="10">
        <v>1</v>
      </c>
      <c r="L2485" s="11">
        <v>26</v>
      </c>
      <c r="N2485" s="12" t="s">
        <v>1628</v>
      </c>
      <c r="P2485" s="10">
        <v>410</v>
      </c>
      <c r="T2485" s="10">
        <v>90</v>
      </c>
      <c r="X2485" s="29">
        <v>6.8</v>
      </c>
      <c r="Y2485" s="7" t="s">
        <v>71</v>
      </c>
    </row>
    <row r="2486" spans="1:27" ht="23.1" customHeight="1" x14ac:dyDescent="0.25">
      <c r="A2486" t="s">
        <v>1221</v>
      </c>
      <c r="B2486" s="7" t="s">
        <v>137</v>
      </c>
      <c r="C2486" s="7">
        <v>17</v>
      </c>
      <c r="D2486" s="7" t="s">
        <v>1702</v>
      </c>
      <c r="E2486" s="8" t="s">
        <v>625</v>
      </c>
      <c r="F2486" s="9" t="s">
        <v>625</v>
      </c>
      <c r="G2486" s="7" t="s">
        <v>250</v>
      </c>
      <c r="H2486" s="7">
        <v>10</v>
      </c>
      <c r="I2486" s="7" t="s">
        <v>1916</v>
      </c>
      <c r="J2486" s="10">
        <v>19</v>
      </c>
      <c r="K2486" s="10">
        <v>19</v>
      </c>
      <c r="N2486" s="12" t="s">
        <v>247</v>
      </c>
      <c r="P2486" s="10">
        <v>25</v>
      </c>
      <c r="T2486" s="10">
        <v>60</v>
      </c>
      <c r="W2486" s="14">
        <v>6</v>
      </c>
      <c r="X2486" s="29">
        <v>13.9</v>
      </c>
      <c r="Y2486" s="7" t="s">
        <v>16</v>
      </c>
      <c r="Z2486" t="s">
        <v>1703</v>
      </c>
    </row>
    <row r="2487" spans="1:27" ht="23.1" customHeight="1" x14ac:dyDescent="0.25">
      <c r="A2487" t="s">
        <v>1221</v>
      </c>
      <c r="B2487" s="7" t="s">
        <v>137</v>
      </c>
      <c r="C2487" s="7">
        <v>59</v>
      </c>
      <c r="D2487" s="7" t="s">
        <v>1686</v>
      </c>
      <c r="E2487" s="8" t="s">
        <v>1687</v>
      </c>
      <c r="F2487" s="9" t="s">
        <v>1687</v>
      </c>
      <c r="G2487" s="7" t="s">
        <v>102</v>
      </c>
      <c r="H2487" s="7">
        <v>20</v>
      </c>
      <c r="I2487" s="7" t="s">
        <v>2317</v>
      </c>
      <c r="J2487" s="10">
        <v>7</v>
      </c>
      <c r="K2487" s="10">
        <v>6</v>
      </c>
      <c r="L2487" s="11">
        <v>23</v>
      </c>
      <c r="M2487" s="11">
        <v>28</v>
      </c>
      <c r="N2487" s="12" t="s">
        <v>596</v>
      </c>
      <c r="P2487" s="10">
        <v>140</v>
      </c>
      <c r="T2487" s="10">
        <v>90</v>
      </c>
      <c r="X2487" s="29">
        <v>14</v>
      </c>
      <c r="Y2487" s="64" t="s">
        <v>1847</v>
      </c>
    </row>
    <row r="2488" spans="1:27" ht="23.1" customHeight="1" x14ac:dyDescent="0.25">
      <c r="A2488" t="s">
        <v>1221</v>
      </c>
      <c r="B2488" s="7" t="s">
        <v>137</v>
      </c>
      <c r="C2488" s="7">
        <v>58</v>
      </c>
      <c r="D2488" s="7" t="s">
        <v>1047</v>
      </c>
      <c r="E2488" s="8" t="s">
        <v>424</v>
      </c>
      <c r="F2488" s="9" t="s">
        <v>424</v>
      </c>
      <c r="G2488" s="7" t="s">
        <v>107</v>
      </c>
      <c r="H2488" s="7">
        <v>15</v>
      </c>
      <c r="I2488" s="7" t="s">
        <v>1961</v>
      </c>
      <c r="K2488" s="10">
        <v>0.5</v>
      </c>
      <c r="L2488" s="11">
        <v>5</v>
      </c>
      <c r="M2488" s="11">
        <v>23</v>
      </c>
      <c r="N2488" s="12" t="s">
        <v>1049</v>
      </c>
      <c r="P2488" s="10">
        <v>150</v>
      </c>
      <c r="T2488" s="10">
        <v>100</v>
      </c>
      <c r="X2488" s="29">
        <v>1.3</v>
      </c>
      <c r="Y2488" s="7" t="s">
        <v>7</v>
      </c>
    </row>
    <row r="2489" spans="1:27" ht="23.1" customHeight="1" x14ac:dyDescent="0.25">
      <c r="A2489" t="s">
        <v>1221</v>
      </c>
      <c r="B2489" s="7" t="s">
        <v>137</v>
      </c>
      <c r="C2489" s="7">
        <v>58</v>
      </c>
      <c r="D2489" s="7" t="s">
        <v>1047</v>
      </c>
      <c r="E2489" s="8" t="s">
        <v>424</v>
      </c>
      <c r="F2489" s="9" t="s">
        <v>424</v>
      </c>
      <c r="G2489" s="7" t="s">
        <v>107</v>
      </c>
      <c r="H2489" s="7">
        <v>20</v>
      </c>
      <c r="I2489" s="7" t="s">
        <v>1974</v>
      </c>
      <c r="K2489" s="10">
        <v>6</v>
      </c>
      <c r="L2489" s="11">
        <v>5</v>
      </c>
      <c r="M2489" s="11">
        <v>23</v>
      </c>
      <c r="N2489" s="12" t="s">
        <v>1049</v>
      </c>
      <c r="P2489" s="10">
        <v>90</v>
      </c>
      <c r="T2489" s="10">
        <v>100</v>
      </c>
      <c r="V2489" s="13">
        <v>1</v>
      </c>
      <c r="X2489" s="29">
        <v>10.7</v>
      </c>
      <c r="Y2489" s="7" t="s">
        <v>7</v>
      </c>
    </row>
    <row r="2490" spans="1:27" ht="23.1" customHeight="1" x14ac:dyDescent="0.25">
      <c r="A2490" t="s">
        <v>1221</v>
      </c>
      <c r="B2490" s="7" t="s">
        <v>137</v>
      </c>
      <c r="C2490" s="7">
        <v>18</v>
      </c>
      <c r="D2490" s="7" t="s">
        <v>921</v>
      </c>
      <c r="E2490" s="8" t="s">
        <v>919</v>
      </c>
      <c r="F2490" s="9" t="s">
        <v>919</v>
      </c>
      <c r="G2490" s="7" t="s">
        <v>323</v>
      </c>
      <c r="H2490" s="7">
        <v>10</v>
      </c>
      <c r="I2490" s="7" t="s">
        <v>2114</v>
      </c>
      <c r="J2490" s="10">
        <v>10</v>
      </c>
      <c r="K2490" s="10">
        <v>10</v>
      </c>
      <c r="L2490" s="11">
        <v>5</v>
      </c>
      <c r="M2490" s="11">
        <v>5</v>
      </c>
      <c r="N2490" s="12" t="s">
        <v>780</v>
      </c>
      <c r="P2490" s="10">
        <v>60</v>
      </c>
      <c r="T2490" s="10">
        <v>90</v>
      </c>
      <c r="V2490" s="13">
        <v>1</v>
      </c>
      <c r="X2490" s="29">
        <v>11.5</v>
      </c>
      <c r="Y2490" s="7" t="s">
        <v>16</v>
      </c>
    </row>
    <row r="2491" spans="1:27" ht="23.1" customHeight="1" x14ac:dyDescent="0.25">
      <c r="A2491" t="s">
        <v>1221</v>
      </c>
      <c r="B2491" s="7" t="s">
        <v>137</v>
      </c>
      <c r="C2491" s="7">
        <v>18</v>
      </c>
      <c r="D2491" s="7" t="s">
        <v>921</v>
      </c>
      <c r="E2491" s="8" t="s">
        <v>919</v>
      </c>
      <c r="F2491" s="9" t="s">
        <v>919</v>
      </c>
      <c r="G2491" s="7" t="s">
        <v>323</v>
      </c>
      <c r="H2491" s="7">
        <v>15</v>
      </c>
      <c r="I2491" s="7" t="s">
        <v>2516</v>
      </c>
      <c r="J2491" s="10">
        <v>1</v>
      </c>
      <c r="K2491" s="10">
        <v>1</v>
      </c>
      <c r="L2491" s="11">
        <v>5</v>
      </c>
      <c r="M2491" s="11">
        <v>5</v>
      </c>
      <c r="N2491" s="12" t="s">
        <v>780</v>
      </c>
      <c r="P2491" s="10">
        <v>210</v>
      </c>
      <c r="T2491" s="10">
        <v>90</v>
      </c>
      <c r="V2491" s="13">
        <v>1</v>
      </c>
      <c r="X2491" s="29">
        <v>5</v>
      </c>
      <c r="Y2491" s="7" t="s">
        <v>16</v>
      </c>
    </row>
    <row r="2492" spans="1:27" ht="23.1" customHeight="1" x14ac:dyDescent="0.25">
      <c r="A2492" t="s">
        <v>1221</v>
      </c>
      <c r="B2492" s="7" t="s">
        <v>137</v>
      </c>
      <c r="C2492" s="7">
        <v>16</v>
      </c>
      <c r="D2492" s="7" t="s">
        <v>1045</v>
      </c>
      <c r="E2492" s="8" t="s">
        <v>409</v>
      </c>
      <c r="F2492" s="9" t="s">
        <v>409</v>
      </c>
      <c r="G2492" s="7" t="s">
        <v>102</v>
      </c>
      <c r="H2492" s="7">
        <v>15</v>
      </c>
      <c r="I2492" s="7" t="s">
        <v>2091</v>
      </c>
      <c r="J2492" s="10">
        <v>3</v>
      </c>
      <c r="K2492" s="10">
        <v>3</v>
      </c>
      <c r="L2492" s="11">
        <v>23</v>
      </c>
      <c r="M2492" s="11">
        <v>23</v>
      </c>
      <c r="N2492" s="12" t="s">
        <v>596</v>
      </c>
      <c r="P2492" s="10">
        <v>55</v>
      </c>
      <c r="T2492" s="10">
        <v>60</v>
      </c>
      <c r="X2492" s="29">
        <v>2.8</v>
      </c>
      <c r="Y2492" s="7" t="s">
        <v>63</v>
      </c>
    </row>
    <row r="2493" spans="1:27" ht="23.1" customHeight="1" x14ac:dyDescent="0.25">
      <c r="A2493" t="s">
        <v>1221</v>
      </c>
      <c r="B2493" s="7" t="s">
        <v>137</v>
      </c>
      <c r="C2493" s="7">
        <v>16</v>
      </c>
      <c r="D2493" s="7" t="s">
        <v>1045</v>
      </c>
      <c r="E2493" s="8" t="s">
        <v>409</v>
      </c>
      <c r="F2493" s="9" t="s">
        <v>409</v>
      </c>
      <c r="G2493" s="7" t="s">
        <v>102</v>
      </c>
      <c r="H2493" s="7">
        <v>20</v>
      </c>
      <c r="I2493" s="7" t="s">
        <v>2099</v>
      </c>
      <c r="J2493" s="10">
        <v>8</v>
      </c>
      <c r="K2493" s="10">
        <v>5</v>
      </c>
      <c r="L2493" s="11">
        <v>23</v>
      </c>
      <c r="M2493" s="11">
        <v>28</v>
      </c>
      <c r="N2493" s="12" t="s">
        <v>596</v>
      </c>
      <c r="P2493" s="10">
        <v>60</v>
      </c>
      <c r="T2493" s="10">
        <v>60</v>
      </c>
      <c r="V2493" s="13">
        <v>1</v>
      </c>
      <c r="W2493" s="14">
        <v>2</v>
      </c>
      <c r="X2493" s="29">
        <v>8</v>
      </c>
      <c r="Y2493" s="7" t="s">
        <v>63</v>
      </c>
      <c r="Z2493" t="s">
        <v>1704</v>
      </c>
      <c r="AA2493" t="s">
        <v>238</v>
      </c>
    </row>
    <row r="2494" spans="1:27" ht="23.1" customHeight="1" x14ac:dyDescent="0.25">
      <c r="A2494" t="s">
        <v>1221</v>
      </c>
      <c r="B2494" s="7" t="s">
        <v>137</v>
      </c>
      <c r="C2494" s="7">
        <v>11</v>
      </c>
      <c r="D2494" s="7" t="s">
        <v>1296</v>
      </c>
      <c r="E2494" s="8" t="s">
        <v>1297</v>
      </c>
      <c r="F2494" s="9" t="s">
        <v>1297</v>
      </c>
      <c r="G2494" s="7" t="s">
        <v>154</v>
      </c>
      <c r="H2494" s="7">
        <v>10</v>
      </c>
      <c r="I2494" s="7" t="s">
        <v>1916</v>
      </c>
      <c r="J2494" s="10">
        <v>16</v>
      </c>
      <c r="K2494" s="10">
        <v>21</v>
      </c>
      <c r="L2494" s="11">
        <v>5</v>
      </c>
      <c r="M2494" s="11">
        <v>5</v>
      </c>
      <c r="N2494" s="12" t="s">
        <v>1119</v>
      </c>
      <c r="P2494" s="10">
        <v>30</v>
      </c>
      <c r="T2494" s="10">
        <v>60</v>
      </c>
      <c r="X2494" s="29">
        <v>10.5</v>
      </c>
      <c r="Y2494" s="7" t="s">
        <v>63</v>
      </c>
    </row>
    <row r="2495" spans="1:27" ht="23.1" customHeight="1" x14ac:dyDescent="0.25">
      <c r="A2495" t="s">
        <v>1221</v>
      </c>
      <c r="B2495" s="7" t="s">
        <v>137</v>
      </c>
      <c r="C2495" s="7">
        <v>11</v>
      </c>
      <c r="D2495" s="7" t="s">
        <v>1296</v>
      </c>
      <c r="E2495" s="8" t="s">
        <v>1297</v>
      </c>
      <c r="F2495" s="9" t="s">
        <v>1297</v>
      </c>
      <c r="G2495" s="7" t="s">
        <v>154</v>
      </c>
      <c r="H2495" s="7">
        <v>25</v>
      </c>
      <c r="I2495" s="7" t="s">
        <v>2054</v>
      </c>
      <c r="K2495" s="10">
        <v>9</v>
      </c>
      <c r="L2495" s="11">
        <v>23</v>
      </c>
      <c r="M2495" s="11">
        <v>28</v>
      </c>
      <c r="N2495" s="12" t="s">
        <v>199</v>
      </c>
      <c r="P2495" s="10">
        <v>65</v>
      </c>
      <c r="T2495" s="10">
        <v>60</v>
      </c>
      <c r="V2495" s="13">
        <v>1</v>
      </c>
      <c r="X2495" s="29">
        <v>10.8</v>
      </c>
      <c r="Y2495" s="7" t="s">
        <v>63</v>
      </c>
      <c r="Z2495" t="s">
        <v>1705</v>
      </c>
    </row>
    <row r="2496" spans="1:27" ht="23.1" customHeight="1" x14ac:dyDescent="0.25">
      <c r="A2496" t="s">
        <v>1221</v>
      </c>
      <c r="B2496" s="7" t="s">
        <v>137</v>
      </c>
      <c r="C2496" s="7">
        <v>17</v>
      </c>
      <c r="D2496" s="7" t="s">
        <v>916</v>
      </c>
      <c r="E2496" s="8" t="s">
        <v>917</v>
      </c>
      <c r="F2496" s="9" t="s">
        <v>917</v>
      </c>
      <c r="G2496" s="7" t="s">
        <v>250</v>
      </c>
      <c r="H2496" s="7">
        <v>35</v>
      </c>
      <c r="I2496" s="7" t="s">
        <v>2333</v>
      </c>
      <c r="J2496" s="10">
        <v>5</v>
      </c>
      <c r="K2496" s="10">
        <v>5</v>
      </c>
      <c r="L2496" s="11">
        <v>5</v>
      </c>
      <c r="M2496" s="11">
        <v>5</v>
      </c>
      <c r="N2496" s="12" t="s">
        <v>247</v>
      </c>
      <c r="P2496" s="10">
        <v>55</v>
      </c>
      <c r="T2496" s="10">
        <v>60</v>
      </c>
      <c r="X2496" s="29">
        <v>4.5999999999999996</v>
      </c>
      <c r="Y2496" s="7" t="s">
        <v>16</v>
      </c>
    </row>
    <row r="2497" spans="1:26" ht="23.1" customHeight="1" x14ac:dyDescent="0.25">
      <c r="A2497" t="s">
        <v>1221</v>
      </c>
      <c r="B2497" s="7" t="s">
        <v>137</v>
      </c>
      <c r="C2497" s="7">
        <v>17</v>
      </c>
      <c r="D2497" s="7" t="s">
        <v>1702</v>
      </c>
      <c r="E2497" s="8" t="s">
        <v>625</v>
      </c>
      <c r="F2497" s="9" t="s">
        <v>625</v>
      </c>
      <c r="G2497" s="7" t="s">
        <v>250</v>
      </c>
      <c r="H2497" s="7">
        <v>10</v>
      </c>
      <c r="I2497" s="7" t="s">
        <v>2315</v>
      </c>
      <c r="J2497" s="10">
        <v>15</v>
      </c>
      <c r="K2497" s="10">
        <v>19</v>
      </c>
      <c r="L2497" s="11">
        <v>5</v>
      </c>
      <c r="M2497" s="11">
        <v>5</v>
      </c>
      <c r="N2497" s="12" t="s">
        <v>247</v>
      </c>
      <c r="P2497" s="10">
        <v>25</v>
      </c>
      <c r="T2497" s="10">
        <v>60</v>
      </c>
      <c r="V2497" s="13">
        <v>1</v>
      </c>
      <c r="X2497" s="29">
        <v>8.9</v>
      </c>
      <c r="Y2497" s="7" t="s">
        <v>16</v>
      </c>
    </row>
    <row r="2498" spans="1:26" ht="23.1" customHeight="1" x14ac:dyDescent="0.25">
      <c r="A2498" t="s">
        <v>1221</v>
      </c>
      <c r="B2498" s="7" t="s">
        <v>137</v>
      </c>
      <c r="C2498" s="7">
        <v>57</v>
      </c>
      <c r="D2498" s="7" t="s">
        <v>1042</v>
      </c>
      <c r="E2498" s="8" t="s">
        <v>1281</v>
      </c>
      <c r="F2498" s="9" t="s">
        <v>1281</v>
      </c>
      <c r="G2498" s="7" t="s">
        <v>107</v>
      </c>
      <c r="H2498" s="7">
        <v>10</v>
      </c>
      <c r="I2498" s="7" t="s">
        <v>2403</v>
      </c>
      <c r="J2498" s="10">
        <v>4</v>
      </c>
      <c r="K2498" s="10">
        <v>4</v>
      </c>
      <c r="L2498" s="11">
        <v>23</v>
      </c>
      <c r="M2498" s="11">
        <v>23</v>
      </c>
      <c r="N2498" s="12" t="s">
        <v>1033</v>
      </c>
      <c r="P2498" s="10">
        <v>90</v>
      </c>
      <c r="T2498" s="10">
        <v>90</v>
      </c>
      <c r="X2498" s="29">
        <v>6</v>
      </c>
      <c r="Y2498" s="7" t="s">
        <v>7</v>
      </c>
    </row>
    <row r="2499" spans="1:26" ht="23.1" customHeight="1" x14ac:dyDescent="0.25">
      <c r="A2499" t="s">
        <v>1221</v>
      </c>
      <c r="B2499" s="7" t="s">
        <v>113</v>
      </c>
      <c r="C2499" s="7">
        <v>77</v>
      </c>
      <c r="D2499" s="7" t="s">
        <v>1698</v>
      </c>
      <c r="E2499" s="8" t="s">
        <v>1699</v>
      </c>
      <c r="F2499" s="9" t="s">
        <v>1699</v>
      </c>
      <c r="G2499" s="7" t="s">
        <v>118</v>
      </c>
      <c r="H2499" s="7">
        <v>10</v>
      </c>
      <c r="I2499" s="7" t="s">
        <v>1916</v>
      </c>
      <c r="J2499" s="10">
        <v>20</v>
      </c>
      <c r="K2499" s="10">
        <v>52</v>
      </c>
      <c r="L2499" s="11">
        <v>5</v>
      </c>
      <c r="M2499" s="11">
        <v>31</v>
      </c>
      <c r="N2499" s="12" t="s">
        <v>282</v>
      </c>
      <c r="P2499" s="10">
        <v>30</v>
      </c>
      <c r="T2499" s="10">
        <v>60</v>
      </c>
      <c r="X2499" s="29">
        <v>26</v>
      </c>
      <c r="Y2499" s="7" t="s">
        <v>15</v>
      </c>
    </row>
    <row r="2500" spans="1:26" ht="23.1" customHeight="1" x14ac:dyDescent="0.25">
      <c r="A2500" t="s">
        <v>1221</v>
      </c>
      <c r="B2500" s="7" t="s">
        <v>113</v>
      </c>
      <c r="C2500" s="7">
        <v>24</v>
      </c>
      <c r="D2500" s="7" t="s">
        <v>738</v>
      </c>
      <c r="E2500" s="8" t="s">
        <v>739</v>
      </c>
      <c r="F2500" s="9" t="s">
        <v>739</v>
      </c>
      <c r="G2500" s="7" t="s">
        <v>107</v>
      </c>
      <c r="H2500" s="7">
        <v>25</v>
      </c>
      <c r="I2500" s="7" t="s">
        <v>2035</v>
      </c>
      <c r="J2500" s="10">
        <v>1</v>
      </c>
      <c r="K2500" s="10">
        <v>1</v>
      </c>
      <c r="L2500" s="11">
        <v>28</v>
      </c>
      <c r="N2500" s="12" t="s">
        <v>1169</v>
      </c>
      <c r="P2500" s="10">
        <v>840</v>
      </c>
      <c r="Q2500" s="10">
        <v>120</v>
      </c>
      <c r="S2500" s="11">
        <v>1</v>
      </c>
      <c r="T2500" s="10">
        <v>150</v>
      </c>
      <c r="X2500" s="29">
        <v>16</v>
      </c>
      <c r="Y2500" s="7" t="s">
        <v>53</v>
      </c>
    </row>
    <row r="2501" spans="1:26" ht="23.1" customHeight="1" x14ac:dyDescent="0.25">
      <c r="A2501" t="s">
        <v>1221</v>
      </c>
      <c r="B2501" s="7" t="s">
        <v>113</v>
      </c>
      <c r="C2501" s="7">
        <v>24</v>
      </c>
      <c r="D2501" s="7" t="s">
        <v>776</v>
      </c>
      <c r="E2501" s="8" t="s">
        <v>777</v>
      </c>
      <c r="F2501" s="9" t="s">
        <v>777</v>
      </c>
      <c r="G2501" s="7" t="s">
        <v>107</v>
      </c>
      <c r="H2501" s="7">
        <v>30</v>
      </c>
      <c r="I2501" s="7" t="s">
        <v>2061</v>
      </c>
      <c r="J2501" s="10">
        <v>0.1</v>
      </c>
      <c r="K2501" s="10">
        <v>0.1</v>
      </c>
      <c r="L2501" s="11">
        <v>23</v>
      </c>
      <c r="N2501" s="12" t="s">
        <v>861</v>
      </c>
      <c r="P2501" s="10">
        <v>1700</v>
      </c>
      <c r="Q2501" s="10">
        <v>120</v>
      </c>
      <c r="S2501" s="11">
        <v>1</v>
      </c>
      <c r="T2501" s="10">
        <v>210</v>
      </c>
      <c r="V2501" s="13">
        <v>1</v>
      </c>
      <c r="X2501" s="29">
        <v>8.3000000000000007</v>
      </c>
      <c r="Y2501" s="7" t="s">
        <v>53</v>
      </c>
    </row>
    <row r="2502" spans="1:26" ht="23.1" customHeight="1" x14ac:dyDescent="0.25">
      <c r="A2502" t="s">
        <v>1221</v>
      </c>
      <c r="B2502" s="7" t="s">
        <v>113</v>
      </c>
      <c r="C2502" s="7">
        <v>69</v>
      </c>
      <c r="D2502" s="7" t="s">
        <v>1095</v>
      </c>
      <c r="E2502" s="8" t="s">
        <v>1096</v>
      </c>
      <c r="F2502" s="9" t="s">
        <v>1096</v>
      </c>
      <c r="G2502" s="7" t="s">
        <v>658</v>
      </c>
      <c r="H2502" s="7">
        <v>62</v>
      </c>
      <c r="J2502" s="10">
        <v>6</v>
      </c>
      <c r="K2502" s="10">
        <v>7.5</v>
      </c>
      <c r="L2502" s="11">
        <v>28</v>
      </c>
      <c r="M2502" s="11">
        <v>28</v>
      </c>
      <c r="N2502" s="12" t="s">
        <v>282</v>
      </c>
      <c r="O2502" s="10">
        <v>210</v>
      </c>
      <c r="R2502" s="10">
        <v>60</v>
      </c>
      <c r="S2502" s="11">
        <v>7</v>
      </c>
      <c r="X2502" s="32">
        <v>33.299999999999997</v>
      </c>
      <c r="Y2502" s="7" t="s">
        <v>53</v>
      </c>
    </row>
    <row r="2503" spans="1:26" ht="23.1" customHeight="1" x14ac:dyDescent="0.25">
      <c r="A2503" t="s">
        <v>1221</v>
      </c>
      <c r="B2503" s="7" t="s">
        <v>113</v>
      </c>
      <c r="C2503" s="7">
        <v>91</v>
      </c>
      <c r="D2503" s="7" t="s">
        <v>254</v>
      </c>
      <c r="E2503" s="8" t="s">
        <v>255</v>
      </c>
      <c r="F2503" s="9" t="s">
        <v>1016</v>
      </c>
      <c r="G2503" s="7" t="s">
        <v>375</v>
      </c>
      <c r="H2503" s="7">
        <v>40</v>
      </c>
      <c r="I2503" s="7" t="s">
        <v>2110</v>
      </c>
      <c r="J2503" s="10">
        <v>0.4</v>
      </c>
      <c r="K2503" s="10">
        <v>0.3</v>
      </c>
      <c r="L2503" s="11">
        <v>28</v>
      </c>
      <c r="N2503" s="12" t="s">
        <v>664</v>
      </c>
      <c r="P2503" s="10">
        <v>3000</v>
      </c>
      <c r="Q2503" s="10">
        <v>90</v>
      </c>
      <c r="T2503" s="10">
        <v>120</v>
      </c>
      <c r="W2503" s="14">
        <v>4</v>
      </c>
      <c r="X2503" s="29">
        <v>19</v>
      </c>
      <c r="Y2503" s="7" t="s">
        <v>53</v>
      </c>
      <c r="Z2503" t="s">
        <v>1706</v>
      </c>
    </row>
    <row r="2504" spans="1:26" ht="23.1" customHeight="1" x14ac:dyDescent="0.25">
      <c r="A2504" t="s">
        <v>1221</v>
      </c>
      <c r="B2504" s="7" t="s">
        <v>113</v>
      </c>
      <c r="C2504" s="7">
        <v>84</v>
      </c>
      <c r="D2504" s="7" t="s">
        <v>436</v>
      </c>
      <c r="E2504" s="8" t="s">
        <v>437</v>
      </c>
      <c r="F2504" s="9" t="s">
        <v>437</v>
      </c>
      <c r="G2504" s="7" t="s">
        <v>154</v>
      </c>
      <c r="H2504" s="7">
        <v>25</v>
      </c>
      <c r="I2504" s="7" t="s">
        <v>2517</v>
      </c>
      <c r="J2504" s="10">
        <v>2</v>
      </c>
      <c r="K2504" s="10">
        <v>2</v>
      </c>
      <c r="L2504" s="11">
        <v>23</v>
      </c>
      <c r="M2504" s="11">
        <v>28</v>
      </c>
      <c r="N2504" s="12" t="s">
        <v>438</v>
      </c>
      <c r="P2504" s="10">
        <v>150</v>
      </c>
      <c r="Q2504" s="10">
        <v>60</v>
      </c>
      <c r="S2504" s="11">
        <v>2</v>
      </c>
      <c r="T2504" s="10">
        <v>120</v>
      </c>
      <c r="V2504" s="13">
        <v>1</v>
      </c>
      <c r="X2504" s="29">
        <v>9</v>
      </c>
      <c r="Y2504" s="7" t="s">
        <v>53</v>
      </c>
    </row>
    <row r="2505" spans="1:26" ht="23.1" customHeight="1" x14ac:dyDescent="0.25">
      <c r="A2505" t="s">
        <v>1221</v>
      </c>
      <c r="B2505" s="7" t="s">
        <v>113</v>
      </c>
      <c r="C2505" s="7">
        <v>84</v>
      </c>
      <c r="D2505" s="7" t="s">
        <v>1707</v>
      </c>
      <c r="E2505" s="8" t="s">
        <v>437</v>
      </c>
      <c r="F2505" s="9" t="s">
        <v>437</v>
      </c>
      <c r="G2505" s="7" t="s">
        <v>154</v>
      </c>
      <c r="H2505" s="7">
        <v>25</v>
      </c>
      <c r="I2505" s="7" t="s">
        <v>2336</v>
      </c>
      <c r="J2505" s="10">
        <v>2</v>
      </c>
      <c r="K2505" s="10">
        <v>2</v>
      </c>
      <c r="L2505" s="11">
        <v>28</v>
      </c>
      <c r="M2505" s="11">
        <v>28</v>
      </c>
      <c r="N2505" s="12" t="s">
        <v>438</v>
      </c>
      <c r="P2505" s="10">
        <v>180</v>
      </c>
      <c r="Q2505" s="10">
        <v>60</v>
      </c>
      <c r="S2505" s="11">
        <v>2</v>
      </c>
      <c r="T2505" s="10">
        <v>120</v>
      </c>
      <c r="V2505" s="13">
        <v>1</v>
      </c>
      <c r="W2505" s="10">
        <v>3</v>
      </c>
      <c r="X2505" s="29">
        <v>13</v>
      </c>
      <c r="Y2505" s="7" t="s">
        <v>53</v>
      </c>
      <c r="Z2505" t="s">
        <v>1697</v>
      </c>
    </row>
    <row r="2506" spans="1:26" ht="23.1" customHeight="1" x14ac:dyDescent="0.25">
      <c r="A2506" t="s">
        <v>1221</v>
      </c>
      <c r="B2506" s="7" t="s">
        <v>113</v>
      </c>
      <c r="C2506" s="7">
        <v>84</v>
      </c>
      <c r="D2506" s="7" t="s">
        <v>441</v>
      </c>
      <c r="E2506" s="8" t="s">
        <v>437</v>
      </c>
      <c r="F2506" s="9" t="s">
        <v>437</v>
      </c>
      <c r="G2506" s="7" t="s">
        <v>154</v>
      </c>
      <c r="H2506" s="7">
        <v>25</v>
      </c>
      <c r="I2506" s="7" t="s">
        <v>2052</v>
      </c>
      <c r="J2506" s="10">
        <v>2</v>
      </c>
      <c r="K2506" s="10">
        <v>2</v>
      </c>
      <c r="L2506" s="11">
        <v>28</v>
      </c>
      <c r="M2506" s="11">
        <v>28</v>
      </c>
      <c r="N2506" s="12" t="s">
        <v>438</v>
      </c>
      <c r="P2506" s="10">
        <v>150</v>
      </c>
      <c r="Q2506" s="10">
        <v>60</v>
      </c>
      <c r="S2506" s="11">
        <v>2</v>
      </c>
      <c r="T2506" s="10">
        <v>120</v>
      </c>
      <c r="V2506" s="13">
        <v>1</v>
      </c>
      <c r="X2506" s="29">
        <v>9</v>
      </c>
      <c r="Y2506" s="7" t="s">
        <v>53</v>
      </c>
    </row>
    <row r="2507" spans="1:26" ht="23.1" customHeight="1" x14ac:dyDescent="0.25">
      <c r="A2507" t="s">
        <v>1221</v>
      </c>
      <c r="B2507" s="7" t="s">
        <v>113</v>
      </c>
      <c r="C2507" s="7">
        <v>119</v>
      </c>
      <c r="D2507" s="7" t="s">
        <v>937</v>
      </c>
      <c r="E2507" s="8" t="s">
        <v>938</v>
      </c>
      <c r="F2507" s="9" t="s">
        <v>938</v>
      </c>
      <c r="G2507" s="7" t="s">
        <v>939</v>
      </c>
      <c r="H2507" s="7">
        <v>60</v>
      </c>
      <c r="I2507" s="7" t="s">
        <v>2203</v>
      </c>
      <c r="J2507" s="10">
        <v>0.4</v>
      </c>
      <c r="K2507" s="10">
        <v>0.3</v>
      </c>
      <c r="L2507" s="11">
        <v>5</v>
      </c>
      <c r="N2507" s="12" t="s">
        <v>470</v>
      </c>
      <c r="P2507" s="10">
        <v>900</v>
      </c>
      <c r="Q2507" s="10">
        <v>90</v>
      </c>
      <c r="T2507" s="10">
        <v>180</v>
      </c>
      <c r="W2507" s="14">
        <v>3</v>
      </c>
      <c r="X2507" s="29">
        <v>7.5</v>
      </c>
      <c r="Y2507" s="7" t="s">
        <v>53</v>
      </c>
      <c r="Z2507" t="s">
        <v>1697</v>
      </c>
    </row>
    <row r="2508" spans="1:26" ht="23.1" customHeight="1" x14ac:dyDescent="0.25">
      <c r="A2508" t="s">
        <v>1221</v>
      </c>
      <c r="B2508" s="7" t="s">
        <v>113</v>
      </c>
      <c r="C2508" s="7">
        <v>119</v>
      </c>
      <c r="D2508" s="7" t="s">
        <v>1067</v>
      </c>
      <c r="E2508" s="8" t="s">
        <v>1068</v>
      </c>
      <c r="F2508" s="9" t="s">
        <v>1068</v>
      </c>
      <c r="G2508" s="42" t="s">
        <v>323</v>
      </c>
      <c r="H2508" s="7">
        <v>50</v>
      </c>
      <c r="I2508" s="7" t="s">
        <v>2337</v>
      </c>
      <c r="J2508" s="10">
        <v>0.3</v>
      </c>
      <c r="K2508" s="10">
        <v>1</v>
      </c>
      <c r="L2508" s="11">
        <v>28</v>
      </c>
      <c r="N2508" s="12" t="s">
        <v>316</v>
      </c>
      <c r="P2508" s="10">
        <v>150</v>
      </c>
      <c r="Q2508" s="10">
        <v>75</v>
      </c>
      <c r="S2508" s="11">
        <v>1</v>
      </c>
      <c r="T2508" s="10">
        <v>180</v>
      </c>
      <c r="V2508" s="13">
        <v>1</v>
      </c>
      <c r="W2508" s="10">
        <v>4</v>
      </c>
      <c r="X2508" s="29">
        <v>10.8</v>
      </c>
      <c r="Y2508" s="7" t="s">
        <v>53</v>
      </c>
      <c r="Z2508" t="s">
        <v>1474</v>
      </c>
    </row>
    <row r="2509" spans="1:26" ht="23.1" customHeight="1" x14ac:dyDescent="0.25">
      <c r="A2509" t="s">
        <v>1221</v>
      </c>
      <c r="B2509" s="7" t="s">
        <v>113</v>
      </c>
      <c r="C2509" s="7">
        <v>121</v>
      </c>
      <c r="D2509" s="7" t="s">
        <v>1071</v>
      </c>
      <c r="E2509" s="8" t="s">
        <v>1072</v>
      </c>
      <c r="F2509" s="9" t="e">
        <v>#N/A</v>
      </c>
      <c r="G2509" s="7" t="s">
        <v>250</v>
      </c>
      <c r="H2509" s="7">
        <v>35</v>
      </c>
      <c r="I2509" s="7" t="s">
        <v>2328</v>
      </c>
      <c r="J2509" s="10">
        <v>1.5</v>
      </c>
      <c r="K2509" s="10">
        <v>1.3</v>
      </c>
      <c r="L2509" s="11">
        <v>28</v>
      </c>
      <c r="M2509" s="11">
        <v>31</v>
      </c>
      <c r="N2509" s="12" t="s">
        <v>1588</v>
      </c>
      <c r="P2509" s="10">
        <v>960</v>
      </c>
      <c r="Q2509" s="10">
        <v>90</v>
      </c>
      <c r="S2509" s="11">
        <v>1</v>
      </c>
      <c r="T2509" s="10">
        <v>180</v>
      </c>
      <c r="X2509" s="29">
        <v>22.3</v>
      </c>
      <c r="Y2509" s="7" t="s">
        <v>53</v>
      </c>
      <c r="Z2509" t="s">
        <v>1708</v>
      </c>
    </row>
    <row r="2510" spans="1:26" ht="23.1" customHeight="1" x14ac:dyDescent="0.25">
      <c r="A2510" t="s">
        <v>1221</v>
      </c>
      <c r="B2510" s="7" t="s">
        <v>113</v>
      </c>
      <c r="C2510" s="7">
        <v>76</v>
      </c>
      <c r="D2510" s="7" t="s">
        <v>1553</v>
      </c>
      <c r="E2510" s="8" t="s">
        <v>409</v>
      </c>
      <c r="F2510" s="9" t="e">
        <v>#N/A</v>
      </c>
      <c r="G2510" s="7" t="s">
        <v>102</v>
      </c>
      <c r="H2510" s="7">
        <v>15</v>
      </c>
      <c r="K2510" s="10">
        <v>8</v>
      </c>
      <c r="L2510" s="11">
        <v>5</v>
      </c>
      <c r="M2510" s="11">
        <v>31</v>
      </c>
      <c r="N2510" s="12" t="s">
        <v>596</v>
      </c>
      <c r="O2510" s="10">
        <v>35</v>
      </c>
      <c r="U2510" s="10">
        <v>90</v>
      </c>
      <c r="V2510" s="13">
        <v>1</v>
      </c>
      <c r="X2510" s="32">
        <v>6.2</v>
      </c>
      <c r="Y2510" s="7" t="s">
        <v>46</v>
      </c>
      <c r="Z2510" t="s">
        <v>1709</v>
      </c>
    </row>
    <row r="2511" spans="1:26" ht="23.1" customHeight="1" x14ac:dyDescent="0.25">
      <c r="A2511" t="s">
        <v>1221</v>
      </c>
      <c r="B2511" s="7" t="s">
        <v>113</v>
      </c>
      <c r="C2511" s="7">
        <v>76</v>
      </c>
      <c r="D2511" s="7" t="s">
        <v>1553</v>
      </c>
      <c r="E2511" s="8" t="s">
        <v>409</v>
      </c>
      <c r="F2511" s="9" t="e">
        <v>#N/A</v>
      </c>
      <c r="G2511" s="7" t="s">
        <v>102</v>
      </c>
      <c r="H2511" s="7">
        <v>20</v>
      </c>
      <c r="K2511" s="10">
        <v>8</v>
      </c>
      <c r="L2511" s="11">
        <v>5</v>
      </c>
      <c r="M2511" s="11">
        <v>31</v>
      </c>
      <c r="N2511" s="12" t="s">
        <v>596</v>
      </c>
      <c r="O2511" s="10">
        <v>20</v>
      </c>
      <c r="U2511" s="10">
        <v>60</v>
      </c>
      <c r="V2511" s="13">
        <v>1</v>
      </c>
      <c r="X2511" s="32">
        <v>3.7</v>
      </c>
      <c r="Y2511" s="7" t="s">
        <v>46</v>
      </c>
      <c r="Z2511" t="s">
        <v>1710</v>
      </c>
    </row>
    <row r="2512" spans="1:26" ht="23.1" customHeight="1" x14ac:dyDescent="0.25">
      <c r="A2512" t="s">
        <v>1221</v>
      </c>
      <c r="B2512" s="7" t="s">
        <v>113</v>
      </c>
      <c r="C2512" s="7">
        <v>55</v>
      </c>
      <c r="D2512" s="7" t="s">
        <v>273</v>
      </c>
      <c r="E2512" s="8" t="s">
        <v>274</v>
      </c>
      <c r="F2512" s="9" t="s">
        <v>274</v>
      </c>
      <c r="G2512" s="7" t="s">
        <v>123</v>
      </c>
      <c r="H2512" s="7">
        <v>45</v>
      </c>
      <c r="I2512" s="7" t="s">
        <v>1954</v>
      </c>
      <c r="J2512" s="10">
        <v>3</v>
      </c>
      <c r="K2512" s="10">
        <v>3</v>
      </c>
      <c r="L2512" s="11">
        <v>31</v>
      </c>
      <c r="M2512" s="11">
        <v>37</v>
      </c>
      <c r="N2512" s="12" t="s">
        <v>275</v>
      </c>
      <c r="P2512" s="10">
        <v>240</v>
      </c>
      <c r="T2512" s="10">
        <v>90</v>
      </c>
      <c r="V2512" s="13">
        <v>1</v>
      </c>
      <c r="X2512" s="29">
        <v>13.5</v>
      </c>
      <c r="Y2512" s="7" t="s">
        <v>44</v>
      </c>
    </row>
    <row r="2513" spans="1:27" ht="23.1" customHeight="1" x14ac:dyDescent="0.25">
      <c r="A2513" t="s">
        <v>1221</v>
      </c>
      <c r="B2513" s="7" t="s">
        <v>113</v>
      </c>
      <c r="C2513" s="7">
        <v>58</v>
      </c>
      <c r="D2513" s="7" t="s">
        <v>1047</v>
      </c>
      <c r="E2513" s="8" t="s">
        <v>424</v>
      </c>
      <c r="F2513" s="9" t="s">
        <v>424</v>
      </c>
      <c r="G2513" s="7" t="s">
        <v>107</v>
      </c>
      <c r="H2513" s="7">
        <v>20</v>
      </c>
      <c r="I2513" s="7" t="s">
        <v>1974</v>
      </c>
      <c r="J2513" s="10">
        <v>2</v>
      </c>
      <c r="K2513" s="10">
        <v>1</v>
      </c>
      <c r="L2513" s="11">
        <v>28</v>
      </c>
      <c r="N2513" s="12" t="s">
        <v>1440</v>
      </c>
      <c r="P2513" s="10">
        <v>90</v>
      </c>
      <c r="T2513" s="10">
        <v>100</v>
      </c>
      <c r="X2513" s="29">
        <v>1.5</v>
      </c>
      <c r="Y2513" s="7" t="s">
        <v>57</v>
      </c>
    </row>
    <row r="2514" spans="1:27" ht="23.1" customHeight="1" x14ac:dyDescent="0.25">
      <c r="A2514" t="s">
        <v>1221</v>
      </c>
      <c r="B2514" s="7" t="s">
        <v>113</v>
      </c>
      <c r="C2514" s="7">
        <v>58</v>
      </c>
      <c r="D2514" s="7" t="s">
        <v>1047</v>
      </c>
      <c r="E2514" s="8" t="s">
        <v>424</v>
      </c>
      <c r="F2514" s="9" t="s">
        <v>424</v>
      </c>
      <c r="G2514" s="7" t="s">
        <v>107</v>
      </c>
      <c r="H2514" s="7">
        <v>25</v>
      </c>
      <c r="I2514" s="7" t="s">
        <v>2518</v>
      </c>
      <c r="J2514" s="10">
        <v>3</v>
      </c>
      <c r="K2514" s="10">
        <v>3</v>
      </c>
      <c r="L2514" s="11">
        <v>28</v>
      </c>
      <c r="M2514" s="11">
        <v>9</v>
      </c>
      <c r="N2514" s="12" t="s">
        <v>1049</v>
      </c>
      <c r="P2514" s="10">
        <v>85</v>
      </c>
      <c r="T2514" s="10">
        <v>120</v>
      </c>
      <c r="V2514" s="13">
        <v>1</v>
      </c>
      <c r="W2514" s="14">
        <v>2</v>
      </c>
      <c r="X2514" s="29">
        <v>8.3000000000000007</v>
      </c>
      <c r="Y2514" s="7" t="s">
        <v>57</v>
      </c>
      <c r="Z2514" t="s">
        <v>1671</v>
      </c>
      <c r="AA2514" t="s">
        <v>238</v>
      </c>
    </row>
    <row r="2515" spans="1:27" ht="23.1" customHeight="1" x14ac:dyDescent="0.25">
      <c r="A2515" t="s">
        <v>1221</v>
      </c>
      <c r="B2515" s="7" t="s">
        <v>113</v>
      </c>
      <c r="C2515" s="7">
        <v>57</v>
      </c>
      <c r="D2515" s="7" t="s">
        <v>1042</v>
      </c>
      <c r="E2515" s="8" t="s">
        <v>1281</v>
      </c>
      <c r="F2515" s="9" t="s">
        <v>1281</v>
      </c>
      <c r="G2515" s="7" t="s">
        <v>107</v>
      </c>
      <c r="H2515" s="7">
        <v>15</v>
      </c>
      <c r="I2515" s="7" t="s">
        <v>2338</v>
      </c>
      <c r="J2515" s="10">
        <v>3.5</v>
      </c>
      <c r="K2515" s="10">
        <v>2</v>
      </c>
      <c r="L2515" s="11">
        <v>19</v>
      </c>
      <c r="M2515" s="11">
        <v>19</v>
      </c>
      <c r="N2515" s="12" t="s">
        <v>1043</v>
      </c>
      <c r="P2515" s="10">
        <v>180</v>
      </c>
      <c r="T2515" s="10">
        <v>90</v>
      </c>
      <c r="V2515" s="13">
        <v>1</v>
      </c>
      <c r="W2515" s="14">
        <v>3</v>
      </c>
      <c r="X2515" s="29">
        <v>10.5</v>
      </c>
      <c r="Y2515" s="7" t="s">
        <v>57</v>
      </c>
      <c r="Z2515" t="s">
        <v>1711</v>
      </c>
      <c r="AA2515" t="s">
        <v>238</v>
      </c>
    </row>
    <row r="2516" spans="1:27" ht="23.1" customHeight="1" x14ac:dyDescent="0.25">
      <c r="A2516" t="s">
        <v>1221</v>
      </c>
      <c r="B2516" s="7" t="s">
        <v>113</v>
      </c>
      <c r="C2516" s="7">
        <v>23</v>
      </c>
      <c r="D2516" s="7" t="s">
        <v>987</v>
      </c>
      <c r="E2516" s="8" t="s">
        <v>988</v>
      </c>
      <c r="F2516" s="9" t="s">
        <v>988</v>
      </c>
      <c r="G2516" s="7" t="s">
        <v>300</v>
      </c>
      <c r="H2516" s="7">
        <v>20</v>
      </c>
      <c r="I2516" s="7" t="s">
        <v>2332</v>
      </c>
      <c r="J2516" s="10">
        <v>0.3</v>
      </c>
      <c r="K2516" s="10">
        <v>0.2</v>
      </c>
      <c r="L2516" s="11">
        <v>31</v>
      </c>
      <c r="N2516" s="12" t="s">
        <v>155</v>
      </c>
      <c r="P2516" s="10">
        <v>420</v>
      </c>
      <c r="Q2516" s="10">
        <v>60</v>
      </c>
      <c r="T2516" s="10">
        <v>90</v>
      </c>
      <c r="X2516" s="29">
        <v>1.4</v>
      </c>
      <c r="Y2516" s="7" t="s">
        <v>33</v>
      </c>
    </row>
    <row r="2517" spans="1:27" ht="23.1" customHeight="1" x14ac:dyDescent="0.25">
      <c r="A2517" t="s">
        <v>1221</v>
      </c>
      <c r="B2517" s="7" t="s">
        <v>113</v>
      </c>
      <c r="C2517" s="7">
        <v>23</v>
      </c>
      <c r="D2517" s="7" t="s">
        <v>990</v>
      </c>
      <c r="E2517" s="8" t="s">
        <v>991</v>
      </c>
      <c r="F2517" s="9" t="s">
        <v>991</v>
      </c>
      <c r="G2517" s="7" t="s">
        <v>300</v>
      </c>
      <c r="H2517" s="7">
        <v>20</v>
      </c>
      <c r="I2517" s="7" t="s">
        <v>2332</v>
      </c>
      <c r="J2517" s="10">
        <v>2</v>
      </c>
      <c r="K2517" s="10">
        <v>2.4</v>
      </c>
      <c r="L2517" s="11">
        <v>28</v>
      </c>
      <c r="M2517" s="11">
        <v>19</v>
      </c>
      <c r="N2517" s="12" t="s">
        <v>989</v>
      </c>
      <c r="P2517" s="10">
        <v>420</v>
      </c>
      <c r="Q2517" s="10">
        <v>60</v>
      </c>
      <c r="S2517" s="11">
        <v>3</v>
      </c>
      <c r="T2517" s="10">
        <v>90</v>
      </c>
      <c r="V2517" s="13">
        <v>1</v>
      </c>
      <c r="X2517" s="29">
        <v>21.3</v>
      </c>
      <c r="Y2517" s="7" t="s">
        <v>33</v>
      </c>
    </row>
    <row r="2518" spans="1:27" ht="23.1" customHeight="1" x14ac:dyDescent="0.25">
      <c r="A2518" t="s">
        <v>1221</v>
      </c>
      <c r="B2518" s="7" t="s">
        <v>113</v>
      </c>
      <c r="C2518" s="7">
        <v>47</v>
      </c>
      <c r="D2518" s="7" t="s">
        <v>978</v>
      </c>
      <c r="E2518" s="8" t="s">
        <v>979</v>
      </c>
      <c r="F2518" s="9" t="s">
        <v>979</v>
      </c>
      <c r="G2518" s="7" t="s">
        <v>154</v>
      </c>
      <c r="H2518" s="7">
        <v>60</v>
      </c>
      <c r="I2518" s="7" t="s">
        <v>2331</v>
      </c>
      <c r="J2518" s="10">
        <v>0.8</v>
      </c>
      <c r="K2518" s="10">
        <v>1.5</v>
      </c>
      <c r="L2518" s="11">
        <v>28</v>
      </c>
      <c r="M2518" s="11">
        <v>19</v>
      </c>
      <c r="N2518" s="12" t="s">
        <v>1018</v>
      </c>
      <c r="P2518" s="10">
        <v>520</v>
      </c>
      <c r="Q2518" s="10">
        <v>120</v>
      </c>
      <c r="S2518" s="11">
        <v>2</v>
      </c>
      <c r="T2518" s="10">
        <v>90</v>
      </c>
      <c r="V2518" s="13">
        <v>1</v>
      </c>
      <c r="X2518" s="29">
        <v>18.5</v>
      </c>
      <c r="Y2518" s="7" t="s">
        <v>33</v>
      </c>
    </row>
    <row r="2519" spans="1:27" ht="23.1" customHeight="1" x14ac:dyDescent="0.25">
      <c r="A2519" t="s">
        <v>1221</v>
      </c>
      <c r="B2519" s="7" t="s">
        <v>113</v>
      </c>
      <c r="C2519" s="7">
        <v>9</v>
      </c>
      <c r="D2519" s="7" t="s">
        <v>911</v>
      </c>
      <c r="E2519" s="8" t="s">
        <v>912</v>
      </c>
      <c r="F2519" s="9" t="s">
        <v>912</v>
      </c>
      <c r="G2519" s="7" t="s">
        <v>154</v>
      </c>
      <c r="H2519" s="7">
        <v>20</v>
      </c>
      <c r="I2519" s="7" t="s">
        <v>2235</v>
      </c>
      <c r="J2519" s="10">
        <v>5</v>
      </c>
      <c r="K2519" s="10">
        <v>6.2</v>
      </c>
      <c r="L2519" s="11">
        <v>28</v>
      </c>
      <c r="M2519" s="11">
        <v>37</v>
      </c>
      <c r="N2519" s="12" t="s">
        <v>913</v>
      </c>
      <c r="P2519" s="10">
        <v>140</v>
      </c>
      <c r="T2519" s="10">
        <v>60</v>
      </c>
      <c r="X2519" s="29">
        <v>14.5</v>
      </c>
      <c r="Y2519" s="7" t="s">
        <v>55</v>
      </c>
    </row>
    <row r="2520" spans="1:27" ht="23.1" customHeight="1" x14ac:dyDescent="0.25">
      <c r="A2520" t="s">
        <v>1221</v>
      </c>
      <c r="B2520" s="7" t="s">
        <v>113</v>
      </c>
      <c r="C2520" s="7">
        <v>10</v>
      </c>
      <c r="D2520" s="7" t="s">
        <v>946</v>
      </c>
      <c r="E2520" s="8" t="s">
        <v>947</v>
      </c>
      <c r="F2520" s="9" t="s">
        <v>947</v>
      </c>
      <c r="G2520" s="7" t="s">
        <v>300</v>
      </c>
      <c r="H2520" s="7">
        <v>20</v>
      </c>
      <c r="I2520" s="7" t="s">
        <v>2234</v>
      </c>
      <c r="J2520" s="10">
        <v>1.6</v>
      </c>
      <c r="K2520" s="10">
        <v>1.8</v>
      </c>
      <c r="L2520" s="11">
        <v>28</v>
      </c>
      <c r="M2520" s="11">
        <v>9</v>
      </c>
      <c r="N2520" s="12" t="s">
        <v>1712</v>
      </c>
      <c r="P2520" s="10">
        <v>360</v>
      </c>
      <c r="T2520" s="10">
        <v>90</v>
      </c>
      <c r="X2520" s="29">
        <v>10.8</v>
      </c>
      <c r="Y2520" s="7" t="s">
        <v>55</v>
      </c>
    </row>
    <row r="2521" spans="1:27" ht="23.1" customHeight="1" x14ac:dyDescent="0.25">
      <c r="A2521" t="s">
        <v>1221</v>
      </c>
      <c r="B2521" s="7" t="s">
        <v>113</v>
      </c>
      <c r="C2521" s="7">
        <v>9</v>
      </c>
      <c r="D2521" s="7" t="s">
        <v>1341</v>
      </c>
      <c r="E2521" s="8" t="s">
        <v>595</v>
      </c>
      <c r="F2521" s="9" t="s">
        <v>595</v>
      </c>
      <c r="G2521" s="7" t="s">
        <v>123</v>
      </c>
      <c r="H2521" s="7">
        <v>15</v>
      </c>
      <c r="I2521" s="7" t="s">
        <v>2231</v>
      </c>
      <c r="K2521" s="10">
        <v>7</v>
      </c>
      <c r="L2521" s="11">
        <v>31</v>
      </c>
      <c r="M2521" s="11">
        <v>37</v>
      </c>
      <c r="N2521" s="12" t="s">
        <v>1342</v>
      </c>
      <c r="P2521" s="10">
        <v>40</v>
      </c>
      <c r="T2521" s="10">
        <v>60</v>
      </c>
      <c r="V2521" s="13">
        <v>1</v>
      </c>
      <c r="X2521" s="29">
        <v>5.7</v>
      </c>
      <c r="Y2521" s="7" t="s">
        <v>55</v>
      </c>
      <c r="Z2521" t="s">
        <v>1713</v>
      </c>
    </row>
    <row r="2522" spans="1:27" ht="23.1" customHeight="1" x14ac:dyDescent="0.25">
      <c r="A2522" t="s">
        <v>1221</v>
      </c>
      <c r="B2522" s="7" t="s">
        <v>113</v>
      </c>
      <c r="C2522" s="7">
        <v>9</v>
      </c>
      <c r="D2522" s="7" t="s">
        <v>1341</v>
      </c>
      <c r="E2522" s="8" t="s">
        <v>595</v>
      </c>
      <c r="F2522" s="9" t="s">
        <v>595</v>
      </c>
      <c r="G2522" s="7" t="s">
        <v>123</v>
      </c>
      <c r="H2522" s="7">
        <v>20</v>
      </c>
      <c r="I2522" s="7" t="s">
        <v>1978</v>
      </c>
      <c r="K2522" s="10">
        <v>7</v>
      </c>
      <c r="L2522" s="11">
        <v>31</v>
      </c>
      <c r="M2522" s="11">
        <v>37</v>
      </c>
      <c r="N2522" s="12" t="s">
        <v>1342</v>
      </c>
      <c r="P2522" s="10">
        <v>30</v>
      </c>
      <c r="T2522" s="10">
        <v>60</v>
      </c>
      <c r="W2522" s="14">
        <v>2</v>
      </c>
      <c r="X2522" s="29">
        <v>5.5</v>
      </c>
      <c r="Y2522" s="7" t="s">
        <v>55</v>
      </c>
      <c r="Z2522" t="s">
        <v>1321</v>
      </c>
      <c r="AA2522" t="s">
        <v>238</v>
      </c>
    </row>
    <row r="2523" spans="1:27" ht="23.1" customHeight="1" x14ac:dyDescent="0.25">
      <c r="A2523" t="s">
        <v>1221</v>
      </c>
      <c r="B2523" s="7" t="s">
        <v>113</v>
      </c>
      <c r="C2523" s="7">
        <v>9</v>
      </c>
      <c r="D2523" s="7" t="s">
        <v>1714</v>
      </c>
      <c r="E2523" s="8" t="s">
        <v>460</v>
      </c>
      <c r="F2523" s="9" t="e">
        <v>#N/A</v>
      </c>
      <c r="G2523" s="7" t="s">
        <v>123</v>
      </c>
      <c r="H2523" s="7">
        <v>30</v>
      </c>
      <c r="K2523" s="10">
        <v>19</v>
      </c>
      <c r="L2523" s="11">
        <v>28</v>
      </c>
      <c r="M2523" s="11">
        <v>28</v>
      </c>
      <c r="N2523" s="12" t="s">
        <v>1715</v>
      </c>
      <c r="P2523" s="10">
        <v>25</v>
      </c>
      <c r="X2523" s="29">
        <v>7.9</v>
      </c>
      <c r="Y2523" s="7" t="s">
        <v>55</v>
      </c>
    </row>
    <row r="2524" spans="1:27" ht="23.1" customHeight="1" x14ac:dyDescent="0.25">
      <c r="A2524" t="s">
        <v>1221</v>
      </c>
      <c r="B2524" s="7" t="s">
        <v>113</v>
      </c>
      <c r="C2524" s="7">
        <v>10</v>
      </c>
      <c r="D2524" s="7" t="s">
        <v>946</v>
      </c>
      <c r="E2524" s="8" t="s">
        <v>947</v>
      </c>
      <c r="F2524" s="9" t="s">
        <v>947</v>
      </c>
      <c r="G2524" s="7" t="s">
        <v>300</v>
      </c>
      <c r="H2524" s="7">
        <v>25</v>
      </c>
      <c r="I2524" s="7" t="s">
        <v>2519</v>
      </c>
      <c r="J2524" s="10">
        <v>3.5</v>
      </c>
      <c r="K2524" s="10">
        <v>2.5</v>
      </c>
      <c r="L2524" s="11">
        <v>23</v>
      </c>
      <c r="M2524" s="11">
        <v>23</v>
      </c>
      <c r="N2524" s="12" t="s">
        <v>948</v>
      </c>
      <c r="P2524" s="10">
        <v>240</v>
      </c>
      <c r="T2524" s="10">
        <v>90</v>
      </c>
      <c r="X2524" s="29">
        <v>10</v>
      </c>
      <c r="Y2524" s="7" t="s">
        <v>55</v>
      </c>
    </row>
    <row r="2525" spans="1:27" ht="23.1" customHeight="1" x14ac:dyDescent="0.25">
      <c r="A2525" t="s">
        <v>1221</v>
      </c>
      <c r="B2525" s="7" t="s">
        <v>113</v>
      </c>
      <c r="C2525" s="7">
        <v>57</v>
      </c>
      <c r="D2525" s="7" t="s">
        <v>1039</v>
      </c>
      <c r="E2525" s="8" t="s">
        <v>1040</v>
      </c>
      <c r="F2525" s="9" t="s">
        <v>1040</v>
      </c>
      <c r="G2525" s="7" t="s">
        <v>102</v>
      </c>
      <c r="H2525" s="7">
        <v>5</v>
      </c>
      <c r="I2525" s="7" t="s">
        <v>2060</v>
      </c>
      <c r="J2525" s="10">
        <v>8</v>
      </c>
      <c r="K2525" s="10">
        <v>8</v>
      </c>
      <c r="L2525" s="11">
        <v>31</v>
      </c>
      <c r="M2525" s="11">
        <v>31</v>
      </c>
      <c r="N2525" s="12" t="s">
        <v>596</v>
      </c>
      <c r="P2525" s="10">
        <v>40</v>
      </c>
      <c r="T2525" s="10">
        <v>60</v>
      </c>
      <c r="V2525" s="13">
        <v>1</v>
      </c>
      <c r="X2525" s="29">
        <v>6.3</v>
      </c>
      <c r="Y2525" s="7" t="s">
        <v>42</v>
      </c>
    </row>
    <row r="2526" spans="1:27" ht="23.1" customHeight="1" x14ac:dyDescent="0.25">
      <c r="A2526" t="s">
        <v>1221</v>
      </c>
      <c r="B2526" s="7" t="s">
        <v>113</v>
      </c>
      <c r="C2526" s="7">
        <v>57</v>
      </c>
      <c r="D2526" s="7" t="s">
        <v>1039</v>
      </c>
      <c r="E2526" s="8" t="s">
        <v>1040</v>
      </c>
      <c r="F2526" s="9" t="s">
        <v>1040</v>
      </c>
      <c r="G2526" s="7" t="s">
        <v>102</v>
      </c>
      <c r="H2526" s="7">
        <v>10</v>
      </c>
      <c r="I2526" s="7" t="s">
        <v>1941</v>
      </c>
      <c r="J2526" s="10">
        <v>8</v>
      </c>
      <c r="K2526" s="10">
        <v>8</v>
      </c>
      <c r="L2526" s="11">
        <v>9</v>
      </c>
      <c r="M2526" s="11">
        <v>9</v>
      </c>
      <c r="N2526" s="12" t="s">
        <v>596</v>
      </c>
      <c r="P2526" s="10">
        <v>35</v>
      </c>
      <c r="T2526" s="10">
        <v>60</v>
      </c>
      <c r="V2526" s="13">
        <v>1</v>
      </c>
      <c r="X2526" s="29">
        <v>5.7</v>
      </c>
      <c r="Y2526" s="7" t="s">
        <v>42</v>
      </c>
    </row>
    <row r="2527" spans="1:27" ht="23.1" customHeight="1" x14ac:dyDescent="0.25">
      <c r="A2527" t="s">
        <v>1221</v>
      </c>
      <c r="B2527" s="7" t="s">
        <v>113</v>
      </c>
      <c r="C2527" s="7">
        <v>59</v>
      </c>
      <c r="D2527" s="7" t="s">
        <v>1039</v>
      </c>
      <c r="E2527" s="8" t="s">
        <v>1040</v>
      </c>
      <c r="F2527" s="9" t="s">
        <v>1040</v>
      </c>
      <c r="G2527" s="7" t="s">
        <v>102</v>
      </c>
      <c r="H2527" s="7">
        <v>15</v>
      </c>
      <c r="I2527" s="7" t="s">
        <v>1864</v>
      </c>
      <c r="K2527" s="10">
        <v>4</v>
      </c>
      <c r="L2527" s="11">
        <v>9</v>
      </c>
      <c r="M2527" s="11">
        <v>9</v>
      </c>
      <c r="N2527" s="12" t="s">
        <v>596</v>
      </c>
      <c r="P2527" s="10">
        <v>25</v>
      </c>
      <c r="T2527" s="10">
        <v>60</v>
      </c>
      <c r="V2527" s="13">
        <v>1</v>
      </c>
      <c r="W2527" s="14">
        <v>2</v>
      </c>
      <c r="X2527" s="29">
        <v>4.7</v>
      </c>
      <c r="Y2527" s="7" t="s">
        <v>42</v>
      </c>
      <c r="Z2527" t="s">
        <v>1245</v>
      </c>
      <c r="AA2527" t="s">
        <v>238</v>
      </c>
    </row>
    <row r="2528" spans="1:27" ht="23.1" customHeight="1" x14ac:dyDescent="0.25">
      <c r="A2528" t="s">
        <v>1221</v>
      </c>
      <c r="B2528" s="7" t="s">
        <v>113</v>
      </c>
      <c r="C2528" s="7">
        <v>59</v>
      </c>
      <c r="D2528" s="7" t="s">
        <v>1686</v>
      </c>
      <c r="E2528" s="8" t="s">
        <v>1687</v>
      </c>
      <c r="F2528" s="9" t="s">
        <v>1687</v>
      </c>
      <c r="G2528" s="7" t="s">
        <v>102</v>
      </c>
      <c r="H2528" s="7">
        <v>20</v>
      </c>
      <c r="I2528" s="7" t="s">
        <v>2317</v>
      </c>
      <c r="K2528" s="10">
        <v>1</v>
      </c>
      <c r="L2528" s="11">
        <v>28</v>
      </c>
      <c r="N2528" s="12" t="s">
        <v>596</v>
      </c>
      <c r="P2528" s="10">
        <v>140</v>
      </c>
      <c r="T2528" s="10">
        <v>90</v>
      </c>
      <c r="X2528" s="29">
        <v>2.2999999999999998</v>
      </c>
      <c r="Y2528" s="7" t="s">
        <v>42</v>
      </c>
    </row>
    <row r="2529" spans="1:27" ht="23.1" customHeight="1" x14ac:dyDescent="0.25">
      <c r="A2529" t="s">
        <v>1221</v>
      </c>
      <c r="B2529" s="7" t="s">
        <v>113</v>
      </c>
      <c r="C2529" s="7">
        <v>17</v>
      </c>
      <c r="D2529" s="7" t="s">
        <v>1702</v>
      </c>
      <c r="E2529" s="8" t="s">
        <v>625</v>
      </c>
      <c r="F2529" s="9" t="s">
        <v>625</v>
      </c>
      <c r="G2529" s="7" t="s">
        <v>250</v>
      </c>
      <c r="H2529" s="7">
        <v>15</v>
      </c>
      <c r="I2529" s="7" t="s">
        <v>2339</v>
      </c>
      <c r="J2529" s="10">
        <v>12</v>
      </c>
      <c r="K2529" s="10">
        <v>19</v>
      </c>
      <c r="L2529" s="11">
        <v>23</v>
      </c>
      <c r="M2529" s="11">
        <v>37</v>
      </c>
      <c r="N2529" s="12" t="s">
        <v>247</v>
      </c>
      <c r="P2529" s="10">
        <v>40</v>
      </c>
      <c r="T2529" s="10">
        <v>90</v>
      </c>
      <c r="V2529" s="13">
        <v>1</v>
      </c>
      <c r="X2529" s="29">
        <v>14.2</v>
      </c>
      <c r="Y2529" s="7" t="s">
        <v>43</v>
      </c>
    </row>
    <row r="2530" spans="1:27" ht="23.1" customHeight="1" x14ac:dyDescent="0.25">
      <c r="A2530" t="s">
        <v>1221</v>
      </c>
      <c r="B2530" s="7" t="s">
        <v>113</v>
      </c>
      <c r="C2530" s="7">
        <v>18</v>
      </c>
      <c r="D2530" s="7" t="s">
        <v>918</v>
      </c>
      <c r="E2530" s="8" t="s">
        <v>919</v>
      </c>
      <c r="F2530" s="9" t="s">
        <v>919</v>
      </c>
      <c r="G2530" s="7" t="s">
        <v>323</v>
      </c>
      <c r="H2530" s="7">
        <v>15</v>
      </c>
      <c r="I2530" s="7" t="s">
        <v>2033</v>
      </c>
      <c r="J2530" s="10">
        <v>3</v>
      </c>
      <c r="K2530" s="10">
        <v>3</v>
      </c>
      <c r="L2530" s="11">
        <v>19</v>
      </c>
      <c r="M2530" s="11">
        <v>19</v>
      </c>
      <c r="N2530" s="12" t="s">
        <v>780</v>
      </c>
      <c r="P2530" s="10">
        <v>210</v>
      </c>
      <c r="T2530" s="10">
        <v>90</v>
      </c>
      <c r="X2530" s="29">
        <v>10.5</v>
      </c>
      <c r="Y2530" s="7" t="s">
        <v>43</v>
      </c>
    </row>
    <row r="2531" spans="1:27" ht="23.1" customHeight="1" x14ac:dyDescent="0.25">
      <c r="A2531" t="s">
        <v>1221</v>
      </c>
      <c r="B2531" s="7" t="s">
        <v>113</v>
      </c>
      <c r="C2531" s="7">
        <v>21</v>
      </c>
      <c r="D2531" s="7" t="s">
        <v>321</v>
      </c>
      <c r="E2531" s="8" t="s">
        <v>322</v>
      </c>
      <c r="F2531" s="9" t="s">
        <v>322</v>
      </c>
      <c r="G2531" s="7" t="s">
        <v>323</v>
      </c>
      <c r="H2531" s="7">
        <v>55</v>
      </c>
      <c r="I2531" s="7" t="s">
        <v>2004</v>
      </c>
      <c r="J2531" s="10">
        <v>1</v>
      </c>
      <c r="K2531" s="10">
        <v>1</v>
      </c>
      <c r="L2531" s="11">
        <v>28</v>
      </c>
      <c r="N2531" s="12" t="s">
        <v>780</v>
      </c>
      <c r="P2531" s="10">
        <v>660</v>
      </c>
      <c r="Q2531" s="10">
        <v>120</v>
      </c>
      <c r="S2531" s="11">
        <v>1</v>
      </c>
      <c r="T2531" s="10">
        <v>180</v>
      </c>
      <c r="V2531" s="13">
        <v>1</v>
      </c>
      <c r="X2531" s="29">
        <v>16</v>
      </c>
      <c r="Y2531" s="7" t="s">
        <v>58</v>
      </c>
    </row>
    <row r="2532" spans="1:27" ht="23.1" customHeight="1" x14ac:dyDescent="0.25">
      <c r="A2532" t="s">
        <v>1221</v>
      </c>
      <c r="B2532" s="7" t="s">
        <v>113</v>
      </c>
      <c r="C2532" s="7">
        <v>21</v>
      </c>
      <c r="D2532" s="7" t="s">
        <v>321</v>
      </c>
      <c r="E2532" s="8" t="s">
        <v>322</v>
      </c>
      <c r="F2532" s="9" t="s">
        <v>322</v>
      </c>
      <c r="G2532" s="7" t="s">
        <v>323</v>
      </c>
      <c r="H2532" s="7">
        <v>30</v>
      </c>
      <c r="I2532" s="7" t="s">
        <v>2078</v>
      </c>
      <c r="J2532" s="10">
        <v>0.1</v>
      </c>
      <c r="K2532" s="10">
        <v>0.4</v>
      </c>
      <c r="L2532" s="11">
        <v>9</v>
      </c>
      <c r="N2532" s="12" t="s">
        <v>801</v>
      </c>
      <c r="P2532" s="10">
        <v>360</v>
      </c>
      <c r="Q2532" s="10">
        <v>120</v>
      </c>
      <c r="S2532" s="11">
        <v>1</v>
      </c>
      <c r="T2532" s="10">
        <v>180</v>
      </c>
      <c r="V2532" s="13">
        <v>1</v>
      </c>
      <c r="X2532" s="29">
        <v>7.4</v>
      </c>
      <c r="Y2532" s="7" t="s">
        <v>58</v>
      </c>
    </row>
    <row r="2533" spans="1:27" ht="23.1" customHeight="1" x14ac:dyDescent="0.25">
      <c r="A2533" t="s">
        <v>1221</v>
      </c>
      <c r="B2533" s="7" t="s">
        <v>113</v>
      </c>
      <c r="C2533" s="7">
        <v>56</v>
      </c>
      <c r="D2533" s="7" t="s">
        <v>273</v>
      </c>
      <c r="E2533" s="8" t="s">
        <v>274</v>
      </c>
      <c r="F2533" s="9" t="s">
        <v>274</v>
      </c>
      <c r="G2533" s="7" t="s">
        <v>123</v>
      </c>
      <c r="H2533" s="7">
        <v>40</v>
      </c>
      <c r="I2533" s="7" t="s">
        <v>2326</v>
      </c>
      <c r="J2533" s="10">
        <v>3.5</v>
      </c>
      <c r="K2533" s="10">
        <v>4</v>
      </c>
      <c r="L2533" s="11">
        <v>37</v>
      </c>
      <c r="M2533" s="11">
        <v>37</v>
      </c>
      <c r="N2533" s="12" t="s">
        <v>275</v>
      </c>
      <c r="P2533" s="10">
        <v>240</v>
      </c>
      <c r="T2533" s="10">
        <v>120</v>
      </c>
      <c r="X2533" s="29">
        <v>16</v>
      </c>
      <c r="Y2533" s="7" t="s">
        <v>44</v>
      </c>
      <c r="Z2533" t="s">
        <v>1716</v>
      </c>
    </row>
    <row r="2534" spans="1:27" ht="23.1" customHeight="1" x14ac:dyDescent="0.25">
      <c r="A2534" t="s">
        <v>1221</v>
      </c>
      <c r="B2534" s="7" t="s">
        <v>113</v>
      </c>
      <c r="C2534" s="7">
        <v>78</v>
      </c>
      <c r="D2534" s="7" t="s">
        <v>132</v>
      </c>
      <c r="E2534" s="8" t="s">
        <v>133</v>
      </c>
      <c r="F2534" s="9" t="s">
        <v>133</v>
      </c>
      <c r="G2534" s="7" t="s">
        <v>102</v>
      </c>
      <c r="H2534" s="7">
        <v>85</v>
      </c>
      <c r="I2534" s="7" t="s">
        <v>2330</v>
      </c>
      <c r="J2534" s="10">
        <v>1</v>
      </c>
      <c r="K2534" s="10">
        <v>0.9</v>
      </c>
      <c r="L2534" s="11">
        <v>28</v>
      </c>
      <c r="N2534" s="12" t="s">
        <v>103</v>
      </c>
      <c r="P2534" s="10">
        <v>1020</v>
      </c>
      <c r="Q2534" s="10">
        <v>60</v>
      </c>
      <c r="T2534" s="10">
        <v>120</v>
      </c>
      <c r="W2534" s="14">
        <v>20</v>
      </c>
      <c r="X2534" s="29">
        <v>35.299999999999997</v>
      </c>
      <c r="Y2534" s="7" t="s">
        <v>19</v>
      </c>
      <c r="Z2534" t="s">
        <v>1717</v>
      </c>
      <c r="AA2534" t="s">
        <v>238</v>
      </c>
    </row>
    <row r="2535" spans="1:27" ht="23.1" customHeight="1" x14ac:dyDescent="0.25">
      <c r="A2535" t="s">
        <v>1221</v>
      </c>
      <c r="B2535" s="7" t="s">
        <v>113</v>
      </c>
      <c r="C2535" s="7">
        <v>12</v>
      </c>
      <c r="D2535" s="7" t="s">
        <v>735</v>
      </c>
      <c r="E2535" s="8" t="s">
        <v>249</v>
      </c>
      <c r="F2535" s="9" t="s">
        <v>249</v>
      </c>
      <c r="G2535" s="7" t="s">
        <v>250</v>
      </c>
      <c r="H2535" s="7">
        <v>25</v>
      </c>
      <c r="I2535" s="7" t="s">
        <v>1923</v>
      </c>
      <c r="J2535" s="10">
        <v>1</v>
      </c>
      <c r="K2535" s="10">
        <v>1</v>
      </c>
      <c r="L2535" s="11">
        <v>37</v>
      </c>
      <c r="M2535" s="11">
        <v>37</v>
      </c>
      <c r="N2535" s="12" t="s">
        <v>1554</v>
      </c>
      <c r="P2535" s="10">
        <v>1080</v>
      </c>
      <c r="T2535" s="10">
        <v>120</v>
      </c>
      <c r="X2535" s="29">
        <v>18</v>
      </c>
      <c r="Y2535" s="7" t="s">
        <v>72</v>
      </c>
    </row>
    <row r="2536" spans="1:27" ht="23.1" customHeight="1" x14ac:dyDescent="0.25">
      <c r="A2536" t="s">
        <v>1221</v>
      </c>
      <c r="B2536" s="7" t="s">
        <v>113</v>
      </c>
      <c r="C2536" s="7">
        <v>107</v>
      </c>
      <c r="D2536" s="7" t="s">
        <v>173</v>
      </c>
      <c r="E2536" s="8" t="s">
        <v>174</v>
      </c>
      <c r="F2536" s="9" t="s">
        <v>1246</v>
      </c>
      <c r="G2536" s="7" t="s">
        <v>154</v>
      </c>
      <c r="H2536" s="7">
        <v>45</v>
      </c>
      <c r="I2536" s="7" t="s">
        <v>1866</v>
      </c>
      <c r="J2536" s="10">
        <v>0.2</v>
      </c>
      <c r="K2536" s="10">
        <v>0.4</v>
      </c>
      <c r="L2536" s="11">
        <v>28</v>
      </c>
      <c r="N2536" s="12" t="s">
        <v>470</v>
      </c>
      <c r="P2536" s="10">
        <v>1900</v>
      </c>
      <c r="Q2536" s="10">
        <v>90</v>
      </c>
      <c r="T2536" s="10">
        <v>180</v>
      </c>
      <c r="X2536" s="29">
        <v>12.7</v>
      </c>
      <c r="Y2536" s="7" t="s">
        <v>45</v>
      </c>
    </row>
    <row r="2537" spans="1:27" ht="23.1" customHeight="1" x14ac:dyDescent="0.25">
      <c r="A2537" t="s">
        <v>1221</v>
      </c>
      <c r="B2537" s="7" t="s">
        <v>113</v>
      </c>
      <c r="C2537" s="7">
        <v>16</v>
      </c>
      <c r="D2537" s="7" t="s">
        <v>1718</v>
      </c>
      <c r="E2537" s="8" t="s">
        <v>625</v>
      </c>
      <c r="F2537" s="9" t="s">
        <v>625</v>
      </c>
      <c r="G2537" s="7" t="s">
        <v>102</v>
      </c>
      <c r="H2537" s="7">
        <v>10</v>
      </c>
      <c r="I2537" s="7" t="s">
        <v>2325</v>
      </c>
      <c r="J2537" s="10">
        <v>8</v>
      </c>
      <c r="K2537" s="10">
        <v>4</v>
      </c>
      <c r="L2537" s="11">
        <v>9</v>
      </c>
      <c r="M2537" s="11">
        <v>9</v>
      </c>
      <c r="N2537" s="12" t="s">
        <v>596</v>
      </c>
      <c r="P2537" s="10">
        <v>50</v>
      </c>
      <c r="T2537" s="10">
        <v>60</v>
      </c>
      <c r="V2537" s="13">
        <v>1</v>
      </c>
      <c r="X2537" s="29">
        <v>4.3</v>
      </c>
      <c r="Y2537" s="7" t="s">
        <v>38</v>
      </c>
    </row>
    <row r="2538" spans="1:27" ht="23.1" customHeight="1" x14ac:dyDescent="0.25">
      <c r="A2538" t="s">
        <v>1221</v>
      </c>
      <c r="B2538" s="7" t="s">
        <v>113</v>
      </c>
      <c r="C2538" s="7">
        <v>16</v>
      </c>
      <c r="D2538" s="7" t="s">
        <v>1718</v>
      </c>
      <c r="E2538" s="8" t="s">
        <v>625</v>
      </c>
      <c r="F2538" s="9" t="s">
        <v>625</v>
      </c>
      <c r="G2538" s="7" t="s">
        <v>102</v>
      </c>
      <c r="H2538" s="7">
        <v>15</v>
      </c>
      <c r="I2538" s="7" t="s">
        <v>2056</v>
      </c>
      <c r="J2538" s="10">
        <v>8</v>
      </c>
      <c r="K2538" s="10">
        <v>4</v>
      </c>
      <c r="L2538" s="11">
        <v>9</v>
      </c>
      <c r="M2538" s="11">
        <v>9</v>
      </c>
      <c r="N2538" s="12" t="s">
        <v>596</v>
      </c>
      <c r="P2538" s="10">
        <v>40</v>
      </c>
      <c r="T2538" s="10">
        <v>90</v>
      </c>
      <c r="V2538" s="13">
        <v>1</v>
      </c>
      <c r="X2538" s="29">
        <v>4.2</v>
      </c>
      <c r="Y2538" s="7" t="s">
        <v>38</v>
      </c>
    </row>
    <row r="2539" spans="1:27" ht="23.1" customHeight="1" x14ac:dyDescent="0.25">
      <c r="A2539" t="s">
        <v>1221</v>
      </c>
      <c r="B2539" s="7" t="s">
        <v>113</v>
      </c>
      <c r="C2539" s="7">
        <v>15</v>
      </c>
      <c r="D2539" s="7" t="s">
        <v>1255</v>
      </c>
      <c r="E2539" s="8" t="s">
        <v>117</v>
      </c>
      <c r="F2539" s="9" t="s">
        <v>117</v>
      </c>
      <c r="G2539" s="7" t="s">
        <v>118</v>
      </c>
      <c r="H2539" s="7">
        <v>20</v>
      </c>
      <c r="I2539" s="7" t="s">
        <v>2232</v>
      </c>
      <c r="J2539" s="10">
        <v>3</v>
      </c>
      <c r="K2539" s="10">
        <v>3</v>
      </c>
      <c r="L2539" s="11">
        <v>37</v>
      </c>
      <c r="M2539" s="11">
        <v>37</v>
      </c>
      <c r="N2539" s="12" t="s">
        <v>1719</v>
      </c>
      <c r="P2539" s="10">
        <v>270</v>
      </c>
      <c r="T2539" s="10">
        <v>90</v>
      </c>
      <c r="X2539" s="29">
        <v>13.5</v>
      </c>
      <c r="Y2539" s="7" t="s">
        <v>31</v>
      </c>
    </row>
    <row r="2540" spans="1:27" ht="23.1" customHeight="1" x14ac:dyDescent="0.25">
      <c r="A2540" t="s">
        <v>1221</v>
      </c>
      <c r="B2540" s="7" t="s">
        <v>113</v>
      </c>
      <c r="C2540" s="7">
        <v>11</v>
      </c>
      <c r="D2540" s="7" t="s">
        <v>1296</v>
      </c>
      <c r="E2540" s="8" t="s">
        <v>1297</v>
      </c>
      <c r="F2540" s="9" t="s">
        <v>1297</v>
      </c>
      <c r="G2540" s="7" t="s">
        <v>154</v>
      </c>
      <c r="H2540" s="7">
        <v>25</v>
      </c>
      <c r="I2540" s="7" t="s">
        <v>2054</v>
      </c>
      <c r="J2540" s="10">
        <v>4</v>
      </c>
      <c r="K2540" s="10">
        <v>10</v>
      </c>
      <c r="L2540" s="11">
        <v>28</v>
      </c>
      <c r="M2540" s="11">
        <v>31</v>
      </c>
      <c r="P2540" s="10">
        <v>65</v>
      </c>
      <c r="T2540" s="10">
        <v>60</v>
      </c>
      <c r="X2540" s="29">
        <v>10.8</v>
      </c>
      <c r="Y2540" s="7" t="s">
        <v>38</v>
      </c>
    </row>
    <row r="2541" spans="1:27" ht="23.1" customHeight="1" x14ac:dyDescent="0.25">
      <c r="A2541" t="s">
        <v>1221</v>
      </c>
      <c r="B2541" s="7" t="s">
        <v>113</v>
      </c>
      <c r="C2541" s="7">
        <v>13</v>
      </c>
      <c r="D2541" s="7" t="s">
        <v>687</v>
      </c>
      <c r="E2541" s="8" t="s">
        <v>657</v>
      </c>
      <c r="F2541" s="9" t="s">
        <v>657</v>
      </c>
      <c r="G2541" s="7" t="s">
        <v>375</v>
      </c>
      <c r="H2541" s="7">
        <v>50</v>
      </c>
      <c r="I2541" s="7" t="s">
        <v>2126</v>
      </c>
      <c r="J2541" s="10">
        <v>3</v>
      </c>
      <c r="K2541" s="10">
        <v>3</v>
      </c>
      <c r="L2541" s="11">
        <v>23</v>
      </c>
      <c r="M2541" s="11">
        <v>23</v>
      </c>
      <c r="N2541" s="12" t="s">
        <v>659</v>
      </c>
      <c r="P2541" s="10">
        <v>30</v>
      </c>
      <c r="T2541" s="10">
        <v>120</v>
      </c>
      <c r="V2541" s="13">
        <v>1</v>
      </c>
      <c r="X2541" s="29">
        <v>3.5</v>
      </c>
      <c r="Y2541" s="7" t="s">
        <v>72</v>
      </c>
    </row>
    <row r="2542" spans="1:27" ht="23.1" customHeight="1" x14ac:dyDescent="0.25">
      <c r="A2542" t="s">
        <v>1221</v>
      </c>
      <c r="B2542" s="7" t="s">
        <v>113</v>
      </c>
      <c r="C2542" s="7">
        <v>13</v>
      </c>
      <c r="D2542" s="7" t="s">
        <v>656</v>
      </c>
      <c r="E2542" s="8" t="s">
        <v>657</v>
      </c>
      <c r="F2542" s="9" t="s">
        <v>657</v>
      </c>
      <c r="G2542" s="7" t="s">
        <v>658</v>
      </c>
      <c r="H2542" s="7">
        <v>55</v>
      </c>
      <c r="I2542" s="7" t="s">
        <v>1898</v>
      </c>
      <c r="K2542" s="10">
        <v>3</v>
      </c>
      <c r="L2542" s="11">
        <v>23</v>
      </c>
      <c r="M2542" s="11">
        <v>23</v>
      </c>
      <c r="N2542" s="12" t="s">
        <v>659</v>
      </c>
      <c r="P2542" s="10">
        <v>30</v>
      </c>
      <c r="T2542" s="10">
        <v>120</v>
      </c>
      <c r="V2542" s="13">
        <v>1</v>
      </c>
      <c r="X2542" s="29">
        <v>3.5</v>
      </c>
      <c r="Y2542" s="7" t="s">
        <v>72</v>
      </c>
    </row>
    <row r="2543" spans="1:27" ht="23.1" customHeight="1" x14ac:dyDescent="0.25">
      <c r="A2543" t="s">
        <v>1221</v>
      </c>
      <c r="B2543" s="7" t="s">
        <v>113</v>
      </c>
      <c r="C2543" s="7">
        <v>13</v>
      </c>
      <c r="D2543" s="7" t="s">
        <v>656</v>
      </c>
      <c r="E2543" s="8" t="s">
        <v>657</v>
      </c>
      <c r="F2543" s="9" t="s">
        <v>657</v>
      </c>
      <c r="G2543" s="7" t="s">
        <v>658</v>
      </c>
      <c r="H2543" s="7">
        <v>60</v>
      </c>
      <c r="I2543" s="7" t="s">
        <v>2340</v>
      </c>
      <c r="K2543" s="10">
        <v>3</v>
      </c>
      <c r="L2543" s="11">
        <v>23</v>
      </c>
      <c r="M2543" s="11">
        <v>23</v>
      </c>
      <c r="N2543" s="12" t="s">
        <v>659</v>
      </c>
      <c r="P2543" s="10">
        <v>20</v>
      </c>
      <c r="T2543" s="10">
        <v>120</v>
      </c>
      <c r="V2543" s="13">
        <v>1</v>
      </c>
      <c r="X2543" s="29">
        <v>3</v>
      </c>
      <c r="Y2543" s="7" t="s">
        <v>72</v>
      </c>
    </row>
    <row r="2544" spans="1:27" ht="23.1" customHeight="1" x14ac:dyDescent="0.25">
      <c r="A2544" t="s">
        <v>1221</v>
      </c>
      <c r="B2544" s="7" t="s">
        <v>113</v>
      </c>
      <c r="C2544" s="7">
        <v>22</v>
      </c>
      <c r="D2544" s="7" t="s">
        <v>635</v>
      </c>
      <c r="E2544" s="8" t="s">
        <v>612</v>
      </c>
      <c r="F2544" s="9" t="s">
        <v>612</v>
      </c>
      <c r="G2544" s="7" t="s">
        <v>102</v>
      </c>
      <c r="H2544" s="7">
        <v>10</v>
      </c>
      <c r="I2544" s="7" t="s">
        <v>1952</v>
      </c>
      <c r="K2544" s="10">
        <v>1</v>
      </c>
      <c r="L2544" s="11">
        <v>31</v>
      </c>
      <c r="N2544" s="12" t="s">
        <v>159</v>
      </c>
      <c r="P2544" s="10">
        <v>1500</v>
      </c>
      <c r="Q2544" s="10">
        <v>180</v>
      </c>
      <c r="S2544" s="11">
        <v>1</v>
      </c>
      <c r="T2544" s="10">
        <v>180</v>
      </c>
      <c r="V2544" s="13">
        <v>1</v>
      </c>
      <c r="X2544" s="29">
        <v>31</v>
      </c>
      <c r="Y2544" s="7" t="s">
        <v>58</v>
      </c>
    </row>
    <row r="2545" spans="1:27" ht="23.1" customHeight="1" x14ac:dyDescent="0.25">
      <c r="A2545" t="s">
        <v>1221</v>
      </c>
      <c r="B2545" s="7" t="s">
        <v>113</v>
      </c>
      <c r="C2545" s="7">
        <v>22</v>
      </c>
      <c r="D2545" s="7" t="s">
        <v>611</v>
      </c>
      <c r="E2545" s="8" t="s">
        <v>612</v>
      </c>
      <c r="F2545" s="9" t="s">
        <v>612</v>
      </c>
      <c r="G2545" s="7" t="s">
        <v>102</v>
      </c>
      <c r="H2545" s="7">
        <v>10</v>
      </c>
      <c r="I2545" s="7" t="s">
        <v>1952</v>
      </c>
      <c r="J2545" s="10">
        <v>1</v>
      </c>
      <c r="K2545" s="10">
        <v>1.3</v>
      </c>
      <c r="L2545" s="11">
        <v>5</v>
      </c>
      <c r="M2545" s="11">
        <v>28</v>
      </c>
      <c r="N2545" s="12" t="s">
        <v>1322</v>
      </c>
      <c r="P2545" s="10">
        <v>1500</v>
      </c>
      <c r="Q2545" s="10">
        <v>180</v>
      </c>
      <c r="S2545" s="11">
        <v>1</v>
      </c>
      <c r="T2545" s="10">
        <v>180</v>
      </c>
      <c r="X2545" s="29">
        <v>35.5</v>
      </c>
      <c r="Y2545" s="7" t="s">
        <v>58</v>
      </c>
    </row>
    <row r="2546" spans="1:27" ht="23.1" customHeight="1" x14ac:dyDescent="0.25">
      <c r="A2546" t="s">
        <v>1236</v>
      </c>
      <c r="B2546" s="7" t="s">
        <v>110</v>
      </c>
      <c r="C2546" s="7">
        <v>108</v>
      </c>
      <c r="D2546" s="7" t="s">
        <v>992</v>
      </c>
      <c r="E2546" s="8" t="s">
        <v>993</v>
      </c>
      <c r="F2546" s="9" t="s">
        <v>993</v>
      </c>
      <c r="G2546" s="7" t="s">
        <v>154</v>
      </c>
      <c r="H2546" s="7">
        <v>30</v>
      </c>
      <c r="I2546" s="7" t="s">
        <v>1992</v>
      </c>
      <c r="J2546" s="10">
        <v>1</v>
      </c>
      <c r="K2546" s="10">
        <v>0.5</v>
      </c>
      <c r="L2546" s="11">
        <v>23</v>
      </c>
      <c r="N2546" s="12" t="s">
        <v>159</v>
      </c>
      <c r="P2546" s="10">
        <v>450</v>
      </c>
      <c r="Q2546" s="10">
        <v>60</v>
      </c>
      <c r="S2546" s="11">
        <v>1</v>
      </c>
      <c r="T2546" s="10">
        <v>90</v>
      </c>
      <c r="V2546" s="13">
        <v>1</v>
      </c>
      <c r="W2546" s="10">
        <v>2</v>
      </c>
      <c r="X2546" s="29">
        <v>8.3000000000000007</v>
      </c>
      <c r="Y2546" s="7" t="s">
        <v>13</v>
      </c>
      <c r="Z2546" t="s">
        <v>1245</v>
      </c>
      <c r="AA2546" t="s">
        <v>238</v>
      </c>
    </row>
    <row r="2547" spans="1:27" ht="23.1" customHeight="1" x14ac:dyDescent="0.25">
      <c r="A2547" t="s">
        <v>1236</v>
      </c>
      <c r="B2547" s="7" t="s">
        <v>110</v>
      </c>
      <c r="C2547" s="7">
        <v>107</v>
      </c>
      <c r="D2547" s="7" t="s">
        <v>173</v>
      </c>
      <c r="E2547" s="8" t="s">
        <v>174</v>
      </c>
      <c r="F2547" s="9" t="s">
        <v>1246</v>
      </c>
      <c r="G2547" s="7" t="s">
        <v>154</v>
      </c>
      <c r="H2547" s="7">
        <v>50</v>
      </c>
      <c r="I2547" s="7" t="s">
        <v>2210</v>
      </c>
      <c r="J2547" s="10">
        <v>0.4</v>
      </c>
      <c r="K2547" s="10">
        <v>0.4</v>
      </c>
      <c r="L2547" s="11">
        <v>28</v>
      </c>
      <c r="M2547" s="11">
        <v>28</v>
      </c>
      <c r="N2547" s="12" t="s">
        <v>1209</v>
      </c>
      <c r="P2547" s="10">
        <v>2100</v>
      </c>
      <c r="Q2547" s="10">
        <v>90</v>
      </c>
      <c r="S2547" s="11">
        <v>1</v>
      </c>
      <c r="T2547" s="10">
        <v>150</v>
      </c>
      <c r="V2547" s="13">
        <v>1</v>
      </c>
      <c r="W2547" s="10">
        <v>2</v>
      </c>
      <c r="X2547" s="29">
        <v>20</v>
      </c>
      <c r="Y2547" s="7" t="s">
        <v>13</v>
      </c>
      <c r="Z2547" t="s">
        <v>1245</v>
      </c>
      <c r="AA2547" t="s">
        <v>238</v>
      </c>
    </row>
    <row r="2548" spans="1:27" ht="23.1" customHeight="1" x14ac:dyDescent="0.25">
      <c r="A2548" t="s">
        <v>1236</v>
      </c>
      <c r="B2548" s="7" t="s">
        <v>110</v>
      </c>
      <c r="C2548" s="7">
        <v>24</v>
      </c>
      <c r="D2548" s="7" t="s">
        <v>776</v>
      </c>
      <c r="E2548" s="8" t="s">
        <v>777</v>
      </c>
      <c r="F2548" s="9" t="s">
        <v>777</v>
      </c>
      <c r="G2548" s="7" t="s">
        <v>107</v>
      </c>
      <c r="H2548" s="7">
        <v>30</v>
      </c>
      <c r="I2548" s="7" t="s">
        <v>2061</v>
      </c>
      <c r="J2548" s="10">
        <v>0.3</v>
      </c>
      <c r="K2548" s="10">
        <v>0.6</v>
      </c>
      <c r="L2548" s="11">
        <v>23</v>
      </c>
      <c r="N2548" s="12" t="s">
        <v>861</v>
      </c>
      <c r="P2548" s="10">
        <v>1700</v>
      </c>
      <c r="Q2548" s="10">
        <v>120</v>
      </c>
      <c r="T2548" s="10">
        <v>210</v>
      </c>
      <c r="X2548" s="29">
        <v>17</v>
      </c>
      <c r="Y2548" s="7" t="s">
        <v>68</v>
      </c>
    </row>
    <row r="2549" spans="1:27" ht="23.1" customHeight="1" x14ac:dyDescent="0.25">
      <c r="A2549" t="s">
        <v>1236</v>
      </c>
      <c r="B2549" s="7" t="s">
        <v>110</v>
      </c>
      <c r="C2549" s="7">
        <v>69</v>
      </c>
      <c r="D2549" s="7" t="s">
        <v>1095</v>
      </c>
      <c r="E2549" s="8" t="s">
        <v>1096</v>
      </c>
      <c r="F2549" s="9" t="s">
        <v>1096</v>
      </c>
      <c r="G2549" s="7" t="s">
        <v>658</v>
      </c>
      <c r="H2549" s="7">
        <v>62</v>
      </c>
      <c r="J2549" s="10">
        <v>2</v>
      </c>
      <c r="K2549" s="10">
        <v>8</v>
      </c>
      <c r="L2549" s="11">
        <v>37</v>
      </c>
      <c r="M2549" s="11">
        <v>37</v>
      </c>
      <c r="N2549" s="12" t="s">
        <v>697</v>
      </c>
      <c r="O2549" s="10">
        <v>210</v>
      </c>
      <c r="R2549" s="10">
        <v>60</v>
      </c>
      <c r="S2549" s="11">
        <v>8</v>
      </c>
      <c r="X2549" s="32">
        <v>36</v>
      </c>
      <c r="Y2549" s="7" t="s">
        <v>68</v>
      </c>
    </row>
    <row r="2550" spans="1:27" ht="23.1" customHeight="1" x14ac:dyDescent="0.25">
      <c r="A2550" t="s">
        <v>1236</v>
      </c>
      <c r="B2550" s="7" t="s">
        <v>110</v>
      </c>
      <c r="C2550" s="7">
        <v>91</v>
      </c>
      <c r="D2550" s="7" t="s">
        <v>254</v>
      </c>
      <c r="E2550" s="8" t="s">
        <v>255</v>
      </c>
      <c r="F2550" s="9" t="s">
        <v>1016</v>
      </c>
      <c r="G2550" s="7" t="s">
        <v>375</v>
      </c>
      <c r="H2550" s="7">
        <v>40</v>
      </c>
      <c r="I2550" s="7" t="s">
        <v>2355</v>
      </c>
      <c r="J2550" s="10">
        <v>0.3</v>
      </c>
      <c r="K2550" s="10">
        <v>0.4</v>
      </c>
      <c r="L2550" s="11">
        <v>28</v>
      </c>
      <c r="N2550" s="12" t="s">
        <v>712</v>
      </c>
      <c r="P2550" s="10">
        <v>3000</v>
      </c>
      <c r="Q2550" s="10">
        <v>90</v>
      </c>
      <c r="S2550" s="11">
        <v>1</v>
      </c>
      <c r="T2550" s="10">
        <v>120</v>
      </c>
      <c r="X2550" s="29">
        <v>21.5</v>
      </c>
      <c r="Y2550" s="7" t="s">
        <v>68</v>
      </c>
    </row>
    <row r="2551" spans="1:27" ht="23.1" customHeight="1" x14ac:dyDescent="0.25">
      <c r="A2551" t="s">
        <v>1236</v>
      </c>
      <c r="B2551" s="7" t="s">
        <v>110</v>
      </c>
      <c r="C2551" s="7">
        <v>84</v>
      </c>
      <c r="D2551" s="7" t="s">
        <v>805</v>
      </c>
      <c r="E2551" s="8" t="s">
        <v>806</v>
      </c>
      <c r="F2551" s="9" t="s">
        <v>806</v>
      </c>
      <c r="G2551" s="7" t="s">
        <v>154</v>
      </c>
      <c r="H2551" s="7">
        <v>20</v>
      </c>
      <c r="I2551" s="7" t="s">
        <v>2341</v>
      </c>
      <c r="J2551" s="10">
        <v>2</v>
      </c>
      <c r="K2551" s="10">
        <v>2</v>
      </c>
      <c r="L2551" s="11">
        <v>37</v>
      </c>
      <c r="M2551" s="11">
        <v>5</v>
      </c>
      <c r="N2551" s="12" t="s">
        <v>438</v>
      </c>
      <c r="P2551" s="10">
        <v>600</v>
      </c>
      <c r="Q2551" s="10">
        <v>60</v>
      </c>
      <c r="S2551" s="11">
        <v>2</v>
      </c>
      <c r="T2551" s="10">
        <v>120</v>
      </c>
      <c r="V2551" s="13">
        <v>1</v>
      </c>
      <c r="W2551" s="10">
        <v>3</v>
      </c>
      <c r="X2551" s="29">
        <v>27</v>
      </c>
      <c r="Y2551" s="7" t="s">
        <v>68</v>
      </c>
      <c r="Z2551" t="s">
        <v>1548</v>
      </c>
    </row>
    <row r="2552" spans="1:27" ht="23.1" customHeight="1" x14ac:dyDescent="0.25">
      <c r="A2552" t="s">
        <v>1236</v>
      </c>
      <c r="B2552" s="7" t="s">
        <v>110</v>
      </c>
      <c r="C2552" s="7">
        <v>84</v>
      </c>
      <c r="D2552" s="7" t="s">
        <v>1299</v>
      </c>
      <c r="E2552" s="8" t="s">
        <v>437</v>
      </c>
      <c r="F2552" s="9" t="s">
        <v>437</v>
      </c>
      <c r="G2552" s="7" t="s">
        <v>154</v>
      </c>
      <c r="H2552" s="7">
        <v>25</v>
      </c>
      <c r="I2552" s="7" t="s">
        <v>2336</v>
      </c>
      <c r="J2552" s="10">
        <v>2</v>
      </c>
      <c r="K2552" s="10">
        <v>2</v>
      </c>
      <c r="L2552" s="11">
        <v>9</v>
      </c>
      <c r="M2552" s="11">
        <v>9</v>
      </c>
      <c r="N2552" s="12" t="s">
        <v>1300</v>
      </c>
      <c r="P2552" s="10">
        <v>180</v>
      </c>
      <c r="Q2552" s="10">
        <v>60</v>
      </c>
      <c r="S2552" s="11">
        <v>2</v>
      </c>
      <c r="T2552" s="10">
        <v>120</v>
      </c>
      <c r="V2552" s="13">
        <v>1</v>
      </c>
      <c r="W2552" s="10">
        <v>3</v>
      </c>
      <c r="X2552" s="29">
        <v>13</v>
      </c>
      <c r="Y2552" s="7" t="s">
        <v>68</v>
      </c>
      <c r="Z2552" t="s">
        <v>1691</v>
      </c>
    </row>
    <row r="2553" spans="1:27" ht="23.1" customHeight="1" x14ac:dyDescent="0.25">
      <c r="A2553" t="s">
        <v>1236</v>
      </c>
      <c r="B2553" s="7" t="s">
        <v>110</v>
      </c>
      <c r="C2553" s="7">
        <v>119</v>
      </c>
      <c r="D2553" s="7" t="s">
        <v>1067</v>
      </c>
      <c r="E2553" s="8" t="s">
        <v>1068</v>
      </c>
      <c r="F2553" s="9" t="s">
        <v>1068</v>
      </c>
      <c r="G2553" s="7" t="s">
        <v>323</v>
      </c>
      <c r="H2553" s="7">
        <v>50</v>
      </c>
      <c r="I2553" s="7" t="s">
        <v>2337</v>
      </c>
      <c r="J2553" s="10">
        <v>3</v>
      </c>
      <c r="K2553" s="10">
        <v>3</v>
      </c>
      <c r="L2553" s="11">
        <v>37</v>
      </c>
      <c r="M2553" s="11">
        <v>37</v>
      </c>
      <c r="N2553" s="12" t="s">
        <v>1720</v>
      </c>
      <c r="P2553" s="10">
        <v>150</v>
      </c>
      <c r="Q2553" s="10">
        <v>75</v>
      </c>
      <c r="S2553" s="11">
        <v>3</v>
      </c>
      <c r="T2553" s="10">
        <v>180</v>
      </c>
      <c r="W2553" s="14">
        <v>4</v>
      </c>
      <c r="X2553" s="29">
        <v>15.3</v>
      </c>
      <c r="Y2553" s="7" t="s">
        <v>68</v>
      </c>
      <c r="Z2553" t="s">
        <v>1474</v>
      </c>
    </row>
    <row r="2554" spans="1:27" ht="23.1" customHeight="1" x14ac:dyDescent="0.25">
      <c r="A2554" t="s">
        <v>1236</v>
      </c>
      <c r="B2554" s="7" t="s">
        <v>110</v>
      </c>
      <c r="C2554" s="7">
        <v>121</v>
      </c>
      <c r="D2554" s="7" t="s">
        <v>1071</v>
      </c>
      <c r="E2554" s="8" t="s">
        <v>1072</v>
      </c>
      <c r="F2554" s="9" t="e">
        <v>#N/A</v>
      </c>
      <c r="G2554" s="7" t="s">
        <v>250</v>
      </c>
      <c r="H2554" s="7">
        <v>35</v>
      </c>
      <c r="I2554" s="7" t="s">
        <v>2328</v>
      </c>
      <c r="J2554" s="10">
        <v>0.5</v>
      </c>
      <c r="K2554" s="10">
        <v>1</v>
      </c>
      <c r="L2554" s="11">
        <v>37</v>
      </c>
      <c r="N2554" s="12" t="s">
        <v>1721</v>
      </c>
      <c r="P2554" s="10">
        <v>960</v>
      </c>
      <c r="Q2554" s="10">
        <v>90</v>
      </c>
      <c r="S2554" s="11">
        <v>1</v>
      </c>
      <c r="T2554" s="10">
        <v>180</v>
      </c>
      <c r="X2554" s="29">
        <v>17.5</v>
      </c>
      <c r="Y2554" s="7" t="s">
        <v>68</v>
      </c>
    </row>
    <row r="2555" spans="1:27" ht="23.1" customHeight="1" x14ac:dyDescent="0.25">
      <c r="A2555" t="s">
        <v>1236</v>
      </c>
      <c r="B2555" s="7" t="s">
        <v>110</v>
      </c>
      <c r="C2555" s="7">
        <v>47</v>
      </c>
      <c r="D2555" s="7" t="s">
        <v>978</v>
      </c>
      <c r="E2555" s="8" t="s">
        <v>979</v>
      </c>
      <c r="F2555" s="9" t="s">
        <v>979</v>
      </c>
      <c r="G2555" s="7" t="s">
        <v>154</v>
      </c>
      <c r="H2555" s="7">
        <v>60</v>
      </c>
      <c r="I2555" s="7" t="s">
        <v>2331</v>
      </c>
      <c r="J2555" s="10">
        <v>0.7</v>
      </c>
      <c r="K2555" s="10">
        <v>1.5</v>
      </c>
      <c r="L2555" s="11">
        <v>19</v>
      </c>
      <c r="M2555" s="11">
        <v>5</v>
      </c>
      <c r="N2555" s="12" t="s">
        <v>1722</v>
      </c>
      <c r="P2555" s="10">
        <v>520</v>
      </c>
      <c r="Q2555" s="10">
        <v>120</v>
      </c>
      <c r="S2555" s="11">
        <v>1</v>
      </c>
      <c r="T2555" s="10">
        <v>90</v>
      </c>
      <c r="X2555" s="29">
        <v>15</v>
      </c>
      <c r="Y2555" s="7" t="s">
        <v>22</v>
      </c>
    </row>
    <row r="2556" spans="1:27" ht="23.1" customHeight="1" x14ac:dyDescent="0.25">
      <c r="A2556" t="s">
        <v>1236</v>
      </c>
      <c r="B2556" s="7" t="s">
        <v>110</v>
      </c>
      <c r="C2556" s="7">
        <v>23</v>
      </c>
      <c r="D2556" s="7" t="s">
        <v>990</v>
      </c>
      <c r="E2556" s="8" t="s">
        <v>991</v>
      </c>
      <c r="F2556" s="9" t="s">
        <v>991</v>
      </c>
      <c r="G2556" s="7" t="s">
        <v>300</v>
      </c>
      <c r="H2556" s="7">
        <v>20</v>
      </c>
      <c r="I2556" s="7" t="s">
        <v>2514</v>
      </c>
      <c r="J2556" s="10">
        <v>0.6</v>
      </c>
      <c r="K2556" s="10">
        <v>0.6</v>
      </c>
      <c r="L2556" s="11">
        <v>19</v>
      </c>
      <c r="N2556" s="12" t="s">
        <v>1132</v>
      </c>
      <c r="P2556" s="10">
        <v>420</v>
      </c>
      <c r="Q2556" s="10">
        <v>60</v>
      </c>
      <c r="T2556" s="10">
        <v>90</v>
      </c>
      <c r="W2556" s="14">
        <v>1.5</v>
      </c>
      <c r="X2556" s="29">
        <v>5.7</v>
      </c>
      <c r="Y2556" s="7" t="s">
        <v>22</v>
      </c>
      <c r="Z2556" t="s">
        <v>1723</v>
      </c>
    </row>
    <row r="2557" spans="1:27" ht="23.1" customHeight="1" x14ac:dyDescent="0.25">
      <c r="A2557" t="s">
        <v>1236</v>
      </c>
      <c r="B2557" s="7" t="s">
        <v>110</v>
      </c>
      <c r="C2557" s="7">
        <v>23</v>
      </c>
      <c r="D2557" s="7" t="s">
        <v>990</v>
      </c>
      <c r="E2557" s="8" t="s">
        <v>991</v>
      </c>
      <c r="F2557" s="9" t="s">
        <v>991</v>
      </c>
      <c r="G2557" s="7" t="s">
        <v>300</v>
      </c>
      <c r="H2557" s="7">
        <v>25</v>
      </c>
      <c r="I2557" s="7" t="s">
        <v>2224</v>
      </c>
      <c r="J2557" s="10">
        <v>0.3</v>
      </c>
      <c r="K2557" s="10">
        <v>0.3</v>
      </c>
      <c r="L2557" s="11">
        <v>5</v>
      </c>
      <c r="N2557" s="12" t="s">
        <v>256</v>
      </c>
      <c r="P2557" s="10">
        <v>720</v>
      </c>
      <c r="Q2557" s="10">
        <v>60</v>
      </c>
      <c r="S2557" s="11">
        <v>1</v>
      </c>
      <c r="T2557" s="10">
        <v>90</v>
      </c>
      <c r="V2557" s="13">
        <v>1</v>
      </c>
      <c r="X2557" s="29">
        <v>6.1</v>
      </c>
      <c r="Y2557" s="7" t="s">
        <v>22</v>
      </c>
      <c r="Z2557" t="s">
        <v>1724</v>
      </c>
    </row>
    <row r="2558" spans="1:27" ht="23.1" customHeight="1" x14ac:dyDescent="0.25">
      <c r="A2558" t="s">
        <v>1236</v>
      </c>
      <c r="B2558" s="7" t="s">
        <v>110</v>
      </c>
      <c r="C2558" s="7">
        <v>22</v>
      </c>
      <c r="D2558" s="7" t="s">
        <v>635</v>
      </c>
      <c r="E2558" s="8" t="s">
        <v>612</v>
      </c>
      <c r="F2558" s="9" t="s">
        <v>612</v>
      </c>
      <c r="G2558" s="7" t="s">
        <v>102</v>
      </c>
      <c r="H2558" s="7">
        <v>10</v>
      </c>
      <c r="I2558" s="7" t="s">
        <v>1952</v>
      </c>
      <c r="J2558" s="10">
        <v>1</v>
      </c>
      <c r="K2558" s="10">
        <v>0.8</v>
      </c>
      <c r="L2558" s="11">
        <v>23</v>
      </c>
      <c r="N2558" s="12" t="s">
        <v>930</v>
      </c>
      <c r="P2558" s="10">
        <v>1500</v>
      </c>
      <c r="Q2558" s="10">
        <v>180</v>
      </c>
      <c r="S2558" s="11">
        <v>1</v>
      </c>
      <c r="T2558" s="10">
        <v>180</v>
      </c>
      <c r="X2558" s="29">
        <v>23</v>
      </c>
      <c r="Y2558" s="7" t="s">
        <v>49</v>
      </c>
    </row>
    <row r="2559" spans="1:27" ht="23.1" customHeight="1" x14ac:dyDescent="0.25">
      <c r="A2559" t="s">
        <v>1236</v>
      </c>
      <c r="B2559" s="7" t="s">
        <v>110</v>
      </c>
      <c r="C2559" s="7">
        <v>56</v>
      </c>
      <c r="D2559" s="7" t="s">
        <v>273</v>
      </c>
      <c r="E2559" s="8" t="s">
        <v>274</v>
      </c>
      <c r="F2559" s="9" t="s">
        <v>274</v>
      </c>
      <c r="G2559" s="7" t="s">
        <v>123</v>
      </c>
      <c r="H2559" s="7">
        <v>40</v>
      </c>
      <c r="I2559" s="7" t="s">
        <v>2326</v>
      </c>
      <c r="J2559" s="10">
        <v>3.5</v>
      </c>
      <c r="K2559" s="10">
        <v>3</v>
      </c>
      <c r="L2559" s="11">
        <v>37</v>
      </c>
      <c r="M2559" s="11">
        <v>28</v>
      </c>
      <c r="N2559" s="12" t="s">
        <v>275</v>
      </c>
      <c r="P2559" s="10">
        <v>240</v>
      </c>
      <c r="T2559" s="10">
        <v>120</v>
      </c>
      <c r="X2559" s="29">
        <v>12</v>
      </c>
      <c r="Y2559" s="7" t="s">
        <v>18</v>
      </c>
    </row>
    <row r="2560" spans="1:27" ht="23.1" customHeight="1" x14ac:dyDescent="0.25">
      <c r="A2560" t="s">
        <v>1236</v>
      </c>
      <c r="B2560" s="7" t="s">
        <v>110</v>
      </c>
      <c r="C2560" s="7">
        <v>15</v>
      </c>
      <c r="D2560" s="7" t="s">
        <v>1255</v>
      </c>
      <c r="E2560" s="8" t="s">
        <v>117</v>
      </c>
      <c r="F2560" s="9" t="s">
        <v>117</v>
      </c>
      <c r="G2560" s="7" t="s">
        <v>118</v>
      </c>
      <c r="H2560" s="7">
        <v>20</v>
      </c>
      <c r="I2560" s="7" t="s">
        <v>2232</v>
      </c>
      <c r="J2560" s="10">
        <v>3</v>
      </c>
      <c r="K2560" s="10">
        <v>3.4</v>
      </c>
      <c r="L2560" s="11">
        <v>9</v>
      </c>
      <c r="M2560" s="11">
        <v>5</v>
      </c>
      <c r="N2560" s="12" t="s">
        <v>1725</v>
      </c>
      <c r="P2560" s="10">
        <v>270</v>
      </c>
      <c r="T2560" s="10">
        <v>90</v>
      </c>
      <c r="X2560" s="29">
        <v>15.3</v>
      </c>
      <c r="Y2560" s="7" t="s">
        <v>60</v>
      </c>
    </row>
    <row r="2561" spans="1:27" ht="23.1" customHeight="1" x14ac:dyDescent="0.25">
      <c r="A2561" t="s">
        <v>1236</v>
      </c>
      <c r="B2561" s="7" t="s">
        <v>110</v>
      </c>
      <c r="C2561" s="7">
        <v>55</v>
      </c>
      <c r="D2561" s="7" t="s">
        <v>273</v>
      </c>
      <c r="E2561" s="8" t="s">
        <v>274</v>
      </c>
      <c r="F2561" s="9" t="s">
        <v>274</v>
      </c>
      <c r="G2561" s="7" t="s">
        <v>123</v>
      </c>
      <c r="H2561" s="7">
        <v>45</v>
      </c>
      <c r="I2561" s="7" t="s">
        <v>1954</v>
      </c>
      <c r="J2561" s="10">
        <v>3</v>
      </c>
      <c r="K2561" s="10">
        <v>3</v>
      </c>
      <c r="L2561" s="11">
        <v>37</v>
      </c>
      <c r="M2561" s="11">
        <v>28</v>
      </c>
      <c r="N2561" s="12" t="s">
        <v>275</v>
      </c>
      <c r="P2561" s="10">
        <v>240</v>
      </c>
      <c r="T2561" s="10">
        <v>90</v>
      </c>
      <c r="X2561" s="29">
        <v>12</v>
      </c>
      <c r="Y2561" s="7" t="s">
        <v>18</v>
      </c>
    </row>
    <row r="2562" spans="1:27" ht="23.1" customHeight="1" x14ac:dyDescent="0.25">
      <c r="A2562" t="s">
        <v>1236</v>
      </c>
      <c r="B2562" s="7" t="s">
        <v>110</v>
      </c>
      <c r="C2562" s="7">
        <v>12</v>
      </c>
      <c r="D2562" s="7" t="s">
        <v>735</v>
      </c>
      <c r="E2562" s="8" t="s">
        <v>249</v>
      </c>
      <c r="F2562" s="9" t="s">
        <v>249</v>
      </c>
      <c r="G2562" s="7" t="s">
        <v>250</v>
      </c>
      <c r="H2562" s="7">
        <v>25</v>
      </c>
      <c r="I2562" s="7" t="s">
        <v>1923</v>
      </c>
      <c r="J2562" s="10">
        <v>1</v>
      </c>
      <c r="K2562" s="10">
        <v>0.7</v>
      </c>
      <c r="L2562" s="11">
        <v>23</v>
      </c>
      <c r="N2562" s="12" t="s">
        <v>1726</v>
      </c>
      <c r="P2562" s="10">
        <v>1080</v>
      </c>
      <c r="T2562" s="10">
        <v>120</v>
      </c>
      <c r="X2562" s="29">
        <v>12.6</v>
      </c>
      <c r="Y2562" s="7" t="s">
        <v>10</v>
      </c>
    </row>
    <row r="2563" spans="1:27" ht="23.1" customHeight="1" x14ac:dyDescent="0.25">
      <c r="A2563" t="s">
        <v>1236</v>
      </c>
      <c r="B2563" s="7" t="s">
        <v>110</v>
      </c>
      <c r="C2563" s="7">
        <v>14</v>
      </c>
      <c r="D2563" s="7" t="s">
        <v>1331</v>
      </c>
      <c r="E2563" s="8" t="s">
        <v>1332</v>
      </c>
      <c r="F2563" s="9" t="s">
        <v>1332</v>
      </c>
      <c r="G2563" s="7" t="s">
        <v>300</v>
      </c>
      <c r="H2563" s="7">
        <v>15</v>
      </c>
      <c r="I2563" s="7" t="s">
        <v>2231</v>
      </c>
      <c r="J2563" s="10">
        <v>15</v>
      </c>
      <c r="K2563" s="10">
        <v>23</v>
      </c>
      <c r="L2563" s="11">
        <v>9</v>
      </c>
      <c r="M2563" s="11">
        <v>23</v>
      </c>
      <c r="N2563" s="12" t="s">
        <v>316</v>
      </c>
      <c r="P2563" s="10">
        <v>35</v>
      </c>
      <c r="T2563" s="10">
        <v>120</v>
      </c>
      <c r="X2563" s="29">
        <v>13.4</v>
      </c>
      <c r="Y2563" s="7" t="s">
        <v>60</v>
      </c>
    </row>
    <row r="2564" spans="1:27" ht="23.1" customHeight="1" x14ac:dyDescent="0.25">
      <c r="A2564" t="s">
        <v>1236</v>
      </c>
      <c r="B2564" s="7" t="s">
        <v>110</v>
      </c>
      <c r="C2564" s="7">
        <v>59</v>
      </c>
      <c r="D2564" s="7" t="s">
        <v>1039</v>
      </c>
      <c r="E2564" s="8" t="s">
        <v>1040</v>
      </c>
      <c r="F2564" s="9" t="s">
        <v>1040</v>
      </c>
      <c r="G2564" s="7" t="s">
        <v>102</v>
      </c>
      <c r="H2564" s="7">
        <v>15</v>
      </c>
      <c r="I2564" s="7" t="s">
        <v>1864</v>
      </c>
      <c r="J2564" s="10">
        <v>8</v>
      </c>
      <c r="K2564" s="10">
        <v>4</v>
      </c>
      <c r="L2564" s="11">
        <v>9</v>
      </c>
      <c r="M2564" s="11">
        <v>9</v>
      </c>
      <c r="N2564" s="12" t="s">
        <v>596</v>
      </c>
      <c r="P2564" s="10">
        <v>25</v>
      </c>
      <c r="T2564" s="10">
        <v>60</v>
      </c>
      <c r="V2564" s="13">
        <v>1</v>
      </c>
      <c r="X2564" s="29">
        <v>2.7</v>
      </c>
      <c r="Y2564" s="7" t="s">
        <v>6</v>
      </c>
    </row>
    <row r="2565" spans="1:27" ht="23.1" customHeight="1" x14ac:dyDescent="0.25">
      <c r="A2565" t="s">
        <v>1236</v>
      </c>
      <c r="B2565" s="7" t="s">
        <v>110</v>
      </c>
      <c r="C2565" s="7">
        <v>59</v>
      </c>
      <c r="D2565" s="7" t="s">
        <v>1039</v>
      </c>
      <c r="E2565" s="8" t="s">
        <v>1040</v>
      </c>
      <c r="F2565" s="9" t="s">
        <v>1040</v>
      </c>
      <c r="G2565" s="7" t="s">
        <v>102</v>
      </c>
      <c r="H2565" s="7">
        <v>20</v>
      </c>
      <c r="I2565" s="7" t="s">
        <v>2317</v>
      </c>
      <c r="J2565" s="10">
        <v>3</v>
      </c>
      <c r="K2565" s="10">
        <v>4</v>
      </c>
      <c r="L2565" s="11">
        <v>9</v>
      </c>
      <c r="M2565" s="11">
        <v>5</v>
      </c>
      <c r="N2565" s="12" t="s">
        <v>596</v>
      </c>
      <c r="P2565" s="10">
        <v>150</v>
      </c>
      <c r="T2565" s="10">
        <v>90</v>
      </c>
      <c r="V2565" s="13">
        <v>1</v>
      </c>
      <c r="X2565" s="29">
        <v>11.5</v>
      </c>
      <c r="Y2565" s="7" t="s">
        <v>6</v>
      </c>
    </row>
    <row r="2566" spans="1:27" ht="23.1" customHeight="1" x14ac:dyDescent="0.25">
      <c r="A2566" t="s">
        <v>1236</v>
      </c>
      <c r="B2566" s="7" t="s">
        <v>110</v>
      </c>
      <c r="C2566" s="7">
        <v>13</v>
      </c>
      <c r="D2566" s="7" t="s">
        <v>1727</v>
      </c>
      <c r="E2566" s="8" t="s">
        <v>1728</v>
      </c>
      <c r="F2566" s="9" t="s">
        <v>1728</v>
      </c>
      <c r="G2566" s="7" t="s">
        <v>102</v>
      </c>
      <c r="H2566" s="7">
        <v>10</v>
      </c>
      <c r="I2566" s="7" t="s">
        <v>1952</v>
      </c>
      <c r="J2566" s="10">
        <v>10</v>
      </c>
      <c r="K2566" s="10">
        <v>12</v>
      </c>
      <c r="L2566" s="11">
        <v>37</v>
      </c>
      <c r="M2566" s="11">
        <v>5</v>
      </c>
      <c r="N2566" s="12" t="s">
        <v>596</v>
      </c>
      <c r="P2566" s="10">
        <v>60</v>
      </c>
      <c r="T2566" s="10">
        <v>90</v>
      </c>
      <c r="V2566" s="13">
        <v>1</v>
      </c>
      <c r="X2566" s="29">
        <v>13.5</v>
      </c>
      <c r="Y2566" s="7" t="s">
        <v>10</v>
      </c>
    </row>
    <row r="2567" spans="1:27" ht="23.1" customHeight="1" x14ac:dyDescent="0.25">
      <c r="A2567" t="s">
        <v>1236</v>
      </c>
      <c r="B2567" s="7" t="s">
        <v>110</v>
      </c>
      <c r="C2567" s="7">
        <v>16</v>
      </c>
      <c r="D2567" s="7" t="s">
        <v>1718</v>
      </c>
      <c r="E2567" s="8" t="s">
        <v>625</v>
      </c>
      <c r="F2567" s="9" t="s">
        <v>625</v>
      </c>
      <c r="G2567" s="7" t="s">
        <v>102</v>
      </c>
      <c r="H2567" s="7">
        <v>20</v>
      </c>
      <c r="I2567" s="7" t="s">
        <v>2207</v>
      </c>
      <c r="J2567" s="10">
        <v>8</v>
      </c>
      <c r="K2567" s="10">
        <v>4</v>
      </c>
      <c r="L2567" s="11">
        <v>9</v>
      </c>
      <c r="M2567" s="11">
        <v>9</v>
      </c>
      <c r="N2567" s="12" t="s">
        <v>596</v>
      </c>
      <c r="P2567" s="10">
        <v>45</v>
      </c>
      <c r="T2567" s="10">
        <v>60</v>
      </c>
      <c r="V2567" s="13">
        <v>1</v>
      </c>
      <c r="W2567" s="14">
        <v>2</v>
      </c>
      <c r="X2567" s="29">
        <v>6</v>
      </c>
      <c r="Y2567" s="7" t="s">
        <v>71</v>
      </c>
      <c r="Z2567" t="s">
        <v>1729</v>
      </c>
    </row>
    <row r="2568" spans="1:27" ht="23.1" customHeight="1" x14ac:dyDescent="0.25">
      <c r="A2568" t="s">
        <v>1236</v>
      </c>
      <c r="B2568" s="7" t="s">
        <v>110</v>
      </c>
      <c r="C2568" s="7">
        <v>16</v>
      </c>
      <c r="D2568" s="7" t="s">
        <v>1707</v>
      </c>
      <c r="E2568" s="8" t="s">
        <v>437</v>
      </c>
      <c r="F2568" s="9" t="s">
        <v>437</v>
      </c>
      <c r="G2568" s="7" t="s">
        <v>154</v>
      </c>
      <c r="H2568" s="7">
        <v>30</v>
      </c>
      <c r="I2568" s="7" t="s">
        <v>2342</v>
      </c>
      <c r="J2568" s="10">
        <v>0</v>
      </c>
      <c r="K2568" s="10">
        <v>0.5</v>
      </c>
      <c r="L2568" s="11">
        <v>5</v>
      </c>
      <c r="N2568" s="12" t="s">
        <v>159</v>
      </c>
      <c r="P2568" s="10">
        <v>100</v>
      </c>
      <c r="T2568" s="10">
        <v>60</v>
      </c>
      <c r="V2568" s="13">
        <v>1</v>
      </c>
      <c r="W2568" s="14">
        <v>2</v>
      </c>
      <c r="X2568" s="29">
        <v>3.8</v>
      </c>
      <c r="Y2568" s="7" t="s">
        <v>71</v>
      </c>
      <c r="Z2568" t="s">
        <v>1376</v>
      </c>
      <c r="AA2568" t="s">
        <v>238</v>
      </c>
    </row>
    <row r="2569" spans="1:27" ht="23.1" customHeight="1" x14ac:dyDescent="0.25">
      <c r="A2569" t="s">
        <v>1236</v>
      </c>
      <c r="B2569" s="7" t="s">
        <v>110</v>
      </c>
      <c r="C2569" s="7">
        <v>78</v>
      </c>
      <c r="D2569" s="7" t="s">
        <v>1012</v>
      </c>
      <c r="E2569" s="8" t="s">
        <v>1013</v>
      </c>
      <c r="F2569" s="9" t="s">
        <v>1013</v>
      </c>
      <c r="G2569" s="7" t="s">
        <v>250</v>
      </c>
      <c r="H2569" s="7">
        <v>40</v>
      </c>
      <c r="I2569" s="7" t="s">
        <v>1902</v>
      </c>
      <c r="J2569" s="10">
        <v>3</v>
      </c>
      <c r="K2569" s="10">
        <v>2</v>
      </c>
      <c r="L2569" s="11">
        <v>19</v>
      </c>
      <c r="M2569" s="11">
        <v>5</v>
      </c>
      <c r="N2569" s="12" t="s">
        <v>974</v>
      </c>
      <c r="P2569" s="10">
        <v>250</v>
      </c>
      <c r="Q2569" s="10">
        <v>60</v>
      </c>
      <c r="S2569" s="11">
        <v>2</v>
      </c>
      <c r="T2569" s="10">
        <v>90</v>
      </c>
      <c r="V2569" s="13">
        <v>1</v>
      </c>
      <c r="W2569" s="10">
        <v>2</v>
      </c>
      <c r="X2569" s="29">
        <v>13.8</v>
      </c>
      <c r="Y2569" s="7" t="s">
        <v>5</v>
      </c>
      <c r="Z2569" t="s">
        <v>1548</v>
      </c>
      <c r="AA2569" t="s">
        <v>238</v>
      </c>
    </row>
    <row r="2570" spans="1:27" ht="23.1" customHeight="1" x14ac:dyDescent="0.25">
      <c r="A2570" t="s">
        <v>1236</v>
      </c>
      <c r="B2570" s="7" t="s">
        <v>110</v>
      </c>
      <c r="C2570" s="7">
        <v>9</v>
      </c>
      <c r="D2570" s="7" t="s">
        <v>911</v>
      </c>
      <c r="E2570" s="8" t="s">
        <v>912</v>
      </c>
      <c r="F2570" s="9" t="s">
        <v>912</v>
      </c>
      <c r="G2570" s="7" t="s">
        <v>154</v>
      </c>
      <c r="H2570" s="7">
        <v>20</v>
      </c>
      <c r="I2570" s="7" t="s">
        <v>2235</v>
      </c>
      <c r="J2570" s="10">
        <v>5</v>
      </c>
      <c r="K2570" s="10">
        <v>5</v>
      </c>
      <c r="L2570" s="11">
        <v>37</v>
      </c>
      <c r="M2570" s="11">
        <v>5</v>
      </c>
      <c r="N2570" s="12" t="s">
        <v>216</v>
      </c>
      <c r="P2570" s="10">
        <v>140</v>
      </c>
      <c r="T2570" s="10">
        <v>60</v>
      </c>
      <c r="X2570" s="29">
        <v>11.7</v>
      </c>
      <c r="Y2570" s="7" t="s">
        <v>23</v>
      </c>
    </row>
    <row r="2571" spans="1:27" ht="23.1" customHeight="1" x14ac:dyDescent="0.25">
      <c r="A2571" t="s">
        <v>1236</v>
      </c>
      <c r="B2571" s="7" t="s">
        <v>110</v>
      </c>
      <c r="C2571" s="7">
        <v>10</v>
      </c>
      <c r="D2571" s="7" t="s">
        <v>946</v>
      </c>
      <c r="E2571" s="8" t="s">
        <v>947</v>
      </c>
      <c r="F2571" s="9" t="s">
        <v>947</v>
      </c>
      <c r="G2571" s="7" t="s">
        <v>300</v>
      </c>
      <c r="H2571" s="7">
        <v>20</v>
      </c>
      <c r="I2571" s="7" t="s">
        <v>2234</v>
      </c>
      <c r="J2571" s="10">
        <v>1.7</v>
      </c>
      <c r="K2571" s="10">
        <v>1.7</v>
      </c>
      <c r="L2571" s="11">
        <v>9</v>
      </c>
      <c r="M2571" s="11">
        <v>5</v>
      </c>
      <c r="N2571" s="12" t="s">
        <v>1730</v>
      </c>
      <c r="P2571" s="10">
        <v>360</v>
      </c>
      <c r="T2571" s="10">
        <v>90</v>
      </c>
      <c r="X2571" s="29">
        <v>10.199999999999999</v>
      </c>
      <c r="Y2571" s="7" t="s">
        <v>23</v>
      </c>
    </row>
    <row r="2572" spans="1:27" ht="23.1" customHeight="1" x14ac:dyDescent="0.25">
      <c r="A2572" t="s">
        <v>1236</v>
      </c>
      <c r="B2572" s="7" t="s">
        <v>110</v>
      </c>
      <c r="C2572" s="7">
        <v>108</v>
      </c>
      <c r="D2572" s="7" t="s">
        <v>886</v>
      </c>
      <c r="E2572" s="8" t="s">
        <v>887</v>
      </c>
      <c r="F2572" s="9" t="s">
        <v>887</v>
      </c>
      <c r="G2572" s="7" t="s">
        <v>154</v>
      </c>
      <c r="H2572" s="7">
        <v>25</v>
      </c>
      <c r="I2572" s="7" t="s">
        <v>2037</v>
      </c>
      <c r="J2572" s="10">
        <v>1</v>
      </c>
      <c r="K2572" s="10">
        <v>1</v>
      </c>
      <c r="L2572" s="11">
        <v>37</v>
      </c>
      <c r="N2572" s="12" t="s">
        <v>234</v>
      </c>
      <c r="P2572" s="10">
        <v>360</v>
      </c>
      <c r="Q2572" s="10">
        <v>60</v>
      </c>
      <c r="S2572" s="11">
        <v>1</v>
      </c>
      <c r="T2572" s="10">
        <v>90</v>
      </c>
      <c r="V2572" s="13">
        <v>1</v>
      </c>
      <c r="X2572" s="29">
        <v>8.5</v>
      </c>
      <c r="Y2572" s="7" t="s">
        <v>13</v>
      </c>
    </row>
    <row r="2573" spans="1:27" ht="23.1" customHeight="1" x14ac:dyDescent="0.25">
      <c r="A2573" t="s">
        <v>1236</v>
      </c>
      <c r="B2573" s="7" t="s">
        <v>110</v>
      </c>
      <c r="C2573" s="7">
        <v>13</v>
      </c>
      <c r="D2573" s="7" t="s">
        <v>1727</v>
      </c>
      <c r="E2573" s="8" t="s">
        <v>1728</v>
      </c>
      <c r="F2573" s="9" t="s">
        <v>1728</v>
      </c>
      <c r="G2573" s="7" t="s">
        <v>102</v>
      </c>
      <c r="H2573" s="7">
        <v>10</v>
      </c>
      <c r="I2573" s="7" t="s">
        <v>1952</v>
      </c>
      <c r="J2573" s="10">
        <v>1</v>
      </c>
      <c r="K2573" s="10">
        <v>1</v>
      </c>
      <c r="N2573" s="12" t="s">
        <v>596</v>
      </c>
      <c r="P2573" s="10">
        <v>60</v>
      </c>
      <c r="T2573" s="10">
        <v>90</v>
      </c>
      <c r="W2573" s="14">
        <v>2</v>
      </c>
      <c r="X2573" s="29">
        <v>3</v>
      </c>
      <c r="Y2573" s="7" t="s">
        <v>10</v>
      </c>
      <c r="Z2573" t="s">
        <v>1671</v>
      </c>
      <c r="AA2573" t="s">
        <v>238</v>
      </c>
    </row>
    <row r="2574" spans="1:27" ht="23.1" customHeight="1" x14ac:dyDescent="0.25">
      <c r="A2574" t="s">
        <v>1236</v>
      </c>
      <c r="B2574" s="7" t="s">
        <v>110</v>
      </c>
      <c r="C2574" s="7">
        <v>11</v>
      </c>
      <c r="D2574" s="7" t="s">
        <v>1296</v>
      </c>
      <c r="E2574" s="8" t="s">
        <v>1297</v>
      </c>
      <c r="F2574" s="9" t="s">
        <v>1297</v>
      </c>
      <c r="G2574" s="7" t="s">
        <v>154</v>
      </c>
      <c r="H2574" s="7">
        <v>25</v>
      </c>
      <c r="I2574" s="7" t="s">
        <v>2054</v>
      </c>
      <c r="J2574" s="10">
        <v>4</v>
      </c>
      <c r="K2574" s="10">
        <v>2</v>
      </c>
      <c r="L2574" s="11">
        <v>9</v>
      </c>
      <c r="M2574" s="11">
        <v>9</v>
      </c>
      <c r="N2574" s="12" t="s">
        <v>199</v>
      </c>
      <c r="P2574" s="10">
        <v>65</v>
      </c>
      <c r="T2574" s="10">
        <v>60</v>
      </c>
      <c r="X2574" s="29">
        <v>2.2000000000000002</v>
      </c>
      <c r="Y2574" s="7" t="s">
        <v>71</v>
      </c>
    </row>
    <row r="2575" spans="1:27" ht="23.1" customHeight="1" x14ac:dyDescent="0.25">
      <c r="A2575" t="s">
        <v>1236</v>
      </c>
      <c r="B2575" s="7" t="s">
        <v>110</v>
      </c>
      <c r="C2575" s="7">
        <v>11</v>
      </c>
      <c r="D2575" s="7" t="s">
        <v>1296</v>
      </c>
      <c r="E2575" s="8" t="s">
        <v>1297</v>
      </c>
      <c r="F2575" s="9" t="s">
        <v>1297</v>
      </c>
      <c r="G2575" s="7" t="s">
        <v>154</v>
      </c>
      <c r="H2575" s="7">
        <v>30</v>
      </c>
      <c r="I2575" s="7" t="s">
        <v>1863</v>
      </c>
      <c r="J2575" s="10">
        <v>5</v>
      </c>
      <c r="K2575" s="10">
        <v>1</v>
      </c>
      <c r="L2575" s="11">
        <v>9</v>
      </c>
      <c r="N2575" s="12" t="s">
        <v>199</v>
      </c>
      <c r="P2575" s="10">
        <v>160</v>
      </c>
      <c r="T2575" s="10">
        <v>60</v>
      </c>
      <c r="V2575" s="13">
        <v>1</v>
      </c>
      <c r="W2575" s="14">
        <v>3</v>
      </c>
      <c r="X2575" s="29">
        <v>6.7</v>
      </c>
      <c r="Y2575" s="7" t="s">
        <v>71</v>
      </c>
      <c r="Z2575" t="s">
        <v>1731</v>
      </c>
      <c r="AA2575" t="s">
        <v>238</v>
      </c>
    </row>
    <row r="2576" spans="1:27" ht="23.1" customHeight="1" x14ac:dyDescent="0.25">
      <c r="A2576" t="s">
        <v>1236</v>
      </c>
      <c r="B2576" s="7" t="s">
        <v>110</v>
      </c>
      <c r="C2576" s="7">
        <v>58</v>
      </c>
      <c r="D2576" s="7" t="s">
        <v>1047</v>
      </c>
      <c r="E2576" s="8" t="s">
        <v>424</v>
      </c>
      <c r="F2576" s="9" t="s">
        <v>424</v>
      </c>
      <c r="G2576" s="7" t="s">
        <v>107</v>
      </c>
      <c r="H2576" s="7">
        <v>25</v>
      </c>
      <c r="I2576" s="7" t="s">
        <v>1983</v>
      </c>
      <c r="J2576" s="10">
        <v>3</v>
      </c>
      <c r="K2576" s="10">
        <v>4</v>
      </c>
      <c r="L2576" s="11">
        <v>9</v>
      </c>
      <c r="M2576" s="11">
        <v>19</v>
      </c>
      <c r="N2576" s="12" t="s">
        <v>1048</v>
      </c>
      <c r="P2576" s="10">
        <v>85</v>
      </c>
      <c r="T2576" s="10">
        <v>120</v>
      </c>
      <c r="X2576" s="29">
        <v>5.7</v>
      </c>
      <c r="Y2576" s="7" t="s">
        <v>0</v>
      </c>
    </row>
    <row r="2577" spans="1:27" ht="23.1" customHeight="1" x14ac:dyDescent="0.25">
      <c r="A2577" t="s">
        <v>1236</v>
      </c>
      <c r="B2577" s="7" t="s">
        <v>110</v>
      </c>
      <c r="C2577" s="7">
        <v>18</v>
      </c>
      <c r="D2577" s="7" t="s">
        <v>918</v>
      </c>
      <c r="E2577" s="8" t="s">
        <v>919</v>
      </c>
      <c r="F2577" s="9" t="s">
        <v>919</v>
      </c>
      <c r="G2577" s="7" t="s">
        <v>323</v>
      </c>
      <c r="H2577" s="7">
        <v>15</v>
      </c>
      <c r="I2577" s="7" t="s">
        <v>2520</v>
      </c>
      <c r="J2577" s="10">
        <v>3</v>
      </c>
      <c r="K2577" s="10">
        <v>3</v>
      </c>
      <c r="L2577" s="11">
        <v>19</v>
      </c>
      <c r="M2577" s="11">
        <v>19</v>
      </c>
      <c r="N2577" s="12" t="s">
        <v>780</v>
      </c>
      <c r="P2577" s="10">
        <v>210</v>
      </c>
      <c r="T2577" s="10">
        <v>90</v>
      </c>
      <c r="X2577" s="29">
        <v>10.5</v>
      </c>
      <c r="Y2577" s="7" t="s">
        <v>14</v>
      </c>
    </row>
    <row r="2578" spans="1:27" ht="23.1" customHeight="1" x14ac:dyDescent="0.25">
      <c r="A2578" t="s">
        <v>1236</v>
      </c>
      <c r="B2578" s="7" t="s">
        <v>110</v>
      </c>
      <c r="C2578" s="7">
        <v>57</v>
      </c>
      <c r="D2578" s="7" t="s">
        <v>1042</v>
      </c>
      <c r="E2578" s="8" t="s">
        <v>1281</v>
      </c>
      <c r="F2578" s="9" t="s">
        <v>1281</v>
      </c>
      <c r="G2578" s="7" t="s">
        <v>107</v>
      </c>
      <c r="H2578" s="7">
        <v>15</v>
      </c>
      <c r="I2578" s="7" t="s">
        <v>2338</v>
      </c>
      <c r="J2578" s="10">
        <v>3.5</v>
      </c>
      <c r="K2578" s="10">
        <v>3</v>
      </c>
      <c r="L2578" s="11">
        <v>19</v>
      </c>
      <c r="M2578" s="11">
        <v>19</v>
      </c>
      <c r="N2578" s="12" t="s">
        <v>1043</v>
      </c>
      <c r="P2578" s="10">
        <v>180</v>
      </c>
      <c r="T2578" s="10">
        <v>90</v>
      </c>
      <c r="X2578" s="29">
        <v>9</v>
      </c>
      <c r="Y2578" s="7" t="s">
        <v>0</v>
      </c>
    </row>
    <row r="2579" spans="1:27" ht="23.1" customHeight="1" x14ac:dyDescent="0.25">
      <c r="A2579" t="s">
        <v>1236</v>
      </c>
      <c r="B2579" s="7" t="s">
        <v>110</v>
      </c>
      <c r="C2579" s="7">
        <v>76</v>
      </c>
      <c r="D2579" s="7" t="s">
        <v>1553</v>
      </c>
      <c r="E2579" s="8" t="s">
        <v>409</v>
      </c>
      <c r="F2579" s="9" t="e">
        <v>#N/A</v>
      </c>
      <c r="G2579" s="7" t="s">
        <v>102</v>
      </c>
      <c r="H2579" s="7">
        <v>25</v>
      </c>
      <c r="J2579" s="10">
        <v>6</v>
      </c>
      <c r="K2579" s="10">
        <v>2</v>
      </c>
      <c r="L2579" s="11">
        <v>5</v>
      </c>
      <c r="M2579" s="11">
        <v>5</v>
      </c>
      <c r="N2579" s="12" t="s">
        <v>596</v>
      </c>
      <c r="O2579" s="10">
        <v>55</v>
      </c>
      <c r="P2579" s="10">
        <v>55</v>
      </c>
      <c r="T2579" s="10">
        <v>60</v>
      </c>
      <c r="U2579" s="10">
        <v>60</v>
      </c>
      <c r="V2579" s="13">
        <v>1</v>
      </c>
      <c r="W2579" s="14">
        <v>2</v>
      </c>
      <c r="X2579" s="32">
        <v>4.8</v>
      </c>
      <c r="Y2579" s="7" t="s">
        <v>12</v>
      </c>
      <c r="Z2579" t="s">
        <v>1671</v>
      </c>
      <c r="AA2579" t="s">
        <v>238</v>
      </c>
    </row>
    <row r="2580" spans="1:27" ht="23.1" customHeight="1" x14ac:dyDescent="0.25">
      <c r="A2580" t="s">
        <v>1236</v>
      </c>
      <c r="B2580" s="7" t="s">
        <v>110</v>
      </c>
      <c r="C2580" s="7">
        <v>77</v>
      </c>
      <c r="D2580" s="7" t="s">
        <v>1698</v>
      </c>
      <c r="E2580" s="8" t="s">
        <v>1699</v>
      </c>
      <c r="F2580" s="9" t="s">
        <v>1699</v>
      </c>
      <c r="G2580" s="7" t="s">
        <v>118</v>
      </c>
      <c r="H2580" s="7">
        <v>15</v>
      </c>
      <c r="I2580" s="7" t="s">
        <v>2343</v>
      </c>
      <c r="J2580" s="10">
        <v>20</v>
      </c>
      <c r="K2580" s="10">
        <v>45</v>
      </c>
      <c r="L2580" s="11">
        <v>9</v>
      </c>
      <c r="M2580" s="11">
        <v>9</v>
      </c>
      <c r="N2580" s="12" t="s">
        <v>282</v>
      </c>
      <c r="P2580" s="10">
        <v>25</v>
      </c>
      <c r="T2580" s="10">
        <v>90</v>
      </c>
      <c r="V2580" s="13">
        <v>1</v>
      </c>
      <c r="W2580" s="14">
        <v>2</v>
      </c>
      <c r="X2580" s="29">
        <v>22.3</v>
      </c>
      <c r="Y2580" s="7" t="s">
        <v>24</v>
      </c>
      <c r="Z2580" t="s">
        <v>1540</v>
      </c>
      <c r="AA2580" t="s">
        <v>238</v>
      </c>
    </row>
    <row r="2581" spans="1:27" ht="23.1" customHeight="1" x14ac:dyDescent="0.25">
      <c r="A2581" t="s">
        <v>1236</v>
      </c>
      <c r="B2581" s="7" t="s">
        <v>110</v>
      </c>
      <c r="C2581" s="7">
        <v>21</v>
      </c>
      <c r="D2581" s="7" t="s">
        <v>321</v>
      </c>
      <c r="E2581" s="8" t="s">
        <v>322</v>
      </c>
      <c r="F2581" s="9" t="s">
        <v>322</v>
      </c>
      <c r="G2581" s="7" t="s">
        <v>323</v>
      </c>
      <c r="H2581" s="7">
        <v>30</v>
      </c>
      <c r="I2581" s="7" t="s">
        <v>2078</v>
      </c>
      <c r="J2581" s="10">
        <v>0.9</v>
      </c>
      <c r="K2581" s="10">
        <v>0.6</v>
      </c>
      <c r="L2581" s="11">
        <v>9</v>
      </c>
      <c r="M2581" s="11">
        <v>9</v>
      </c>
      <c r="N2581" s="12" t="s">
        <v>801</v>
      </c>
      <c r="P2581" s="10">
        <v>360</v>
      </c>
      <c r="Q2581" s="10">
        <v>120</v>
      </c>
      <c r="T2581" s="10">
        <v>180</v>
      </c>
      <c r="X2581" s="29">
        <v>3.6</v>
      </c>
      <c r="Y2581" s="7" t="s">
        <v>49</v>
      </c>
    </row>
    <row r="2582" spans="1:27" ht="23.1" customHeight="1" x14ac:dyDescent="0.25">
      <c r="A2582" t="s">
        <v>1236</v>
      </c>
      <c r="B2582" s="7" t="s">
        <v>110</v>
      </c>
      <c r="C2582" s="7">
        <v>21</v>
      </c>
      <c r="D2582" s="7" t="s">
        <v>321</v>
      </c>
      <c r="E2582" s="8" t="s">
        <v>322</v>
      </c>
      <c r="F2582" s="9" t="s">
        <v>322</v>
      </c>
      <c r="G2582" s="7" t="s">
        <v>323</v>
      </c>
      <c r="H2582" s="7">
        <v>35</v>
      </c>
      <c r="I2582" s="7" t="s">
        <v>1925</v>
      </c>
      <c r="J2582" s="10">
        <v>0.5</v>
      </c>
      <c r="K2582" s="10">
        <v>0.9</v>
      </c>
      <c r="L2582" s="11">
        <v>5</v>
      </c>
      <c r="N2582" s="12" t="s">
        <v>1273</v>
      </c>
      <c r="P2582" s="10">
        <v>480</v>
      </c>
      <c r="Q2582" s="10">
        <v>120</v>
      </c>
      <c r="S2582" s="11">
        <v>1</v>
      </c>
      <c r="T2582" s="10">
        <v>180</v>
      </c>
      <c r="V2582" s="13">
        <v>1</v>
      </c>
      <c r="X2582" s="29">
        <v>12.2</v>
      </c>
      <c r="Y2582" s="7" t="s">
        <v>49</v>
      </c>
    </row>
    <row r="2583" spans="1:27" ht="23.1" customHeight="1" x14ac:dyDescent="0.25">
      <c r="A2583" t="s">
        <v>1236</v>
      </c>
      <c r="B2583" s="7" t="s">
        <v>137</v>
      </c>
      <c r="C2583" s="7">
        <v>11</v>
      </c>
      <c r="D2583" s="7" t="s">
        <v>1296</v>
      </c>
      <c r="E2583" s="8" t="s">
        <v>1297</v>
      </c>
      <c r="F2583" s="9" t="s">
        <v>1297</v>
      </c>
      <c r="G2583" s="7" t="s">
        <v>154</v>
      </c>
      <c r="H2583" s="7">
        <v>30</v>
      </c>
      <c r="I2583" s="7" t="s">
        <v>1863</v>
      </c>
      <c r="J2583" s="10">
        <v>4</v>
      </c>
      <c r="K2583" s="10">
        <v>3</v>
      </c>
      <c r="L2583" s="11">
        <v>28</v>
      </c>
      <c r="M2583" s="11">
        <v>23</v>
      </c>
      <c r="N2583" s="12" t="s">
        <v>199</v>
      </c>
      <c r="P2583" s="10">
        <v>160</v>
      </c>
      <c r="T2583" s="10">
        <v>60</v>
      </c>
      <c r="V2583" s="13">
        <v>1</v>
      </c>
      <c r="W2583" s="14">
        <v>2</v>
      </c>
      <c r="X2583" s="29">
        <v>11</v>
      </c>
      <c r="Y2583" s="7" t="s">
        <v>63</v>
      </c>
      <c r="Z2583" t="s">
        <v>1376</v>
      </c>
      <c r="AA2583" t="s">
        <v>238</v>
      </c>
    </row>
    <row r="2584" spans="1:27" ht="23.1" customHeight="1" x14ac:dyDescent="0.25">
      <c r="A2584" t="s">
        <v>1236</v>
      </c>
      <c r="B2584" s="7" t="s">
        <v>137</v>
      </c>
      <c r="C2584" s="7">
        <v>57</v>
      </c>
      <c r="D2584" s="7" t="s">
        <v>1042</v>
      </c>
      <c r="E2584" s="8" t="s">
        <v>1281</v>
      </c>
      <c r="F2584" s="9" t="s">
        <v>1281</v>
      </c>
      <c r="G2584" s="7" t="s">
        <v>107</v>
      </c>
      <c r="H2584" s="7">
        <v>15</v>
      </c>
      <c r="I2584" s="7" t="s">
        <v>2338</v>
      </c>
      <c r="J2584" s="10">
        <v>3.5</v>
      </c>
      <c r="K2584" s="10">
        <v>3.5</v>
      </c>
      <c r="L2584" s="11">
        <v>23</v>
      </c>
      <c r="M2584" s="11">
        <v>28</v>
      </c>
      <c r="N2584" s="12" t="s">
        <v>1732</v>
      </c>
      <c r="P2584" s="10">
        <v>180</v>
      </c>
      <c r="T2584" s="10">
        <v>90</v>
      </c>
      <c r="X2584" s="29">
        <v>10.5</v>
      </c>
      <c r="Y2584" s="7" t="s">
        <v>7</v>
      </c>
    </row>
    <row r="2585" spans="1:27" ht="23.1" customHeight="1" x14ac:dyDescent="0.25">
      <c r="A2585" t="s">
        <v>1236</v>
      </c>
      <c r="B2585" s="7" t="s">
        <v>137</v>
      </c>
      <c r="C2585" s="7">
        <v>17</v>
      </c>
      <c r="D2585" s="7" t="s">
        <v>1702</v>
      </c>
      <c r="E2585" s="8" t="s">
        <v>625</v>
      </c>
      <c r="F2585" s="9" t="s">
        <v>625</v>
      </c>
      <c r="G2585" s="7" t="s">
        <v>250</v>
      </c>
      <c r="H2585" s="7">
        <v>20</v>
      </c>
      <c r="I2585" s="7" t="s">
        <v>2344</v>
      </c>
      <c r="J2585" s="10">
        <v>4</v>
      </c>
      <c r="K2585" s="10">
        <v>6</v>
      </c>
      <c r="L2585" s="11">
        <v>5</v>
      </c>
      <c r="M2585" s="11">
        <v>5</v>
      </c>
      <c r="N2585" s="12" t="s">
        <v>247</v>
      </c>
      <c r="P2585" s="10">
        <v>150</v>
      </c>
      <c r="T2585" s="10">
        <v>150</v>
      </c>
      <c r="V2585" s="13">
        <v>1</v>
      </c>
      <c r="X2585" s="29">
        <v>17.5</v>
      </c>
      <c r="Y2585" s="7" t="s">
        <v>16</v>
      </c>
    </row>
    <row r="2586" spans="1:27" ht="23.1" customHeight="1" x14ac:dyDescent="0.25">
      <c r="A2586" t="s">
        <v>1236</v>
      </c>
      <c r="B2586" s="7" t="s">
        <v>137</v>
      </c>
      <c r="C2586" s="7">
        <v>18</v>
      </c>
      <c r="D2586" s="7" t="s">
        <v>921</v>
      </c>
      <c r="E2586" s="8" t="s">
        <v>919</v>
      </c>
      <c r="F2586" s="9" t="s">
        <v>919</v>
      </c>
      <c r="G2586" s="7" t="s">
        <v>323</v>
      </c>
      <c r="H2586" s="7">
        <v>15</v>
      </c>
      <c r="I2586" s="7" t="s">
        <v>2335</v>
      </c>
      <c r="J2586" s="10">
        <v>3</v>
      </c>
      <c r="K2586" s="10">
        <v>2</v>
      </c>
      <c r="L2586" s="11">
        <v>19</v>
      </c>
      <c r="M2586" s="11">
        <v>19</v>
      </c>
      <c r="N2586" s="12" t="s">
        <v>780</v>
      </c>
      <c r="P2586" s="10">
        <v>210</v>
      </c>
      <c r="T2586" s="10">
        <v>90</v>
      </c>
      <c r="V2586" s="13">
        <v>1</v>
      </c>
      <c r="X2586" s="29">
        <v>8.5</v>
      </c>
      <c r="Y2586" s="7" t="s">
        <v>16</v>
      </c>
      <c r="Z2586" t="s">
        <v>1733</v>
      </c>
      <c r="AA2586" t="s">
        <v>238</v>
      </c>
    </row>
    <row r="2587" spans="1:27" ht="23.1" customHeight="1" x14ac:dyDescent="0.25">
      <c r="A2587" t="s">
        <v>1236</v>
      </c>
      <c r="B2587" s="7" t="s">
        <v>137</v>
      </c>
      <c r="C2587" s="7">
        <v>18</v>
      </c>
      <c r="D2587" s="7" t="s">
        <v>1734</v>
      </c>
      <c r="E2587" s="8" t="s">
        <v>1735</v>
      </c>
      <c r="F2587" s="9" t="s">
        <v>1735</v>
      </c>
      <c r="G2587" s="7" t="s">
        <v>154</v>
      </c>
      <c r="H2587" s="7">
        <v>45</v>
      </c>
      <c r="I2587" s="7" t="s">
        <v>2345</v>
      </c>
      <c r="K2587" s="10">
        <v>2</v>
      </c>
      <c r="L2587" s="11">
        <v>5</v>
      </c>
      <c r="M2587" s="11">
        <v>5</v>
      </c>
      <c r="N2587" s="12" t="s">
        <v>1736</v>
      </c>
      <c r="V2587" s="13">
        <v>1</v>
      </c>
      <c r="W2587" s="14">
        <v>3</v>
      </c>
      <c r="X2587" s="29">
        <v>3</v>
      </c>
      <c r="Y2587" s="7" t="s">
        <v>16</v>
      </c>
      <c r="Z2587" t="s">
        <v>1737</v>
      </c>
      <c r="AA2587" t="s">
        <v>238</v>
      </c>
    </row>
    <row r="2588" spans="1:27" ht="23.1" customHeight="1" x14ac:dyDescent="0.25">
      <c r="A2588" t="s">
        <v>1236</v>
      </c>
      <c r="B2588" s="7" t="s">
        <v>137</v>
      </c>
      <c r="C2588" s="7">
        <v>16</v>
      </c>
      <c r="D2588" s="7" t="s">
        <v>1707</v>
      </c>
      <c r="E2588" s="8" t="s">
        <v>437</v>
      </c>
      <c r="F2588" s="9" t="s">
        <v>437</v>
      </c>
      <c r="G2588" s="7" t="s">
        <v>154</v>
      </c>
      <c r="H2588" s="7">
        <v>30</v>
      </c>
      <c r="I2588" s="7" t="s">
        <v>2342</v>
      </c>
      <c r="J2588" s="10">
        <v>1</v>
      </c>
      <c r="K2588" s="10">
        <v>1.5</v>
      </c>
      <c r="L2588" s="11">
        <v>5</v>
      </c>
      <c r="M2588" s="11">
        <v>5</v>
      </c>
      <c r="N2588" s="12" t="s">
        <v>438</v>
      </c>
      <c r="P2588" s="10">
        <v>100</v>
      </c>
      <c r="T2588" s="10">
        <v>60</v>
      </c>
      <c r="X2588" s="29">
        <v>2.5</v>
      </c>
      <c r="Y2588" s="7" t="s">
        <v>63</v>
      </c>
    </row>
    <row r="2589" spans="1:27" ht="23.1" customHeight="1" x14ac:dyDescent="0.25">
      <c r="A2589" t="s">
        <v>1236</v>
      </c>
      <c r="B2589" s="7" t="s">
        <v>137</v>
      </c>
      <c r="C2589" s="7">
        <v>16</v>
      </c>
      <c r="D2589" s="7" t="s">
        <v>436</v>
      </c>
      <c r="E2589" s="8" t="s">
        <v>437</v>
      </c>
      <c r="F2589" s="9" t="s">
        <v>437</v>
      </c>
      <c r="G2589" s="7" t="s">
        <v>154</v>
      </c>
      <c r="H2589" s="7">
        <v>30</v>
      </c>
      <c r="I2589" s="7" t="s">
        <v>2342</v>
      </c>
      <c r="J2589" s="10">
        <v>2</v>
      </c>
      <c r="K2589" s="10">
        <v>2</v>
      </c>
      <c r="L2589" s="11">
        <v>28</v>
      </c>
      <c r="M2589" s="11">
        <v>28</v>
      </c>
      <c r="N2589" s="12" t="s">
        <v>438</v>
      </c>
      <c r="P2589" s="10">
        <v>130</v>
      </c>
      <c r="T2589" s="10">
        <v>60</v>
      </c>
      <c r="V2589" s="13">
        <v>1</v>
      </c>
      <c r="X2589" s="29">
        <v>5.3</v>
      </c>
      <c r="Y2589" s="7" t="s">
        <v>63</v>
      </c>
    </row>
    <row r="2590" spans="1:27" ht="23.1" customHeight="1" x14ac:dyDescent="0.25">
      <c r="A2590" t="s">
        <v>1236</v>
      </c>
      <c r="B2590" s="7" t="s">
        <v>137</v>
      </c>
      <c r="C2590" s="7">
        <v>58</v>
      </c>
      <c r="D2590" s="7" t="s">
        <v>1047</v>
      </c>
      <c r="E2590" s="8" t="s">
        <v>424</v>
      </c>
      <c r="F2590" s="9" t="s">
        <v>424</v>
      </c>
      <c r="G2590" s="7" t="s">
        <v>107</v>
      </c>
      <c r="H2590" s="7">
        <v>30</v>
      </c>
      <c r="I2590" s="7" t="s">
        <v>1994</v>
      </c>
      <c r="J2590" s="10">
        <v>2</v>
      </c>
      <c r="K2590" s="10">
        <v>7</v>
      </c>
      <c r="L2590" s="11">
        <v>23</v>
      </c>
      <c r="M2590" s="11">
        <v>5</v>
      </c>
      <c r="N2590" s="12" t="s">
        <v>1049</v>
      </c>
      <c r="P2590" s="10">
        <v>50</v>
      </c>
      <c r="Q2590" s="10">
        <v>30</v>
      </c>
      <c r="T2590" s="10">
        <v>60</v>
      </c>
      <c r="V2590" s="13">
        <v>1</v>
      </c>
      <c r="W2590" s="14">
        <v>2</v>
      </c>
      <c r="X2590" s="29">
        <v>8.8000000000000007</v>
      </c>
      <c r="Y2590" s="7" t="s">
        <v>7</v>
      </c>
      <c r="Z2590" t="s">
        <v>1738</v>
      </c>
      <c r="AA2590" t="s">
        <v>238</v>
      </c>
    </row>
    <row r="2591" spans="1:27" ht="23.1" customHeight="1" x14ac:dyDescent="0.25">
      <c r="A2591" t="s">
        <v>1236</v>
      </c>
      <c r="B2591" s="7" t="s">
        <v>137</v>
      </c>
      <c r="C2591" s="7">
        <v>59</v>
      </c>
      <c r="D2591" s="7" t="s">
        <v>1686</v>
      </c>
      <c r="E2591" s="8" t="s">
        <v>1687</v>
      </c>
      <c r="F2591" s="9" t="s">
        <v>1687</v>
      </c>
      <c r="G2591" s="7" t="s">
        <v>102</v>
      </c>
      <c r="H2591" s="7">
        <v>20</v>
      </c>
      <c r="I2591" s="7" t="s">
        <v>2317</v>
      </c>
      <c r="J2591" s="10">
        <v>4</v>
      </c>
      <c r="K2591" s="10">
        <v>4</v>
      </c>
      <c r="L2591" s="11">
        <v>5</v>
      </c>
      <c r="M2591" s="11">
        <v>5</v>
      </c>
      <c r="N2591" s="12" t="s">
        <v>596</v>
      </c>
      <c r="P2591" s="10">
        <v>140</v>
      </c>
      <c r="T2591" s="10">
        <v>90</v>
      </c>
      <c r="X2591" s="29">
        <v>9.3000000000000007</v>
      </c>
      <c r="Y2591" s="64" t="s">
        <v>1847</v>
      </c>
    </row>
    <row r="2592" spans="1:27" ht="23.1" customHeight="1" x14ac:dyDescent="0.25">
      <c r="A2592" t="s">
        <v>1236</v>
      </c>
      <c r="B2592" s="7" t="s">
        <v>113</v>
      </c>
      <c r="C2592" s="7">
        <v>79</v>
      </c>
      <c r="D2592" s="7" t="s">
        <v>152</v>
      </c>
      <c r="E2592" s="8" t="s">
        <v>153</v>
      </c>
      <c r="F2592" s="9" t="s">
        <v>1247</v>
      </c>
      <c r="G2592" s="7" t="s">
        <v>154</v>
      </c>
      <c r="H2592" s="7">
        <v>45</v>
      </c>
      <c r="I2592" s="7" t="s">
        <v>2236</v>
      </c>
      <c r="J2592" s="10">
        <v>0.6</v>
      </c>
      <c r="K2592" s="10">
        <v>0.5</v>
      </c>
      <c r="L2592" s="11">
        <v>31</v>
      </c>
      <c r="N2592" s="12" t="s">
        <v>421</v>
      </c>
      <c r="P2592" s="10">
        <v>2460</v>
      </c>
      <c r="Q2592" s="10">
        <v>90</v>
      </c>
      <c r="S2592" s="11">
        <v>1</v>
      </c>
      <c r="T2592" s="10">
        <v>240</v>
      </c>
      <c r="W2592" s="14">
        <v>3</v>
      </c>
      <c r="X2592" s="29">
        <v>25</v>
      </c>
      <c r="Y2592" s="7" t="s">
        <v>19</v>
      </c>
      <c r="Z2592" t="s">
        <v>1700</v>
      </c>
    </row>
    <row r="2593" spans="1:25" ht="23.1" customHeight="1" x14ac:dyDescent="0.25">
      <c r="A2593" t="s">
        <v>1236</v>
      </c>
      <c r="B2593" s="7" t="s">
        <v>113</v>
      </c>
      <c r="C2593" s="7">
        <v>13</v>
      </c>
      <c r="D2593" s="7" t="s">
        <v>1727</v>
      </c>
      <c r="E2593" s="8" t="s">
        <v>1728</v>
      </c>
      <c r="F2593" s="9" t="s">
        <v>1728</v>
      </c>
      <c r="G2593" s="7" t="s">
        <v>102</v>
      </c>
      <c r="H2593" s="7">
        <v>10</v>
      </c>
      <c r="I2593" s="7" t="s">
        <v>1952</v>
      </c>
      <c r="K2593" s="10">
        <v>5</v>
      </c>
      <c r="L2593" s="11">
        <v>5</v>
      </c>
      <c r="M2593" s="11">
        <v>5</v>
      </c>
      <c r="N2593" s="12" t="s">
        <v>596</v>
      </c>
      <c r="P2593" s="10">
        <v>60</v>
      </c>
      <c r="T2593" s="10">
        <v>90</v>
      </c>
      <c r="X2593" s="29">
        <v>5</v>
      </c>
      <c r="Y2593" s="7" t="s">
        <v>72</v>
      </c>
    </row>
    <row r="2594" spans="1:25" ht="23.1" customHeight="1" x14ac:dyDescent="0.25">
      <c r="A2594" t="s">
        <v>1236</v>
      </c>
      <c r="B2594" s="7" t="s">
        <v>113</v>
      </c>
      <c r="C2594" s="7">
        <v>13</v>
      </c>
      <c r="D2594" s="7" t="s">
        <v>1727</v>
      </c>
      <c r="E2594" s="8" t="s">
        <v>1728</v>
      </c>
      <c r="F2594" s="9" t="s">
        <v>1728</v>
      </c>
      <c r="G2594" s="7" t="s">
        <v>102</v>
      </c>
      <c r="H2594" s="7">
        <v>15</v>
      </c>
      <c r="I2594" s="7" t="s">
        <v>2346</v>
      </c>
      <c r="J2594" s="10">
        <v>4</v>
      </c>
      <c r="K2594" s="10">
        <v>5</v>
      </c>
      <c r="L2594" s="11">
        <v>23</v>
      </c>
      <c r="M2594" s="11">
        <v>28</v>
      </c>
      <c r="N2594" s="12" t="s">
        <v>596</v>
      </c>
      <c r="P2594" s="10">
        <v>140</v>
      </c>
      <c r="T2594" s="10">
        <v>90</v>
      </c>
      <c r="V2594" s="13">
        <v>1</v>
      </c>
      <c r="X2594" s="29">
        <v>13.2</v>
      </c>
      <c r="Y2594" s="7" t="s">
        <v>72</v>
      </c>
    </row>
    <row r="2595" spans="1:25" ht="23.1" customHeight="1" x14ac:dyDescent="0.25">
      <c r="A2595" t="s">
        <v>1236</v>
      </c>
      <c r="B2595" s="7" t="s">
        <v>113</v>
      </c>
      <c r="C2595" s="7">
        <v>107</v>
      </c>
      <c r="D2595" s="7" t="s">
        <v>173</v>
      </c>
      <c r="E2595" s="8" t="s">
        <v>174</v>
      </c>
      <c r="F2595" s="9" t="s">
        <v>1246</v>
      </c>
      <c r="G2595" s="7" t="s">
        <v>154</v>
      </c>
      <c r="H2595" s="7">
        <v>50</v>
      </c>
      <c r="I2595" s="7" t="s">
        <v>2210</v>
      </c>
      <c r="J2595" s="10">
        <v>0.4</v>
      </c>
      <c r="K2595" s="10">
        <v>0.4</v>
      </c>
      <c r="L2595" s="11">
        <v>28</v>
      </c>
      <c r="N2595" s="12" t="s">
        <v>470</v>
      </c>
      <c r="P2595" s="10">
        <v>2100</v>
      </c>
      <c r="Q2595" s="10">
        <v>90</v>
      </c>
      <c r="T2595" s="10">
        <v>150</v>
      </c>
      <c r="X2595" s="29">
        <v>14</v>
      </c>
      <c r="Y2595" s="7" t="s">
        <v>45</v>
      </c>
    </row>
    <row r="2596" spans="1:25" ht="23.1" customHeight="1" x14ac:dyDescent="0.25">
      <c r="A2596" t="s">
        <v>1236</v>
      </c>
      <c r="B2596" s="7" t="s">
        <v>113</v>
      </c>
      <c r="C2596" s="7">
        <v>108</v>
      </c>
      <c r="D2596" s="7" t="s">
        <v>889</v>
      </c>
      <c r="E2596" s="8" t="s">
        <v>887</v>
      </c>
      <c r="F2596" s="9" t="s">
        <v>887</v>
      </c>
      <c r="G2596" s="7" t="s">
        <v>154</v>
      </c>
      <c r="H2596" s="7">
        <v>30</v>
      </c>
      <c r="I2596" s="7" t="s">
        <v>2347</v>
      </c>
      <c r="J2596" s="10">
        <v>1</v>
      </c>
      <c r="K2596" s="10">
        <v>0.5</v>
      </c>
      <c r="L2596" s="11">
        <v>23</v>
      </c>
      <c r="N2596" s="12" t="s">
        <v>159</v>
      </c>
      <c r="P2596" s="10">
        <v>720</v>
      </c>
      <c r="Q2596" s="10">
        <v>60</v>
      </c>
      <c r="T2596" s="10">
        <v>90</v>
      </c>
      <c r="X2596" s="29">
        <v>6</v>
      </c>
      <c r="Y2596" s="7" t="s">
        <v>45</v>
      </c>
    </row>
    <row r="2597" spans="1:25" ht="23.1" customHeight="1" x14ac:dyDescent="0.25">
      <c r="A2597" t="s">
        <v>1236</v>
      </c>
      <c r="B2597" s="7" t="s">
        <v>113</v>
      </c>
      <c r="C2597" s="7">
        <v>55</v>
      </c>
      <c r="D2597" s="7" t="s">
        <v>273</v>
      </c>
      <c r="E2597" s="8" t="s">
        <v>274</v>
      </c>
      <c r="F2597" s="9" t="s">
        <v>274</v>
      </c>
      <c r="G2597" s="7" t="s">
        <v>123</v>
      </c>
      <c r="H2597" s="7">
        <v>45</v>
      </c>
      <c r="I2597" s="7" t="s">
        <v>1954</v>
      </c>
      <c r="J2597" s="10">
        <v>3</v>
      </c>
      <c r="K2597" s="10">
        <v>3</v>
      </c>
      <c r="L2597" s="11">
        <v>28</v>
      </c>
      <c r="M2597" s="11">
        <v>28</v>
      </c>
      <c r="N2597" s="12" t="s">
        <v>275</v>
      </c>
      <c r="P2597" s="10">
        <v>240</v>
      </c>
      <c r="T2597" s="10">
        <v>90</v>
      </c>
      <c r="X2597" s="29">
        <v>12</v>
      </c>
      <c r="Y2597" s="7" t="s">
        <v>44</v>
      </c>
    </row>
    <row r="2598" spans="1:25" ht="23.1" customHeight="1" x14ac:dyDescent="0.25">
      <c r="A2598" t="s">
        <v>1236</v>
      </c>
      <c r="B2598" s="7" t="s">
        <v>113</v>
      </c>
      <c r="C2598" s="7">
        <v>56</v>
      </c>
      <c r="D2598" s="7" t="s">
        <v>273</v>
      </c>
      <c r="E2598" s="8" t="s">
        <v>274</v>
      </c>
      <c r="F2598" s="9" t="s">
        <v>274</v>
      </c>
      <c r="G2598" s="7" t="s">
        <v>123</v>
      </c>
      <c r="H2598" s="7">
        <v>40</v>
      </c>
      <c r="I2598" s="7" t="s">
        <v>2326</v>
      </c>
      <c r="J2598" s="10">
        <v>3.5</v>
      </c>
      <c r="K2598" s="10">
        <v>3</v>
      </c>
      <c r="L2598" s="11">
        <v>28</v>
      </c>
      <c r="M2598" s="11">
        <v>28</v>
      </c>
      <c r="N2598" s="12" t="s">
        <v>275</v>
      </c>
      <c r="P2598" s="10">
        <v>240</v>
      </c>
      <c r="T2598" s="10">
        <v>120</v>
      </c>
      <c r="X2598" s="29">
        <v>12</v>
      </c>
      <c r="Y2598" s="7" t="s">
        <v>44</v>
      </c>
    </row>
    <row r="2599" spans="1:25" ht="23.1" customHeight="1" x14ac:dyDescent="0.25">
      <c r="A2599" t="s">
        <v>1236</v>
      </c>
      <c r="B2599" s="7" t="s">
        <v>113</v>
      </c>
      <c r="C2599" s="7">
        <v>15</v>
      </c>
      <c r="D2599" s="7" t="s">
        <v>1255</v>
      </c>
      <c r="E2599" s="8" t="s">
        <v>117</v>
      </c>
      <c r="F2599" s="9" t="s">
        <v>117</v>
      </c>
      <c r="G2599" s="7" t="s">
        <v>118</v>
      </c>
      <c r="H2599" s="7">
        <v>20</v>
      </c>
      <c r="I2599" s="7" t="s">
        <v>2232</v>
      </c>
      <c r="J2599" s="10">
        <v>3</v>
      </c>
      <c r="K2599" s="10">
        <v>3.6</v>
      </c>
      <c r="L2599" s="11">
        <v>5</v>
      </c>
      <c r="M2599" s="11">
        <v>23</v>
      </c>
      <c r="N2599" s="12" t="s">
        <v>1100</v>
      </c>
      <c r="P2599" s="10">
        <v>270</v>
      </c>
      <c r="T2599" s="10">
        <v>90</v>
      </c>
      <c r="X2599" s="29">
        <v>16.2</v>
      </c>
      <c r="Y2599" s="7" t="s">
        <v>31</v>
      </c>
    </row>
    <row r="2600" spans="1:25" ht="23.1" customHeight="1" x14ac:dyDescent="0.25">
      <c r="A2600" t="s">
        <v>1236</v>
      </c>
      <c r="B2600" s="7" t="s">
        <v>113</v>
      </c>
      <c r="C2600" s="7">
        <v>18</v>
      </c>
      <c r="D2600" s="7" t="s">
        <v>920</v>
      </c>
      <c r="E2600" s="8" t="s">
        <v>919</v>
      </c>
      <c r="F2600" s="9" t="s">
        <v>919</v>
      </c>
      <c r="G2600" s="7" t="s">
        <v>323</v>
      </c>
      <c r="H2600" s="7">
        <v>15</v>
      </c>
      <c r="I2600" s="7" t="s">
        <v>2033</v>
      </c>
      <c r="K2600" s="10">
        <v>1</v>
      </c>
      <c r="L2600" s="11">
        <v>5</v>
      </c>
      <c r="M2600" s="11">
        <v>5</v>
      </c>
      <c r="N2600" s="12" t="s">
        <v>860</v>
      </c>
      <c r="P2600" s="10">
        <v>210</v>
      </c>
      <c r="T2600" s="10">
        <v>90</v>
      </c>
      <c r="V2600" s="13">
        <v>1</v>
      </c>
      <c r="X2600" s="29">
        <v>5</v>
      </c>
      <c r="Y2600" s="7" t="s">
        <v>43</v>
      </c>
    </row>
    <row r="2601" spans="1:25" ht="23.1" customHeight="1" x14ac:dyDescent="0.25">
      <c r="A2601" t="s">
        <v>1236</v>
      </c>
      <c r="B2601" s="7" t="s">
        <v>113</v>
      </c>
      <c r="C2601" s="7">
        <v>18</v>
      </c>
      <c r="D2601" s="7" t="s">
        <v>921</v>
      </c>
      <c r="E2601" s="8" t="s">
        <v>919</v>
      </c>
      <c r="F2601" s="9" t="s">
        <v>919</v>
      </c>
      <c r="G2601" s="7" t="s">
        <v>323</v>
      </c>
      <c r="H2601" s="7">
        <v>15</v>
      </c>
      <c r="I2601" s="7" t="s">
        <v>2335</v>
      </c>
      <c r="K2601" s="10">
        <v>1</v>
      </c>
      <c r="L2601" s="11">
        <v>5</v>
      </c>
      <c r="M2601" s="11">
        <v>5</v>
      </c>
      <c r="N2601" s="12" t="s">
        <v>780</v>
      </c>
      <c r="P2601" s="10">
        <v>210</v>
      </c>
      <c r="T2601" s="10">
        <v>90</v>
      </c>
      <c r="X2601" s="29">
        <v>3.5</v>
      </c>
      <c r="Y2601" s="7" t="s">
        <v>43</v>
      </c>
    </row>
    <row r="2602" spans="1:25" ht="23.1" customHeight="1" x14ac:dyDescent="0.25">
      <c r="A2602" t="s">
        <v>1236</v>
      </c>
      <c r="B2602" s="7" t="s">
        <v>113</v>
      </c>
      <c r="C2602" s="7">
        <v>12</v>
      </c>
      <c r="D2602" s="7" t="s">
        <v>735</v>
      </c>
      <c r="E2602" s="8" t="s">
        <v>249</v>
      </c>
      <c r="F2602" s="9" t="s">
        <v>249</v>
      </c>
      <c r="G2602" s="7" t="s">
        <v>250</v>
      </c>
      <c r="H2602" s="7">
        <v>25</v>
      </c>
      <c r="I2602" s="7" t="s">
        <v>1923</v>
      </c>
      <c r="J2602" s="10">
        <v>1</v>
      </c>
      <c r="K2602" s="10">
        <v>1.3</v>
      </c>
      <c r="L2602" s="11">
        <v>23</v>
      </c>
      <c r="M2602" s="11">
        <v>9</v>
      </c>
      <c r="N2602" s="12" t="s">
        <v>1739</v>
      </c>
      <c r="P2602" s="10">
        <v>1080</v>
      </c>
      <c r="T2602" s="10">
        <v>120</v>
      </c>
      <c r="X2602" s="29">
        <v>23.4</v>
      </c>
      <c r="Y2602" s="7" t="s">
        <v>72</v>
      </c>
    </row>
    <row r="2603" spans="1:25" ht="23.1" customHeight="1" x14ac:dyDescent="0.25">
      <c r="A2603" t="s">
        <v>1236</v>
      </c>
      <c r="B2603" s="7" t="s">
        <v>113</v>
      </c>
      <c r="C2603" s="7">
        <v>78</v>
      </c>
      <c r="D2603" s="7" t="s">
        <v>1012</v>
      </c>
      <c r="E2603" s="8" t="s">
        <v>1013</v>
      </c>
      <c r="F2603" s="9" t="s">
        <v>1013</v>
      </c>
      <c r="G2603" s="7" t="s">
        <v>250</v>
      </c>
      <c r="H2603" s="7">
        <v>40</v>
      </c>
      <c r="I2603" s="7" t="s">
        <v>1902</v>
      </c>
      <c r="J2603" s="10">
        <v>3</v>
      </c>
      <c r="K2603" s="10">
        <v>4</v>
      </c>
      <c r="L2603" s="11">
        <v>5</v>
      </c>
      <c r="M2603" s="11">
        <v>5</v>
      </c>
      <c r="N2603" s="12" t="s">
        <v>216</v>
      </c>
      <c r="P2603" s="10">
        <v>250</v>
      </c>
      <c r="Q2603" s="10">
        <v>60</v>
      </c>
      <c r="S2603" s="11">
        <v>4</v>
      </c>
      <c r="T2603" s="10">
        <v>90</v>
      </c>
      <c r="X2603" s="29">
        <v>20.7</v>
      </c>
      <c r="Y2603" s="7" t="s">
        <v>19</v>
      </c>
    </row>
    <row r="2604" spans="1:25" ht="23.1" customHeight="1" x14ac:dyDescent="0.25">
      <c r="A2604" t="s">
        <v>1236</v>
      </c>
      <c r="B2604" s="7" t="s">
        <v>113</v>
      </c>
      <c r="C2604" s="7">
        <v>11</v>
      </c>
      <c r="D2604" s="7" t="s">
        <v>1296</v>
      </c>
      <c r="E2604" s="8" t="s">
        <v>1297</v>
      </c>
      <c r="F2604" s="9" t="s">
        <v>1297</v>
      </c>
      <c r="G2604" s="7" t="s">
        <v>154</v>
      </c>
      <c r="H2604" s="7">
        <v>30</v>
      </c>
      <c r="I2604" s="7" t="s">
        <v>1863</v>
      </c>
      <c r="J2604" s="10">
        <v>4</v>
      </c>
      <c r="K2604" s="10">
        <v>4</v>
      </c>
      <c r="L2604" s="11">
        <v>31</v>
      </c>
      <c r="M2604" s="11">
        <v>23</v>
      </c>
      <c r="N2604" s="12" t="s">
        <v>199</v>
      </c>
      <c r="P2604" s="10">
        <v>160</v>
      </c>
      <c r="T2604" s="10">
        <v>60</v>
      </c>
      <c r="X2604" s="29">
        <v>10.7</v>
      </c>
      <c r="Y2604" s="7" t="s">
        <v>38</v>
      </c>
    </row>
    <row r="2605" spans="1:25" ht="23.1" customHeight="1" x14ac:dyDescent="0.25">
      <c r="A2605" t="s">
        <v>1236</v>
      </c>
      <c r="B2605" s="7" t="s">
        <v>113</v>
      </c>
      <c r="C2605" s="7">
        <v>16</v>
      </c>
      <c r="D2605" s="7" t="s">
        <v>441</v>
      </c>
      <c r="E2605" s="8" t="s">
        <v>437</v>
      </c>
      <c r="F2605" s="9" t="s">
        <v>437</v>
      </c>
      <c r="G2605" s="7" t="s">
        <v>154</v>
      </c>
      <c r="H2605" s="7">
        <v>30</v>
      </c>
      <c r="I2605" s="7" t="s">
        <v>2342</v>
      </c>
      <c r="J2605" s="10">
        <v>1</v>
      </c>
      <c r="K2605" s="10">
        <v>1</v>
      </c>
      <c r="L2605" s="11">
        <v>31</v>
      </c>
      <c r="N2605" s="12" t="s">
        <v>234</v>
      </c>
      <c r="P2605" s="10">
        <v>130</v>
      </c>
      <c r="T2605" s="10">
        <v>60</v>
      </c>
      <c r="X2605" s="29">
        <v>2.2000000000000002</v>
      </c>
      <c r="Y2605" s="7" t="s">
        <v>38</v>
      </c>
    </row>
    <row r="2606" spans="1:25" ht="23.1" customHeight="1" x14ac:dyDescent="0.25">
      <c r="A2606" t="s">
        <v>1236</v>
      </c>
      <c r="B2606" s="7" t="s">
        <v>113</v>
      </c>
      <c r="C2606" s="7">
        <v>16</v>
      </c>
      <c r="D2606" s="7" t="s">
        <v>1740</v>
      </c>
      <c r="E2606" s="8" t="s">
        <v>1693</v>
      </c>
      <c r="F2606" s="9" t="s">
        <v>1693</v>
      </c>
      <c r="G2606" s="7" t="s">
        <v>154</v>
      </c>
      <c r="H2606" s="7">
        <v>30</v>
      </c>
      <c r="I2606" s="7" t="s">
        <v>2348</v>
      </c>
      <c r="J2606" s="10">
        <v>20</v>
      </c>
      <c r="K2606" s="10">
        <v>1</v>
      </c>
      <c r="L2606" s="11">
        <v>23</v>
      </c>
      <c r="N2606" s="12" t="s">
        <v>613</v>
      </c>
      <c r="P2606" s="10">
        <v>130</v>
      </c>
      <c r="T2606" s="10">
        <v>60</v>
      </c>
      <c r="V2606" s="13">
        <v>1</v>
      </c>
      <c r="X2606" s="29">
        <v>3.2</v>
      </c>
      <c r="Y2606" s="7" t="s">
        <v>38</v>
      </c>
    </row>
    <row r="2607" spans="1:25" ht="23.1" customHeight="1" x14ac:dyDescent="0.25">
      <c r="A2607" t="s">
        <v>1236</v>
      </c>
      <c r="B2607" s="7" t="s">
        <v>113</v>
      </c>
      <c r="C2607" s="7">
        <v>17</v>
      </c>
      <c r="D2607" s="7" t="s">
        <v>1702</v>
      </c>
      <c r="E2607" s="8" t="s">
        <v>625</v>
      </c>
      <c r="F2607" s="9" t="s">
        <v>625</v>
      </c>
      <c r="G2607" s="7" t="s">
        <v>250</v>
      </c>
      <c r="H2607" s="7">
        <v>20</v>
      </c>
      <c r="I2607" s="7" t="s">
        <v>2344</v>
      </c>
      <c r="J2607" s="10">
        <v>4</v>
      </c>
      <c r="K2607" s="10">
        <v>4</v>
      </c>
      <c r="L2607" s="11">
        <v>28</v>
      </c>
      <c r="M2607" s="11">
        <v>5</v>
      </c>
      <c r="N2607" s="12" t="s">
        <v>247</v>
      </c>
      <c r="P2607" s="10">
        <v>150</v>
      </c>
      <c r="T2607" s="10">
        <v>150</v>
      </c>
      <c r="X2607" s="29">
        <v>10</v>
      </c>
      <c r="Y2607" s="7" t="s">
        <v>43</v>
      </c>
    </row>
    <row r="2608" spans="1:25" ht="23.1" customHeight="1" x14ac:dyDescent="0.25">
      <c r="A2608" t="s">
        <v>1236</v>
      </c>
      <c r="B2608" s="7" t="s">
        <v>113</v>
      </c>
      <c r="C2608" s="7">
        <v>14</v>
      </c>
      <c r="D2608" s="7" t="s">
        <v>1331</v>
      </c>
      <c r="E2608" s="8" t="s">
        <v>1332</v>
      </c>
      <c r="F2608" s="9" t="s">
        <v>1332</v>
      </c>
      <c r="G2608" s="7" t="s">
        <v>300</v>
      </c>
      <c r="H2608" s="7">
        <v>15</v>
      </c>
      <c r="I2608" s="7" t="s">
        <v>2231</v>
      </c>
      <c r="J2608" s="10">
        <v>10</v>
      </c>
      <c r="K2608" s="10">
        <v>15</v>
      </c>
      <c r="L2608" s="11">
        <v>23</v>
      </c>
      <c r="M2608" s="11">
        <v>23</v>
      </c>
      <c r="N2608" s="12" t="s">
        <v>316</v>
      </c>
      <c r="P2608" s="10">
        <v>35</v>
      </c>
      <c r="T2608" s="10">
        <v>120</v>
      </c>
      <c r="X2608" s="29">
        <v>8.8000000000000007</v>
      </c>
      <c r="Y2608" s="7" t="s">
        <v>31</v>
      </c>
    </row>
    <row r="2609" spans="1:27" ht="23.1" customHeight="1" x14ac:dyDescent="0.25">
      <c r="A2609" t="s">
        <v>1236</v>
      </c>
      <c r="B2609" s="7" t="s">
        <v>113</v>
      </c>
      <c r="C2609" s="7">
        <v>77</v>
      </c>
      <c r="D2609" s="7" t="s">
        <v>1698</v>
      </c>
      <c r="E2609" s="8" t="s">
        <v>1699</v>
      </c>
      <c r="F2609" s="9" t="s">
        <v>1699</v>
      </c>
      <c r="G2609" s="7" t="s">
        <v>118</v>
      </c>
      <c r="H2609" s="7">
        <v>15</v>
      </c>
      <c r="I2609" s="7" t="s">
        <v>2343</v>
      </c>
      <c r="J2609" s="10">
        <v>30</v>
      </c>
      <c r="K2609" s="10">
        <v>30</v>
      </c>
      <c r="L2609" s="11">
        <v>5</v>
      </c>
      <c r="M2609" s="11">
        <v>31</v>
      </c>
      <c r="N2609" s="12" t="s">
        <v>282</v>
      </c>
      <c r="P2609" s="10">
        <v>25</v>
      </c>
      <c r="T2609" s="10">
        <v>90</v>
      </c>
      <c r="X2609" s="29">
        <v>12.5</v>
      </c>
      <c r="Y2609" s="7" t="s">
        <v>15</v>
      </c>
    </row>
    <row r="2610" spans="1:27" ht="23.1" customHeight="1" x14ac:dyDescent="0.25">
      <c r="A2610" t="s">
        <v>1236</v>
      </c>
      <c r="B2610" s="7" t="s">
        <v>113</v>
      </c>
      <c r="C2610" s="7">
        <v>58</v>
      </c>
      <c r="D2610" s="7" t="s">
        <v>1047</v>
      </c>
      <c r="E2610" s="8" t="s">
        <v>424</v>
      </c>
      <c r="F2610" s="9" t="s">
        <v>424</v>
      </c>
      <c r="G2610" s="7" t="s">
        <v>107</v>
      </c>
      <c r="H2610" s="7">
        <v>35</v>
      </c>
      <c r="I2610" s="7" t="s">
        <v>2012</v>
      </c>
      <c r="J2610" s="10">
        <v>6</v>
      </c>
      <c r="K2610" s="10">
        <v>7</v>
      </c>
      <c r="L2610" s="11">
        <v>28</v>
      </c>
      <c r="M2610" s="11">
        <v>28</v>
      </c>
      <c r="N2610" s="12" t="s">
        <v>724</v>
      </c>
      <c r="P2610" s="10">
        <v>50</v>
      </c>
      <c r="Q2610" s="10">
        <v>30</v>
      </c>
      <c r="T2610" s="10">
        <v>60</v>
      </c>
      <c r="V2610" s="13">
        <v>1</v>
      </c>
      <c r="W2610" s="14">
        <v>2</v>
      </c>
      <c r="X2610" s="29">
        <v>8.8000000000000007</v>
      </c>
      <c r="Y2610" s="7" t="s">
        <v>57</v>
      </c>
      <c r="Z2610" t="s">
        <v>492</v>
      </c>
    </row>
    <row r="2611" spans="1:27" ht="23.1" customHeight="1" x14ac:dyDescent="0.25">
      <c r="A2611" t="s">
        <v>1236</v>
      </c>
      <c r="B2611" s="7" t="s">
        <v>113</v>
      </c>
      <c r="C2611" s="7">
        <v>57</v>
      </c>
      <c r="D2611" s="7" t="s">
        <v>1042</v>
      </c>
      <c r="E2611" s="8" t="s">
        <v>1281</v>
      </c>
      <c r="F2611" s="9" t="s">
        <v>1281</v>
      </c>
      <c r="G2611" s="7" t="s">
        <v>107</v>
      </c>
      <c r="H2611" s="7">
        <v>15</v>
      </c>
      <c r="I2611" s="7" t="s">
        <v>2338</v>
      </c>
      <c r="J2611" s="10">
        <v>1.5</v>
      </c>
      <c r="K2611" s="10">
        <v>1.5</v>
      </c>
      <c r="L2611" s="11">
        <v>28</v>
      </c>
      <c r="M2611" s="11">
        <v>28</v>
      </c>
      <c r="N2611" s="12" t="s">
        <v>1574</v>
      </c>
      <c r="P2611" s="10">
        <v>180</v>
      </c>
      <c r="T2611" s="10">
        <v>90</v>
      </c>
      <c r="X2611" s="29">
        <v>4.5</v>
      </c>
      <c r="Y2611" s="7" t="s">
        <v>57</v>
      </c>
    </row>
    <row r="2612" spans="1:27" ht="23.1" customHeight="1" x14ac:dyDescent="0.25">
      <c r="A2612" t="s">
        <v>1236</v>
      </c>
      <c r="B2612" s="7" t="s">
        <v>113</v>
      </c>
      <c r="C2612" s="7">
        <v>57</v>
      </c>
      <c r="D2612" s="7" t="s">
        <v>1031</v>
      </c>
      <c r="E2612" s="8" t="s">
        <v>1032</v>
      </c>
      <c r="F2612" s="9" t="s">
        <v>1032</v>
      </c>
      <c r="G2612" s="7" t="s">
        <v>107</v>
      </c>
      <c r="H2612" s="7">
        <v>15</v>
      </c>
      <c r="I2612" s="7" t="s">
        <v>2338</v>
      </c>
      <c r="J2612" s="10">
        <v>2</v>
      </c>
      <c r="K2612" s="10">
        <v>2</v>
      </c>
      <c r="L2612" s="11">
        <v>37</v>
      </c>
      <c r="M2612" s="11">
        <v>37</v>
      </c>
      <c r="N2612" s="12" t="s">
        <v>1043</v>
      </c>
      <c r="P2612" s="10">
        <v>180</v>
      </c>
      <c r="T2612" s="10">
        <v>90</v>
      </c>
      <c r="V2612" s="13">
        <v>1</v>
      </c>
      <c r="W2612" s="14">
        <v>2</v>
      </c>
      <c r="X2612" s="29">
        <v>9.5</v>
      </c>
      <c r="Y2612" s="7" t="s">
        <v>57</v>
      </c>
      <c r="Z2612" t="s">
        <v>1741</v>
      </c>
      <c r="AA2612" t="s">
        <v>238</v>
      </c>
    </row>
    <row r="2613" spans="1:27" ht="23.1" customHeight="1" x14ac:dyDescent="0.25">
      <c r="A2613" t="s">
        <v>1236</v>
      </c>
      <c r="B2613" s="7" t="s">
        <v>113</v>
      </c>
      <c r="C2613" s="7">
        <v>16</v>
      </c>
      <c r="D2613" s="7" t="s">
        <v>1045</v>
      </c>
      <c r="E2613" s="8" t="s">
        <v>409</v>
      </c>
      <c r="F2613" s="9" t="s">
        <v>409</v>
      </c>
      <c r="G2613" s="7" t="s">
        <v>102</v>
      </c>
      <c r="H2613" s="7">
        <v>20</v>
      </c>
      <c r="I2613" s="7" t="s">
        <v>2099</v>
      </c>
      <c r="K2613" s="10">
        <v>3</v>
      </c>
      <c r="L2613" s="11">
        <v>31</v>
      </c>
      <c r="M2613" s="11">
        <v>31</v>
      </c>
      <c r="N2613" s="12" t="s">
        <v>596</v>
      </c>
      <c r="P2613" s="10">
        <v>60</v>
      </c>
      <c r="T2613" s="10">
        <v>60</v>
      </c>
      <c r="X2613" s="29">
        <v>3</v>
      </c>
      <c r="Y2613" s="7" t="s">
        <v>38</v>
      </c>
    </row>
    <row r="2614" spans="1:27" ht="23.1" customHeight="1" x14ac:dyDescent="0.25">
      <c r="A2614" t="s">
        <v>1236</v>
      </c>
      <c r="B2614" s="7" t="s">
        <v>113</v>
      </c>
      <c r="C2614" s="7">
        <v>59</v>
      </c>
      <c r="D2614" s="7" t="s">
        <v>1742</v>
      </c>
      <c r="E2614" s="8" t="s">
        <v>1743</v>
      </c>
      <c r="F2614" s="9" t="e">
        <v>#N/A</v>
      </c>
      <c r="G2614" s="7" t="s">
        <v>154</v>
      </c>
      <c r="H2614" s="7">
        <v>5</v>
      </c>
      <c r="I2614" s="7" t="s">
        <v>1930</v>
      </c>
      <c r="K2614" s="10">
        <v>10</v>
      </c>
      <c r="L2614" s="11">
        <v>28</v>
      </c>
      <c r="M2614" s="11">
        <v>28</v>
      </c>
      <c r="N2614" s="12" t="s">
        <v>1552</v>
      </c>
      <c r="P2614" s="10">
        <v>30</v>
      </c>
      <c r="T2614" s="10">
        <v>60</v>
      </c>
      <c r="V2614" s="13">
        <v>1</v>
      </c>
      <c r="W2614" s="14">
        <v>1</v>
      </c>
      <c r="X2614" s="29">
        <v>7</v>
      </c>
      <c r="Y2614" s="7" t="s">
        <v>42</v>
      </c>
      <c r="Z2614" t="s">
        <v>1744</v>
      </c>
      <c r="AA2614" t="s">
        <v>238</v>
      </c>
    </row>
    <row r="2615" spans="1:27" ht="23.1" customHeight="1" x14ac:dyDescent="0.25">
      <c r="A2615" t="s">
        <v>1236</v>
      </c>
      <c r="B2615" s="7" t="s">
        <v>113</v>
      </c>
      <c r="C2615" s="7">
        <v>59</v>
      </c>
      <c r="D2615" s="7" t="s">
        <v>1742</v>
      </c>
      <c r="E2615" s="8" t="s">
        <v>1743</v>
      </c>
      <c r="F2615" s="9" t="e">
        <v>#N/A</v>
      </c>
      <c r="G2615" s="7" t="s">
        <v>154</v>
      </c>
      <c r="H2615" s="7">
        <v>10</v>
      </c>
      <c r="I2615" s="7" t="s">
        <v>2069</v>
      </c>
      <c r="K2615" s="10">
        <v>10</v>
      </c>
      <c r="L2615" s="11">
        <v>28</v>
      </c>
      <c r="M2615" s="11">
        <v>28</v>
      </c>
      <c r="N2615" s="12" t="s">
        <v>1552</v>
      </c>
      <c r="P2615" s="10">
        <v>30</v>
      </c>
      <c r="T2615" s="10">
        <v>60</v>
      </c>
      <c r="V2615" s="13">
        <v>1</v>
      </c>
      <c r="X2615" s="29">
        <v>6</v>
      </c>
      <c r="Y2615" s="7" t="s">
        <v>42</v>
      </c>
    </row>
    <row r="2616" spans="1:27" ht="23.1" customHeight="1" x14ac:dyDescent="0.25">
      <c r="A2616" t="s">
        <v>1329</v>
      </c>
      <c r="B2616" s="7" t="s">
        <v>110</v>
      </c>
      <c r="C2616" s="7">
        <v>59</v>
      </c>
      <c r="D2616" s="7" t="s">
        <v>1745</v>
      </c>
      <c r="E2616" s="8" t="s">
        <v>139</v>
      </c>
      <c r="F2616" s="9" t="s">
        <v>139</v>
      </c>
      <c r="G2616" s="42" t="s">
        <v>250</v>
      </c>
      <c r="H2616" s="7">
        <v>10</v>
      </c>
      <c r="I2616" s="7" t="s">
        <v>2098</v>
      </c>
      <c r="K2616" s="10">
        <v>20</v>
      </c>
      <c r="L2616" s="11">
        <v>37</v>
      </c>
      <c r="M2616" s="11">
        <v>37</v>
      </c>
      <c r="N2616" s="12" t="s">
        <v>247</v>
      </c>
      <c r="P2616" s="10">
        <v>40</v>
      </c>
      <c r="T2616" s="10">
        <v>90</v>
      </c>
      <c r="V2616" s="13">
        <v>1</v>
      </c>
      <c r="W2616" s="14">
        <v>1</v>
      </c>
      <c r="X2616" s="29">
        <v>15.8</v>
      </c>
      <c r="Y2616" s="7" t="s">
        <v>42</v>
      </c>
      <c r="Z2616" t="s">
        <v>1746</v>
      </c>
    </row>
    <row r="2617" spans="1:27" ht="23.1" customHeight="1" x14ac:dyDescent="0.25">
      <c r="A2617" t="s">
        <v>1329</v>
      </c>
      <c r="B2617" s="7" t="s">
        <v>110</v>
      </c>
      <c r="C2617" s="7">
        <v>18</v>
      </c>
      <c r="D2617" s="7" t="s">
        <v>1702</v>
      </c>
      <c r="E2617" s="8" t="s">
        <v>625</v>
      </c>
      <c r="F2617" s="9" t="s">
        <v>625</v>
      </c>
      <c r="G2617" s="7" t="s">
        <v>250</v>
      </c>
      <c r="H2617" s="7">
        <v>20</v>
      </c>
      <c r="I2617" s="7" t="s">
        <v>2344</v>
      </c>
      <c r="J2617" s="10">
        <v>4</v>
      </c>
      <c r="K2617" s="10">
        <v>4</v>
      </c>
      <c r="L2617" s="11">
        <v>19</v>
      </c>
      <c r="M2617" s="11">
        <v>19</v>
      </c>
      <c r="N2617" s="12" t="s">
        <v>247</v>
      </c>
      <c r="P2617" s="10">
        <v>150</v>
      </c>
      <c r="T2617" s="10">
        <v>150</v>
      </c>
      <c r="X2617" s="29">
        <v>10</v>
      </c>
      <c r="Y2617" s="7" t="s">
        <v>16</v>
      </c>
    </row>
    <row r="2618" spans="1:27" ht="23.1" customHeight="1" x14ac:dyDescent="0.25">
      <c r="A2618" t="s">
        <v>1329</v>
      </c>
      <c r="B2618" s="7" t="s">
        <v>110</v>
      </c>
      <c r="C2618" s="7">
        <v>18</v>
      </c>
      <c r="D2618" s="7" t="s">
        <v>1702</v>
      </c>
      <c r="E2618" s="8" t="s">
        <v>625</v>
      </c>
      <c r="F2618" s="9" t="s">
        <v>625</v>
      </c>
      <c r="G2618" s="7" t="s">
        <v>250</v>
      </c>
      <c r="H2618" s="7">
        <v>25</v>
      </c>
      <c r="I2618" s="7" t="s">
        <v>2349</v>
      </c>
      <c r="J2618" s="10">
        <v>4</v>
      </c>
      <c r="K2618" s="10">
        <v>4</v>
      </c>
      <c r="L2618" s="11">
        <v>9</v>
      </c>
      <c r="M2618" s="11">
        <v>28</v>
      </c>
      <c r="N2618" s="12" t="s">
        <v>247</v>
      </c>
      <c r="P2618" s="10">
        <v>50</v>
      </c>
      <c r="T2618" s="10">
        <v>60</v>
      </c>
      <c r="V2618" s="13">
        <v>1</v>
      </c>
      <c r="X2618" s="29">
        <v>4.3</v>
      </c>
      <c r="Y2618" s="7" t="s">
        <v>16</v>
      </c>
    </row>
    <row r="2619" spans="1:27" ht="23.1" customHeight="1" x14ac:dyDescent="0.25">
      <c r="A2619" t="s">
        <v>1329</v>
      </c>
      <c r="B2619" s="7" t="s">
        <v>110</v>
      </c>
      <c r="C2619" s="7">
        <v>69</v>
      </c>
      <c r="D2619" s="7" t="s">
        <v>1197</v>
      </c>
      <c r="E2619" s="8" t="s">
        <v>1198</v>
      </c>
      <c r="F2619" s="9" t="s">
        <v>1198</v>
      </c>
      <c r="G2619" s="7" t="s">
        <v>658</v>
      </c>
      <c r="H2619" s="7">
        <v>62</v>
      </c>
      <c r="J2619" s="10">
        <v>5</v>
      </c>
      <c r="K2619" s="10">
        <v>4</v>
      </c>
      <c r="L2619" s="11">
        <v>37</v>
      </c>
      <c r="M2619" s="11">
        <v>37</v>
      </c>
      <c r="N2619" s="12" t="s">
        <v>1747</v>
      </c>
      <c r="O2619" s="10">
        <v>210</v>
      </c>
      <c r="R2619" s="10">
        <v>60</v>
      </c>
      <c r="S2619" s="11">
        <v>4</v>
      </c>
      <c r="U2619" s="10">
        <v>120</v>
      </c>
      <c r="V2619" s="13">
        <v>1</v>
      </c>
      <c r="X2619" s="32">
        <v>20</v>
      </c>
      <c r="Y2619" s="7" t="s">
        <v>8</v>
      </c>
    </row>
    <row r="2620" spans="1:27" ht="23.1" customHeight="1" x14ac:dyDescent="0.25">
      <c r="A2620" t="s">
        <v>1329</v>
      </c>
      <c r="B2620" s="7" t="s">
        <v>110</v>
      </c>
      <c r="C2620" s="7">
        <v>69</v>
      </c>
      <c r="D2620" s="7" t="s">
        <v>1095</v>
      </c>
      <c r="E2620" s="8" t="s">
        <v>1096</v>
      </c>
      <c r="F2620" s="9" t="s">
        <v>1096</v>
      </c>
      <c r="G2620" s="7" t="s">
        <v>658</v>
      </c>
      <c r="H2620" s="7">
        <v>64</v>
      </c>
      <c r="J2620" s="10">
        <v>0.5</v>
      </c>
      <c r="K2620" s="10">
        <v>3</v>
      </c>
      <c r="L2620" s="11">
        <v>37</v>
      </c>
      <c r="M2620" s="11">
        <v>28</v>
      </c>
      <c r="N2620" s="12" t="s">
        <v>282</v>
      </c>
      <c r="O2620" s="10">
        <v>360</v>
      </c>
      <c r="R2620" s="10">
        <v>60</v>
      </c>
      <c r="S2620" s="11">
        <v>3</v>
      </c>
      <c r="U2620" s="10">
        <v>120</v>
      </c>
      <c r="V2620" s="13">
        <v>1</v>
      </c>
      <c r="X2620" s="32">
        <v>23</v>
      </c>
      <c r="Y2620" s="7" t="s">
        <v>8</v>
      </c>
    </row>
    <row r="2621" spans="1:27" ht="23.1" customHeight="1" x14ac:dyDescent="0.25">
      <c r="A2621" t="s">
        <v>1329</v>
      </c>
      <c r="B2621" s="7" t="s">
        <v>110</v>
      </c>
      <c r="C2621" s="7">
        <v>91</v>
      </c>
      <c r="D2621" s="7" t="s">
        <v>254</v>
      </c>
      <c r="E2621" s="8" t="s">
        <v>255</v>
      </c>
      <c r="F2621" s="9" t="s">
        <v>1016</v>
      </c>
      <c r="G2621" s="7" t="s">
        <v>375</v>
      </c>
      <c r="H2621" s="7">
        <v>40</v>
      </c>
      <c r="I2621" s="7" t="s">
        <v>2110</v>
      </c>
      <c r="J2621" s="10">
        <v>0.3</v>
      </c>
      <c r="K2621" s="10">
        <v>0.3</v>
      </c>
      <c r="L2621" s="11">
        <v>28</v>
      </c>
      <c r="N2621" s="12" t="s">
        <v>712</v>
      </c>
      <c r="P2621" s="10">
        <v>3000</v>
      </c>
      <c r="Q2621" s="10">
        <v>90</v>
      </c>
      <c r="T2621" s="10">
        <v>120</v>
      </c>
      <c r="X2621" s="29">
        <v>15</v>
      </c>
      <c r="Y2621" s="7" t="s">
        <v>8</v>
      </c>
    </row>
    <row r="2622" spans="1:27" ht="23.1" customHeight="1" x14ac:dyDescent="0.25">
      <c r="A2622" t="s">
        <v>1329</v>
      </c>
      <c r="B2622" s="7" t="s">
        <v>110</v>
      </c>
      <c r="C2622" s="7">
        <v>119</v>
      </c>
      <c r="D2622" s="7" t="s">
        <v>830</v>
      </c>
      <c r="E2622" s="8" t="s">
        <v>788</v>
      </c>
      <c r="F2622" s="9" t="s">
        <v>788</v>
      </c>
      <c r="G2622" s="7" t="s">
        <v>123</v>
      </c>
      <c r="H2622" s="7">
        <v>60</v>
      </c>
      <c r="I2622" s="7" t="s">
        <v>2222</v>
      </c>
      <c r="K2622" s="10">
        <v>2</v>
      </c>
      <c r="L2622" s="11">
        <v>37</v>
      </c>
      <c r="M2622" s="11">
        <v>28</v>
      </c>
      <c r="N2622" s="12" t="s">
        <v>216</v>
      </c>
      <c r="P2622" s="10">
        <v>210</v>
      </c>
      <c r="Q2622" s="10">
        <v>60</v>
      </c>
      <c r="S2622" s="11">
        <v>2</v>
      </c>
      <c r="T2622" s="10">
        <v>90</v>
      </c>
      <c r="V2622" s="13">
        <v>1</v>
      </c>
      <c r="X2622" s="29">
        <v>10.5</v>
      </c>
      <c r="Y2622" s="7" t="s">
        <v>8</v>
      </c>
    </row>
    <row r="2623" spans="1:27" ht="23.1" customHeight="1" x14ac:dyDescent="0.25">
      <c r="A2623" t="s">
        <v>1329</v>
      </c>
      <c r="B2623" s="7" t="s">
        <v>113</v>
      </c>
      <c r="C2623" s="7">
        <v>107</v>
      </c>
      <c r="D2623" s="7" t="s">
        <v>173</v>
      </c>
      <c r="E2623" s="8" t="s">
        <v>174</v>
      </c>
      <c r="F2623" s="9" t="s">
        <v>1246</v>
      </c>
      <c r="G2623" s="7" t="s">
        <v>154</v>
      </c>
      <c r="H2623" s="7">
        <v>25</v>
      </c>
      <c r="I2623" s="7" t="s">
        <v>2006</v>
      </c>
      <c r="K2623" s="10">
        <v>1</v>
      </c>
      <c r="L2623" s="11">
        <v>26</v>
      </c>
      <c r="N2623" s="12" t="s">
        <v>216</v>
      </c>
      <c r="P2623" s="10">
        <v>1050</v>
      </c>
      <c r="Q2623" s="10">
        <v>90</v>
      </c>
      <c r="S2623" s="11">
        <v>1</v>
      </c>
      <c r="T2623" s="10">
        <v>120</v>
      </c>
      <c r="X2623" s="29">
        <v>19</v>
      </c>
      <c r="Y2623" s="7" t="s">
        <v>45</v>
      </c>
    </row>
    <row r="2624" spans="1:27" ht="23.1" customHeight="1" x14ac:dyDescent="0.25">
      <c r="A2624" t="s">
        <v>1329</v>
      </c>
      <c r="B2624" s="7" t="s">
        <v>113</v>
      </c>
      <c r="C2624" s="7">
        <v>108</v>
      </c>
      <c r="D2624" s="7" t="s">
        <v>886</v>
      </c>
      <c r="E2624" s="8" t="s">
        <v>887</v>
      </c>
      <c r="F2624" s="9" t="s">
        <v>887</v>
      </c>
      <c r="G2624" s="7" t="s">
        <v>154</v>
      </c>
      <c r="H2624" s="7">
        <v>5</v>
      </c>
      <c r="I2624" s="7" t="s">
        <v>1930</v>
      </c>
      <c r="K2624" s="10">
        <v>1</v>
      </c>
      <c r="L2624" s="11">
        <v>26</v>
      </c>
      <c r="N2624" s="12" t="s">
        <v>234</v>
      </c>
      <c r="P2624" s="10">
        <v>660</v>
      </c>
      <c r="Q2624" s="10">
        <v>60</v>
      </c>
      <c r="S2624" s="11">
        <v>1</v>
      </c>
      <c r="T2624" s="10">
        <v>90</v>
      </c>
      <c r="V2624" s="13">
        <v>1</v>
      </c>
      <c r="X2624" s="29">
        <v>13.5</v>
      </c>
      <c r="Y2624" s="7" t="s">
        <v>45</v>
      </c>
    </row>
    <row r="2625" spans="1:27" ht="23.1" customHeight="1" x14ac:dyDescent="0.25">
      <c r="A2625" t="s">
        <v>1329</v>
      </c>
      <c r="B2625" s="7" t="s">
        <v>113</v>
      </c>
      <c r="C2625" s="7">
        <v>108</v>
      </c>
      <c r="D2625" s="7" t="s">
        <v>889</v>
      </c>
      <c r="E2625" s="8" t="s">
        <v>887</v>
      </c>
      <c r="F2625" s="9" t="s">
        <v>887</v>
      </c>
      <c r="G2625" s="7" t="s">
        <v>154</v>
      </c>
      <c r="H2625" s="7">
        <v>5</v>
      </c>
      <c r="I2625" s="7" t="s">
        <v>1930</v>
      </c>
      <c r="K2625" s="10">
        <v>1</v>
      </c>
      <c r="L2625" s="11">
        <v>26</v>
      </c>
      <c r="N2625" s="12" t="s">
        <v>234</v>
      </c>
      <c r="P2625" s="10">
        <v>660</v>
      </c>
      <c r="Q2625" s="10">
        <v>60</v>
      </c>
      <c r="S2625" s="11">
        <v>1</v>
      </c>
      <c r="T2625" s="10">
        <v>90</v>
      </c>
      <c r="V2625" s="13">
        <v>1</v>
      </c>
      <c r="X2625" s="29">
        <v>13.5</v>
      </c>
      <c r="Y2625" s="7" t="s">
        <v>45</v>
      </c>
    </row>
    <row r="2626" spans="1:27" ht="23.1" customHeight="1" x14ac:dyDescent="0.25">
      <c r="A2626" t="s">
        <v>1329</v>
      </c>
      <c r="B2626" s="7" t="s">
        <v>113</v>
      </c>
      <c r="C2626" s="7">
        <v>77</v>
      </c>
      <c r="D2626" s="7" t="s">
        <v>1698</v>
      </c>
      <c r="E2626" s="8" t="s">
        <v>1699</v>
      </c>
      <c r="F2626" s="9" t="s">
        <v>1699</v>
      </c>
      <c r="G2626" s="7" t="s">
        <v>118</v>
      </c>
      <c r="H2626" s="7">
        <v>15</v>
      </c>
      <c r="I2626" s="7" t="s">
        <v>2343</v>
      </c>
      <c r="K2626" s="10">
        <v>26</v>
      </c>
      <c r="L2626" s="11">
        <v>31</v>
      </c>
      <c r="M2626" s="11">
        <v>31</v>
      </c>
      <c r="N2626" s="12" t="s">
        <v>282</v>
      </c>
      <c r="P2626" s="10">
        <v>25</v>
      </c>
      <c r="T2626" s="10">
        <v>90</v>
      </c>
      <c r="X2626" s="29">
        <v>10.8</v>
      </c>
      <c r="Y2626" s="7" t="s">
        <v>15</v>
      </c>
    </row>
    <row r="2627" spans="1:27" ht="23.1" customHeight="1" x14ac:dyDescent="0.25">
      <c r="A2627" s="61" t="s">
        <v>1333</v>
      </c>
      <c r="B2627" s="7" t="s">
        <v>137</v>
      </c>
      <c r="C2627" s="7">
        <v>59</v>
      </c>
      <c r="D2627" s="42" t="s">
        <v>1748</v>
      </c>
      <c r="E2627" s="8" t="s">
        <v>409</v>
      </c>
      <c r="F2627" s="9" t="s">
        <v>409</v>
      </c>
      <c r="G2627" s="7" t="s">
        <v>102</v>
      </c>
      <c r="H2627" s="7">
        <v>10</v>
      </c>
      <c r="I2627" s="7" t="s">
        <v>1952</v>
      </c>
      <c r="K2627" s="10">
        <v>1</v>
      </c>
      <c r="L2627" s="11">
        <v>37</v>
      </c>
      <c r="M2627" s="11">
        <v>37</v>
      </c>
      <c r="N2627" s="12" t="s">
        <v>596</v>
      </c>
      <c r="P2627" s="10">
        <v>35</v>
      </c>
      <c r="T2627" s="10">
        <v>60</v>
      </c>
      <c r="V2627" s="13">
        <v>1</v>
      </c>
      <c r="X2627" s="29">
        <v>1.6</v>
      </c>
      <c r="Y2627" s="7" t="s">
        <v>42</v>
      </c>
    </row>
    <row r="2628" spans="1:27" ht="23.1" customHeight="1" x14ac:dyDescent="0.25">
      <c r="A2628" s="62" t="s">
        <v>1333</v>
      </c>
      <c r="B2628" s="7" t="s">
        <v>110</v>
      </c>
      <c r="C2628" s="7">
        <v>59</v>
      </c>
      <c r="D2628" s="7" t="s">
        <v>1742</v>
      </c>
      <c r="E2628" s="8" t="s">
        <v>1743</v>
      </c>
      <c r="F2628" s="9" t="e">
        <v>#N/A</v>
      </c>
      <c r="G2628" s="7" t="s">
        <v>154</v>
      </c>
      <c r="H2628" s="7">
        <v>20</v>
      </c>
      <c r="I2628" s="7" t="s">
        <v>2351</v>
      </c>
      <c r="J2628" s="10">
        <v>10</v>
      </c>
      <c r="K2628" s="10">
        <v>10</v>
      </c>
      <c r="L2628" s="11">
        <v>31</v>
      </c>
      <c r="M2628" s="11">
        <v>31</v>
      </c>
      <c r="N2628" s="12" t="s">
        <v>1749</v>
      </c>
      <c r="P2628" s="10">
        <v>70</v>
      </c>
      <c r="T2628" s="10">
        <v>60</v>
      </c>
      <c r="V2628" s="13">
        <v>1</v>
      </c>
      <c r="X2628" s="29">
        <v>12.7</v>
      </c>
      <c r="Y2628" s="7" t="s">
        <v>42</v>
      </c>
      <c r="Z2628" t="s">
        <v>1750</v>
      </c>
    </row>
    <row r="2629" spans="1:27" ht="23.1" customHeight="1" x14ac:dyDescent="0.25">
      <c r="A2629" s="62" t="s">
        <v>1333</v>
      </c>
      <c r="B2629" s="7" t="s">
        <v>137</v>
      </c>
      <c r="C2629" s="7">
        <v>59</v>
      </c>
      <c r="D2629" s="7" t="s">
        <v>1261</v>
      </c>
      <c r="E2629" s="8" t="s">
        <v>409</v>
      </c>
      <c r="F2629" s="9" t="s">
        <v>409</v>
      </c>
      <c r="G2629" s="7" t="s">
        <v>102</v>
      </c>
      <c r="H2629" s="7">
        <v>10</v>
      </c>
      <c r="I2629" s="7" t="s">
        <v>1952</v>
      </c>
      <c r="J2629" s="10">
        <v>1</v>
      </c>
      <c r="K2629" s="10">
        <v>1</v>
      </c>
      <c r="L2629" s="11">
        <v>37</v>
      </c>
      <c r="M2629" s="11">
        <v>37</v>
      </c>
      <c r="N2629" s="12" t="s">
        <v>596</v>
      </c>
      <c r="P2629" s="10">
        <v>40</v>
      </c>
      <c r="T2629" s="10">
        <v>60</v>
      </c>
      <c r="V2629" s="13">
        <v>1</v>
      </c>
      <c r="X2629" s="29">
        <v>1.7</v>
      </c>
      <c r="Y2629" s="7" t="s">
        <v>42</v>
      </c>
    </row>
    <row r="2630" spans="1:27" ht="23.1" customHeight="1" x14ac:dyDescent="0.25">
      <c r="A2630" t="s">
        <v>1337</v>
      </c>
      <c r="B2630" s="7" t="s">
        <v>110</v>
      </c>
      <c r="C2630" s="7">
        <v>107</v>
      </c>
      <c r="D2630" s="7" t="s">
        <v>173</v>
      </c>
      <c r="E2630" s="8" t="s">
        <v>174</v>
      </c>
      <c r="F2630" s="9" t="s">
        <v>1246</v>
      </c>
      <c r="G2630" s="7" t="s">
        <v>154</v>
      </c>
      <c r="H2630" s="7">
        <v>50</v>
      </c>
      <c r="I2630" s="7" t="s">
        <v>2210</v>
      </c>
      <c r="J2630" s="10">
        <v>0.4</v>
      </c>
      <c r="K2630" s="10">
        <v>0.4</v>
      </c>
      <c r="L2630" s="11">
        <v>28</v>
      </c>
      <c r="M2630" s="11">
        <v>5</v>
      </c>
      <c r="N2630" s="12" t="s">
        <v>1187</v>
      </c>
      <c r="P2630" s="10">
        <v>2100</v>
      </c>
      <c r="Q2630" s="10">
        <v>90</v>
      </c>
      <c r="S2630" s="11">
        <v>1</v>
      </c>
      <c r="T2630" s="10">
        <v>150</v>
      </c>
      <c r="X2630" s="29">
        <v>15.5</v>
      </c>
      <c r="Y2630" s="7" t="s">
        <v>45</v>
      </c>
    </row>
    <row r="2631" spans="1:27" ht="23.1" customHeight="1" x14ac:dyDescent="0.25">
      <c r="A2631" t="s">
        <v>1337</v>
      </c>
      <c r="B2631" s="7" t="s">
        <v>110</v>
      </c>
      <c r="C2631" s="7">
        <v>23</v>
      </c>
      <c r="D2631" s="7" t="s">
        <v>990</v>
      </c>
      <c r="E2631" s="8" t="s">
        <v>991</v>
      </c>
      <c r="F2631" s="9" t="s">
        <v>991</v>
      </c>
      <c r="G2631" s="7" t="s">
        <v>300</v>
      </c>
      <c r="H2631" s="7">
        <v>25</v>
      </c>
      <c r="I2631" s="7" t="s">
        <v>2224</v>
      </c>
      <c r="J2631" s="10">
        <v>1</v>
      </c>
      <c r="K2631" s="10">
        <v>1</v>
      </c>
      <c r="L2631" s="11">
        <v>5</v>
      </c>
      <c r="M2631" s="11">
        <v>26</v>
      </c>
      <c r="N2631" s="12" t="s">
        <v>989</v>
      </c>
      <c r="P2631" s="10">
        <v>720</v>
      </c>
      <c r="Q2631" s="10">
        <v>60</v>
      </c>
      <c r="S2631" s="11">
        <v>1</v>
      </c>
      <c r="T2631" s="10">
        <v>90</v>
      </c>
      <c r="X2631" s="29">
        <v>13</v>
      </c>
      <c r="Y2631" s="7" t="s">
        <v>33</v>
      </c>
    </row>
    <row r="2632" spans="1:27" ht="23.1" customHeight="1" x14ac:dyDescent="0.25">
      <c r="A2632" t="s">
        <v>1337</v>
      </c>
      <c r="B2632" s="7" t="s">
        <v>110</v>
      </c>
      <c r="C2632" s="7">
        <v>47</v>
      </c>
      <c r="D2632" s="7" t="s">
        <v>978</v>
      </c>
      <c r="E2632" s="8" t="s">
        <v>979</v>
      </c>
      <c r="F2632" s="9" t="s">
        <v>979</v>
      </c>
      <c r="G2632" s="7" t="s">
        <v>154</v>
      </c>
      <c r="H2632" s="7">
        <v>60</v>
      </c>
      <c r="I2632" s="7" t="s">
        <v>2331</v>
      </c>
      <c r="J2632" s="10">
        <v>1</v>
      </c>
      <c r="K2632" s="10">
        <v>1</v>
      </c>
      <c r="L2632" s="11">
        <v>28</v>
      </c>
      <c r="N2632" s="12" t="s">
        <v>285</v>
      </c>
      <c r="P2632" s="10">
        <v>520</v>
      </c>
      <c r="Q2632" s="10">
        <v>120</v>
      </c>
      <c r="S2632" s="11">
        <v>1</v>
      </c>
      <c r="T2632" s="10">
        <v>90</v>
      </c>
      <c r="X2632" s="29">
        <v>10.7</v>
      </c>
      <c r="Y2632" s="7" t="s">
        <v>33</v>
      </c>
    </row>
    <row r="2633" spans="1:27" ht="23.1" customHeight="1" x14ac:dyDescent="0.25">
      <c r="A2633" t="s">
        <v>1337</v>
      </c>
      <c r="B2633" s="7" t="s">
        <v>110</v>
      </c>
      <c r="C2633" s="7">
        <v>47</v>
      </c>
      <c r="D2633" s="7" t="s">
        <v>258</v>
      </c>
      <c r="E2633" s="8" t="s">
        <v>259</v>
      </c>
      <c r="F2633" s="9" t="s">
        <v>284</v>
      </c>
      <c r="G2633" s="7" t="s">
        <v>154</v>
      </c>
      <c r="H2633" s="7">
        <v>60</v>
      </c>
      <c r="I2633" s="7" t="s">
        <v>2331</v>
      </c>
      <c r="N2633" s="12" t="s">
        <v>1429</v>
      </c>
      <c r="P2633" s="10">
        <v>520</v>
      </c>
      <c r="Q2633" s="10">
        <v>120</v>
      </c>
      <c r="S2633" s="11">
        <v>1</v>
      </c>
      <c r="T2633" s="10">
        <v>90</v>
      </c>
      <c r="V2633" s="13">
        <v>1</v>
      </c>
      <c r="W2633" s="10">
        <v>2</v>
      </c>
      <c r="X2633" s="29">
        <v>5.5</v>
      </c>
      <c r="Y2633" s="7" t="s">
        <v>33</v>
      </c>
      <c r="Z2633" t="s">
        <v>1548</v>
      </c>
    </row>
    <row r="2634" spans="1:27" ht="23.1" customHeight="1" x14ac:dyDescent="0.25">
      <c r="A2634" t="s">
        <v>1337</v>
      </c>
      <c r="B2634" s="7" t="s">
        <v>110</v>
      </c>
      <c r="C2634" s="7">
        <v>108</v>
      </c>
      <c r="D2634" s="7" t="s">
        <v>992</v>
      </c>
      <c r="E2634" s="8" t="s">
        <v>993</v>
      </c>
      <c r="F2634" s="9" t="s">
        <v>993</v>
      </c>
      <c r="G2634" s="7" t="s">
        <v>154</v>
      </c>
      <c r="H2634" s="7">
        <v>10</v>
      </c>
      <c r="I2634" s="7" t="s">
        <v>1952</v>
      </c>
      <c r="K2634" s="10">
        <v>0.5</v>
      </c>
      <c r="L2634" s="11">
        <v>28</v>
      </c>
      <c r="M2634" s="11">
        <v>28</v>
      </c>
      <c r="N2634" s="12" t="s">
        <v>234</v>
      </c>
      <c r="P2634" s="10">
        <v>340</v>
      </c>
      <c r="Q2634" s="10">
        <v>60</v>
      </c>
      <c r="S2634" s="11">
        <v>1</v>
      </c>
      <c r="T2634" s="10">
        <v>90</v>
      </c>
      <c r="V2634" s="13">
        <v>1</v>
      </c>
      <c r="W2634" s="10">
        <v>2</v>
      </c>
      <c r="X2634" s="29">
        <v>7.3</v>
      </c>
      <c r="Y2634" s="7" t="s">
        <v>45</v>
      </c>
      <c r="Z2634" t="s">
        <v>1245</v>
      </c>
      <c r="AA2634" t="s">
        <v>238</v>
      </c>
    </row>
    <row r="2635" spans="1:27" ht="23.1" customHeight="1" x14ac:dyDescent="0.25">
      <c r="A2635" t="s">
        <v>1337</v>
      </c>
      <c r="B2635" s="7" t="s">
        <v>110</v>
      </c>
      <c r="C2635" s="7">
        <v>108</v>
      </c>
      <c r="D2635" s="7" t="s">
        <v>886</v>
      </c>
      <c r="E2635" s="8" t="s">
        <v>887</v>
      </c>
      <c r="F2635" s="9" t="s">
        <v>887</v>
      </c>
      <c r="G2635" s="7" t="s">
        <v>154</v>
      </c>
      <c r="H2635" s="7">
        <v>30</v>
      </c>
      <c r="I2635" s="7" t="s">
        <v>2347</v>
      </c>
      <c r="J2635" s="10">
        <v>1</v>
      </c>
      <c r="K2635" s="10">
        <v>1</v>
      </c>
      <c r="L2635" s="11">
        <v>28</v>
      </c>
      <c r="M2635" s="11">
        <v>28</v>
      </c>
      <c r="N2635" s="12" t="s">
        <v>159</v>
      </c>
      <c r="P2635" s="10">
        <v>720</v>
      </c>
      <c r="Q2635" s="10">
        <v>60</v>
      </c>
      <c r="S2635" s="11">
        <v>1</v>
      </c>
      <c r="T2635" s="10">
        <v>90</v>
      </c>
      <c r="W2635" s="14">
        <v>2</v>
      </c>
      <c r="X2635" s="29">
        <v>15</v>
      </c>
      <c r="Y2635" s="7" t="s">
        <v>45</v>
      </c>
      <c r="Z2635" t="s">
        <v>1245</v>
      </c>
      <c r="AA2635" t="s">
        <v>238</v>
      </c>
    </row>
    <row r="2636" spans="1:27" ht="23.1" customHeight="1" x14ac:dyDescent="0.25">
      <c r="A2636" t="s">
        <v>1337</v>
      </c>
      <c r="B2636" s="7" t="s">
        <v>110</v>
      </c>
      <c r="C2636" s="7">
        <v>55</v>
      </c>
      <c r="D2636" s="7" t="s">
        <v>273</v>
      </c>
      <c r="E2636" s="8" t="s">
        <v>274</v>
      </c>
      <c r="F2636" s="9" t="s">
        <v>274</v>
      </c>
      <c r="G2636" s="7" t="s">
        <v>123</v>
      </c>
      <c r="H2636" s="7">
        <v>45</v>
      </c>
      <c r="I2636" s="7" t="s">
        <v>1954</v>
      </c>
      <c r="J2636" s="10">
        <v>3</v>
      </c>
      <c r="K2636" s="10">
        <v>4</v>
      </c>
      <c r="L2636" s="11">
        <v>19</v>
      </c>
      <c r="M2636" s="11">
        <v>28</v>
      </c>
      <c r="N2636" s="12" t="s">
        <v>275</v>
      </c>
      <c r="P2636" s="10">
        <v>240</v>
      </c>
      <c r="T2636" s="10">
        <v>90</v>
      </c>
      <c r="X2636" s="29">
        <v>16</v>
      </c>
      <c r="Y2636" s="7" t="s">
        <v>44</v>
      </c>
    </row>
    <row r="2637" spans="1:27" ht="23.1" customHeight="1" x14ac:dyDescent="0.25">
      <c r="A2637" t="s">
        <v>1337</v>
      </c>
      <c r="B2637" s="7" t="s">
        <v>110</v>
      </c>
      <c r="C2637" s="7">
        <v>56</v>
      </c>
      <c r="D2637" s="7" t="s">
        <v>273</v>
      </c>
      <c r="E2637" s="8" t="s">
        <v>274</v>
      </c>
      <c r="F2637" s="9" t="s">
        <v>274</v>
      </c>
      <c r="G2637" s="7" t="s">
        <v>123</v>
      </c>
      <c r="H2637" s="7">
        <v>40</v>
      </c>
      <c r="I2637" s="7" t="s">
        <v>2326</v>
      </c>
      <c r="J2637" s="10">
        <v>3.5</v>
      </c>
      <c r="K2637" s="10">
        <v>4</v>
      </c>
      <c r="L2637" s="11">
        <v>19</v>
      </c>
      <c r="M2637" s="11">
        <v>28</v>
      </c>
      <c r="N2637" s="12" t="s">
        <v>275</v>
      </c>
      <c r="P2637" s="10">
        <v>240</v>
      </c>
      <c r="T2637" s="10">
        <v>120</v>
      </c>
      <c r="X2637" s="29">
        <v>16</v>
      </c>
      <c r="Y2637" s="7" t="s">
        <v>44</v>
      </c>
    </row>
    <row r="2638" spans="1:27" ht="23.1" customHeight="1" x14ac:dyDescent="0.25">
      <c r="A2638" t="s">
        <v>1337</v>
      </c>
      <c r="B2638" s="7" t="s">
        <v>110</v>
      </c>
      <c r="C2638" s="7">
        <v>24</v>
      </c>
      <c r="D2638" s="7" t="s">
        <v>776</v>
      </c>
      <c r="E2638" s="8" t="s">
        <v>777</v>
      </c>
      <c r="F2638" s="9" t="s">
        <v>777</v>
      </c>
      <c r="G2638" s="7" t="s">
        <v>107</v>
      </c>
      <c r="H2638" s="7">
        <v>30</v>
      </c>
      <c r="I2638" s="7" t="s">
        <v>2061</v>
      </c>
      <c r="J2638" s="10">
        <v>0.4</v>
      </c>
      <c r="K2638" s="10">
        <v>0.9</v>
      </c>
      <c r="L2638" s="11">
        <v>23</v>
      </c>
      <c r="M2638" s="11">
        <v>26</v>
      </c>
      <c r="N2638" s="12" t="s">
        <v>1001</v>
      </c>
      <c r="P2638" s="10">
        <v>1700</v>
      </c>
      <c r="Q2638" s="10">
        <v>120</v>
      </c>
      <c r="S2638" s="11">
        <v>1</v>
      </c>
      <c r="T2638" s="10">
        <v>210</v>
      </c>
      <c r="V2638" s="13">
        <v>1</v>
      </c>
      <c r="X2638" s="29">
        <v>31</v>
      </c>
      <c r="Y2638" s="7" t="s">
        <v>54</v>
      </c>
      <c r="Z2638" t="s">
        <v>1751</v>
      </c>
    </row>
    <row r="2639" spans="1:27" ht="23.1" customHeight="1" x14ac:dyDescent="0.25">
      <c r="A2639" t="s">
        <v>1337</v>
      </c>
      <c r="B2639" s="7" t="s">
        <v>110</v>
      </c>
      <c r="C2639" s="7">
        <v>69</v>
      </c>
      <c r="D2639" s="7" t="s">
        <v>1197</v>
      </c>
      <c r="E2639" s="8" t="s">
        <v>1198</v>
      </c>
      <c r="F2639" s="9" t="s">
        <v>1198</v>
      </c>
      <c r="G2639" s="7" t="s">
        <v>658</v>
      </c>
      <c r="H2639" s="7">
        <v>64</v>
      </c>
      <c r="J2639" s="10">
        <v>4</v>
      </c>
      <c r="K2639" s="10">
        <v>5</v>
      </c>
      <c r="L2639" s="11">
        <v>23</v>
      </c>
      <c r="M2639" s="11">
        <v>28</v>
      </c>
      <c r="N2639" s="12" t="s">
        <v>697</v>
      </c>
      <c r="O2639" s="10">
        <v>360</v>
      </c>
      <c r="R2639" s="10">
        <v>60</v>
      </c>
      <c r="S2639" s="11">
        <v>7</v>
      </c>
      <c r="U2639" s="10">
        <v>120</v>
      </c>
      <c r="V2639" s="13">
        <v>1</v>
      </c>
      <c r="X2639" s="32">
        <v>39</v>
      </c>
      <c r="Y2639" s="7" t="s">
        <v>54</v>
      </c>
    </row>
    <row r="2640" spans="1:27" ht="23.1" customHeight="1" x14ac:dyDescent="0.25">
      <c r="A2640" t="s">
        <v>1337</v>
      </c>
      <c r="B2640" s="7" t="s">
        <v>110</v>
      </c>
      <c r="C2640" s="7">
        <v>91</v>
      </c>
      <c r="D2640" s="7" t="s">
        <v>254</v>
      </c>
      <c r="E2640" s="8" t="s">
        <v>255</v>
      </c>
      <c r="F2640" s="9" t="s">
        <v>1016</v>
      </c>
      <c r="G2640" s="7" t="s">
        <v>375</v>
      </c>
      <c r="H2640" s="7">
        <v>40</v>
      </c>
      <c r="I2640" s="7" t="s">
        <v>2110</v>
      </c>
      <c r="J2640" s="10">
        <v>0.4</v>
      </c>
      <c r="K2640" s="10">
        <v>0.3</v>
      </c>
      <c r="L2640" s="11">
        <v>28</v>
      </c>
      <c r="N2640" s="12" t="s">
        <v>712</v>
      </c>
      <c r="P2640" s="10">
        <v>3000</v>
      </c>
      <c r="Q2640" s="10">
        <v>90</v>
      </c>
      <c r="T2640" s="10">
        <v>120</v>
      </c>
      <c r="W2640" s="14">
        <v>5</v>
      </c>
      <c r="X2640" s="29">
        <v>20</v>
      </c>
      <c r="Y2640" s="7" t="s">
        <v>54</v>
      </c>
      <c r="Z2640" t="s">
        <v>1752</v>
      </c>
    </row>
    <row r="2641" spans="1:27" ht="23.1" customHeight="1" x14ac:dyDescent="0.25">
      <c r="A2641" t="s">
        <v>1337</v>
      </c>
      <c r="B2641" s="7" t="s">
        <v>110</v>
      </c>
      <c r="C2641" s="7">
        <v>84</v>
      </c>
      <c r="D2641" s="7" t="s">
        <v>1457</v>
      </c>
      <c r="E2641" s="8" t="s">
        <v>409</v>
      </c>
      <c r="F2641" s="9" t="s">
        <v>409</v>
      </c>
      <c r="G2641" s="7" t="s">
        <v>102</v>
      </c>
      <c r="H2641" s="7">
        <v>25</v>
      </c>
      <c r="I2641" s="7" t="s">
        <v>2008</v>
      </c>
      <c r="J2641" s="10">
        <v>4</v>
      </c>
      <c r="K2641" s="10">
        <v>1</v>
      </c>
      <c r="L2641" s="11">
        <v>5</v>
      </c>
      <c r="N2641" s="12" t="s">
        <v>596</v>
      </c>
      <c r="P2641" s="10">
        <v>25</v>
      </c>
      <c r="S2641" s="11">
        <v>1</v>
      </c>
      <c r="T2641" s="10">
        <v>60</v>
      </c>
      <c r="V2641" s="13">
        <v>1</v>
      </c>
      <c r="W2641" s="14">
        <v>2</v>
      </c>
      <c r="X2641" s="29">
        <v>3.4</v>
      </c>
      <c r="Y2641" s="7" t="s">
        <v>54</v>
      </c>
      <c r="Z2641" t="s">
        <v>1753</v>
      </c>
    </row>
    <row r="2642" spans="1:27" ht="23.1" customHeight="1" x14ac:dyDescent="0.25">
      <c r="A2642" t="s">
        <v>1337</v>
      </c>
      <c r="B2642" s="7" t="s">
        <v>110</v>
      </c>
      <c r="C2642" s="7">
        <v>84</v>
      </c>
      <c r="D2642" s="7" t="s">
        <v>1457</v>
      </c>
      <c r="E2642" s="8" t="s">
        <v>409</v>
      </c>
      <c r="F2642" s="9" t="s">
        <v>409</v>
      </c>
      <c r="G2642" s="7" t="s">
        <v>102</v>
      </c>
      <c r="H2642" s="7">
        <v>25</v>
      </c>
      <c r="I2642" s="7" t="s">
        <v>2008</v>
      </c>
      <c r="K2642" s="10">
        <v>1</v>
      </c>
      <c r="L2642" s="11">
        <v>5</v>
      </c>
      <c r="N2642" s="12" t="s">
        <v>596</v>
      </c>
      <c r="P2642" s="10">
        <v>25</v>
      </c>
      <c r="T2642" s="10">
        <v>60</v>
      </c>
      <c r="W2642" s="14">
        <v>5</v>
      </c>
      <c r="X2642" s="29">
        <v>5.4</v>
      </c>
      <c r="Y2642" s="7" t="s">
        <v>54</v>
      </c>
      <c r="Z2642" t="s">
        <v>1754</v>
      </c>
    </row>
    <row r="2643" spans="1:27" ht="23.1" customHeight="1" x14ac:dyDescent="0.25">
      <c r="A2643" t="s">
        <v>1337</v>
      </c>
      <c r="B2643" s="7" t="s">
        <v>110</v>
      </c>
      <c r="C2643" s="7">
        <v>121</v>
      </c>
      <c r="D2643" s="7" t="s">
        <v>1755</v>
      </c>
      <c r="E2643" s="8" t="s">
        <v>1756</v>
      </c>
      <c r="F2643" s="9" t="e">
        <v>#N/A</v>
      </c>
      <c r="G2643" s="7" t="s">
        <v>250</v>
      </c>
      <c r="H2643" s="7">
        <v>35</v>
      </c>
      <c r="I2643" s="7" t="s">
        <v>2352</v>
      </c>
      <c r="J2643" s="10">
        <v>1</v>
      </c>
      <c r="K2643" s="10">
        <v>1.4</v>
      </c>
      <c r="L2643" s="11">
        <v>19</v>
      </c>
      <c r="M2643" s="11">
        <v>28</v>
      </c>
      <c r="N2643" s="12" t="s">
        <v>1256</v>
      </c>
      <c r="P2643" s="10">
        <v>330</v>
      </c>
      <c r="Q2643" s="10">
        <v>90</v>
      </c>
      <c r="S2643" s="11">
        <v>2</v>
      </c>
      <c r="T2643" s="10">
        <v>180</v>
      </c>
      <c r="V2643" s="13">
        <v>1</v>
      </c>
      <c r="W2643" s="10">
        <v>3</v>
      </c>
      <c r="X2643" s="29">
        <v>16.7</v>
      </c>
      <c r="Y2643" s="7" t="s">
        <v>54</v>
      </c>
      <c r="Z2643" t="s">
        <v>1548</v>
      </c>
    </row>
    <row r="2644" spans="1:27" ht="23.1" customHeight="1" x14ac:dyDescent="0.25">
      <c r="A2644" t="s">
        <v>1337</v>
      </c>
      <c r="B2644" s="7" t="s">
        <v>110</v>
      </c>
      <c r="C2644" s="7">
        <v>15</v>
      </c>
      <c r="D2644" s="7" t="s">
        <v>1255</v>
      </c>
      <c r="E2644" s="8" t="s">
        <v>117</v>
      </c>
      <c r="F2644" s="9" t="s">
        <v>117</v>
      </c>
      <c r="G2644" s="7" t="s">
        <v>118</v>
      </c>
      <c r="H2644" s="7">
        <v>20</v>
      </c>
      <c r="I2644" s="7" t="s">
        <v>2232</v>
      </c>
      <c r="J2644" s="10">
        <v>2</v>
      </c>
      <c r="K2644" s="10">
        <v>1</v>
      </c>
      <c r="L2644" s="11">
        <v>23</v>
      </c>
      <c r="N2644" s="12" t="s">
        <v>128</v>
      </c>
      <c r="P2644" s="10">
        <v>270</v>
      </c>
      <c r="T2644" s="10">
        <v>90</v>
      </c>
      <c r="X2644" s="29">
        <v>4.5</v>
      </c>
      <c r="Y2644" s="7" t="s">
        <v>31</v>
      </c>
    </row>
    <row r="2645" spans="1:27" ht="23.1" customHeight="1" x14ac:dyDescent="0.25">
      <c r="A2645" t="s">
        <v>1337</v>
      </c>
      <c r="B2645" s="7" t="s">
        <v>110</v>
      </c>
      <c r="C2645" s="7">
        <v>15</v>
      </c>
      <c r="D2645" s="7" t="s">
        <v>1255</v>
      </c>
      <c r="E2645" s="8" t="s">
        <v>117</v>
      </c>
      <c r="F2645" s="9" t="s">
        <v>117</v>
      </c>
      <c r="G2645" s="7" t="s">
        <v>118</v>
      </c>
      <c r="H2645" s="7">
        <v>25</v>
      </c>
      <c r="I2645" s="7" t="s">
        <v>2018</v>
      </c>
      <c r="J2645" s="10">
        <v>0.2</v>
      </c>
      <c r="K2645" s="10">
        <v>0.4</v>
      </c>
      <c r="L2645" s="11">
        <v>37</v>
      </c>
      <c r="N2645" s="12" t="s">
        <v>256</v>
      </c>
      <c r="P2645" s="10">
        <v>900</v>
      </c>
      <c r="T2645" s="10">
        <v>120</v>
      </c>
      <c r="X2645" s="29">
        <v>6</v>
      </c>
      <c r="Y2645" s="7" t="s">
        <v>31</v>
      </c>
    </row>
    <row r="2646" spans="1:27" ht="23.1" customHeight="1" x14ac:dyDescent="0.25">
      <c r="A2646" t="s">
        <v>1337</v>
      </c>
      <c r="B2646" s="7" t="s">
        <v>110</v>
      </c>
      <c r="C2646" s="7">
        <v>78</v>
      </c>
      <c r="D2646" s="7" t="s">
        <v>1012</v>
      </c>
      <c r="E2646" s="8" t="s">
        <v>1013</v>
      </c>
      <c r="F2646" s="9" t="s">
        <v>1013</v>
      </c>
      <c r="G2646" s="7" t="s">
        <v>250</v>
      </c>
      <c r="H2646" s="7">
        <v>40</v>
      </c>
      <c r="I2646" s="7" t="s">
        <v>1902</v>
      </c>
      <c r="J2646" s="10">
        <v>3</v>
      </c>
      <c r="K2646" s="10">
        <v>3.1</v>
      </c>
      <c r="L2646" s="11">
        <v>5</v>
      </c>
      <c r="M2646" s="11">
        <v>26</v>
      </c>
      <c r="N2646" s="12" t="s">
        <v>216</v>
      </c>
      <c r="P2646" s="10">
        <v>250</v>
      </c>
      <c r="Q2646" s="10">
        <v>60</v>
      </c>
      <c r="S2646" s="11">
        <v>4</v>
      </c>
      <c r="T2646" s="10">
        <v>90</v>
      </c>
      <c r="X2646" s="29">
        <v>16.899999999999999</v>
      </c>
      <c r="Y2646" s="7" t="s">
        <v>19</v>
      </c>
    </row>
    <row r="2647" spans="1:27" ht="23.1" customHeight="1" x14ac:dyDescent="0.25">
      <c r="A2647" t="s">
        <v>1337</v>
      </c>
      <c r="B2647" s="7" t="s">
        <v>110</v>
      </c>
      <c r="C2647" s="7">
        <v>14</v>
      </c>
      <c r="D2647" s="7" t="s">
        <v>1331</v>
      </c>
      <c r="E2647" s="8" t="s">
        <v>1332</v>
      </c>
      <c r="F2647" s="9" t="s">
        <v>1332</v>
      </c>
      <c r="G2647" s="7" t="s">
        <v>300</v>
      </c>
      <c r="H2647" s="7">
        <v>20</v>
      </c>
      <c r="I2647" s="7" t="s">
        <v>1978</v>
      </c>
      <c r="J2647" s="10">
        <v>16</v>
      </c>
      <c r="K2647" s="10">
        <v>20</v>
      </c>
      <c r="L2647" s="11">
        <v>23</v>
      </c>
      <c r="M2647" s="11">
        <v>28</v>
      </c>
      <c r="N2647" s="12" t="s">
        <v>697</v>
      </c>
      <c r="P2647" s="10">
        <v>30</v>
      </c>
      <c r="T2647" s="10">
        <v>90</v>
      </c>
      <c r="V2647" s="13">
        <v>1</v>
      </c>
      <c r="X2647" s="29">
        <v>11.5</v>
      </c>
      <c r="Y2647" s="7" t="s">
        <v>31</v>
      </c>
    </row>
    <row r="2648" spans="1:27" ht="23.1" customHeight="1" x14ac:dyDescent="0.25">
      <c r="A2648" t="s">
        <v>1337</v>
      </c>
      <c r="B2648" s="7" t="s">
        <v>110</v>
      </c>
      <c r="C2648" s="7">
        <v>12</v>
      </c>
      <c r="D2648" s="7" t="s">
        <v>735</v>
      </c>
      <c r="E2648" s="8" t="s">
        <v>249</v>
      </c>
      <c r="F2648" s="9" t="s">
        <v>249</v>
      </c>
      <c r="G2648" s="7" t="s">
        <v>250</v>
      </c>
      <c r="H2648" s="7">
        <v>25</v>
      </c>
      <c r="I2648" s="7" t="s">
        <v>1923</v>
      </c>
      <c r="J2648" s="10">
        <v>1</v>
      </c>
      <c r="K2648" s="10">
        <v>1</v>
      </c>
      <c r="L2648" s="11">
        <v>28</v>
      </c>
      <c r="N2648" s="12" t="s">
        <v>1757</v>
      </c>
      <c r="P2648" s="10">
        <v>1080</v>
      </c>
      <c r="T2648" s="10">
        <v>120</v>
      </c>
      <c r="X2648" s="29">
        <v>18</v>
      </c>
      <c r="Y2648" s="7" t="s">
        <v>72</v>
      </c>
    </row>
    <row r="2649" spans="1:27" ht="23.1" customHeight="1" x14ac:dyDescent="0.25">
      <c r="A2649" t="s">
        <v>1337</v>
      </c>
      <c r="B2649" s="7" t="s">
        <v>110</v>
      </c>
      <c r="C2649" s="7">
        <v>16</v>
      </c>
      <c r="D2649" s="7" t="s">
        <v>1692</v>
      </c>
      <c r="E2649" s="8" t="s">
        <v>1693</v>
      </c>
      <c r="F2649" s="9" t="s">
        <v>1693</v>
      </c>
      <c r="G2649" s="7" t="s">
        <v>154</v>
      </c>
      <c r="H2649" s="7">
        <v>30</v>
      </c>
      <c r="I2649" s="7" t="s">
        <v>2521</v>
      </c>
      <c r="J2649" s="10">
        <v>1</v>
      </c>
      <c r="K2649" s="10">
        <v>2</v>
      </c>
      <c r="L2649" s="11">
        <v>9</v>
      </c>
      <c r="M2649" s="11">
        <v>9</v>
      </c>
      <c r="N2649" s="12" t="s">
        <v>1322</v>
      </c>
      <c r="T2649" s="10">
        <v>60</v>
      </c>
      <c r="V2649" s="13">
        <v>1</v>
      </c>
      <c r="X2649" s="29">
        <v>1</v>
      </c>
      <c r="Y2649" s="7" t="s">
        <v>63</v>
      </c>
    </row>
    <row r="2650" spans="1:27" ht="23.1" customHeight="1" x14ac:dyDescent="0.25">
      <c r="A2650" t="s">
        <v>1337</v>
      </c>
      <c r="B2650" s="7" t="s">
        <v>110</v>
      </c>
      <c r="C2650" s="7">
        <v>16</v>
      </c>
      <c r="D2650" s="7" t="s">
        <v>1740</v>
      </c>
      <c r="E2650" s="8" t="s">
        <v>1693</v>
      </c>
      <c r="F2650" s="9" t="s">
        <v>1693</v>
      </c>
      <c r="G2650" s="7" t="s">
        <v>154</v>
      </c>
      <c r="H2650" s="7">
        <v>30</v>
      </c>
      <c r="I2650" s="7" t="s">
        <v>2348</v>
      </c>
      <c r="J2650" s="10">
        <v>2</v>
      </c>
      <c r="K2650" s="10">
        <v>1</v>
      </c>
      <c r="L2650" s="11">
        <v>9</v>
      </c>
      <c r="N2650" s="12" t="s">
        <v>234</v>
      </c>
      <c r="P2650" s="10">
        <v>130</v>
      </c>
      <c r="T2650" s="10">
        <v>60</v>
      </c>
      <c r="X2650" s="29">
        <v>2.2000000000000002</v>
      </c>
      <c r="Y2650" s="7" t="s">
        <v>63</v>
      </c>
    </row>
    <row r="2651" spans="1:27" ht="23.1" customHeight="1" x14ac:dyDescent="0.25">
      <c r="A2651" t="s">
        <v>1337</v>
      </c>
      <c r="B2651" s="7" t="s">
        <v>110</v>
      </c>
      <c r="C2651" s="7">
        <v>16</v>
      </c>
      <c r="D2651" s="7" t="s">
        <v>1301</v>
      </c>
      <c r="E2651" s="8" t="s">
        <v>1302</v>
      </c>
      <c r="F2651" s="9" t="s">
        <v>1302</v>
      </c>
      <c r="G2651" s="7" t="s">
        <v>154</v>
      </c>
      <c r="H2651" s="7">
        <v>30</v>
      </c>
      <c r="I2651" s="7" t="s">
        <v>2348</v>
      </c>
      <c r="J2651" s="10">
        <v>1</v>
      </c>
      <c r="K2651" s="10">
        <v>1</v>
      </c>
      <c r="L2651" s="11">
        <v>31</v>
      </c>
      <c r="N2651" s="12" t="s">
        <v>159</v>
      </c>
      <c r="P2651" s="10">
        <v>130</v>
      </c>
      <c r="T2651" s="10">
        <v>60</v>
      </c>
      <c r="V2651" s="13">
        <v>1</v>
      </c>
      <c r="W2651" s="14">
        <v>2</v>
      </c>
      <c r="X2651" s="29">
        <v>5.2</v>
      </c>
      <c r="Y2651" s="7" t="s">
        <v>63</v>
      </c>
      <c r="Z2651" t="s">
        <v>1376</v>
      </c>
      <c r="AA2651" t="s">
        <v>238</v>
      </c>
    </row>
    <row r="2652" spans="1:27" ht="23.1" customHeight="1" x14ac:dyDescent="0.25">
      <c r="A2652" t="s">
        <v>1337</v>
      </c>
      <c r="B2652" s="7" t="s">
        <v>110</v>
      </c>
      <c r="C2652" s="7">
        <v>79</v>
      </c>
      <c r="D2652" s="7" t="s">
        <v>152</v>
      </c>
      <c r="E2652" s="8" t="s">
        <v>153</v>
      </c>
      <c r="F2652" s="9" t="s">
        <v>1247</v>
      </c>
      <c r="G2652" s="7" t="s">
        <v>154</v>
      </c>
      <c r="H2652" s="7">
        <v>45</v>
      </c>
      <c r="I2652" s="7" t="s">
        <v>2236</v>
      </c>
      <c r="J2652" s="10">
        <v>0.7</v>
      </c>
      <c r="K2652" s="10">
        <v>0.5</v>
      </c>
      <c r="L2652" s="11">
        <v>31</v>
      </c>
      <c r="N2652" s="12" t="s">
        <v>421</v>
      </c>
      <c r="P2652" s="10">
        <v>2460</v>
      </c>
      <c r="Q2652" s="10">
        <v>90</v>
      </c>
      <c r="T2652" s="10">
        <v>240</v>
      </c>
      <c r="X2652" s="29">
        <v>20.5</v>
      </c>
      <c r="Y2652" s="7" t="s">
        <v>19</v>
      </c>
    </row>
    <row r="2653" spans="1:27" ht="23.1" customHeight="1" x14ac:dyDescent="0.25">
      <c r="A2653" t="s">
        <v>1337</v>
      </c>
      <c r="B2653" s="7" t="s">
        <v>110</v>
      </c>
      <c r="C2653" s="7">
        <v>57</v>
      </c>
      <c r="D2653" s="7" t="s">
        <v>1031</v>
      </c>
      <c r="E2653" s="8" t="s">
        <v>1032</v>
      </c>
      <c r="F2653" s="9" t="s">
        <v>1032</v>
      </c>
      <c r="G2653" s="7" t="s">
        <v>107</v>
      </c>
      <c r="H2653" s="7">
        <v>15</v>
      </c>
      <c r="I2653" s="7" t="s">
        <v>2338</v>
      </c>
      <c r="J2653" s="10">
        <v>3.5</v>
      </c>
      <c r="K2653" s="10">
        <v>3.5</v>
      </c>
      <c r="L2653" s="11">
        <v>19</v>
      </c>
      <c r="M2653" s="11">
        <v>28</v>
      </c>
      <c r="N2653" s="12" t="s">
        <v>1656</v>
      </c>
      <c r="P2653" s="10">
        <v>180</v>
      </c>
      <c r="T2653" s="10">
        <v>90</v>
      </c>
      <c r="X2653" s="29">
        <v>10.5</v>
      </c>
      <c r="Y2653" s="7" t="s">
        <v>7</v>
      </c>
    </row>
    <row r="2654" spans="1:27" ht="23.1" customHeight="1" x14ac:dyDescent="0.25">
      <c r="A2654" t="s">
        <v>1337</v>
      </c>
      <c r="B2654" s="7" t="s">
        <v>110</v>
      </c>
      <c r="C2654" s="7">
        <v>18</v>
      </c>
      <c r="D2654" s="7" t="s">
        <v>920</v>
      </c>
      <c r="E2654" s="8" t="s">
        <v>919</v>
      </c>
      <c r="F2654" s="9" t="s">
        <v>919</v>
      </c>
      <c r="G2654" s="7" t="s">
        <v>323</v>
      </c>
      <c r="H2654" s="7">
        <v>15</v>
      </c>
      <c r="I2654" s="7" t="s">
        <v>2033</v>
      </c>
      <c r="J2654" s="10">
        <v>3</v>
      </c>
      <c r="K2654" s="10">
        <v>5</v>
      </c>
      <c r="L2654" s="11">
        <v>19</v>
      </c>
      <c r="M2654" s="11">
        <v>19</v>
      </c>
      <c r="N2654" s="12" t="s">
        <v>860</v>
      </c>
      <c r="P2654" s="10">
        <v>210</v>
      </c>
      <c r="T2654" s="10">
        <v>90</v>
      </c>
      <c r="X2654" s="29">
        <v>17.5</v>
      </c>
      <c r="Y2654" s="7" t="s">
        <v>16</v>
      </c>
    </row>
    <row r="2655" spans="1:27" ht="23.1" customHeight="1" x14ac:dyDescent="0.25">
      <c r="A2655" t="s">
        <v>1337</v>
      </c>
      <c r="B2655" s="7" t="s">
        <v>110</v>
      </c>
      <c r="C2655" s="7">
        <v>77</v>
      </c>
      <c r="D2655" s="7" t="s">
        <v>1698</v>
      </c>
      <c r="E2655" s="8" t="s">
        <v>1699</v>
      </c>
      <c r="F2655" s="9" t="s">
        <v>1699</v>
      </c>
      <c r="G2655" s="7" t="s">
        <v>118</v>
      </c>
      <c r="H2655" s="7">
        <v>20</v>
      </c>
      <c r="I2655" s="7" t="s">
        <v>2353</v>
      </c>
      <c r="J2655" s="10">
        <v>10</v>
      </c>
      <c r="K2655" s="10">
        <v>30</v>
      </c>
      <c r="L2655" s="11">
        <v>19</v>
      </c>
      <c r="M2655" s="11">
        <v>19</v>
      </c>
      <c r="N2655" s="12" t="s">
        <v>282</v>
      </c>
      <c r="P2655" s="10">
        <v>20</v>
      </c>
      <c r="T2655" s="10">
        <v>90</v>
      </c>
      <c r="V2655" s="13">
        <v>1</v>
      </c>
      <c r="W2655" s="14">
        <v>2</v>
      </c>
      <c r="X2655" s="29">
        <v>13.5</v>
      </c>
      <c r="Y2655" s="7" t="s">
        <v>15</v>
      </c>
      <c r="Z2655" t="s">
        <v>1671</v>
      </c>
      <c r="AA2655" t="s">
        <v>238</v>
      </c>
    </row>
    <row r="2656" spans="1:27" ht="23.1" customHeight="1" x14ac:dyDescent="0.25">
      <c r="A2656" t="s">
        <v>1337</v>
      </c>
      <c r="B2656" s="7" t="s">
        <v>110</v>
      </c>
      <c r="C2656" s="7">
        <v>59</v>
      </c>
      <c r="D2656" s="7" t="s">
        <v>1742</v>
      </c>
      <c r="E2656" s="8" t="s">
        <v>1743</v>
      </c>
      <c r="F2656" s="9" t="e">
        <v>#N/A</v>
      </c>
      <c r="G2656" s="7" t="s">
        <v>154</v>
      </c>
      <c r="H2656" s="7">
        <v>15</v>
      </c>
      <c r="I2656" s="7" t="s">
        <v>1895</v>
      </c>
      <c r="K2656" s="10">
        <v>6</v>
      </c>
      <c r="L2656" s="11">
        <v>5</v>
      </c>
      <c r="M2656" s="11">
        <v>19</v>
      </c>
      <c r="N2656" s="12" t="s">
        <v>164</v>
      </c>
      <c r="P2656" s="10">
        <v>70</v>
      </c>
      <c r="T2656" s="10">
        <v>60</v>
      </c>
      <c r="V2656" s="13">
        <v>1</v>
      </c>
      <c r="W2656" s="14">
        <v>2</v>
      </c>
      <c r="X2656" s="29">
        <v>10</v>
      </c>
      <c r="Y2656" s="64" t="s">
        <v>1847</v>
      </c>
      <c r="Z2656" t="s">
        <v>1758</v>
      </c>
      <c r="AA2656" t="s">
        <v>238</v>
      </c>
    </row>
    <row r="2657" spans="1:27" ht="23.1" customHeight="1" x14ac:dyDescent="0.25">
      <c r="A2657" t="s">
        <v>1337</v>
      </c>
      <c r="B2657" s="7" t="s">
        <v>110</v>
      </c>
      <c r="C2657" s="7">
        <v>22</v>
      </c>
      <c r="D2657" s="7" t="s">
        <v>635</v>
      </c>
      <c r="E2657" s="8" t="s">
        <v>612</v>
      </c>
      <c r="F2657" s="9" t="s">
        <v>612</v>
      </c>
      <c r="G2657" s="7" t="s">
        <v>102</v>
      </c>
      <c r="H2657" s="7">
        <v>10</v>
      </c>
      <c r="I2657" s="7" t="s">
        <v>1952</v>
      </c>
      <c r="J2657" s="10">
        <v>0.2</v>
      </c>
      <c r="K2657" s="10">
        <v>0.2</v>
      </c>
      <c r="L2657" s="11">
        <v>23</v>
      </c>
      <c r="N2657" s="12" t="s">
        <v>234</v>
      </c>
      <c r="P2657" s="10">
        <v>1500</v>
      </c>
      <c r="Q2657" s="10">
        <v>180</v>
      </c>
      <c r="T2657" s="10">
        <v>180</v>
      </c>
      <c r="X2657" s="29">
        <v>5</v>
      </c>
      <c r="Y2657" s="7" t="s">
        <v>58</v>
      </c>
    </row>
    <row r="2658" spans="1:27" ht="23.1" customHeight="1" x14ac:dyDescent="0.25">
      <c r="A2658" t="s">
        <v>1337</v>
      </c>
      <c r="B2658" s="7" t="s">
        <v>110</v>
      </c>
      <c r="C2658" s="7">
        <v>22</v>
      </c>
      <c r="D2658" s="7" t="s">
        <v>611</v>
      </c>
      <c r="E2658" s="8" t="s">
        <v>612</v>
      </c>
      <c r="F2658" s="9" t="s">
        <v>612</v>
      </c>
      <c r="G2658" s="7" t="s">
        <v>102</v>
      </c>
      <c r="H2658" s="7">
        <v>5</v>
      </c>
      <c r="I2658" s="7" t="s">
        <v>1957</v>
      </c>
      <c r="J2658" s="10">
        <v>0.5</v>
      </c>
      <c r="K2658" s="10">
        <v>1</v>
      </c>
      <c r="L2658" s="11">
        <v>5</v>
      </c>
      <c r="N2658" s="12" t="s">
        <v>103</v>
      </c>
      <c r="P2658" s="10">
        <v>2400</v>
      </c>
      <c r="Q2658" s="10">
        <v>210</v>
      </c>
      <c r="T2658" s="10">
        <v>210</v>
      </c>
      <c r="V2658" s="13">
        <v>1</v>
      </c>
      <c r="X2658" s="29">
        <v>43.5</v>
      </c>
      <c r="Y2658" s="7" t="s">
        <v>58</v>
      </c>
    </row>
    <row r="2659" spans="1:27" ht="23.1" customHeight="1" x14ac:dyDescent="0.25">
      <c r="A2659" t="s">
        <v>1337</v>
      </c>
      <c r="B2659" s="7" t="s">
        <v>110</v>
      </c>
      <c r="C2659" s="7">
        <v>13</v>
      </c>
      <c r="D2659" s="7" t="s">
        <v>1727</v>
      </c>
      <c r="E2659" s="8" t="s">
        <v>1728</v>
      </c>
      <c r="F2659" s="9" t="s">
        <v>1728</v>
      </c>
      <c r="G2659" s="7" t="s">
        <v>102</v>
      </c>
      <c r="H2659" s="7">
        <v>15</v>
      </c>
      <c r="I2659" s="7" t="s">
        <v>2346</v>
      </c>
      <c r="J2659" s="10">
        <v>12</v>
      </c>
      <c r="K2659" s="10">
        <v>12</v>
      </c>
      <c r="L2659" s="11">
        <v>28</v>
      </c>
      <c r="M2659" s="11">
        <v>28</v>
      </c>
      <c r="N2659" s="12" t="s">
        <v>596</v>
      </c>
      <c r="P2659" s="10">
        <v>140</v>
      </c>
      <c r="T2659" s="10">
        <v>90</v>
      </c>
      <c r="X2659" s="29">
        <v>28</v>
      </c>
      <c r="Y2659" s="7" t="s">
        <v>72</v>
      </c>
    </row>
    <row r="2660" spans="1:27" ht="23.1" customHeight="1" x14ac:dyDescent="0.25">
      <c r="A2660" t="s">
        <v>1337</v>
      </c>
      <c r="B2660" s="7" t="s">
        <v>110</v>
      </c>
      <c r="C2660" s="7">
        <v>11</v>
      </c>
      <c r="D2660" s="7" t="s">
        <v>1296</v>
      </c>
      <c r="E2660" s="8" t="s">
        <v>1297</v>
      </c>
      <c r="F2660" s="9" t="s">
        <v>1297</v>
      </c>
      <c r="G2660" s="7" t="s">
        <v>154</v>
      </c>
      <c r="H2660" s="7">
        <v>30</v>
      </c>
      <c r="I2660" s="7" t="s">
        <v>1863</v>
      </c>
      <c r="J2660" s="10">
        <v>4</v>
      </c>
      <c r="K2660" s="10">
        <v>2</v>
      </c>
      <c r="L2660" s="11">
        <v>23</v>
      </c>
      <c r="M2660" s="11">
        <v>23</v>
      </c>
      <c r="N2660" s="12" t="s">
        <v>199</v>
      </c>
      <c r="P2660" s="10">
        <v>160</v>
      </c>
      <c r="T2660" s="10">
        <v>60</v>
      </c>
      <c r="X2660" s="29">
        <v>5.3</v>
      </c>
      <c r="Y2660" s="7" t="s">
        <v>63</v>
      </c>
    </row>
    <row r="2661" spans="1:27" ht="23.1" customHeight="1" x14ac:dyDescent="0.25">
      <c r="A2661" t="s">
        <v>1337</v>
      </c>
      <c r="B2661" s="7" t="s">
        <v>110</v>
      </c>
      <c r="C2661" s="7">
        <v>21</v>
      </c>
      <c r="D2661" s="7" t="s">
        <v>321</v>
      </c>
      <c r="E2661" s="8" t="s">
        <v>322</v>
      </c>
      <c r="F2661" s="9" t="s">
        <v>322</v>
      </c>
      <c r="G2661" s="7" t="s">
        <v>323</v>
      </c>
      <c r="H2661" s="7">
        <v>35</v>
      </c>
      <c r="I2661" s="7" t="s">
        <v>1925</v>
      </c>
      <c r="J2661" s="10">
        <v>1.5</v>
      </c>
      <c r="K2661" s="10">
        <v>1.1000000000000001</v>
      </c>
      <c r="L2661" s="11">
        <v>5</v>
      </c>
      <c r="M2661" s="11">
        <v>5</v>
      </c>
      <c r="N2661" s="12" t="s">
        <v>1000</v>
      </c>
      <c r="P2661" s="10">
        <v>480</v>
      </c>
      <c r="Q2661" s="10">
        <v>120</v>
      </c>
      <c r="S2661" s="11">
        <v>1</v>
      </c>
      <c r="T2661" s="10">
        <v>180</v>
      </c>
      <c r="X2661" s="29">
        <v>10.8</v>
      </c>
      <c r="Y2661" s="7" t="s">
        <v>58</v>
      </c>
    </row>
    <row r="2662" spans="1:27" ht="23.1" customHeight="1" x14ac:dyDescent="0.25">
      <c r="A2662" t="s">
        <v>1337</v>
      </c>
      <c r="B2662" s="7" t="s">
        <v>110</v>
      </c>
      <c r="C2662" s="7">
        <v>21</v>
      </c>
      <c r="D2662" s="7" t="s">
        <v>321</v>
      </c>
      <c r="E2662" s="8" t="s">
        <v>322</v>
      </c>
      <c r="F2662" s="9" t="s">
        <v>322</v>
      </c>
      <c r="G2662" s="7" t="s">
        <v>323</v>
      </c>
      <c r="H2662" s="7">
        <v>40</v>
      </c>
      <c r="I2662" s="7" t="s">
        <v>1969</v>
      </c>
      <c r="K2662" s="10">
        <v>1</v>
      </c>
      <c r="L2662" s="11">
        <v>31</v>
      </c>
      <c r="N2662" s="12" t="s">
        <v>1273</v>
      </c>
      <c r="P2662" s="10">
        <v>390</v>
      </c>
      <c r="Q2662" s="10">
        <v>120</v>
      </c>
      <c r="S2662" s="11">
        <v>1</v>
      </c>
      <c r="T2662" s="10">
        <v>180</v>
      </c>
      <c r="V2662" s="13">
        <v>1</v>
      </c>
      <c r="X2662" s="29">
        <v>11.5</v>
      </c>
      <c r="Y2662" s="7" t="s">
        <v>58</v>
      </c>
    </row>
    <row r="2663" spans="1:27" ht="23.1" customHeight="1" x14ac:dyDescent="0.25">
      <c r="A2663" t="s">
        <v>1337</v>
      </c>
      <c r="B2663" s="7" t="s">
        <v>110</v>
      </c>
      <c r="C2663" s="7">
        <v>58</v>
      </c>
      <c r="D2663" s="7" t="s">
        <v>1759</v>
      </c>
      <c r="E2663" s="8" t="s">
        <v>409</v>
      </c>
      <c r="F2663" s="9" t="s">
        <v>409</v>
      </c>
      <c r="G2663" s="7" t="s">
        <v>658</v>
      </c>
      <c r="H2663" s="7">
        <v>10</v>
      </c>
      <c r="I2663" s="7" t="s">
        <v>1916</v>
      </c>
      <c r="J2663" s="10">
        <v>15</v>
      </c>
      <c r="K2663" s="10">
        <v>38</v>
      </c>
      <c r="L2663" s="11">
        <v>9</v>
      </c>
      <c r="M2663" s="11">
        <v>9</v>
      </c>
      <c r="N2663" s="12" t="s">
        <v>282</v>
      </c>
      <c r="P2663" s="10">
        <v>30</v>
      </c>
      <c r="T2663" s="10">
        <v>90</v>
      </c>
      <c r="V2663" s="13">
        <v>1</v>
      </c>
      <c r="W2663" s="14">
        <v>2</v>
      </c>
      <c r="X2663" s="29">
        <v>22.5</v>
      </c>
      <c r="Y2663" s="7" t="s">
        <v>7</v>
      </c>
      <c r="Z2663" t="s">
        <v>1527</v>
      </c>
      <c r="AA2663" t="s">
        <v>238</v>
      </c>
    </row>
    <row r="2664" spans="1:27" ht="23.1" customHeight="1" x14ac:dyDescent="0.25">
      <c r="A2664" t="s">
        <v>1337</v>
      </c>
      <c r="B2664" s="7" t="s">
        <v>110</v>
      </c>
      <c r="C2664" s="7">
        <v>17</v>
      </c>
      <c r="D2664" s="7" t="s">
        <v>1702</v>
      </c>
      <c r="E2664" s="8" t="s">
        <v>625</v>
      </c>
      <c r="F2664" s="9" t="s">
        <v>625</v>
      </c>
      <c r="G2664" s="7" t="s">
        <v>250</v>
      </c>
      <c r="H2664" s="7">
        <v>20</v>
      </c>
      <c r="I2664" s="7" t="s">
        <v>2344</v>
      </c>
      <c r="J2664" s="10">
        <v>4</v>
      </c>
      <c r="K2664" s="10">
        <v>5</v>
      </c>
      <c r="L2664" s="11">
        <v>5</v>
      </c>
      <c r="M2664" s="11">
        <v>19</v>
      </c>
      <c r="N2664" s="12" t="s">
        <v>247</v>
      </c>
      <c r="P2664" s="10">
        <v>150</v>
      </c>
      <c r="T2664" s="10">
        <v>150</v>
      </c>
      <c r="X2664" s="29">
        <v>12.5</v>
      </c>
      <c r="Y2664" s="7" t="s">
        <v>16</v>
      </c>
    </row>
    <row r="2665" spans="1:27" ht="23.1" customHeight="1" x14ac:dyDescent="0.25">
      <c r="A2665" t="s">
        <v>1337</v>
      </c>
      <c r="B2665" s="7" t="s">
        <v>137</v>
      </c>
      <c r="C2665" s="7">
        <v>11</v>
      </c>
      <c r="D2665" s="7" t="s">
        <v>1296</v>
      </c>
      <c r="E2665" s="8" t="s">
        <v>1297</v>
      </c>
      <c r="F2665" s="9" t="s">
        <v>1297</v>
      </c>
      <c r="G2665" s="7" t="s">
        <v>154</v>
      </c>
      <c r="H2665" s="7">
        <v>30</v>
      </c>
      <c r="I2665" s="7" t="s">
        <v>1863</v>
      </c>
      <c r="J2665" s="10">
        <v>4</v>
      </c>
      <c r="K2665" s="10">
        <v>6</v>
      </c>
      <c r="L2665" s="11">
        <v>31</v>
      </c>
      <c r="M2665" s="11">
        <v>28</v>
      </c>
      <c r="N2665" s="12" t="s">
        <v>199</v>
      </c>
      <c r="P2665" s="10">
        <v>160</v>
      </c>
      <c r="T2665" s="10">
        <v>60</v>
      </c>
      <c r="X2665" s="29">
        <v>16</v>
      </c>
      <c r="Y2665" s="7" t="s">
        <v>38</v>
      </c>
    </row>
    <row r="2666" spans="1:27" ht="23.1" customHeight="1" x14ac:dyDescent="0.25">
      <c r="A2666" t="s">
        <v>1337</v>
      </c>
      <c r="B2666" s="7" t="s">
        <v>137</v>
      </c>
      <c r="C2666" s="7">
        <v>58</v>
      </c>
      <c r="D2666" s="7" t="s">
        <v>1759</v>
      </c>
      <c r="E2666" s="8" t="s">
        <v>409</v>
      </c>
      <c r="F2666" s="9" t="s">
        <v>409</v>
      </c>
      <c r="G2666" s="7" t="s">
        <v>658</v>
      </c>
      <c r="H2666" s="7">
        <v>20</v>
      </c>
      <c r="I2666" s="7" t="s">
        <v>2313</v>
      </c>
      <c r="K2666" s="10">
        <v>8</v>
      </c>
      <c r="L2666" s="11">
        <v>31</v>
      </c>
      <c r="M2666" s="11">
        <v>9</v>
      </c>
      <c r="N2666" s="12" t="s">
        <v>282</v>
      </c>
      <c r="P2666" s="10">
        <v>35</v>
      </c>
      <c r="T2666" s="10">
        <v>90</v>
      </c>
      <c r="V2666" s="13">
        <v>1</v>
      </c>
      <c r="W2666" s="14">
        <v>2</v>
      </c>
      <c r="X2666" s="29">
        <v>8.1999999999999993</v>
      </c>
      <c r="Y2666" s="7" t="s">
        <v>57</v>
      </c>
      <c r="Z2666" t="s">
        <v>1671</v>
      </c>
      <c r="AA2666" t="s">
        <v>238</v>
      </c>
    </row>
    <row r="2667" spans="1:27" ht="23.1" customHeight="1" x14ac:dyDescent="0.25">
      <c r="A2667" t="s">
        <v>1337</v>
      </c>
      <c r="B2667" s="7" t="s">
        <v>137</v>
      </c>
      <c r="C2667" s="7">
        <v>17</v>
      </c>
      <c r="D2667" s="7" t="s">
        <v>1702</v>
      </c>
      <c r="E2667" s="8" t="s">
        <v>625</v>
      </c>
      <c r="F2667" s="9" t="s">
        <v>625</v>
      </c>
      <c r="G2667" s="7" t="s">
        <v>250</v>
      </c>
      <c r="H2667" s="7">
        <v>25</v>
      </c>
      <c r="I2667" s="7" t="s">
        <v>2349</v>
      </c>
      <c r="J2667" s="10">
        <v>10</v>
      </c>
      <c r="K2667" s="10">
        <v>15</v>
      </c>
      <c r="L2667" s="11">
        <v>28</v>
      </c>
      <c r="M2667" s="11">
        <v>28</v>
      </c>
      <c r="N2667" s="12" t="s">
        <v>247</v>
      </c>
      <c r="P2667" s="10">
        <v>50</v>
      </c>
      <c r="T2667" s="10">
        <v>60</v>
      </c>
      <c r="X2667" s="29">
        <v>12.5</v>
      </c>
      <c r="Y2667" s="7" t="s">
        <v>43</v>
      </c>
    </row>
    <row r="2668" spans="1:27" ht="23.1" customHeight="1" x14ac:dyDescent="0.25">
      <c r="A2668" t="s">
        <v>1337</v>
      </c>
      <c r="B2668" s="7" t="s">
        <v>137</v>
      </c>
      <c r="C2668" s="7">
        <v>17</v>
      </c>
      <c r="D2668" s="7" t="s">
        <v>1702</v>
      </c>
      <c r="E2668" s="8" t="s">
        <v>625</v>
      </c>
      <c r="F2668" s="9" t="s">
        <v>625</v>
      </c>
      <c r="G2668" s="7" t="s">
        <v>250</v>
      </c>
      <c r="H2668" s="7">
        <v>30</v>
      </c>
      <c r="I2668" s="7" t="s">
        <v>2116</v>
      </c>
      <c r="K2668" s="10">
        <v>4</v>
      </c>
      <c r="L2668" s="11">
        <v>28</v>
      </c>
      <c r="M2668" s="11">
        <v>37</v>
      </c>
      <c r="N2668" s="12" t="s">
        <v>247</v>
      </c>
      <c r="P2668" s="10">
        <v>45</v>
      </c>
      <c r="T2668" s="10">
        <v>90</v>
      </c>
      <c r="V2668" s="13">
        <v>1</v>
      </c>
      <c r="X2668" s="29">
        <v>4.5</v>
      </c>
      <c r="Y2668" s="7" t="s">
        <v>43</v>
      </c>
    </row>
    <row r="2669" spans="1:27" ht="23.1" customHeight="1" x14ac:dyDescent="0.25">
      <c r="A2669" t="s">
        <v>1337</v>
      </c>
      <c r="B2669" s="7" t="s">
        <v>137</v>
      </c>
      <c r="C2669" s="7">
        <v>58</v>
      </c>
      <c r="D2669" s="7" t="s">
        <v>1759</v>
      </c>
      <c r="E2669" s="8" t="s">
        <v>409</v>
      </c>
      <c r="F2669" s="9" t="s">
        <v>409</v>
      </c>
      <c r="G2669" s="7" t="s">
        <v>658</v>
      </c>
      <c r="H2669" s="7">
        <v>15</v>
      </c>
      <c r="I2669" s="7" t="s">
        <v>2290</v>
      </c>
      <c r="J2669" s="10">
        <v>19</v>
      </c>
      <c r="K2669" s="10">
        <v>38</v>
      </c>
      <c r="L2669" s="11">
        <v>31</v>
      </c>
      <c r="M2669" s="11">
        <v>31</v>
      </c>
      <c r="N2669" s="12" t="s">
        <v>282</v>
      </c>
      <c r="P2669" s="10">
        <v>20</v>
      </c>
      <c r="T2669" s="10">
        <v>90</v>
      </c>
      <c r="V2669" s="13">
        <v>1</v>
      </c>
      <c r="W2669" s="14">
        <v>2</v>
      </c>
      <c r="X2669" s="29">
        <v>16.2</v>
      </c>
      <c r="Y2669" s="7" t="s">
        <v>57</v>
      </c>
      <c r="Z2669" t="s">
        <v>1540</v>
      </c>
      <c r="AA2669" t="s">
        <v>238</v>
      </c>
    </row>
    <row r="2670" spans="1:27" ht="23.1" customHeight="1" x14ac:dyDescent="0.25">
      <c r="A2670" t="s">
        <v>1337</v>
      </c>
      <c r="B2670" s="7" t="s">
        <v>137</v>
      </c>
      <c r="C2670" s="7">
        <v>57</v>
      </c>
      <c r="D2670" s="7" t="s">
        <v>1031</v>
      </c>
      <c r="E2670" s="8" t="s">
        <v>1032</v>
      </c>
      <c r="F2670" s="9" t="s">
        <v>1032</v>
      </c>
      <c r="G2670" s="7" t="s">
        <v>107</v>
      </c>
      <c r="H2670" s="7">
        <v>15</v>
      </c>
      <c r="I2670" s="7" t="s">
        <v>2338</v>
      </c>
      <c r="J2670" s="10">
        <v>4</v>
      </c>
      <c r="K2670" s="10">
        <v>3.5</v>
      </c>
      <c r="L2670" s="11">
        <v>28</v>
      </c>
      <c r="M2670" s="11">
        <v>28</v>
      </c>
      <c r="N2670" s="12" t="s">
        <v>1033</v>
      </c>
      <c r="P2670" s="10">
        <v>180</v>
      </c>
      <c r="T2670" s="10">
        <v>90</v>
      </c>
      <c r="X2670" s="29">
        <v>10.5</v>
      </c>
      <c r="Y2670" s="7" t="s">
        <v>57</v>
      </c>
    </row>
    <row r="2671" spans="1:27" ht="23.1" customHeight="1" x14ac:dyDescent="0.25">
      <c r="A2671" t="s">
        <v>1337</v>
      </c>
      <c r="B2671" s="7" t="s">
        <v>137</v>
      </c>
      <c r="C2671" s="7">
        <v>16</v>
      </c>
      <c r="D2671" s="7" t="s">
        <v>1760</v>
      </c>
      <c r="E2671" s="8" t="s">
        <v>1302</v>
      </c>
      <c r="F2671" s="9" t="s">
        <v>1302</v>
      </c>
      <c r="G2671" s="7" t="s">
        <v>154</v>
      </c>
      <c r="H2671" s="7">
        <v>30</v>
      </c>
      <c r="I2671" s="7" t="s">
        <v>2348</v>
      </c>
      <c r="K2671" s="10">
        <v>2</v>
      </c>
      <c r="L2671" s="11">
        <v>37</v>
      </c>
      <c r="M2671" s="11">
        <v>37</v>
      </c>
      <c r="N2671" s="12" t="s">
        <v>1322</v>
      </c>
      <c r="P2671" s="10">
        <v>130</v>
      </c>
      <c r="T2671" s="10">
        <v>60</v>
      </c>
      <c r="V2671" s="13">
        <v>1</v>
      </c>
      <c r="X2671" s="29">
        <v>5.3</v>
      </c>
      <c r="Y2671" s="7" t="s">
        <v>38</v>
      </c>
    </row>
    <row r="2672" spans="1:27" ht="23.1" customHeight="1" x14ac:dyDescent="0.25">
      <c r="A2672" t="s">
        <v>1337</v>
      </c>
      <c r="B2672" s="7" t="s">
        <v>137</v>
      </c>
      <c r="C2672" s="7">
        <v>16</v>
      </c>
      <c r="D2672" s="7" t="s">
        <v>1299</v>
      </c>
      <c r="E2672" s="8" t="s">
        <v>437</v>
      </c>
      <c r="F2672" s="9" t="s">
        <v>437</v>
      </c>
      <c r="G2672" s="7" t="s">
        <v>154</v>
      </c>
      <c r="H2672" s="7">
        <v>30</v>
      </c>
      <c r="I2672" s="7" t="s">
        <v>2342</v>
      </c>
      <c r="J2672" s="10">
        <v>1</v>
      </c>
      <c r="K2672" s="10">
        <v>2</v>
      </c>
      <c r="L2672" s="11">
        <v>37</v>
      </c>
      <c r="M2672" s="11">
        <v>37</v>
      </c>
      <c r="N2672" s="12" t="s">
        <v>1300</v>
      </c>
      <c r="P2672" s="10">
        <v>100</v>
      </c>
      <c r="T2672" s="10">
        <v>60</v>
      </c>
      <c r="V2672" s="13">
        <v>1</v>
      </c>
      <c r="X2672" s="29">
        <v>4.3</v>
      </c>
      <c r="Y2672" s="7" t="s">
        <v>38</v>
      </c>
    </row>
    <row r="2673" spans="1:27" ht="23.1" customHeight="1" x14ac:dyDescent="0.25">
      <c r="A2673" s="62" t="s">
        <v>1337</v>
      </c>
      <c r="B2673" s="7" t="s">
        <v>137</v>
      </c>
      <c r="C2673" s="7">
        <v>59</v>
      </c>
      <c r="D2673" s="7" t="s">
        <v>1742</v>
      </c>
      <c r="E2673" s="8" t="s">
        <v>1743</v>
      </c>
      <c r="F2673" s="9" t="e">
        <v>#N/A</v>
      </c>
      <c r="G2673" s="7" t="s">
        <v>154</v>
      </c>
      <c r="H2673" s="7">
        <v>15</v>
      </c>
      <c r="I2673" s="7" t="s">
        <v>1895</v>
      </c>
      <c r="J2673" s="10">
        <v>4</v>
      </c>
      <c r="K2673" s="10">
        <v>4</v>
      </c>
      <c r="L2673" s="11">
        <v>31</v>
      </c>
      <c r="M2673" s="11">
        <v>31</v>
      </c>
      <c r="N2673" s="12" t="s">
        <v>1552</v>
      </c>
      <c r="P2673" s="10">
        <v>70</v>
      </c>
      <c r="T2673" s="10">
        <v>60</v>
      </c>
      <c r="X2673" s="29">
        <v>4.7</v>
      </c>
      <c r="Y2673" s="7" t="s">
        <v>42</v>
      </c>
    </row>
    <row r="2674" spans="1:27" ht="23.1" customHeight="1" x14ac:dyDescent="0.25">
      <c r="A2674" s="62" t="s">
        <v>1337</v>
      </c>
      <c r="B2674" s="7" t="s">
        <v>137</v>
      </c>
      <c r="C2674" s="7">
        <v>59</v>
      </c>
      <c r="D2674" s="7" t="s">
        <v>1742</v>
      </c>
      <c r="E2674" s="8" t="s">
        <v>1743</v>
      </c>
      <c r="F2674" s="9" t="e">
        <v>#N/A</v>
      </c>
      <c r="G2674" s="7" t="s">
        <v>154</v>
      </c>
      <c r="H2674" s="7">
        <v>20</v>
      </c>
      <c r="I2674" s="7" t="s">
        <v>2351</v>
      </c>
      <c r="K2674" s="10">
        <v>6</v>
      </c>
      <c r="L2674" s="11">
        <v>31</v>
      </c>
      <c r="M2674" s="11">
        <v>37</v>
      </c>
      <c r="N2674" s="12" t="s">
        <v>1552</v>
      </c>
      <c r="P2674" s="10">
        <v>70</v>
      </c>
      <c r="T2674" s="10">
        <v>60</v>
      </c>
      <c r="V2674" s="13">
        <v>1</v>
      </c>
      <c r="W2674" s="14">
        <v>1</v>
      </c>
      <c r="X2674" s="29">
        <v>9</v>
      </c>
      <c r="Y2674" s="7" t="s">
        <v>42</v>
      </c>
      <c r="Z2674" t="s">
        <v>1750</v>
      </c>
    </row>
    <row r="2675" spans="1:27" ht="23.1" customHeight="1" x14ac:dyDescent="0.25">
      <c r="A2675" t="s">
        <v>1337</v>
      </c>
      <c r="B2675" s="7" t="s">
        <v>137</v>
      </c>
      <c r="C2675" s="7">
        <v>18</v>
      </c>
      <c r="D2675" s="7" t="s">
        <v>920</v>
      </c>
      <c r="E2675" s="8" t="s">
        <v>919</v>
      </c>
      <c r="F2675" s="9" t="s">
        <v>919</v>
      </c>
      <c r="G2675" s="7" t="s">
        <v>323</v>
      </c>
      <c r="H2675" s="7">
        <v>15</v>
      </c>
      <c r="I2675" s="7" t="s">
        <v>2033</v>
      </c>
      <c r="J2675" s="10">
        <v>3</v>
      </c>
      <c r="K2675" s="10">
        <v>4</v>
      </c>
      <c r="L2675" s="11">
        <v>28</v>
      </c>
      <c r="M2675" s="11">
        <v>28</v>
      </c>
      <c r="N2675" s="12" t="s">
        <v>860</v>
      </c>
      <c r="P2675" s="10">
        <v>210</v>
      </c>
      <c r="T2675" s="10">
        <v>90</v>
      </c>
      <c r="X2675" s="29">
        <v>14</v>
      </c>
      <c r="Y2675" s="7" t="s">
        <v>43</v>
      </c>
    </row>
    <row r="2676" spans="1:27" ht="23.1" customHeight="1" x14ac:dyDescent="0.25">
      <c r="A2676" t="s">
        <v>1337</v>
      </c>
      <c r="B2676" s="7" t="s">
        <v>137</v>
      </c>
      <c r="C2676" s="7">
        <v>9</v>
      </c>
      <c r="D2676" s="7" t="s">
        <v>1714</v>
      </c>
      <c r="E2676" s="8" t="s">
        <v>460</v>
      </c>
      <c r="F2676" s="9" t="e">
        <v>#N/A</v>
      </c>
      <c r="G2676" s="7" t="s">
        <v>123</v>
      </c>
      <c r="H2676" s="7">
        <v>30</v>
      </c>
      <c r="J2676" s="10">
        <v>14</v>
      </c>
      <c r="K2676" s="10">
        <v>19</v>
      </c>
      <c r="L2676" s="11">
        <v>28</v>
      </c>
      <c r="M2676" s="11">
        <v>28</v>
      </c>
      <c r="N2676" s="12" t="s">
        <v>1715</v>
      </c>
      <c r="P2676" s="10">
        <v>25</v>
      </c>
      <c r="X2676" s="29">
        <v>7.9</v>
      </c>
      <c r="Y2676" s="7" t="s">
        <v>55</v>
      </c>
    </row>
    <row r="2677" spans="1:27" ht="23.1" customHeight="1" x14ac:dyDescent="0.25">
      <c r="A2677" t="s">
        <v>1337</v>
      </c>
      <c r="B2677" s="7" t="s">
        <v>137</v>
      </c>
      <c r="C2677" s="7">
        <v>10</v>
      </c>
      <c r="D2677" s="7" t="s">
        <v>946</v>
      </c>
      <c r="E2677" s="8" t="s">
        <v>947</v>
      </c>
      <c r="F2677" s="9" t="s">
        <v>947</v>
      </c>
      <c r="G2677" s="7" t="s">
        <v>300</v>
      </c>
      <c r="H2677" s="7">
        <v>25</v>
      </c>
      <c r="I2677" s="7" t="s">
        <v>2233</v>
      </c>
      <c r="J2677" s="10">
        <v>2.5</v>
      </c>
      <c r="K2677" s="10">
        <v>2.5</v>
      </c>
      <c r="L2677" s="11">
        <v>28</v>
      </c>
      <c r="M2677" s="11">
        <v>28</v>
      </c>
      <c r="N2677" s="12" t="s">
        <v>1761</v>
      </c>
      <c r="P2677" s="10">
        <v>240</v>
      </c>
      <c r="T2677" s="10">
        <v>90</v>
      </c>
      <c r="X2677" s="29">
        <v>10</v>
      </c>
      <c r="Y2677" s="7" t="s">
        <v>55</v>
      </c>
    </row>
    <row r="2678" spans="1:27" ht="23.1" customHeight="1" x14ac:dyDescent="0.25">
      <c r="A2678" t="s">
        <v>1337</v>
      </c>
      <c r="B2678" s="7" t="s">
        <v>137</v>
      </c>
      <c r="C2678" s="7">
        <v>10</v>
      </c>
      <c r="D2678" s="7" t="s">
        <v>946</v>
      </c>
      <c r="E2678" s="8" t="s">
        <v>947</v>
      </c>
      <c r="F2678" s="9" t="s">
        <v>947</v>
      </c>
      <c r="G2678" s="7" t="s">
        <v>300</v>
      </c>
      <c r="H2678" s="7">
        <v>27</v>
      </c>
      <c r="N2678" s="12" t="s">
        <v>1762</v>
      </c>
      <c r="O2678" s="10">
        <v>60</v>
      </c>
      <c r="W2678" s="14">
        <v>2</v>
      </c>
      <c r="X2678" s="32">
        <v>2</v>
      </c>
      <c r="Y2678" s="7" t="s">
        <v>55</v>
      </c>
      <c r="Z2678" t="s">
        <v>1763</v>
      </c>
      <c r="AA2678" t="s">
        <v>238</v>
      </c>
    </row>
    <row r="2679" spans="1:27" ht="23.1" customHeight="1" x14ac:dyDescent="0.25">
      <c r="A2679" t="s">
        <v>1337</v>
      </c>
      <c r="B2679" s="7" t="s">
        <v>113</v>
      </c>
      <c r="C2679" s="7">
        <v>22</v>
      </c>
      <c r="D2679" s="7" t="s">
        <v>635</v>
      </c>
      <c r="E2679" s="8" t="s">
        <v>612</v>
      </c>
      <c r="F2679" s="9" t="s">
        <v>612</v>
      </c>
      <c r="G2679" s="7" t="s">
        <v>154</v>
      </c>
      <c r="H2679" s="7">
        <v>10</v>
      </c>
      <c r="I2679" s="7" t="s">
        <v>1952</v>
      </c>
      <c r="J2679" s="10">
        <v>0.6</v>
      </c>
      <c r="K2679" s="10">
        <v>0.4</v>
      </c>
      <c r="L2679" s="11">
        <v>28</v>
      </c>
      <c r="N2679" s="12" t="s">
        <v>613</v>
      </c>
      <c r="P2679" s="10">
        <v>1500</v>
      </c>
      <c r="Q2679" s="10">
        <v>180</v>
      </c>
      <c r="S2679" s="11">
        <v>1</v>
      </c>
      <c r="T2679" s="10">
        <v>180</v>
      </c>
      <c r="V2679" s="13">
        <v>1</v>
      </c>
      <c r="X2679" s="29">
        <v>16</v>
      </c>
      <c r="Y2679" s="7" t="s">
        <v>49</v>
      </c>
    </row>
    <row r="2680" spans="1:27" ht="23.1" customHeight="1" x14ac:dyDescent="0.25">
      <c r="A2680" t="s">
        <v>1337</v>
      </c>
      <c r="B2680" s="7" t="s">
        <v>113</v>
      </c>
      <c r="C2680" s="7">
        <v>108</v>
      </c>
      <c r="D2680" s="7" t="s">
        <v>1764</v>
      </c>
      <c r="E2680" s="8" t="s">
        <v>993</v>
      </c>
      <c r="F2680" s="9" t="s">
        <v>993</v>
      </c>
      <c r="G2680" s="7" t="s">
        <v>154</v>
      </c>
      <c r="H2680" s="7">
        <v>10</v>
      </c>
      <c r="I2680" s="7" t="s">
        <v>1952</v>
      </c>
      <c r="J2680" s="10">
        <v>1</v>
      </c>
      <c r="K2680" s="10">
        <v>2</v>
      </c>
      <c r="L2680" s="11">
        <v>26</v>
      </c>
      <c r="M2680" s="11">
        <v>23</v>
      </c>
      <c r="N2680" s="12" t="s">
        <v>1322</v>
      </c>
      <c r="P2680" s="10">
        <v>340</v>
      </c>
      <c r="Q2680" s="10">
        <v>60</v>
      </c>
      <c r="S2680" s="11">
        <v>2</v>
      </c>
      <c r="T2680" s="10">
        <v>90</v>
      </c>
      <c r="V2680" s="13">
        <v>1</v>
      </c>
      <c r="X2680" s="29">
        <v>14.8</v>
      </c>
      <c r="Y2680" s="7" t="s">
        <v>13</v>
      </c>
    </row>
    <row r="2681" spans="1:27" ht="23.1" customHeight="1" x14ac:dyDescent="0.25">
      <c r="A2681" t="s">
        <v>1337</v>
      </c>
      <c r="B2681" s="7" t="s">
        <v>113</v>
      </c>
      <c r="C2681" s="7">
        <v>108</v>
      </c>
      <c r="D2681" s="7" t="s">
        <v>992</v>
      </c>
      <c r="E2681" s="8" t="s">
        <v>993</v>
      </c>
      <c r="F2681" s="9" t="s">
        <v>993</v>
      </c>
      <c r="G2681" s="7" t="s">
        <v>154</v>
      </c>
      <c r="H2681" s="7">
        <v>10</v>
      </c>
      <c r="I2681" s="7" t="s">
        <v>1952</v>
      </c>
      <c r="K2681" s="10">
        <v>1.5</v>
      </c>
      <c r="L2681" s="11">
        <v>28</v>
      </c>
      <c r="M2681" s="11">
        <v>26</v>
      </c>
      <c r="N2681" s="12" t="s">
        <v>1322</v>
      </c>
      <c r="P2681" s="10">
        <v>340</v>
      </c>
      <c r="Q2681" s="10">
        <v>60</v>
      </c>
      <c r="S2681" s="11">
        <v>1</v>
      </c>
      <c r="T2681" s="10">
        <v>90</v>
      </c>
      <c r="X2681" s="29">
        <v>9.5</v>
      </c>
      <c r="Y2681" s="7" t="s">
        <v>13</v>
      </c>
    </row>
    <row r="2682" spans="1:27" ht="23.1" customHeight="1" x14ac:dyDescent="0.25">
      <c r="A2682" t="s">
        <v>1337</v>
      </c>
      <c r="B2682" s="7" t="s">
        <v>113</v>
      </c>
      <c r="C2682" s="7">
        <v>107</v>
      </c>
      <c r="D2682" s="7" t="s">
        <v>173</v>
      </c>
      <c r="E2682" s="8" t="s">
        <v>174</v>
      </c>
      <c r="F2682" s="9" t="s">
        <v>1246</v>
      </c>
      <c r="G2682" s="7" t="s">
        <v>154</v>
      </c>
      <c r="H2682" s="7">
        <v>50</v>
      </c>
      <c r="I2682" s="7" t="s">
        <v>2210</v>
      </c>
      <c r="J2682" s="10">
        <v>0.4</v>
      </c>
      <c r="K2682" s="10">
        <v>0.6</v>
      </c>
      <c r="L2682" s="11">
        <v>5</v>
      </c>
      <c r="N2682" s="12" t="s">
        <v>532</v>
      </c>
      <c r="P2682" s="10">
        <v>2100</v>
      </c>
      <c r="Q2682" s="10">
        <v>90</v>
      </c>
      <c r="T2682" s="10">
        <v>150</v>
      </c>
      <c r="X2682" s="29">
        <v>21</v>
      </c>
      <c r="Y2682" s="7" t="s">
        <v>13</v>
      </c>
    </row>
    <row r="2683" spans="1:27" ht="23.1" customHeight="1" x14ac:dyDescent="0.25">
      <c r="A2683" t="s">
        <v>1337</v>
      </c>
      <c r="B2683" s="7" t="s">
        <v>113</v>
      </c>
      <c r="C2683" s="7">
        <v>57</v>
      </c>
      <c r="D2683" s="7" t="s">
        <v>1031</v>
      </c>
      <c r="E2683" s="8" t="s">
        <v>1032</v>
      </c>
      <c r="F2683" s="9" t="s">
        <v>1032</v>
      </c>
      <c r="G2683" s="7" t="s">
        <v>107</v>
      </c>
      <c r="H2683" s="7">
        <v>20</v>
      </c>
      <c r="I2683" s="7" t="s">
        <v>2213</v>
      </c>
      <c r="J2683" s="10">
        <v>3.5</v>
      </c>
      <c r="K2683" s="10">
        <v>2</v>
      </c>
      <c r="L2683" s="11">
        <v>5</v>
      </c>
      <c r="M2683" s="11">
        <v>5</v>
      </c>
      <c r="N2683" s="12" t="s">
        <v>1033</v>
      </c>
      <c r="P2683" s="10">
        <v>180</v>
      </c>
      <c r="T2683" s="10">
        <v>90</v>
      </c>
      <c r="V2683" s="13">
        <v>1</v>
      </c>
      <c r="X2683" s="29">
        <v>7.5</v>
      </c>
      <c r="Y2683" s="7" t="s">
        <v>0</v>
      </c>
    </row>
    <row r="2684" spans="1:27" ht="23.1" customHeight="1" x14ac:dyDescent="0.25">
      <c r="A2684" t="s">
        <v>1337</v>
      </c>
      <c r="B2684" s="7" t="s">
        <v>113</v>
      </c>
      <c r="C2684" s="7">
        <v>57</v>
      </c>
      <c r="D2684" s="7" t="s">
        <v>1031</v>
      </c>
      <c r="E2684" s="8" t="s">
        <v>1032</v>
      </c>
      <c r="F2684" s="9" t="s">
        <v>1032</v>
      </c>
      <c r="G2684" s="7" t="s">
        <v>107</v>
      </c>
      <c r="H2684" s="7">
        <v>15</v>
      </c>
      <c r="I2684" s="7" t="s">
        <v>2338</v>
      </c>
      <c r="K2684" s="10">
        <v>1</v>
      </c>
      <c r="L2684" s="11">
        <v>28</v>
      </c>
      <c r="N2684" s="12" t="s">
        <v>1574</v>
      </c>
      <c r="P2684" s="10">
        <v>180</v>
      </c>
      <c r="T2684" s="10">
        <v>90</v>
      </c>
      <c r="X2684" s="29">
        <v>3</v>
      </c>
      <c r="Y2684" s="7" t="s">
        <v>0</v>
      </c>
    </row>
    <row r="2685" spans="1:27" ht="23.1" customHeight="1" x14ac:dyDescent="0.25">
      <c r="A2685" t="s">
        <v>1337</v>
      </c>
      <c r="B2685" s="7" t="s">
        <v>113</v>
      </c>
      <c r="C2685" s="7">
        <v>15</v>
      </c>
      <c r="D2685" s="7" t="s">
        <v>1255</v>
      </c>
      <c r="E2685" s="8" t="s">
        <v>117</v>
      </c>
      <c r="F2685" s="9" t="s">
        <v>117</v>
      </c>
      <c r="G2685" s="7" t="s">
        <v>118</v>
      </c>
      <c r="H2685" s="7">
        <v>25</v>
      </c>
      <c r="I2685" s="7" t="s">
        <v>2018</v>
      </c>
      <c r="J2685" s="10">
        <v>0.8</v>
      </c>
      <c r="K2685" s="10">
        <v>1.4</v>
      </c>
      <c r="L2685" s="11">
        <v>37</v>
      </c>
      <c r="M2685" s="11">
        <v>5</v>
      </c>
      <c r="N2685" s="12" t="s">
        <v>1765</v>
      </c>
      <c r="P2685" s="10">
        <v>900</v>
      </c>
      <c r="T2685" s="10">
        <v>120</v>
      </c>
      <c r="X2685" s="29">
        <v>21</v>
      </c>
      <c r="Y2685" s="7" t="s">
        <v>60</v>
      </c>
    </row>
    <row r="2686" spans="1:27" ht="23.1" customHeight="1" x14ac:dyDescent="0.25">
      <c r="A2686" t="s">
        <v>1337</v>
      </c>
      <c r="B2686" s="7" t="s">
        <v>113</v>
      </c>
      <c r="C2686" s="7">
        <v>23</v>
      </c>
      <c r="D2686" s="7" t="s">
        <v>990</v>
      </c>
      <c r="E2686" s="8" t="s">
        <v>991</v>
      </c>
      <c r="F2686" s="9" t="s">
        <v>991</v>
      </c>
      <c r="G2686" s="7" t="s">
        <v>300</v>
      </c>
      <c r="H2686" s="7">
        <v>25</v>
      </c>
      <c r="I2686" s="7" t="s">
        <v>2224</v>
      </c>
      <c r="J2686" s="10">
        <v>1</v>
      </c>
      <c r="K2686" s="10">
        <v>1.3</v>
      </c>
      <c r="L2686" s="11">
        <v>26</v>
      </c>
      <c r="M2686" s="11">
        <v>5</v>
      </c>
      <c r="N2686" s="12" t="s">
        <v>1266</v>
      </c>
      <c r="P2686" s="10">
        <v>720</v>
      </c>
      <c r="Q2686" s="10">
        <v>60</v>
      </c>
      <c r="S2686" s="11">
        <v>1</v>
      </c>
      <c r="T2686" s="10">
        <v>90</v>
      </c>
      <c r="X2686" s="29">
        <v>16.600000000000001</v>
      </c>
      <c r="Y2686" s="7" t="s">
        <v>22</v>
      </c>
    </row>
    <row r="2687" spans="1:27" ht="23.1" customHeight="1" x14ac:dyDescent="0.25">
      <c r="A2687" t="s">
        <v>1337</v>
      </c>
      <c r="B2687" s="7" t="s">
        <v>113</v>
      </c>
      <c r="C2687" s="7">
        <v>47</v>
      </c>
      <c r="D2687" s="7" t="s">
        <v>258</v>
      </c>
      <c r="E2687" s="8" t="s">
        <v>259</v>
      </c>
      <c r="F2687" s="9" t="s">
        <v>284</v>
      </c>
      <c r="G2687" s="7" t="s">
        <v>154</v>
      </c>
      <c r="H2687" s="7">
        <v>60</v>
      </c>
      <c r="I2687" s="7" t="s">
        <v>2331</v>
      </c>
      <c r="J2687" s="10">
        <v>1</v>
      </c>
      <c r="K2687" s="10">
        <v>1.5</v>
      </c>
      <c r="L2687" s="11">
        <v>26</v>
      </c>
      <c r="M2687" s="11">
        <v>5</v>
      </c>
      <c r="N2687" s="12" t="s">
        <v>1722</v>
      </c>
      <c r="P2687" s="10">
        <v>520</v>
      </c>
      <c r="Q2687" s="10">
        <v>120</v>
      </c>
      <c r="S2687" s="11">
        <v>1</v>
      </c>
      <c r="T2687" s="10">
        <v>90</v>
      </c>
      <c r="X2687" s="29">
        <v>15</v>
      </c>
      <c r="Y2687" s="7" t="s">
        <v>22</v>
      </c>
    </row>
    <row r="2688" spans="1:27" ht="23.1" customHeight="1" x14ac:dyDescent="0.25">
      <c r="A2688" t="s">
        <v>1337</v>
      </c>
      <c r="B2688" s="7" t="s">
        <v>113</v>
      </c>
      <c r="C2688" s="7">
        <v>12</v>
      </c>
      <c r="D2688" s="7" t="s">
        <v>735</v>
      </c>
      <c r="E2688" s="8" t="s">
        <v>249</v>
      </c>
      <c r="F2688" s="9" t="s">
        <v>249</v>
      </c>
      <c r="G2688" s="7" t="s">
        <v>250</v>
      </c>
      <c r="H2688" s="7">
        <v>25</v>
      </c>
      <c r="I2688" s="7" t="s">
        <v>1923</v>
      </c>
      <c r="J2688" s="10">
        <v>1</v>
      </c>
      <c r="K2688" s="10">
        <v>1</v>
      </c>
      <c r="L2688" s="11">
        <v>5</v>
      </c>
      <c r="N2688" s="12" t="s">
        <v>1766</v>
      </c>
      <c r="P2688" s="10">
        <v>1080</v>
      </c>
      <c r="T2688" s="10">
        <v>120</v>
      </c>
      <c r="X2688" s="29">
        <v>18</v>
      </c>
      <c r="Y2688" s="7" t="s">
        <v>10</v>
      </c>
    </row>
    <row r="2689" spans="1:27" ht="23.1" customHeight="1" x14ac:dyDescent="0.25">
      <c r="A2689" t="s">
        <v>1337</v>
      </c>
      <c r="B2689" s="7" t="s">
        <v>113</v>
      </c>
      <c r="C2689" s="7">
        <v>58</v>
      </c>
      <c r="D2689" s="7" t="s">
        <v>1759</v>
      </c>
      <c r="E2689" s="8" t="s">
        <v>409</v>
      </c>
      <c r="F2689" s="9" t="s">
        <v>409</v>
      </c>
      <c r="G2689" s="7" t="s">
        <v>658</v>
      </c>
      <c r="H2689" s="7">
        <v>20</v>
      </c>
      <c r="I2689" s="7" t="s">
        <v>2313</v>
      </c>
      <c r="J2689" s="10">
        <v>14</v>
      </c>
      <c r="K2689" s="10">
        <v>30</v>
      </c>
      <c r="L2689" s="11">
        <v>26</v>
      </c>
      <c r="M2689" s="11">
        <v>9</v>
      </c>
      <c r="N2689" s="12" t="s">
        <v>282</v>
      </c>
      <c r="P2689" s="10">
        <v>35</v>
      </c>
      <c r="T2689" s="10">
        <v>90</v>
      </c>
      <c r="X2689" s="29">
        <v>17.5</v>
      </c>
      <c r="Y2689" s="7" t="s">
        <v>0</v>
      </c>
    </row>
    <row r="2690" spans="1:27" ht="23.1" customHeight="1" x14ac:dyDescent="0.25">
      <c r="A2690" t="s">
        <v>1337</v>
      </c>
      <c r="B2690" s="7" t="s">
        <v>113</v>
      </c>
      <c r="C2690" s="7">
        <v>18</v>
      </c>
      <c r="D2690" s="7" t="s">
        <v>1030</v>
      </c>
      <c r="E2690" s="8" t="s">
        <v>919</v>
      </c>
      <c r="F2690" s="9" t="s">
        <v>919</v>
      </c>
      <c r="G2690" s="7" t="s">
        <v>323</v>
      </c>
      <c r="H2690" s="7">
        <v>15</v>
      </c>
      <c r="I2690" s="7" t="s">
        <v>2335</v>
      </c>
      <c r="J2690" s="10">
        <v>2</v>
      </c>
      <c r="K2690" s="10">
        <v>4</v>
      </c>
      <c r="L2690" s="11">
        <v>26</v>
      </c>
      <c r="M2690" s="11">
        <v>19</v>
      </c>
      <c r="N2690" s="12" t="s">
        <v>780</v>
      </c>
      <c r="P2690" s="10">
        <v>210</v>
      </c>
      <c r="T2690" s="10">
        <v>90</v>
      </c>
      <c r="V2690" s="13">
        <v>1</v>
      </c>
      <c r="X2690" s="29">
        <v>15.5</v>
      </c>
      <c r="Y2690" s="7" t="s">
        <v>14</v>
      </c>
    </row>
    <row r="2691" spans="1:27" ht="23.1" customHeight="1" x14ac:dyDescent="0.25">
      <c r="A2691" t="s">
        <v>1337</v>
      </c>
      <c r="B2691" s="7" t="s">
        <v>113</v>
      </c>
      <c r="C2691" s="7">
        <v>78</v>
      </c>
      <c r="D2691" s="7" t="s">
        <v>1012</v>
      </c>
      <c r="E2691" s="8" t="s">
        <v>1013</v>
      </c>
      <c r="F2691" s="9" t="s">
        <v>1013</v>
      </c>
      <c r="G2691" s="7" t="s">
        <v>250</v>
      </c>
      <c r="H2691" s="7">
        <v>40</v>
      </c>
      <c r="I2691" s="7" t="s">
        <v>1902</v>
      </c>
      <c r="J2691" s="10">
        <v>2.5</v>
      </c>
      <c r="K2691" s="10">
        <v>2.9</v>
      </c>
      <c r="L2691" s="11">
        <v>26</v>
      </c>
      <c r="M2691" s="11">
        <v>26</v>
      </c>
      <c r="N2691" s="12" t="s">
        <v>216</v>
      </c>
      <c r="P2691" s="10">
        <v>250</v>
      </c>
      <c r="Q2691" s="10">
        <v>60</v>
      </c>
      <c r="S2691" s="11">
        <v>2</v>
      </c>
      <c r="T2691" s="10">
        <v>90</v>
      </c>
      <c r="W2691" s="14">
        <v>2</v>
      </c>
      <c r="X2691" s="29">
        <v>16.100000000000001</v>
      </c>
      <c r="Y2691" s="7" t="s">
        <v>5</v>
      </c>
      <c r="Z2691" t="s">
        <v>1691</v>
      </c>
      <c r="AA2691" t="s">
        <v>238</v>
      </c>
    </row>
    <row r="2692" spans="1:27" ht="23.1" customHeight="1" x14ac:dyDescent="0.25">
      <c r="A2692" t="s">
        <v>1337</v>
      </c>
      <c r="B2692" s="7" t="s">
        <v>113</v>
      </c>
      <c r="C2692" s="7">
        <v>78</v>
      </c>
      <c r="D2692" s="7" t="s">
        <v>1271</v>
      </c>
      <c r="E2692" s="8" t="s">
        <v>1013</v>
      </c>
      <c r="F2692" s="9" t="s">
        <v>1013</v>
      </c>
      <c r="G2692" s="7" t="s">
        <v>250</v>
      </c>
      <c r="H2692" s="7">
        <v>40</v>
      </c>
      <c r="I2692" s="7" t="s">
        <v>1902</v>
      </c>
      <c r="J2692" s="10">
        <v>0.5</v>
      </c>
      <c r="K2692" s="10">
        <v>0.5</v>
      </c>
      <c r="L2692" s="11">
        <v>23</v>
      </c>
      <c r="N2692" s="12" t="s">
        <v>429</v>
      </c>
      <c r="P2692" s="10">
        <v>250</v>
      </c>
      <c r="Q2692" s="10">
        <v>60</v>
      </c>
      <c r="S2692" s="11">
        <v>1</v>
      </c>
      <c r="T2692" s="10">
        <v>90</v>
      </c>
      <c r="V2692" s="13">
        <v>1</v>
      </c>
      <c r="W2692" s="10">
        <v>2</v>
      </c>
      <c r="X2692" s="29">
        <v>6.6</v>
      </c>
      <c r="Y2692" s="7" t="s">
        <v>5</v>
      </c>
      <c r="Z2692" t="s">
        <v>1548</v>
      </c>
      <c r="AA2692" t="s">
        <v>238</v>
      </c>
    </row>
    <row r="2693" spans="1:27" ht="23.1" customHeight="1" x14ac:dyDescent="0.25">
      <c r="A2693" t="s">
        <v>1337</v>
      </c>
      <c r="B2693" s="7" t="s">
        <v>113</v>
      </c>
      <c r="C2693" s="7">
        <v>59</v>
      </c>
      <c r="D2693" s="7" t="s">
        <v>1742</v>
      </c>
      <c r="E2693" s="8" t="s">
        <v>1743</v>
      </c>
      <c r="F2693" s="9" t="e">
        <v>#N/A</v>
      </c>
      <c r="G2693" s="7" t="s">
        <v>154</v>
      </c>
      <c r="H2693" s="7">
        <v>10</v>
      </c>
      <c r="I2693" s="7" t="s">
        <v>2069</v>
      </c>
      <c r="K2693" s="10">
        <v>10</v>
      </c>
      <c r="L2693" s="11">
        <v>5</v>
      </c>
      <c r="M2693" s="11">
        <v>5</v>
      </c>
      <c r="N2693" s="12" t="s">
        <v>1127</v>
      </c>
      <c r="P2693" s="10">
        <v>30</v>
      </c>
      <c r="T2693" s="10">
        <v>60</v>
      </c>
      <c r="V2693" s="13">
        <v>1</v>
      </c>
      <c r="W2693" s="14">
        <v>2</v>
      </c>
      <c r="X2693" s="29">
        <v>8</v>
      </c>
      <c r="Y2693" s="7" t="s">
        <v>6</v>
      </c>
      <c r="Z2693" t="s">
        <v>1548</v>
      </c>
      <c r="AA2693" t="s">
        <v>238</v>
      </c>
    </row>
    <row r="2694" spans="1:27" ht="23.1" customHeight="1" x14ac:dyDescent="0.25">
      <c r="A2694" t="s">
        <v>1337</v>
      </c>
      <c r="B2694" s="7" t="s">
        <v>113</v>
      </c>
      <c r="C2694" s="7">
        <v>59</v>
      </c>
      <c r="D2694" s="7" t="s">
        <v>1742</v>
      </c>
      <c r="E2694" s="8" t="s">
        <v>1743</v>
      </c>
      <c r="F2694" s="9" t="e">
        <v>#N/A</v>
      </c>
      <c r="G2694" s="7" t="s">
        <v>154</v>
      </c>
      <c r="H2694" s="7">
        <v>20</v>
      </c>
      <c r="I2694" s="7" t="s">
        <v>2351</v>
      </c>
      <c r="J2694" s="10">
        <v>6</v>
      </c>
      <c r="K2694" s="10">
        <v>4</v>
      </c>
      <c r="L2694" s="11">
        <v>37</v>
      </c>
      <c r="M2694" s="11">
        <v>37</v>
      </c>
      <c r="N2694" s="12" t="s">
        <v>247</v>
      </c>
      <c r="P2694" s="10">
        <v>70</v>
      </c>
      <c r="T2694" s="10">
        <v>60</v>
      </c>
      <c r="X2694" s="29">
        <v>4.7</v>
      </c>
      <c r="Y2694" s="7" t="s">
        <v>6</v>
      </c>
    </row>
    <row r="2695" spans="1:27" ht="23.1" customHeight="1" x14ac:dyDescent="0.25">
      <c r="A2695" t="s">
        <v>1337</v>
      </c>
      <c r="B2695" s="7" t="s">
        <v>113</v>
      </c>
      <c r="C2695" s="7">
        <v>59</v>
      </c>
      <c r="D2695" s="7" t="s">
        <v>1742</v>
      </c>
      <c r="E2695" s="8" t="s">
        <v>1743</v>
      </c>
      <c r="F2695" s="9" t="e">
        <v>#N/A</v>
      </c>
      <c r="G2695" s="7" t="s">
        <v>154</v>
      </c>
      <c r="H2695" s="7">
        <v>5</v>
      </c>
      <c r="I2695" s="7" t="s">
        <v>1930</v>
      </c>
      <c r="K2695" s="10">
        <v>10</v>
      </c>
      <c r="L2695" s="11">
        <v>37</v>
      </c>
      <c r="M2695" s="11">
        <v>37</v>
      </c>
      <c r="N2695" s="12" t="s">
        <v>1127</v>
      </c>
      <c r="P2695" s="10">
        <v>30</v>
      </c>
      <c r="T2695" s="10">
        <v>60</v>
      </c>
      <c r="V2695" s="13">
        <v>1</v>
      </c>
      <c r="X2695" s="29">
        <v>6</v>
      </c>
      <c r="Y2695" s="7" t="s">
        <v>6</v>
      </c>
    </row>
    <row r="2696" spans="1:27" ht="23.1" customHeight="1" x14ac:dyDescent="0.25">
      <c r="A2696" t="s">
        <v>1337</v>
      </c>
      <c r="B2696" s="7" t="s">
        <v>113</v>
      </c>
      <c r="C2696" s="7">
        <v>56</v>
      </c>
      <c r="D2696" s="7" t="s">
        <v>273</v>
      </c>
      <c r="E2696" s="8" t="s">
        <v>274</v>
      </c>
      <c r="F2696" s="9" t="s">
        <v>274</v>
      </c>
      <c r="G2696" s="7" t="s">
        <v>123</v>
      </c>
      <c r="H2696" s="7">
        <v>40</v>
      </c>
      <c r="I2696" s="7" t="s">
        <v>2326</v>
      </c>
      <c r="J2696" s="10">
        <v>4</v>
      </c>
      <c r="K2696" s="10">
        <v>4</v>
      </c>
      <c r="L2696" s="11">
        <v>19</v>
      </c>
      <c r="M2696" s="11">
        <v>19</v>
      </c>
      <c r="N2696" s="12" t="s">
        <v>275</v>
      </c>
      <c r="P2696" s="10">
        <v>240</v>
      </c>
      <c r="T2696" s="10">
        <v>120</v>
      </c>
      <c r="X2696" s="29">
        <v>16</v>
      </c>
      <c r="Y2696" s="7" t="s">
        <v>18</v>
      </c>
    </row>
    <row r="2697" spans="1:27" ht="23.1" customHeight="1" x14ac:dyDescent="0.25">
      <c r="A2697" t="s">
        <v>1337</v>
      </c>
      <c r="B2697" s="7" t="s">
        <v>113</v>
      </c>
      <c r="C2697" s="7">
        <v>13</v>
      </c>
      <c r="D2697" s="7" t="s">
        <v>1277</v>
      </c>
      <c r="E2697" s="8" t="s">
        <v>1278</v>
      </c>
      <c r="F2697" s="9" t="s">
        <v>1278</v>
      </c>
      <c r="G2697" s="7" t="s">
        <v>154</v>
      </c>
      <c r="H2697" s="7">
        <v>20</v>
      </c>
      <c r="I2697" s="7" t="s">
        <v>2354</v>
      </c>
      <c r="J2697" s="10">
        <v>20</v>
      </c>
      <c r="K2697" s="10">
        <v>34</v>
      </c>
      <c r="L2697" s="11">
        <v>28</v>
      </c>
      <c r="M2697" s="11">
        <v>26</v>
      </c>
      <c r="N2697" s="12" t="s">
        <v>1279</v>
      </c>
      <c r="P2697" s="10">
        <v>40</v>
      </c>
      <c r="T2697" s="10">
        <v>120</v>
      </c>
      <c r="V2697" s="13">
        <v>1</v>
      </c>
      <c r="W2697" s="14">
        <v>2</v>
      </c>
      <c r="X2697" s="29">
        <v>26.7</v>
      </c>
      <c r="Y2697" s="7" t="s">
        <v>10</v>
      </c>
      <c r="Z2697" t="s">
        <v>1767</v>
      </c>
      <c r="AA2697" t="s">
        <v>238</v>
      </c>
    </row>
    <row r="2698" spans="1:27" ht="23.1" customHeight="1" x14ac:dyDescent="0.25">
      <c r="A2698" t="s">
        <v>1337</v>
      </c>
      <c r="B2698" s="7" t="s">
        <v>113</v>
      </c>
      <c r="C2698" s="7">
        <v>55</v>
      </c>
      <c r="D2698" s="7" t="s">
        <v>273</v>
      </c>
      <c r="E2698" s="8" t="s">
        <v>274</v>
      </c>
      <c r="F2698" s="9" t="s">
        <v>274</v>
      </c>
      <c r="G2698" s="7" t="s">
        <v>123</v>
      </c>
      <c r="H2698" s="7">
        <v>45</v>
      </c>
      <c r="I2698" s="7" t="s">
        <v>1954</v>
      </c>
      <c r="J2698" s="10">
        <v>3</v>
      </c>
      <c r="K2698" s="10">
        <v>4</v>
      </c>
      <c r="L2698" s="11">
        <v>28</v>
      </c>
      <c r="M2698" s="11">
        <v>19</v>
      </c>
      <c r="N2698" s="12" t="s">
        <v>275</v>
      </c>
      <c r="P2698" s="10">
        <v>240</v>
      </c>
      <c r="T2698" s="10">
        <v>90</v>
      </c>
      <c r="X2698" s="29">
        <v>16</v>
      </c>
      <c r="Y2698" s="7" t="s">
        <v>18</v>
      </c>
    </row>
    <row r="2699" spans="1:27" ht="23.1" customHeight="1" x14ac:dyDescent="0.25">
      <c r="A2699" t="s">
        <v>1337</v>
      </c>
      <c r="B2699" s="7" t="s">
        <v>113</v>
      </c>
      <c r="C2699" s="7">
        <v>17</v>
      </c>
      <c r="D2699" s="7" t="s">
        <v>1702</v>
      </c>
      <c r="E2699" s="8" t="s">
        <v>625</v>
      </c>
      <c r="F2699" s="9" t="s">
        <v>625</v>
      </c>
      <c r="G2699" s="7" t="s">
        <v>250</v>
      </c>
      <c r="H2699" s="7">
        <v>30</v>
      </c>
      <c r="I2699" s="7" t="s">
        <v>2116</v>
      </c>
      <c r="J2699" s="10">
        <v>2</v>
      </c>
      <c r="K2699" s="10">
        <v>15</v>
      </c>
      <c r="L2699" s="11">
        <v>37</v>
      </c>
      <c r="M2699" s="11">
        <v>37</v>
      </c>
      <c r="N2699" s="12" t="s">
        <v>247</v>
      </c>
      <c r="P2699" s="10">
        <v>45</v>
      </c>
      <c r="T2699" s="10">
        <v>90</v>
      </c>
      <c r="X2699" s="29">
        <v>11.3</v>
      </c>
      <c r="Y2699" s="7" t="s">
        <v>14</v>
      </c>
    </row>
    <row r="2700" spans="1:27" ht="23.1" customHeight="1" x14ac:dyDescent="0.25">
      <c r="A2700" t="s">
        <v>1337</v>
      </c>
      <c r="B2700" s="7" t="s">
        <v>113</v>
      </c>
      <c r="C2700" s="7">
        <v>21</v>
      </c>
      <c r="D2700" s="7" t="s">
        <v>321</v>
      </c>
      <c r="E2700" s="8" t="s">
        <v>322</v>
      </c>
      <c r="F2700" s="9" t="s">
        <v>322</v>
      </c>
      <c r="G2700" s="7" t="s">
        <v>323</v>
      </c>
      <c r="H2700" s="7">
        <v>40</v>
      </c>
      <c r="I2700" s="7" t="s">
        <v>1969</v>
      </c>
      <c r="J2700" s="10">
        <v>1</v>
      </c>
      <c r="K2700" s="10">
        <v>1</v>
      </c>
      <c r="L2700" s="11">
        <v>28</v>
      </c>
      <c r="N2700" s="12" t="s">
        <v>1768</v>
      </c>
      <c r="P2700" s="10">
        <v>390</v>
      </c>
      <c r="Q2700" s="10">
        <v>120</v>
      </c>
      <c r="S2700" s="11">
        <v>1</v>
      </c>
      <c r="T2700" s="10">
        <v>180</v>
      </c>
      <c r="X2700" s="29">
        <v>8.5</v>
      </c>
      <c r="Y2700" s="7" t="s">
        <v>49</v>
      </c>
    </row>
    <row r="2701" spans="1:27" ht="23.1" customHeight="1" x14ac:dyDescent="0.25">
      <c r="A2701" t="s">
        <v>1337</v>
      </c>
      <c r="B2701" s="7" t="s">
        <v>113</v>
      </c>
      <c r="C2701" s="7">
        <v>21</v>
      </c>
      <c r="D2701" s="7" t="s">
        <v>321</v>
      </c>
      <c r="E2701" s="8" t="s">
        <v>322</v>
      </c>
      <c r="F2701" s="9" t="s">
        <v>322</v>
      </c>
      <c r="G2701" s="7" t="s">
        <v>323</v>
      </c>
      <c r="H2701" s="7">
        <v>10</v>
      </c>
      <c r="I2701" s="7" t="s">
        <v>2046</v>
      </c>
      <c r="J2701" s="10">
        <v>1</v>
      </c>
      <c r="K2701" s="10">
        <v>1</v>
      </c>
      <c r="L2701" s="11">
        <v>37</v>
      </c>
      <c r="M2701" s="11">
        <v>37</v>
      </c>
      <c r="N2701" s="12" t="s">
        <v>607</v>
      </c>
      <c r="P2701" s="10">
        <v>420</v>
      </c>
      <c r="Q2701" s="10">
        <v>120</v>
      </c>
      <c r="S2701" s="11">
        <v>1</v>
      </c>
      <c r="T2701" s="10">
        <v>180</v>
      </c>
      <c r="V2701" s="13">
        <v>1</v>
      </c>
      <c r="X2701" s="29">
        <v>12</v>
      </c>
      <c r="Y2701" s="7" t="s">
        <v>49</v>
      </c>
    </row>
    <row r="2702" spans="1:27" ht="23.1" customHeight="1" x14ac:dyDescent="0.25">
      <c r="A2702" t="s">
        <v>1337</v>
      </c>
      <c r="B2702" s="7" t="s">
        <v>113</v>
      </c>
      <c r="C2702" s="7">
        <v>14</v>
      </c>
      <c r="D2702" s="7" t="s">
        <v>1295</v>
      </c>
      <c r="E2702" s="8" t="s">
        <v>409</v>
      </c>
      <c r="F2702" s="9" t="s">
        <v>409</v>
      </c>
      <c r="G2702" s="7" t="s">
        <v>102</v>
      </c>
      <c r="H2702" s="7">
        <v>10</v>
      </c>
      <c r="I2702" s="7" t="s">
        <v>2350</v>
      </c>
      <c r="K2702" s="10">
        <v>4</v>
      </c>
      <c r="L2702" s="11">
        <v>37</v>
      </c>
      <c r="M2702" s="11">
        <v>37</v>
      </c>
      <c r="N2702" s="12" t="s">
        <v>596</v>
      </c>
      <c r="P2702" s="10">
        <v>35</v>
      </c>
      <c r="T2702" s="10">
        <v>60</v>
      </c>
      <c r="V2702" s="13">
        <v>1</v>
      </c>
      <c r="W2702" s="14">
        <v>2</v>
      </c>
      <c r="X2702" s="29">
        <v>5.3</v>
      </c>
      <c r="Y2702" s="7" t="s">
        <v>60</v>
      </c>
      <c r="Z2702" t="s">
        <v>1769</v>
      </c>
      <c r="AA2702" t="s">
        <v>238</v>
      </c>
    </row>
    <row r="2703" spans="1:27" ht="23.1" customHeight="1" x14ac:dyDescent="0.25">
      <c r="A2703" t="s">
        <v>1337</v>
      </c>
      <c r="B2703" s="7" t="s">
        <v>113</v>
      </c>
      <c r="C2703" s="7">
        <v>14</v>
      </c>
      <c r="D2703" s="7" t="s">
        <v>1292</v>
      </c>
      <c r="E2703" s="8" t="s">
        <v>409</v>
      </c>
      <c r="F2703" s="9" t="s">
        <v>409</v>
      </c>
      <c r="G2703" s="7" t="s">
        <v>102</v>
      </c>
      <c r="H2703" s="7">
        <v>10</v>
      </c>
      <c r="I2703" s="7" t="s">
        <v>1952</v>
      </c>
      <c r="K2703" s="10">
        <v>4</v>
      </c>
      <c r="L2703" s="11">
        <v>37</v>
      </c>
      <c r="M2703" s="11">
        <v>37</v>
      </c>
      <c r="N2703" s="12" t="s">
        <v>596</v>
      </c>
      <c r="P2703" s="10">
        <v>35</v>
      </c>
      <c r="T2703" s="10">
        <v>60</v>
      </c>
      <c r="V2703" s="13">
        <v>1</v>
      </c>
      <c r="X2703" s="29">
        <v>3.3</v>
      </c>
      <c r="Y2703" s="7" t="s">
        <v>60</v>
      </c>
    </row>
    <row r="2704" spans="1:27" ht="23.1" customHeight="1" x14ac:dyDescent="0.25">
      <c r="A2704" t="s">
        <v>1337</v>
      </c>
      <c r="B2704" s="7" t="s">
        <v>113</v>
      </c>
      <c r="C2704" s="7">
        <v>14</v>
      </c>
      <c r="D2704" s="7" t="s">
        <v>1331</v>
      </c>
      <c r="E2704" s="8" t="s">
        <v>1332</v>
      </c>
      <c r="F2704" s="9" t="s">
        <v>1332</v>
      </c>
      <c r="G2704" s="7" t="s">
        <v>300</v>
      </c>
      <c r="H2704" s="7">
        <v>20</v>
      </c>
      <c r="I2704" s="7" t="s">
        <v>1978</v>
      </c>
      <c r="J2704" s="10">
        <v>16</v>
      </c>
      <c r="K2704" s="10">
        <v>28</v>
      </c>
      <c r="L2704" s="11">
        <v>28</v>
      </c>
      <c r="M2704" s="11">
        <v>28</v>
      </c>
      <c r="N2704" s="12" t="s">
        <v>697</v>
      </c>
      <c r="P2704" s="10">
        <v>30</v>
      </c>
      <c r="T2704" s="10">
        <v>90</v>
      </c>
      <c r="X2704" s="29">
        <v>14</v>
      </c>
      <c r="Y2704" s="7" t="s">
        <v>60</v>
      </c>
    </row>
    <row r="2705" spans="1:27" ht="23.1" customHeight="1" x14ac:dyDescent="0.25">
      <c r="A2705" t="s">
        <v>1337</v>
      </c>
      <c r="B2705" s="7" t="s">
        <v>137</v>
      </c>
      <c r="C2705" s="7">
        <v>16</v>
      </c>
      <c r="D2705" s="7" t="s">
        <v>1301</v>
      </c>
      <c r="E2705" s="8" t="s">
        <v>1302</v>
      </c>
      <c r="F2705" s="9" t="s">
        <v>1302</v>
      </c>
      <c r="G2705" s="7" t="s">
        <v>154</v>
      </c>
      <c r="H2705" s="7">
        <v>30</v>
      </c>
      <c r="I2705" s="7" t="s">
        <v>2348</v>
      </c>
      <c r="J2705" s="10">
        <v>1</v>
      </c>
      <c r="K2705" s="10">
        <v>1</v>
      </c>
      <c r="L2705" s="11">
        <v>31</v>
      </c>
      <c r="N2705" s="12" t="s">
        <v>159</v>
      </c>
      <c r="P2705" s="10">
        <v>130</v>
      </c>
      <c r="T2705" s="10">
        <v>60</v>
      </c>
      <c r="X2705" s="29">
        <v>2.2000000000000002</v>
      </c>
      <c r="Y2705" s="7" t="s">
        <v>38</v>
      </c>
    </row>
    <row r="2706" spans="1:27" ht="23.1" customHeight="1" x14ac:dyDescent="0.25">
      <c r="A2706" t="s">
        <v>1337</v>
      </c>
      <c r="B2706" s="7" t="s">
        <v>113</v>
      </c>
      <c r="C2706" s="7">
        <v>77</v>
      </c>
      <c r="D2706" s="7" t="s">
        <v>1698</v>
      </c>
      <c r="E2706" s="8" t="s">
        <v>1699</v>
      </c>
      <c r="F2706" s="9" t="s">
        <v>1699</v>
      </c>
      <c r="G2706" s="7" t="s">
        <v>118</v>
      </c>
      <c r="H2706" s="7">
        <v>20</v>
      </c>
      <c r="I2706" s="7" t="s">
        <v>2353</v>
      </c>
      <c r="J2706" s="10">
        <v>40</v>
      </c>
      <c r="K2706" s="10">
        <v>51</v>
      </c>
      <c r="L2706" s="11">
        <v>31</v>
      </c>
      <c r="M2706" s="11">
        <v>31</v>
      </c>
      <c r="N2706" s="12" t="s">
        <v>1770</v>
      </c>
      <c r="P2706" s="10">
        <v>20</v>
      </c>
      <c r="T2706" s="10">
        <v>90</v>
      </c>
      <c r="X2706" s="29">
        <v>17</v>
      </c>
      <c r="Y2706" s="7" t="s">
        <v>24</v>
      </c>
    </row>
    <row r="2707" spans="1:27" ht="23.1" customHeight="1" x14ac:dyDescent="0.25">
      <c r="A2707" t="s">
        <v>1337</v>
      </c>
      <c r="B2707" s="7" t="s">
        <v>113</v>
      </c>
      <c r="C2707" s="7">
        <v>14</v>
      </c>
      <c r="D2707" s="7" t="s">
        <v>1294</v>
      </c>
      <c r="E2707" s="8" t="s">
        <v>409</v>
      </c>
      <c r="F2707" s="9" t="s">
        <v>409</v>
      </c>
      <c r="G2707" s="7" t="s">
        <v>102</v>
      </c>
      <c r="H2707" s="7">
        <v>10</v>
      </c>
      <c r="I2707" s="7" t="s">
        <v>1952</v>
      </c>
      <c r="K2707" s="10">
        <v>4</v>
      </c>
      <c r="L2707" s="11">
        <v>37</v>
      </c>
      <c r="M2707" s="11">
        <v>37</v>
      </c>
      <c r="N2707" s="12" t="s">
        <v>596</v>
      </c>
      <c r="P2707" s="10">
        <v>30</v>
      </c>
      <c r="T2707" s="10">
        <v>60</v>
      </c>
      <c r="V2707" s="13">
        <v>1</v>
      </c>
      <c r="W2707" s="14">
        <v>2</v>
      </c>
      <c r="X2707" s="29">
        <v>5</v>
      </c>
      <c r="Y2707" s="7" t="s">
        <v>60</v>
      </c>
      <c r="Z2707" t="s">
        <v>1769</v>
      </c>
      <c r="AA2707" t="s">
        <v>238</v>
      </c>
    </row>
    <row r="2708" spans="1:27" ht="23.1" customHeight="1" x14ac:dyDescent="0.25">
      <c r="A2708" t="s">
        <v>1337</v>
      </c>
      <c r="B2708" s="7" t="s">
        <v>113</v>
      </c>
      <c r="C2708" s="7">
        <v>14</v>
      </c>
      <c r="D2708" s="7" t="s">
        <v>1293</v>
      </c>
      <c r="E2708" s="8" t="s">
        <v>409</v>
      </c>
      <c r="F2708" s="9" t="s">
        <v>409</v>
      </c>
      <c r="G2708" s="7" t="s">
        <v>102</v>
      </c>
      <c r="H2708" s="7">
        <v>10</v>
      </c>
      <c r="I2708" s="7" t="s">
        <v>1952</v>
      </c>
      <c r="K2708" s="10">
        <v>4</v>
      </c>
      <c r="L2708" s="11">
        <v>37</v>
      </c>
      <c r="M2708" s="11">
        <v>37</v>
      </c>
      <c r="N2708" s="12" t="s">
        <v>596</v>
      </c>
      <c r="P2708" s="10">
        <v>35</v>
      </c>
      <c r="T2708" s="10">
        <v>60</v>
      </c>
      <c r="V2708" s="13">
        <v>1</v>
      </c>
      <c r="X2708" s="29">
        <v>3.3</v>
      </c>
      <c r="Y2708" s="7" t="s">
        <v>60</v>
      </c>
    </row>
    <row r="2709" spans="1:27" ht="23.1" customHeight="1" x14ac:dyDescent="0.25">
      <c r="A2709" t="s">
        <v>1337</v>
      </c>
      <c r="B2709" s="7" t="s">
        <v>113</v>
      </c>
      <c r="C2709" s="7">
        <v>79</v>
      </c>
      <c r="D2709" s="7" t="s">
        <v>420</v>
      </c>
      <c r="E2709" s="8" t="s">
        <v>153</v>
      </c>
      <c r="F2709" s="9" t="s">
        <v>1247</v>
      </c>
      <c r="G2709" s="7" t="s">
        <v>154</v>
      </c>
      <c r="H2709" s="7">
        <v>50</v>
      </c>
      <c r="I2709" s="7" t="s">
        <v>2204</v>
      </c>
      <c r="J2709" s="10">
        <v>0.3</v>
      </c>
      <c r="K2709" s="10">
        <v>0.3</v>
      </c>
      <c r="L2709" s="11">
        <v>23</v>
      </c>
      <c r="N2709" s="12" t="s">
        <v>784</v>
      </c>
      <c r="P2709" s="10">
        <v>3700</v>
      </c>
      <c r="Q2709" s="10">
        <v>90</v>
      </c>
      <c r="S2709" s="11">
        <v>1</v>
      </c>
      <c r="T2709" s="10">
        <v>180</v>
      </c>
      <c r="V2709" s="13">
        <v>1</v>
      </c>
      <c r="W2709" s="10">
        <v>2</v>
      </c>
      <c r="X2709" s="29">
        <v>25</v>
      </c>
      <c r="Y2709" s="7" t="s">
        <v>5</v>
      </c>
      <c r="Z2709" t="s">
        <v>1548</v>
      </c>
      <c r="AA2709" t="s">
        <v>238</v>
      </c>
    </row>
    <row r="2710" spans="1:27" ht="23.1" customHeight="1" x14ac:dyDescent="0.25">
      <c r="A2710" t="s">
        <v>1337</v>
      </c>
      <c r="B2710" s="7" t="s">
        <v>113</v>
      </c>
      <c r="C2710" s="7">
        <v>24</v>
      </c>
      <c r="D2710" s="7" t="s">
        <v>776</v>
      </c>
      <c r="E2710" s="8" t="s">
        <v>777</v>
      </c>
      <c r="F2710" s="9" t="s">
        <v>777</v>
      </c>
      <c r="G2710" s="7" t="s">
        <v>107</v>
      </c>
      <c r="H2710" s="7">
        <v>30</v>
      </c>
      <c r="I2710" s="7" t="s">
        <v>2061</v>
      </c>
      <c r="J2710" s="10">
        <v>0.4</v>
      </c>
      <c r="K2710" s="10">
        <v>0.4</v>
      </c>
      <c r="L2710" s="11">
        <v>26</v>
      </c>
      <c r="N2710" s="12" t="s">
        <v>609</v>
      </c>
      <c r="P2710" s="10">
        <v>1700</v>
      </c>
      <c r="Q2710" s="10">
        <v>120</v>
      </c>
      <c r="T2710" s="10">
        <v>210</v>
      </c>
      <c r="X2710" s="29">
        <v>11.3</v>
      </c>
      <c r="Y2710" s="7" t="s">
        <v>26</v>
      </c>
    </row>
    <row r="2711" spans="1:27" ht="23.1" customHeight="1" x14ac:dyDescent="0.25">
      <c r="A2711" t="s">
        <v>1337</v>
      </c>
      <c r="B2711" s="7" t="s">
        <v>113</v>
      </c>
      <c r="C2711" s="7">
        <v>24</v>
      </c>
      <c r="D2711" s="7" t="s">
        <v>738</v>
      </c>
      <c r="E2711" s="8" t="s">
        <v>739</v>
      </c>
      <c r="F2711" s="9" t="s">
        <v>739</v>
      </c>
      <c r="G2711" s="7" t="s">
        <v>107</v>
      </c>
      <c r="H2711" s="7">
        <v>30</v>
      </c>
      <c r="I2711" s="7" t="s">
        <v>2061</v>
      </c>
      <c r="K2711" s="10">
        <v>0.3</v>
      </c>
      <c r="L2711" s="11">
        <v>28</v>
      </c>
      <c r="M2711" s="11">
        <v>26</v>
      </c>
      <c r="N2711" s="12" t="s">
        <v>295</v>
      </c>
      <c r="P2711" s="10">
        <v>1700</v>
      </c>
      <c r="Q2711" s="10">
        <v>120</v>
      </c>
      <c r="S2711" s="11">
        <v>1</v>
      </c>
      <c r="T2711" s="10">
        <v>210</v>
      </c>
      <c r="V2711" s="13">
        <v>1</v>
      </c>
      <c r="X2711" s="29">
        <v>14</v>
      </c>
      <c r="Y2711" s="7" t="s">
        <v>26</v>
      </c>
    </row>
    <row r="2712" spans="1:27" ht="23.1" customHeight="1" x14ac:dyDescent="0.25">
      <c r="A2712" t="s">
        <v>1337</v>
      </c>
      <c r="B2712" s="7" t="s">
        <v>113</v>
      </c>
      <c r="C2712" s="7">
        <v>69</v>
      </c>
      <c r="D2712" s="7" t="s">
        <v>1197</v>
      </c>
      <c r="E2712" s="8" t="s">
        <v>1198</v>
      </c>
      <c r="F2712" s="9" t="s">
        <v>1198</v>
      </c>
      <c r="G2712" s="7" t="s">
        <v>658</v>
      </c>
      <c r="H2712" s="7">
        <v>64</v>
      </c>
      <c r="J2712" s="10">
        <v>5</v>
      </c>
      <c r="K2712" s="10">
        <v>5</v>
      </c>
      <c r="L2712" s="11">
        <v>28</v>
      </c>
      <c r="M2712" s="11">
        <v>28</v>
      </c>
      <c r="N2712" s="12" t="s">
        <v>282</v>
      </c>
      <c r="O2712" s="10">
        <v>360</v>
      </c>
      <c r="R2712" s="10">
        <v>60</v>
      </c>
      <c r="S2712" s="11">
        <v>5</v>
      </c>
      <c r="X2712" s="32">
        <v>35</v>
      </c>
      <c r="Y2712" s="7" t="s">
        <v>26</v>
      </c>
    </row>
    <row r="2713" spans="1:27" ht="23.1" customHeight="1" x14ac:dyDescent="0.25">
      <c r="A2713" t="s">
        <v>1337</v>
      </c>
      <c r="B2713" s="7" t="s">
        <v>113</v>
      </c>
      <c r="C2713" s="7">
        <v>91</v>
      </c>
      <c r="D2713" s="7" t="s">
        <v>254</v>
      </c>
      <c r="E2713" s="8" t="s">
        <v>255</v>
      </c>
      <c r="F2713" s="9" t="s">
        <v>1016</v>
      </c>
      <c r="G2713" s="7" t="s">
        <v>375</v>
      </c>
      <c r="H2713" s="7">
        <v>40</v>
      </c>
      <c r="I2713" s="7" t="s">
        <v>2110</v>
      </c>
      <c r="J2713" s="10">
        <v>0.3</v>
      </c>
      <c r="K2713" s="10">
        <v>0.3</v>
      </c>
      <c r="L2713" s="11">
        <v>37</v>
      </c>
      <c r="M2713" s="11">
        <v>37</v>
      </c>
      <c r="N2713" s="12" t="s">
        <v>301</v>
      </c>
      <c r="P2713" s="10">
        <v>3000</v>
      </c>
      <c r="Q2713" s="10">
        <v>90</v>
      </c>
      <c r="S2713" s="11">
        <v>1</v>
      </c>
      <c r="T2713" s="10">
        <v>120</v>
      </c>
      <c r="X2713" s="29">
        <v>16.5</v>
      </c>
      <c r="Y2713" s="7" t="s">
        <v>26</v>
      </c>
      <c r="Z2713" t="s">
        <v>1474</v>
      </c>
    </row>
    <row r="2714" spans="1:27" ht="23.1" customHeight="1" x14ac:dyDescent="0.25">
      <c r="A2714" t="s">
        <v>1337</v>
      </c>
      <c r="B2714" s="7" t="s">
        <v>113</v>
      </c>
      <c r="C2714" s="7">
        <v>84</v>
      </c>
      <c r="D2714" s="7" t="s">
        <v>924</v>
      </c>
      <c r="E2714" s="8" t="s">
        <v>409</v>
      </c>
      <c r="F2714" s="9" t="s">
        <v>409</v>
      </c>
      <c r="G2714" s="7" t="s">
        <v>102</v>
      </c>
      <c r="H2714" s="7">
        <v>25</v>
      </c>
      <c r="I2714" s="7" t="s">
        <v>2113</v>
      </c>
      <c r="J2714" s="10">
        <v>4</v>
      </c>
      <c r="K2714" s="10">
        <v>4</v>
      </c>
      <c r="L2714" s="11">
        <v>26</v>
      </c>
      <c r="M2714" s="11">
        <v>26</v>
      </c>
      <c r="N2714" s="12" t="s">
        <v>596</v>
      </c>
      <c r="P2714" s="10">
        <v>120</v>
      </c>
      <c r="Q2714" s="10">
        <v>60</v>
      </c>
      <c r="S2714" s="11">
        <v>4</v>
      </c>
      <c r="T2714" s="10">
        <v>120</v>
      </c>
      <c r="X2714" s="29">
        <v>12</v>
      </c>
      <c r="Y2714" s="7" t="s">
        <v>26</v>
      </c>
      <c r="Z2714" t="s">
        <v>1771</v>
      </c>
    </row>
    <row r="2715" spans="1:27" ht="23.1" customHeight="1" x14ac:dyDescent="0.25">
      <c r="A2715" t="s">
        <v>1337</v>
      </c>
      <c r="B2715" s="7" t="s">
        <v>113</v>
      </c>
      <c r="C2715" s="7">
        <v>121</v>
      </c>
      <c r="D2715" s="7" t="s">
        <v>1755</v>
      </c>
      <c r="E2715" s="8" t="s">
        <v>1756</v>
      </c>
      <c r="F2715" s="9" t="e">
        <v>#N/A</v>
      </c>
      <c r="G2715" s="7" t="s">
        <v>250</v>
      </c>
      <c r="H2715" s="7">
        <v>35</v>
      </c>
      <c r="I2715" s="7" t="s">
        <v>2356</v>
      </c>
      <c r="J2715" s="10">
        <v>1.5</v>
      </c>
      <c r="K2715" s="10">
        <v>2.2000000000000002</v>
      </c>
      <c r="L2715" s="11">
        <v>28</v>
      </c>
      <c r="M2715" s="11">
        <v>19</v>
      </c>
      <c r="N2715" s="12" t="s">
        <v>1772</v>
      </c>
      <c r="P2715" s="10">
        <v>330</v>
      </c>
      <c r="Q2715" s="10">
        <v>90</v>
      </c>
      <c r="T2715" s="10">
        <v>180</v>
      </c>
      <c r="X2715" s="29">
        <v>12.1</v>
      </c>
      <c r="Y2715" s="7" t="s">
        <v>26</v>
      </c>
    </row>
    <row r="2716" spans="1:27" ht="23.1" customHeight="1" x14ac:dyDescent="0.25">
      <c r="A2716" t="s">
        <v>1337</v>
      </c>
      <c r="B2716" s="7" t="s">
        <v>113</v>
      </c>
      <c r="C2716" s="7">
        <v>9</v>
      </c>
      <c r="D2716" s="7" t="s">
        <v>1287</v>
      </c>
      <c r="E2716" s="8" t="s">
        <v>1367</v>
      </c>
      <c r="F2716" s="9" t="s">
        <v>1367</v>
      </c>
      <c r="G2716" s="7" t="s">
        <v>123</v>
      </c>
      <c r="H2716" s="7">
        <v>5</v>
      </c>
      <c r="I2716" s="7" t="s">
        <v>2060</v>
      </c>
      <c r="J2716" s="10">
        <v>6</v>
      </c>
      <c r="K2716" s="10">
        <v>8</v>
      </c>
      <c r="L2716" s="11">
        <v>37</v>
      </c>
      <c r="M2716" s="11">
        <v>9</v>
      </c>
      <c r="N2716" s="12" t="s">
        <v>1773</v>
      </c>
      <c r="P2716" s="10">
        <v>150</v>
      </c>
      <c r="T2716" s="10">
        <v>60</v>
      </c>
      <c r="V2716" s="13">
        <v>1</v>
      </c>
      <c r="W2716" s="14">
        <v>1</v>
      </c>
      <c r="X2716" s="29">
        <v>22</v>
      </c>
      <c r="Y2716" s="7" t="s">
        <v>23</v>
      </c>
      <c r="Z2716" t="s">
        <v>1774</v>
      </c>
    </row>
    <row r="2717" spans="1:27" ht="23.1" customHeight="1" x14ac:dyDescent="0.25">
      <c r="A2717" t="s">
        <v>1337</v>
      </c>
      <c r="B2717" s="7" t="s">
        <v>113</v>
      </c>
      <c r="C2717" s="7">
        <v>10</v>
      </c>
      <c r="D2717" s="7" t="s">
        <v>946</v>
      </c>
      <c r="E2717" s="8" t="s">
        <v>947</v>
      </c>
      <c r="F2717" s="9" t="s">
        <v>947</v>
      </c>
      <c r="G2717" s="7" t="s">
        <v>300</v>
      </c>
      <c r="H2717" s="7">
        <v>27</v>
      </c>
      <c r="J2717" s="10">
        <v>10</v>
      </c>
      <c r="K2717" s="10">
        <v>10</v>
      </c>
      <c r="L2717" s="11">
        <v>26</v>
      </c>
      <c r="M2717" s="11">
        <v>23</v>
      </c>
      <c r="N2717" s="12" t="s">
        <v>948</v>
      </c>
      <c r="O2717" s="10">
        <v>60</v>
      </c>
      <c r="U2717" s="10">
        <v>120</v>
      </c>
      <c r="V2717" s="13">
        <v>1</v>
      </c>
      <c r="W2717" s="14">
        <v>3</v>
      </c>
      <c r="X2717" s="32">
        <v>15</v>
      </c>
      <c r="Y2717" s="7" t="s">
        <v>23</v>
      </c>
      <c r="Z2717" t="s">
        <v>1775</v>
      </c>
      <c r="AA2717" t="s">
        <v>238</v>
      </c>
    </row>
    <row r="2718" spans="1:27" ht="23.1" customHeight="1" x14ac:dyDescent="0.25">
      <c r="A2718" t="s">
        <v>1333</v>
      </c>
      <c r="B2718" s="7" t="s">
        <v>110</v>
      </c>
      <c r="C2718" s="7">
        <v>107</v>
      </c>
      <c r="D2718" s="7" t="s">
        <v>173</v>
      </c>
      <c r="E2718" s="8" t="s">
        <v>174</v>
      </c>
      <c r="F2718" s="9" t="s">
        <v>1246</v>
      </c>
      <c r="G2718" s="7" t="s">
        <v>154</v>
      </c>
      <c r="H2718" s="7">
        <v>50</v>
      </c>
      <c r="I2718" s="7" t="s">
        <v>2210</v>
      </c>
      <c r="J2718" s="10">
        <v>0.4</v>
      </c>
      <c r="K2718" s="10">
        <v>0.4</v>
      </c>
      <c r="L2718" s="11">
        <v>5</v>
      </c>
      <c r="M2718" s="11">
        <v>9</v>
      </c>
      <c r="N2718" s="12" t="s">
        <v>1776</v>
      </c>
      <c r="P2718" s="10">
        <v>2100</v>
      </c>
      <c r="Q2718" s="10">
        <v>90</v>
      </c>
      <c r="S2718" s="11">
        <v>1</v>
      </c>
      <c r="T2718" s="10">
        <v>150</v>
      </c>
      <c r="X2718" s="29">
        <v>15.5</v>
      </c>
      <c r="Y2718" s="7" t="s">
        <v>45</v>
      </c>
    </row>
    <row r="2719" spans="1:27" ht="23.1" customHeight="1" x14ac:dyDescent="0.25">
      <c r="A2719" t="s">
        <v>1333</v>
      </c>
      <c r="B2719" s="7" t="s">
        <v>110</v>
      </c>
      <c r="C2719" s="7">
        <v>79</v>
      </c>
      <c r="D2719" s="7" t="s">
        <v>420</v>
      </c>
      <c r="E2719" s="8" t="s">
        <v>153</v>
      </c>
      <c r="F2719" s="9" t="s">
        <v>1247</v>
      </c>
      <c r="G2719" s="7" t="s">
        <v>154</v>
      </c>
      <c r="H2719" s="7">
        <v>50</v>
      </c>
      <c r="I2719" s="7" t="s">
        <v>2204</v>
      </c>
      <c r="J2719" s="10">
        <v>0.3</v>
      </c>
      <c r="K2719" s="10">
        <v>0.3</v>
      </c>
      <c r="L2719" s="11">
        <v>23</v>
      </c>
      <c r="N2719" s="12" t="s">
        <v>784</v>
      </c>
      <c r="P2719" s="10">
        <v>3700</v>
      </c>
      <c r="Q2719" s="10">
        <v>90</v>
      </c>
      <c r="T2719" s="10">
        <v>180</v>
      </c>
      <c r="X2719" s="29">
        <v>18.5</v>
      </c>
      <c r="Y2719" s="7" t="s">
        <v>19</v>
      </c>
    </row>
    <row r="2720" spans="1:27" ht="23.1" customHeight="1" x14ac:dyDescent="0.25">
      <c r="A2720" t="s">
        <v>1333</v>
      </c>
      <c r="B2720" s="7" t="s">
        <v>110</v>
      </c>
      <c r="C2720" s="7">
        <v>23</v>
      </c>
      <c r="D2720" s="7" t="s">
        <v>990</v>
      </c>
      <c r="E2720" s="8" t="s">
        <v>991</v>
      </c>
      <c r="F2720" s="9" t="s">
        <v>991</v>
      </c>
      <c r="G2720" s="7" t="s">
        <v>300</v>
      </c>
      <c r="H2720" s="7">
        <v>25</v>
      </c>
      <c r="I2720" s="7" t="s">
        <v>2224</v>
      </c>
      <c r="J2720" s="10">
        <v>0.7</v>
      </c>
      <c r="K2720" s="10">
        <v>0.4</v>
      </c>
      <c r="L2720" s="11">
        <v>5</v>
      </c>
      <c r="N2720" s="12" t="s">
        <v>1132</v>
      </c>
      <c r="P2720" s="10">
        <v>720</v>
      </c>
      <c r="Q2720" s="10">
        <v>60</v>
      </c>
      <c r="T2720" s="10">
        <v>90</v>
      </c>
      <c r="X2720" s="29">
        <v>4.8</v>
      </c>
      <c r="Y2720" s="7" t="s">
        <v>33</v>
      </c>
    </row>
    <row r="2721" spans="1:27" ht="23.1" customHeight="1" x14ac:dyDescent="0.25">
      <c r="A2721" t="s">
        <v>1333</v>
      </c>
      <c r="B2721" s="7" t="s">
        <v>110</v>
      </c>
      <c r="C2721" s="7">
        <v>23</v>
      </c>
      <c r="D2721" s="7" t="s">
        <v>987</v>
      </c>
      <c r="E2721" s="8" t="s">
        <v>988</v>
      </c>
      <c r="F2721" s="9" t="s">
        <v>988</v>
      </c>
      <c r="G2721" s="7" t="s">
        <v>300</v>
      </c>
      <c r="H2721" s="7">
        <v>25</v>
      </c>
      <c r="I2721" s="7" t="s">
        <v>2224</v>
      </c>
      <c r="K2721" s="10">
        <v>0.6</v>
      </c>
      <c r="L2721" s="11">
        <v>31</v>
      </c>
      <c r="N2721" s="12" t="s">
        <v>256</v>
      </c>
      <c r="P2721" s="10">
        <v>720</v>
      </c>
      <c r="Q2721" s="10">
        <v>60</v>
      </c>
      <c r="S2721" s="11">
        <v>1</v>
      </c>
      <c r="T2721" s="10">
        <v>90</v>
      </c>
      <c r="V2721" s="13">
        <v>1</v>
      </c>
      <c r="X2721" s="29">
        <v>9.6999999999999993</v>
      </c>
      <c r="Y2721" s="7" t="s">
        <v>33</v>
      </c>
    </row>
    <row r="2722" spans="1:27" ht="23.1" customHeight="1" x14ac:dyDescent="0.25">
      <c r="A2722" t="s">
        <v>1333</v>
      </c>
      <c r="B2722" s="7" t="s">
        <v>110</v>
      </c>
      <c r="C2722" s="7">
        <v>47</v>
      </c>
      <c r="D2722" s="7" t="s">
        <v>258</v>
      </c>
      <c r="E2722" s="8" t="s">
        <v>259</v>
      </c>
      <c r="F2722" s="9" t="s">
        <v>284</v>
      </c>
      <c r="G2722" s="7" t="s">
        <v>154</v>
      </c>
      <c r="H2722" s="7">
        <v>60</v>
      </c>
      <c r="I2722" s="7" t="s">
        <v>2331</v>
      </c>
      <c r="J2722" s="10">
        <v>1</v>
      </c>
      <c r="K2722" s="10">
        <v>1.5</v>
      </c>
      <c r="L2722" s="11">
        <v>5</v>
      </c>
      <c r="M2722" s="11">
        <v>28</v>
      </c>
      <c r="N2722" s="12" t="s">
        <v>1777</v>
      </c>
      <c r="P2722" s="10">
        <v>520</v>
      </c>
      <c r="Q2722" s="10">
        <v>120</v>
      </c>
      <c r="S2722" s="11">
        <v>1</v>
      </c>
      <c r="T2722" s="10">
        <v>90</v>
      </c>
      <c r="X2722" s="29">
        <v>15</v>
      </c>
      <c r="Y2722" s="7" t="s">
        <v>33</v>
      </c>
    </row>
    <row r="2723" spans="1:27" ht="23.1" customHeight="1" x14ac:dyDescent="0.25">
      <c r="A2723" t="s">
        <v>1333</v>
      </c>
      <c r="B2723" s="7" t="s">
        <v>110</v>
      </c>
      <c r="C2723" s="7">
        <v>24</v>
      </c>
      <c r="D2723" s="7" t="s">
        <v>738</v>
      </c>
      <c r="E2723" s="8" t="s">
        <v>739</v>
      </c>
      <c r="F2723" s="9" t="s">
        <v>739</v>
      </c>
      <c r="G2723" s="7" t="s">
        <v>107</v>
      </c>
      <c r="H2723" s="7">
        <v>30</v>
      </c>
      <c r="I2723" s="7" t="s">
        <v>2061</v>
      </c>
      <c r="J2723" s="10">
        <v>0.4</v>
      </c>
      <c r="K2723" s="10">
        <v>0.7</v>
      </c>
      <c r="L2723" s="11">
        <v>28</v>
      </c>
      <c r="N2723" s="12" t="s">
        <v>295</v>
      </c>
      <c r="P2723" s="10">
        <v>1700</v>
      </c>
      <c r="Q2723" s="10">
        <v>120</v>
      </c>
      <c r="T2723" s="10">
        <v>210</v>
      </c>
      <c r="X2723" s="29">
        <v>19.8</v>
      </c>
      <c r="Y2723" s="7" t="s">
        <v>54</v>
      </c>
    </row>
    <row r="2724" spans="1:27" ht="23.1" customHeight="1" x14ac:dyDescent="0.25">
      <c r="A2724" t="s">
        <v>1333</v>
      </c>
      <c r="B2724" s="7" t="s">
        <v>110</v>
      </c>
      <c r="C2724" s="7">
        <v>69</v>
      </c>
      <c r="D2724" s="7" t="s">
        <v>217</v>
      </c>
      <c r="E2724" s="8" t="s">
        <v>218</v>
      </c>
      <c r="F2724" s="9" t="s">
        <v>218</v>
      </c>
      <c r="G2724" s="7" t="s">
        <v>107</v>
      </c>
      <c r="H2724" s="7">
        <v>50</v>
      </c>
      <c r="I2724" s="7" t="s">
        <v>2202</v>
      </c>
      <c r="J2724" s="10">
        <v>6</v>
      </c>
      <c r="K2724" s="10">
        <v>5</v>
      </c>
      <c r="L2724" s="11">
        <v>5</v>
      </c>
      <c r="M2724" s="11">
        <v>28</v>
      </c>
      <c r="N2724" s="12" t="s">
        <v>219</v>
      </c>
      <c r="P2724" s="10">
        <v>180</v>
      </c>
      <c r="Q2724" s="10">
        <v>60</v>
      </c>
      <c r="S2724" s="11">
        <v>5</v>
      </c>
      <c r="T2724" s="10">
        <v>150</v>
      </c>
      <c r="V2724" s="13">
        <v>1</v>
      </c>
      <c r="X2724" s="29">
        <v>22.5</v>
      </c>
      <c r="Y2724" s="7" t="s">
        <v>54</v>
      </c>
    </row>
    <row r="2725" spans="1:27" ht="23.1" customHeight="1" x14ac:dyDescent="0.25">
      <c r="A2725" t="s">
        <v>1333</v>
      </c>
      <c r="B2725" s="7" t="s">
        <v>110</v>
      </c>
      <c r="C2725" s="7">
        <v>84</v>
      </c>
      <c r="D2725" s="7" t="s">
        <v>924</v>
      </c>
      <c r="E2725" s="8" t="s">
        <v>409</v>
      </c>
      <c r="F2725" s="9" t="s">
        <v>409</v>
      </c>
      <c r="G2725" s="7" t="s">
        <v>102</v>
      </c>
      <c r="H2725" s="7">
        <v>25</v>
      </c>
      <c r="I2725" s="7" t="s">
        <v>2113</v>
      </c>
      <c r="J2725" s="10">
        <v>4</v>
      </c>
      <c r="K2725" s="10">
        <v>3</v>
      </c>
      <c r="L2725" s="11">
        <v>5</v>
      </c>
      <c r="M2725" s="11">
        <v>23</v>
      </c>
      <c r="N2725" s="12" t="s">
        <v>950</v>
      </c>
      <c r="P2725" s="10">
        <v>120</v>
      </c>
      <c r="Q2725" s="10">
        <v>60</v>
      </c>
      <c r="S2725" s="11">
        <v>3</v>
      </c>
      <c r="T2725" s="10">
        <v>120</v>
      </c>
      <c r="X2725" s="29">
        <v>9</v>
      </c>
      <c r="Y2725" s="7" t="s">
        <v>54</v>
      </c>
    </row>
    <row r="2726" spans="1:27" ht="23.1" customHeight="1" x14ac:dyDescent="0.25">
      <c r="A2726" t="s">
        <v>1333</v>
      </c>
      <c r="B2726" s="7" t="s">
        <v>110</v>
      </c>
      <c r="C2726" s="7">
        <v>84</v>
      </c>
      <c r="D2726" s="7" t="s">
        <v>436</v>
      </c>
      <c r="E2726" s="8" t="s">
        <v>437</v>
      </c>
      <c r="F2726" s="9" t="s">
        <v>437</v>
      </c>
      <c r="G2726" s="7" t="s">
        <v>154</v>
      </c>
      <c r="H2726" s="7">
        <v>35</v>
      </c>
      <c r="I2726" s="7" t="s">
        <v>2522</v>
      </c>
      <c r="K2726" s="10">
        <v>2</v>
      </c>
      <c r="L2726" s="11">
        <v>9</v>
      </c>
      <c r="M2726" s="11">
        <v>9</v>
      </c>
      <c r="N2726" s="12" t="s">
        <v>438</v>
      </c>
      <c r="P2726" s="10">
        <v>90</v>
      </c>
      <c r="Q2726" s="10">
        <v>60</v>
      </c>
      <c r="S2726" s="11">
        <v>2</v>
      </c>
      <c r="T2726" s="10">
        <v>120</v>
      </c>
      <c r="V2726" s="13">
        <v>1</v>
      </c>
      <c r="W2726" s="10">
        <v>3</v>
      </c>
      <c r="X2726" s="29">
        <v>10</v>
      </c>
      <c r="Y2726" s="7" t="s">
        <v>54</v>
      </c>
      <c r="Z2726" t="s">
        <v>1778</v>
      </c>
    </row>
    <row r="2727" spans="1:27" ht="23.1" customHeight="1" x14ac:dyDescent="0.25">
      <c r="A2727" t="s">
        <v>1333</v>
      </c>
      <c r="B2727" s="7" t="s">
        <v>110</v>
      </c>
      <c r="C2727" s="7">
        <v>84</v>
      </c>
      <c r="D2727" s="7" t="s">
        <v>441</v>
      </c>
      <c r="E2727" s="8" t="s">
        <v>437</v>
      </c>
      <c r="F2727" s="9" t="s">
        <v>437</v>
      </c>
      <c r="G2727" s="7" t="s">
        <v>154</v>
      </c>
      <c r="H2727" s="7">
        <v>35</v>
      </c>
      <c r="I2727" s="7" t="s">
        <v>2220</v>
      </c>
      <c r="K2727" s="10">
        <v>2</v>
      </c>
      <c r="L2727" s="11">
        <v>9</v>
      </c>
      <c r="M2727" s="11">
        <v>9</v>
      </c>
      <c r="N2727" s="12" t="s">
        <v>438</v>
      </c>
      <c r="P2727" s="10">
        <v>90</v>
      </c>
      <c r="Q2727" s="10">
        <v>60</v>
      </c>
      <c r="S2727" s="11">
        <v>2</v>
      </c>
      <c r="T2727" s="10">
        <v>120</v>
      </c>
      <c r="V2727" s="13">
        <v>1</v>
      </c>
      <c r="X2727" s="29">
        <v>7</v>
      </c>
      <c r="Y2727" s="7" t="s">
        <v>54</v>
      </c>
    </row>
    <row r="2728" spans="1:27" ht="23.1" customHeight="1" x14ac:dyDescent="0.25">
      <c r="A2728" t="s">
        <v>1333</v>
      </c>
      <c r="B2728" s="7" t="s">
        <v>110</v>
      </c>
      <c r="C2728" s="7">
        <v>91</v>
      </c>
      <c r="D2728" s="7" t="s">
        <v>254</v>
      </c>
      <c r="E2728" s="8" t="s">
        <v>255</v>
      </c>
      <c r="F2728" s="9" t="s">
        <v>1016</v>
      </c>
      <c r="G2728" s="7" t="s">
        <v>375</v>
      </c>
      <c r="H2728" s="7">
        <v>40</v>
      </c>
      <c r="I2728" s="7" t="s">
        <v>2110</v>
      </c>
      <c r="J2728" s="10">
        <v>0.3</v>
      </c>
      <c r="K2728" s="10">
        <v>0.4</v>
      </c>
      <c r="L2728" s="11">
        <v>37</v>
      </c>
      <c r="M2728" s="11">
        <v>37</v>
      </c>
      <c r="N2728" s="12" t="s">
        <v>1779</v>
      </c>
      <c r="P2728" s="10">
        <v>3000</v>
      </c>
      <c r="Q2728" s="10">
        <v>90</v>
      </c>
      <c r="T2728" s="10">
        <v>120</v>
      </c>
      <c r="X2728" s="29">
        <v>20</v>
      </c>
      <c r="Y2728" s="7" t="s">
        <v>54</v>
      </c>
    </row>
    <row r="2729" spans="1:27" ht="23.1" customHeight="1" x14ac:dyDescent="0.25">
      <c r="A2729" t="s">
        <v>1333</v>
      </c>
      <c r="B2729" s="7" t="s">
        <v>110</v>
      </c>
      <c r="C2729" s="7">
        <v>119</v>
      </c>
      <c r="D2729" s="7" t="s">
        <v>830</v>
      </c>
      <c r="E2729" s="8" t="s">
        <v>788</v>
      </c>
      <c r="F2729" s="9" t="s">
        <v>788</v>
      </c>
      <c r="G2729" s="7" t="s">
        <v>123</v>
      </c>
      <c r="H2729" s="7">
        <v>15</v>
      </c>
      <c r="I2729" s="7" t="s">
        <v>2357</v>
      </c>
      <c r="J2729" s="10">
        <v>1</v>
      </c>
      <c r="K2729" s="10">
        <v>1</v>
      </c>
      <c r="L2729" s="11">
        <v>28</v>
      </c>
      <c r="N2729" s="12" t="s">
        <v>108</v>
      </c>
      <c r="P2729" s="10">
        <v>240</v>
      </c>
      <c r="Q2729" s="10">
        <v>60</v>
      </c>
      <c r="T2729" s="10">
        <v>60</v>
      </c>
      <c r="W2729" s="14">
        <v>10</v>
      </c>
      <c r="X2729" s="29">
        <v>14</v>
      </c>
      <c r="Y2729" s="7" t="s">
        <v>54</v>
      </c>
      <c r="Z2729" t="s">
        <v>1780</v>
      </c>
    </row>
    <row r="2730" spans="1:27" ht="23.1" customHeight="1" x14ac:dyDescent="0.25">
      <c r="A2730" t="s">
        <v>1333</v>
      </c>
      <c r="B2730" s="7" t="s">
        <v>110</v>
      </c>
      <c r="C2730" s="7">
        <v>121</v>
      </c>
      <c r="D2730" s="7" t="s">
        <v>1755</v>
      </c>
      <c r="E2730" s="8" t="s">
        <v>1756</v>
      </c>
      <c r="F2730" s="9" t="e">
        <v>#N/A</v>
      </c>
      <c r="G2730" s="7" t="s">
        <v>250</v>
      </c>
      <c r="H2730" s="7">
        <v>35</v>
      </c>
      <c r="I2730" s="7" t="s">
        <v>2356</v>
      </c>
      <c r="J2730" s="10">
        <v>1</v>
      </c>
      <c r="K2730" s="10">
        <v>1.4</v>
      </c>
      <c r="L2730" s="11">
        <v>19</v>
      </c>
      <c r="M2730" s="11">
        <v>5</v>
      </c>
      <c r="N2730" s="12" t="s">
        <v>1100</v>
      </c>
      <c r="P2730" s="10">
        <v>330</v>
      </c>
      <c r="Q2730" s="10">
        <v>90</v>
      </c>
      <c r="S2730" s="11">
        <v>1</v>
      </c>
      <c r="T2730" s="10">
        <v>180</v>
      </c>
      <c r="W2730" s="14">
        <v>2</v>
      </c>
      <c r="X2730" s="29">
        <v>11.2</v>
      </c>
      <c r="Y2730" s="7" t="s">
        <v>54</v>
      </c>
      <c r="Z2730" t="s">
        <v>1691</v>
      </c>
    </row>
    <row r="2731" spans="1:27" ht="23.1" customHeight="1" x14ac:dyDescent="0.25">
      <c r="A2731" t="s">
        <v>1333</v>
      </c>
      <c r="B2731" s="7" t="s">
        <v>110</v>
      </c>
      <c r="C2731" s="7">
        <v>121</v>
      </c>
      <c r="D2731" s="7" t="s">
        <v>717</v>
      </c>
      <c r="E2731" s="8" t="s">
        <v>718</v>
      </c>
      <c r="F2731" s="9" t="s">
        <v>718</v>
      </c>
      <c r="G2731" s="7" t="s">
        <v>118</v>
      </c>
      <c r="H2731" s="7">
        <v>50</v>
      </c>
      <c r="I2731" s="7" t="s">
        <v>2358</v>
      </c>
      <c r="J2731" s="10">
        <v>1</v>
      </c>
      <c r="K2731" s="10">
        <v>1</v>
      </c>
      <c r="L2731" s="11">
        <v>28</v>
      </c>
      <c r="N2731" s="12" t="s">
        <v>1563</v>
      </c>
      <c r="P2731" s="10">
        <v>40</v>
      </c>
      <c r="Q2731" s="10">
        <v>90</v>
      </c>
      <c r="S2731" s="11">
        <v>1</v>
      </c>
      <c r="T2731" s="10">
        <v>120</v>
      </c>
      <c r="V2731" s="13">
        <v>1</v>
      </c>
      <c r="W2731" s="10">
        <v>2</v>
      </c>
      <c r="X2731" s="29">
        <v>6.2</v>
      </c>
      <c r="Y2731" s="7" t="s">
        <v>54</v>
      </c>
      <c r="Z2731" t="s">
        <v>1548</v>
      </c>
    </row>
    <row r="2732" spans="1:27" ht="23.1" customHeight="1" x14ac:dyDescent="0.25">
      <c r="A2732" t="s">
        <v>1333</v>
      </c>
      <c r="B2732" s="7" t="s">
        <v>110</v>
      </c>
      <c r="C2732" s="7">
        <v>58</v>
      </c>
      <c r="D2732" s="7" t="s">
        <v>1759</v>
      </c>
      <c r="E2732" s="8" t="s">
        <v>409</v>
      </c>
      <c r="F2732" s="9" t="s">
        <v>409</v>
      </c>
      <c r="G2732" s="7" t="s">
        <v>658</v>
      </c>
      <c r="H2732" s="7">
        <v>25</v>
      </c>
      <c r="I2732" s="7" t="s">
        <v>2314</v>
      </c>
      <c r="J2732" s="10">
        <v>7</v>
      </c>
      <c r="K2732" s="10">
        <v>14</v>
      </c>
      <c r="L2732" s="11">
        <v>9</v>
      </c>
      <c r="M2732" s="11">
        <v>28</v>
      </c>
      <c r="N2732" s="12" t="s">
        <v>282</v>
      </c>
      <c r="P2732" s="10">
        <v>40</v>
      </c>
      <c r="T2732" s="10">
        <v>90</v>
      </c>
      <c r="V2732" s="13">
        <v>1</v>
      </c>
      <c r="W2732" s="14">
        <v>2</v>
      </c>
      <c r="X2732" s="29">
        <v>12.8</v>
      </c>
      <c r="Y2732" s="7" t="s">
        <v>7</v>
      </c>
      <c r="Z2732" t="s">
        <v>1671</v>
      </c>
      <c r="AA2732" t="s">
        <v>238</v>
      </c>
    </row>
    <row r="2733" spans="1:27" ht="23.1" customHeight="1" x14ac:dyDescent="0.25">
      <c r="A2733" t="s">
        <v>1333</v>
      </c>
      <c r="B2733" s="7" t="s">
        <v>110</v>
      </c>
      <c r="C2733" s="7">
        <v>11</v>
      </c>
      <c r="D2733" s="7" t="s">
        <v>1296</v>
      </c>
      <c r="E2733" s="8" t="s">
        <v>1297</v>
      </c>
      <c r="F2733" s="9" t="s">
        <v>1297</v>
      </c>
      <c r="G2733" s="7" t="s">
        <v>154</v>
      </c>
      <c r="H2733" s="7">
        <v>30</v>
      </c>
      <c r="I2733" s="7" t="s">
        <v>1863</v>
      </c>
      <c r="J2733" s="10">
        <v>3</v>
      </c>
      <c r="K2733" s="10">
        <v>1</v>
      </c>
      <c r="L2733" s="11">
        <v>28</v>
      </c>
      <c r="N2733" s="12" t="s">
        <v>247</v>
      </c>
      <c r="P2733" s="10">
        <v>160</v>
      </c>
      <c r="T2733" s="10">
        <v>60</v>
      </c>
      <c r="X2733" s="29">
        <v>2.7</v>
      </c>
      <c r="Y2733" s="7" t="s">
        <v>63</v>
      </c>
    </row>
    <row r="2734" spans="1:27" ht="23.1" customHeight="1" x14ac:dyDescent="0.25">
      <c r="A2734" t="s">
        <v>1333</v>
      </c>
      <c r="B2734" s="7" t="s">
        <v>110</v>
      </c>
      <c r="C2734" s="7">
        <v>78</v>
      </c>
      <c r="D2734" s="7" t="s">
        <v>1271</v>
      </c>
      <c r="E2734" s="8" t="s">
        <v>1013</v>
      </c>
      <c r="F2734" s="9" t="s">
        <v>1013</v>
      </c>
      <c r="G2734" s="7" t="s">
        <v>250</v>
      </c>
      <c r="H2734" s="7">
        <v>40</v>
      </c>
      <c r="I2734" s="7" t="s">
        <v>1902</v>
      </c>
      <c r="J2734" s="10">
        <v>3</v>
      </c>
      <c r="K2734" s="10">
        <v>3.2</v>
      </c>
      <c r="L2734" s="11">
        <v>23</v>
      </c>
      <c r="M2734" s="11">
        <v>28</v>
      </c>
      <c r="N2734" s="12" t="s">
        <v>429</v>
      </c>
      <c r="P2734" s="10">
        <v>250</v>
      </c>
      <c r="Q2734" s="10">
        <v>60</v>
      </c>
      <c r="S2734" s="11">
        <v>3</v>
      </c>
      <c r="T2734" s="10">
        <v>90</v>
      </c>
      <c r="X2734" s="29">
        <v>16.3</v>
      </c>
      <c r="Y2734" s="7" t="s">
        <v>19</v>
      </c>
    </row>
    <row r="2735" spans="1:27" ht="23.1" customHeight="1" x14ac:dyDescent="0.25">
      <c r="A2735" t="s">
        <v>1333</v>
      </c>
      <c r="B2735" s="7" t="s">
        <v>110</v>
      </c>
      <c r="C2735" s="7">
        <v>57</v>
      </c>
      <c r="D2735" s="7" t="s">
        <v>1031</v>
      </c>
      <c r="E2735" s="8" t="s">
        <v>1032</v>
      </c>
      <c r="F2735" s="9" t="s">
        <v>1032</v>
      </c>
      <c r="G2735" s="7" t="s">
        <v>107</v>
      </c>
      <c r="H2735" s="7">
        <v>20</v>
      </c>
      <c r="I2735" s="7" t="s">
        <v>2213</v>
      </c>
      <c r="J2735" s="10">
        <v>3.5</v>
      </c>
      <c r="K2735" s="10">
        <v>4</v>
      </c>
      <c r="L2735" s="11">
        <v>5</v>
      </c>
      <c r="M2735" s="11">
        <v>28</v>
      </c>
      <c r="N2735" s="12" t="s">
        <v>1574</v>
      </c>
      <c r="P2735" s="10">
        <v>180</v>
      </c>
      <c r="T2735" s="10">
        <v>90</v>
      </c>
      <c r="X2735" s="29">
        <v>12</v>
      </c>
      <c r="Y2735" s="7" t="s">
        <v>7</v>
      </c>
    </row>
    <row r="2736" spans="1:27" ht="23.1" customHeight="1" x14ac:dyDescent="0.25">
      <c r="A2736" t="s">
        <v>1333</v>
      </c>
      <c r="B2736" s="7" t="s">
        <v>110</v>
      </c>
      <c r="C2736" s="7">
        <v>12</v>
      </c>
      <c r="D2736" s="7" t="s">
        <v>735</v>
      </c>
      <c r="E2736" s="8" t="s">
        <v>249</v>
      </c>
      <c r="F2736" s="9" t="s">
        <v>249</v>
      </c>
      <c r="G2736" s="7" t="s">
        <v>250</v>
      </c>
      <c r="H2736" s="7">
        <v>25</v>
      </c>
      <c r="I2736" s="7" t="s">
        <v>1923</v>
      </c>
      <c r="J2736" s="10">
        <v>1</v>
      </c>
      <c r="K2736" s="10">
        <v>1</v>
      </c>
      <c r="L2736" s="11">
        <v>28</v>
      </c>
      <c r="N2736" s="12" t="s">
        <v>1781</v>
      </c>
      <c r="P2736" s="10">
        <v>1080</v>
      </c>
      <c r="T2736" s="10">
        <v>120</v>
      </c>
      <c r="X2736" s="29">
        <v>18</v>
      </c>
      <c r="Y2736" s="7" t="s">
        <v>72</v>
      </c>
    </row>
    <row r="2737" spans="1:27" ht="23.1" customHeight="1" x14ac:dyDescent="0.25">
      <c r="A2737" t="s">
        <v>1333</v>
      </c>
      <c r="B2737" s="7" t="s">
        <v>110</v>
      </c>
      <c r="C2737" s="7">
        <v>22</v>
      </c>
      <c r="D2737" s="7" t="s">
        <v>100</v>
      </c>
      <c r="E2737" s="8" t="s">
        <v>101</v>
      </c>
      <c r="F2737" s="9" t="s">
        <v>101</v>
      </c>
      <c r="G2737" s="7" t="s">
        <v>154</v>
      </c>
      <c r="H2737" s="7">
        <v>10</v>
      </c>
      <c r="I2737" s="7" t="s">
        <v>2523</v>
      </c>
      <c r="K2737" s="10">
        <v>0.5</v>
      </c>
      <c r="L2737" s="11">
        <v>28</v>
      </c>
      <c r="N2737" s="12" t="s">
        <v>613</v>
      </c>
      <c r="P2737" s="10">
        <v>2700</v>
      </c>
      <c r="Q2737" s="10">
        <v>240</v>
      </c>
      <c r="T2737" s="10">
        <v>240</v>
      </c>
      <c r="X2737" s="29">
        <v>22.5</v>
      </c>
      <c r="Y2737" s="7" t="s">
        <v>58</v>
      </c>
    </row>
    <row r="2738" spans="1:27" ht="23.1" customHeight="1" x14ac:dyDescent="0.25">
      <c r="A2738" t="s">
        <v>1333</v>
      </c>
      <c r="B2738" s="7" t="s">
        <v>110</v>
      </c>
      <c r="C2738" s="7">
        <v>21</v>
      </c>
      <c r="D2738" s="7" t="s">
        <v>321</v>
      </c>
      <c r="E2738" s="8" t="s">
        <v>322</v>
      </c>
      <c r="F2738" s="9" t="s">
        <v>322</v>
      </c>
      <c r="G2738" s="7" t="s">
        <v>323</v>
      </c>
      <c r="H2738" s="7">
        <v>10</v>
      </c>
      <c r="I2738" s="7" t="s">
        <v>2046</v>
      </c>
      <c r="J2738" s="10">
        <v>2</v>
      </c>
      <c r="K2738" s="10">
        <v>2</v>
      </c>
      <c r="L2738" s="11">
        <v>5</v>
      </c>
      <c r="M2738" s="11">
        <v>28</v>
      </c>
      <c r="N2738" s="12" t="s">
        <v>1482</v>
      </c>
      <c r="P2738" s="10">
        <v>420</v>
      </c>
      <c r="Q2738" s="10">
        <v>120</v>
      </c>
      <c r="S2738" s="11">
        <v>2</v>
      </c>
      <c r="T2738" s="10">
        <v>180</v>
      </c>
      <c r="X2738" s="29">
        <v>18</v>
      </c>
      <c r="Y2738" s="7" t="s">
        <v>58</v>
      </c>
    </row>
    <row r="2739" spans="1:27" ht="23.1" customHeight="1" x14ac:dyDescent="0.25">
      <c r="A2739" t="s">
        <v>1333</v>
      </c>
      <c r="B2739" s="7" t="s">
        <v>110</v>
      </c>
      <c r="C2739" s="7">
        <v>21</v>
      </c>
      <c r="D2739" s="7" t="s">
        <v>321</v>
      </c>
      <c r="E2739" s="8" t="s">
        <v>322</v>
      </c>
      <c r="F2739" s="9" t="s">
        <v>322</v>
      </c>
      <c r="G2739" s="7" t="s">
        <v>323</v>
      </c>
      <c r="H2739" s="7">
        <v>15</v>
      </c>
      <c r="I2739" s="7" t="s">
        <v>2048</v>
      </c>
      <c r="K2739" s="10">
        <v>0.1</v>
      </c>
      <c r="L2739" s="11">
        <v>31</v>
      </c>
      <c r="N2739" s="12" t="s">
        <v>607</v>
      </c>
      <c r="P2739" s="10">
        <v>210</v>
      </c>
      <c r="Q2739" s="10">
        <v>120</v>
      </c>
      <c r="S2739" s="11">
        <v>1</v>
      </c>
      <c r="T2739" s="10">
        <v>180</v>
      </c>
      <c r="V2739" s="13">
        <v>1</v>
      </c>
      <c r="X2739" s="29">
        <v>5.4</v>
      </c>
      <c r="Y2739" s="7" t="s">
        <v>58</v>
      </c>
    </row>
    <row r="2740" spans="1:27" ht="23.1" customHeight="1" x14ac:dyDescent="0.25">
      <c r="A2740" t="s">
        <v>1333</v>
      </c>
      <c r="B2740" s="7" t="s">
        <v>110</v>
      </c>
      <c r="C2740" s="7">
        <v>77</v>
      </c>
      <c r="D2740" s="7" t="s">
        <v>1698</v>
      </c>
      <c r="E2740" s="8" t="s">
        <v>1699</v>
      </c>
      <c r="F2740" s="9" t="s">
        <v>1699</v>
      </c>
      <c r="G2740" s="7" t="s">
        <v>118</v>
      </c>
      <c r="H2740" s="7">
        <v>20</v>
      </c>
      <c r="I2740" s="7" t="s">
        <v>2353</v>
      </c>
      <c r="K2740" s="10">
        <v>20</v>
      </c>
      <c r="L2740" s="11">
        <v>19</v>
      </c>
      <c r="M2740" s="11">
        <v>19</v>
      </c>
      <c r="N2740" s="12" t="s">
        <v>282</v>
      </c>
      <c r="P2740" s="10">
        <v>20</v>
      </c>
      <c r="T2740" s="10">
        <v>90</v>
      </c>
      <c r="V2740" s="13">
        <v>1</v>
      </c>
      <c r="X2740" s="29">
        <v>8.1999999999999993</v>
      </c>
      <c r="Y2740" s="7" t="s">
        <v>15</v>
      </c>
    </row>
    <row r="2741" spans="1:27" ht="23.1" customHeight="1" x14ac:dyDescent="0.25">
      <c r="A2741" t="s">
        <v>1333</v>
      </c>
      <c r="B2741" s="7" t="s">
        <v>110</v>
      </c>
      <c r="C2741" s="7">
        <v>77</v>
      </c>
      <c r="D2741" s="7" t="s">
        <v>1663</v>
      </c>
      <c r="E2741" s="8" t="s">
        <v>409</v>
      </c>
      <c r="F2741" s="9" t="s">
        <v>409</v>
      </c>
      <c r="G2741" s="7" t="s">
        <v>102</v>
      </c>
      <c r="H2741" s="7">
        <v>10</v>
      </c>
      <c r="I2741" s="7" t="s">
        <v>2038</v>
      </c>
      <c r="K2741" s="10">
        <v>13</v>
      </c>
      <c r="L2741" s="11">
        <v>31</v>
      </c>
      <c r="M2741" s="11">
        <v>31</v>
      </c>
      <c r="N2741" s="12" t="s">
        <v>596</v>
      </c>
      <c r="P2741" s="10">
        <v>40</v>
      </c>
      <c r="T2741" s="10">
        <v>60</v>
      </c>
      <c r="X2741" s="29">
        <v>8.6999999999999993</v>
      </c>
      <c r="Y2741" s="7" t="s">
        <v>46</v>
      </c>
      <c r="Z2741" t="s">
        <v>1709</v>
      </c>
    </row>
    <row r="2742" spans="1:27" ht="23.1" customHeight="1" x14ac:dyDescent="0.25">
      <c r="A2742" t="s">
        <v>1333</v>
      </c>
      <c r="B2742" s="7" t="s">
        <v>110</v>
      </c>
      <c r="C2742" s="7">
        <v>14</v>
      </c>
      <c r="D2742" s="7" t="s">
        <v>1295</v>
      </c>
      <c r="E2742" s="8" t="s">
        <v>409</v>
      </c>
      <c r="F2742" s="9" t="s">
        <v>409</v>
      </c>
      <c r="G2742" s="7" t="s">
        <v>102</v>
      </c>
      <c r="H2742" s="7">
        <v>15</v>
      </c>
      <c r="I2742" s="7" t="s">
        <v>2205</v>
      </c>
      <c r="K2742" s="10">
        <v>4</v>
      </c>
      <c r="L2742" s="11">
        <v>19</v>
      </c>
      <c r="M2742" s="11">
        <v>19</v>
      </c>
      <c r="N2742" s="12" t="s">
        <v>596</v>
      </c>
      <c r="P2742" s="10">
        <v>40</v>
      </c>
      <c r="T2742" s="10">
        <v>60</v>
      </c>
      <c r="V2742" s="13">
        <v>1</v>
      </c>
      <c r="X2742" s="29">
        <v>3.7</v>
      </c>
      <c r="Y2742" s="7" t="s">
        <v>31</v>
      </c>
    </row>
    <row r="2743" spans="1:27" ht="23.1" customHeight="1" x14ac:dyDescent="0.25">
      <c r="A2743" t="s">
        <v>1333</v>
      </c>
      <c r="B2743" s="7" t="s">
        <v>110</v>
      </c>
      <c r="C2743" s="7">
        <v>14</v>
      </c>
      <c r="D2743" s="7" t="s">
        <v>1294</v>
      </c>
      <c r="E2743" s="8" t="s">
        <v>409</v>
      </c>
      <c r="F2743" s="9" t="s">
        <v>409</v>
      </c>
      <c r="G2743" s="7" t="s">
        <v>102</v>
      </c>
      <c r="H2743" s="7">
        <v>15</v>
      </c>
      <c r="I2743" s="7" t="s">
        <v>2056</v>
      </c>
      <c r="K2743" s="10">
        <v>4</v>
      </c>
      <c r="L2743" s="11">
        <v>19</v>
      </c>
      <c r="M2743" s="11">
        <v>19</v>
      </c>
      <c r="N2743" s="12" t="s">
        <v>596</v>
      </c>
      <c r="P2743" s="10">
        <v>45</v>
      </c>
      <c r="T2743" s="10">
        <v>60</v>
      </c>
      <c r="V2743" s="13">
        <v>1</v>
      </c>
      <c r="W2743" s="14">
        <v>2</v>
      </c>
      <c r="X2743" s="29">
        <v>6</v>
      </c>
      <c r="Y2743" s="7" t="s">
        <v>31</v>
      </c>
      <c r="Z2743" t="s">
        <v>1540</v>
      </c>
      <c r="AA2743" t="s">
        <v>238</v>
      </c>
    </row>
    <row r="2744" spans="1:27" ht="23.1" customHeight="1" x14ac:dyDescent="0.25">
      <c r="A2744" t="s">
        <v>1333</v>
      </c>
      <c r="B2744" s="7" t="s">
        <v>110</v>
      </c>
      <c r="C2744" s="7">
        <v>59</v>
      </c>
      <c r="D2744" s="7" t="s">
        <v>1742</v>
      </c>
      <c r="E2744" s="8" t="s">
        <v>1743</v>
      </c>
      <c r="F2744" s="9" t="e">
        <v>#N/A</v>
      </c>
      <c r="G2744" s="7" t="s">
        <v>154</v>
      </c>
      <c r="H2744" s="7">
        <v>15</v>
      </c>
      <c r="I2744" s="7" t="s">
        <v>1895</v>
      </c>
      <c r="K2744" s="10">
        <v>10</v>
      </c>
      <c r="L2744" s="11">
        <v>23</v>
      </c>
      <c r="M2744" s="11">
        <v>23</v>
      </c>
      <c r="N2744" s="12" t="s">
        <v>418</v>
      </c>
      <c r="P2744" s="10">
        <v>70</v>
      </c>
      <c r="T2744" s="10">
        <v>60</v>
      </c>
      <c r="V2744" s="13">
        <v>1</v>
      </c>
      <c r="W2744" s="14">
        <v>3</v>
      </c>
      <c r="X2744" s="29">
        <v>15.7</v>
      </c>
      <c r="Y2744" s="64" t="s">
        <v>1847</v>
      </c>
      <c r="Z2744" t="s">
        <v>1245</v>
      </c>
      <c r="AA2744" t="s">
        <v>238</v>
      </c>
    </row>
    <row r="2745" spans="1:27" ht="23.1" customHeight="1" x14ac:dyDescent="0.25">
      <c r="A2745" t="s">
        <v>1333</v>
      </c>
      <c r="B2745" s="7" t="s">
        <v>110</v>
      </c>
      <c r="C2745" s="7">
        <v>17</v>
      </c>
      <c r="D2745" s="7" t="s">
        <v>1702</v>
      </c>
      <c r="E2745" s="8" t="s">
        <v>625</v>
      </c>
      <c r="F2745" s="9" t="s">
        <v>625</v>
      </c>
      <c r="G2745" s="7" t="s">
        <v>250</v>
      </c>
      <c r="H2745" s="7">
        <v>35</v>
      </c>
      <c r="I2745" s="7" t="s">
        <v>2359</v>
      </c>
      <c r="J2745" s="10">
        <v>10</v>
      </c>
      <c r="K2745" s="10">
        <v>13</v>
      </c>
      <c r="L2745" s="11">
        <v>19</v>
      </c>
      <c r="M2745" s="11">
        <v>28</v>
      </c>
      <c r="N2745" s="12" t="s">
        <v>247</v>
      </c>
      <c r="P2745" s="10">
        <v>65</v>
      </c>
      <c r="T2745" s="10">
        <v>120</v>
      </c>
      <c r="V2745" s="13">
        <v>1</v>
      </c>
      <c r="X2745" s="29">
        <v>16.100000000000001</v>
      </c>
      <c r="Y2745" s="7" t="s">
        <v>16</v>
      </c>
    </row>
    <row r="2746" spans="1:27" ht="23.1" customHeight="1" x14ac:dyDescent="0.25">
      <c r="A2746" t="s">
        <v>1333</v>
      </c>
      <c r="B2746" s="7" t="s">
        <v>110</v>
      </c>
      <c r="C2746" s="7">
        <v>18</v>
      </c>
      <c r="D2746" s="7" t="s">
        <v>1030</v>
      </c>
      <c r="E2746" s="8" t="s">
        <v>919</v>
      </c>
      <c r="F2746" s="9" t="s">
        <v>919</v>
      </c>
      <c r="G2746" s="7" t="s">
        <v>323</v>
      </c>
      <c r="H2746" s="7">
        <v>15</v>
      </c>
      <c r="I2746" s="7" t="s">
        <v>2524</v>
      </c>
      <c r="J2746" s="10">
        <v>3</v>
      </c>
      <c r="K2746" s="10">
        <v>4</v>
      </c>
      <c r="L2746" s="11">
        <v>19</v>
      </c>
      <c r="M2746" s="11">
        <v>28</v>
      </c>
      <c r="N2746" s="12" t="s">
        <v>780</v>
      </c>
      <c r="P2746" s="10">
        <v>210</v>
      </c>
      <c r="T2746" s="10">
        <v>90</v>
      </c>
      <c r="X2746" s="29">
        <v>14</v>
      </c>
      <c r="Y2746" s="7" t="s">
        <v>16</v>
      </c>
    </row>
    <row r="2747" spans="1:27" ht="23.1" customHeight="1" x14ac:dyDescent="0.25">
      <c r="A2747" t="s">
        <v>1333</v>
      </c>
      <c r="B2747" s="7" t="s">
        <v>110</v>
      </c>
      <c r="C2747" s="7">
        <v>55</v>
      </c>
      <c r="D2747" s="7" t="s">
        <v>273</v>
      </c>
      <c r="E2747" s="8" t="s">
        <v>274</v>
      </c>
      <c r="F2747" s="9" t="s">
        <v>274</v>
      </c>
      <c r="G2747" s="7" t="s">
        <v>123</v>
      </c>
      <c r="H2747" s="7">
        <v>45</v>
      </c>
      <c r="I2747" s="7" t="s">
        <v>1954</v>
      </c>
      <c r="J2747" s="10">
        <v>3</v>
      </c>
      <c r="K2747" s="10">
        <v>3</v>
      </c>
      <c r="L2747" s="11">
        <v>23</v>
      </c>
      <c r="M2747" s="11">
        <v>28</v>
      </c>
      <c r="N2747" s="12" t="s">
        <v>275</v>
      </c>
      <c r="P2747" s="10">
        <v>240</v>
      </c>
      <c r="T2747" s="10">
        <v>90</v>
      </c>
      <c r="X2747" s="29">
        <v>12</v>
      </c>
      <c r="Y2747" s="7" t="s">
        <v>44</v>
      </c>
    </row>
    <row r="2748" spans="1:27" ht="23.1" customHeight="1" x14ac:dyDescent="0.25">
      <c r="A2748" t="s">
        <v>1333</v>
      </c>
      <c r="B2748" s="7" t="s">
        <v>110</v>
      </c>
      <c r="C2748" s="7">
        <v>76</v>
      </c>
      <c r="D2748" s="7" t="s">
        <v>1663</v>
      </c>
      <c r="E2748" s="8" t="s">
        <v>409</v>
      </c>
      <c r="F2748" s="9" t="s">
        <v>409</v>
      </c>
      <c r="G2748" s="7" t="s">
        <v>102</v>
      </c>
      <c r="H2748" s="7">
        <v>5</v>
      </c>
      <c r="I2748" s="7" t="s">
        <v>1957</v>
      </c>
      <c r="J2748" s="10">
        <v>8</v>
      </c>
      <c r="K2748" s="10">
        <v>16</v>
      </c>
      <c r="L2748" s="11">
        <v>9</v>
      </c>
      <c r="M2748" s="11">
        <v>9</v>
      </c>
      <c r="N2748" s="12" t="s">
        <v>596</v>
      </c>
      <c r="P2748" s="10">
        <v>40</v>
      </c>
      <c r="T2748" s="10">
        <v>60</v>
      </c>
      <c r="V2748" s="13">
        <v>1</v>
      </c>
      <c r="W2748" s="14">
        <v>3</v>
      </c>
      <c r="X2748" s="29">
        <v>14.7</v>
      </c>
      <c r="Y2748" s="7" t="s">
        <v>46</v>
      </c>
      <c r="Z2748" t="s">
        <v>1782</v>
      </c>
      <c r="AA2748" t="s">
        <v>238</v>
      </c>
    </row>
    <row r="2749" spans="1:27" ht="23.1" customHeight="1" x14ac:dyDescent="0.25">
      <c r="A2749" t="s">
        <v>1333</v>
      </c>
      <c r="B2749" s="7" t="s">
        <v>110</v>
      </c>
      <c r="C2749" s="7">
        <v>76</v>
      </c>
      <c r="D2749" s="7" t="s">
        <v>1663</v>
      </c>
      <c r="E2749" s="8" t="s">
        <v>409</v>
      </c>
      <c r="F2749" s="9" t="s">
        <v>409</v>
      </c>
      <c r="G2749" s="7" t="s">
        <v>102</v>
      </c>
      <c r="H2749" s="7">
        <v>10</v>
      </c>
      <c r="I2749" s="7" t="s">
        <v>2038</v>
      </c>
      <c r="J2749" s="10">
        <v>4</v>
      </c>
      <c r="K2749" s="10">
        <v>3</v>
      </c>
      <c r="L2749" s="11">
        <v>9</v>
      </c>
      <c r="M2749" s="11">
        <v>31</v>
      </c>
      <c r="N2749" s="12" t="s">
        <v>596</v>
      </c>
      <c r="P2749" s="10">
        <v>40</v>
      </c>
      <c r="T2749" s="10">
        <v>60</v>
      </c>
      <c r="V2749" s="13">
        <v>1</v>
      </c>
      <c r="W2749" s="14">
        <v>3</v>
      </c>
      <c r="X2749" s="29">
        <v>6</v>
      </c>
      <c r="Y2749" s="7" t="s">
        <v>46</v>
      </c>
      <c r="Z2749" t="s">
        <v>1783</v>
      </c>
      <c r="AA2749" t="s">
        <v>238</v>
      </c>
    </row>
    <row r="2750" spans="1:27" ht="23.1" customHeight="1" x14ac:dyDescent="0.25">
      <c r="A2750" t="s">
        <v>1333</v>
      </c>
      <c r="B2750" s="7" t="s">
        <v>110</v>
      </c>
      <c r="C2750" s="7">
        <v>56</v>
      </c>
      <c r="D2750" s="7" t="s">
        <v>273</v>
      </c>
      <c r="E2750" s="8" t="s">
        <v>274</v>
      </c>
      <c r="F2750" s="9" t="s">
        <v>274</v>
      </c>
      <c r="G2750" s="7" t="s">
        <v>123</v>
      </c>
      <c r="H2750" s="7">
        <v>50</v>
      </c>
      <c r="I2750" s="7" t="s">
        <v>2360</v>
      </c>
      <c r="K2750" s="10">
        <v>20</v>
      </c>
      <c r="L2750" s="11">
        <v>19</v>
      </c>
      <c r="M2750" s="11">
        <v>28</v>
      </c>
      <c r="N2750" s="12" t="s">
        <v>275</v>
      </c>
      <c r="P2750" s="10">
        <v>30</v>
      </c>
      <c r="T2750" s="10">
        <v>60</v>
      </c>
      <c r="V2750" s="13">
        <v>1</v>
      </c>
      <c r="X2750" s="29">
        <v>11</v>
      </c>
      <c r="Y2750" s="7" t="s">
        <v>44</v>
      </c>
    </row>
    <row r="2751" spans="1:27" ht="23.1" customHeight="1" x14ac:dyDescent="0.25">
      <c r="A2751" t="s">
        <v>1333</v>
      </c>
      <c r="B2751" s="7" t="s">
        <v>110</v>
      </c>
      <c r="C2751" s="7">
        <v>56</v>
      </c>
      <c r="D2751" s="7" t="s">
        <v>273</v>
      </c>
      <c r="E2751" s="8" t="s">
        <v>274</v>
      </c>
      <c r="F2751" s="9" t="s">
        <v>274</v>
      </c>
      <c r="G2751" s="7" t="s">
        <v>123</v>
      </c>
      <c r="H2751" s="7">
        <v>55</v>
      </c>
      <c r="I2751" s="7" t="s">
        <v>2119</v>
      </c>
      <c r="K2751" s="10">
        <v>20</v>
      </c>
      <c r="L2751" s="11">
        <v>19</v>
      </c>
      <c r="M2751" s="11">
        <v>28</v>
      </c>
      <c r="N2751" s="12" t="s">
        <v>275</v>
      </c>
      <c r="P2751" s="10">
        <v>30</v>
      </c>
      <c r="T2751" s="10">
        <v>60</v>
      </c>
      <c r="V2751" s="13">
        <v>1</v>
      </c>
      <c r="X2751" s="29">
        <v>11</v>
      </c>
      <c r="Y2751" s="7" t="s">
        <v>44</v>
      </c>
    </row>
    <row r="2752" spans="1:27" ht="23.1" customHeight="1" x14ac:dyDescent="0.25">
      <c r="A2752" t="s">
        <v>1333</v>
      </c>
      <c r="B2752" s="7" t="s">
        <v>110</v>
      </c>
      <c r="C2752" s="7">
        <v>16</v>
      </c>
      <c r="D2752" s="7" t="s">
        <v>1280</v>
      </c>
      <c r="E2752" s="8" t="s">
        <v>595</v>
      </c>
      <c r="F2752" s="9" t="s">
        <v>595</v>
      </c>
      <c r="G2752" s="7" t="s">
        <v>102</v>
      </c>
      <c r="H2752" s="7">
        <v>5</v>
      </c>
      <c r="I2752" s="7" t="s">
        <v>2060</v>
      </c>
      <c r="K2752" s="10">
        <v>2</v>
      </c>
      <c r="L2752" s="11">
        <v>23</v>
      </c>
      <c r="M2752" s="11">
        <v>28</v>
      </c>
      <c r="N2752" s="12" t="s">
        <v>596</v>
      </c>
      <c r="P2752" s="10">
        <v>45</v>
      </c>
      <c r="T2752" s="10">
        <v>60</v>
      </c>
      <c r="V2752" s="13">
        <v>1</v>
      </c>
      <c r="X2752" s="29">
        <v>2.5</v>
      </c>
      <c r="Y2752" s="7" t="s">
        <v>63</v>
      </c>
    </row>
    <row r="2753" spans="1:27" ht="23.1" customHeight="1" x14ac:dyDescent="0.25">
      <c r="A2753" t="s">
        <v>1333</v>
      </c>
      <c r="B2753" s="7" t="s">
        <v>110</v>
      </c>
      <c r="C2753" s="7">
        <v>16</v>
      </c>
      <c r="D2753" s="7" t="s">
        <v>1280</v>
      </c>
      <c r="E2753" s="8" t="s">
        <v>595</v>
      </c>
      <c r="F2753" s="9" t="s">
        <v>595</v>
      </c>
      <c r="G2753" s="7" t="s">
        <v>102</v>
      </c>
      <c r="H2753" s="7">
        <v>10</v>
      </c>
      <c r="I2753" s="7" t="s">
        <v>2226</v>
      </c>
      <c r="K2753" s="10">
        <v>2</v>
      </c>
      <c r="L2753" s="11">
        <v>23</v>
      </c>
      <c r="M2753" s="11">
        <v>28</v>
      </c>
      <c r="N2753" s="12" t="s">
        <v>596</v>
      </c>
      <c r="P2753" s="10">
        <v>50</v>
      </c>
      <c r="T2753" s="10">
        <v>90</v>
      </c>
      <c r="V2753" s="13">
        <v>1</v>
      </c>
      <c r="X2753" s="29">
        <v>3.2</v>
      </c>
      <c r="Y2753" s="7" t="s">
        <v>63</v>
      </c>
    </row>
    <row r="2754" spans="1:27" ht="23.1" customHeight="1" x14ac:dyDescent="0.25">
      <c r="A2754" t="s">
        <v>1333</v>
      </c>
      <c r="B2754" s="7" t="s">
        <v>110</v>
      </c>
      <c r="C2754" s="7">
        <v>16</v>
      </c>
      <c r="D2754" s="7" t="s">
        <v>1280</v>
      </c>
      <c r="E2754" s="8" t="s">
        <v>595</v>
      </c>
      <c r="F2754" s="9" t="s">
        <v>595</v>
      </c>
      <c r="G2754" s="7" t="s">
        <v>102</v>
      </c>
      <c r="H2754" s="7">
        <v>15</v>
      </c>
      <c r="I2754" s="7" t="s">
        <v>1947</v>
      </c>
      <c r="K2754" s="10">
        <v>0.1</v>
      </c>
      <c r="L2754" s="11">
        <v>23</v>
      </c>
      <c r="M2754" s="11">
        <v>28</v>
      </c>
      <c r="N2754" s="12" t="s">
        <v>596</v>
      </c>
      <c r="P2754" s="10">
        <v>35</v>
      </c>
      <c r="T2754" s="10">
        <v>60</v>
      </c>
      <c r="V2754" s="13">
        <v>1</v>
      </c>
      <c r="W2754" s="14">
        <v>2</v>
      </c>
      <c r="X2754" s="29">
        <v>3.1</v>
      </c>
      <c r="Y2754" s="7" t="s">
        <v>63</v>
      </c>
      <c r="Z2754" t="s">
        <v>1376</v>
      </c>
      <c r="AA2754" t="s">
        <v>238</v>
      </c>
    </row>
    <row r="2755" spans="1:27" ht="23.1" customHeight="1" x14ac:dyDescent="0.25">
      <c r="A2755" t="s">
        <v>1333</v>
      </c>
      <c r="B2755" s="7" t="s">
        <v>110</v>
      </c>
      <c r="C2755" s="7">
        <v>108</v>
      </c>
      <c r="D2755" s="42" t="s">
        <v>886</v>
      </c>
      <c r="E2755" s="8" t="s">
        <v>887</v>
      </c>
      <c r="F2755" s="9" t="e">
        <v>#N/A</v>
      </c>
      <c r="G2755" s="7" t="s">
        <v>154</v>
      </c>
      <c r="H2755" s="7">
        <v>25</v>
      </c>
      <c r="I2755" s="7" t="s">
        <v>2310</v>
      </c>
      <c r="J2755" s="10">
        <v>2</v>
      </c>
      <c r="K2755" s="10">
        <v>2</v>
      </c>
      <c r="L2755" s="11">
        <v>28</v>
      </c>
      <c r="M2755" s="11">
        <v>28</v>
      </c>
      <c r="N2755" s="12" t="s">
        <v>234</v>
      </c>
      <c r="P2755" s="10">
        <v>360</v>
      </c>
      <c r="Q2755" s="10">
        <v>60</v>
      </c>
      <c r="S2755" s="11">
        <v>2</v>
      </c>
      <c r="T2755" s="10">
        <v>90</v>
      </c>
      <c r="V2755" s="13">
        <v>1</v>
      </c>
      <c r="X2755" s="29">
        <v>15.5</v>
      </c>
      <c r="Y2755" s="7" t="s">
        <v>45</v>
      </c>
    </row>
    <row r="2756" spans="1:27" ht="23.1" customHeight="1" x14ac:dyDescent="0.25">
      <c r="A2756" t="s">
        <v>1333</v>
      </c>
      <c r="B2756" s="7" t="s">
        <v>110</v>
      </c>
      <c r="C2756" s="7">
        <v>13</v>
      </c>
      <c r="D2756" s="7" t="s">
        <v>1277</v>
      </c>
      <c r="E2756" s="8" t="s">
        <v>1278</v>
      </c>
      <c r="F2756" s="9" t="s">
        <v>1278</v>
      </c>
      <c r="G2756" s="7" t="s">
        <v>154</v>
      </c>
      <c r="H2756" s="7">
        <v>20</v>
      </c>
      <c r="I2756" s="7" t="s">
        <v>2354</v>
      </c>
      <c r="J2756" s="10">
        <v>20</v>
      </c>
      <c r="K2756" s="10">
        <v>34</v>
      </c>
      <c r="L2756" s="11">
        <v>23</v>
      </c>
      <c r="M2756" s="11">
        <v>28</v>
      </c>
      <c r="N2756" s="12" t="s">
        <v>1279</v>
      </c>
      <c r="P2756" s="10">
        <v>40</v>
      </c>
      <c r="T2756" s="10">
        <v>120</v>
      </c>
      <c r="X2756" s="29">
        <v>22.7</v>
      </c>
      <c r="Y2756" s="7" t="s">
        <v>72</v>
      </c>
    </row>
    <row r="2757" spans="1:27" ht="23.1" customHeight="1" x14ac:dyDescent="0.25">
      <c r="A2757" t="s">
        <v>1333</v>
      </c>
      <c r="B2757" s="7" t="s">
        <v>110</v>
      </c>
      <c r="C2757" s="7">
        <v>13</v>
      </c>
      <c r="D2757" s="7" t="s">
        <v>1277</v>
      </c>
      <c r="E2757" s="8" t="s">
        <v>1278</v>
      </c>
      <c r="F2757" s="9" t="s">
        <v>1278</v>
      </c>
      <c r="G2757" s="7" t="s">
        <v>154</v>
      </c>
      <c r="H2757" s="7">
        <v>25</v>
      </c>
      <c r="I2757" s="7" t="s">
        <v>2361</v>
      </c>
      <c r="K2757" s="10">
        <v>24</v>
      </c>
      <c r="L2757" s="11">
        <v>23</v>
      </c>
      <c r="M2757" s="11">
        <v>28</v>
      </c>
      <c r="N2757" s="12" t="s">
        <v>1279</v>
      </c>
      <c r="P2757" s="10">
        <v>25</v>
      </c>
      <c r="T2757" s="10">
        <v>90</v>
      </c>
      <c r="W2757" s="14">
        <v>2</v>
      </c>
      <c r="X2757" s="29">
        <v>12</v>
      </c>
      <c r="Y2757" s="7" t="s">
        <v>72</v>
      </c>
      <c r="Z2757" t="s">
        <v>1671</v>
      </c>
      <c r="AA2757" t="s">
        <v>238</v>
      </c>
    </row>
    <row r="2758" spans="1:27" ht="23.1" customHeight="1" x14ac:dyDescent="0.25">
      <c r="A2758" t="s">
        <v>1333</v>
      </c>
      <c r="B2758" s="7" t="s">
        <v>110</v>
      </c>
      <c r="C2758" s="7">
        <v>15</v>
      </c>
      <c r="D2758" s="7" t="s">
        <v>1255</v>
      </c>
      <c r="E2758" s="8" t="s">
        <v>117</v>
      </c>
      <c r="F2758" s="9" t="s">
        <v>117</v>
      </c>
      <c r="G2758" s="7" t="s">
        <v>118</v>
      </c>
      <c r="H2758" s="7">
        <v>25</v>
      </c>
      <c r="I2758" s="7" t="s">
        <v>2018</v>
      </c>
      <c r="J2758" s="10">
        <v>0.8</v>
      </c>
      <c r="K2758" s="10">
        <v>1.2</v>
      </c>
      <c r="L2758" s="11">
        <v>5</v>
      </c>
      <c r="M2758" s="11">
        <v>28</v>
      </c>
      <c r="N2758" s="12" t="s">
        <v>1266</v>
      </c>
      <c r="P2758" s="10">
        <v>900</v>
      </c>
      <c r="S2758" s="11">
        <v>1</v>
      </c>
      <c r="T2758" s="10">
        <v>120</v>
      </c>
      <c r="X2758" s="29">
        <v>18</v>
      </c>
      <c r="Y2758" s="7" t="s">
        <v>31</v>
      </c>
    </row>
    <row r="2759" spans="1:27" ht="23.1" customHeight="1" x14ac:dyDescent="0.25">
      <c r="A2759" t="s">
        <v>1333</v>
      </c>
      <c r="B2759" s="7" t="s">
        <v>110</v>
      </c>
      <c r="C2759" s="7">
        <v>14</v>
      </c>
      <c r="D2759" s="7" t="s">
        <v>1292</v>
      </c>
      <c r="E2759" s="8" t="s">
        <v>409</v>
      </c>
      <c r="F2759" s="9" t="s">
        <v>409</v>
      </c>
      <c r="G2759" s="7" t="s">
        <v>102</v>
      </c>
      <c r="H2759" s="7">
        <v>15</v>
      </c>
      <c r="I2759" s="7" t="s">
        <v>2205</v>
      </c>
      <c r="K2759" s="10">
        <v>4</v>
      </c>
      <c r="L2759" s="11">
        <v>9</v>
      </c>
      <c r="M2759" s="11">
        <v>5</v>
      </c>
      <c r="N2759" s="12" t="s">
        <v>596</v>
      </c>
      <c r="P2759" s="10">
        <v>40</v>
      </c>
      <c r="T2759" s="10">
        <v>60</v>
      </c>
      <c r="V2759" s="13">
        <v>1</v>
      </c>
      <c r="W2759" s="14">
        <v>2</v>
      </c>
      <c r="X2759" s="29">
        <v>5.7</v>
      </c>
      <c r="Y2759" s="7" t="s">
        <v>31</v>
      </c>
      <c r="Z2759" t="s">
        <v>1784</v>
      </c>
      <c r="AA2759" t="s">
        <v>238</v>
      </c>
    </row>
    <row r="2760" spans="1:27" ht="23.1" customHeight="1" x14ac:dyDescent="0.25">
      <c r="A2760" t="s">
        <v>1333</v>
      </c>
      <c r="B2760" s="7" t="s">
        <v>110</v>
      </c>
      <c r="C2760" s="7">
        <v>14</v>
      </c>
      <c r="D2760" s="7" t="s">
        <v>1293</v>
      </c>
      <c r="E2760" s="8" t="s">
        <v>409</v>
      </c>
      <c r="F2760" s="9" t="s">
        <v>409</v>
      </c>
      <c r="G2760" s="7" t="s">
        <v>102</v>
      </c>
      <c r="H2760" s="7">
        <v>15</v>
      </c>
      <c r="I2760" s="7" t="s">
        <v>2205</v>
      </c>
      <c r="K2760" s="10">
        <v>4</v>
      </c>
      <c r="L2760" s="11">
        <v>9</v>
      </c>
      <c r="M2760" s="11">
        <v>5</v>
      </c>
      <c r="N2760" s="12" t="s">
        <v>596</v>
      </c>
      <c r="P2760" s="10">
        <v>40</v>
      </c>
      <c r="T2760" s="10">
        <v>60</v>
      </c>
      <c r="V2760" s="13">
        <v>1</v>
      </c>
      <c r="W2760" s="14">
        <v>2</v>
      </c>
      <c r="X2760" s="29">
        <v>5.7</v>
      </c>
      <c r="Y2760" s="7" t="s">
        <v>31</v>
      </c>
      <c r="Z2760" t="s">
        <v>1784</v>
      </c>
      <c r="AA2760" t="s">
        <v>238</v>
      </c>
    </row>
    <row r="2761" spans="1:27" ht="23.1" customHeight="1" x14ac:dyDescent="0.25">
      <c r="A2761" t="s">
        <v>1333</v>
      </c>
      <c r="B2761" s="7" t="s">
        <v>110</v>
      </c>
      <c r="C2761" s="7">
        <v>77</v>
      </c>
      <c r="D2761" s="7" t="s">
        <v>1785</v>
      </c>
      <c r="E2761" s="8" t="s">
        <v>1786</v>
      </c>
      <c r="F2761" s="9" t="s">
        <v>1786</v>
      </c>
      <c r="G2761" s="7" t="s">
        <v>118</v>
      </c>
      <c r="H2761" s="7">
        <v>5</v>
      </c>
      <c r="I2761" s="7" t="s">
        <v>1930</v>
      </c>
      <c r="K2761" s="10">
        <v>21</v>
      </c>
      <c r="L2761" s="11">
        <v>19</v>
      </c>
      <c r="M2761" s="11">
        <v>9</v>
      </c>
      <c r="N2761" s="12" t="s">
        <v>393</v>
      </c>
      <c r="P2761" s="10">
        <v>30</v>
      </c>
      <c r="T2761" s="10">
        <v>60</v>
      </c>
      <c r="V2761" s="13">
        <v>1</v>
      </c>
      <c r="W2761" s="14">
        <v>2</v>
      </c>
      <c r="X2761" s="29">
        <v>13.5</v>
      </c>
      <c r="Y2761" s="7" t="s">
        <v>15</v>
      </c>
      <c r="Z2761" t="s">
        <v>1540</v>
      </c>
      <c r="AA2761" t="s">
        <v>238</v>
      </c>
    </row>
    <row r="2762" spans="1:27" ht="23.1" customHeight="1" x14ac:dyDescent="0.25">
      <c r="A2762" t="s">
        <v>1333</v>
      </c>
      <c r="B2762" s="7" t="s">
        <v>110</v>
      </c>
      <c r="C2762" s="7">
        <v>77</v>
      </c>
      <c r="D2762" s="7" t="s">
        <v>1785</v>
      </c>
      <c r="E2762" s="8" t="s">
        <v>1786</v>
      </c>
      <c r="F2762" s="9" t="s">
        <v>1786</v>
      </c>
      <c r="G2762" s="7" t="s">
        <v>118</v>
      </c>
      <c r="H2762" s="7">
        <v>10</v>
      </c>
      <c r="I2762" s="7" t="s">
        <v>2362</v>
      </c>
      <c r="K2762" s="10">
        <v>21</v>
      </c>
      <c r="L2762" s="11">
        <v>9</v>
      </c>
      <c r="M2762" s="11">
        <v>31</v>
      </c>
      <c r="N2762" s="12" t="s">
        <v>393</v>
      </c>
      <c r="P2762" s="10">
        <v>15</v>
      </c>
      <c r="T2762" s="10">
        <v>60</v>
      </c>
      <c r="V2762" s="13">
        <v>1</v>
      </c>
      <c r="W2762" s="14">
        <v>2</v>
      </c>
      <c r="X2762" s="29">
        <v>8.3000000000000007</v>
      </c>
      <c r="Y2762" s="7" t="s">
        <v>15</v>
      </c>
      <c r="Z2762" t="s">
        <v>1540</v>
      </c>
      <c r="AA2762" t="s">
        <v>238</v>
      </c>
    </row>
    <row r="2763" spans="1:27" ht="23.1" customHeight="1" x14ac:dyDescent="0.25">
      <c r="A2763" t="s">
        <v>1333</v>
      </c>
      <c r="B2763" s="7" t="s">
        <v>137</v>
      </c>
      <c r="C2763" s="7">
        <v>57</v>
      </c>
      <c r="D2763" s="7" t="s">
        <v>1031</v>
      </c>
      <c r="E2763" s="8" t="s">
        <v>1032</v>
      </c>
      <c r="F2763" s="9" t="s">
        <v>1032</v>
      </c>
      <c r="G2763" s="7" t="s">
        <v>107</v>
      </c>
      <c r="H2763" s="7">
        <v>20</v>
      </c>
      <c r="I2763" s="7" t="s">
        <v>2213</v>
      </c>
      <c r="K2763" s="10">
        <v>0.5</v>
      </c>
      <c r="L2763" s="11">
        <v>26</v>
      </c>
      <c r="N2763" s="12" t="s">
        <v>1312</v>
      </c>
      <c r="P2763" s="10">
        <v>180</v>
      </c>
      <c r="T2763" s="10">
        <v>90</v>
      </c>
      <c r="V2763" s="13">
        <v>1</v>
      </c>
      <c r="X2763" s="29">
        <v>3</v>
      </c>
      <c r="Y2763" s="7" t="s">
        <v>57</v>
      </c>
    </row>
    <row r="2764" spans="1:27" ht="23.1" customHeight="1" x14ac:dyDescent="0.25">
      <c r="A2764" t="s">
        <v>1333</v>
      </c>
      <c r="B2764" s="7" t="s">
        <v>137</v>
      </c>
      <c r="C2764" s="7">
        <v>18</v>
      </c>
      <c r="D2764" s="7" t="s">
        <v>1030</v>
      </c>
      <c r="E2764" s="8" t="s">
        <v>919</v>
      </c>
      <c r="F2764" s="9" t="s">
        <v>919</v>
      </c>
      <c r="G2764" s="7" t="s">
        <v>323</v>
      </c>
      <c r="H2764" s="7">
        <v>15</v>
      </c>
      <c r="I2764" s="7" t="s">
        <v>2402</v>
      </c>
      <c r="J2764" s="10">
        <v>2</v>
      </c>
      <c r="K2764" s="10">
        <v>2</v>
      </c>
      <c r="L2764" s="11">
        <v>28</v>
      </c>
      <c r="M2764" s="11">
        <v>28</v>
      </c>
      <c r="N2764" s="12" t="s">
        <v>778</v>
      </c>
      <c r="P2764" s="10">
        <v>210</v>
      </c>
      <c r="T2764" s="10">
        <v>90</v>
      </c>
      <c r="X2764" s="29">
        <v>7</v>
      </c>
      <c r="Y2764" s="7" t="s">
        <v>43</v>
      </c>
    </row>
    <row r="2765" spans="1:27" ht="23.1" customHeight="1" x14ac:dyDescent="0.25">
      <c r="A2765" t="s">
        <v>1333</v>
      </c>
      <c r="B2765" s="7" t="s">
        <v>137</v>
      </c>
      <c r="C2765" s="7">
        <v>18</v>
      </c>
      <c r="D2765" s="7" t="s">
        <v>918</v>
      </c>
      <c r="E2765" s="8" t="s">
        <v>919</v>
      </c>
      <c r="F2765" s="9" t="s">
        <v>919</v>
      </c>
      <c r="G2765" s="7" t="s">
        <v>323</v>
      </c>
      <c r="H2765" s="7">
        <v>15</v>
      </c>
      <c r="I2765" s="7" t="s">
        <v>2033</v>
      </c>
      <c r="J2765" s="10">
        <v>1</v>
      </c>
      <c r="K2765" s="10">
        <v>2</v>
      </c>
      <c r="L2765" s="11">
        <v>26</v>
      </c>
      <c r="M2765" s="11">
        <v>26</v>
      </c>
      <c r="N2765" s="12" t="s">
        <v>778</v>
      </c>
      <c r="P2765" s="10">
        <v>210</v>
      </c>
      <c r="T2765" s="10">
        <v>90</v>
      </c>
      <c r="V2765" s="13">
        <v>1</v>
      </c>
      <c r="X2765" s="29">
        <v>8.5</v>
      </c>
      <c r="Y2765" s="7" t="s">
        <v>43</v>
      </c>
    </row>
    <row r="2766" spans="1:27" ht="23.1" customHeight="1" x14ac:dyDescent="0.25">
      <c r="A2766" t="s">
        <v>1333</v>
      </c>
      <c r="B2766" s="7" t="s">
        <v>137</v>
      </c>
      <c r="C2766" s="7">
        <v>9</v>
      </c>
      <c r="D2766" s="7" t="s">
        <v>1366</v>
      </c>
      <c r="E2766" s="8" t="s">
        <v>1367</v>
      </c>
      <c r="F2766" s="9" t="s">
        <v>1367</v>
      </c>
      <c r="G2766" s="7" t="s">
        <v>123</v>
      </c>
      <c r="H2766" s="7">
        <v>10</v>
      </c>
      <c r="I2766" s="7" t="s">
        <v>2215</v>
      </c>
      <c r="K2766" s="10">
        <v>1.6</v>
      </c>
      <c r="L2766" s="11">
        <v>28</v>
      </c>
      <c r="M2766" s="11">
        <v>37</v>
      </c>
      <c r="N2766" s="12" t="s">
        <v>925</v>
      </c>
      <c r="P2766" s="10">
        <v>390</v>
      </c>
      <c r="T2766" s="10">
        <v>90</v>
      </c>
      <c r="V2766" s="13">
        <v>1</v>
      </c>
      <c r="W2766" s="14">
        <v>4</v>
      </c>
      <c r="X2766" s="29">
        <v>15.9</v>
      </c>
      <c r="Y2766" s="7" t="s">
        <v>55</v>
      </c>
      <c r="Z2766" t="s">
        <v>1787</v>
      </c>
      <c r="AA2766" t="s">
        <v>238</v>
      </c>
    </row>
    <row r="2767" spans="1:27" ht="23.1" customHeight="1" x14ac:dyDescent="0.25">
      <c r="A2767" t="s">
        <v>1333</v>
      </c>
      <c r="B2767" s="7" t="s">
        <v>137</v>
      </c>
      <c r="C2767" s="7">
        <v>10</v>
      </c>
      <c r="D2767" s="7" t="s">
        <v>946</v>
      </c>
      <c r="E2767" s="8" t="s">
        <v>947</v>
      </c>
      <c r="F2767" s="9" t="s">
        <v>947</v>
      </c>
      <c r="G2767" s="7" t="s">
        <v>300</v>
      </c>
      <c r="H2767" s="7">
        <v>30</v>
      </c>
      <c r="I2767" s="7" t="s">
        <v>2216</v>
      </c>
      <c r="J2767" s="10">
        <v>2.2000000000000002</v>
      </c>
      <c r="K2767" s="10">
        <v>2.1</v>
      </c>
      <c r="L2767" s="11">
        <v>28</v>
      </c>
      <c r="M2767" s="11">
        <v>37</v>
      </c>
      <c r="N2767" s="12" t="s">
        <v>1338</v>
      </c>
      <c r="P2767" s="10">
        <v>320</v>
      </c>
      <c r="T2767" s="10">
        <v>90</v>
      </c>
      <c r="X2767" s="29">
        <v>11.2</v>
      </c>
      <c r="Y2767" s="7" t="s">
        <v>55</v>
      </c>
      <c r="Z2767" t="s">
        <v>1788</v>
      </c>
    </row>
    <row r="2768" spans="1:27" ht="23.1" customHeight="1" x14ac:dyDescent="0.25">
      <c r="A2768" t="s">
        <v>1333</v>
      </c>
      <c r="B2768" s="7" t="s">
        <v>137</v>
      </c>
      <c r="C2768" s="7">
        <v>11</v>
      </c>
      <c r="D2768" s="7" t="s">
        <v>1296</v>
      </c>
      <c r="E2768" s="8" t="s">
        <v>1297</v>
      </c>
      <c r="F2768" s="9" t="s">
        <v>1297</v>
      </c>
      <c r="G2768" s="7" t="s">
        <v>154</v>
      </c>
      <c r="H2768" s="7">
        <v>30</v>
      </c>
      <c r="I2768" s="7" t="s">
        <v>2390</v>
      </c>
      <c r="J2768" s="10">
        <v>2</v>
      </c>
      <c r="K2768" s="10">
        <v>1</v>
      </c>
      <c r="L2768" s="11">
        <v>28</v>
      </c>
      <c r="M2768" s="11">
        <v>28</v>
      </c>
      <c r="N2768" s="12" t="s">
        <v>439</v>
      </c>
      <c r="P2768" s="10">
        <v>160</v>
      </c>
      <c r="T2768" s="10">
        <v>60</v>
      </c>
      <c r="X2768" s="29">
        <v>2.7</v>
      </c>
      <c r="Y2768" s="7" t="s">
        <v>38</v>
      </c>
    </row>
    <row r="2769" spans="1:27" ht="23.1" customHeight="1" x14ac:dyDescent="0.25">
      <c r="A2769" t="s">
        <v>1333</v>
      </c>
      <c r="B2769" s="7" t="s">
        <v>137</v>
      </c>
      <c r="C2769" s="7">
        <v>16</v>
      </c>
      <c r="D2769" s="7" t="s">
        <v>1280</v>
      </c>
      <c r="E2769" s="8" t="s">
        <v>595</v>
      </c>
      <c r="F2769" s="9" t="s">
        <v>595</v>
      </c>
      <c r="G2769" s="7" t="s">
        <v>102</v>
      </c>
      <c r="H2769" s="7">
        <v>15</v>
      </c>
      <c r="I2769" s="7" t="s">
        <v>1947</v>
      </c>
      <c r="J2769" s="10">
        <v>2</v>
      </c>
      <c r="K2769" s="10">
        <v>1.9</v>
      </c>
      <c r="L2769" s="11">
        <v>28</v>
      </c>
      <c r="M2769" s="11">
        <v>28</v>
      </c>
      <c r="N2769" s="12" t="s">
        <v>596</v>
      </c>
      <c r="P2769" s="10">
        <v>35</v>
      </c>
      <c r="T2769" s="10">
        <v>60</v>
      </c>
      <c r="X2769" s="29">
        <v>1.1000000000000001</v>
      </c>
      <c r="Y2769" s="7" t="s">
        <v>38</v>
      </c>
    </row>
    <row r="2770" spans="1:27" ht="23.1" customHeight="1" x14ac:dyDescent="0.25">
      <c r="A2770" t="s">
        <v>1333</v>
      </c>
      <c r="B2770" s="7" t="s">
        <v>137</v>
      </c>
      <c r="C2770" s="7">
        <v>57</v>
      </c>
      <c r="D2770" s="7" t="s">
        <v>1031</v>
      </c>
      <c r="E2770" s="8" t="s">
        <v>1032</v>
      </c>
      <c r="F2770" s="9" t="s">
        <v>1032</v>
      </c>
      <c r="G2770" s="7" t="s">
        <v>107</v>
      </c>
      <c r="H2770" s="7">
        <v>20</v>
      </c>
      <c r="I2770" s="7" t="s">
        <v>2213</v>
      </c>
      <c r="J2770" s="10">
        <v>3.5</v>
      </c>
      <c r="K2770" s="10">
        <v>4</v>
      </c>
      <c r="L2770" s="11">
        <v>28</v>
      </c>
      <c r="M2770" s="11">
        <v>28</v>
      </c>
      <c r="N2770" s="12" t="s">
        <v>1656</v>
      </c>
      <c r="P2770" s="10">
        <v>180</v>
      </c>
      <c r="T2770" s="10">
        <v>90</v>
      </c>
      <c r="X2770" s="29">
        <v>12</v>
      </c>
      <c r="Y2770" s="7" t="s">
        <v>57</v>
      </c>
    </row>
    <row r="2771" spans="1:27" ht="23.1" customHeight="1" x14ac:dyDescent="0.25">
      <c r="A2771" t="s">
        <v>1333</v>
      </c>
      <c r="B2771" s="7" t="s">
        <v>137</v>
      </c>
      <c r="C2771" s="7">
        <v>58</v>
      </c>
      <c r="D2771" s="7" t="s">
        <v>1759</v>
      </c>
      <c r="E2771" s="8" t="s">
        <v>409</v>
      </c>
      <c r="F2771" s="9" t="s">
        <v>409</v>
      </c>
      <c r="G2771" s="7" t="s">
        <v>658</v>
      </c>
      <c r="H2771" s="7">
        <v>25</v>
      </c>
      <c r="I2771" s="7" t="s">
        <v>2314</v>
      </c>
      <c r="J2771" s="10">
        <v>12</v>
      </c>
      <c r="K2771" s="10">
        <v>24</v>
      </c>
      <c r="L2771" s="11">
        <v>28</v>
      </c>
      <c r="M2771" s="11">
        <v>28</v>
      </c>
      <c r="N2771" s="12" t="s">
        <v>282</v>
      </c>
      <c r="P2771" s="10">
        <v>40</v>
      </c>
      <c r="T2771" s="10">
        <v>90</v>
      </c>
      <c r="X2771" s="29">
        <v>16</v>
      </c>
      <c r="Y2771" s="7" t="s">
        <v>57</v>
      </c>
    </row>
    <row r="2772" spans="1:27" ht="23.1" customHeight="1" x14ac:dyDescent="0.25">
      <c r="A2772" t="s">
        <v>1333</v>
      </c>
      <c r="B2772" s="7" t="s">
        <v>137</v>
      </c>
      <c r="C2772" s="7">
        <v>17</v>
      </c>
      <c r="D2772" s="7" t="s">
        <v>1702</v>
      </c>
      <c r="E2772" s="8" t="s">
        <v>625</v>
      </c>
      <c r="F2772" s="9" t="s">
        <v>625</v>
      </c>
      <c r="G2772" s="7" t="s">
        <v>250</v>
      </c>
      <c r="H2772" s="7">
        <v>35</v>
      </c>
      <c r="I2772" s="7" t="s">
        <v>2359</v>
      </c>
      <c r="J2772" s="10">
        <v>6</v>
      </c>
      <c r="K2772" s="10">
        <v>6</v>
      </c>
      <c r="L2772" s="11">
        <v>28</v>
      </c>
      <c r="M2772" s="11">
        <v>28</v>
      </c>
      <c r="N2772" s="12" t="s">
        <v>247</v>
      </c>
      <c r="P2772" s="10">
        <v>65</v>
      </c>
      <c r="T2772" s="10">
        <v>120</v>
      </c>
      <c r="X2772" s="29">
        <v>6.5</v>
      </c>
      <c r="Y2772" s="7" t="s">
        <v>43</v>
      </c>
    </row>
    <row r="2773" spans="1:27" ht="23.1" customHeight="1" x14ac:dyDescent="0.25">
      <c r="A2773" t="s">
        <v>1333</v>
      </c>
      <c r="B2773" s="7" t="s">
        <v>137</v>
      </c>
      <c r="C2773" s="7">
        <v>17</v>
      </c>
      <c r="D2773" s="7" t="s">
        <v>1702</v>
      </c>
      <c r="E2773" s="8" t="s">
        <v>625</v>
      </c>
      <c r="F2773" s="9" t="s">
        <v>625</v>
      </c>
      <c r="G2773" s="7" t="s">
        <v>250</v>
      </c>
      <c r="H2773" s="7">
        <v>10</v>
      </c>
      <c r="I2773" s="7" t="s">
        <v>1916</v>
      </c>
      <c r="K2773" s="10">
        <v>1</v>
      </c>
      <c r="L2773" s="11">
        <v>31</v>
      </c>
      <c r="N2773" s="12" t="s">
        <v>247</v>
      </c>
      <c r="P2773" s="10">
        <v>25</v>
      </c>
      <c r="T2773" s="10">
        <v>60</v>
      </c>
      <c r="V2773" s="13">
        <v>1</v>
      </c>
      <c r="X2773" s="29">
        <v>1.4</v>
      </c>
      <c r="Y2773" s="7" t="s">
        <v>43</v>
      </c>
    </row>
    <row r="2774" spans="1:27" ht="23.1" customHeight="1" x14ac:dyDescent="0.25">
      <c r="A2774" t="s">
        <v>1333</v>
      </c>
      <c r="B2774" s="7" t="s">
        <v>137</v>
      </c>
      <c r="C2774" s="7">
        <v>17</v>
      </c>
      <c r="D2774" s="7" t="s">
        <v>1702</v>
      </c>
      <c r="E2774" s="8" t="s">
        <v>625</v>
      </c>
      <c r="F2774" s="9" t="s">
        <v>625</v>
      </c>
      <c r="G2774" s="7" t="s">
        <v>250</v>
      </c>
      <c r="H2774" s="7">
        <v>15</v>
      </c>
      <c r="I2774" s="7" t="s">
        <v>2339</v>
      </c>
      <c r="K2774" s="10">
        <v>1</v>
      </c>
      <c r="M2774" s="11">
        <v>31</v>
      </c>
      <c r="N2774" s="12" t="s">
        <v>247</v>
      </c>
      <c r="P2774" s="10">
        <v>40</v>
      </c>
      <c r="T2774" s="10">
        <v>90</v>
      </c>
      <c r="V2774" s="13">
        <v>1</v>
      </c>
      <c r="X2774" s="29">
        <v>2.2000000000000002</v>
      </c>
      <c r="Y2774" s="7" t="s">
        <v>43</v>
      </c>
    </row>
    <row r="2775" spans="1:27" ht="23.1" customHeight="1" x14ac:dyDescent="0.25">
      <c r="A2775" t="s">
        <v>1333</v>
      </c>
      <c r="B2775" s="7" t="s">
        <v>113</v>
      </c>
      <c r="C2775" s="7">
        <v>15</v>
      </c>
      <c r="D2775" s="7" t="s">
        <v>1255</v>
      </c>
      <c r="E2775" s="8" t="s">
        <v>117</v>
      </c>
      <c r="F2775" s="9" t="s">
        <v>117</v>
      </c>
      <c r="G2775" s="7" t="s">
        <v>118</v>
      </c>
      <c r="H2775" s="7">
        <v>25</v>
      </c>
      <c r="I2775" s="7" t="s">
        <v>2018</v>
      </c>
      <c r="J2775" s="10">
        <v>0.8</v>
      </c>
      <c r="K2775" s="10">
        <v>1.5</v>
      </c>
      <c r="L2775" s="11">
        <v>26</v>
      </c>
      <c r="M2775" s="11">
        <v>19</v>
      </c>
      <c r="N2775" s="12" t="s">
        <v>1593</v>
      </c>
      <c r="P2775" s="10">
        <v>900</v>
      </c>
      <c r="T2775" s="10">
        <v>120</v>
      </c>
      <c r="X2775" s="29">
        <v>22.5</v>
      </c>
      <c r="Y2775" s="7" t="s">
        <v>60</v>
      </c>
    </row>
    <row r="2776" spans="1:27" ht="23.1" customHeight="1" x14ac:dyDescent="0.25">
      <c r="A2776" t="s">
        <v>1333</v>
      </c>
      <c r="B2776" s="7" t="s">
        <v>113</v>
      </c>
      <c r="C2776" s="7">
        <v>10</v>
      </c>
      <c r="D2776" s="7" t="s">
        <v>946</v>
      </c>
      <c r="E2776" s="8" t="s">
        <v>947</v>
      </c>
      <c r="F2776" s="9" t="s">
        <v>947</v>
      </c>
      <c r="G2776" s="7" t="s">
        <v>300</v>
      </c>
      <c r="H2776" s="7">
        <v>30</v>
      </c>
      <c r="I2776" s="7" t="s">
        <v>2216</v>
      </c>
      <c r="K2776" s="10">
        <v>1.6</v>
      </c>
      <c r="L2776" s="11">
        <v>37</v>
      </c>
      <c r="M2776" s="11">
        <v>23</v>
      </c>
      <c r="N2776" s="12" t="s">
        <v>948</v>
      </c>
      <c r="P2776" s="10">
        <v>320</v>
      </c>
      <c r="T2776" s="10">
        <v>90</v>
      </c>
      <c r="X2776" s="29">
        <v>8.5</v>
      </c>
      <c r="Y2776" s="7" t="s">
        <v>23</v>
      </c>
      <c r="Z2776" t="s">
        <v>1789</v>
      </c>
    </row>
    <row r="2777" spans="1:27" ht="23.1" customHeight="1" x14ac:dyDescent="0.25">
      <c r="A2777" t="s">
        <v>1333</v>
      </c>
      <c r="B2777" s="7" t="s">
        <v>113</v>
      </c>
      <c r="C2777" s="7">
        <v>9</v>
      </c>
      <c r="D2777" s="7" t="s">
        <v>1287</v>
      </c>
      <c r="E2777" s="8" t="s">
        <v>1367</v>
      </c>
      <c r="F2777" s="9" t="s">
        <v>1367</v>
      </c>
      <c r="G2777" s="7" t="s">
        <v>123</v>
      </c>
      <c r="H2777" s="7">
        <v>10</v>
      </c>
      <c r="I2777" s="7" t="s">
        <v>2215</v>
      </c>
      <c r="K2777" s="10">
        <v>1.8</v>
      </c>
      <c r="L2777" s="11">
        <v>37</v>
      </c>
      <c r="M2777" s="11">
        <v>5</v>
      </c>
      <c r="N2777" s="12" t="s">
        <v>1790</v>
      </c>
      <c r="P2777" s="10">
        <v>390</v>
      </c>
      <c r="T2777" s="10">
        <v>90</v>
      </c>
      <c r="X2777" s="29">
        <v>11.7</v>
      </c>
      <c r="Y2777" s="7" t="s">
        <v>23</v>
      </c>
    </row>
    <row r="2778" spans="1:27" ht="23.1" customHeight="1" x14ac:dyDescent="0.25">
      <c r="A2778" t="s">
        <v>1333</v>
      </c>
      <c r="B2778" s="7" t="s">
        <v>113</v>
      </c>
      <c r="C2778" s="7">
        <v>79</v>
      </c>
      <c r="D2778" s="7" t="s">
        <v>420</v>
      </c>
      <c r="E2778" s="8" t="s">
        <v>153</v>
      </c>
      <c r="F2778" s="9" t="s">
        <v>1247</v>
      </c>
      <c r="G2778" s="7" t="s">
        <v>154</v>
      </c>
      <c r="H2778" s="7">
        <v>50</v>
      </c>
      <c r="I2778" s="7" t="s">
        <v>2204</v>
      </c>
      <c r="J2778" s="10">
        <v>0.3</v>
      </c>
      <c r="K2778" s="10">
        <v>0.3</v>
      </c>
      <c r="L2778" s="11">
        <v>23</v>
      </c>
      <c r="N2778" s="12" t="s">
        <v>784</v>
      </c>
      <c r="P2778" s="10">
        <v>3700</v>
      </c>
      <c r="Q2778" s="10">
        <v>90</v>
      </c>
      <c r="T2778" s="10">
        <v>180</v>
      </c>
      <c r="X2778" s="29">
        <v>18.5</v>
      </c>
      <c r="Y2778" s="7" t="s">
        <v>5</v>
      </c>
    </row>
    <row r="2779" spans="1:27" ht="23.1" customHeight="1" x14ac:dyDescent="0.25">
      <c r="A2779" t="s">
        <v>1333</v>
      </c>
      <c r="B2779" s="7" t="s">
        <v>113</v>
      </c>
      <c r="C2779" s="7">
        <v>59</v>
      </c>
      <c r="D2779" s="7" t="s">
        <v>1791</v>
      </c>
      <c r="E2779" s="8" t="s">
        <v>409</v>
      </c>
      <c r="F2779" s="9" t="s">
        <v>409</v>
      </c>
      <c r="G2779" s="7" t="s">
        <v>102</v>
      </c>
      <c r="H2779" s="7">
        <v>15</v>
      </c>
      <c r="I2779" s="7" t="s">
        <v>1852</v>
      </c>
      <c r="K2779" s="10">
        <v>1</v>
      </c>
      <c r="L2779" s="11">
        <v>26</v>
      </c>
      <c r="N2779" s="12" t="s">
        <v>596</v>
      </c>
      <c r="P2779" s="10">
        <v>35</v>
      </c>
      <c r="T2779" s="10">
        <v>90</v>
      </c>
      <c r="V2779" s="13">
        <v>1</v>
      </c>
      <c r="X2779" s="29">
        <v>2.1</v>
      </c>
      <c r="Y2779" s="7" t="s">
        <v>6</v>
      </c>
    </row>
    <row r="2780" spans="1:27" ht="23.1" customHeight="1" x14ac:dyDescent="0.25">
      <c r="A2780" t="s">
        <v>1333</v>
      </c>
      <c r="B2780" s="7" t="s">
        <v>113</v>
      </c>
      <c r="C2780" s="7">
        <v>59</v>
      </c>
      <c r="D2780" s="7" t="s">
        <v>1791</v>
      </c>
      <c r="E2780" s="8" t="s">
        <v>409</v>
      </c>
      <c r="F2780" s="9" t="s">
        <v>409</v>
      </c>
      <c r="G2780" s="7" t="s">
        <v>102</v>
      </c>
      <c r="H2780" s="7">
        <v>20</v>
      </c>
      <c r="I2780" s="7" t="s">
        <v>2217</v>
      </c>
      <c r="K2780" s="10">
        <v>1</v>
      </c>
      <c r="M2780" s="11">
        <v>23</v>
      </c>
      <c r="N2780" s="12" t="s">
        <v>596</v>
      </c>
      <c r="P2780" s="10">
        <v>25</v>
      </c>
      <c r="T2780" s="10">
        <v>60</v>
      </c>
      <c r="V2780" s="13">
        <v>1</v>
      </c>
      <c r="W2780" s="14">
        <v>5</v>
      </c>
      <c r="X2780" s="29">
        <v>6.4</v>
      </c>
      <c r="Y2780" s="7" t="s">
        <v>6</v>
      </c>
      <c r="Z2780" t="s">
        <v>1792</v>
      </c>
      <c r="AA2780" t="s">
        <v>238</v>
      </c>
    </row>
    <row r="2781" spans="1:27" ht="23.1" customHeight="1" x14ac:dyDescent="0.25">
      <c r="A2781" t="s">
        <v>1333</v>
      </c>
      <c r="B2781" s="7" t="s">
        <v>113</v>
      </c>
      <c r="C2781" s="7">
        <v>59</v>
      </c>
      <c r="D2781" s="7" t="s">
        <v>1791</v>
      </c>
      <c r="E2781" s="8" t="s">
        <v>409</v>
      </c>
      <c r="F2781" s="9" t="s">
        <v>409</v>
      </c>
      <c r="G2781" s="7" t="s">
        <v>102</v>
      </c>
      <c r="H2781" s="7">
        <v>25</v>
      </c>
      <c r="I2781" s="7" t="s">
        <v>2208</v>
      </c>
      <c r="K2781" s="10">
        <v>1</v>
      </c>
      <c r="M2781" s="11">
        <v>23</v>
      </c>
      <c r="N2781" s="12" t="s">
        <v>596</v>
      </c>
      <c r="P2781" s="10">
        <v>55</v>
      </c>
      <c r="T2781" s="10">
        <v>90</v>
      </c>
      <c r="V2781" s="13">
        <v>1</v>
      </c>
      <c r="X2781" s="29">
        <v>2.4</v>
      </c>
      <c r="Y2781" s="7" t="s">
        <v>6</v>
      </c>
    </row>
    <row r="2782" spans="1:27" ht="23.1" customHeight="1" x14ac:dyDescent="0.25">
      <c r="A2782" t="s">
        <v>1333</v>
      </c>
      <c r="B2782" s="7" t="s">
        <v>113</v>
      </c>
      <c r="C2782" s="7">
        <v>18</v>
      </c>
      <c r="D2782" s="7" t="s">
        <v>918</v>
      </c>
      <c r="E2782" s="8" t="s">
        <v>919</v>
      </c>
      <c r="F2782" s="9" t="s">
        <v>919</v>
      </c>
      <c r="G2782" s="7" t="s">
        <v>323</v>
      </c>
      <c r="H2782" s="7">
        <v>15</v>
      </c>
      <c r="I2782" s="7" t="s">
        <v>2033</v>
      </c>
      <c r="J2782" s="10">
        <v>3</v>
      </c>
      <c r="K2782" s="10">
        <v>4</v>
      </c>
      <c r="L2782" s="11">
        <v>5</v>
      </c>
      <c r="M2782" s="11">
        <v>5</v>
      </c>
      <c r="N2782" s="12" t="s">
        <v>778</v>
      </c>
      <c r="P2782" s="10">
        <v>210</v>
      </c>
      <c r="T2782" s="10">
        <v>90</v>
      </c>
      <c r="X2782" s="29">
        <v>14</v>
      </c>
      <c r="Y2782" s="7" t="s">
        <v>14</v>
      </c>
    </row>
    <row r="2783" spans="1:27" ht="23.1" customHeight="1" x14ac:dyDescent="0.25">
      <c r="A2783" t="s">
        <v>1333</v>
      </c>
      <c r="B2783" s="7" t="s">
        <v>113</v>
      </c>
      <c r="C2783" s="7">
        <v>12</v>
      </c>
      <c r="D2783" s="7" t="s">
        <v>735</v>
      </c>
      <c r="E2783" s="8" t="s">
        <v>249</v>
      </c>
      <c r="F2783" s="9" t="s">
        <v>249</v>
      </c>
      <c r="G2783" s="7" t="s">
        <v>250</v>
      </c>
      <c r="H2783" s="7">
        <v>25</v>
      </c>
      <c r="I2783" s="7" t="s">
        <v>1923</v>
      </c>
      <c r="J2783" s="10">
        <v>1</v>
      </c>
      <c r="K2783" s="10">
        <v>1</v>
      </c>
      <c r="L2783" s="11">
        <v>19</v>
      </c>
      <c r="N2783" s="12" t="s">
        <v>1793</v>
      </c>
      <c r="P2783" s="10">
        <v>1080</v>
      </c>
      <c r="T2783" s="10">
        <v>120</v>
      </c>
      <c r="X2783" s="29">
        <v>18</v>
      </c>
      <c r="Y2783" s="7" t="s">
        <v>10</v>
      </c>
    </row>
    <row r="2784" spans="1:27" ht="23.1" customHeight="1" x14ac:dyDescent="0.25">
      <c r="A2784" t="s">
        <v>1333</v>
      </c>
      <c r="B2784" s="7" t="s">
        <v>113</v>
      </c>
      <c r="C2784" s="7">
        <v>56</v>
      </c>
      <c r="D2784" s="7" t="s">
        <v>273</v>
      </c>
      <c r="E2784" s="8" t="s">
        <v>274</v>
      </c>
      <c r="F2784" s="9" t="s">
        <v>274</v>
      </c>
      <c r="G2784" s="7" t="s">
        <v>123</v>
      </c>
      <c r="H2784" s="7">
        <v>58</v>
      </c>
      <c r="K2784" s="10">
        <v>5</v>
      </c>
      <c r="L2784" s="11">
        <v>31</v>
      </c>
      <c r="M2784" s="11">
        <v>23</v>
      </c>
      <c r="N2784" s="12" t="s">
        <v>275</v>
      </c>
      <c r="O2784" s="10">
        <v>90</v>
      </c>
      <c r="U2784" s="10">
        <v>60</v>
      </c>
      <c r="V2784" s="13">
        <v>1</v>
      </c>
      <c r="W2784" s="14">
        <v>2</v>
      </c>
      <c r="X2784" s="32">
        <v>10.5</v>
      </c>
      <c r="Y2784" s="7" t="s">
        <v>18</v>
      </c>
      <c r="Z2784" t="s">
        <v>1245</v>
      </c>
      <c r="AA2784" t="s">
        <v>238</v>
      </c>
    </row>
    <row r="2785" spans="1:27" ht="23.1" customHeight="1" x14ac:dyDescent="0.25">
      <c r="A2785" t="s">
        <v>1333</v>
      </c>
      <c r="B2785" s="7" t="s">
        <v>113</v>
      </c>
      <c r="C2785" s="7">
        <v>56</v>
      </c>
      <c r="D2785" s="7" t="s">
        <v>273</v>
      </c>
      <c r="E2785" s="8" t="s">
        <v>274</v>
      </c>
      <c r="F2785" s="9" t="s">
        <v>274</v>
      </c>
      <c r="G2785" s="7" t="s">
        <v>123</v>
      </c>
      <c r="H2785" s="7">
        <v>60</v>
      </c>
      <c r="I2785" s="7" t="s">
        <v>2206</v>
      </c>
      <c r="K2785" s="10">
        <v>5</v>
      </c>
      <c r="L2785" s="11">
        <v>31</v>
      </c>
      <c r="M2785" s="11">
        <v>23</v>
      </c>
      <c r="N2785" s="12" t="s">
        <v>275</v>
      </c>
      <c r="P2785" s="10">
        <v>45</v>
      </c>
      <c r="T2785" s="10">
        <v>60</v>
      </c>
      <c r="V2785" s="13">
        <v>1</v>
      </c>
      <c r="X2785" s="29">
        <v>4.8</v>
      </c>
      <c r="Y2785" s="7" t="s">
        <v>18</v>
      </c>
    </row>
    <row r="2786" spans="1:27" ht="23.1" customHeight="1" x14ac:dyDescent="0.25">
      <c r="A2786" t="s">
        <v>1333</v>
      </c>
      <c r="B2786" s="7" t="s">
        <v>113</v>
      </c>
      <c r="C2786" s="7">
        <v>78</v>
      </c>
      <c r="D2786" s="7" t="s">
        <v>1271</v>
      </c>
      <c r="E2786" s="8" t="s">
        <v>1013</v>
      </c>
      <c r="F2786" s="9" t="s">
        <v>1013</v>
      </c>
      <c r="G2786" s="7" t="s">
        <v>250</v>
      </c>
      <c r="H2786" s="7">
        <v>40</v>
      </c>
      <c r="I2786" s="7" t="s">
        <v>1902</v>
      </c>
      <c r="J2786" s="10">
        <v>3</v>
      </c>
      <c r="K2786" s="10">
        <v>3.3</v>
      </c>
      <c r="L2786" s="11">
        <v>28</v>
      </c>
      <c r="M2786" s="11">
        <v>5</v>
      </c>
      <c r="N2786" s="12" t="s">
        <v>1794</v>
      </c>
      <c r="P2786" s="10">
        <v>250</v>
      </c>
      <c r="Q2786" s="10">
        <v>60</v>
      </c>
      <c r="S2786" s="11">
        <v>3</v>
      </c>
      <c r="T2786" s="10">
        <v>90</v>
      </c>
      <c r="X2786" s="29">
        <v>16.8</v>
      </c>
      <c r="Y2786" s="7" t="s">
        <v>5</v>
      </c>
    </row>
    <row r="2787" spans="1:27" ht="23.1" customHeight="1" x14ac:dyDescent="0.25">
      <c r="A2787" t="s">
        <v>1333</v>
      </c>
      <c r="B2787" s="7" t="s">
        <v>113</v>
      </c>
      <c r="C2787" s="7">
        <v>57</v>
      </c>
      <c r="D2787" s="7" t="s">
        <v>1042</v>
      </c>
      <c r="E2787" s="8" t="s">
        <v>1281</v>
      </c>
      <c r="F2787" s="9" t="s">
        <v>1281</v>
      </c>
      <c r="G2787" s="7" t="s">
        <v>107</v>
      </c>
      <c r="H2787" s="7">
        <v>20</v>
      </c>
      <c r="I2787" s="7" t="s">
        <v>2213</v>
      </c>
      <c r="J2787" s="10">
        <v>0.5</v>
      </c>
      <c r="K2787" s="10">
        <v>0.5</v>
      </c>
      <c r="L2787" s="11">
        <v>26</v>
      </c>
      <c r="N2787" s="12" t="s">
        <v>1312</v>
      </c>
      <c r="P2787" s="10">
        <v>180</v>
      </c>
      <c r="T2787" s="10">
        <v>90</v>
      </c>
      <c r="X2787" s="29">
        <v>1.5</v>
      </c>
      <c r="Y2787" s="7" t="s">
        <v>6</v>
      </c>
    </row>
    <row r="2788" spans="1:27" ht="23.1" customHeight="1" x14ac:dyDescent="0.25">
      <c r="A2788" t="s">
        <v>1333</v>
      </c>
      <c r="B2788" s="7" t="s">
        <v>113</v>
      </c>
      <c r="C2788" s="7">
        <v>57</v>
      </c>
      <c r="D2788" s="7" t="s">
        <v>1042</v>
      </c>
      <c r="E2788" s="8" t="s">
        <v>1281</v>
      </c>
      <c r="F2788" s="9" t="s">
        <v>1281</v>
      </c>
      <c r="G2788" s="7" t="s">
        <v>107</v>
      </c>
      <c r="H2788" s="7">
        <v>20</v>
      </c>
      <c r="I2788" s="7" t="s">
        <v>2213</v>
      </c>
      <c r="J2788" s="10">
        <v>3</v>
      </c>
      <c r="K2788" s="10">
        <v>3.8</v>
      </c>
      <c r="L2788" s="11">
        <v>5</v>
      </c>
      <c r="M2788" s="11">
        <v>5</v>
      </c>
      <c r="N2788" s="12" t="s">
        <v>1795</v>
      </c>
      <c r="P2788" s="10">
        <v>180</v>
      </c>
      <c r="T2788" s="10">
        <v>90</v>
      </c>
      <c r="X2788" s="29">
        <v>11.4</v>
      </c>
      <c r="Y2788" s="7" t="s">
        <v>6</v>
      </c>
    </row>
    <row r="2789" spans="1:27" ht="23.1" customHeight="1" x14ac:dyDescent="0.25">
      <c r="A2789" t="s">
        <v>1333</v>
      </c>
      <c r="B2789" s="7" t="s">
        <v>113</v>
      </c>
      <c r="C2789" s="7">
        <v>13</v>
      </c>
      <c r="D2789" s="7" t="s">
        <v>1277</v>
      </c>
      <c r="E2789" s="8" t="s">
        <v>1278</v>
      </c>
      <c r="F2789" s="9" t="s">
        <v>1278</v>
      </c>
      <c r="G2789" s="7" t="s">
        <v>154</v>
      </c>
      <c r="H2789" s="7">
        <v>25</v>
      </c>
      <c r="I2789" s="7" t="s">
        <v>2404</v>
      </c>
      <c r="J2789" s="10">
        <v>40</v>
      </c>
      <c r="K2789" s="10">
        <v>44</v>
      </c>
      <c r="L2789" s="11">
        <v>28</v>
      </c>
      <c r="M2789" s="11">
        <v>37</v>
      </c>
      <c r="N2789" s="12" t="s">
        <v>1279</v>
      </c>
      <c r="P2789" s="10">
        <v>25</v>
      </c>
      <c r="T2789" s="10">
        <v>90</v>
      </c>
      <c r="X2789" s="29">
        <v>18.3</v>
      </c>
      <c r="Y2789" s="7" t="s">
        <v>10</v>
      </c>
    </row>
    <row r="2790" spans="1:27" ht="23.1" customHeight="1" x14ac:dyDescent="0.25">
      <c r="A2790" t="s">
        <v>1333</v>
      </c>
      <c r="B2790" s="7" t="s">
        <v>113</v>
      </c>
      <c r="C2790" s="7">
        <v>13</v>
      </c>
      <c r="D2790" s="7" t="s">
        <v>1277</v>
      </c>
      <c r="E2790" s="8" t="s">
        <v>1278</v>
      </c>
      <c r="F2790" s="9" t="s">
        <v>1278</v>
      </c>
      <c r="G2790" s="7" t="s">
        <v>154</v>
      </c>
      <c r="H2790" s="7">
        <v>30</v>
      </c>
      <c r="I2790" s="7" t="s">
        <v>2525</v>
      </c>
      <c r="J2790" s="10">
        <v>20</v>
      </c>
      <c r="K2790" s="10">
        <v>17</v>
      </c>
      <c r="L2790" s="11">
        <v>37</v>
      </c>
      <c r="M2790" s="11">
        <v>37</v>
      </c>
      <c r="N2790" s="12" t="s">
        <v>1279</v>
      </c>
      <c r="P2790" s="10">
        <v>35</v>
      </c>
      <c r="T2790" s="10">
        <v>90</v>
      </c>
      <c r="V2790" s="13">
        <v>1</v>
      </c>
      <c r="W2790" s="14">
        <v>2</v>
      </c>
      <c r="X2790" s="29">
        <v>13.4</v>
      </c>
      <c r="Y2790" s="7" t="s">
        <v>10</v>
      </c>
      <c r="Z2790" t="s">
        <v>1767</v>
      </c>
      <c r="AA2790" t="s">
        <v>238</v>
      </c>
    </row>
    <row r="2791" spans="1:27" ht="23.1" customHeight="1" x14ac:dyDescent="0.25">
      <c r="A2791" t="s">
        <v>1333</v>
      </c>
      <c r="B2791" s="7" t="s">
        <v>113</v>
      </c>
      <c r="C2791" s="7">
        <v>14</v>
      </c>
      <c r="D2791" s="7" t="s">
        <v>1257</v>
      </c>
      <c r="E2791" s="8" t="s">
        <v>806</v>
      </c>
      <c r="F2791" s="9" t="s">
        <v>806</v>
      </c>
      <c r="G2791" s="7" t="s">
        <v>154</v>
      </c>
      <c r="H2791" s="7">
        <v>5</v>
      </c>
      <c r="I2791" s="7" t="s">
        <v>1957</v>
      </c>
      <c r="J2791" s="10">
        <v>2</v>
      </c>
      <c r="K2791" s="10">
        <v>2</v>
      </c>
      <c r="L2791" s="11">
        <v>28</v>
      </c>
      <c r="M2791" s="11">
        <v>28</v>
      </c>
      <c r="N2791" s="12" t="s">
        <v>159</v>
      </c>
      <c r="P2791" s="10">
        <v>330</v>
      </c>
      <c r="T2791" s="10">
        <v>60</v>
      </c>
      <c r="V2791" s="13">
        <v>1</v>
      </c>
      <c r="W2791" s="14">
        <v>2</v>
      </c>
      <c r="X2791" s="29">
        <v>14</v>
      </c>
      <c r="Y2791" s="7" t="s">
        <v>60</v>
      </c>
      <c r="Z2791" t="s">
        <v>1376</v>
      </c>
      <c r="AA2791" t="s">
        <v>238</v>
      </c>
    </row>
    <row r="2792" spans="1:27" ht="23.1" customHeight="1" x14ac:dyDescent="0.25">
      <c r="A2792" t="s">
        <v>1333</v>
      </c>
      <c r="B2792" s="7" t="s">
        <v>113</v>
      </c>
      <c r="C2792" s="7">
        <v>14</v>
      </c>
      <c r="D2792" s="7" t="s">
        <v>1257</v>
      </c>
      <c r="E2792" s="8" t="s">
        <v>806</v>
      </c>
      <c r="F2792" s="9" t="s">
        <v>806</v>
      </c>
      <c r="G2792" s="7" t="s">
        <v>154</v>
      </c>
      <c r="H2792" s="7">
        <v>10</v>
      </c>
      <c r="I2792" s="7" t="s">
        <v>2057</v>
      </c>
      <c r="J2792" s="10">
        <v>2</v>
      </c>
      <c r="K2792" s="10">
        <v>2</v>
      </c>
      <c r="L2792" s="11">
        <v>37</v>
      </c>
      <c r="M2792" s="11">
        <v>37</v>
      </c>
      <c r="N2792" s="12" t="s">
        <v>159</v>
      </c>
      <c r="P2792" s="10">
        <v>140</v>
      </c>
      <c r="T2792" s="10">
        <v>90</v>
      </c>
      <c r="V2792" s="13">
        <v>1</v>
      </c>
      <c r="W2792" s="14">
        <v>2</v>
      </c>
      <c r="X2792" s="29">
        <v>8.1999999999999993</v>
      </c>
      <c r="Y2792" s="7" t="s">
        <v>60</v>
      </c>
      <c r="Z2792" t="s">
        <v>1396</v>
      </c>
    </row>
    <row r="2793" spans="1:27" ht="23.1" customHeight="1" x14ac:dyDescent="0.25">
      <c r="A2793" t="s">
        <v>1333</v>
      </c>
      <c r="B2793" s="7" t="s">
        <v>113</v>
      </c>
      <c r="C2793" s="7">
        <v>21</v>
      </c>
      <c r="D2793" s="7" t="s">
        <v>321</v>
      </c>
      <c r="E2793" s="8" t="s">
        <v>322</v>
      </c>
      <c r="F2793" s="9" t="s">
        <v>322</v>
      </c>
      <c r="G2793" s="7" t="s">
        <v>323</v>
      </c>
      <c r="H2793" s="7">
        <v>15</v>
      </c>
      <c r="I2793" s="7" t="s">
        <v>2048</v>
      </c>
      <c r="J2793" s="10">
        <v>3</v>
      </c>
      <c r="K2793" s="10">
        <v>2.9</v>
      </c>
      <c r="L2793" s="11">
        <v>31</v>
      </c>
      <c r="M2793" s="11">
        <v>37</v>
      </c>
      <c r="N2793" s="12" t="s">
        <v>1448</v>
      </c>
      <c r="P2793" s="10">
        <v>210</v>
      </c>
      <c r="Q2793" s="10">
        <v>120</v>
      </c>
      <c r="S2793" s="11">
        <v>2</v>
      </c>
      <c r="T2793" s="10">
        <v>180</v>
      </c>
      <c r="X2793" s="29">
        <v>14.2</v>
      </c>
      <c r="Y2793" s="7" t="s">
        <v>49</v>
      </c>
    </row>
    <row r="2794" spans="1:27" ht="23.1" customHeight="1" x14ac:dyDescent="0.25">
      <c r="A2794" t="s">
        <v>1333</v>
      </c>
      <c r="B2794" s="7" t="s">
        <v>113</v>
      </c>
      <c r="C2794" s="7">
        <v>55</v>
      </c>
      <c r="D2794" s="7" t="s">
        <v>1268</v>
      </c>
      <c r="E2794" s="8" t="s">
        <v>409</v>
      </c>
      <c r="F2794" s="9" t="s">
        <v>409</v>
      </c>
      <c r="G2794" s="7" t="s">
        <v>102</v>
      </c>
      <c r="H2794" s="7">
        <v>10</v>
      </c>
      <c r="I2794" s="7" t="s">
        <v>1952</v>
      </c>
      <c r="K2794" s="10">
        <v>2</v>
      </c>
      <c r="L2794" s="11">
        <v>31</v>
      </c>
      <c r="M2794" s="11">
        <v>31</v>
      </c>
      <c r="N2794" s="12" t="s">
        <v>596</v>
      </c>
      <c r="P2794" s="10">
        <v>60</v>
      </c>
      <c r="T2794" s="10">
        <v>60</v>
      </c>
      <c r="V2794" s="13">
        <v>1</v>
      </c>
      <c r="X2794" s="29">
        <v>3</v>
      </c>
      <c r="Y2794" s="7" t="s">
        <v>18</v>
      </c>
    </row>
    <row r="2795" spans="1:27" ht="23.1" customHeight="1" x14ac:dyDescent="0.25">
      <c r="A2795" t="s">
        <v>1333</v>
      </c>
      <c r="B2795" s="7" t="s">
        <v>113</v>
      </c>
      <c r="C2795" s="7">
        <v>55</v>
      </c>
      <c r="D2795" s="7" t="s">
        <v>1268</v>
      </c>
      <c r="E2795" s="8" t="s">
        <v>409</v>
      </c>
      <c r="F2795" s="9" t="s">
        <v>409</v>
      </c>
      <c r="G2795" s="7" t="s">
        <v>102</v>
      </c>
      <c r="H2795" s="7">
        <v>15</v>
      </c>
      <c r="I2795" s="7" t="s">
        <v>1864</v>
      </c>
      <c r="K2795" s="10">
        <v>2</v>
      </c>
      <c r="L2795" s="11">
        <v>31</v>
      </c>
      <c r="M2795" s="11">
        <v>31</v>
      </c>
      <c r="N2795" s="12" t="s">
        <v>596</v>
      </c>
      <c r="P2795" s="10">
        <v>35</v>
      </c>
      <c r="T2795" s="10">
        <v>90</v>
      </c>
      <c r="V2795" s="13">
        <v>1</v>
      </c>
      <c r="X2795" s="29">
        <v>2.7</v>
      </c>
      <c r="Y2795" s="7" t="s">
        <v>18</v>
      </c>
    </row>
    <row r="2796" spans="1:27" ht="23.1" customHeight="1" x14ac:dyDescent="0.25">
      <c r="A2796" t="s">
        <v>1333</v>
      </c>
      <c r="B2796" s="7" t="s">
        <v>113</v>
      </c>
      <c r="C2796" s="7">
        <v>55</v>
      </c>
      <c r="D2796" s="7" t="s">
        <v>1268</v>
      </c>
      <c r="E2796" s="8" t="s">
        <v>409</v>
      </c>
      <c r="F2796" s="9" t="s">
        <v>409</v>
      </c>
      <c r="G2796" s="7" t="s">
        <v>102</v>
      </c>
      <c r="H2796" s="7">
        <v>20</v>
      </c>
      <c r="I2796" s="7" t="s">
        <v>2252</v>
      </c>
      <c r="K2796" s="10">
        <v>2</v>
      </c>
      <c r="L2796" s="11">
        <v>31</v>
      </c>
      <c r="M2796" s="11">
        <v>31</v>
      </c>
      <c r="N2796" s="12" t="s">
        <v>596</v>
      </c>
      <c r="P2796" s="10">
        <v>10</v>
      </c>
      <c r="W2796" s="14">
        <v>2</v>
      </c>
      <c r="X2796" s="29">
        <v>2.2999999999999998</v>
      </c>
      <c r="Y2796" s="7" t="s">
        <v>18</v>
      </c>
      <c r="Z2796" t="s">
        <v>1796</v>
      </c>
      <c r="AA2796" t="s">
        <v>238</v>
      </c>
    </row>
    <row r="2797" spans="1:27" ht="23.1" customHeight="1" x14ac:dyDescent="0.25">
      <c r="A2797" t="s">
        <v>1333</v>
      </c>
      <c r="B2797" s="7" t="s">
        <v>113</v>
      </c>
      <c r="C2797" s="7">
        <v>55</v>
      </c>
      <c r="D2797" s="7" t="s">
        <v>1270</v>
      </c>
      <c r="E2797" s="8" t="s">
        <v>409</v>
      </c>
      <c r="F2797" s="9" t="s">
        <v>409</v>
      </c>
      <c r="G2797" s="7" t="s">
        <v>102</v>
      </c>
      <c r="H2797" s="7">
        <v>10</v>
      </c>
      <c r="I2797" s="7" t="s">
        <v>1952</v>
      </c>
      <c r="K2797" s="10">
        <v>1</v>
      </c>
      <c r="L2797" s="11">
        <v>31</v>
      </c>
      <c r="M2797" s="11">
        <v>31</v>
      </c>
      <c r="N2797" s="12" t="s">
        <v>596</v>
      </c>
      <c r="P2797" s="10">
        <v>60</v>
      </c>
      <c r="T2797" s="10">
        <v>60</v>
      </c>
      <c r="V2797" s="13">
        <v>1</v>
      </c>
      <c r="W2797" s="14">
        <v>6</v>
      </c>
      <c r="X2797" s="29">
        <v>8</v>
      </c>
      <c r="Y2797" s="7" t="s">
        <v>18</v>
      </c>
    </row>
    <row r="2798" spans="1:27" ht="23.1" customHeight="1" x14ac:dyDescent="0.25">
      <c r="A2798" t="s">
        <v>1333</v>
      </c>
      <c r="B2798" s="7" t="s">
        <v>113</v>
      </c>
      <c r="C2798" s="7">
        <v>55</v>
      </c>
      <c r="D2798" s="7" t="s">
        <v>1270</v>
      </c>
      <c r="E2798" s="8" t="s">
        <v>409</v>
      </c>
      <c r="F2798" s="9" t="s">
        <v>409</v>
      </c>
      <c r="G2798" s="7" t="s">
        <v>102</v>
      </c>
      <c r="H2798" s="7">
        <v>15</v>
      </c>
      <c r="I2798" s="7" t="s">
        <v>2526</v>
      </c>
      <c r="K2798" s="10">
        <v>1</v>
      </c>
      <c r="L2798" s="11">
        <v>31</v>
      </c>
      <c r="M2798" s="11">
        <v>31</v>
      </c>
      <c r="N2798" s="12" t="s">
        <v>596</v>
      </c>
      <c r="P2798" s="10">
        <v>35</v>
      </c>
      <c r="T2798" s="10">
        <v>90</v>
      </c>
      <c r="V2798" s="13">
        <v>1</v>
      </c>
      <c r="X2798" s="29">
        <v>2.1</v>
      </c>
      <c r="Y2798" s="7" t="s">
        <v>18</v>
      </c>
    </row>
    <row r="2799" spans="1:27" ht="23.1" customHeight="1" x14ac:dyDescent="0.25">
      <c r="A2799" t="s">
        <v>1333</v>
      </c>
      <c r="B2799" s="7" t="s">
        <v>113</v>
      </c>
      <c r="C2799" s="7">
        <v>55</v>
      </c>
      <c r="D2799" s="7" t="s">
        <v>1270</v>
      </c>
      <c r="E2799" s="8" t="s">
        <v>409</v>
      </c>
      <c r="F2799" s="9" t="s">
        <v>409</v>
      </c>
      <c r="G2799" s="7" t="s">
        <v>102</v>
      </c>
      <c r="H2799" s="7">
        <v>20</v>
      </c>
      <c r="I2799" s="7" t="s">
        <v>2252</v>
      </c>
      <c r="K2799" s="10">
        <v>1</v>
      </c>
      <c r="L2799" s="11">
        <v>31</v>
      </c>
      <c r="M2799" s="11">
        <v>31</v>
      </c>
      <c r="N2799" s="12" t="s">
        <v>596</v>
      </c>
      <c r="P2799" s="10">
        <v>10</v>
      </c>
      <c r="W2799" s="14">
        <v>2</v>
      </c>
      <c r="X2799" s="29">
        <v>2.2000000000000002</v>
      </c>
      <c r="Y2799" s="7" t="s">
        <v>18</v>
      </c>
      <c r="Z2799" t="s">
        <v>1796</v>
      </c>
      <c r="AA2799" t="s">
        <v>238</v>
      </c>
    </row>
    <row r="2800" spans="1:27" ht="23.1" customHeight="1" x14ac:dyDescent="0.25">
      <c r="A2800" t="s">
        <v>1333</v>
      </c>
      <c r="B2800" s="7" t="s">
        <v>113</v>
      </c>
      <c r="C2800" s="7">
        <v>77</v>
      </c>
      <c r="D2800" s="7" t="s">
        <v>1785</v>
      </c>
      <c r="E2800" s="8" t="s">
        <v>1786</v>
      </c>
      <c r="F2800" s="9" t="s">
        <v>1786</v>
      </c>
      <c r="G2800" s="7" t="s">
        <v>118</v>
      </c>
      <c r="H2800" s="7">
        <v>15</v>
      </c>
      <c r="I2800" s="7" t="s">
        <v>2363</v>
      </c>
      <c r="J2800" s="10">
        <v>21</v>
      </c>
      <c r="K2800" s="10">
        <v>21</v>
      </c>
      <c r="L2800" s="11">
        <v>31</v>
      </c>
      <c r="M2800" s="11">
        <v>31</v>
      </c>
      <c r="N2800" s="12" t="s">
        <v>393</v>
      </c>
      <c r="P2800" s="10">
        <v>25</v>
      </c>
      <c r="T2800" s="10">
        <v>60</v>
      </c>
      <c r="V2800" s="13">
        <v>1</v>
      </c>
      <c r="W2800" s="14">
        <v>2</v>
      </c>
      <c r="X2800" s="29">
        <v>11.8</v>
      </c>
      <c r="Y2800" s="7" t="s">
        <v>24</v>
      </c>
      <c r="Z2800" t="s">
        <v>1540</v>
      </c>
      <c r="AA2800" t="s">
        <v>238</v>
      </c>
    </row>
    <row r="2801" spans="1:27" ht="23.1" customHeight="1" x14ac:dyDescent="0.25">
      <c r="A2801" t="s">
        <v>1333</v>
      </c>
      <c r="B2801" s="7" t="s">
        <v>113</v>
      </c>
      <c r="C2801" s="7">
        <v>24</v>
      </c>
      <c r="D2801" s="7" t="s">
        <v>738</v>
      </c>
      <c r="E2801" s="8" t="s">
        <v>739</v>
      </c>
      <c r="F2801" s="9" t="s">
        <v>739</v>
      </c>
      <c r="G2801" s="7" t="s">
        <v>107</v>
      </c>
      <c r="H2801" s="7">
        <v>30</v>
      </c>
      <c r="I2801" s="7" t="s">
        <v>2364</v>
      </c>
      <c r="K2801" s="10">
        <v>0.6</v>
      </c>
      <c r="L2801" s="11">
        <v>5</v>
      </c>
      <c r="N2801" s="12" t="s">
        <v>1169</v>
      </c>
      <c r="P2801" s="10">
        <v>1700</v>
      </c>
      <c r="Q2801" s="10">
        <v>120</v>
      </c>
      <c r="S2801" s="11">
        <v>1</v>
      </c>
      <c r="T2801" s="10">
        <v>210</v>
      </c>
      <c r="X2801" s="29">
        <v>19</v>
      </c>
      <c r="Y2801" s="7" t="s">
        <v>26</v>
      </c>
    </row>
    <row r="2802" spans="1:27" ht="23.1" customHeight="1" x14ac:dyDescent="0.25">
      <c r="A2802" t="s">
        <v>1333</v>
      </c>
      <c r="B2802" s="7" t="s">
        <v>113</v>
      </c>
      <c r="C2802" s="7">
        <v>69</v>
      </c>
      <c r="D2802" s="7" t="s">
        <v>217</v>
      </c>
      <c r="E2802" s="8" t="s">
        <v>218</v>
      </c>
      <c r="F2802" s="9" t="s">
        <v>218</v>
      </c>
      <c r="G2802" s="7" t="s">
        <v>107</v>
      </c>
      <c r="H2802" s="7">
        <v>50</v>
      </c>
      <c r="I2802" s="7" t="s">
        <v>2202</v>
      </c>
      <c r="J2802" s="10">
        <v>5</v>
      </c>
      <c r="K2802" s="10">
        <v>5</v>
      </c>
      <c r="L2802" s="11">
        <v>28</v>
      </c>
      <c r="M2802" s="11">
        <v>37</v>
      </c>
      <c r="N2802" s="12" t="s">
        <v>1094</v>
      </c>
      <c r="P2802" s="10">
        <v>180</v>
      </c>
      <c r="Q2802" s="10">
        <v>60</v>
      </c>
      <c r="S2802" s="11">
        <v>5</v>
      </c>
      <c r="T2802" s="10">
        <v>150</v>
      </c>
      <c r="W2802" s="14">
        <v>5</v>
      </c>
      <c r="X2802" s="29">
        <v>25</v>
      </c>
      <c r="Y2802" s="7" t="s">
        <v>26</v>
      </c>
      <c r="Z2802" t="s">
        <v>1797</v>
      </c>
    </row>
    <row r="2803" spans="1:27" ht="23.1" customHeight="1" x14ac:dyDescent="0.25">
      <c r="A2803" t="s">
        <v>1333</v>
      </c>
      <c r="B2803" s="7" t="s">
        <v>113</v>
      </c>
      <c r="C2803" s="7">
        <v>69</v>
      </c>
      <c r="D2803" s="7" t="s">
        <v>592</v>
      </c>
      <c r="E2803" s="8" t="s">
        <v>218</v>
      </c>
      <c r="F2803" s="9" t="s">
        <v>218</v>
      </c>
      <c r="G2803" s="7" t="s">
        <v>107</v>
      </c>
      <c r="H2803" s="7">
        <v>50</v>
      </c>
      <c r="I2803" s="7" t="s">
        <v>2202</v>
      </c>
      <c r="J2803" s="10">
        <v>2</v>
      </c>
      <c r="K2803" s="10">
        <v>1</v>
      </c>
      <c r="L2803" s="11">
        <v>37</v>
      </c>
      <c r="N2803" s="12" t="s">
        <v>456</v>
      </c>
      <c r="P2803" s="10">
        <v>180</v>
      </c>
      <c r="Q2803" s="10">
        <v>60</v>
      </c>
      <c r="T2803" s="10">
        <v>150</v>
      </c>
      <c r="V2803" s="13">
        <v>1</v>
      </c>
      <c r="W2803" s="14">
        <v>5</v>
      </c>
      <c r="X2803" s="29">
        <v>10.5</v>
      </c>
      <c r="Y2803" s="7" t="s">
        <v>26</v>
      </c>
      <c r="Z2803" t="s">
        <v>1798</v>
      </c>
    </row>
    <row r="2804" spans="1:27" ht="23.1" customHeight="1" x14ac:dyDescent="0.25">
      <c r="A2804" t="s">
        <v>1333</v>
      </c>
      <c r="B2804" s="7" t="s">
        <v>113</v>
      </c>
      <c r="C2804" s="7">
        <v>91</v>
      </c>
      <c r="D2804" s="7" t="s">
        <v>254</v>
      </c>
      <c r="E2804" s="8" t="s">
        <v>1016</v>
      </c>
      <c r="F2804" s="9" t="s">
        <v>1016</v>
      </c>
      <c r="G2804" s="7" t="s">
        <v>375</v>
      </c>
      <c r="H2804" s="7">
        <v>40</v>
      </c>
      <c r="I2804" s="7" t="s">
        <v>2110</v>
      </c>
      <c r="J2804" s="10">
        <v>0.3</v>
      </c>
      <c r="K2804" s="10">
        <v>0.3</v>
      </c>
      <c r="L2804" s="11">
        <v>37</v>
      </c>
      <c r="N2804" s="12" t="s">
        <v>301</v>
      </c>
      <c r="P2804" s="10">
        <v>3000</v>
      </c>
      <c r="Q2804" s="10">
        <v>90</v>
      </c>
      <c r="T2804" s="10">
        <v>120</v>
      </c>
      <c r="X2804" s="29">
        <v>15</v>
      </c>
      <c r="Y2804" s="7" t="s">
        <v>26</v>
      </c>
      <c r="Z2804" t="s">
        <v>1799</v>
      </c>
    </row>
    <row r="2805" spans="1:27" ht="23.1" customHeight="1" x14ac:dyDescent="0.25">
      <c r="A2805" t="s">
        <v>1333</v>
      </c>
      <c r="B2805" s="7" t="s">
        <v>113</v>
      </c>
      <c r="C2805" s="7">
        <v>119</v>
      </c>
      <c r="D2805" s="7" t="s">
        <v>937</v>
      </c>
      <c r="E2805" s="8" t="s">
        <v>938</v>
      </c>
      <c r="F2805" s="9" t="s">
        <v>938</v>
      </c>
      <c r="G2805" s="7" t="s">
        <v>939</v>
      </c>
      <c r="H2805" s="7">
        <v>60</v>
      </c>
      <c r="I2805" s="7" t="s">
        <v>2203</v>
      </c>
      <c r="J2805" s="10">
        <v>0.6</v>
      </c>
      <c r="K2805" s="10">
        <v>0.6</v>
      </c>
      <c r="L2805" s="11">
        <v>5</v>
      </c>
      <c r="M2805" s="11">
        <v>37</v>
      </c>
      <c r="N2805" s="12" t="s">
        <v>425</v>
      </c>
      <c r="P2805" s="10">
        <v>900</v>
      </c>
      <c r="Q2805" s="10">
        <v>90</v>
      </c>
      <c r="T2805" s="10">
        <v>180</v>
      </c>
      <c r="V2805" s="13">
        <v>1</v>
      </c>
      <c r="W2805" s="14">
        <v>5</v>
      </c>
      <c r="X2805" s="29">
        <v>17</v>
      </c>
      <c r="Y2805" s="7" t="s">
        <v>26</v>
      </c>
      <c r="Z2805" t="s">
        <v>1639</v>
      </c>
    </row>
    <row r="2806" spans="1:27" ht="23.1" customHeight="1" x14ac:dyDescent="0.25">
      <c r="A2806" t="s">
        <v>1333</v>
      </c>
      <c r="B2806" s="7" t="s">
        <v>113</v>
      </c>
      <c r="C2806" s="7">
        <v>84</v>
      </c>
      <c r="D2806" s="7" t="s">
        <v>1692</v>
      </c>
      <c r="E2806" s="8" t="s">
        <v>1693</v>
      </c>
      <c r="F2806" s="9" t="s">
        <v>1693</v>
      </c>
      <c r="G2806" s="7" t="s">
        <v>154</v>
      </c>
      <c r="H2806" s="7">
        <v>35</v>
      </c>
      <c r="I2806" s="7" t="s">
        <v>2365</v>
      </c>
      <c r="K2806" s="10">
        <v>2</v>
      </c>
      <c r="L2806" s="11">
        <v>28</v>
      </c>
      <c r="M2806" s="11">
        <v>28</v>
      </c>
      <c r="N2806" s="12" t="s">
        <v>1322</v>
      </c>
      <c r="Q2806" s="10">
        <v>60</v>
      </c>
      <c r="S2806" s="11">
        <v>2</v>
      </c>
      <c r="T2806" s="10">
        <v>120</v>
      </c>
      <c r="V2806" s="13">
        <v>1</v>
      </c>
      <c r="W2806" s="10">
        <v>3</v>
      </c>
      <c r="X2806" s="29">
        <v>7</v>
      </c>
      <c r="Y2806" s="7" t="s">
        <v>26</v>
      </c>
      <c r="Z2806" t="s">
        <v>1245</v>
      </c>
    </row>
    <row r="2807" spans="1:27" ht="23.1" customHeight="1" x14ac:dyDescent="0.25">
      <c r="A2807" t="s">
        <v>1333</v>
      </c>
      <c r="B2807" s="7" t="s">
        <v>113</v>
      </c>
      <c r="C2807" s="7">
        <v>84</v>
      </c>
      <c r="D2807" s="7" t="s">
        <v>1740</v>
      </c>
      <c r="E2807" s="8" t="s">
        <v>1693</v>
      </c>
      <c r="F2807" s="9" t="s">
        <v>1693</v>
      </c>
      <c r="G2807" s="7" t="s">
        <v>154</v>
      </c>
      <c r="H2807" s="7">
        <v>35</v>
      </c>
      <c r="I2807" s="7" t="s">
        <v>2365</v>
      </c>
      <c r="K2807" s="10">
        <v>2</v>
      </c>
      <c r="L2807" s="11">
        <v>28</v>
      </c>
      <c r="M2807" s="11">
        <v>28</v>
      </c>
      <c r="N2807" s="12" t="s">
        <v>613</v>
      </c>
      <c r="P2807" s="10">
        <v>180</v>
      </c>
      <c r="Q2807" s="10">
        <v>60</v>
      </c>
      <c r="S2807" s="11">
        <v>2</v>
      </c>
      <c r="T2807" s="10">
        <v>120</v>
      </c>
      <c r="V2807" s="13">
        <v>1</v>
      </c>
      <c r="W2807" s="10">
        <v>3</v>
      </c>
      <c r="X2807" s="29">
        <v>13</v>
      </c>
      <c r="Y2807" s="7" t="s">
        <v>26</v>
      </c>
      <c r="Z2807" t="s">
        <v>1245</v>
      </c>
    </row>
    <row r="2808" spans="1:27" ht="23.1" customHeight="1" x14ac:dyDescent="0.25">
      <c r="A2808" t="s">
        <v>1333</v>
      </c>
      <c r="B2808" s="7" t="s">
        <v>113</v>
      </c>
      <c r="C2808" s="7">
        <v>121</v>
      </c>
      <c r="D2808" s="7" t="s">
        <v>717</v>
      </c>
      <c r="E2808" s="8" t="s">
        <v>718</v>
      </c>
      <c r="F2808" s="9" t="s">
        <v>718</v>
      </c>
      <c r="G2808" s="7" t="s">
        <v>118</v>
      </c>
      <c r="H2808" s="7">
        <v>50</v>
      </c>
      <c r="I2808" s="7" t="s">
        <v>2358</v>
      </c>
      <c r="K2808" s="10">
        <v>5</v>
      </c>
      <c r="L2808" s="11">
        <v>28</v>
      </c>
      <c r="M2808" s="11">
        <v>37</v>
      </c>
      <c r="N2808" s="12" t="s">
        <v>1576</v>
      </c>
      <c r="P2808" s="10">
        <v>40</v>
      </c>
      <c r="Q2808" s="10">
        <v>90</v>
      </c>
      <c r="S2808" s="11">
        <v>5</v>
      </c>
      <c r="T2808" s="10">
        <v>120</v>
      </c>
      <c r="W2808" s="14">
        <v>3</v>
      </c>
      <c r="X2808" s="29">
        <v>13.8</v>
      </c>
      <c r="Y2808" s="7" t="s">
        <v>26</v>
      </c>
      <c r="Z2808" t="s">
        <v>1691</v>
      </c>
    </row>
    <row r="2809" spans="1:27" ht="23.1" customHeight="1" x14ac:dyDescent="0.25">
      <c r="A2809" t="s">
        <v>1333</v>
      </c>
      <c r="B2809" s="7" t="s">
        <v>113</v>
      </c>
      <c r="C2809" s="7">
        <v>17</v>
      </c>
      <c r="D2809" s="7" t="s">
        <v>1702</v>
      </c>
      <c r="E2809" s="8" t="s">
        <v>625</v>
      </c>
      <c r="F2809" s="9" t="s">
        <v>625</v>
      </c>
      <c r="G2809" s="7" t="s">
        <v>250</v>
      </c>
      <c r="H2809" s="7">
        <v>20</v>
      </c>
      <c r="I2809" s="7" t="s">
        <v>2527</v>
      </c>
      <c r="K2809" s="10">
        <v>1</v>
      </c>
      <c r="L2809" s="11">
        <v>28</v>
      </c>
      <c r="N2809" s="12" t="s">
        <v>1389</v>
      </c>
      <c r="P2809" s="10">
        <v>150</v>
      </c>
      <c r="T2809" s="10">
        <v>150</v>
      </c>
      <c r="V2809" s="13">
        <v>1</v>
      </c>
      <c r="X2809" s="29">
        <v>5</v>
      </c>
      <c r="Y2809" s="7" t="s">
        <v>14</v>
      </c>
    </row>
    <row r="2810" spans="1:27" ht="23.1" customHeight="1" x14ac:dyDescent="0.25">
      <c r="A2810" t="s">
        <v>1333</v>
      </c>
      <c r="B2810" s="7" t="s">
        <v>113</v>
      </c>
      <c r="C2810" s="7">
        <v>17</v>
      </c>
      <c r="D2810" s="7" t="s">
        <v>1702</v>
      </c>
      <c r="E2810" s="8" t="s">
        <v>625</v>
      </c>
      <c r="F2810" s="9" t="s">
        <v>625</v>
      </c>
      <c r="G2810" s="7" t="s">
        <v>250</v>
      </c>
      <c r="H2810" s="7">
        <v>25</v>
      </c>
      <c r="I2810" s="7" t="s">
        <v>2349</v>
      </c>
      <c r="K2810" s="10">
        <v>1</v>
      </c>
      <c r="M2810" s="11">
        <v>31</v>
      </c>
      <c r="N2810" s="12" t="s">
        <v>1389</v>
      </c>
      <c r="P2810" s="10">
        <v>50</v>
      </c>
      <c r="T2810" s="10">
        <v>60</v>
      </c>
      <c r="V2810" s="13">
        <v>1</v>
      </c>
      <c r="X2810" s="29">
        <v>1.8</v>
      </c>
      <c r="Y2810" s="7" t="s">
        <v>14</v>
      </c>
    </row>
    <row r="2811" spans="1:27" ht="23.1" customHeight="1" x14ac:dyDescent="0.25">
      <c r="A2811" t="s">
        <v>1333</v>
      </c>
      <c r="B2811" s="7" t="s">
        <v>113</v>
      </c>
      <c r="C2811" s="7">
        <v>17</v>
      </c>
      <c r="D2811" s="7" t="s">
        <v>1702</v>
      </c>
      <c r="E2811" s="8" t="s">
        <v>625</v>
      </c>
      <c r="F2811" s="9" t="s">
        <v>625</v>
      </c>
      <c r="G2811" s="7" t="s">
        <v>250</v>
      </c>
      <c r="H2811" s="7">
        <v>30</v>
      </c>
      <c r="I2811" s="7" t="s">
        <v>2116</v>
      </c>
      <c r="K2811" s="10">
        <v>1</v>
      </c>
      <c r="M2811" s="11">
        <v>26</v>
      </c>
      <c r="N2811" s="12" t="s">
        <v>1389</v>
      </c>
      <c r="P2811" s="10">
        <v>45</v>
      </c>
      <c r="T2811" s="10">
        <v>90</v>
      </c>
      <c r="V2811" s="13">
        <v>1</v>
      </c>
      <c r="X2811" s="29">
        <v>2.2999999999999998</v>
      </c>
      <c r="Y2811" s="7" t="s">
        <v>14</v>
      </c>
    </row>
    <row r="2812" spans="1:27" ht="23.1" customHeight="1" x14ac:dyDescent="0.25">
      <c r="A2812" t="s">
        <v>1333</v>
      </c>
      <c r="B2812" s="7" t="s">
        <v>113</v>
      </c>
      <c r="C2812" s="7">
        <v>17</v>
      </c>
      <c r="D2812" s="7" t="s">
        <v>1702</v>
      </c>
      <c r="E2812" s="8" t="s">
        <v>625</v>
      </c>
      <c r="F2812" s="9" t="s">
        <v>625</v>
      </c>
      <c r="G2812" s="7" t="s">
        <v>250</v>
      </c>
      <c r="H2812" s="7">
        <v>35</v>
      </c>
      <c r="I2812" s="7" t="s">
        <v>2359</v>
      </c>
      <c r="K2812" s="10">
        <v>1</v>
      </c>
      <c r="M2812" s="11">
        <v>26</v>
      </c>
      <c r="N2812" s="12" t="s">
        <v>1389</v>
      </c>
      <c r="P2812" s="10">
        <v>65</v>
      </c>
      <c r="T2812" s="10">
        <v>120</v>
      </c>
      <c r="V2812" s="13">
        <v>1</v>
      </c>
      <c r="X2812" s="29">
        <v>3.1</v>
      </c>
      <c r="Y2812" s="7" t="s">
        <v>14</v>
      </c>
    </row>
    <row r="2813" spans="1:27" ht="23.1" customHeight="1" x14ac:dyDescent="0.25">
      <c r="A2813" t="s">
        <v>1333</v>
      </c>
      <c r="B2813" s="7" t="s">
        <v>113</v>
      </c>
      <c r="C2813" s="7">
        <v>107</v>
      </c>
      <c r="D2813" s="7" t="s">
        <v>173</v>
      </c>
      <c r="E2813" s="8" t="s">
        <v>1246</v>
      </c>
      <c r="F2813" s="9" t="s">
        <v>1246</v>
      </c>
      <c r="G2813" s="7" t="s">
        <v>154</v>
      </c>
      <c r="H2813" s="7">
        <v>50</v>
      </c>
      <c r="I2813" s="7" t="s">
        <v>2210</v>
      </c>
      <c r="J2813" s="10">
        <v>0.4</v>
      </c>
      <c r="K2813" s="10">
        <v>0.6</v>
      </c>
      <c r="L2813" s="11">
        <v>9</v>
      </c>
      <c r="N2813" s="12" t="s">
        <v>421</v>
      </c>
      <c r="P2813" s="10">
        <v>2100</v>
      </c>
      <c r="Q2813" s="10">
        <v>90</v>
      </c>
      <c r="T2813" s="10">
        <v>150</v>
      </c>
      <c r="X2813" s="29">
        <v>21</v>
      </c>
      <c r="Y2813" s="7" t="s">
        <v>13</v>
      </c>
    </row>
    <row r="2814" spans="1:27" ht="23.1" customHeight="1" x14ac:dyDescent="0.25">
      <c r="A2814" t="s">
        <v>1333</v>
      </c>
      <c r="B2814" s="7" t="s">
        <v>113</v>
      </c>
      <c r="C2814" s="7">
        <v>108</v>
      </c>
      <c r="D2814" s="7" t="s">
        <v>889</v>
      </c>
      <c r="E2814" s="8" t="s">
        <v>887</v>
      </c>
      <c r="F2814" s="9" t="s">
        <v>887</v>
      </c>
      <c r="G2814" s="7" t="s">
        <v>154</v>
      </c>
      <c r="H2814" s="7">
        <v>30</v>
      </c>
      <c r="I2814" s="7" t="s">
        <v>2528</v>
      </c>
      <c r="J2814" s="10">
        <v>2</v>
      </c>
      <c r="K2814" s="10">
        <v>0.5</v>
      </c>
      <c r="L2814" s="11">
        <v>28</v>
      </c>
      <c r="N2814" s="12" t="s">
        <v>234</v>
      </c>
      <c r="P2814" s="10">
        <v>720</v>
      </c>
      <c r="Q2814" s="10">
        <v>60</v>
      </c>
      <c r="S2814" s="11">
        <v>1</v>
      </c>
      <c r="T2814" s="10">
        <v>90</v>
      </c>
      <c r="V2814" s="13">
        <v>1</v>
      </c>
      <c r="X2814" s="29">
        <v>8.5</v>
      </c>
      <c r="Y2814" s="7" t="s">
        <v>13</v>
      </c>
    </row>
    <row r="2815" spans="1:27" ht="23.1" customHeight="1" x14ac:dyDescent="0.25">
      <c r="A2815" t="s">
        <v>1333</v>
      </c>
      <c r="B2815" s="7" t="s">
        <v>113</v>
      </c>
      <c r="C2815" s="7">
        <v>108</v>
      </c>
      <c r="D2815" s="7" t="s">
        <v>886</v>
      </c>
      <c r="E2815" s="8" t="s">
        <v>887</v>
      </c>
      <c r="F2815" s="9" t="s">
        <v>887</v>
      </c>
      <c r="G2815" s="7" t="s">
        <v>154</v>
      </c>
      <c r="H2815" s="7">
        <v>30</v>
      </c>
      <c r="I2815" s="7" t="s">
        <v>2347</v>
      </c>
      <c r="J2815" s="10">
        <v>1</v>
      </c>
      <c r="K2815" s="10">
        <v>1</v>
      </c>
      <c r="L2815" s="11">
        <v>26</v>
      </c>
      <c r="N2815" s="12" t="s">
        <v>234</v>
      </c>
      <c r="P2815" s="10">
        <v>720</v>
      </c>
      <c r="Q2815" s="10">
        <v>60</v>
      </c>
      <c r="S2815" s="11">
        <v>1</v>
      </c>
      <c r="T2815" s="10">
        <v>90</v>
      </c>
      <c r="V2815" s="13">
        <v>1</v>
      </c>
      <c r="W2815" s="10">
        <v>2</v>
      </c>
      <c r="X2815" s="29">
        <v>16.5</v>
      </c>
      <c r="Y2815" s="7" t="s">
        <v>13</v>
      </c>
      <c r="Z2815" t="s">
        <v>1245</v>
      </c>
      <c r="AA2815" t="s">
        <v>238</v>
      </c>
    </row>
    <row r="2816" spans="1:27" ht="23.1" customHeight="1" x14ac:dyDescent="0.25">
      <c r="A2816" t="s">
        <v>1333</v>
      </c>
      <c r="B2816" s="7" t="s">
        <v>113</v>
      </c>
      <c r="C2816" s="7">
        <v>23</v>
      </c>
      <c r="D2816" s="7" t="s">
        <v>987</v>
      </c>
      <c r="E2816" s="8" t="s">
        <v>988</v>
      </c>
      <c r="F2816" s="9" t="s">
        <v>988</v>
      </c>
      <c r="G2816" s="7" t="s">
        <v>300</v>
      </c>
      <c r="H2816" s="7">
        <v>25</v>
      </c>
      <c r="I2816" s="7" t="s">
        <v>2224</v>
      </c>
      <c r="J2816" s="10">
        <v>1.2</v>
      </c>
      <c r="K2816" s="10">
        <v>1.2</v>
      </c>
      <c r="L2816" s="11">
        <v>31</v>
      </c>
      <c r="M2816" s="11">
        <v>9</v>
      </c>
      <c r="N2816" s="12" t="s">
        <v>256</v>
      </c>
      <c r="P2816" s="10">
        <v>720</v>
      </c>
      <c r="Q2816" s="10">
        <v>60</v>
      </c>
      <c r="S2816" s="11">
        <v>1</v>
      </c>
      <c r="T2816" s="10">
        <v>90</v>
      </c>
      <c r="X2816" s="29">
        <v>15.4</v>
      </c>
      <c r="Y2816" s="7" t="s">
        <v>22</v>
      </c>
    </row>
    <row r="2817" spans="1:27" ht="23.1" customHeight="1" x14ac:dyDescent="0.25">
      <c r="A2817" t="s">
        <v>1333</v>
      </c>
      <c r="B2817" s="7" t="s">
        <v>113</v>
      </c>
      <c r="C2817" s="7">
        <v>47</v>
      </c>
      <c r="D2817" s="7" t="s">
        <v>258</v>
      </c>
      <c r="E2817" s="8" t="s">
        <v>284</v>
      </c>
      <c r="F2817" s="9" t="s">
        <v>284</v>
      </c>
      <c r="G2817" s="7" t="s">
        <v>154</v>
      </c>
      <c r="H2817" s="7">
        <v>20</v>
      </c>
      <c r="I2817" s="7" t="s">
        <v>1936</v>
      </c>
      <c r="J2817" s="10">
        <v>3</v>
      </c>
      <c r="K2817" s="10">
        <v>3</v>
      </c>
      <c r="L2817" s="11">
        <v>37</v>
      </c>
      <c r="M2817" s="11">
        <v>37</v>
      </c>
      <c r="N2817" s="12" t="s">
        <v>260</v>
      </c>
      <c r="P2817" s="10">
        <v>120</v>
      </c>
      <c r="Q2817" s="10">
        <v>60</v>
      </c>
      <c r="S2817" s="11">
        <v>3</v>
      </c>
      <c r="T2817" s="10">
        <v>60</v>
      </c>
      <c r="V2817" s="13">
        <v>1</v>
      </c>
      <c r="X2817" s="29">
        <v>10</v>
      </c>
      <c r="Y2817" s="7" t="s">
        <v>22</v>
      </c>
    </row>
    <row r="2818" spans="1:27" ht="23.1" customHeight="1" x14ac:dyDescent="0.25">
      <c r="A2818" t="s">
        <v>1333</v>
      </c>
      <c r="B2818" s="7" t="s">
        <v>113</v>
      </c>
      <c r="C2818" s="7">
        <v>47</v>
      </c>
      <c r="D2818" s="7" t="s">
        <v>978</v>
      </c>
      <c r="E2818" s="8" t="s">
        <v>979</v>
      </c>
      <c r="F2818" s="9" t="s">
        <v>979</v>
      </c>
      <c r="G2818" s="7" t="s">
        <v>154</v>
      </c>
      <c r="H2818" s="7">
        <v>20</v>
      </c>
      <c r="I2818" s="7" t="s">
        <v>1936</v>
      </c>
      <c r="J2818" s="10">
        <v>3</v>
      </c>
      <c r="K2818" s="10">
        <v>3</v>
      </c>
      <c r="L2818" s="11">
        <v>37</v>
      </c>
      <c r="M2818" s="11">
        <v>37</v>
      </c>
      <c r="N2818" s="12" t="s">
        <v>980</v>
      </c>
      <c r="P2818" s="10">
        <v>120</v>
      </c>
      <c r="Q2818" s="10">
        <v>60</v>
      </c>
      <c r="S2818" s="11">
        <v>3</v>
      </c>
      <c r="T2818" s="10">
        <v>60</v>
      </c>
      <c r="V2818" s="13">
        <v>1</v>
      </c>
      <c r="X2818" s="29">
        <v>10</v>
      </c>
      <c r="Y2818" s="7" t="s">
        <v>22</v>
      </c>
    </row>
    <row r="2819" spans="1:27" ht="23.1" customHeight="1" x14ac:dyDescent="0.25">
      <c r="A2819" t="s">
        <v>1333</v>
      </c>
      <c r="B2819" s="7" t="s">
        <v>113</v>
      </c>
      <c r="C2819" s="7">
        <v>58</v>
      </c>
      <c r="D2819" s="7" t="s">
        <v>1311</v>
      </c>
      <c r="E2819" s="8" t="s">
        <v>409</v>
      </c>
      <c r="F2819" s="9" t="s">
        <v>409</v>
      </c>
      <c r="G2819" s="7" t="s">
        <v>102</v>
      </c>
      <c r="H2819" s="7">
        <v>10</v>
      </c>
      <c r="I2819" s="7" t="s">
        <v>1952</v>
      </c>
      <c r="K2819" s="10">
        <v>1</v>
      </c>
      <c r="L2819" s="11">
        <v>37</v>
      </c>
      <c r="M2819" s="11">
        <v>26</v>
      </c>
      <c r="N2819" s="12" t="s">
        <v>596</v>
      </c>
      <c r="P2819" s="10">
        <v>35</v>
      </c>
      <c r="T2819" s="10">
        <v>60</v>
      </c>
      <c r="V2819" s="13">
        <v>1</v>
      </c>
      <c r="X2819" s="29">
        <v>1.6</v>
      </c>
      <c r="Y2819" s="7" t="s">
        <v>23</v>
      </c>
    </row>
    <row r="2820" spans="1:27" ht="23.1" customHeight="1" x14ac:dyDescent="0.25">
      <c r="A2820" t="s">
        <v>1333</v>
      </c>
      <c r="B2820" s="7" t="s">
        <v>113</v>
      </c>
      <c r="C2820" s="7">
        <v>58</v>
      </c>
      <c r="D2820" s="7" t="s">
        <v>1311</v>
      </c>
      <c r="E2820" s="8" t="s">
        <v>409</v>
      </c>
      <c r="F2820" s="9" t="s">
        <v>409</v>
      </c>
      <c r="G2820" s="7" t="s">
        <v>102</v>
      </c>
      <c r="H2820" s="7">
        <v>15</v>
      </c>
      <c r="I2820" s="7" t="s">
        <v>1852</v>
      </c>
      <c r="K2820" s="10">
        <v>1</v>
      </c>
      <c r="L2820" s="11">
        <v>37</v>
      </c>
      <c r="M2820" s="11">
        <v>26</v>
      </c>
      <c r="N2820" s="12" t="s">
        <v>596</v>
      </c>
      <c r="P2820" s="10">
        <v>35</v>
      </c>
      <c r="T2820" s="10">
        <v>90</v>
      </c>
      <c r="V2820" s="13">
        <v>1</v>
      </c>
      <c r="W2820" s="14">
        <v>2</v>
      </c>
      <c r="X2820" s="29">
        <v>4.0999999999999996</v>
      </c>
      <c r="Y2820" s="7" t="s">
        <v>23</v>
      </c>
      <c r="Z2820" t="s">
        <v>1796</v>
      </c>
      <c r="AA2820" t="s">
        <v>238</v>
      </c>
    </row>
    <row r="2821" spans="1:27" ht="23.1" customHeight="1" x14ac:dyDescent="0.25">
      <c r="A2821" t="s">
        <v>1333</v>
      </c>
      <c r="B2821" s="7" t="s">
        <v>113</v>
      </c>
      <c r="C2821" s="7">
        <v>58</v>
      </c>
      <c r="D2821" s="7" t="s">
        <v>1264</v>
      </c>
      <c r="E2821" s="8" t="s">
        <v>409</v>
      </c>
      <c r="F2821" s="9" t="s">
        <v>409</v>
      </c>
      <c r="G2821" s="7" t="s">
        <v>102</v>
      </c>
      <c r="H2821" s="7">
        <v>10</v>
      </c>
      <c r="I2821" s="7" t="s">
        <v>1952</v>
      </c>
      <c r="K2821" s="10">
        <v>1</v>
      </c>
      <c r="L2821" s="11">
        <v>37</v>
      </c>
      <c r="M2821" s="11">
        <v>37</v>
      </c>
      <c r="N2821" s="12" t="s">
        <v>596</v>
      </c>
      <c r="P2821" s="10">
        <v>35</v>
      </c>
      <c r="T2821" s="10">
        <v>60</v>
      </c>
      <c r="V2821" s="13">
        <v>1</v>
      </c>
      <c r="X2821" s="29">
        <v>1.6</v>
      </c>
      <c r="Y2821" s="7" t="s">
        <v>23</v>
      </c>
    </row>
    <row r="2822" spans="1:27" ht="23.1" customHeight="1" x14ac:dyDescent="0.25">
      <c r="A2822" t="s">
        <v>1333</v>
      </c>
      <c r="B2822" s="7" t="s">
        <v>113</v>
      </c>
      <c r="C2822" s="7">
        <v>58</v>
      </c>
      <c r="D2822" s="7" t="s">
        <v>1264</v>
      </c>
      <c r="E2822" s="8" t="s">
        <v>409</v>
      </c>
      <c r="F2822" s="9" t="s">
        <v>409</v>
      </c>
      <c r="G2822" s="7" t="s">
        <v>102</v>
      </c>
      <c r="H2822" s="7">
        <v>15</v>
      </c>
      <c r="I2822" s="7" t="s">
        <v>1852</v>
      </c>
      <c r="K2822" s="10">
        <v>1</v>
      </c>
      <c r="L2822" s="11">
        <v>37</v>
      </c>
      <c r="M2822" s="11">
        <v>37</v>
      </c>
      <c r="N2822" s="12" t="s">
        <v>596</v>
      </c>
      <c r="P2822" s="10">
        <v>35</v>
      </c>
      <c r="T2822" s="10">
        <v>90</v>
      </c>
      <c r="V2822" s="13">
        <v>1</v>
      </c>
      <c r="W2822" s="14">
        <v>2</v>
      </c>
      <c r="X2822" s="29">
        <v>4.0999999999999996</v>
      </c>
      <c r="Y2822" s="7" t="s">
        <v>23</v>
      </c>
      <c r="Z2822" t="s">
        <v>1540</v>
      </c>
      <c r="AA2822" t="s">
        <v>238</v>
      </c>
    </row>
    <row r="2823" spans="1:27" ht="23.1" customHeight="1" x14ac:dyDescent="0.25">
      <c r="A2823" t="s">
        <v>1333</v>
      </c>
      <c r="B2823" s="7" t="s">
        <v>113</v>
      </c>
      <c r="C2823" s="7">
        <v>22</v>
      </c>
      <c r="D2823" s="7" t="s">
        <v>611</v>
      </c>
      <c r="E2823" s="8" t="s">
        <v>612</v>
      </c>
      <c r="F2823" s="9" t="s">
        <v>612</v>
      </c>
      <c r="G2823" s="7" t="s">
        <v>154</v>
      </c>
      <c r="H2823" s="7">
        <v>10</v>
      </c>
      <c r="I2823" s="7" t="s">
        <v>1952</v>
      </c>
      <c r="J2823" s="10">
        <v>0.1</v>
      </c>
      <c r="K2823" s="10">
        <v>0.1</v>
      </c>
      <c r="L2823" s="11">
        <v>28</v>
      </c>
      <c r="N2823" s="12" t="s">
        <v>613</v>
      </c>
      <c r="P2823" s="10">
        <v>1500</v>
      </c>
      <c r="Q2823" s="10">
        <v>180</v>
      </c>
      <c r="T2823" s="10">
        <v>180</v>
      </c>
      <c r="X2823" s="29">
        <v>2.5</v>
      </c>
      <c r="Y2823" s="7" t="s">
        <v>49</v>
      </c>
    </row>
    <row r="2824" spans="1:27" ht="23.1" customHeight="1" x14ac:dyDescent="0.25">
      <c r="A2824" t="s">
        <v>1333</v>
      </c>
      <c r="B2824" s="7" t="s">
        <v>113</v>
      </c>
      <c r="C2824" s="7">
        <v>22</v>
      </c>
      <c r="D2824" s="7" t="s">
        <v>635</v>
      </c>
      <c r="E2824" s="8" t="s">
        <v>612</v>
      </c>
      <c r="F2824" s="9" t="s">
        <v>612</v>
      </c>
      <c r="G2824" s="7" t="s">
        <v>154</v>
      </c>
      <c r="H2824" s="7">
        <v>5</v>
      </c>
      <c r="I2824" s="7" t="s">
        <v>1957</v>
      </c>
      <c r="J2824" s="10">
        <v>1</v>
      </c>
      <c r="K2824" s="10">
        <v>1</v>
      </c>
      <c r="L2824" s="11">
        <v>28</v>
      </c>
      <c r="N2824" s="12" t="s">
        <v>613</v>
      </c>
      <c r="P2824" s="10">
        <v>2400</v>
      </c>
      <c r="Q2824" s="10">
        <v>210</v>
      </c>
      <c r="T2824" s="10">
        <v>210</v>
      </c>
      <c r="X2824" s="29">
        <v>40</v>
      </c>
      <c r="Y2824" s="7" t="s">
        <v>49</v>
      </c>
    </row>
    <row r="2825" spans="1:27" ht="23.1" customHeight="1" x14ac:dyDescent="0.25">
      <c r="A2825" t="s">
        <v>1333</v>
      </c>
      <c r="B2825" s="7" t="s">
        <v>113</v>
      </c>
      <c r="C2825" s="7">
        <v>16</v>
      </c>
      <c r="D2825" s="7" t="s">
        <v>1280</v>
      </c>
      <c r="E2825" s="8" t="s">
        <v>595</v>
      </c>
      <c r="F2825" s="9" t="s">
        <v>595</v>
      </c>
      <c r="G2825" s="7" t="s">
        <v>102</v>
      </c>
      <c r="H2825" s="7">
        <v>20</v>
      </c>
      <c r="I2825" s="7" t="s">
        <v>2212</v>
      </c>
      <c r="J2825" s="10">
        <v>2</v>
      </c>
      <c r="K2825" s="10">
        <v>1</v>
      </c>
      <c r="L2825" s="11">
        <v>9</v>
      </c>
      <c r="N2825" s="12" t="s">
        <v>596</v>
      </c>
      <c r="P2825" s="10">
        <v>35</v>
      </c>
      <c r="T2825" s="10">
        <v>90</v>
      </c>
      <c r="V2825" s="13">
        <v>1</v>
      </c>
      <c r="W2825" s="14">
        <v>2</v>
      </c>
      <c r="X2825" s="29">
        <v>4.0999999999999996</v>
      </c>
      <c r="Y2825" s="7" t="s">
        <v>71</v>
      </c>
      <c r="Z2825" t="s">
        <v>1441</v>
      </c>
      <c r="AA2825" t="s">
        <v>238</v>
      </c>
    </row>
    <row r="2826" spans="1:27" ht="23.1" customHeight="1" x14ac:dyDescent="0.25">
      <c r="A2826" t="s">
        <v>1333</v>
      </c>
      <c r="B2826" s="7" t="s">
        <v>113</v>
      </c>
      <c r="F2826" s="9" t="s">
        <v>1800</v>
      </c>
      <c r="W2826" s="14">
        <v>3</v>
      </c>
      <c r="X2826" s="29">
        <v>3</v>
      </c>
      <c r="Y2826" s="7" t="s">
        <v>6</v>
      </c>
      <c r="Z2826" t="s">
        <v>1572</v>
      </c>
      <c r="AA2826" t="s">
        <v>238</v>
      </c>
    </row>
    <row r="2827" spans="1:27" ht="23.1" customHeight="1" x14ac:dyDescent="0.25">
      <c r="A2827" t="s">
        <v>188</v>
      </c>
      <c r="B2827" s="7" t="s">
        <v>137</v>
      </c>
      <c r="C2827" s="7">
        <v>59</v>
      </c>
      <c r="D2827" s="7" t="s">
        <v>189</v>
      </c>
      <c r="E2827" s="8" t="s">
        <v>190</v>
      </c>
      <c r="F2827" s="9" t="e">
        <v>#N/A</v>
      </c>
      <c r="G2827" s="7" t="s">
        <v>102</v>
      </c>
      <c r="H2827" s="7">
        <v>105</v>
      </c>
      <c r="K2827" s="10">
        <v>1</v>
      </c>
      <c r="N2827" s="12" t="s">
        <v>191</v>
      </c>
      <c r="W2827" s="14">
        <v>3</v>
      </c>
      <c r="X2827" s="29">
        <v>3</v>
      </c>
      <c r="Y2827" s="7" t="s">
        <v>6</v>
      </c>
      <c r="Z2827" t="s">
        <v>1572</v>
      </c>
      <c r="AA2827" t="s">
        <v>238</v>
      </c>
    </row>
    <row r="2828" spans="1:27" ht="23.1" customHeight="1" x14ac:dyDescent="0.25">
      <c r="A2828" t="s">
        <v>188</v>
      </c>
      <c r="B2828" s="7" t="s">
        <v>137</v>
      </c>
      <c r="C2828" s="7">
        <v>59</v>
      </c>
      <c r="D2828" s="7" t="s">
        <v>138</v>
      </c>
      <c r="E2828" s="8" t="s">
        <v>139</v>
      </c>
      <c r="F2828" s="9" t="s">
        <v>139</v>
      </c>
      <c r="G2828" s="7" t="s">
        <v>102</v>
      </c>
      <c r="H2828" s="7">
        <v>20</v>
      </c>
      <c r="I2828" s="7" t="s">
        <v>1880</v>
      </c>
      <c r="K2828" s="10">
        <v>1</v>
      </c>
      <c r="N2828" s="12" t="s">
        <v>140</v>
      </c>
      <c r="P2828" s="10">
        <v>60</v>
      </c>
      <c r="T2828" s="10">
        <v>120</v>
      </c>
      <c r="W2828" s="14">
        <v>2</v>
      </c>
      <c r="X2828" s="29">
        <v>3</v>
      </c>
      <c r="Y2828" s="7" t="s">
        <v>6</v>
      </c>
      <c r="Z2828" t="s">
        <v>1671</v>
      </c>
      <c r="AA2828" t="s">
        <v>238</v>
      </c>
    </row>
    <row r="2829" spans="1:27" ht="23.1" customHeight="1" x14ac:dyDescent="0.25">
      <c r="A2829" t="s">
        <v>329</v>
      </c>
      <c r="B2829" s="7" t="s">
        <v>137</v>
      </c>
      <c r="C2829" s="7">
        <v>59</v>
      </c>
      <c r="D2829" s="7" t="s">
        <v>1742</v>
      </c>
      <c r="E2829" s="8" t="s">
        <v>1743</v>
      </c>
      <c r="F2829" s="9" t="e">
        <v>#N/A</v>
      </c>
      <c r="G2829" s="7" t="s">
        <v>154</v>
      </c>
      <c r="H2829" s="7">
        <v>20</v>
      </c>
      <c r="I2829" s="7" t="s">
        <v>2405</v>
      </c>
      <c r="K2829" s="10">
        <v>1</v>
      </c>
      <c r="N2829" s="12" t="s">
        <v>1552</v>
      </c>
      <c r="P2829" s="10">
        <v>70</v>
      </c>
      <c r="T2829" s="10">
        <v>60</v>
      </c>
      <c r="X2829" s="29">
        <v>1.2</v>
      </c>
      <c r="Y2829" s="7" t="s">
        <v>6</v>
      </c>
    </row>
    <row r="2830" spans="1:27" ht="23.1" customHeight="1" x14ac:dyDescent="0.25">
      <c r="A2830" t="s">
        <v>870</v>
      </c>
      <c r="B2830" s="7" t="s">
        <v>99</v>
      </c>
      <c r="C2830" s="7">
        <v>59</v>
      </c>
      <c r="D2830" s="7" t="s">
        <v>846</v>
      </c>
      <c r="E2830" s="8" t="s">
        <v>847</v>
      </c>
      <c r="F2830" s="9" t="s">
        <v>847</v>
      </c>
      <c r="G2830" s="7" t="s">
        <v>102</v>
      </c>
      <c r="H2830" s="7">
        <v>20</v>
      </c>
      <c r="I2830" s="7" t="s">
        <v>2087</v>
      </c>
      <c r="K2830" s="10">
        <v>8</v>
      </c>
      <c r="L2830" s="11">
        <v>9</v>
      </c>
      <c r="M2830" s="11">
        <v>9</v>
      </c>
      <c r="N2830" s="12" t="s">
        <v>596</v>
      </c>
      <c r="P2830" s="10">
        <v>20</v>
      </c>
      <c r="T2830" s="10">
        <v>60</v>
      </c>
      <c r="V2830" s="13">
        <v>1</v>
      </c>
      <c r="W2830" s="14">
        <v>2</v>
      </c>
      <c r="X2830" s="29">
        <v>5.7</v>
      </c>
      <c r="Y2830" s="7" t="s">
        <v>6</v>
      </c>
      <c r="Z2830" t="s">
        <v>1801</v>
      </c>
      <c r="AA2830" t="s">
        <v>238</v>
      </c>
    </row>
    <row r="2831" spans="1:27" ht="23.1" customHeight="1" x14ac:dyDescent="0.25">
      <c r="A2831" t="s">
        <v>870</v>
      </c>
      <c r="B2831" s="7" t="s">
        <v>99</v>
      </c>
      <c r="C2831" s="7">
        <v>59</v>
      </c>
      <c r="D2831" s="7" t="s">
        <v>846</v>
      </c>
      <c r="E2831" s="8" t="s">
        <v>847</v>
      </c>
      <c r="F2831" s="9" t="s">
        <v>847</v>
      </c>
      <c r="G2831" s="7" t="s">
        <v>102</v>
      </c>
      <c r="H2831" s="7">
        <v>25</v>
      </c>
      <c r="I2831" s="7" t="s">
        <v>2079</v>
      </c>
      <c r="J2831" s="10">
        <v>2</v>
      </c>
      <c r="K2831" s="10">
        <v>3</v>
      </c>
      <c r="L2831" s="11">
        <v>37</v>
      </c>
      <c r="M2831" s="11">
        <v>31</v>
      </c>
      <c r="N2831" s="12" t="s">
        <v>596</v>
      </c>
      <c r="P2831" s="10">
        <v>90</v>
      </c>
      <c r="T2831" s="10">
        <v>90</v>
      </c>
      <c r="V2831" s="13">
        <v>1</v>
      </c>
      <c r="W2831" s="14">
        <v>2</v>
      </c>
      <c r="X2831" s="29">
        <v>8</v>
      </c>
      <c r="Y2831" s="7" t="s">
        <v>6</v>
      </c>
      <c r="Z2831" t="s">
        <v>1548</v>
      </c>
      <c r="AA2831" t="s">
        <v>238</v>
      </c>
    </row>
    <row r="2832" spans="1:27" ht="23.1" customHeight="1" x14ac:dyDescent="0.25">
      <c r="A2832" t="s">
        <v>870</v>
      </c>
      <c r="B2832" s="7" t="s">
        <v>113</v>
      </c>
      <c r="C2832" s="7">
        <v>56</v>
      </c>
      <c r="D2832" s="7" t="s">
        <v>676</v>
      </c>
      <c r="E2832" s="8" t="s">
        <v>595</v>
      </c>
      <c r="F2832" s="9" t="s">
        <v>595</v>
      </c>
      <c r="G2832" s="7" t="s">
        <v>154</v>
      </c>
      <c r="H2832" s="7">
        <v>20</v>
      </c>
      <c r="I2832" s="7" t="s">
        <v>2367</v>
      </c>
      <c r="J2832" s="10">
        <v>3</v>
      </c>
      <c r="K2832" s="10">
        <v>5</v>
      </c>
      <c r="L2832" s="11">
        <v>5</v>
      </c>
      <c r="M2832" s="11">
        <v>19</v>
      </c>
      <c r="N2832" s="12" t="s">
        <v>506</v>
      </c>
      <c r="P2832" s="10">
        <v>180</v>
      </c>
      <c r="T2832" s="10">
        <v>60</v>
      </c>
      <c r="X2832" s="29">
        <v>15</v>
      </c>
      <c r="Y2832" s="7" t="s">
        <v>44</v>
      </c>
    </row>
    <row r="2833" spans="1:26" ht="23.1" customHeight="1" x14ac:dyDescent="0.25">
      <c r="A2833" t="s">
        <v>870</v>
      </c>
      <c r="B2833" s="7" t="s">
        <v>113</v>
      </c>
      <c r="C2833" s="7">
        <v>55</v>
      </c>
      <c r="D2833" s="7" t="s">
        <v>923</v>
      </c>
      <c r="E2833" s="8" t="s">
        <v>139</v>
      </c>
      <c r="F2833" s="9" t="s">
        <v>139</v>
      </c>
      <c r="G2833" s="7" t="s">
        <v>250</v>
      </c>
      <c r="H2833" s="7">
        <v>10</v>
      </c>
      <c r="I2833" s="7" t="s">
        <v>2094</v>
      </c>
      <c r="J2833" s="10">
        <v>22</v>
      </c>
      <c r="K2833" s="10">
        <v>22</v>
      </c>
      <c r="L2833" s="11">
        <v>5</v>
      </c>
      <c r="M2833" s="11">
        <v>5</v>
      </c>
      <c r="N2833" s="12" t="s">
        <v>131</v>
      </c>
      <c r="P2833" s="10">
        <v>25</v>
      </c>
      <c r="T2833" s="10">
        <v>60</v>
      </c>
      <c r="V2833" s="13">
        <v>1</v>
      </c>
      <c r="X2833" s="29">
        <v>10.199999999999999</v>
      </c>
      <c r="Y2833" s="7" t="s">
        <v>44</v>
      </c>
    </row>
    <row r="2834" spans="1:26" ht="23.1" customHeight="1" x14ac:dyDescent="0.25">
      <c r="A2834" t="s">
        <v>870</v>
      </c>
      <c r="B2834" s="7" t="s">
        <v>113</v>
      </c>
      <c r="C2834" s="7">
        <v>55</v>
      </c>
      <c r="D2834" s="7" t="s">
        <v>923</v>
      </c>
      <c r="E2834" s="8" t="s">
        <v>139</v>
      </c>
      <c r="F2834" s="9" t="s">
        <v>139</v>
      </c>
      <c r="G2834" s="7" t="s">
        <v>250</v>
      </c>
      <c r="H2834" s="7">
        <v>15</v>
      </c>
      <c r="I2834" s="7" t="s">
        <v>1946</v>
      </c>
      <c r="K2834" s="10">
        <v>6</v>
      </c>
      <c r="L2834" s="11">
        <v>23</v>
      </c>
      <c r="M2834" s="11">
        <v>5</v>
      </c>
      <c r="N2834" s="12" t="s">
        <v>131</v>
      </c>
      <c r="P2834" s="10">
        <v>45</v>
      </c>
      <c r="T2834" s="10">
        <v>60</v>
      </c>
      <c r="V2834" s="13">
        <v>1</v>
      </c>
      <c r="X2834" s="29">
        <v>5.5</v>
      </c>
      <c r="Y2834" s="7" t="s">
        <v>44</v>
      </c>
    </row>
    <row r="2835" spans="1:26" ht="23.1" customHeight="1" x14ac:dyDescent="0.25">
      <c r="A2835" t="s">
        <v>1002</v>
      </c>
      <c r="B2835" s="7" t="s">
        <v>113</v>
      </c>
      <c r="C2835" s="7">
        <v>56</v>
      </c>
      <c r="D2835" s="7" t="s">
        <v>273</v>
      </c>
      <c r="E2835" s="8" t="s">
        <v>274</v>
      </c>
      <c r="F2835" s="9" t="s">
        <v>274</v>
      </c>
      <c r="G2835" s="7" t="s">
        <v>123</v>
      </c>
      <c r="H2835" s="7">
        <v>38</v>
      </c>
      <c r="J2835" s="10">
        <v>10</v>
      </c>
      <c r="K2835" s="10">
        <v>11</v>
      </c>
      <c r="L2835" s="11">
        <v>23</v>
      </c>
      <c r="M2835" s="11">
        <v>23</v>
      </c>
      <c r="N2835" s="12" t="s">
        <v>275</v>
      </c>
      <c r="O2835" s="10">
        <v>40</v>
      </c>
      <c r="U2835" s="10">
        <v>60</v>
      </c>
      <c r="X2835" s="32">
        <v>7.3</v>
      </c>
      <c r="Y2835" s="7" t="s">
        <v>44</v>
      </c>
    </row>
    <row r="2836" spans="1:26" ht="23.1" customHeight="1" x14ac:dyDescent="0.25">
      <c r="A2836" t="s">
        <v>1002</v>
      </c>
      <c r="B2836" s="7" t="s">
        <v>113</v>
      </c>
      <c r="C2836" s="7">
        <v>56</v>
      </c>
      <c r="D2836" s="7" t="s">
        <v>273</v>
      </c>
      <c r="E2836" s="8" t="s">
        <v>274</v>
      </c>
      <c r="F2836" s="9" t="s">
        <v>274</v>
      </c>
      <c r="G2836" s="7" t="s">
        <v>123</v>
      </c>
      <c r="H2836" s="7">
        <v>40</v>
      </c>
      <c r="I2836" s="7" t="s">
        <v>2326</v>
      </c>
      <c r="J2836" s="10">
        <v>0.5</v>
      </c>
      <c r="K2836" s="10">
        <v>0.1</v>
      </c>
      <c r="L2836" s="11">
        <v>26</v>
      </c>
      <c r="N2836" s="12" t="s">
        <v>275</v>
      </c>
      <c r="P2836" s="10">
        <v>240</v>
      </c>
      <c r="T2836" s="10">
        <v>120</v>
      </c>
      <c r="V2836" s="13">
        <v>1</v>
      </c>
      <c r="X2836" s="29">
        <v>2.4</v>
      </c>
      <c r="Y2836" s="7" t="s">
        <v>44</v>
      </c>
    </row>
    <row r="2837" spans="1:26" ht="23.1" customHeight="1" x14ac:dyDescent="0.25">
      <c r="A2837" t="s">
        <v>1002</v>
      </c>
      <c r="B2837" s="7" t="s">
        <v>113</v>
      </c>
      <c r="C2837" s="7">
        <v>55</v>
      </c>
      <c r="D2837" s="7" t="s">
        <v>923</v>
      </c>
      <c r="E2837" s="8" t="s">
        <v>139</v>
      </c>
      <c r="F2837" s="9" t="s">
        <v>139</v>
      </c>
      <c r="G2837" s="7" t="s">
        <v>250</v>
      </c>
      <c r="H2837" s="7">
        <v>25</v>
      </c>
      <c r="I2837" s="7" t="s">
        <v>2334</v>
      </c>
      <c r="K2837" s="10">
        <v>6</v>
      </c>
      <c r="L2837" s="11">
        <v>26</v>
      </c>
      <c r="M2837" s="11">
        <v>26</v>
      </c>
      <c r="N2837" s="12" t="s">
        <v>131</v>
      </c>
      <c r="P2837" s="10">
        <v>150</v>
      </c>
      <c r="T2837" s="10">
        <v>60</v>
      </c>
      <c r="X2837" s="29">
        <v>15</v>
      </c>
      <c r="Y2837" s="7" t="s">
        <v>44</v>
      </c>
    </row>
    <row r="2838" spans="1:26" ht="23.1" customHeight="1" x14ac:dyDescent="0.25">
      <c r="A2838" t="s">
        <v>1002</v>
      </c>
      <c r="B2838" s="7" t="s">
        <v>137</v>
      </c>
      <c r="C2838" s="7">
        <v>10</v>
      </c>
      <c r="D2838" s="7" t="s">
        <v>946</v>
      </c>
      <c r="E2838" s="8" t="s">
        <v>947</v>
      </c>
      <c r="F2838" s="9" t="s">
        <v>947</v>
      </c>
      <c r="G2838" s="7" t="s">
        <v>300</v>
      </c>
      <c r="H2838" s="7">
        <v>15</v>
      </c>
      <c r="I2838" s="7" t="s">
        <v>2112</v>
      </c>
      <c r="J2838" s="10">
        <v>1</v>
      </c>
      <c r="K2838" s="10">
        <v>2</v>
      </c>
      <c r="L2838" s="11">
        <v>37</v>
      </c>
      <c r="M2838" s="11">
        <v>37</v>
      </c>
      <c r="N2838" s="12" t="s">
        <v>1802</v>
      </c>
      <c r="P2838" s="10">
        <v>80</v>
      </c>
      <c r="T2838" s="10">
        <v>60</v>
      </c>
      <c r="X2838" s="29">
        <v>2.7</v>
      </c>
      <c r="Y2838" s="7" t="s">
        <v>30</v>
      </c>
    </row>
    <row r="2839" spans="1:26" ht="23.1" customHeight="1" x14ac:dyDescent="0.25">
      <c r="A2839" t="s">
        <v>1002</v>
      </c>
      <c r="B2839" s="7" t="s">
        <v>137</v>
      </c>
      <c r="C2839" s="7">
        <v>10</v>
      </c>
      <c r="D2839" s="7" t="s">
        <v>946</v>
      </c>
      <c r="E2839" s="8" t="s">
        <v>947</v>
      </c>
      <c r="F2839" s="9" t="s">
        <v>947</v>
      </c>
      <c r="G2839" s="7" t="s">
        <v>300</v>
      </c>
      <c r="H2839" s="7">
        <v>20</v>
      </c>
      <c r="I2839" s="7" t="s">
        <v>2234</v>
      </c>
      <c r="J2839" s="10">
        <v>1.3</v>
      </c>
      <c r="K2839" s="10">
        <v>1.4</v>
      </c>
      <c r="L2839" s="11">
        <v>23</v>
      </c>
      <c r="M2839" s="11">
        <v>28</v>
      </c>
      <c r="N2839" s="12" t="s">
        <v>1802</v>
      </c>
      <c r="P2839" s="10">
        <v>360</v>
      </c>
      <c r="T2839" s="10">
        <v>90</v>
      </c>
      <c r="X2839" s="29">
        <v>8.4</v>
      </c>
      <c r="Y2839" s="7" t="s">
        <v>30</v>
      </c>
      <c r="Z2839" t="s">
        <v>1803</v>
      </c>
    </row>
    <row r="2840" spans="1:26" ht="23.1" customHeight="1" x14ac:dyDescent="0.25">
      <c r="A2840" t="s">
        <v>1002</v>
      </c>
      <c r="B2840" s="7" t="s">
        <v>137</v>
      </c>
      <c r="C2840" s="7">
        <v>9</v>
      </c>
      <c r="D2840" s="7" t="s">
        <v>911</v>
      </c>
      <c r="E2840" s="8" t="s">
        <v>912</v>
      </c>
      <c r="F2840" s="9" t="s">
        <v>912</v>
      </c>
      <c r="G2840" s="7" t="s">
        <v>154</v>
      </c>
      <c r="H2840" s="7">
        <v>15</v>
      </c>
      <c r="I2840" s="7" t="s">
        <v>2111</v>
      </c>
      <c r="J2840" s="10">
        <v>5</v>
      </c>
      <c r="K2840" s="10">
        <v>7</v>
      </c>
      <c r="L2840" s="11">
        <v>28</v>
      </c>
      <c r="M2840" s="11">
        <v>28</v>
      </c>
      <c r="N2840" s="12" t="s">
        <v>1567</v>
      </c>
      <c r="P2840" s="10">
        <v>100</v>
      </c>
      <c r="T2840" s="10">
        <v>60</v>
      </c>
      <c r="W2840" s="14">
        <v>2</v>
      </c>
      <c r="X2840" s="29">
        <v>13.7</v>
      </c>
      <c r="Y2840" s="7" t="s">
        <v>30</v>
      </c>
      <c r="Z2840" t="s">
        <v>1804</v>
      </c>
    </row>
    <row r="2841" spans="1:26" ht="23.1" customHeight="1" x14ac:dyDescent="0.25">
      <c r="A2841" t="s">
        <v>1002</v>
      </c>
      <c r="B2841" s="7" t="s">
        <v>113</v>
      </c>
      <c r="C2841" s="7">
        <v>9</v>
      </c>
      <c r="D2841" s="7" t="s">
        <v>911</v>
      </c>
      <c r="E2841" s="8" t="s">
        <v>912</v>
      </c>
      <c r="F2841" s="9" t="s">
        <v>912</v>
      </c>
      <c r="G2841" s="7" t="s">
        <v>154</v>
      </c>
      <c r="H2841" s="7">
        <v>15</v>
      </c>
      <c r="I2841" s="7" t="s">
        <v>2111</v>
      </c>
      <c r="J2841" s="10">
        <v>5</v>
      </c>
      <c r="K2841" s="10">
        <v>7</v>
      </c>
      <c r="L2841" s="11">
        <v>28</v>
      </c>
      <c r="M2841" s="11">
        <v>26</v>
      </c>
      <c r="N2841" s="12" t="s">
        <v>216</v>
      </c>
      <c r="P2841" s="10">
        <v>100</v>
      </c>
      <c r="T2841" s="10">
        <v>60</v>
      </c>
      <c r="X2841" s="29">
        <v>11.7</v>
      </c>
      <c r="Y2841" s="7" t="s">
        <v>55</v>
      </c>
    </row>
    <row r="2842" spans="1:26" ht="23.1" customHeight="1" x14ac:dyDescent="0.25">
      <c r="A2842" t="s">
        <v>1002</v>
      </c>
      <c r="B2842" s="7" t="s">
        <v>113</v>
      </c>
      <c r="C2842" s="7">
        <v>9</v>
      </c>
      <c r="D2842" s="7" t="s">
        <v>911</v>
      </c>
      <c r="E2842" s="8" t="s">
        <v>912</v>
      </c>
      <c r="F2842" s="9" t="s">
        <v>912</v>
      </c>
      <c r="G2842" s="7" t="s">
        <v>154</v>
      </c>
      <c r="H2842" s="7">
        <v>20</v>
      </c>
      <c r="I2842" s="7" t="s">
        <v>2235</v>
      </c>
      <c r="K2842" s="10">
        <v>0.2</v>
      </c>
      <c r="L2842" s="11">
        <v>28</v>
      </c>
      <c r="N2842" s="12" t="s">
        <v>1635</v>
      </c>
      <c r="P2842" s="10">
        <v>140</v>
      </c>
      <c r="T2842" s="10">
        <v>60</v>
      </c>
      <c r="V2842" s="13">
        <v>1</v>
      </c>
      <c r="X2842" s="29">
        <v>1.5</v>
      </c>
      <c r="Y2842" s="7" t="s">
        <v>55</v>
      </c>
    </row>
    <row r="2843" spans="1:26" ht="23.1" customHeight="1" x14ac:dyDescent="0.25">
      <c r="A2843" t="s">
        <v>1002</v>
      </c>
      <c r="B2843" s="7" t="s">
        <v>113</v>
      </c>
      <c r="C2843" s="7">
        <v>10</v>
      </c>
      <c r="D2843" s="7" t="s">
        <v>946</v>
      </c>
      <c r="E2843" s="8" t="s">
        <v>947</v>
      </c>
      <c r="F2843" s="9" t="s">
        <v>947</v>
      </c>
      <c r="G2843" s="7" t="s">
        <v>300</v>
      </c>
      <c r="H2843" s="7">
        <v>20</v>
      </c>
      <c r="I2843" s="7" t="s">
        <v>2234</v>
      </c>
      <c r="J2843" s="10">
        <v>2</v>
      </c>
      <c r="K2843" s="10">
        <v>0.8</v>
      </c>
      <c r="L2843" s="11">
        <v>28</v>
      </c>
      <c r="M2843" s="11">
        <v>19</v>
      </c>
      <c r="N2843" s="12" t="s">
        <v>1802</v>
      </c>
      <c r="P2843" s="10">
        <v>360</v>
      </c>
      <c r="T2843" s="10">
        <v>90</v>
      </c>
      <c r="X2843" s="29">
        <v>4.8</v>
      </c>
      <c r="Y2843" s="7" t="s">
        <v>55</v>
      </c>
      <c r="Z2843" t="s">
        <v>1805</v>
      </c>
    </row>
    <row r="2844" spans="1:26" ht="23.1" customHeight="1" x14ac:dyDescent="0.25">
      <c r="A2844" t="s">
        <v>1002</v>
      </c>
      <c r="B2844" s="7" t="s">
        <v>113</v>
      </c>
      <c r="C2844" s="7">
        <v>10</v>
      </c>
      <c r="D2844" s="7" t="s">
        <v>946</v>
      </c>
      <c r="E2844" s="8" t="s">
        <v>947</v>
      </c>
      <c r="F2844" s="9" t="s">
        <v>947</v>
      </c>
      <c r="G2844" s="7" t="s">
        <v>300</v>
      </c>
      <c r="H2844" s="7">
        <v>20</v>
      </c>
      <c r="I2844" s="7" t="s">
        <v>2234</v>
      </c>
      <c r="K2844" s="10">
        <v>1</v>
      </c>
      <c r="L2844" s="11">
        <v>26</v>
      </c>
      <c r="N2844" s="12" t="s">
        <v>1802</v>
      </c>
      <c r="P2844" s="10">
        <v>360</v>
      </c>
      <c r="T2844" s="10">
        <v>90</v>
      </c>
      <c r="X2844" s="29">
        <v>6</v>
      </c>
      <c r="Y2844" s="7" t="s">
        <v>55</v>
      </c>
    </row>
    <row r="2845" spans="1:26" ht="23.1" customHeight="1" x14ac:dyDescent="0.25">
      <c r="A2845" t="s">
        <v>909</v>
      </c>
      <c r="B2845" s="7" t="s">
        <v>113</v>
      </c>
      <c r="C2845" s="7">
        <v>9</v>
      </c>
      <c r="D2845" s="7" t="s">
        <v>911</v>
      </c>
      <c r="E2845" s="8" t="s">
        <v>912</v>
      </c>
      <c r="F2845" s="9" t="s">
        <v>912</v>
      </c>
      <c r="G2845" s="7" t="s">
        <v>154</v>
      </c>
      <c r="H2845" s="7">
        <v>15</v>
      </c>
      <c r="I2845" s="7" t="s">
        <v>2366</v>
      </c>
      <c r="J2845" s="10">
        <v>3</v>
      </c>
      <c r="K2845" s="10">
        <v>3.5</v>
      </c>
      <c r="L2845" s="11">
        <v>19</v>
      </c>
      <c r="M2845" s="11">
        <v>26</v>
      </c>
      <c r="N2845" s="12" t="s">
        <v>1022</v>
      </c>
      <c r="P2845" s="10">
        <v>100</v>
      </c>
      <c r="T2845" s="10">
        <v>60</v>
      </c>
      <c r="V2845" s="13">
        <v>1</v>
      </c>
      <c r="X2845" s="29">
        <v>6.8</v>
      </c>
      <c r="Y2845" s="7" t="s">
        <v>55</v>
      </c>
    </row>
    <row r="2846" spans="1:26" ht="23.1" customHeight="1" x14ac:dyDescent="0.25">
      <c r="A2846" t="s">
        <v>909</v>
      </c>
      <c r="B2846" s="7" t="s">
        <v>113</v>
      </c>
      <c r="C2846" s="7">
        <v>10</v>
      </c>
      <c r="D2846" s="7" t="s">
        <v>946</v>
      </c>
      <c r="E2846" s="8" t="s">
        <v>947</v>
      </c>
      <c r="F2846" s="9" t="s">
        <v>947</v>
      </c>
      <c r="G2846" s="7" t="s">
        <v>300</v>
      </c>
      <c r="H2846" s="7">
        <v>15</v>
      </c>
      <c r="I2846" s="7" t="s">
        <v>2112</v>
      </c>
      <c r="J2846" s="10">
        <v>3</v>
      </c>
      <c r="K2846" s="10">
        <v>1</v>
      </c>
      <c r="L2846" s="11">
        <v>37</v>
      </c>
      <c r="N2846" s="12" t="s">
        <v>1055</v>
      </c>
      <c r="P2846" s="10">
        <v>80</v>
      </c>
      <c r="T2846" s="10">
        <v>60</v>
      </c>
      <c r="V2846" s="13">
        <v>1</v>
      </c>
      <c r="X2846" s="29">
        <v>2.2999999999999998</v>
      </c>
      <c r="Y2846" s="7" t="s">
        <v>55</v>
      </c>
    </row>
    <row r="2847" spans="1:26" ht="23.1" customHeight="1" x14ac:dyDescent="0.25">
      <c r="A2847" t="s">
        <v>98</v>
      </c>
      <c r="B2847" s="7" t="s">
        <v>99</v>
      </c>
      <c r="C2847" s="7">
        <v>22</v>
      </c>
      <c r="D2847" s="7" t="s">
        <v>100</v>
      </c>
      <c r="E2847" s="8" t="s">
        <v>101</v>
      </c>
      <c r="F2847" s="9" t="s">
        <v>101</v>
      </c>
      <c r="G2847" s="7" t="s">
        <v>102</v>
      </c>
      <c r="H2847" s="7">
        <v>30</v>
      </c>
      <c r="I2847" s="7" t="s">
        <v>2406</v>
      </c>
      <c r="J2847" s="10">
        <v>0.2</v>
      </c>
      <c r="K2847" s="10">
        <v>0.2</v>
      </c>
      <c r="L2847" s="11">
        <v>28</v>
      </c>
      <c r="N2847" s="12" t="s">
        <v>103</v>
      </c>
      <c r="P2847" s="10">
        <v>6000</v>
      </c>
      <c r="Q2847" s="10">
        <v>180</v>
      </c>
      <c r="T2847" s="10">
        <v>180</v>
      </c>
      <c r="X2847" s="29">
        <v>20</v>
      </c>
      <c r="Y2847" s="7" t="s">
        <v>58</v>
      </c>
    </row>
    <row r="2848" spans="1:26" ht="23.1" customHeight="1" x14ac:dyDescent="0.25">
      <c r="A2848" t="s">
        <v>109</v>
      </c>
      <c r="B2848" s="7" t="s">
        <v>113</v>
      </c>
      <c r="C2848" s="7">
        <v>22</v>
      </c>
      <c r="D2848" s="7" t="s">
        <v>100</v>
      </c>
      <c r="E2848" s="8" t="s">
        <v>101</v>
      </c>
      <c r="F2848" s="9" t="s">
        <v>101</v>
      </c>
      <c r="G2848" s="7" t="s">
        <v>102</v>
      </c>
      <c r="H2848" s="7">
        <v>30</v>
      </c>
      <c r="I2848" s="7" t="s">
        <v>1877</v>
      </c>
      <c r="J2848" s="10">
        <v>0.15</v>
      </c>
      <c r="K2848" s="10">
        <v>0.2</v>
      </c>
      <c r="L2848" s="11">
        <v>26</v>
      </c>
      <c r="N2848" s="12" t="s">
        <v>103</v>
      </c>
      <c r="P2848" s="10">
        <v>6000</v>
      </c>
      <c r="Q2848" s="10">
        <v>180</v>
      </c>
      <c r="T2848" s="10">
        <v>180</v>
      </c>
      <c r="X2848" s="29">
        <v>20</v>
      </c>
      <c r="Y2848" s="7" t="s">
        <v>58</v>
      </c>
    </row>
    <row r="2849" spans="1:27" ht="23.1" customHeight="1" x14ac:dyDescent="0.25">
      <c r="A2849" t="s">
        <v>796</v>
      </c>
      <c r="B2849" s="7" t="s">
        <v>113</v>
      </c>
      <c r="C2849" s="7">
        <v>22</v>
      </c>
      <c r="D2849" s="7" t="s">
        <v>635</v>
      </c>
      <c r="E2849" s="8" t="s">
        <v>612</v>
      </c>
      <c r="F2849" s="9" t="s">
        <v>612</v>
      </c>
      <c r="G2849" s="7" t="s">
        <v>102</v>
      </c>
      <c r="H2849" s="7">
        <v>45</v>
      </c>
      <c r="I2849" s="7" t="s">
        <v>2015</v>
      </c>
      <c r="J2849" s="10">
        <v>0.3</v>
      </c>
      <c r="K2849" s="10">
        <v>0.3</v>
      </c>
      <c r="L2849" s="11">
        <v>5</v>
      </c>
      <c r="N2849" s="12" t="s">
        <v>613</v>
      </c>
      <c r="P2849" s="10">
        <v>6000</v>
      </c>
      <c r="Q2849" s="10">
        <v>180</v>
      </c>
      <c r="T2849" s="10">
        <v>180</v>
      </c>
      <c r="X2849" s="29">
        <v>30</v>
      </c>
      <c r="Y2849" s="7" t="s">
        <v>58</v>
      </c>
    </row>
    <row r="2850" spans="1:27" ht="23.1" customHeight="1" x14ac:dyDescent="0.25">
      <c r="A2850" t="s">
        <v>870</v>
      </c>
      <c r="B2850" s="7" t="s">
        <v>113</v>
      </c>
      <c r="C2850" s="7">
        <v>21</v>
      </c>
      <c r="D2850" s="7" t="s">
        <v>321</v>
      </c>
      <c r="E2850" s="8" t="s">
        <v>322</v>
      </c>
      <c r="F2850" s="9" t="s">
        <v>322</v>
      </c>
      <c r="G2850" s="7" t="s">
        <v>323</v>
      </c>
      <c r="H2850" s="7">
        <v>30</v>
      </c>
      <c r="I2850" s="7" t="s">
        <v>2078</v>
      </c>
      <c r="J2850" s="10">
        <v>0.6</v>
      </c>
      <c r="K2850" s="10">
        <v>0.5</v>
      </c>
      <c r="L2850" s="11">
        <v>5</v>
      </c>
      <c r="M2850" s="11">
        <v>5</v>
      </c>
      <c r="N2850" s="12" t="s">
        <v>780</v>
      </c>
      <c r="P2850" s="10">
        <v>360</v>
      </c>
      <c r="Q2850" s="10">
        <v>120</v>
      </c>
      <c r="T2850" s="10">
        <v>180</v>
      </c>
      <c r="X2850" s="29">
        <v>3</v>
      </c>
      <c r="Y2850" s="7" t="s">
        <v>58</v>
      </c>
    </row>
    <row r="2851" spans="1:27" ht="23.1" customHeight="1" x14ac:dyDescent="0.25">
      <c r="A2851" t="s">
        <v>870</v>
      </c>
      <c r="B2851" s="7" t="s">
        <v>113</v>
      </c>
      <c r="C2851" s="7">
        <v>21</v>
      </c>
      <c r="D2851" s="7" t="s">
        <v>321</v>
      </c>
      <c r="E2851" s="8" t="s">
        <v>322</v>
      </c>
      <c r="F2851" s="9" t="s">
        <v>322</v>
      </c>
      <c r="G2851" s="7" t="s">
        <v>323</v>
      </c>
      <c r="H2851" s="7">
        <v>35</v>
      </c>
      <c r="I2851" s="7" t="s">
        <v>1925</v>
      </c>
      <c r="J2851" s="10">
        <v>1</v>
      </c>
      <c r="K2851" s="10">
        <v>1.6</v>
      </c>
      <c r="L2851" s="11">
        <v>28</v>
      </c>
      <c r="M2851" s="11">
        <v>26</v>
      </c>
      <c r="N2851" s="12" t="s">
        <v>1196</v>
      </c>
      <c r="P2851" s="10">
        <v>480</v>
      </c>
      <c r="Q2851" s="10">
        <v>120</v>
      </c>
      <c r="S2851" s="11">
        <v>2</v>
      </c>
      <c r="T2851" s="10">
        <v>180</v>
      </c>
      <c r="V2851" s="13">
        <v>1</v>
      </c>
      <c r="X2851" s="29">
        <v>19.8</v>
      </c>
      <c r="Y2851" s="7" t="s">
        <v>58</v>
      </c>
    </row>
    <row r="2852" spans="1:27" ht="23.1" customHeight="1" x14ac:dyDescent="0.25">
      <c r="A2852" t="s">
        <v>1002</v>
      </c>
      <c r="B2852" s="7" t="s">
        <v>113</v>
      </c>
      <c r="C2852" s="7">
        <v>22</v>
      </c>
      <c r="D2852" s="7" t="s">
        <v>611</v>
      </c>
      <c r="E2852" s="8" t="s">
        <v>612</v>
      </c>
      <c r="F2852" s="9" t="s">
        <v>612</v>
      </c>
      <c r="G2852" s="7" t="s">
        <v>102</v>
      </c>
      <c r="H2852" s="7">
        <v>5</v>
      </c>
      <c r="I2852" s="7" t="s">
        <v>1957</v>
      </c>
      <c r="K2852" s="10">
        <v>0.7</v>
      </c>
      <c r="L2852" s="11">
        <v>5</v>
      </c>
      <c r="M2852" s="11">
        <v>37</v>
      </c>
      <c r="N2852" s="12" t="s">
        <v>1848</v>
      </c>
      <c r="P2852" s="10">
        <v>2400</v>
      </c>
      <c r="Q2852" s="10">
        <v>210</v>
      </c>
      <c r="S2852" s="11">
        <v>1</v>
      </c>
      <c r="T2852" s="10">
        <v>210</v>
      </c>
      <c r="X2852" s="29">
        <v>31.5</v>
      </c>
      <c r="Y2852" s="7" t="s">
        <v>58</v>
      </c>
    </row>
    <row r="2853" spans="1:27" ht="23.1" customHeight="1" x14ac:dyDescent="0.25">
      <c r="A2853" t="s">
        <v>1002</v>
      </c>
      <c r="B2853" s="7" t="s">
        <v>113</v>
      </c>
      <c r="C2853" s="7">
        <v>22</v>
      </c>
      <c r="D2853" s="7" t="s">
        <v>635</v>
      </c>
      <c r="E2853" s="8" t="s">
        <v>612</v>
      </c>
      <c r="F2853" s="9" t="s">
        <v>612</v>
      </c>
      <c r="G2853" s="7" t="s">
        <v>102</v>
      </c>
      <c r="H2853" s="7">
        <v>5</v>
      </c>
      <c r="I2853" s="7" t="s">
        <v>1957</v>
      </c>
      <c r="K2853" s="10">
        <v>0.6</v>
      </c>
      <c r="L2853" s="11">
        <v>9</v>
      </c>
      <c r="M2853" s="11">
        <v>9</v>
      </c>
      <c r="P2853" s="10">
        <v>2400</v>
      </c>
      <c r="Q2853" s="10">
        <v>210</v>
      </c>
      <c r="T2853" s="10">
        <v>210</v>
      </c>
      <c r="V2853" s="13">
        <v>1</v>
      </c>
      <c r="X2853" s="29">
        <v>27.5</v>
      </c>
      <c r="Y2853" s="7" t="s">
        <v>58</v>
      </c>
    </row>
    <row r="2854" spans="1:27" ht="23.1" customHeight="1" x14ac:dyDescent="0.25">
      <c r="A2854" t="s">
        <v>653</v>
      </c>
      <c r="B2854" s="7" t="s">
        <v>99</v>
      </c>
      <c r="C2854" s="7">
        <v>13</v>
      </c>
      <c r="D2854" s="7" t="s">
        <v>656</v>
      </c>
      <c r="E2854" s="8" t="s">
        <v>657</v>
      </c>
      <c r="F2854" s="9" t="s">
        <v>657</v>
      </c>
      <c r="G2854" s="7" t="s">
        <v>658</v>
      </c>
      <c r="H2854" s="7">
        <v>50</v>
      </c>
      <c r="I2854" s="7" t="s">
        <v>2529</v>
      </c>
      <c r="K2854" s="10">
        <v>1</v>
      </c>
      <c r="P2854" s="10">
        <v>60</v>
      </c>
      <c r="T2854" s="10">
        <v>120</v>
      </c>
      <c r="W2854" s="14">
        <v>2</v>
      </c>
      <c r="X2854" s="29">
        <v>3</v>
      </c>
      <c r="Y2854" s="7" t="s">
        <v>72</v>
      </c>
      <c r="Z2854" t="s">
        <v>1671</v>
      </c>
      <c r="AA2854" s="1" t="s">
        <v>238</v>
      </c>
    </row>
    <row r="2855" spans="1:27" ht="23.1" customHeight="1" x14ac:dyDescent="0.25">
      <c r="A2855" t="s">
        <v>653</v>
      </c>
      <c r="B2855" s="7" t="s">
        <v>99</v>
      </c>
      <c r="C2855" s="7">
        <v>13</v>
      </c>
      <c r="D2855" s="7" t="s">
        <v>656</v>
      </c>
      <c r="E2855" s="8" t="s">
        <v>657</v>
      </c>
      <c r="F2855" s="9" t="s">
        <v>657</v>
      </c>
      <c r="G2855" s="7" t="s">
        <v>658</v>
      </c>
      <c r="H2855" s="7">
        <v>55</v>
      </c>
      <c r="I2855" s="7" t="s">
        <v>1898</v>
      </c>
      <c r="K2855" s="10">
        <v>1</v>
      </c>
      <c r="P2855" s="10">
        <v>30</v>
      </c>
      <c r="T2855" s="10">
        <v>120</v>
      </c>
      <c r="W2855" s="14">
        <v>2</v>
      </c>
      <c r="X2855" s="29">
        <v>2.5</v>
      </c>
      <c r="Y2855" s="7" t="s">
        <v>72</v>
      </c>
      <c r="Z2855" t="s">
        <v>1671</v>
      </c>
      <c r="AA2855" s="1" t="s">
        <v>238</v>
      </c>
    </row>
    <row r="2856" spans="1:27" ht="23.1" customHeight="1" x14ac:dyDescent="0.25">
      <c r="A2856" t="s">
        <v>653</v>
      </c>
      <c r="B2856" s="7" t="s">
        <v>99</v>
      </c>
      <c r="C2856" s="7">
        <v>13</v>
      </c>
      <c r="D2856" s="7" t="s">
        <v>656</v>
      </c>
      <c r="E2856" s="8" t="s">
        <v>657</v>
      </c>
      <c r="F2856" s="9" t="s">
        <v>657</v>
      </c>
      <c r="G2856" s="7" t="s">
        <v>658</v>
      </c>
      <c r="H2856" s="7">
        <v>45</v>
      </c>
      <c r="I2856" s="7" t="s">
        <v>2530</v>
      </c>
      <c r="K2856" s="10">
        <v>1</v>
      </c>
      <c r="W2856" s="14">
        <v>2</v>
      </c>
      <c r="X2856" s="29">
        <v>2</v>
      </c>
      <c r="Y2856" s="7" t="s">
        <v>72</v>
      </c>
      <c r="Z2856" t="s">
        <v>1671</v>
      </c>
      <c r="AA2856" s="1" t="s">
        <v>238</v>
      </c>
    </row>
    <row r="2857" spans="1:27" ht="23.1" customHeight="1" x14ac:dyDescent="0.25">
      <c r="A2857" t="s">
        <v>1236</v>
      </c>
      <c r="B2857" s="7" t="s">
        <v>113</v>
      </c>
      <c r="C2857" s="7">
        <v>13</v>
      </c>
      <c r="D2857" s="7" t="s">
        <v>1727</v>
      </c>
      <c r="E2857" s="8" t="s">
        <v>1728</v>
      </c>
      <c r="F2857" s="9" t="s">
        <v>1728</v>
      </c>
      <c r="G2857" s="7" t="s">
        <v>102</v>
      </c>
      <c r="H2857" s="7">
        <v>15</v>
      </c>
      <c r="I2857" s="7" t="s">
        <v>2346</v>
      </c>
      <c r="K2857" s="10">
        <v>1</v>
      </c>
      <c r="P2857" s="10">
        <v>140</v>
      </c>
      <c r="T2857" s="10">
        <v>90</v>
      </c>
      <c r="W2857" s="14">
        <v>2</v>
      </c>
      <c r="X2857" s="29">
        <v>4.3</v>
      </c>
      <c r="Y2857" s="7" t="s">
        <v>72</v>
      </c>
      <c r="Z2857" t="s">
        <v>1671</v>
      </c>
      <c r="AA2857" s="1" t="s">
        <v>238</v>
      </c>
    </row>
    <row r="2858" spans="1:27" ht="23.1" customHeight="1" x14ac:dyDescent="0.25">
      <c r="A2858" t="s">
        <v>870</v>
      </c>
      <c r="B2858" s="7" t="s">
        <v>110</v>
      </c>
      <c r="C2858" s="7">
        <v>24</v>
      </c>
      <c r="D2858" s="7" t="s">
        <v>738</v>
      </c>
      <c r="E2858" s="8" t="s">
        <v>739</v>
      </c>
      <c r="F2858" s="9" t="s">
        <v>739</v>
      </c>
      <c r="G2858" s="7" t="s">
        <v>107</v>
      </c>
      <c r="H2858" s="7">
        <v>30</v>
      </c>
      <c r="I2858" s="7" t="s">
        <v>2061</v>
      </c>
      <c r="J2858" s="10">
        <v>0.6</v>
      </c>
      <c r="K2858" s="10">
        <v>0.6</v>
      </c>
      <c r="L2858" s="11">
        <v>28</v>
      </c>
      <c r="N2858" s="12" t="s">
        <v>410</v>
      </c>
      <c r="P2858" s="10">
        <v>1700</v>
      </c>
      <c r="Q2858" s="10">
        <v>120</v>
      </c>
      <c r="S2858" s="11">
        <v>1</v>
      </c>
      <c r="T2858" s="10">
        <v>210</v>
      </c>
      <c r="X2858" s="29">
        <v>19</v>
      </c>
      <c r="Y2858" s="7" t="s">
        <v>4</v>
      </c>
    </row>
    <row r="2859" spans="1:27" ht="23.1" customHeight="1" x14ac:dyDescent="0.25">
      <c r="A2859" t="s">
        <v>870</v>
      </c>
      <c r="B2859" s="7" t="s">
        <v>110</v>
      </c>
      <c r="C2859" s="7">
        <v>69</v>
      </c>
      <c r="D2859" s="7" t="s">
        <v>132</v>
      </c>
      <c r="E2859" s="8" t="s">
        <v>133</v>
      </c>
      <c r="F2859" s="9" t="s">
        <v>133</v>
      </c>
      <c r="G2859" s="7" t="s">
        <v>102</v>
      </c>
      <c r="H2859" s="7">
        <v>80</v>
      </c>
      <c r="I2859" s="7" t="s">
        <v>2016</v>
      </c>
      <c r="J2859" s="10">
        <v>1</v>
      </c>
      <c r="K2859" s="10">
        <v>1</v>
      </c>
      <c r="L2859" s="11">
        <v>5</v>
      </c>
      <c r="N2859" s="12" t="s">
        <v>103</v>
      </c>
      <c r="P2859" s="10">
        <v>210</v>
      </c>
      <c r="Q2859" s="10">
        <v>60</v>
      </c>
      <c r="T2859" s="10">
        <v>120</v>
      </c>
      <c r="V2859" s="13">
        <v>1</v>
      </c>
      <c r="W2859" s="14">
        <v>8</v>
      </c>
      <c r="X2859" s="29">
        <v>13.5</v>
      </c>
      <c r="Y2859" s="7" t="s">
        <v>4</v>
      </c>
      <c r="Z2859" t="s">
        <v>1806</v>
      </c>
    </row>
    <row r="2860" spans="1:27" ht="23.1" customHeight="1" x14ac:dyDescent="0.25">
      <c r="A2860" t="s">
        <v>870</v>
      </c>
      <c r="B2860" s="7" t="s">
        <v>110</v>
      </c>
      <c r="C2860" s="7">
        <v>91</v>
      </c>
      <c r="D2860" s="7" t="s">
        <v>790</v>
      </c>
      <c r="E2860" s="8" t="s">
        <v>1807</v>
      </c>
      <c r="F2860" s="9" t="e">
        <v>#N/A</v>
      </c>
      <c r="G2860" s="7" t="s">
        <v>118</v>
      </c>
      <c r="H2860" s="7">
        <v>60</v>
      </c>
      <c r="I2860" s="7" t="s">
        <v>2531</v>
      </c>
      <c r="J2860" s="10">
        <v>1.3</v>
      </c>
      <c r="K2860" s="10">
        <v>1.2</v>
      </c>
      <c r="L2860" s="11">
        <v>37</v>
      </c>
      <c r="M2860" s="11">
        <v>28</v>
      </c>
      <c r="N2860" s="12" t="s">
        <v>1808</v>
      </c>
      <c r="P2860" s="10">
        <v>720</v>
      </c>
      <c r="Q2860" s="10">
        <v>60</v>
      </c>
      <c r="S2860" s="11">
        <v>1</v>
      </c>
      <c r="T2860" s="10">
        <v>120</v>
      </c>
      <c r="W2860" s="14">
        <v>3</v>
      </c>
      <c r="X2860" s="29">
        <v>18.399999999999999</v>
      </c>
      <c r="Y2860" s="7" t="s">
        <v>4</v>
      </c>
      <c r="Z2860" t="s">
        <v>1691</v>
      </c>
    </row>
    <row r="2861" spans="1:27" ht="23.1" customHeight="1" x14ac:dyDescent="0.25">
      <c r="A2861" t="s">
        <v>870</v>
      </c>
      <c r="B2861" s="7" t="s">
        <v>110</v>
      </c>
      <c r="C2861" s="7">
        <v>119</v>
      </c>
      <c r="D2861" s="7" t="s">
        <v>937</v>
      </c>
      <c r="E2861" s="8" t="s">
        <v>938</v>
      </c>
      <c r="F2861" s="9" t="s">
        <v>938</v>
      </c>
      <c r="G2861" s="7" t="s">
        <v>939</v>
      </c>
      <c r="H2861" s="7">
        <v>60</v>
      </c>
      <c r="I2861" s="7" t="s">
        <v>2203</v>
      </c>
      <c r="J2861" s="10">
        <v>1</v>
      </c>
      <c r="K2861" s="10">
        <v>0.6</v>
      </c>
      <c r="L2861" s="11">
        <v>9</v>
      </c>
      <c r="N2861" s="12" t="s">
        <v>421</v>
      </c>
      <c r="P2861" s="10">
        <v>900</v>
      </c>
      <c r="Q2861" s="10">
        <v>90</v>
      </c>
      <c r="T2861" s="10">
        <v>180</v>
      </c>
      <c r="V2861" s="13">
        <v>1</v>
      </c>
      <c r="W2861" s="14">
        <v>4</v>
      </c>
      <c r="X2861" s="29">
        <v>16</v>
      </c>
      <c r="Y2861" s="7" t="s">
        <v>4</v>
      </c>
      <c r="Z2861" t="s">
        <v>1809</v>
      </c>
      <c r="AA2861" t="s">
        <v>1475</v>
      </c>
    </row>
    <row r="2862" spans="1:27" ht="23.1" customHeight="1" x14ac:dyDescent="0.25">
      <c r="A2862" t="s">
        <v>870</v>
      </c>
      <c r="B2862" s="7" t="s">
        <v>110</v>
      </c>
      <c r="C2862" s="7">
        <v>121</v>
      </c>
      <c r="D2862" s="7" t="s">
        <v>1239</v>
      </c>
      <c r="E2862" s="8" t="s">
        <v>835</v>
      </c>
      <c r="F2862" s="9" t="s">
        <v>835</v>
      </c>
      <c r="G2862" s="7" t="s">
        <v>154</v>
      </c>
      <c r="H2862" s="7">
        <v>60</v>
      </c>
      <c r="I2862" s="7" t="s">
        <v>2064</v>
      </c>
      <c r="J2862" s="10">
        <v>4</v>
      </c>
      <c r="K2862" s="10">
        <v>3.6</v>
      </c>
      <c r="L2862" s="11">
        <v>26</v>
      </c>
      <c r="M2862" s="11">
        <v>28</v>
      </c>
      <c r="N2862" s="12" t="s">
        <v>1810</v>
      </c>
      <c r="P2862" s="10">
        <v>270</v>
      </c>
      <c r="Q2862" s="10">
        <v>60</v>
      </c>
      <c r="T2862" s="10">
        <v>180</v>
      </c>
      <c r="V2862" s="13">
        <v>1</v>
      </c>
      <c r="X2862" s="29">
        <v>19.2</v>
      </c>
      <c r="Y2862" s="7" t="s">
        <v>4</v>
      </c>
    </row>
    <row r="2863" spans="1:27" ht="23.1" customHeight="1" x14ac:dyDescent="0.25">
      <c r="A2863" t="s">
        <v>870</v>
      </c>
      <c r="B2863" s="7" t="s">
        <v>110</v>
      </c>
      <c r="C2863" s="7">
        <v>84</v>
      </c>
      <c r="D2863" s="7" t="s">
        <v>866</v>
      </c>
      <c r="E2863" s="8" t="s">
        <v>317</v>
      </c>
      <c r="F2863" s="9" t="s">
        <v>317</v>
      </c>
      <c r="G2863" s="7" t="s">
        <v>154</v>
      </c>
      <c r="H2863" s="7">
        <v>30</v>
      </c>
      <c r="I2863" s="7" t="s">
        <v>2407</v>
      </c>
      <c r="K2863" s="10">
        <v>0.6</v>
      </c>
      <c r="L2863" s="11">
        <v>19</v>
      </c>
      <c r="N2863" s="12" t="s">
        <v>159</v>
      </c>
      <c r="P2863" s="10">
        <v>600</v>
      </c>
      <c r="Q2863" s="10">
        <v>60</v>
      </c>
      <c r="T2863" s="10">
        <v>120</v>
      </c>
      <c r="W2863" s="14">
        <v>3</v>
      </c>
      <c r="X2863" s="29">
        <v>9</v>
      </c>
      <c r="Y2863" s="7" t="s">
        <v>4</v>
      </c>
      <c r="Z2863" t="s">
        <v>1691</v>
      </c>
    </row>
    <row r="2864" spans="1:27" ht="23.1" customHeight="1" x14ac:dyDescent="0.25">
      <c r="A2864" t="s">
        <v>870</v>
      </c>
      <c r="B2864" s="7" t="s">
        <v>110</v>
      </c>
      <c r="C2864" s="7">
        <v>84</v>
      </c>
      <c r="D2864" s="7" t="s">
        <v>423</v>
      </c>
      <c r="E2864" s="8" t="s">
        <v>424</v>
      </c>
      <c r="F2864" s="9" t="s">
        <v>424</v>
      </c>
      <c r="G2864" s="7" t="s">
        <v>107</v>
      </c>
      <c r="H2864" s="7">
        <v>38</v>
      </c>
      <c r="J2864" s="10">
        <v>1</v>
      </c>
      <c r="K2864" s="10">
        <v>1</v>
      </c>
      <c r="L2864" s="11">
        <v>26</v>
      </c>
      <c r="N2864" s="12" t="s">
        <v>545</v>
      </c>
      <c r="O2864" s="10">
        <v>90</v>
      </c>
      <c r="Q2864" s="10">
        <v>30</v>
      </c>
      <c r="R2864" s="10">
        <v>30</v>
      </c>
      <c r="S2864" s="11">
        <v>1</v>
      </c>
      <c r="U2864" s="10">
        <v>120</v>
      </c>
      <c r="V2864" s="13">
        <v>1</v>
      </c>
      <c r="W2864" s="10">
        <v>3</v>
      </c>
      <c r="X2864" s="32">
        <v>7</v>
      </c>
      <c r="Y2864" s="7" t="s">
        <v>4</v>
      </c>
      <c r="Z2864" t="s">
        <v>1548</v>
      </c>
    </row>
    <row r="2865" spans="1:26" ht="23.1" customHeight="1" x14ac:dyDescent="0.25">
      <c r="A2865" t="s">
        <v>870</v>
      </c>
      <c r="B2865" s="7" t="s">
        <v>110</v>
      </c>
      <c r="C2865" s="7">
        <v>84</v>
      </c>
      <c r="D2865" s="7" t="s">
        <v>423</v>
      </c>
      <c r="E2865" s="8" t="s">
        <v>424</v>
      </c>
      <c r="F2865" s="9" t="s">
        <v>424</v>
      </c>
      <c r="G2865" s="7" t="s">
        <v>107</v>
      </c>
      <c r="H2865" s="7">
        <v>40</v>
      </c>
      <c r="I2865" s="7" t="s">
        <v>2096</v>
      </c>
      <c r="J2865" s="10">
        <v>1</v>
      </c>
      <c r="K2865" s="10">
        <v>1</v>
      </c>
      <c r="L2865" s="11">
        <v>26</v>
      </c>
      <c r="N2865" s="12" t="s">
        <v>545</v>
      </c>
      <c r="P2865" s="10">
        <v>360</v>
      </c>
      <c r="Q2865" s="10">
        <v>30</v>
      </c>
      <c r="S2865" s="11">
        <v>1</v>
      </c>
      <c r="T2865" s="10">
        <v>120</v>
      </c>
      <c r="V2865" s="13">
        <v>1</v>
      </c>
      <c r="X2865" s="29">
        <v>8.5</v>
      </c>
      <c r="Y2865" s="7" t="s">
        <v>4</v>
      </c>
    </row>
    <row r="2866" spans="1:26" ht="23.1" customHeight="1" x14ac:dyDescent="0.25">
      <c r="A2866" t="s">
        <v>575</v>
      </c>
      <c r="B2866" s="7" t="s">
        <v>113</v>
      </c>
      <c r="C2866" s="7">
        <v>14</v>
      </c>
      <c r="D2866" s="7" t="s">
        <v>235</v>
      </c>
      <c r="E2866" s="8" t="s">
        <v>236</v>
      </c>
      <c r="F2866" s="9" t="s">
        <v>236</v>
      </c>
      <c r="G2866" s="7" t="s">
        <v>154</v>
      </c>
      <c r="H2866" s="7">
        <v>70</v>
      </c>
      <c r="I2866" s="7" t="s">
        <v>1995</v>
      </c>
      <c r="J2866" s="10">
        <v>0</v>
      </c>
      <c r="K2866" s="10">
        <v>0.5</v>
      </c>
      <c r="L2866" s="11">
        <v>19</v>
      </c>
      <c r="N2866" s="12" t="s">
        <v>159</v>
      </c>
      <c r="P2866" s="10">
        <v>1320</v>
      </c>
      <c r="T2866" s="10">
        <v>120</v>
      </c>
      <c r="V2866" s="13">
        <v>1</v>
      </c>
      <c r="X2866" s="29">
        <v>13</v>
      </c>
      <c r="Y2866" s="7" t="s">
        <v>60</v>
      </c>
    </row>
    <row r="2867" spans="1:26" ht="23.1" customHeight="1" x14ac:dyDescent="0.25">
      <c r="A2867" t="s">
        <v>796</v>
      </c>
      <c r="B2867" s="7" t="s">
        <v>110</v>
      </c>
      <c r="C2867" s="7">
        <v>14</v>
      </c>
      <c r="D2867" s="7" t="s">
        <v>235</v>
      </c>
      <c r="E2867" s="8" t="s">
        <v>236</v>
      </c>
      <c r="F2867" s="9" t="s">
        <v>236</v>
      </c>
      <c r="G2867" s="7" t="s">
        <v>154</v>
      </c>
      <c r="H2867" s="7">
        <v>35</v>
      </c>
      <c r="I2867" s="7" t="s">
        <v>2230</v>
      </c>
      <c r="K2867" s="10">
        <v>1</v>
      </c>
      <c r="L2867" s="11">
        <v>9</v>
      </c>
      <c r="N2867" s="12" t="s">
        <v>159</v>
      </c>
      <c r="P2867" s="10">
        <v>480</v>
      </c>
      <c r="T2867" s="10">
        <v>60</v>
      </c>
      <c r="V2867" s="13">
        <v>1</v>
      </c>
      <c r="X2867" s="29">
        <v>9</v>
      </c>
      <c r="Y2867" s="7" t="s">
        <v>60</v>
      </c>
    </row>
    <row r="2868" spans="1:26" ht="23.1" customHeight="1" x14ac:dyDescent="0.25">
      <c r="A2868" t="s">
        <v>796</v>
      </c>
      <c r="B2868" s="7" t="s">
        <v>110</v>
      </c>
      <c r="C2868" s="7">
        <v>14</v>
      </c>
      <c r="D2868" s="7" t="s">
        <v>235</v>
      </c>
      <c r="E2868" s="8" t="s">
        <v>236</v>
      </c>
      <c r="F2868" s="9" t="s">
        <v>236</v>
      </c>
      <c r="G2868" s="7" t="s">
        <v>154</v>
      </c>
      <c r="H2868" s="7">
        <v>40</v>
      </c>
      <c r="I2868" s="7" t="s">
        <v>2066</v>
      </c>
      <c r="K2868" s="10">
        <v>1</v>
      </c>
      <c r="M2868" s="11">
        <v>5</v>
      </c>
      <c r="N2868" s="12" t="s">
        <v>159</v>
      </c>
      <c r="P2868" s="10">
        <v>180</v>
      </c>
      <c r="T2868" s="10">
        <v>90</v>
      </c>
      <c r="V2868" s="13">
        <v>1</v>
      </c>
      <c r="W2868" s="14">
        <v>2</v>
      </c>
      <c r="X2868" s="29">
        <v>6.5</v>
      </c>
      <c r="Y2868" s="7" t="s">
        <v>60</v>
      </c>
      <c r="Z2868" t="s">
        <v>1753</v>
      </c>
    </row>
    <row r="2869" spans="1:26" ht="23.1" customHeight="1" x14ac:dyDescent="0.25">
      <c r="A2869" t="s">
        <v>796</v>
      </c>
      <c r="B2869" s="7" t="s">
        <v>110</v>
      </c>
      <c r="C2869" s="7">
        <v>14</v>
      </c>
      <c r="D2869" s="7" t="s">
        <v>235</v>
      </c>
      <c r="E2869" s="8" t="s">
        <v>236</v>
      </c>
      <c r="F2869" s="9" t="s">
        <v>236</v>
      </c>
      <c r="G2869" s="7" t="s">
        <v>154</v>
      </c>
      <c r="H2869" s="7">
        <v>45</v>
      </c>
      <c r="I2869" s="7" t="s">
        <v>2067</v>
      </c>
      <c r="K2869" s="10">
        <v>1</v>
      </c>
      <c r="M2869" s="11">
        <v>19</v>
      </c>
      <c r="N2869" s="12" t="s">
        <v>159</v>
      </c>
      <c r="P2869" s="10">
        <v>120</v>
      </c>
      <c r="T2869" s="10">
        <v>90</v>
      </c>
      <c r="V2869" s="13">
        <v>1</v>
      </c>
      <c r="X2869" s="29">
        <v>3.5</v>
      </c>
      <c r="Y2869" s="7" t="s">
        <v>60</v>
      </c>
    </row>
    <row r="2870" spans="1:26" ht="23.1" customHeight="1" x14ac:dyDescent="0.25">
      <c r="A2870" t="s">
        <v>796</v>
      </c>
      <c r="B2870" s="7" t="s">
        <v>110</v>
      </c>
      <c r="C2870" s="7">
        <v>14</v>
      </c>
      <c r="D2870" s="7" t="s">
        <v>235</v>
      </c>
      <c r="E2870" s="8" t="s">
        <v>236</v>
      </c>
      <c r="F2870" s="9" t="s">
        <v>236</v>
      </c>
      <c r="G2870" s="7" t="s">
        <v>154</v>
      </c>
      <c r="H2870" s="7">
        <v>90</v>
      </c>
      <c r="I2870" s="7" t="s">
        <v>2025</v>
      </c>
      <c r="K2870" s="10">
        <v>1</v>
      </c>
      <c r="L2870" s="11">
        <v>5</v>
      </c>
      <c r="N2870" s="12" t="s">
        <v>159</v>
      </c>
      <c r="P2870" s="10">
        <v>240</v>
      </c>
      <c r="T2870" s="10">
        <v>90</v>
      </c>
      <c r="V2870" s="13">
        <v>1</v>
      </c>
      <c r="X2870" s="29">
        <v>5.5</v>
      </c>
      <c r="Y2870" s="7" t="s">
        <v>60</v>
      </c>
    </row>
    <row r="2871" spans="1:26" ht="23.1" customHeight="1" x14ac:dyDescent="0.25">
      <c r="A2871" t="s">
        <v>870</v>
      </c>
      <c r="B2871" s="7" t="s">
        <v>110</v>
      </c>
      <c r="C2871" s="7">
        <v>14</v>
      </c>
      <c r="D2871" s="7" t="s">
        <v>235</v>
      </c>
      <c r="E2871" s="8" t="s">
        <v>236</v>
      </c>
      <c r="F2871" s="9" t="s">
        <v>236</v>
      </c>
      <c r="G2871" s="7" t="s">
        <v>154</v>
      </c>
      <c r="H2871" s="7">
        <v>50</v>
      </c>
      <c r="I2871" s="7" t="s">
        <v>1899</v>
      </c>
      <c r="J2871" s="10">
        <v>0.4</v>
      </c>
      <c r="K2871" s="10">
        <v>0.4</v>
      </c>
      <c r="L2871" s="11">
        <v>37</v>
      </c>
      <c r="M2871" s="11">
        <v>37</v>
      </c>
      <c r="N2871" s="12" t="s">
        <v>234</v>
      </c>
      <c r="P2871" s="10">
        <v>2640</v>
      </c>
      <c r="T2871" s="10">
        <v>90</v>
      </c>
      <c r="X2871" s="29">
        <v>17.600000000000001</v>
      </c>
      <c r="Y2871" s="7" t="s">
        <v>60</v>
      </c>
    </row>
    <row r="2872" spans="1:26" ht="23.1" customHeight="1" x14ac:dyDescent="0.25">
      <c r="A2872" t="s">
        <v>870</v>
      </c>
      <c r="B2872" s="7" t="s">
        <v>110</v>
      </c>
      <c r="C2872" s="7">
        <v>15</v>
      </c>
      <c r="D2872" s="7" t="s">
        <v>592</v>
      </c>
      <c r="E2872" s="8" t="s">
        <v>218</v>
      </c>
      <c r="F2872" s="9" t="s">
        <v>218</v>
      </c>
      <c r="G2872" s="7" t="s">
        <v>107</v>
      </c>
      <c r="H2872" s="7">
        <v>40</v>
      </c>
      <c r="I2872" s="7" t="s">
        <v>1915</v>
      </c>
      <c r="J2872" s="10">
        <v>4</v>
      </c>
      <c r="K2872" s="10">
        <v>4</v>
      </c>
      <c r="L2872" s="11">
        <v>26</v>
      </c>
      <c r="M2872" s="11">
        <v>26</v>
      </c>
      <c r="N2872" s="12" t="s">
        <v>456</v>
      </c>
      <c r="P2872" s="10">
        <v>150</v>
      </c>
      <c r="T2872" s="10">
        <v>90</v>
      </c>
      <c r="X2872" s="29">
        <v>10</v>
      </c>
      <c r="Y2872" s="7" t="s">
        <v>60</v>
      </c>
    </row>
    <row r="2873" spans="1:26" ht="23.1" customHeight="1" x14ac:dyDescent="0.25">
      <c r="A2873" t="s">
        <v>870</v>
      </c>
      <c r="B2873" s="7" t="s">
        <v>110</v>
      </c>
      <c r="C2873" s="7">
        <v>15</v>
      </c>
      <c r="D2873" s="7" t="s">
        <v>592</v>
      </c>
      <c r="E2873" s="8" t="s">
        <v>218</v>
      </c>
      <c r="F2873" s="9" t="s">
        <v>218</v>
      </c>
      <c r="G2873" s="7" t="s">
        <v>107</v>
      </c>
      <c r="H2873" s="7">
        <v>45</v>
      </c>
      <c r="I2873" s="7" t="s">
        <v>1927</v>
      </c>
      <c r="K2873" s="10">
        <v>1</v>
      </c>
      <c r="L2873" s="11">
        <v>23</v>
      </c>
      <c r="N2873" s="12" t="s">
        <v>247</v>
      </c>
      <c r="P2873" s="10">
        <v>420</v>
      </c>
      <c r="T2873" s="10">
        <v>90</v>
      </c>
      <c r="V2873" s="13">
        <v>1</v>
      </c>
      <c r="X2873" s="29">
        <v>8.5</v>
      </c>
      <c r="Y2873" s="7" t="s">
        <v>60</v>
      </c>
    </row>
    <row r="2874" spans="1:26" ht="23.1" customHeight="1" x14ac:dyDescent="0.25">
      <c r="A2874" t="s">
        <v>796</v>
      </c>
      <c r="B2874" s="7" t="s">
        <v>113</v>
      </c>
      <c r="C2874" s="7">
        <v>14</v>
      </c>
      <c r="D2874" s="7" t="s">
        <v>276</v>
      </c>
      <c r="E2874" s="8" t="s">
        <v>277</v>
      </c>
      <c r="F2874" s="9" t="s">
        <v>277</v>
      </c>
      <c r="G2874" s="7" t="s">
        <v>154</v>
      </c>
      <c r="H2874" s="7">
        <v>90</v>
      </c>
      <c r="I2874" s="7" t="s">
        <v>2025</v>
      </c>
      <c r="J2874" s="10">
        <v>1</v>
      </c>
      <c r="K2874" s="10">
        <v>1</v>
      </c>
      <c r="L2874" s="11">
        <v>28</v>
      </c>
      <c r="N2874" s="12" t="s">
        <v>234</v>
      </c>
      <c r="P2874" s="10">
        <v>240</v>
      </c>
      <c r="T2874" s="10">
        <v>90</v>
      </c>
      <c r="V2874" s="13">
        <v>1</v>
      </c>
      <c r="X2874" s="29">
        <v>5.5</v>
      </c>
      <c r="Y2874" s="7" t="s">
        <v>31</v>
      </c>
    </row>
    <row r="2875" spans="1:26" ht="23.1" customHeight="1" x14ac:dyDescent="0.25">
      <c r="A2875" t="s">
        <v>796</v>
      </c>
      <c r="B2875" s="7" t="s">
        <v>113</v>
      </c>
      <c r="C2875" s="7">
        <v>14</v>
      </c>
      <c r="D2875" s="7" t="s">
        <v>235</v>
      </c>
      <c r="E2875" s="8" t="s">
        <v>236</v>
      </c>
      <c r="F2875" s="9" t="s">
        <v>236</v>
      </c>
      <c r="G2875" s="7" t="s">
        <v>154</v>
      </c>
      <c r="H2875" s="7">
        <v>50</v>
      </c>
      <c r="I2875" s="7" t="s">
        <v>1899</v>
      </c>
      <c r="J2875" s="10">
        <v>0.1</v>
      </c>
      <c r="K2875" s="10">
        <v>0.05</v>
      </c>
      <c r="L2875" s="11">
        <v>37</v>
      </c>
      <c r="N2875" s="12" t="s">
        <v>234</v>
      </c>
      <c r="P2875" s="10">
        <v>2640</v>
      </c>
      <c r="T2875" s="10">
        <v>90</v>
      </c>
      <c r="V2875" s="13">
        <v>1</v>
      </c>
      <c r="X2875" s="29">
        <v>3.7</v>
      </c>
      <c r="Y2875" s="7" t="s">
        <v>31</v>
      </c>
    </row>
    <row r="2876" spans="1:26" ht="23.1" customHeight="1" x14ac:dyDescent="0.25">
      <c r="A2876" t="s">
        <v>870</v>
      </c>
      <c r="B2876" s="7" t="s">
        <v>113</v>
      </c>
      <c r="C2876" s="7">
        <v>14</v>
      </c>
      <c r="D2876" s="7" t="s">
        <v>235</v>
      </c>
      <c r="E2876" s="8" t="s">
        <v>236</v>
      </c>
      <c r="F2876" s="9" t="s">
        <v>236</v>
      </c>
      <c r="G2876" s="7" t="s">
        <v>154</v>
      </c>
      <c r="H2876" s="7">
        <v>50</v>
      </c>
      <c r="I2876" s="7" t="s">
        <v>1899</v>
      </c>
      <c r="J2876" s="10">
        <v>0.4</v>
      </c>
      <c r="K2876" s="10">
        <v>0.4</v>
      </c>
      <c r="L2876" s="11">
        <v>37</v>
      </c>
      <c r="M2876" s="11">
        <v>37</v>
      </c>
      <c r="N2876" s="12" t="s">
        <v>234</v>
      </c>
      <c r="P2876" s="10">
        <v>2640</v>
      </c>
      <c r="T2876" s="10">
        <v>90</v>
      </c>
      <c r="X2876" s="29">
        <v>17.600000000000001</v>
      </c>
      <c r="Y2876" s="7" t="s">
        <v>31</v>
      </c>
    </row>
    <row r="2877" spans="1:26" ht="23.1" customHeight="1" x14ac:dyDescent="0.25">
      <c r="A2877" t="s">
        <v>870</v>
      </c>
      <c r="B2877" s="7" t="s">
        <v>113</v>
      </c>
      <c r="C2877" s="7">
        <v>15</v>
      </c>
      <c r="D2877" s="7" t="s">
        <v>592</v>
      </c>
      <c r="E2877" s="8" t="s">
        <v>218</v>
      </c>
      <c r="F2877" s="9" t="s">
        <v>218</v>
      </c>
      <c r="G2877" s="7" t="s">
        <v>107</v>
      </c>
      <c r="H2877" s="7">
        <v>45</v>
      </c>
      <c r="I2877" s="7" t="s">
        <v>1927</v>
      </c>
      <c r="J2877" s="10">
        <v>1.5</v>
      </c>
      <c r="K2877" s="10">
        <v>3</v>
      </c>
      <c r="L2877" s="11">
        <v>23</v>
      </c>
      <c r="M2877" s="11">
        <v>9</v>
      </c>
      <c r="N2877" s="12" t="s">
        <v>456</v>
      </c>
      <c r="P2877" s="10">
        <v>420</v>
      </c>
      <c r="T2877" s="10">
        <v>90</v>
      </c>
      <c r="X2877" s="29">
        <v>21</v>
      </c>
      <c r="Y2877" s="7" t="s">
        <v>31</v>
      </c>
    </row>
    <row r="2878" spans="1:26" ht="23.1" customHeight="1" x14ac:dyDescent="0.25">
      <c r="A2878" t="s">
        <v>909</v>
      </c>
      <c r="B2878" s="7" t="s">
        <v>113</v>
      </c>
      <c r="C2878" s="7">
        <v>14</v>
      </c>
      <c r="D2878" s="7" t="s">
        <v>235</v>
      </c>
      <c r="E2878" s="8" t="s">
        <v>236</v>
      </c>
      <c r="F2878" s="9" t="s">
        <v>236</v>
      </c>
      <c r="G2878" s="7" t="s">
        <v>154</v>
      </c>
      <c r="H2878" s="7">
        <v>65</v>
      </c>
      <c r="I2878" s="7" t="s">
        <v>2532</v>
      </c>
      <c r="J2878" s="10">
        <v>0.5</v>
      </c>
      <c r="K2878" s="10">
        <v>0.7</v>
      </c>
      <c r="L2878" s="11">
        <v>23</v>
      </c>
      <c r="N2878" s="12" t="s">
        <v>234</v>
      </c>
      <c r="P2878" s="10">
        <v>600</v>
      </c>
      <c r="T2878" s="10">
        <v>120</v>
      </c>
      <c r="V2878" s="13">
        <v>1</v>
      </c>
      <c r="X2878" s="29">
        <v>9</v>
      </c>
      <c r="Y2878" s="7" t="s">
        <v>31</v>
      </c>
    </row>
    <row r="2879" spans="1:26" ht="23.1" customHeight="1" x14ac:dyDescent="0.25">
      <c r="A2879" t="s">
        <v>909</v>
      </c>
      <c r="B2879" s="7" t="s">
        <v>113</v>
      </c>
      <c r="C2879" s="7">
        <v>14</v>
      </c>
      <c r="D2879" s="7" t="s">
        <v>235</v>
      </c>
      <c r="E2879" s="8" t="s">
        <v>236</v>
      </c>
      <c r="F2879" s="9" t="s">
        <v>236</v>
      </c>
      <c r="G2879" s="7" t="s">
        <v>154</v>
      </c>
      <c r="H2879" s="7">
        <v>70</v>
      </c>
      <c r="I2879" s="7" t="s">
        <v>1995</v>
      </c>
      <c r="J2879" s="10">
        <v>0.3</v>
      </c>
      <c r="K2879" s="10">
        <v>0.6</v>
      </c>
      <c r="L2879" s="11">
        <v>9</v>
      </c>
      <c r="N2879" s="12" t="s">
        <v>234</v>
      </c>
      <c r="P2879" s="10">
        <v>1320</v>
      </c>
      <c r="T2879" s="10">
        <v>120</v>
      </c>
      <c r="V2879" s="13">
        <v>1</v>
      </c>
      <c r="X2879" s="29">
        <v>15.2</v>
      </c>
      <c r="Y2879" s="7" t="s">
        <v>31</v>
      </c>
    </row>
    <row r="2880" spans="1:26" ht="23.1" customHeight="1" x14ac:dyDescent="0.25">
      <c r="A2880" t="s">
        <v>1002</v>
      </c>
      <c r="B2880" s="7" t="s">
        <v>113</v>
      </c>
      <c r="C2880" s="7">
        <v>108</v>
      </c>
      <c r="D2880" s="7" t="s">
        <v>1764</v>
      </c>
      <c r="E2880" s="8" t="s">
        <v>993</v>
      </c>
      <c r="F2880" s="9" t="s">
        <v>993</v>
      </c>
      <c r="G2880" s="7" t="s">
        <v>154</v>
      </c>
      <c r="H2880" s="7">
        <v>5</v>
      </c>
      <c r="I2880" s="7" t="s">
        <v>1957</v>
      </c>
      <c r="J2880" s="10">
        <v>1</v>
      </c>
      <c r="K2880" s="10">
        <v>1.5</v>
      </c>
      <c r="L2880" s="11">
        <v>23</v>
      </c>
      <c r="M2880" s="11">
        <v>37</v>
      </c>
      <c r="N2880" s="12" t="s">
        <v>1322</v>
      </c>
      <c r="P2880" s="10">
        <v>720</v>
      </c>
      <c r="Q2880" s="10">
        <v>60</v>
      </c>
      <c r="S2880" s="11">
        <v>1</v>
      </c>
      <c r="T2880" s="10">
        <v>90</v>
      </c>
      <c r="X2880" s="29">
        <v>19</v>
      </c>
      <c r="Y2880" s="7" t="s">
        <v>45</v>
      </c>
    </row>
    <row r="2881" spans="1:27" ht="23.1" customHeight="1" x14ac:dyDescent="0.25">
      <c r="A2881" t="s">
        <v>1002</v>
      </c>
      <c r="B2881" s="7" t="s">
        <v>99</v>
      </c>
      <c r="C2881" s="7">
        <v>76</v>
      </c>
      <c r="D2881" s="7" t="s">
        <v>1811</v>
      </c>
      <c r="E2881" s="8" t="s">
        <v>965</v>
      </c>
      <c r="F2881" s="9" t="s">
        <v>965</v>
      </c>
      <c r="G2881" s="7" t="s">
        <v>154</v>
      </c>
      <c r="H2881" s="7">
        <v>20</v>
      </c>
      <c r="I2881" s="7" t="s">
        <v>2087</v>
      </c>
      <c r="J2881" s="10">
        <v>30</v>
      </c>
      <c r="K2881" s="10">
        <v>10</v>
      </c>
      <c r="L2881" s="11">
        <v>19</v>
      </c>
      <c r="M2881" s="11">
        <v>5</v>
      </c>
      <c r="N2881" s="12" t="s">
        <v>287</v>
      </c>
      <c r="P2881" s="10">
        <v>20</v>
      </c>
      <c r="T2881" s="10">
        <v>60</v>
      </c>
      <c r="V2881" s="13">
        <v>1</v>
      </c>
      <c r="W2881" s="14">
        <v>3</v>
      </c>
      <c r="X2881" s="29">
        <v>7.3</v>
      </c>
      <c r="Y2881" s="7" t="s">
        <v>12</v>
      </c>
      <c r="Z2881" t="s">
        <v>1812</v>
      </c>
      <c r="AA2881" s="1" t="s">
        <v>238</v>
      </c>
    </row>
    <row r="2882" spans="1:27" ht="23.1" customHeight="1" x14ac:dyDescent="0.25">
      <c r="A2882" t="s">
        <v>1002</v>
      </c>
      <c r="B2882" s="7" t="s">
        <v>99</v>
      </c>
      <c r="C2882" s="7">
        <v>76</v>
      </c>
      <c r="D2882" s="7" t="s">
        <v>1688</v>
      </c>
      <c r="E2882" s="8" t="s">
        <v>409</v>
      </c>
      <c r="F2882" s="9" t="s">
        <v>409</v>
      </c>
      <c r="G2882" s="7" t="s">
        <v>300</v>
      </c>
      <c r="H2882" s="7">
        <v>30</v>
      </c>
      <c r="I2882" s="7" t="s">
        <v>1901</v>
      </c>
      <c r="L2882" s="11">
        <v>5</v>
      </c>
      <c r="N2882" s="12" t="s">
        <v>393</v>
      </c>
      <c r="P2882" s="10">
        <v>30</v>
      </c>
      <c r="T2882" s="10">
        <v>60</v>
      </c>
      <c r="V2882" s="13">
        <v>1</v>
      </c>
      <c r="X2882" s="29">
        <v>1</v>
      </c>
      <c r="Y2882" s="7" t="s">
        <v>12</v>
      </c>
    </row>
    <row r="2883" spans="1:27" ht="23.1" customHeight="1" x14ac:dyDescent="0.25">
      <c r="A2883" t="s">
        <v>539</v>
      </c>
      <c r="B2883" s="7" t="s">
        <v>99</v>
      </c>
      <c r="C2883" s="7">
        <v>12</v>
      </c>
      <c r="D2883" s="7" t="s">
        <v>248</v>
      </c>
      <c r="E2883" s="8" t="s">
        <v>249</v>
      </c>
      <c r="F2883" s="9" t="s">
        <v>249</v>
      </c>
      <c r="G2883" s="7" t="s">
        <v>250</v>
      </c>
      <c r="H2883" s="7">
        <v>25</v>
      </c>
      <c r="I2883" s="7" t="s">
        <v>1923</v>
      </c>
      <c r="J2883" s="10">
        <v>0.6</v>
      </c>
      <c r="K2883" s="10">
        <v>1</v>
      </c>
      <c r="M2883" s="11">
        <v>28</v>
      </c>
      <c r="N2883" s="12" t="s">
        <v>556</v>
      </c>
      <c r="P2883" s="10">
        <v>1080</v>
      </c>
      <c r="T2883" s="10">
        <v>120</v>
      </c>
      <c r="X2883" s="29">
        <v>18</v>
      </c>
      <c r="Y2883" s="7" t="s">
        <v>72</v>
      </c>
    </row>
    <row r="2884" spans="1:27" ht="23.1" customHeight="1" x14ac:dyDescent="0.25">
      <c r="A2884" t="s">
        <v>539</v>
      </c>
      <c r="B2884" s="7" t="s">
        <v>99</v>
      </c>
      <c r="C2884" s="7">
        <v>13</v>
      </c>
      <c r="D2884" s="7" t="s">
        <v>245</v>
      </c>
      <c r="E2884" s="8" t="s">
        <v>246</v>
      </c>
      <c r="F2884" s="9" t="s">
        <v>246</v>
      </c>
      <c r="G2884" s="7" t="s">
        <v>123</v>
      </c>
      <c r="H2884" s="7">
        <v>45</v>
      </c>
      <c r="I2884" s="7" t="s">
        <v>1954</v>
      </c>
      <c r="J2884" s="10">
        <v>3</v>
      </c>
      <c r="K2884" s="10">
        <v>3</v>
      </c>
      <c r="L2884" s="11">
        <v>28</v>
      </c>
      <c r="M2884" s="11">
        <v>28</v>
      </c>
      <c r="N2884" s="12" t="s">
        <v>247</v>
      </c>
      <c r="P2884" s="10">
        <v>250</v>
      </c>
      <c r="T2884" s="10">
        <v>90</v>
      </c>
      <c r="X2884" s="29">
        <v>12.5</v>
      </c>
      <c r="Y2884" s="7" t="s">
        <v>72</v>
      </c>
    </row>
    <row r="2885" spans="1:27" ht="23.1" customHeight="1" x14ac:dyDescent="0.25">
      <c r="A2885" t="s">
        <v>1002</v>
      </c>
      <c r="B2885" s="7" t="s">
        <v>113</v>
      </c>
      <c r="C2885" s="7">
        <v>79</v>
      </c>
      <c r="D2885" s="7" t="s">
        <v>420</v>
      </c>
      <c r="E2885" s="8" t="s">
        <v>1247</v>
      </c>
      <c r="F2885" s="9" t="s">
        <v>1247</v>
      </c>
      <c r="G2885" s="7" t="s">
        <v>154</v>
      </c>
      <c r="H2885" s="7">
        <v>45</v>
      </c>
      <c r="I2885" s="7" t="s">
        <v>2533</v>
      </c>
      <c r="J2885" s="10">
        <v>0.7</v>
      </c>
      <c r="K2885" s="10">
        <v>0.4</v>
      </c>
      <c r="L2885" s="11">
        <v>23</v>
      </c>
      <c r="N2885" s="12" t="s">
        <v>784</v>
      </c>
      <c r="P2885" s="10">
        <v>2460</v>
      </c>
      <c r="Q2885" s="10">
        <v>90</v>
      </c>
      <c r="T2885" s="10">
        <v>240</v>
      </c>
      <c r="X2885" s="29">
        <v>16.399999999999999</v>
      </c>
      <c r="Y2885" s="7" t="s">
        <v>19</v>
      </c>
    </row>
    <row r="2886" spans="1:27" ht="23.1" customHeight="1" x14ac:dyDescent="0.25">
      <c r="A2886" t="s">
        <v>1002</v>
      </c>
      <c r="B2886" s="7" t="s">
        <v>113</v>
      </c>
      <c r="C2886" s="7">
        <v>78</v>
      </c>
      <c r="D2886" s="7" t="s">
        <v>1813</v>
      </c>
      <c r="E2886" s="8" t="s">
        <v>1499</v>
      </c>
      <c r="F2886" s="9" t="e">
        <v>#N/A</v>
      </c>
      <c r="G2886" s="7" t="s">
        <v>102</v>
      </c>
      <c r="H2886" s="7">
        <v>20</v>
      </c>
      <c r="K2886" s="10">
        <v>1</v>
      </c>
      <c r="N2886" s="12" t="s">
        <v>108</v>
      </c>
      <c r="W2886" s="14">
        <v>10</v>
      </c>
      <c r="X2886" s="29">
        <v>10</v>
      </c>
      <c r="Y2886" s="7" t="s">
        <v>19</v>
      </c>
      <c r="AA2886" t="s">
        <v>238</v>
      </c>
    </row>
    <row r="2887" spans="1:27" ht="23.1" customHeight="1" x14ac:dyDescent="0.25">
      <c r="A2887" t="s">
        <v>1002</v>
      </c>
      <c r="B2887" s="7" t="s">
        <v>113</v>
      </c>
      <c r="C2887" s="7">
        <v>78</v>
      </c>
      <c r="D2887" s="7" t="s">
        <v>1813</v>
      </c>
      <c r="E2887" s="8" t="s">
        <v>1499</v>
      </c>
      <c r="F2887" s="9" t="e">
        <v>#N/A</v>
      </c>
      <c r="G2887" s="7" t="s">
        <v>102</v>
      </c>
      <c r="H2887" s="7">
        <v>25</v>
      </c>
      <c r="K2887" s="10">
        <v>1</v>
      </c>
      <c r="N2887" s="12" t="s">
        <v>108</v>
      </c>
      <c r="W2887" s="14">
        <v>10</v>
      </c>
      <c r="X2887" s="29">
        <v>10</v>
      </c>
      <c r="Y2887" s="7" t="s">
        <v>19</v>
      </c>
      <c r="AA2887" t="s">
        <v>238</v>
      </c>
    </row>
    <row r="2888" spans="1:27" ht="23.1" customHeight="1" x14ac:dyDescent="0.25">
      <c r="A2888" t="s">
        <v>1002</v>
      </c>
      <c r="B2888" s="7" t="s">
        <v>113</v>
      </c>
      <c r="C2888" s="7">
        <v>78</v>
      </c>
      <c r="D2888" s="7" t="s">
        <v>261</v>
      </c>
      <c r="E2888" s="8" t="s">
        <v>133</v>
      </c>
      <c r="F2888" s="9" t="s">
        <v>133</v>
      </c>
      <c r="G2888" s="7" t="s">
        <v>102</v>
      </c>
      <c r="H2888" s="7">
        <v>85</v>
      </c>
      <c r="I2888" s="7" t="s">
        <v>2330</v>
      </c>
      <c r="J2888" s="10">
        <v>1</v>
      </c>
      <c r="K2888" s="10">
        <v>0.2</v>
      </c>
      <c r="L2888" s="11">
        <v>5</v>
      </c>
      <c r="N2888" s="12" t="s">
        <v>103</v>
      </c>
      <c r="P2888" s="10">
        <v>1020</v>
      </c>
      <c r="Q2888" s="10">
        <v>60</v>
      </c>
      <c r="T2888" s="10">
        <v>120</v>
      </c>
      <c r="V2888" s="13">
        <v>1</v>
      </c>
      <c r="W2888" s="14">
        <v>2</v>
      </c>
      <c r="X2888" s="29">
        <v>7.4</v>
      </c>
      <c r="Y2888" s="7" t="s">
        <v>19</v>
      </c>
      <c r="Z2888" t="s">
        <v>1245</v>
      </c>
      <c r="AA2888" t="s">
        <v>238</v>
      </c>
    </row>
    <row r="2889" spans="1:27" ht="23.1" customHeight="1" x14ac:dyDescent="0.25">
      <c r="A2889" t="s">
        <v>188</v>
      </c>
      <c r="B2889" s="7" t="s">
        <v>99</v>
      </c>
      <c r="C2889" s="7">
        <v>15</v>
      </c>
      <c r="D2889" s="7" t="s">
        <v>217</v>
      </c>
      <c r="E2889" s="8" t="s">
        <v>218</v>
      </c>
      <c r="F2889" s="9" t="s">
        <v>218</v>
      </c>
      <c r="G2889" s="7" t="s">
        <v>107</v>
      </c>
      <c r="H2889" s="7">
        <v>15</v>
      </c>
      <c r="I2889" s="7" t="s">
        <v>1895</v>
      </c>
      <c r="J2889" s="10">
        <v>1</v>
      </c>
      <c r="K2889" s="10">
        <v>1</v>
      </c>
      <c r="L2889" s="11">
        <v>28</v>
      </c>
      <c r="N2889" s="12" t="s">
        <v>221</v>
      </c>
      <c r="P2889" s="10">
        <v>90</v>
      </c>
      <c r="T2889" s="10">
        <v>90</v>
      </c>
      <c r="V2889" s="13">
        <v>1</v>
      </c>
      <c r="W2889" s="14">
        <v>4</v>
      </c>
      <c r="X2889" s="29">
        <v>7</v>
      </c>
      <c r="Y2889" s="7" t="s">
        <v>31</v>
      </c>
      <c r="Z2889" t="s">
        <v>1814</v>
      </c>
      <c r="AA2889" s="1" t="s">
        <v>238</v>
      </c>
    </row>
    <row r="2890" spans="1:27" ht="23.1" customHeight="1" x14ac:dyDescent="0.25">
      <c r="A2890" t="s">
        <v>1002</v>
      </c>
      <c r="B2890" s="7" t="s">
        <v>113</v>
      </c>
      <c r="C2890" s="7">
        <v>23</v>
      </c>
      <c r="D2890" s="7" t="s">
        <v>987</v>
      </c>
      <c r="E2890" s="8" t="s">
        <v>988</v>
      </c>
      <c r="F2890" s="9" t="s">
        <v>988</v>
      </c>
      <c r="G2890" s="7" t="s">
        <v>300</v>
      </c>
      <c r="H2890" s="7">
        <v>15</v>
      </c>
      <c r="I2890" s="7" t="s">
        <v>2534</v>
      </c>
      <c r="J2890" s="10">
        <v>3</v>
      </c>
      <c r="K2890" s="10">
        <v>3</v>
      </c>
      <c r="L2890" s="11">
        <v>28</v>
      </c>
      <c r="M2890" s="11">
        <v>28</v>
      </c>
      <c r="N2890" s="12" t="s">
        <v>989</v>
      </c>
      <c r="P2890" s="10">
        <v>120</v>
      </c>
      <c r="Q2890" s="10">
        <v>60</v>
      </c>
      <c r="S2890" s="11">
        <v>3</v>
      </c>
      <c r="T2890" s="10">
        <v>90</v>
      </c>
      <c r="V2890" s="13">
        <v>1</v>
      </c>
      <c r="X2890" s="29">
        <v>10.5</v>
      </c>
      <c r="Y2890" s="7" t="s">
        <v>33</v>
      </c>
    </row>
    <row r="2891" spans="1:27" ht="23.1" customHeight="1" x14ac:dyDescent="0.25">
      <c r="A2891" t="s">
        <v>1002</v>
      </c>
      <c r="B2891" s="7" t="s">
        <v>113</v>
      </c>
      <c r="C2891" s="7">
        <v>23</v>
      </c>
      <c r="D2891" s="7" t="s">
        <v>990</v>
      </c>
      <c r="E2891" s="8" t="s">
        <v>991</v>
      </c>
      <c r="F2891" s="9" t="s">
        <v>991</v>
      </c>
      <c r="G2891" s="7" t="s">
        <v>300</v>
      </c>
      <c r="H2891" s="7">
        <v>15</v>
      </c>
      <c r="I2891" s="7" t="s">
        <v>1926</v>
      </c>
      <c r="J2891" s="10">
        <v>3</v>
      </c>
      <c r="K2891" s="10">
        <v>3</v>
      </c>
      <c r="L2891" s="11">
        <v>28</v>
      </c>
      <c r="M2891" s="11">
        <v>28</v>
      </c>
      <c r="N2891" s="12" t="s">
        <v>989</v>
      </c>
      <c r="P2891" s="10">
        <v>120</v>
      </c>
      <c r="Q2891" s="10">
        <v>60</v>
      </c>
      <c r="S2891" s="11">
        <v>3</v>
      </c>
      <c r="T2891" s="10">
        <v>90</v>
      </c>
      <c r="V2891" s="13">
        <v>1</v>
      </c>
      <c r="X2891" s="29">
        <v>10.5</v>
      </c>
      <c r="Y2891" s="7" t="s">
        <v>33</v>
      </c>
    </row>
    <row r="2892" spans="1:27" ht="23.1" customHeight="1" x14ac:dyDescent="0.25">
      <c r="A2892" t="s">
        <v>1002</v>
      </c>
      <c r="B2892" s="7" t="s">
        <v>113</v>
      </c>
      <c r="C2892" s="7">
        <v>23</v>
      </c>
      <c r="D2892" s="7" t="s">
        <v>987</v>
      </c>
      <c r="E2892" s="8" t="s">
        <v>988</v>
      </c>
      <c r="F2892" s="9" t="s">
        <v>988</v>
      </c>
      <c r="G2892" s="7" t="s">
        <v>300</v>
      </c>
      <c r="H2892" s="7">
        <v>20</v>
      </c>
      <c r="I2892" s="7" t="s">
        <v>2332</v>
      </c>
      <c r="J2892" s="10">
        <v>0.85</v>
      </c>
      <c r="K2892" s="10">
        <v>0.85</v>
      </c>
      <c r="L2892" s="11">
        <v>19</v>
      </c>
      <c r="N2892" s="12" t="s">
        <v>256</v>
      </c>
      <c r="P2892" s="10">
        <v>420</v>
      </c>
      <c r="Q2892" s="10">
        <v>60</v>
      </c>
      <c r="S2892" s="11">
        <v>1</v>
      </c>
      <c r="T2892" s="10">
        <v>90</v>
      </c>
      <c r="V2892" s="13">
        <v>1</v>
      </c>
      <c r="W2892" s="10">
        <v>2</v>
      </c>
      <c r="X2892" s="29">
        <v>10.5</v>
      </c>
      <c r="Y2892" s="7" t="s">
        <v>33</v>
      </c>
      <c r="Z2892" t="s">
        <v>1548</v>
      </c>
    </row>
    <row r="2893" spans="1:27" ht="23.1" customHeight="1" x14ac:dyDescent="0.25">
      <c r="A2893" t="s">
        <v>1002</v>
      </c>
      <c r="B2893" s="7" t="s">
        <v>113</v>
      </c>
      <c r="C2893" s="7">
        <v>47</v>
      </c>
      <c r="D2893" s="7" t="s">
        <v>826</v>
      </c>
      <c r="E2893" s="8" t="s">
        <v>827</v>
      </c>
      <c r="F2893" s="9" t="s">
        <v>827</v>
      </c>
      <c r="G2893" s="7" t="s">
        <v>118</v>
      </c>
      <c r="H2893" s="7">
        <v>20</v>
      </c>
      <c r="I2893" s="7" t="s">
        <v>2107</v>
      </c>
      <c r="J2893" s="10">
        <v>1</v>
      </c>
      <c r="K2893" s="10">
        <v>1.2</v>
      </c>
      <c r="L2893" s="11">
        <v>28</v>
      </c>
      <c r="M2893" s="11">
        <v>28</v>
      </c>
      <c r="N2893" s="12" t="s">
        <v>828</v>
      </c>
      <c r="P2893" s="10">
        <v>780</v>
      </c>
      <c r="Q2893" s="10">
        <v>90</v>
      </c>
      <c r="S2893" s="11">
        <v>1</v>
      </c>
      <c r="T2893" s="10">
        <v>60</v>
      </c>
      <c r="X2893" s="29">
        <v>17.100000000000001</v>
      </c>
      <c r="Y2893" s="7" t="s">
        <v>33</v>
      </c>
    </row>
    <row r="2894" spans="1:27" ht="23.1" customHeight="1" x14ac:dyDescent="0.25">
      <c r="A2894" t="s">
        <v>1002</v>
      </c>
      <c r="B2894" s="7" t="s">
        <v>113</v>
      </c>
      <c r="C2894" s="7">
        <v>47</v>
      </c>
      <c r="D2894" s="7" t="s">
        <v>826</v>
      </c>
      <c r="E2894" s="8" t="s">
        <v>827</v>
      </c>
      <c r="F2894" s="9" t="s">
        <v>827</v>
      </c>
      <c r="G2894" s="7" t="s">
        <v>118</v>
      </c>
      <c r="H2894" s="7">
        <v>20</v>
      </c>
      <c r="I2894" s="7" t="s">
        <v>2107</v>
      </c>
      <c r="J2894" s="10">
        <v>0.25</v>
      </c>
      <c r="K2894" s="10">
        <v>0.25</v>
      </c>
      <c r="L2894" s="11">
        <v>19</v>
      </c>
      <c r="N2894" s="12" t="s">
        <v>860</v>
      </c>
      <c r="P2894" s="10">
        <v>780</v>
      </c>
      <c r="Q2894" s="10">
        <v>90</v>
      </c>
      <c r="S2894" s="11">
        <v>1</v>
      </c>
      <c r="T2894" s="10">
        <v>60</v>
      </c>
      <c r="X2894" s="29">
        <v>4.8</v>
      </c>
      <c r="Y2894" s="7" t="s">
        <v>33</v>
      </c>
    </row>
    <row r="2895" spans="1:27" ht="23.1" customHeight="1" x14ac:dyDescent="0.25">
      <c r="A2895" t="s">
        <v>1002</v>
      </c>
      <c r="B2895" s="7" t="s">
        <v>113</v>
      </c>
      <c r="C2895" s="7">
        <v>24</v>
      </c>
      <c r="D2895" s="7" t="s">
        <v>776</v>
      </c>
      <c r="E2895" s="8" t="s">
        <v>777</v>
      </c>
      <c r="F2895" s="9" t="s">
        <v>777</v>
      </c>
      <c r="G2895" s="7" t="s">
        <v>107</v>
      </c>
      <c r="H2895" s="7">
        <v>25</v>
      </c>
      <c r="I2895" s="7" t="s">
        <v>2035</v>
      </c>
      <c r="J2895" s="10">
        <v>1.4</v>
      </c>
      <c r="K2895" s="10">
        <v>1</v>
      </c>
      <c r="L2895" s="11">
        <v>28</v>
      </c>
      <c r="N2895" s="12" t="s">
        <v>1106</v>
      </c>
      <c r="P2895" s="10">
        <v>840</v>
      </c>
      <c r="Q2895" s="10">
        <v>120</v>
      </c>
      <c r="S2895" s="11">
        <v>1</v>
      </c>
      <c r="T2895" s="10">
        <v>150</v>
      </c>
      <c r="X2895" s="29">
        <v>16</v>
      </c>
      <c r="Y2895" s="7" t="s">
        <v>53</v>
      </c>
    </row>
    <row r="2896" spans="1:27" ht="23.1" customHeight="1" x14ac:dyDescent="0.25">
      <c r="A2896" t="s">
        <v>1002</v>
      </c>
      <c r="B2896" s="7" t="s">
        <v>113</v>
      </c>
      <c r="C2896" s="7">
        <v>69</v>
      </c>
      <c r="D2896" s="7" t="s">
        <v>1012</v>
      </c>
      <c r="E2896" s="8" t="s">
        <v>1013</v>
      </c>
      <c r="F2896" s="9" t="s">
        <v>1013</v>
      </c>
      <c r="G2896" s="7" t="s">
        <v>250</v>
      </c>
      <c r="H2896" s="7">
        <v>35</v>
      </c>
      <c r="I2896" s="7" t="s">
        <v>2109</v>
      </c>
      <c r="J2896" s="10">
        <v>6</v>
      </c>
      <c r="K2896" s="10">
        <v>5</v>
      </c>
      <c r="L2896" s="11">
        <v>28</v>
      </c>
      <c r="M2896" s="11">
        <v>28</v>
      </c>
      <c r="N2896" s="12" t="s">
        <v>216</v>
      </c>
      <c r="P2896" s="10">
        <v>120</v>
      </c>
      <c r="Q2896" s="10">
        <v>60</v>
      </c>
      <c r="S2896" s="11">
        <v>5</v>
      </c>
      <c r="T2896" s="10">
        <v>120</v>
      </c>
      <c r="X2896" s="29">
        <v>15</v>
      </c>
      <c r="Y2896" s="7" t="s">
        <v>53</v>
      </c>
    </row>
    <row r="2897" spans="1:27" ht="23.1" customHeight="1" x14ac:dyDescent="0.25">
      <c r="A2897" t="s">
        <v>1002</v>
      </c>
      <c r="B2897" s="7" t="s">
        <v>113</v>
      </c>
      <c r="C2897" s="7">
        <v>69</v>
      </c>
      <c r="D2897" s="7" t="s">
        <v>1271</v>
      </c>
      <c r="E2897" s="8" t="s">
        <v>1013</v>
      </c>
      <c r="F2897" s="9" t="s">
        <v>1013</v>
      </c>
      <c r="G2897" s="7" t="s">
        <v>250</v>
      </c>
      <c r="H2897" s="7">
        <v>35</v>
      </c>
      <c r="I2897" s="7" t="s">
        <v>2109</v>
      </c>
      <c r="J2897" s="10">
        <v>1</v>
      </c>
      <c r="K2897" s="10">
        <v>6</v>
      </c>
      <c r="L2897" s="11">
        <v>28</v>
      </c>
      <c r="M2897" s="11">
        <v>28</v>
      </c>
      <c r="N2897" s="12" t="s">
        <v>216</v>
      </c>
      <c r="P2897" s="10">
        <v>120</v>
      </c>
      <c r="Q2897" s="10">
        <v>60</v>
      </c>
      <c r="S2897" s="11">
        <v>6</v>
      </c>
      <c r="T2897" s="10">
        <v>120</v>
      </c>
      <c r="V2897" s="13">
        <v>1</v>
      </c>
      <c r="W2897" s="10">
        <v>3</v>
      </c>
      <c r="X2897" s="29">
        <v>23</v>
      </c>
      <c r="Y2897" s="7" t="s">
        <v>53</v>
      </c>
      <c r="Z2897" t="s">
        <v>1778</v>
      </c>
    </row>
    <row r="2898" spans="1:27" ht="23.1" customHeight="1" x14ac:dyDescent="0.25">
      <c r="A2898" t="s">
        <v>1002</v>
      </c>
      <c r="B2898" s="7" t="s">
        <v>113</v>
      </c>
      <c r="C2898" s="7">
        <v>91</v>
      </c>
      <c r="D2898" s="7" t="s">
        <v>254</v>
      </c>
      <c r="E2898" s="8" t="s">
        <v>1016</v>
      </c>
      <c r="F2898" s="9" t="s">
        <v>1016</v>
      </c>
      <c r="G2898" s="7" t="s">
        <v>375</v>
      </c>
      <c r="H2898" s="7">
        <v>40</v>
      </c>
      <c r="I2898" s="7" t="s">
        <v>2110</v>
      </c>
      <c r="J2898" s="10">
        <v>0.3</v>
      </c>
      <c r="K2898" s="10">
        <v>0.3</v>
      </c>
      <c r="L2898" s="11">
        <v>28</v>
      </c>
      <c r="M2898" s="11">
        <v>28</v>
      </c>
      <c r="N2898" s="12" t="s">
        <v>664</v>
      </c>
      <c r="P2898" s="10">
        <v>3000</v>
      </c>
      <c r="Q2898" s="10">
        <v>90</v>
      </c>
      <c r="S2898" s="11">
        <v>1</v>
      </c>
      <c r="T2898" s="10">
        <v>120</v>
      </c>
      <c r="V2898" s="13">
        <v>1</v>
      </c>
      <c r="W2898" s="10">
        <v>4</v>
      </c>
      <c r="X2898" s="29">
        <v>22.5</v>
      </c>
      <c r="Y2898" s="7" t="s">
        <v>53</v>
      </c>
      <c r="Z2898" t="s">
        <v>1815</v>
      </c>
    </row>
    <row r="2899" spans="1:27" ht="23.1" customHeight="1" x14ac:dyDescent="0.25">
      <c r="A2899" t="s">
        <v>1002</v>
      </c>
      <c r="B2899" s="7" t="s">
        <v>113</v>
      </c>
      <c r="C2899" s="7">
        <v>84</v>
      </c>
      <c r="D2899" s="7" t="s">
        <v>958</v>
      </c>
      <c r="E2899" s="8" t="s">
        <v>317</v>
      </c>
      <c r="F2899" s="9" t="s">
        <v>317</v>
      </c>
      <c r="G2899" s="7" t="s">
        <v>154</v>
      </c>
      <c r="H2899" s="7">
        <v>30</v>
      </c>
      <c r="I2899" s="7" t="s">
        <v>2072</v>
      </c>
      <c r="J2899" s="10">
        <v>1.2</v>
      </c>
      <c r="K2899" s="10">
        <v>1.2</v>
      </c>
      <c r="L2899" s="11">
        <v>5</v>
      </c>
      <c r="M2899" s="11">
        <v>28</v>
      </c>
      <c r="N2899" s="12" t="s">
        <v>438</v>
      </c>
      <c r="P2899" s="10">
        <v>600</v>
      </c>
      <c r="Q2899" s="10">
        <v>60</v>
      </c>
      <c r="S2899" s="11">
        <v>1</v>
      </c>
      <c r="T2899" s="10">
        <v>120</v>
      </c>
      <c r="X2899" s="29">
        <v>13</v>
      </c>
      <c r="Y2899" s="7" t="s">
        <v>53</v>
      </c>
    </row>
    <row r="2900" spans="1:27" ht="23.1" customHeight="1" x14ac:dyDescent="0.25">
      <c r="A2900" t="s">
        <v>1002</v>
      </c>
      <c r="B2900" s="7" t="s">
        <v>113</v>
      </c>
      <c r="C2900" s="7">
        <v>119</v>
      </c>
      <c r="D2900" s="7" t="s">
        <v>258</v>
      </c>
      <c r="E2900" s="8" t="s">
        <v>284</v>
      </c>
      <c r="F2900" s="9" t="s">
        <v>284</v>
      </c>
      <c r="G2900" s="7" t="s">
        <v>154</v>
      </c>
      <c r="H2900" s="7">
        <v>55</v>
      </c>
      <c r="I2900" s="7" t="s">
        <v>2010</v>
      </c>
      <c r="J2900" s="10">
        <v>2</v>
      </c>
      <c r="K2900" s="10">
        <v>2.2000000000000002</v>
      </c>
      <c r="L2900" s="11">
        <v>23</v>
      </c>
      <c r="M2900" s="11">
        <v>28</v>
      </c>
      <c r="N2900" s="12" t="s">
        <v>1816</v>
      </c>
      <c r="P2900" s="10">
        <v>540</v>
      </c>
      <c r="Q2900" s="10">
        <v>180</v>
      </c>
      <c r="S2900" s="11">
        <v>2</v>
      </c>
      <c r="T2900" s="10">
        <v>120</v>
      </c>
      <c r="W2900" s="14">
        <v>3</v>
      </c>
      <c r="X2900" s="29">
        <v>28.8</v>
      </c>
      <c r="Y2900" s="7" t="s">
        <v>53</v>
      </c>
      <c r="Z2900" t="s">
        <v>1697</v>
      </c>
    </row>
    <row r="2901" spans="1:27" ht="23.1" customHeight="1" x14ac:dyDescent="0.25">
      <c r="A2901" t="s">
        <v>1002</v>
      </c>
      <c r="B2901" s="7" t="s">
        <v>113</v>
      </c>
      <c r="C2901" s="7">
        <v>121</v>
      </c>
      <c r="D2901" s="7" t="s">
        <v>1817</v>
      </c>
      <c r="E2901" s="8" t="s">
        <v>982</v>
      </c>
      <c r="F2901" s="9" t="s">
        <v>982</v>
      </c>
      <c r="G2901" s="7" t="s">
        <v>102</v>
      </c>
      <c r="H2901" s="7">
        <v>50</v>
      </c>
      <c r="J2901" s="10">
        <v>1</v>
      </c>
      <c r="K2901" s="10">
        <v>1</v>
      </c>
      <c r="L2901" s="11">
        <v>28</v>
      </c>
      <c r="M2901" s="11">
        <v>28</v>
      </c>
      <c r="N2901" s="12" t="s">
        <v>108</v>
      </c>
      <c r="S2901" s="11">
        <v>1</v>
      </c>
      <c r="V2901" s="13">
        <v>1</v>
      </c>
      <c r="W2901" s="14">
        <v>3</v>
      </c>
      <c r="X2901" s="29">
        <v>3</v>
      </c>
      <c r="Y2901" s="7" t="s">
        <v>53</v>
      </c>
      <c r="Z2901" t="s">
        <v>1697</v>
      </c>
    </row>
    <row r="2902" spans="1:27" ht="23.1" customHeight="1" x14ac:dyDescent="0.25">
      <c r="A2902" t="s">
        <v>1002</v>
      </c>
      <c r="B2902" s="7" t="s">
        <v>113</v>
      </c>
      <c r="C2902" s="7">
        <v>121</v>
      </c>
      <c r="D2902" s="7" t="s">
        <v>1071</v>
      </c>
      <c r="E2902" s="8" t="s">
        <v>1072</v>
      </c>
      <c r="F2902" s="9" t="e">
        <v>#N/A</v>
      </c>
      <c r="N2902" s="12" t="s">
        <v>108</v>
      </c>
      <c r="W2902" s="14">
        <v>3</v>
      </c>
      <c r="X2902" s="29">
        <v>3</v>
      </c>
      <c r="Y2902" s="7" t="s">
        <v>53</v>
      </c>
      <c r="Z2902" t="s">
        <v>1697</v>
      </c>
    </row>
    <row r="2903" spans="1:27" ht="23.1" customHeight="1" x14ac:dyDescent="0.25">
      <c r="A2903" t="s">
        <v>1002</v>
      </c>
      <c r="B2903" s="7" t="s">
        <v>113</v>
      </c>
      <c r="C2903" s="7">
        <v>76</v>
      </c>
      <c r="D2903" s="7" t="s">
        <v>1811</v>
      </c>
      <c r="E2903" s="8" t="s">
        <v>965</v>
      </c>
      <c r="F2903" s="9" t="s">
        <v>965</v>
      </c>
      <c r="G2903" s="7" t="s">
        <v>154</v>
      </c>
      <c r="H2903" s="7">
        <v>20</v>
      </c>
      <c r="I2903" s="7" t="s">
        <v>2217</v>
      </c>
      <c r="J2903" s="10">
        <v>20</v>
      </c>
      <c r="K2903" s="10">
        <v>16</v>
      </c>
      <c r="L2903" s="11">
        <v>5</v>
      </c>
      <c r="M2903" s="11">
        <v>5</v>
      </c>
      <c r="N2903" s="12" t="s">
        <v>287</v>
      </c>
      <c r="P2903" s="10">
        <v>20</v>
      </c>
      <c r="T2903" s="10">
        <v>60</v>
      </c>
      <c r="X2903" s="29">
        <v>5.3</v>
      </c>
      <c r="Y2903" s="7" t="s">
        <v>46</v>
      </c>
    </row>
    <row r="2904" spans="1:27" ht="23.1" customHeight="1" x14ac:dyDescent="0.25">
      <c r="A2904" t="s">
        <v>1002</v>
      </c>
      <c r="B2904" s="7" t="s">
        <v>113</v>
      </c>
      <c r="C2904" s="7">
        <v>76</v>
      </c>
      <c r="D2904" s="7" t="s">
        <v>1688</v>
      </c>
      <c r="E2904" s="8" t="s">
        <v>409</v>
      </c>
      <c r="F2904" s="9" t="s">
        <v>409</v>
      </c>
      <c r="G2904" s="7" t="s">
        <v>300</v>
      </c>
      <c r="H2904" s="7">
        <v>30</v>
      </c>
      <c r="I2904" s="7" t="s">
        <v>2535</v>
      </c>
      <c r="J2904" s="10">
        <v>1</v>
      </c>
      <c r="K2904" s="10">
        <v>12</v>
      </c>
      <c r="L2904" s="11">
        <v>31</v>
      </c>
      <c r="M2904" s="11">
        <v>31</v>
      </c>
      <c r="N2904" s="12" t="s">
        <v>393</v>
      </c>
      <c r="P2904" s="10">
        <v>30</v>
      </c>
      <c r="T2904" s="10">
        <v>60</v>
      </c>
      <c r="V2904" s="13">
        <v>1</v>
      </c>
      <c r="X2904" s="29">
        <v>7</v>
      </c>
      <c r="Y2904" s="7" t="s">
        <v>46</v>
      </c>
    </row>
    <row r="2905" spans="1:27" ht="23.1" customHeight="1" x14ac:dyDescent="0.25">
      <c r="A2905" t="s">
        <v>1002</v>
      </c>
      <c r="B2905" s="7" t="s">
        <v>113</v>
      </c>
      <c r="C2905" s="7">
        <v>59</v>
      </c>
      <c r="D2905" s="7" t="s">
        <v>1686</v>
      </c>
      <c r="E2905" s="8" t="s">
        <v>1687</v>
      </c>
      <c r="F2905" s="9" t="s">
        <v>1687</v>
      </c>
      <c r="G2905" s="7" t="s">
        <v>102</v>
      </c>
      <c r="H2905" s="7">
        <v>10</v>
      </c>
      <c r="I2905" s="7" t="s">
        <v>2038</v>
      </c>
      <c r="K2905" s="10">
        <v>8</v>
      </c>
      <c r="L2905" s="11">
        <v>26</v>
      </c>
      <c r="M2905" s="11">
        <v>26</v>
      </c>
      <c r="N2905" s="12" t="s">
        <v>596</v>
      </c>
      <c r="P2905" s="10">
        <v>40</v>
      </c>
      <c r="T2905" s="10">
        <v>60</v>
      </c>
      <c r="V2905" s="13">
        <v>1</v>
      </c>
      <c r="X2905" s="29">
        <v>6.3</v>
      </c>
      <c r="Y2905" s="7" t="s">
        <v>42</v>
      </c>
    </row>
    <row r="2906" spans="1:27" ht="23.1" customHeight="1" x14ac:dyDescent="0.25">
      <c r="A2906" t="s">
        <v>870</v>
      </c>
      <c r="B2906" s="7" t="s">
        <v>110</v>
      </c>
      <c r="C2906" s="7">
        <v>58</v>
      </c>
      <c r="D2906" s="7" t="s">
        <v>813</v>
      </c>
      <c r="E2906" s="8" t="s">
        <v>409</v>
      </c>
      <c r="F2906" s="9" t="s">
        <v>409</v>
      </c>
      <c r="G2906" s="7" t="s">
        <v>102</v>
      </c>
      <c r="H2906" s="7">
        <v>35</v>
      </c>
      <c r="I2906" s="7" t="s">
        <v>1997</v>
      </c>
      <c r="K2906" s="10">
        <v>1</v>
      </c>
      <c r="L2906" s="11">
        <v>26</v>
      </c>
      <c r="N2906" s="12" t="s">
        <v>596</v>
      </c>
      <c r="P2906" s="10">
        <v>40</v>
      </c>
      <c r="T2906" s="10">
        <v>90</v>
      </c>
      <c r="V2906" s="13">
        <v>1</v>
      </c>
      <c r="W2906" s="14">
        <v>2</v>
      </c>
      <c r="X2906" s="29">
        <v>4.2</v>
      </c>
      <c r="Y2906" s="7" t="s">
        <v>0</v>
      </c>
      <c r="Z2906" t="s">
        <v>1441</v>
      </c>
      <c r="AA2906" s="1" t="s">
        <v>238</v>
      </c>
    </row>
    <row r="2907" spans="1:27" ht="23.1" customHeight="1" x14ac:dyDescent="0.25">
      <c r="A2907" t="s">
        <v>870</v>
      </c>
      <c r="B2907" s="7" t="s">
        <v>110</v>
      </c>
      <c r="C2907" s="7">
        <v>78</v>
      </c>
      <c r="D2907" s="7" t="s">
        <v>821</v>
      </c>
      <c r="E2907" s="8" t="s">
        <v>822</v>
      </c>
      <c r="F2907" s="9" t="s">
        <v>822</v>
      </c>
      <c r="G2907" s="7" t="s">
        <v>123</v>
      </c>
      <c r="K2907" s="10">
        <v>1</v>
      </c>
      <c r="N2907" s="12" t="s">
        <v>108</v>
      </c>
      <c r="W2907" s="14">
        <v>4</v>
      </c>
      <c r="X2907" s="29">
        <v>4</v>
      </c>
      <c r="Y2907" s="7" t="s">
        <v>5</v>
      </c>
      <c r="Z2907" t="s">
        <v>1754</v>
      </c>
      <c r="AA2907" t="s">
        <v>238</v>
      </c>
    </row>
    <row r="2908" spans="1:27" ht="23.1" customHeight="1" x14ac:dyDescent="0.25">
      <c r="A2908" t="s">
        <v>870</v>
      </c>
      <c r="B2908" s="7" t="s">
        <v>110</v>
      </c>
      <c r="C2908" s="7">
        <v>16</v>
      </c>
      <c r="D2908" s="7" t="s">
        <v>892</v>
      </c>
      <c r="E2908" s="8" t="s">
        <v>893</v>
      </c>
      <c r="F2908" s="9" t="s">
        <v>893</v>
      </c>
      <c r="G2908" s="7" t="s">
        <v>102</v>
      </c>
      <c r="H2908" s="7">
        <v>10</v>
      </c>
      <c r="I2908" s="7" t="s">
        <v>1952</v>
      </c>
      <c r="J2908" s="10">
        <v>10</v>
      </c>
      <c r="K2908" s="10">
        <v>32</v>
      </c>
      <c r="L2908" s="11">
        <v>37</v>
      </c>
      <c r="M2908" s="11">
        <v>37</v>
      </c>
      <c r="N2908" s="12" t="s">
        <v>596</v>
      </c>
      <c r="P2908" s="10">
        <v>30</v>
      </c>
      <c r="T2908" s="10">
        <v>60</v>
      </c>
      <c r="V2908" s="13">
        <v>1</v>
      </c>
      <c r="X2908" s="29">
        <v>17</v>
      </c>
      <c r="Y2908" s="7" t="s">
        <v>71</v>
      </c>
    </row>
    <row r="2909" spans="1:27" ht="23.1" customHeight="1" x14ac:dyDescent="0.25">
      <c r="A2909" t="s">
        <v>870</v>
      </c>
      <c r="B2909" s="7" t="s">
        <v>110</v>
      </c>
      <c r="C2909" s="7">
        <v>14</v>
      </c>
      <c r="D2909" s="7" t="s">
        <v>235</v>
      </c>
      <c r="E2909" s="8" t="s">
        <v>236</v>
      </c>
      <c r="F2909" s="9" t="s">
        <v>236</v>
      </c>
      <c r="G2909" s="7" t="s">
        <v>154</v>
      </c>
      <c r="H2909" s="7">
        <v>50</v>
      </c>
      <c r="I2909" s="7" t="s">
        <v>1899</v>
      </c>
      <c r="J2909" s="10">
        <v>0.4</v>
      </c>
      <c r="K2909" s="10">
        <v>0.4</v>
      </c>
      <c r="L2909" s="11">
        <v>37</v>
      </c>
      <c r="M2909" s="11">
        <v>37</v>
      </c>
      <c r="N2909" s="12" t="s">
        <v>234</v>
      </c>
      <c r="P2909" s="10">
        <v>2640</v>
      </c>
      <c r="T2909" s="10">
        <v>90</v>
      </c>
      <c r="X2909" s="29">
        <v>17.600000000000001</v>
      </c>
      <c r="Y2909" s="7" t="s">
        <v>60</v>
      </c>
    </row>
    <row r="2910" spans="1:27" ht="23.1" customHeight="1" x14ac:dyDescent="0.25">
      <c r="A2910" t="s">
        <v>870</v>
      </c>
      <c r="B2910" s="7" t="s">
        <v>110</v>
      </c>
      <c r="C2910" s="7">
        <v>59</v>
      </c>
      <c r="D2910" s="7" t="s">
        <v>846</v>
      </c>
      <c r="E2910" s="8" t="s">
        <v>847</v>
      </c>
      <c r="F2910" s="9" t="s">
        <v>847</v>
      </c>
      <c r="G2910" s="7" t="s">
        <v>102</v>
      </c>
      <c r="H2910" s="7">
        <v>20</v>
      </c>
      <c r="I2910" s="7" t="s">
        <v>2087</v>
      </c>
      <c r="K2910" s="10">
        <v>8</v>
      </c>
      <c r="L2910" s="11">
        <v>9</v>
      </c>
      <c r="M2910" s="11">
        <v>9</v>
      </c>
      <c r="N2910" s="12" t="s">
        <v>596</v>
      </c>
      <c r="P2910" s="10">
        <v>20</v>
      </c>
      <c r="T2910" s="10">
        <v>60</v>
      </c>
      <c r="V2910" s="13">
        <v>1</v>
      </c>
      <c r="W2910" s="14">
        <v>2</v>
      </c>
      <c r="X2910" s="29">
        <v>5.7</v>
      </c>
      <c r="Y2910" s="7" t="s">
        <v>6</v>
      </c>
      <c r="Z2910" t="s">
        <v>1729</v>
      </c>
    </row>
    <row r="2911" spans="1:27" ht="23.1" customHeight="1" x14ac:dyDescent="0.25">
      <c r="A2911" t="s">
        <v>870</v>
      </c>
      <c r="B2911" s="7" t="s">
        <v>110</v>
      </c>
      <c r="C2911" s="7">
        <v>59</v>
      </c>
      <c r="D2911" s="7" t="s">
        <v>846</v>
      </c>
      <c r="E2911" s="8" t="s">
        <v>847</v>
      </c>
      <c r="F2911" s="9" t="s">
        <v>847</v>
      </c>
      <c r="G2911" s="7" t="s">
        <v>102</v>
      </c>
      <c r="H2911" s="7">
        <v>25</v>
      </c>
      <c r="I2911" s="7" t="s">
        <v>2079</v>
      </c>
      <c r="J2911" s="10">
        <v>2</v>
      </c>
      <c r="K2911" s="10">
        <v>3</v>
      </c>
      <c r="L2911" s="11">
        <v>37</v>
      </c>
      <c r="M2911" s="11">
        <v>31</v>
      </c>
      <c r="N2911" s="12" t="s">
        <v>596</v>
      </c>
      <c r="P2911" s="10">
        <v>90</v>
      </c>
      <c r="T2911" s="10">
        <v>90</v>
      </c>
      <c r="V2911" s="13">
        <v>1</v>
      </c>
      <c r="W2911" s="14">
        <v>2</v>
      </c>
      <c r="X2911" s="29">
        <v>8</v>
      </c>
      <c r="Y2911" s="7" t="s">
        <v>6</v>
      </c>
      <c r="Z2911" t="s">
        <v>1245</v>
      </c>
      <c r="AA2911" s="1" t="s">
        <v>238</v>
      </c>
    </row>
    <row r="2912" spans="1:27" ht="23.1" customHeight="1" x14ac:dyDescent="0.25">
      <c r="A2912" t="s">
        <v>870</v>
      </c>
      <c r="B2912" s="7" t="s">
        <v>110</v>
      </c>
      <c r="C2912" s="7">
        <v>107</v>
      </c>
      <c r="D2912" s="7" t="s">
        <v>173</v>
      </c>
      <c r="E2912" s="8" t="s">
        <v>1246</v>
      </c>
      <c r="F2912" s="9" t="s">
        <v>1246</v>
      </c>
      <c r="G2912" s="7" t="s">
        <v>154</v>
      </c>
      <c r="H2912" s="7">
        <v>25</v>
      </c>
      <c r="I2912" s="7" t="s">
        <v>2006</v>
      </c>
      <c r="K2912" s="10">
        <v>1</v>
      </c>
      <c r="L2912" s="11">
        <v>28</v>
      </c>
      <c r="N2912" s="12" t="s">
        <v>128</v>
      </c>
      <c r="P2912" s="10">
        <v>1050</v>
      </c>
      <c r="Q2912" s="10">
        <v>90</v>
      </c>
      <c r="S2912" s="11">
        <v>1</v>
      </c>
      <c r="T2912" s="10">
        <v>120</v>
      </c>
      <c r="X2912" s="29">
        <v>19</v>
      </c>
      <c r="Y2912" s="7" t="s">
        <v>13</v>
      </c>
    </row>
    <row r="2913" spans="1:27" ht="23.1" customHeight="1" x14ac:dyDescent="0.25">
      <c r="A2913" t="s">
        <v>870</v>
      </c>
      <c r="B2913" s="7" t="s">
        <v>110</v>
      </c>
      <c r="C2913" s="7">
        <v>108</v>
      </c>
      <c r="D2913" s="7" t="s">
        <v>886</v>
      </c>
      <c r="E2913" s="8" t="s">
        <v>887</v>
      </c>
      <c r="F2913" s="9" t="s">
        <v>887</v>
      </c>
      <c r="G2913" s="7" t="s">
        <v>154</v>
      </c>
      <c r="H2913" s="7">
        <v>5</v>
      </c>
      <c r="I2913" s="7" t="s">
        <v>1930</v>
      </c>
      <c r="K2913" s="10">
        <v>0.5</v>
      </c>
      <c r="L2913" s="11">
        <v>28</v>
      </c>
      <c r="N2913" s="12" t="s">
        <v>159</v>
      </c>
      <c r="P2913" s="10">
        <v>660</v>
      </c>
      <c r="Q2913" s="10">
        <v>60</v>
      </c>
      <c r="S2913" s="11">
        <v>1</v>
      </c>
      <c r="T2913" s="10">
        <v>90</v>
      </c>
      <c r="X2913" s="29">
        <v>6.5</v>
      </c>
      <c r="Y2913" s="7" t="s">
        <v>13</v>
      </c>
    </row>
    <row r="2914" spans="1:27" ht="23.1" customHeight="1" x14ac:dyDescent="0.25">
      <c r="A2914" t="s">
        <v>870</v>
      </c>
      <c r="B2914" s="7" t="s">
        <v>110</v>
      </c>
      <c r="C2914" s="7">
        <v>79</v>
      </c>
      <c r="D2914" s="7" t="s">
        <v>152</v>
      </c>
      <c r="E2914" s="8" t="s">
        <v>1247</v>
      </c>
      <c r="F2914" s="9" t="s">
        <v>1247</v>
      </c>
      <c r="G2914" s="7" t="s">
        <v>154</v>
      </c>
      <c r="H2914" s="7">
        <v>30</v>
      </c>
      <c r="I2914" s="7" t="s">
        <v>2053</v>
      </c>
      <c r="J2914" s="10">
        <v>0.7</v>
      </c>
      <c r="K2914" s="10">
        <v>0.7</v>
      </c>
      <c r="L2914" s="11">
        <v>31</v>
      </c>
      <c r="N2914" s="12" t="s">
        <v>675</v>
      </c>
      <c r="P2914" s="10">
        <v>1830</v>
      </c>
      <c r="Q2914" s="10">
        <v>90</v>
      </c>
      <c r="S2914" s="11">
        <v>1</v>
      </c>
      <c r="T2914" s="10">
        <v>120</v>
      </c>
      <c r="V2914" s="13">
        <v>1</v>
      </c>
      <c r="X2914" s="29">
        <v>24.9</v>
      </c>
      <c r="Y2914" s="7" t="s">
        <v>5</v>
      </c>
    </row>
    <row r="2915" spans="1:27" ht="23.1" customHeight="1" x14ac:dyDescent="0.25">
      <c r="A2915" t="s">
        <v>870</v>
      </c>
      <c r="B2915" s="7" t="s">
        <v>110</v>
      </c>
      <c r="C2915" s="7">
        <v>56</v>
      </c>
      <c r="D2915" s="7" t="s">
        <v>676</v>
      </c>
      <c r="E2915" s="8" t="s">
        <v>595</v>
      </c>
      <c r="F2915" s="9" t="s">
        <v>595</v>
      </c>
      <c r="G2915" s="7" t="s">
        <v>154</v>
      </c>
      <c r="H2915" s="7">
        <v>20</v>
      </c>
      <c r="I2915" s="7" t="s">
        <v>2367</v>
      </c>
      <c r="J2915" s="10">
        <v>3</v>
      </c>
      <c r="K2915" s="10">
        <v>5</v>
      </c>
      <c r="L2915" s="11">
        <v>37</v>
      </c>
      <c r="M2915" s="11">
        <v>19</v>
      </c>
      <c r="N2915" s="12" t="s">
        <v>1818</v>
      </c>
      <c r="P2915" s="10">
        <v>180</v>
      </c>
      <c r="T2915" s="10">
        <v>60</v>
      </c>
      <c r="V2915" s="13">
        <v>1</v>
      </c>
      <c r="W2915" s="14">
        <v>2</v>
      </c>
      <c r="X2915" s="29">
        <v>18</v>
      </c>
      <c r="Y2915" s="7" t="s">
        <v>18</v>
      </c>
      <c r="Z2915" t="s">
        <v>1245</v>
      </c>
      <c r="AA2915" s="1" t="s">
        <v>238</v>
      </c>
    </row>
    <row r="2916" spans="1:27" ht="23.1" customHeight="1" x14ac:dyDescent="0.25">
      <c r="A2916" t="s">
        <v>870</v>
      </c>
      <c r="B2916" s="7" t="s">
        <v>137</v>
      </c>
      <c r="C2916" s="7">
        <v>17</v>
      </c>
      <c r="D2916" s="7" t="s">
        <v>352</v>
      </c>
      <c r="E2916" s="8" t="s">
        <v>353</v>
      </c>
      <c r="F2916" s="9" t="e">
        <v>#N/A</v>
      </c>
      <c r="G2916" s="7" t="s">
        <v>300</v>
      </c>
      <c r="H2916" s="7">
        <v>30</v>
      </c>
      <c r="I2916" s="7" t="s">
        <v>2005</v>
      </c>
      <c r="K2916" s="10">
        <v>2</v>
      </c>
      <c r="L2916" s="11">
        <v>19</v>
      </c>
      <c r="M2916" s="11">
        <v>19</v>
      </c>
      <c r="N2916" s="12" t="s">
        <v>168</v>
      </c>
      <c r="P2916" s="10">
        <v>480</v>
      </c>
      <c r="T2916" s="10">
        <v>120</v>
      </c>
      <c r="X2916" s="29">
        <v>16</v>
      </c>
      <c r="Y2916" s="7" t="s">
        <v>16</v>
      </c>
    </row>
    <row r="2917" spans="1:27" ht="23.1" customHeight="1" x14ac:dyDescent="0.25">
      <c r="A2917" t="s">
        <v>870</v>
      </c>
      <c r="B2917" s="7" t="s">
        <v>110</v>
      </c>
      <c r="C2917" s="7">
        <v>22</v>
      </c>
      <c r="D2917" s="7" t="s">
        <v>635</v>
      </c>
      <c r="E2917" s="8" t="s">
        <v>612</v>
      </c>
      <c r="F2917" s="9" t="s">
        <v>612</v>
      </c>
      <c r="G2917" s="7" t="s">
        <v>102</v>
      </c>
      <c r="H2917" s="7">
        <v>45</v>
      </c>
      <c r="I2917" s="7" t="s">
        <v>2015</v>
      </c>
      <c r="J2917" s="10">
        <v>0.3</v>
      </c>
      <c r="K2917" s="10">
        <v>0.3</v>
      </c>
      <c r="L2917" s="11">
        <v>5</v>
      </c>
      <c r="N2917" s="12" t="s">
        <v>613</v>
      </c>
      <c r="P2917" s="10">
        <v>6000</v>
      </c>
      <c r="Q2917" s="10">
        <v>180</v>
      </c>
      <c r="T2917" s="10">
        <v>180</v>
      </c>
      <c r="X2917" s="29">
        <v>30</v>
      </c>
      <c r="Y2917" s="7" t="s">
        <v>49</v>
      </c>
    </row>
    <row r="2918" spans="1:27" ht="23.1" customHeight="1" x14ac:dyDescent="0.25">
      <c r="A2918" t="s">
        <v>870</v>
      </c>
      <c r="B2918" s="7" t="s">
        <v>113</v>
      </c>
      <c r="C2918" s="7">
        <v>24</v>
      </c>
      <c r="D2918" s="7" t="s">
        <v>738</v>
      </c>
      <c r="E2918" s="8" t="s">
        <v>739</v>
      </c>
      <c r="F2918" s="9" t="s">
        <v>739</v>
      </c>
      <c r="G2918" s="7" t="s">
        <v>107</v>
      </c>
      <c r="H2918" s="7">
        <v>30</v>
      </c>
      <c r="I2918" s="7" t="s">
        <v>2061</v>
      </c>
      <c r="J2918" s="10">
        <v>0.4</v>
      </c>
      <c r="K2918" s="10">
        <v>0.4</v>
      </c>
      <c r="L2918" s="11">
        <v>28</v>
      </c>
      <c r="N2918" s="12" t="s">
        <v>410</v>
      </c>
      <c r="P2918" s="10">
        <v>1700</v>
      </c>
      <c r="Q2918" s="10">
        <v>120</v>
      </c>
      <c r="T2918" s="10">
        <v>210</v>
      </c>
      <c r="X2918" s="29">
        <v>11.3</v>
      </c>
      <c r="Y2918" s="7" t="s">
        <v>52</v>
      </c>
    </row>
    <row r="2919" spans="1:27" ht="23.1" customHeight="1" x14ac:dyDescent="0.25">
      <c r="A2919" t="s">
        <v>870</v>
      </c>
      <c r="B2919" s="7" t="s">
        <v>113</v>
      </c>
      <c r="C2919" s="7">
        <v>24</v>
      </c>
      <c r="D2919" s="7" t="s">
        <v>776</v>
      </c>
      <c r="E2919" s="8" t="s">
        <v>777</v>
      </c>
      <c r="F2919" s="9" t="s">
        <v>777</v>
      </c>
      <c r="G2919" s="7" t="s">
        <v>107</v>
      </c>
      <c r="H2919" s="7">
        <v>30</v>
      </c>
      <c r="I2919" s="7" t="s">
        <v>2061</v>
      </c>
      <c r="J2919" s="10">
        <v>0.1</v>
      </c>
      <c r="K2919" s="10">
        <v>0.2</v>
      </c>
      <c r="L2919" s="11">
        <v>5</v>
      </c>
      <c r="N2919" s="12" t="s">
        <v>487</v>
      </c>
      <c r="P2919" s="10">
        <v>1700</v>
      </c>
      <c r="Q2919" s="10">
        <v>120</v>
      </c>
      <c r="S2919" s="11">
        <v>1</v>
      </c>
      <c r="T2919" s="10">
        <v>210</v>
      </c>
      <c r="V2919" s="13">
        <v>1</v>
      </c>
      <c r="X2919" s="29">
        <v>11.2</v>
      </c>
      <c r="Y2919" s="7" t="s">
        <v>52</v>
      </c>
    </row>
    <row r="2920" spans="1:27" ht="23.1" customHeight="1" x14ac:dyDescent="0.25">
      <c r="A2920" t="s">
        <v>870</v>
      </c>
      <c r="B2920" s="7" t="s">
        <v>113</v>
      </c>
      <c r="C2920" s="7">
        <v>69</v>
      </c>
      <c r="D2920" s="7" t="s">
        <v>1819</v>
      </c>
      <c r="E2920" s="8" t="s">
        <v>133</v>
      </c>
      <c r="F2920" s="9" t="e">
        <v>#N/A</v>
      </c>
      <c r="G2920" s="7" t="s">
        <v>102</v>
      </c>
      <c r="H2920" s="7">
        <v>80</v>
      </c>
      <c r="K2920" s="10">
        <v>1</v>
      </c>
      <c r="L2920" s="11">
        <v>28</v>
      </c>
      <c r="M2920" s="11">
        <v>28</v>
      </c>
      <c r="N2920" s="12" t="s">
        <v>103</v>
      </c>
      <c r="S2920" s="11">
        <v>1</v>
      </c>
      <c r="V2920" s="13">
        <v>1</v>
      </c>
      <c r="W2920" s="14">
        <v>3</v>
      </c>
      <c r="X2920" s="29">
        <v>3</v>
      </c>
      <c r="Y2920" s="7" t="s">
        <v>52</v>
      </c>
      <c r="Z2920" t="s">
        <v>1697</v>
      </c>
    </row>
    <row r="2921" spans="1:27" ht="23.1" customHeight="1" x14ac:dyDescent="0.25">
      <c r="A2921" t="s">
        <v>870</v>
      </c>
      <c r="B2921" s="7" t="s">
        <v>113</v>
      </c>
      <c r="C2921" s="7">
        <v>84</v>
      </c>
      <c r="D2921" s="7" t="s">
        <v>423</v>
      </c>
      <c r="E2921" s="8" t="s">
        <v>424</v>
      </c>
      <c r="F2921" s="9" t="s">
        <v>424</v>
      </c>
      <c r="G2921" s="7" t="s">
        <v>107</v>
      </c>
      <c r="H2921" s="7">
        <v>38</v>
      </c>
      <c r="J2921" s="10">
        <v>3</v>
      </c>
      <c r="K2921" s="10">
        <v>3</v>
      </c>
      <c r="L2921" s="11">
        <v>23</v>
      </c>
      <c r="M2921" s="11">
        <v>31</v>
      </c>
      <c r="N2921" s="12" t="s">
        <v>1664</v>
      </c>
      <c r="O2921" s="10">
        <v>90</v>
      </c>
      <c r="R2921" s="10">
        <v>30</v>
      </c>
      <c r="S2921" s="11">
        <v>3</v>
      </c>
      <c r="X2921" s="32">
        <v>6</v>
      </c>
      <c r="Y2921" s="7" t="s">
        <v>52</v>
      </c>
    </row>
    <row r="2922" spans="1:27" ht="23.1" customHeight="1" x14ac:dyDescent="0.25">
      <c r="A2922" t="s">
        <v>870</v>
      </c>
      <c r="B2922" s="7" t="s">
        <v>113</v>
      </c>
      <c r="C2922" s="7">
        <v>84</v>
      </c>
      <c r="D2922" s="7" t="s">
        <v>423</v>
      </c>
      <c r="E2922" s="8" t="s">
        <v>424</v>
      </c>
      <c r="F2922" s="9" t="s">
        <v>424</v>
      </c>
      <c r="G2922" s="7" t="s">
        <v>107</v>
      </c>
      <c r="H2922" s="7">
        <v>40</v>
      </c>
      <c r="I2922" s="7" t="s">
        <v>2096</v>
      </c>
      <c r="K2922" s="10">
        <v>3</v>
      </c>
      <c r="L2922" s="11">
        <v>23</v>
      </c>
      <c r="M2922" s="11">
        <v>31</v>
      </c>
      <c r="N2922" s="12" t="s">
        <v>1664</v>
      </c>
      <c r="P2922" s="10">
        <v>360</v>
      </c>
      <c r="Q2922" s="10">
        <v>30</v>
      </c>
      <c r="S2922" s="11">
        <v>3</v>
      </c>
      <c r="T2922" s="10">
        <v>120</v>
      </c>
      <c r="X2922" s="29">
        <v>19.5</v>
      </c>
      <c r="Y2922" s="7" t="s">
        <v>52</v>
      </c>
    </row>
    <row r="2923" spans="1:27" ht="23.1" customHeight="1" x14ac:dyDescent="0.25">
      <c r="A2923" t="s">
        <v>870</v>
      </c>
      <c r="B2923" s="7" t="s">
        <v>113</v>
      </c>
      <c r="C2923" s="7">
        <v>121</v>
      </c>
      <c r="D2923" s="7" t="s">
        <v>787</v>
      </c>
      <c r="E2923" s="8" t="s">
        <v>788</v>
      </c>
      <c r="F2923" s="9" t="s">
        <v>788</v>
      </c>
      <c r="G2923" s="7" t="s">
        <v>123</v>
      </c>
      <c r="H2923" s="7">
        <v>45</v>
      </c>
      <c r="I2923" s="7" t="s">
        <v>2368</v>
      </c>
      <c r="J2923" s="10">
        <v>3</v>
      </c>
      <c r="K2923" s="10">
        <v>1</v>
      </c>
      <c r="L2923" s="11">
        <v>28</v>
      </c>
      <c r="N2923" s="12" t="s">
        <v>292</v>
      </c>
      <c r="P2923" s="10">
        <v>1000</v>
      </c>
      <c r="Q2923" s="10">
        <v>60</v>
      </c>
      <c r="T2923" s="10">
        <v>90</v>
      </c>
      <c r="W2923" s="14">
        <v>5</v>
      </c>
      <c r="X2923" s="29">
        <v>21.7</v>
      </c>
      <c r="Y2923" s="7" t="s">
        <v>52</v>
      </c>
      <c r="Z2923" t="s">
        <v>1797</v>
      </c>
    </row>
    <row r="2924" spans="1:27" ht="23.1" customHeight="1" x14ac:dyDescent="0.25">
      <c r="A2924" t="s">
        <v>870</v>
      </c>
      <c r="B2924" s="7" t="s">
        <v>113</v>
      </c>
      <c r="C2924" s="7">
        <v>121</v>
      </c>
      <c r="D2924" s="7" t="s">
        <v>1239</v>
      </c>
      <c r="E2924" s="8" t="s">
        <v>835</v>
      </c>
      <c r="F2924" s="9" t="s">
        <v>835</v>
      </c>
      <c r="G2924" s="7" t="s">
        <v>154</v>
      </c>
      <c r="H2924" s="7">
        <v>60</v>
      </c>
      <c r="I2924" s="7" t="s">
        <v>2369</v>
      </c>
      <c r="K2924" s="10">
        <v>0.4</v>
      </c>
      <c r="L2924" s="11">
        <v>28</v>
      </c>
      <c r="M2924" s="11">
        <v>28</v>
      </c>
      <c r="N2924" s="12" t="s">
        <v>470</v>
      </c>
      <c r="P2924" s="10">
        <v>270</v>
      </c>
      <c r="Q2924" s="10">
        <v>60</v>
      </c>
      <c r="T2924" s="10">
        <v>180</v>
      </c>
      <c r="W2924" s="14">
        <v>3</v>
      </c>
      <c r="X2924" s="29">
        <v>4.8</v>
      </c>
      <c r="Y2924" s="7" t="s">
        <v>52</v>
      </c>
      <c r="Z2924" t="s">
        <v>1697</v>
      </c>
    </row>
    <row r="2925" spans="1:27" ht="23.1" customHeight="1" x14ac:dyDescent="0.25">
      <c r="A2925" t="s">
        <v>870</v>
      </c>
      <c r="B2925" s="7" t="s">
        <v>113</v>
      </c>
      <c r="C2925" s="7">
        <v>79</v>
      </c>
      <c r="D2925" s="7" t="s">
        <v>152</v>
      </c>
      <c r="E2925" s="8" t="s">
        <v>1247</v>
      </c>
      <c r="F2925" s="9" t="s">
        <v>1247</v>
      </c>
      <c r="G2925" s="7" t="s">
        <v>154</v>
      </c>
      <c r="H2925" s="7">
        <v>30</v>
      </c>
      <c r="I2925" s="7" t="s">
        <v>2053</v>
      </c>
      <c r="J2925" s="10">
        <v>0.7</v>
      </c>
      <c r="K2925" s="10">
        <v>0.6</v>
      </c>
      <c r="L2925" s="11">
        <v>31</v>
      </c>
      <c r="M2925" s="11">
        <v>23</v>
      </c>
      <c r="N2925" s="12" t="s">
        <v>1701</v>
      </c>
      <c r="P2925" s="10">
        <v>1830</v>
      </c>
      <c r="Q2925" s="10">
        <v>90</v>
      </c>
      <c r="S2925" s="11">
        <v>1</v>
      </c>
      <c r="T2925" s="10">
        <v>120</v>
      </c>
      <c r="X2925" s="29">
        <v>19.8</v>
      </c>
      <c r="Y2925" s="7" t="s">
        <v>5</v>
      </c>
    </row>
    <row r="2926" spans="1:27" ht="23.1" customHeight="1" x14ac:dyDescent="0.25">
      <c r="A2926" t="s">
        <v>870</v>
      </c>
      <c r="B2926" s="7" t="s">
        <v>113</v>
      </c>
      <c r="C2926" s="7">
        <v>23</v>
      </c>
      <c r="D2926" s="7" t="s">
        <v>717</v>
      </c>
      <c r="E2926" s="8" t="s">
        <v>718</v>
      </c>
      <c r="F2926" s="9" t="s">
        <v>718</v>
      </c>
      <c r="G2926" s="7" t="s">
        <v>118</v>
      </c>
      <c r="H2926" s="7">
        <v>45</v>
      </c>
      <c r="I2926" s="7" t="s">
        <v>2028</v>
      </c>
      <c r="J2926" s="10">
        <v>0.6</v>
      </c>
      <c r="K2926" s="10">
        <v>1.1499999999999999</v>
      </c>
      <c r="L2926" s="11">
        <v>28</v>
      </c>
      <c r="M2926" s="11">
        <v>26</v>
      </c>
      <c r="N2926" s="12" t="s">
        <v>1820</v>
      </c>
      <c r="P2926" s="10">
        <v>1080</v>
      </c>
      <c r="Q2926" s="10">
        <v>90</v>
      </c>
      <c r="S2926" s="11">
        <v>1</v>
      </c>
      <c r="T2926" s="10">
        <v>120</v>
      </c>
      <c r="X2926" s="29">
        <v>22.2</v>
      </c>
      <c r="Y2926" s="7" t="s">
        <v>33</v>
      </c>
    </row>
    <row r="2927" spans="1:27" ht="23.1" customHeight="1" x14ac:dyDescent="0.25">
      <c r="A2927" t="s">
        <v>870</v>
      </c>
      <c r="B2927" s="7" t="s">
        <v>113</v>
      </c>
      <c r="C2927" s="7">
        <v>23</v>
      </c>
      <c r="D2927" s="7" t="s">
        <v>717</v>
      </c>
      <c r="E2927" s="8" t="s">
        <v>718</v>
      </c>
      <c r="F2927" s="9" t="s">
        <v>718</v>
      </c>
      <c r="G2927" s="7" t="s">
        <v>118</v>
      </c>
      <c r="H2927" s="7">
        <v>48</v>
      </c>
      <c r="J2927" s="10">
        <v>1</v>
      </c>
      <c r="K2927" s="10">
        <v>1</v>
      </c>
      <c r="L2927" s="11">
        <v>28</v>
      </c>
      <c r="N2927" s="12" t="s">
        <v>1574</v>
      </c>
      <c r="O2927" s="10">
        <v>40</v>
      </c>
      <c r="R2927" s="10">
        <v>90</v>
      </c>
      <c r="S2927" s="11">
        <v>1</v>
      </c>
      <c r="X2927" s="32">
        <v>2.2000000000000002</v>
      </c>
      <c r="Y2927" s="7" t="s">
        <v>33</v>
      </c>
    </row>
    <row r="2928" spans="1:27" ht="23.1" customHeight="1" x14ac:dyDescent="0.25">
      <c r="A2928" t="s">
        <v>870</v>
      </c>
      <c r="B2928" s="7" t="s">
        <v>113</v>
      </c>
      <c r="C2928" s="7">
        <v>47</v>
      </c>
      <c r="D2928" s="7" t="s">
        <v>826</v>
      </c>
      <c r="E2928" s="8" t="s">
        <v>827</v>
      </c>
      <c r="F2928" s="9" t="s">
        <v>827</v>
      </c>
      <c r="G2928" s="7" t="s">
        <v>118</v>
      </c>
      <c r="H2928" s="7">
        <v>15</v>
      </c>
      <c r="I2928" s="7" t="s">
        <v>2536</v>
      </c>
      <c r="J2928" s="10">
        <v>0.6</v>
      </c>
      <c r="K2928" s="10">
        <v>0.7</v>
      </c>
      <c r="L2928" s="11">
        <v>26</v>
      </c>
      <c r="N2928" s="12" t="s">
        <v>780</v>
      </c>
      <c r="P2928" s="10">
        <v>1440</v>
      </c>
      <c r="Q2928" s="10">
        <v>90</v>
      </c>
      <c r="S2928" s="11">
        <v>1</v>
      </c>
      <c r="T2928" s="10">
        <v>90</v>
      </c>
      <c r="X2928" s="29">
        <v>18.3</v>
      </c>
      <c r="Y2928" s="7" t="s">
        <v>33</v>
      </c>
    </row>
    <row r="2929" spans="1:27" ht="23.1" customHeight="1" x14ac:dyDescent="0.25">
      <c r="A2929" t="s">
        <v>870</v>
      </c>
      <c r="B2929" s="7" t="s">
        <v>113</v>
      </c>
      <c r="C2929" s="7">
        <v>57</v>
      </c>
      <c r="D2929" s="7" t="s">
        <v>698</v>
      </c>
      <c r="E2929" s="8" t="s">
        <v>699</v>
      </c>
      <c r="F2929" s="9" t="e">
        <v>#N/A</v>
      </c>
      <c r="G2929" s="7" t="s">
        <v>123</v>
      </c>
      <c r="H2929" s="7">
        <v>20</v>
      </c>
      <c r="I2929" s="7" t="s">
        <v>2076</v>
      </c>
      <c r="J2929" s="10">
        <v>3.5</v>
      </c>
      <c r="K2929" s="10">
        <v>3</v>
      </c>
      <c r="L2929" s="11">
        <v>28</v>
      </c>
      <c r="M2929" s="11">
        <v>9</v>
      </c>
      <c r="N2929" s="12" t="s">
        <v>355</v>
      </c>
      <c r="P2929" s="10">
        <v>210</v>
      </c>
      <c r="T2929" s="10">
        <v>90</v>
      </c>
      <c r="X2929" s="29">
        <v>10.5</v>
      </c>
      <c r="Y2929" s="7" t="s">
        <v>57</v>
      </c>
    </row>
    <row r="2930" spans="1:27" ht="23.1" customHeight="1" x14ac:dyDescent="0.25">
      <c r="A2930" t="s">
        <v>870</v>
      </c>
      <c r="B2930" s="7" t="s">
        <v>113</v>
      </c>
      <c r="C2930" s="7">
        <v>16</v>
      </c>
      <c r="D2930" s="7" t="s">
        <v>892</v>
      </c>
      <c r="E2930" s="8" t="s">
        <v>893</v>
      </c>
      <c r="F2930" s="9" t="s">
        <v>893</v>
      </c>
      <c r="G2930" s="7" t="s">
        <v>102</v>
      </c>
      <c r="H2930" s="7">
        <v>15</v>
      </c>
      <c r="I2930" s="7" t="s">
        <v>2537</v>
      </c>
      <c r="J2930" s="10">
        <v>12</v>
      </c>
      <c r="K2930" s="10">
        <v>13</v>
      </c>
      <c r="L2930" s="11">
        <v>28</v>
      </c>
      <c r="N2930" s="12" t="s">
        <v>596</v>
      </c>
      <c r="P2930" s="10">
        <v>35</v>
      </c>
      <c r="T2930" s="10">
        <v>90</v>
      </c>
      <c r="X2930" s="29">
        <v>7.6</v>
      </c>
      <c r="Y2930" s="7" t="s">
        <v>38</v>
      </c>
    </row>
    <row r="2931" spans="1:27" ht="23.1" customHeight="1" x14ac:dyDescent="0.25">
      <c r="A2931" t="s">
        <v>870</v>
      </c>
      <c r="B2931" s="7" t="s">
        <v>113</v>
      </c>
      <c r="C2931" s="7">
        <v>16</v>
      </c>
      <c r="D2931" s="7" t="s">
        <v>892</v>
      </c>
      <c r="E2931" s="8" t="s">
        <v>893</v>
      </c>
      <c r="F2931" s="9" t="s">
        <v>893</v>
      </c>
      <c r="G2931" s="7" t="s">
        <v>102</v>
      </c>
      <c r="H2931" s="7">
        <v>20</v>
      </c>
      <c r="I2931" s="7" t="s">
        <v>2447</v>
      </c>
      <c r="J2931" s="10">
        <v>10</v>
      </c>
      <c r="K2931" s="10">
        <v>5</v>
      </c>
      <c r="L2931" s="11">
        <v>26</v>
      </c>
      <c r="M2931" s="11">
        <v>26</v>
      </c>
      <c r="N2931" s="12" t="s">
        <v>596</v>
      </c>
      <c r="P2931" s="10">
        <v>25</v>
      </c>
      <c r="T2931" s="10">
        <v>60</v>
      </c>
      <c r="V2931" s="13">
        <v>1</v>
      </c>
      <c r="X2931" s="29">
        <v>3.1</v>
      </c>
      <c r="Y2931" s="7" t="s">
        <v>38</v>
      </c>
    </row>
    <row r="2932" spans="1:27" ht="23.1" customHeight="1" x14ac:dyDescent="0.25">
      <c r="A2932" t="s">
        <v>870</v>
      </c>
      <c r="B2932" s="7" t="s">
        <v>113</v>
      </c>
      <c r="C2932" s="7">
        <v>13</v>
      </c>
      <c r="D2932" s="7" t="s">
        <v>654</v>
      </c>
      <c r="E2932" s="8" t="s">
        <v>246</v>
      </c>
      <c r="F2932" s="9" t="s">
        <v>246</v>
      </c>
      <c r="G2932" s="7" t="s">
        <v>154</v>
      </c>
      <c r="H2932" s="7">
        <v>40</v>
      </c>
      <c r="I2932" s="7" t="s">
        <v>1902</v>
      </c>
      <c r="J2932" s="10">
        <v>3.5</v>
      </c>
      <c r="K2932" s="10">
        <v>5</v>
      </c>
      <c r="L2932" s="11">
        <v>23</v>
      </c>
      <c r="M2932" s="11">
        <v>9</v>
      </c>
      <c r="N2932" s="12" t="s">
        <v>247</v>
      </c>
      <c r="P2932" s="10">
        <v>230</v>
      </c>
      <c r="T2932" s="10">
        <v>60</v>
      </c>
      <c r="V2932" s="13">
        <v>1</v>
      </c>
      <c r="X2932" s="29">
        <v>20.2</v>
      </c>
      <c r="Y2932" s="7" t="s">
        <v>72</v>
      </c>
    </row>
    <row r="2933" spans="1:27" ht="23.1" customHeight="1" x14ac:dyDescent="0.25">
      <c r="A2933" t="s">
        <v>870</v>
      </c>
      <c r="B2933" s="7" t="s">
        <v>113</v>
      </c>
      <c r="C2933" s="7">
        <v>11</v>
      </c>
      <c r="D2933" s="7" t="s">
        <v>690</v>
      </c>
      <c r="E2933" s="8" t="s">
        <v>691</v>
      </c>
      <c r="F2933" s="9" t="s">
        <v>691</v>
      </c>
      <c r="G2933" s="7" t="s">
        <v>123</v>
      </c>
      <c r="H2933" s="7">
        <v>30</v>
      </c>
      <c r="I2933" s="7" t="s">
        <v>2538</v>
      </c>
      <c r="J2933" s="10">
        <v>5</v>
      </c>
      <c r="K2933" s="10">
        <v>8</v>
      </c>
      <c r="L2933" s="11">
        <v>31</v>
      </c>
      <c r="M2933" s="11">
        <v>37</v>
      </c>
      <c r="N2933" s="12" t="s">
        <v>1821</v>
      </c>
      <c r="P2933" s="10">
        <v>100</v>
      </c>
      <c r="T2933" s="10">
        <v>60</v>
      </c>
      <c r="X2933" s="29">
        <v>13.3</v>
      </c>
      <c r="Y2933" s="7" t="s">
        <v>38</v>
      </c>
    </row>
    <row r="2934" spans="1:27" ht="23.1" customHeight="1" x14ac:dyDescent="0.25">
      <c r="A2934" t="s">
        <v>870</v>
      </c>
      <c r="B2934" s="7" t="s">
        <v>113</v>
      </c>
      <c r="C2934" s="7">
        <v>77</v>
      </c>
      <c r="D2934" s="7" t="s">
        <v>211</v>
      </c>
      <c r="E2934" s="8" t="s">
        <v>212</v>
      </c>
      <c r="F2934" s="9" t="s">
        <v>212</v>
      </c>
      <c r="G2934" s="7" t="s">
        <v>123</v>
      </c>
      <c r="H2934" s="7">
        <v>30</v>
      </c>
      <c r="I2934" s="7" t="s">
        <v>2081</v>
      </c>
      <c r="L2934" s="11">
        <v>31</v>
      </c>
      <c r="N2934" s="12" t="s">
        <v>213</v>
      </c>
      <c r="P2934" s="10">
        <v>25</v>
      </c>
      <c r="T2934" s="10">
        <v>60</v>
      </c>
      <c r="W2934" s="14">
        <v>2</v>
      </c>
      <c r="X2934" s="29">
        <v>2</v>
      </c>
      <c r="Y2934" s="7" t="s">
        <v>15</v>
      </c>
      <c r="Z2934" t="s">
        <v>1330</v>
      </c>
    </row>
    <row r="2935" spans="1:27" ht="23.1" customHeight="1" x14ac:dyDescent="0.25">
      <c r="A2935" t="s">
        <v>870</v>
      </c>
      <c r="B2935" s="7" t="s">
        <v>113</v>
      </c>
      <c r="C2935" s="7">
        <v>59</v>
      </c>
      <c r="D2935" s="7" t="s">
        <v>895</v>
      </c>
      <c r="E2935" s="8" t="s">
        <v>896</v>
      </c>
      <c r="F2935" s="9" t="s">
        <v>896</v>
      </c>
      <c r="G2935" s="7" t="s">
        <v>102</v>
      </c>
      <c r="H2935" s="7">
        <v>10</v>
      </c>
      <c r="I2935" s="7" t="s">
        <v>2539</v>
      </c>
      <c r="J2935" s="10">
        <v>8</v>
      </c>
      <c r="K2935" s="10">
        <v>8</v>
      </c>
      <c r="L2935" s="11">
        <v>28</v>
      </c>
      <c r="M2935" s="11">
        <v>31</v>
      </c>
      <c r="N2935" s="12" t="s">
        <v>596</v>
      </c>
      <c r="P2935" s="10">
        <v>60</v>
      </c>
      <c r="T2935" s="10">
        <v>90</v>
      </c>
      <c r="V2935" s="13">
        <v>1</v>
      </c>
      <c r="W2935" s="14">
        <v>1</v>
      </c>
      <c r="X2935" s="29">
        <v>10.5</v>
      </c>
      <c r="Y2935" s="7" t="s">
        <v>42</v>
      </c>
      <c r="Z2935" t="s">
        <v>1822</v>
      </c>
      <c r="AA2935" s="1" t="s">
        <v>238</v>
      </c>
    </row>
    <row r="2936" spans="1:27" ht="23.1" customHeight="1" x14ac:dyDescent="0.25">
      <c r="A2936" t="s">
        <v>870</v>
      </c>
      <c r="B2936" s="7" t="s">
        <v>113</v>
      </c>
      <c r="C2936" s="7">
        <v>59</v>
      </c>
      <c r="D2936" s="7" t="s">
        <v>924</v>
      </c>
      <c r="E2936" s="8" t="s">
        <v>409</v>
      </c>
      <c r="F2936" s="9" t="s">
        <v>409</v>
      </c>
      <c r="G2936" s="7" t="s">
        <v>102</v>
      </c>
      <c r="H2936" s="7">
        <v>5</v>
      </c>
      <c r="I2936" s="7" t="s">
        <v>2060</v>
      </c>
      <c r="J2936" s="10">
        <v>2</v>
      </c>
      <c r="K2936" s="10">
        <v>8</v>
      </c>
      <c r="L2936" s="11">
        <v>26</v>
      </c>
      <c r="M2936" s="11">
        <v>26</v>
      </c>
      <c r="N2936" s="12" t="s">
        <v>925</v>
      </c>
      <c r="P2936" s="10">
        <v>50</v>
      </c>
      <c r="T2936" s="10">
        <v>60</v>
      </c>
      <c r="V2936" s="13">
        <v>1</v>
      </c>
      <c r="X2936" s="29">
        <v>7.7</v>
      </c>
      <c r="Y2936" s="7" t="s">
        <v>42</v>
      </c>
    </row>
    <row r="2937" spans="1:27" ht="23.1" customHeight="1" x14ac:dyDescent="0.25">
      <c r="A2937" t="s">
        <v>452</v>
      </c>
      <c r="B2937" s="7" t="s">
        <v>113</v>
      </c>
      <c r="C2937" s="7">
        <v>9</v>
      </c>
      <c r="D2937" s="7" t="s">
        <v>500</v>
      </c>
      <c r="E2937" s="8" t="s">
        <v>389</v>
      </c>
      <c r="F2937" s="9" t="s">
        <v>389</v>
      </c>
      <c r="G2937" s="7" t="s">
        <v>300</v>
      </c>
      <c r="H2937" s="7">
        <v>5</v>
      </c>
      <c r="I2937" s="7" t="s">
        <v>1973</v>
      </c>
      <c r="K2937" s="10">
        <v>20</v>
      </c>
      <c r="N2937" s="12" t="s">
        <v>536</v>
      </c>
      <c r="P2937" s="10">
        <v>20</v>
      </c>
      <c r="X2937" s="29">
        <v>6.7</v>
      </c>
      <c r="Y2937" s="7" t="s">
        <v>30</v>
      </c>
      <c r="Z2937" t="s">
        <v>537</v>
      </c>
      <c r="AA2937" t="s">
        <v>238</v>
      </c>
    </row>
    <row r="2938" spans="1:27" ht="23.1" customHeight="1" x14ac:dyDescent="0.25">
      <c r="A2938" t="s">
        <v>452</v>
      </c>
      <c r="B2938" s="7" t="s">
        <v>113</v>
      </c>
      <c r="C2938" s="7">
        <v>9</v>
      </c>
      <c r="D2938" s="7" t="s">
        <v>1823</v>
      </c>
      <c r="E2938" s="8" t="s">
        <v>389</v>
      </c>
      <c r="F2938" s="9" t="s">
        <v>389</v>
      </c>
      <c r="G2938" s="7" t="s">
        <v>300</v>
      </c>
      <c r="H2938" s="7">
        <v>5</v>
      </c>
      <c r="I2938" s="7" t="s">
        <v>1973</v>
      </c>
      <c r="K2938" s="10">
        <v>20</v>
      </c>
      <c r="N2938" s="12" t="s">
        <v>536</v>
      </c>
      <c r="P2938" s="10">
        <v>20</v>
      </c>
      <c r="X2938" s="29">
        <v>6.7</v>
      </c>
      <c r="Y2938" s="7" t="s">
        <v>30</v>
      </c>
      <c r="AA2938" t="s">
        <v>238</v>
      </c>
    </row>
    <row r="2939" spans="1:27" ht="23.1" customHeight="1" x14ac:dyDescent="0.25">
      <c r="A2939" t="s">
        <v>452</v>
      </c>
      <c r="B2939" s="7" t="s">
        <v>113</v>
      </c>
      <c r="C2939" s="7">
        <v>9</v>
      </c>
      <c r="D2939" s="7" t="s">
        <v>388</v>
      </c>
      <c r="E2939" s="8" t="s">
        <v>389</v>
      </c>
      <c r="F2939" s="9" t="s">
        <v>389</v>
      </c>
      <c r="G2939" s="7" t="s">
        <v>300</v>
      </c>
      <c r="H2939" s="7">
        <v>5</v>
      </c>
      <c r="I2939" s="7" t="s">
        <v>1973</v>
      </c>
      <c r="K2939" s="10">
        <v>20</v>
      </c>
      <c r="N2939" s="12" t="s">
        <v>536</v>
      </c>
      <c r="P2939" s="10">
        <v>20</v>
      </c>
      <c r="X2939" s="29">
        <v>6.7</v>
      </c>
      <c r="Y2939" s="7" t="s">
        <v>30</v>
      </c>
      <c r="AA2939" t="s">
        <v>238</v>
      </c>
    </row>
    <row r="2940" spans="1:27" ht="23.1" customHeight="1" x14ac:dyDescent="0.25">
      <c r="A2940" t="s">
        <v>870</v>
      </c>
      <c r="B2940" s="7" t="s">
        <v>113</v>
      </c>
      <c r="C2940" s="7">
        <v>15</v>
      </c>
      <c r="D2940" s="7" t="s">
        <v>592</v>
      </c>
      <c r="E2940" s="8" t="s">
        <v>218</v>
      </c>
      <c r="F2940" s="9" t="s">
        <v>218</v>
      </c>
      <c r="G2940" s="7" t="s">
        <v>107</v>
      </c>
      <c r="H2940" s="7">
        <v>40</v>
      </c>
      <c r="I2940" s="7" t="s">
        <v>1915</v>
      </c>
      <c r="J2940" s="10">
        <v>4</v>
      </c>
      <c r="K2940" s="10">
        <v>4</v>
      </c>
      <c r="L2940" s="11">
        <v>26</v>
      </c>
      <c r="M2940" s="11">
        <v>26</v>
      </c>
      <c r="N2940" s="12" t="s">
        <v>456</v>
      </c>
      <c r="P2940" s="10">
        <v>150</v>
      </c>
      <c r="T2940" s="10">
        <v>90</v>
      </c>
      <c r="X2940" s="29">
        <v>10</v>
      </c>
      <c r="Y2940" s="7" t="s">
        <v>60</v>
      </c>
    </row>
    <row r="2941" spans="1:27" ht="23.1" customHeight="1" x14ac:dyDescent="0.25">
      <c r="A2941" t="s">
        <v>870</v>
      </c>
      <c r="B2941" s="7" t="s">
        <v>113</v>
      </c>
      <c r="C2941" s="7">
        <v>15</v>
      </c>
      <c r="D2941" s="7" t="s">
        <v>592</v>
      </c>
      <c r="E2941" s="8" t="s">
        <v>218</v>
      </c>
      <c r="F2941" s="9" t="s">
        <v>218</v>
      </c>
      <c r="G2941" s="7" t="s">
        <v>107</v>
      </c>
      <c r="H2941" s="7">
        <v>45</v>
      </c>
      <c r="I2941" s="7" t="s">
        <v>1927</v>
      </c>
      <c r="K2941" s="10">
        <v>1</v>
      </c>
      <c r="L2941" s="11">
        <v>23</v>
      </c>
      <c r="N2941" s="12" t="s">
        <v>1824</v>
      </c>
      <c r="P2941" s="10">
        <v>420</v>
      </c>
      <c r="T2941" s="10">
        <v>90</v>
      </c>
      <c r="V2941" s="13">
        <v>1</v>
      </c>
      <c r="X2941" s="29">
        <v>8.5</v>
      </c>
      <c r="Y2941" s="7" t="s">
        <v>60</v>
      </c>
    </row>
    <row r="2942" spans="1:27" ht="23.1" customHeight="1" x14ac:dyDescent="0.25">
      <c r="A2942" t="s">
        <v>653</v>
      </c>
      <c r="B2942" s="7" t="s">
        <v>113</v>
      </c>
      <c r="C2942" s="7">
        <v>22</v>
      </c>
      <c r="D2942" s="7" t="s">
        <v>611</v>
      </c>
      <c r="E2942" s="8" t="s">
        <v>612</v>
      </c>
      <c r="F2942" s="9" t="s">
        <v>612</v>
      </c>
      <c r="G2942" s="7" t="s">
        <v>102</v>
      </c>
      <c r="H2942" s="7">
        <v>45</v>
      </c>
      <c r="I2942" s="7" t="s">
        <v>2015</v>
      </c>
      <c r="J2942" s="10">
        <v>0.3</v>
      </c>
      <c r="K2942" s="10">
        <v>0.3</v>
      </c>
      <c r="L2942" s="11">
        <v>37</v>
      </c>
      <c r="M2942" s="11">
        <v>37</v>
      </c>
      <c r="N2942" s="12" t="s">
        <v>195</v>
      </c>
      <c r="P2942" s="10">
        <v>6000</v>
      </c>
      <c r="Q2942" s="10">
        <v>180</v>
      </c>
      <c r="T2942" s="10">
        <v>180</v>
      </c>
      <c r="X2942" s="29">
        <v>30</v>
      </c>
      <c r="Y2942" s="7" t="s">
        <v>49</v>
      </c>
    </row>
    <row r="2943" spans="1:27" ht="23.1" customHeight="1" x14ac:dyDescent="0.25">
      <c r="A2943" t="s">
        <v>653</v>
      </c>
      <c r="B2943" s="7" t="s">
        <v>113</v>
      </c>
      <c r="C2943" s="7">
        <v>12</v>
      </c>
      <c r="D2943" s="7" t="s">
        <v>735</v>
      </c>
      <c r="E2943" s="8" t="s">
        <v>249</v>
      </c>
      <c r="F2943" s="9" t="s">
        <v>249</v>
      </c>
      <c r="G2943" s="7" t="s">
        <v>250</v>
      </c>
      <c r="H2943" s="7">
        <v>5</v>
      </c>
      <c r="I2943" s="7" t="s">
        <v>1930</v>
      </c>
      <c r="J2943" s="10">
        <v>12</v>
      </c>
      <c r="K2943" s="10">
        <v>12</v>
      </c>
      <c r="L2943" s="11">
        <v>5</v>
      </c>
      <c r="M2943" s="11">
        <v>5</v>
      </c>
      <c r="N2943" s="12" t="s">
        <v>736</v>
      </c>
      <c r="P2943" s="10">
        <v>30</v>
      </c>
      <c r="T2943" s="10">
        <v>60</v>
      </c>
      <c r="V2943" s="13">
        <v>1</v>
      </c>
      <c r="X2943" s="29">
        <v>7</v>
      </c>
      <c r="Y2943" s="7" t="s">
        <v>10</v>
      </c>
    </row>
    <row r="2944" spans="1:27" ht="23.1" customHeight="1" x14ac:dyDescent="0.25">
      <c r="A2944" t="s">
        <v>653</v>
      </c>
      <c r="B2944" s="7" t="s">
        <v>113</v>
      </c>
      <c r="C2944" s="7">
        <v>12</v>
      </c>
      <c r="D2944" s="7" t="s">
        <v>735</v>
      </c>
      <c r="E2944" s="8" t="s">
        <v>249</v>
      </c>
      <c r="F2944" s="9" t="s">
        <v>249</v>
      </c>
      <c r="G2944" s="7" t="s">
        <v>250</v>
      </c>
      <c r="H2944" s="7">
        <v>8</v>
      </c>
      <c r="K2944" s="10">
        <v>12</v>
      </c>
      <c r="L2944" s="11">
        <v>5</v>
      </c>
      <c r="M2944" s="11">
        <v>5</v>
      </c>
      <c r="N2944" s="12" t="s">
        <v>736</v>
      </c>
      <c r="O2944" s="10">
        <v>80</v>
      </c>
      <c r="U2944" s="10">
        <v>60</v>
      </c>
      <c r="V2944" s="13">
        <v>1</v>
      </c>
      <c r="X2944" s="32">
        <v>17</v>
      </c>
      <c r="Y2944" s="7" t="s">
        <v>10</v>
      </c>
    </row>
    <row r="2945" spans="1:27" ht="23.1" customHeight="1" x14ac:dyDescent="0.25">
      <c r="A2945" t="s">
        <v>870</v>
      </c>
      <c r="B2945" s="7" t="s">
        <v>113</v>
      </c>
      <c r="C2945" s="7">
        <v>79</v>
      </c>
      <c r="D2945" s="7" t="s">
        <v>152</v>
      </c>
      <c r="E2945" s="8" t="s">
        <v>1247</v>
      </c>
      <c r="F2945" s="9" t="s">
        <v>1247</v>
      </c>
      <c r="G2945" s="7" t="s">
        <v>154</v>
      </c>
      <c r="H2945" s="7">
        <v>30</v>
      </c>
      <c r="I2945" s="7" t="s">
        <v>2053</v>
      </c>
      <c r="J2945" s="10">
        <v>0.6</v>
      </c>
      <c r="K2945" s="10">
        <v>0.3</v>
      </c>
      <c r="L2945" s="11">
        <v>23</v>
      </c>
      <c r="M2945" s="11">
        <v>31</v>
      </c>
      <c r="N2945" s="12" t="s">
        <v>1701</v>
      </c>
      <c r="P2945" s="10">
        <v>1830</v>
      </c>
      <c r="Q2945" s="10">
        <v>90</v>
      </c>
      <c r="S2945" s="11">
        <v>1</v>
      </c>
      <c r="T2945" s="10">
        <v>120</v>
      </c>
      <c r="X2945" s="29">
        <v>10.7</v>
      </c>
      <c r="Y2945" s="7" t="s">
        <v>19</v>
      </c>
    </row>
    <row r="2946" spans="1:27" ht="23.1" customHeight="1" x14ac:dyDescent="0.25">
      <c r="A2946" t="s">
        <v>1002</v>
      </c>
      <c r="B2946" s="7" t="s">
        <v>99</v>
      </c>
      <c r="C2946" s="7">
        <v>79</v>
      </c>
      <c r="D2946" s="7" t="s">
        <v>420</v>
      </c>
      <c r="E2946" s="8" t="s">
        <v>1247</v>
      </c>
      <c r="F2946" s="9" t="s">
        <v>1247</v>
      </c>
      <c r="G2946" s="7" t="s">
        <v>154</v>
      </c>
      <c r="H2946" s="7">
        <v>40</v>
      </c>
      <c r="I2946" s="7" t="s">
        <v>2093</v>
      </c>
      <c r="J2946" s="10">
        <v>0.7</v>
      </c>
      <c r="K2946" s="10">
        <v>1</v>
      </c>
      <c r="L2946" s="11">
        <v>26</v>
      </c>
      <c r="N2946" s="12" t="s">
        <v>784</v>
      </c>
      <c r="P2946" s="10">
        <v>270</v>
      </c>
      <c r="Q2946" s="10">
        <v>90</v>
      </c>
      <c r="S2946" s="11">
        <v>1</v>
      </c>
      <c r="T2946" s="10">
        <v>120</v>
      </c>
      <c r="V2946" s="13">
        <v>1</v>
      </c>
      <c r="X2946" s="29">
        <v>8</v>
      </c>
      <c r="Y2946" s="7" t="s">
        <v>5</v>
      </c>
    </row>
    <row r="2947" spans="1:27" ht="23.1" customHeight="1" x14ac:dyDescent="0.25">
      <c r="A2947" t="s">
        <v>1002</v>
      </c>
      <c r="B2947" s="7" t="s">
        <v>99</v>
      </c>
      <c r="C2947" s="7">
        <v>79</v>
      </c>
      <c r="D2947" s="7" t="s">
        <v>420</v>
      </c>
      <c r="E2947" s="8" t="s">
        <v>1247</v>
      </c>
      <c r="F2947" s="9" t="s">
        <v>1247</v>
      </c>
      <c r="G2947" s="7" t="s">
        <v>154</v>
      </c>
      <c r="H2947" s="7">
        <v>45</v>
      </c>
      <c r="I2947" s="7" t="s">
        <v>2236</v>
      </c>
      <c r="K2947" s="10">
        <v>0.3</v>
      </c>
      <c r="L2947" s="11">
        <v>23</v>
      </c>
      <c r="N2947" s="12" t="s">
        <v>784</v>
      </c>
      <c r="P2947" s="10">
        <v>2460</v>
      </c>
      <c r="Q2947" s="10">
        <v>90</v>
      </c>
      <c r="S2947" s="11">
        <v>1</v>
      </c>
      <c r="T2947" s="10">
        <v>240</v>
      </c>
      <c r="V2947" s="13">
        <v>1</v>
      </c>
      <c r="W2947" s="10">
        <v>2</v>
      </c>
      <c r="X2947" s="29">
        <v>19.8</v>
      </c>
      <c r="Y2947" s="7" t="s">
        <v>5</v>
      </c>
      <c r="Z2947" t="s">
        <v>1548</v>
      </c>
      <c r="AA2947" s="1" t="s">
        <v>238</v>
      </c>
    </row>
    <row r="2948" spans="1:27" ht="23.1" customHeight="1" x14ac:dyDescent="0.25">
      <c r="A2948" t="s">
        <v>329</v>
      </c>
      <c r="B2948" s="7" t="s">
        <v>113</v>
      </c>
      <c r="C2948" s="7">
        <v>10</v>
      </c>
      <c r="D2948" s="42" t="s">
        <v>1825</v>
      </c>
      <c r="E2948" s="8" t="e">
        <v>#N/A</v>
      </c>
      <c r="F2948" s="9" t="e">
        <v>#N/A</v>
      </c>
      <c r="W2948" s="14">
        <v>4</v>
      </c>
      <c r="X2948" s="29">
        <v>4</v>
      </c>
      <c r="Y2948" s="7" t="s">
        <v>30</v>
      </c>
      <c r="Z2948" t="s">
        <v>891</v>
      </c>
      <c r="AA2948" t="s">
        <v>238</v>
      </c>
    </row>
    <row r="2949" spans="1:27" ht="23.1" customHeight="1" x14ac:dyDescent="0.25">
      <c r="A2949" t="s">
        <v>452</v>
      </c>
      <c r="B2949" s="7" t="s">
        <v>113</v>
      </c>
      <c r="C2949" s="7">
        <v>10</v>
      </c>
      <c r="D2949" s="7" t="s">
        <v>1826</v>
      </c>
      <c r="E2949" s="8" t="s">
        <v>389</v>
      </c>
      <c r="F2949" s="9" t="e">
        <v>#N/A</v>
      </c>
      <c r="N2949" s="12" t="e">
        <v>#N/A</v>
      </c>
      <c r="W2949" s="14">
        <v>2</v>
      </c>
      <c r="X2949" s="29">
        <v>2</v>
      </c>
      <c r="Y2949" s="7" t="s">
        <v>30</v>
      </c>
      <c r="Z2949" t="s">
        <v>1671</v>
      </c>
      <c r="AA2949" t="s">
        <v>238</v>
      </c>
    </row>
    <row r="2950" spans="1:27" ht="23.1" customHeight="1" x14ac:dyDescent="0.25">
      <c r="A2950" s="61" t="s">
        <v>1827</v>
      </c>
      <c r="B2950" s="7" t="s">
        <v>99</v>
      </c>
      <c r="C2950" s="7">
        <v>77</v>
      </c>
      <c r="D2950" s="42" t="s">
        <v>1828</v>
      </c>
      <c r="E2950" s="8" t="s">
        <v>1384</v>
      </c>
      <c r="F2950"/>
      <c r="G2950" s="7" t="s">
        <v>154</v>
      </c>
      <c r="H2950" s="7">
        <v>10</v>
      </c>
      <c r="I2950" s="7" t="s">
        <v>2241</v>
      </c>
      <c r="J2950" s="10">
        <v>24</v>
      </c>
      <c r="K2950" s="10">
        <v>26</v>
      </c>
      <c r="L2950" s="11">
        <v>9</v>
      </c>
      <c r="M2950" s="11">
        <v>9</v>
      </c>
      <c r="N2950" s="12" t="s">
        <v>1169</v>
      </c>
      <c r="O2950"/>
      <c r="P2950" s="10">
        <v>30</v>
      </c>
      <c r="Q2950"/>
      <c r="R2950"/>
      <c r="S2950"/>
      <c r="T2950" s="10">
        <v>60</v>
      </c>
      <c r="U2950"/>
      <c r="V2950"/>
      <c r="W2950"/>
      <c r="X2950" s="29">
        <v>13</v>
      </c>
      <c r="Y2950" s="42" t="s">
        <v>46</v>
      </c>
      <c r="AA2950" t="s">
        <v>238</v>
      </c>
    </row>
    <row r="2951" spans="1:27" ht="23.1" customHeight="1" x14ac:dyDescent="0.25">
      <c r="A2951" s="61" t="s">
        <v>1221</v>
      </c>
      <c r="B2951" s="7" t="s">
        <v>113</v>
      </c>
      <c r="C2951" s="7">
        <v>76</v>
      </c>
      <c r="D2951" s="42" t="s">
        <v>1553</v>
      </c>
      <c r="E2951" s="8" t="s">
        <v>409</v>
      </c>
      <c r="F2951"/>
      <c r="G2951" s="7" t="s">
        <v>102</v>
      </c>
      <c r="H2951" s="7">
        <v>20</v>
      </c>
      <c r="N2951" s="12" t="s">
        <v>596</v>
      </c>
      <c r="O2951">
        <v>20</v>
      </c>
      <c r="Q2951"/>
      <c r="R2951"/>
      <c r="S2951"/>
      <c r="U2951">
        <v>60</v>
      </c>
      <c r="V2951"/>
      <c r="W2951">
        <v>3</v>
      </c>
      <c r="X2951" s="32">
        <v>3</v>
      </c>
      <c r="Y2951" s="42" t="s">
        <v>46</v>
      </c>
      <c r="Z2951" t="s">
        <v>1326</v>
      </c>
      <c r="AA2951" t="s">
        <v>238</v>
      </c>
    </row>
    <row r="2952" spans="1:27" ht="23.1" customHeight="1" x14ac:dyDescent="0.25">
      <c r="A2952" s="61" t="s">
        <v>1221</v>
      </c>
      <c r="B2952" s="7" t="s">
        <v>113</v>
      </c>
      <c r="C2952" s="7">
        <v>76</v>
      </c>
      <c r="D2952" s="42" t="s">
        <v>1553</v>
      </c>
      <c r="E2952" s="8" t="s">
        <v>409</v>
      </c>
      <c r="F2952"/>
      <c r="G2952" s="7" t="s">
        <v>102</v>
      </c>
      <c r="H2952" s="7">
        <v>15</v>
      </c>
      <c r="N2952" s="12" t="s">
        <v>596</v>
      </c>
      <c r="O2952">
        <v>35</v>
      </c>
      <c r="Q2952"/>
      <c r="R2952"/>
      <c r="S2952"/>
      <c r="U2952"/>
      <c r="V2952"/>
      <c r="W2952">
        <v>3</v>
      </c>
      <c r="X2952" s="32">
        <v>3</v>
      </c>
      <c r="Y2952" s="42" t="s">
        <v>46</v>
      </c>
      <c r="Z2952" t="s">
        <v>1572</v>
      </c>
      <c r="AA2952" t="s">
        <v>238</v>
      </c>
    </row>
    <row r="2953" spans="1:27" ht="23.1" customHeight="1" x14ac:dyDescent="0.25">
      <c r="A2953" s="61" t="s">
        <v>653</v>
      </c>
      <c r="B2953" s="7" t="s">
        <v>113</v>
      </c>
      <c r="C2953" s="7">
        <v>76</v>
      </c>
      <c r="D2953" s="42" t="s">
        <v>543</v>
      </c>
      <c r="E2953" s="8" t="s">
        <v>544</v>
      </c>
      <c r="F2953"/>
      <c r="G2953" s="7" t="s">
        <v>154</v>
      </c>
      <c r="H2953" s="7">
        <v>15</v>
      </c>
      <c r="I2953" s="7" t="s">
        <v>1926</v>
      </c>
      <c r="N2953" s="12" t="s">
        <v>463</v>
      </c>
      <c r="O2953"/>
      <c r="P2953" s="10">
        <v>90</v>
      </c>
      <c r="Q2953"/>
      <c r="R2953"/>
      <c r="S2953"/>
      <c r="T2953" s="10">
        <v>90</v>
      </c>
      <c r="U2953"/>
      <c r="V2953"/>
      <c r="W2953">
        <v>2</v>
      </c>
      <c r="X2953" s="29">
        <v>2</v>
      </c>
      <c r="Y2953" s="42" t="s">
        <v>46</v>
      </c>
      <c r="Z2953" t="s">
        <v>1671</v>
      </c>
      <c r="AA2953" t="s">
        <v>238</v>
      </c>
    </row>
    <row r="2954" spans="1:27" ht="23.1" customHeight="1" x14ac:dyDescent="0.25">
      <c r="A2954" s="61" t="s">
        <v>329</v>
      </c>
      <c r="B2954" s="7" t="s">
        <v>113</v>
      </c>
      <c r="C2954" s="7">
        <v>76</v>
      </c>
      <c r="D2954" s="42" t="s">
        <v>349</v>
      </c>
      <c r="E2954" s="8" t="s">
        <v>350</v>
      </c>
      <c r="F2954"/>
      <c r="G2954" s="7" t="s">
        <v>154</v>
      </c>
      <c r="H2954" s="7">
        <v>10</v>
      </c>
      <c r="I2954" s="7" t="s">
        <v>1916</v>
      </c>
      <c r="N2954" s="12" t="s">
        <v>351</v>
      </c>
      <c r="O2954"/>
      <c r="P2954" s="10">
        <v>30</v>
      </c>
      <c r="Q2954"/>
      <c r="R2954"/>
      <c r="S2954"/>
      <c r="T2954" s="10">
        <v>60</v>
      </c>
      <c r="U2954"/>
      <c r="V2954"/>
      <c r="W2954">
        <v>2</v>
      </c>
      <c r="X2954" s="29">
        <v>2</v>
      </c>
      <c r="Y2954" s="42" t="s">
        <v>46</v>
      </c>
      <c r="Z2954" t="s">
        <v>1671</v>
      </c>
      <c r="AA2954" t="s">
        <v>238</v>
      </c>
    </row>
    <row r="2955" spans="1:27" ht="23.1" customHeight="1" x14ac:dyDescent="0.25">
      <c r="A2955" s="61" t="s">
        <v>329</v>
      </c>
      <c r="B2955" s="7" t="s">
        <v>113</v>
      </c>
      <c r="C2955" s="7">
        <v>76</v>
      </c>
      <c r="D2955" s="42" t="s">
        <v>280</v>
      </c>
      <c r="E2955" s="8" t="s">
        <v>281</v>
      </c>
      <c r="F2955"/>
      <c r="G2955" s="7" t="s">
        <v>154</v>
      </c>
      <c r="H2955" s="7">
        <v>15</v>
      </c>
      <c r="I2955" s="7" t="s">
        <v>1926</v>
      </c>
      <c r="N2955" s="12" t="s">
        <v>330</v>
      </c>
      <c r="O2955"/>
      <c r="P2955" s="10">
        <v>90</v>
      </c>
      <c r="Q2955"/>
      <c r="R2955"/>
      <c r="S2955"/>
      <c r="T2955" s="10">
        <v>90</v>
      </c>
      <c r="U2955"/>
      <c r="V2955"/>
      <c r="W2955">
        <v>2</v>
      </c>
      <c r="X2955" s="29">
        <v>2</v>
      </c>
      <c r="Y2955" s="42" t="s">
        <v>46</v>
      </c>
      <c r="Z2955" t="s">
        <v>1671</v>
      </c>
      <c r="AA2955" t="s">
        <v>238</v>
      </c>
    </row>
    <row r="2956" spans="1:27" ht="23.1" customHeight="1" x14ac:dyDescent="0.25">
      <c r="A2956" s="61" t="s">
        <v>329</v>
      </c>
      <c r="B2956" s="7" t="s">
        <v>113</v>
      </c>
      <c r="C2956" s="7">
        <v>56</v>
      </c>
      <c r="D2956" s="42" t="s">
        <v>273</v>
      </c>
      <c r="E2956" s="8" t="s">
        <v>274</v>
      </c>
      <c r="F2956"/>
      <c r="G2956" s="7" t="s">
        <v>123</v>
      </c>
      <c r="H2956" s="7">
        <v>15</v>
      </c>
      <c r="I2956" s="7" t="s">
        <v>2540</v>
      </c>
      <c r="N2956" s="12" t="s">
        <v>231</v>
      </c>
      <c r="O2956"/>
      <c r="P2956" s="10">
        <v>60</v>
      </c>
      <c r="Q2956"/>
      <c r="R2956"/>
      <c r="S2956"/>
      <c r="T2956" s="10">
        <v>60</v>
      </c>
      <c r="U2956"/>
      <c r="V2956"/>
      <c r="W2956">
        <v>2</v>
      </c>
      <c r="X2956" s="29">
        <v>2</v>
      </c>
      <c r="Y2956" s="42" t="s">
        <v>46</v>
      </c>
      <c r="Z2956" t="s">
        <v>1671</v>
      </c>
      <c r="AA2956" t="s">
        <v>238</v>
      </c>
    </row>
    <row r="2957" spans="1:27" ht="23.1" customHeight="1" x14ac:dyDescent="0.25">
      <c r="A2957" s="61" t="s">
        <v>188</v>
      </c>
      <c r="B2957" s="7" t="s">
        <v>113</v>
      </c>
      <c r="C2957" s="7">
        <v>76</v>
      </c>
      <c r="D2957" s="42" t="s">
        <v>239</v>
      </c>
      <c r="E2957" s="8" t="s">
        <v>240</v>
      </c>
      <c r="F2957"/>
      <c r="G2957" s="7" t="s">
        <v>154</v>
      </c>
      <c r="H2957" s="7">
        <v>25</v>
      </c>
      <c r="I2957" s="7" t="s">
        <v>1904</v>
      </c>
      <c r="N2957" s="12" t="s">
        <v>155</v>
      </c>
      <c r="O2957"/>
      <c r="P2957" s="10">
        <v>40</v>
      </c>
      <c r="Q2957"/>
      <c r="R2957"/>
      <c r="S2957"/>
      <c r="T2957" s="10">
        <v>60</v>
      </c>
      <c r="U2957"/>
      <c r="V2957"/>
      <c r="W2957">
        <v>2</v>
      </c>
      <c r="X2957" s="29">
        <v>2</v>
      </c>
      <c r="Y2957" s="42" t="s">
        <v>46</v>
      </c>
      <c r="Z2957" t="s">
        <v>1671</v>
      </c>
      <c r="AA2957" t="s">
        <v>238</v>
      </c>
    </row>
    <row r="2958" spans="1:27" ht="23.1" customHeight="1" x14ac:dyDescent="0.25">
      <c r="A2958" s="61" t="s">
        <v>188</v>
      </c>
      <c r="B2958" s="7" t="s">
        <v>113</v>
      </c>
      <c r="C2958" s="7">
        <v>76</v>
      </c>
      <c r="D2958" s="42" t="s">
        <v>242</v>
      </c>
      <c r="E2958" s="8" t="s">
        <v>243</v>
      </c>
      <c r="F2958"/>
      <c r="G2958" s="7" t="s">
        <v>123</v>
      </c>
      <c r="H2958" s="7">
        <v>30</v>
      </c>
      <c r="I2958" s="7" t="s">
        <v>1901</v>
      </c>
      <c r="N2958" s="12" t="s">
        <v>131</v>
      </c>
      <c r="O2958"/>
      <c r="P2958" s="10">
        <v>30</v>
      </c>
      <c r="Q2958"/>
      <c r="R2958"/>
      <c r="S2958"/>
      <c r="T2958" s="10">
        <v>60</v>
      </c>
      <c r="U2958"/>
      <c r="V2958"/>
      <c r="W2958">
        <v>2</v>
      </c>
      <c r="X2958" s="29">
        <v>2</v>
      </c>
      <c r="Y2958" s="42" t="s">
        <v>46</v>
      </c>
      <c r="Z2958" t="s">
        <v>1671</v>
      </c>
      <c r="AA2958" t="s">
        <v>238</v>
      </c>
    </row>
    <row r="2959" spans="1:27" ht="23.1" customHeight="1" x14ac:dyDescent="0.25">
      <c r="A2959" s="61" t="s">
        <v>1002</v>
      </c>
      <c r="B2959" s="7" t="s">
        <v>113</v>
      </c>
      <c r="C2959" s="7">
        <v>76</v>
      </c>
      <c r="D2959" s="42" t="s">
        <v>1688</v>
      </c>
      <c r="E2959" s="8" t="s">
        <v>409</v>
      </c>
      <c r="F2959"/>
      <c r="G2959" s="7" t="s">
        <v>300</v>
      </c>
      <c r="H2959" s="7">
        <v>30</v>
      </c>
      <c r="I2959" s="7" t="s">
        <v>1901</v>
      </c>
      <c r="N2959" s="12" t="s">
        <v>393</v>
      </c>
      <c r="O2959"/>
      <c r="P2959" s="10">
        <v>30</v>
      </c>
      <c r="Q2959"/>
      <c r="R2959"/>
      <c r="S2959"/>
      <c r="T2959" s="10">
        <v>60</v>
      </c>
      <c r="U2959"/>
      <c r="V2959"/>
      <c r="W2959">
        <v>3</v>
      </c>
      <c r="X2959" s="29">
        <v>3</v>
      </c>
      <c r="Y2959" s="42" t="s">
        <v>46</v>
      </c>
      <c r="Z2959" t="s">
        <v>1572</v>
      </c>
      <c r="AA2959" t="s">
        <v>238</v>
      </c>
    </row>
    <row r="2960" spans="1:27" ht="23.1" customHeight="1" x14ac:dyDescent="0.25">
      <c r="A2960" s="61" t="s">
        <v>188</v>
      </c>
      <c r="B2960" s="7" t="s">
        <v>113</v>
      </c>
      <c r="C2960" s="7">
        <v>76</v>
      </c>
      <c r="D2960" s="42" t="s">
        <v>1057</v>
      </c>
      <c r="E2960" s="8" t="s">
        <v>625</v>
      </c>
      <c r="F2960"/>
      <c r="G2960" s="7" t="s">
        <v>102</v>
      </c>
      <c r="N2960" s="12" t="s">
        <v>596</v>
      </c>
      <c r="O2960"/>
      <c r="Q2960"/>
      <c r="R2960"/>
      <c r="S2960"/>
      <c r="U2960"/>
      <c r="V2960"/>
      <c r="W2960">
        <v>2</v>
      </c>
      <c r="X2960" s="29">
        <v>2</v>
      </c>
      <c r="Y2960" s="42" t="s">
        <v>46</v>
      </c>
      <c r="Z2960" t="s">
        <v>1671</v>
      </c>
      <c r="AA2960" t="s">
        <v>238</v>
      </c>
    </row>
    <row r="2961" spans="1:27" ht="23.1" customHeight="1" x14ac:dyDescent="0.25">
      <c r="A2961" s="61" t="s">
        <v>870</v>
      </c>
      <c r="B2961" s="7" t="s">
        <v>113</v>
      </c>
      <c r="C2961" s="7">
        <v>76</v>
      </c>
      <c r="D2961" s="42" t="s">
        <v>364</v>
      </c>
      <c r="E2961" s="8" t="s">
        <v>365</v>
      </c>
      <c r="F2961"/>
      <c r="G2961" s="7" t="s">
        <v>154</v>
      </c>
      <c r="H2961" s="7">
        <v>30</v>
      </c>
      <c r="I2961" s="7" t="s">
        <v>1863</v>
      </c>
      <c r="N2961" s="12" t="s">
        <v>221</v>
      </c>
      <c r="O2961"/>
      <c r="P2961" s="10">
        <v>17</v>
      </c>
      <c r="Q2961"/>
      <c r="R2961"/>
      <c r="S2961"/>
      <c r="T2961" s="10">
        <v>60</v>
      </c>
      <c r="U2961"/>
      <c r="V2961"/>
      <c r="W2961">
        <v>3</v>
      </c>
      <c r="X2961" s="29">
        <v>3</v>
      </c>
      <c r="Y2961" s="42" t="s">
        <v>46</v>
      </c>
      <c r="Z2961" t="s">
        <v>1572</v>
      </c>
      <c r="AA2961" t="s">
        <v>238</v>
      </c>
    </row>
    <row r="2962" spans="1:27" ht="23.1" customHeight="1" x14ac:dyDescent="0.25">
      <c r="A2962" s="61" t="s">
        <v>870</v>
      </c>
      <c r="B2962" s="7" t="s">
        <v>113</v>
      </c>
      <c r="C2962" s="7">
        <v>76</v>
      </c>
      <c r="D2962" s="42" t="s">
        <v>364</v>
      </c>
      <c r="E2962" s="8" t="s">
        <v>365</v>
      </c>
      <c r="F2962"/>
      <c r="G2962" s="7" t="s">
        <v>154</v>
      </c>
      <c r="H2962" s="7">
        <v>40</v>
      </c>
      <c r="I2962" s="7" t="s">
        <v>1915</v>
      </c>
      <c r="N2962" s="12" t="s">
        <v>221</v>
      </c>
      <c r="O2962"/>
      <c r="P2962" s="10">
        <v>20</v>
      </c>
      <c r="Q2962"/>
      <c r="R2962"/>
      <c r="S2962"/>
      <c r="T2962" s="10">
        <v>90</v>
      </c>
      <c r="U2962"/>
      <c r="V2962"/>
      <c r="W2962">
        <v>2</v>
      </c>
      <c r="X2962" s="29">
        <v>2</v>
      </c>
      <c r="Y2962" s="42" t="s">
        <v>46</v>
      </c>
      <c r="Z2962" t="s">
        <v>1671</v>
      </c>
      <c r="AA2962" t="s">
        <v>238</v>
      </c>
    </row>
    <row r="2963" spans="1:27" ht="23.1" customHeight="1" x14ac:dyDescent="0.25">
      <c r="A2963" s="61" t="s">
        <v>329</v>
      </c>
      <c r="B2963" s="7" t="s">
        <v>110</v>
      </c>
      <c r="C2963" s="7">
        <v>55</v>
      </c>
      <c r="D2963" s="42" t="s">
        <v>1829</v>
      </c>
      <c r="E2963" s="8" t="s">
        <v>1830</v>
      </c>
      <c r="F2963"/>
      <c r="H2963" s="7">
        <v>20</v>
      </c>
      <c r="K2963" s="10">
        <v>2</v>
      </c>
      <c r="L2963" s="11">
        <v>28</v>
      </c>
      <c r="M2963" s="11">
        <v>29</v>
      </c>
      <c r="O2963"/>
      <c r="Q2963"/>
      <c r="R2963"/>
      <c r="S2963"/>
      <c r="U2963"/>
      <c r="V2963"/>
      <c r="W2963">
        <v>5</v>
      </c>
      <c r="X2963" s="29">
        <v>5</v>
      </c>
      <c r="Y2963" s="42" t="s">
        <v>15</v>
      </c>
      <c r="Z2963" t="s">
        <v>1831</v>
      </c>
      <c r="AA2963" t="s">
        <v>238</v>
      </c>
    </row>
    <row r="2964" spans="1:27" ht="23.1" customHeight="1" x14ac:dyDescent="0.25">
      <c r="A2964" s="61" t="s">
        <v>329</v>
      </c>
      <c r="B2964" s="7" t="s">
        <v>110</v>
      </c>
      <c r="C2964" s="7">
        <v>55</v>
      </c>
      <c r="D2964" s="42" t="s">
        <v>1829</v>
      </c>
      <c r="E2964" s="8" t="s">
        <v>1830</v>
      </c>
      <c r="F2964"/>
      <c r="H2964" s="7">
        <v>25</v>
      </c>
      <c r="K2964" s="10">
        <v>2</v>
      </c>
      <c r="L2964" s="11">
        <v>28</v>
      </c>
      <c r="M2964" s="11">
        <v>31</v>
      </c>
      <c r="O2964"/>
      <c r="Q2964"/>
      <c r="R2964"/>
      <c r="S2964"/>
      <c r="U2964"/>
      <c r="V2964"/>
      <c r="W2964">
        <v>5</v>
      </c>
      <c r="X2964" s="29">
        <v>5</v>
      </c>
      <c r="Y2964" s="42" t="s">
        <v>15</v>
      </c>
      <c r="Z2964" t="s">
        <v>1831</v>
      </c>
      <c r="AA2964" t="s">
        <v>238</v>
      </c>
    </row>
    <row r="2965" spans="1:27" ht="23.1" customHeight="1" x14ac:dyDescent="0.25">
      <c r="A2965" s="61" t="s">
        <v>329</v>
      </c>
      <c r="B2965" s="7" t="s">
        <v>110</v>
      </c>
      <c r="C2965" s="7">
        <v>55</v>
      </c>
      <c r="D2965" s="42" t="s">
        <v>1829</v>
      </c>
      <c r="E2965" s="8" t="s">
        <v>1830</v>
      </c>
      <c r="F2965"/>
      <c r="H2965" s="7">
        <v>30</v>
      </c>
      <c r="K2965" s="10">
        <v>2</v>
      </c>
      <c r="L2965" s="11">
        <v>28</v>
      </c>
      <c r="M2965" s="11">
        <v>31</v>
      </c>
      <c r="O2965"/>
      <c r="Q2965"/>
      <c r="R2965"/>
      <c r="S2965"/>
      <c r="U2965"/>
      <c r="V2965"/>
      <c r="W2965">
        <v>5</v>
      </c>
      <c r="X2965" s="29">
        <v>5</v>
      </c>
      <c r="Y2965" s="42" t="s">
        <v>15</v>
      </c>
      <c r="Z2965" t="s">
        <v>1831</v>
      </c>
      <c r="AA2965" t="s">
        <v>238</v>
      </c>
    </row>
    <row r="2966" spans="1:27" ht="23.1" customHeight="1" x14ac:dyDescent="0.25">
      <c r="A2966" s="61" t="s">
        <v>796</v>
      </c>
      <c r="B2966" s="7" t="s">
        <v>110</v>
      </c>
      <c r="C2966" s="7">
        <v>55</v>
      </c>
      <c r="D2966" s="42" t="s">
        <v>211</v>
      </c>
      <c r="E2966" s="8" t="s">
        <v>212</v>
      </c>
      <c r="F2966"/>
      <c r="H2966" s="7">
        <v>1</v>
      </c>
      <c r="K2966" s="10">
        <v>1</v>
      </c>
      <c r="L2966" s="11">
        <v>31</v>
      </c>
      <c r="O2966"/>
      <c r="Q2966"/>
      <c r="R2966"/>
      <c r="S2966"/>
      <c r="U2966"/>
      <c r="V2966"/>
      <c r="W2966">
        <v>3</v>
      </c>
      <c r="X2966" s="29">
        <v>3</v>
      </c>
      <c r="Y2966" s="42" t="s">
        <v>15</v>
      </c>
      <c r="Z2966" t="s">
        <v>1832</v>
      </c>
      <c r="AA2966" t="s">
        <v>238</v>
      </c>
    </row>
    <row r="2967" spans="1:27" ht="23.1" customHeight="1" x14ac:dyDescent="0.25">
      <c r="A2967" s="61" t="s">
        <v>1002</v>
      </c>
      <c r="B2967" s="7" t="s">
        <v>110</v>
      </c>
      <c r="C2967" s="7">
        <v>108</v>
      </c>
      <c r="D2967" s="42" t="s">
        <v>992</v>
      </c>
      <c r="E2967" s="8" t="s">
        <v>993</v>
      </c>
      <c r="F2967"/>
      <c r="G2967" s="7" t="s">
        <v>154</v>
      </c>
      <c r="H2967" s="7">
        <v>5</v>
      </c>
      <c r="I2967" s="7" t="s">
        <v>1957</v>
      </c>
      <c r="J2967" s="10">
        <v>1</v>
      </c>
      <c r="K2967" s="10">
        <v>1</v>
      </c>
      <c r="L2967" s="11">
        <v>23</v>
      </c>
      <c r="N2967" s="12" t="s">
        <v>234</v>
      </c>
      <c r="O2967"/>
      <c r="P2967" s="10">
        <v>720</v>
      </c>
      <c r="Q2967">
        <v>60</v>
      </c>
      <c r="R2967"/>
      <c r="S2967">
        <v>1</v>
      </c>
      <c r="T2967" s="10">
        <v>90</v>
      </c>
      <c r="U2967"/>
      <c r="V2967"/>
      <c r="W2967"/>
      <c r="X2967" s="29">
        <v>13</v>
      </c>
      <c r="Y2967" s="42" t="s">
        <v>13</v>
      </c>
    </row>
    <row r="2968" spans="1:27" ht="23.1" customHeight="1" x14ac:dyDescent="0.25">
      <c r="A2968" s="61" t="s">
        <v>1002</v>
      </c>
      <c r="B2968" s="7" t="s">
        <v>110</v>
      </c>
      <c r="C2968" s="7">
        <v>108</v>
      </c>
      <c r="D2968" s="42" t="s">
        <v>1764</v>
      </c>
      <c r="E2968" s="8" t="s">
        <v>993</v>
      </c>
      <c r="F2968"/>
      <c r="G2968" s="7" t="s">
        <v>154</v>
      </c>
      <c r="H2968" s="7">
        <v>5</v>
      </c>
      <c r="I2968" s="7" t="s">
        <v>1957</v>
      </c>
      <c r="J2968" s="10">
        <v>1</v>
      </c>
      <c r="K2968" s="10">
        <v>0.5</v>
      </c>
      <c r="L2968" s="11">
        <v>23</v>
      </c>
      <c r="M2968"/>
      <c r="N2968" s="12" t="s">
        <v>159</v>
      </c>
      <c r="O2968"/>
      <c r="P2968" s="10">
        <v>720</v>
      </c>
      <c r="Q2968">
        <v>60</v>
      </c>
      <c r="R2968"/>
      <c r="S2968">
        <v>1</v>
      </c>
      <c r="T2968" s="10">
        <v>90</v>
      </c>
      <c r="U2968"/>
      <c r="V2968">
        <v>1</v>
      </c>
      <c r="W2968"/>
      <c r="X2968" s="29">
        <v>8.5</v>
      </c>
      <c r="Y2968" s="42" t="s">
        <v>13</v>
      </c>
    </row>
    <row r="2969" spans="1:27" ht="23.1" customHeight="1" x14ac:dyDescent="0.25">
      <c r="A2969" s="61" t="s">
        <v>109</v>
      </c>
      <c r="B2969" s="7" t="s">
        <v>137</v>
      </c>
      <c r="C2969" s="8">
        <v>59</v>
      </c>
      <c r="D2969" s="42" t="s">
        <v>1833</v>
      </c>
      <c r="E2969" s="8" t="s">
        <v>1834</v>
      </c>
      <c r="F2969"/>
      <c r="G2969" s="7" t="s">
        <v>154</v>
      </c>
      <c r="H2969" s="7">
        <v>50</v>
      </c>
      <c r="I2969" s="7" t="s">
        <v>2371</v>
      </c>
      <c r="K2969" s="10">
        <v>12</v>
      </c>
      <c r="L2969" s="11">
        <v>31</v>
      </c>
      <c r="M2969">
        <v>31</v>
      </c>
      <c r="N2969" s="12" t="s">
        <v>221</v>
      </c>
      <c r="O2969"/>
      <c r="P2969" s="10">
        <v>20</v>
      </c>
      <c r="Q2969"/>
      <c r="R2969"/>
      <c r="S2969"/>
      <c r="T2969" s="10">
        <v>60</v>
      </c>
      <c r="U2969"/>
      <c r="V2969">
        <v>1</v>
      </c>
      <c r="W2969"/>
      <c r="X2969" s="29"/>
      <c r="Y2969" s="42" t="s">
        <v>42</v>
      </c>
    </row>
    <row r="2970" spans="1:27" ht="23.1" customHeight="1" x14ac:dyDescent="0.25">
      <c r="A2970" s="61" t="s">
        <v>109</v>
      </c>
      <c r="B2970" s="7" t="s">
        <v>137</v>
      </c>
      <c r="C2970" s="8">
        <v>59</v>
      </c>
      <c r="D2970" s="42" t="s">
        <v>142</v>
      </c>
      <c r="E2970" s="8" t="s">
        <v>133</v>
      </c>
      <c r="F2970"/>
      <c r="G2970" s="7" t="s">
        <v>102</v>
      </c>
      <c r="H2970" s="7">
        <v>10</v>
      </c>
      <c r="I2970" s="7" t="s">
        <v>2300</v>
      </c>
      <c r="K2970" s="10">
        <v>2</v>
      </c>
      <c r="L2970" s="11">
        <v>31</v>
      </c>
      <c r="M2970">
        <v>12</v>
      </c>
      <c r="N2970" s="12" t="s">
        <v>140</v>
      </c>
      <c r="O2970"/>
      <c r="P2970" s="10">
        <v>35</v>
      </c>
      <c r="Q2970"/>
      <c r="R2970"/>
      <c r="S2970"/>
      <c r="T2970" s="10">
        <v>90</v>
      </c>
      <c r="U2970"/>
      <c r="V2970">
        <v>1</v>
      </c>
      <c r="W2970"/>
      <c r="X2970" s="29"/>
      <c r="Y2970" s="42" t="s">
        <v>42</v>
      </c>
    </row>
    <row r="2971" spans="1:27" ht="23.1" customHeight="1" x14ac:dyDescent="0.25">
      <c r="A2971" s="61" t="s">
        <v>109</v>
      </c>
      <c r="B2971" s="7" t="s">
        <v>137</v>
      </c>
      <c r="C2971" s="8">
        <v>59</v>
      </c>
      <c r="D2971" s="42" t="s">
        <v>142</v>
      </c>
      <c r="E2971" s="8" t="s">
        <v>133</v>
      </c>
      <c r="F2971"/>
      <c r="G2971" s="7" t="s">
        <v>102</v>
      </c>
      <c r="H2971" s="7">
        <v>15</v>
      </c>
      <c r="I2971" s="7" t="s">
        <v>2372</v>
      </c>
      <c r="K2971" s="10">
        <v>0.2</v>
      </c>
      <c r="L2971" s="11">
        <v>12</v>
      </c>
      <c r="M2971"/>
      <c r="N2971" s="12" t="s">
        <v>140</v>
      </c>
      <c r="O2971"/>
      <c r="P2971" s="10">
        <v>100</v>
      </c>
      <c r="Q2971"/>
      <c r="R2971"/>
      <c r="S2971"/>
      <c r="T2971" s="10">
        <v>60</v>
      </c>
      <c r="U2971"/>
      <c r="V2971">
        <v>1</v>
      </c>
      <c r="W2971"/>
      <c r="X2971" s="29"/>
      <c r="Y2971" s="42" t="s">
        <v>42</v>
      </c>
    </row>
    <row r="2972" spans="1:27" ht="23.1" customHeight="1" x14ac:dyDescent="0.25">
      <c r="A2972" s="61"/>
      <c r="D2972" s="42"/>
      <c r="E2972" s="8" t="e">
        <v>#N/A</v>
      </c>
      <c r="F2972"/>
      <c r="M2972"/>
      <c r="O2972"/>
      <c r="Q2972"/>
      <c r="R2972"/>
      <c r="S2972"/>
      <c r="U2972"/>
      <c r="V2972"/>
      <c r="W2972"/>
      <c r="X2972" s="29"/>
      <c r="Y2972" s="42"/>
    </row>
    <row r="2973" spans="1:27" ht="23.1" customHeight="1" x14ac:dyDescent="0.25">
      <c r="A2973" s="61"/>
      <c r="D2973" s="42"/>
      <c r="E2973" s="8" t="e">
        <v>#N/A</v>
      </c>
      <c r="F2973"/>
      <c r="M2973"/>
      <c r="O2973"/>
      <c r="Q2973"/>
      <c r="R2973"/>
      <c r="S2973"/>
      <c r="U2973"/>
      <c r="V2973"/>
      <c r="W2973"/>
      <c r="X2973" s="29"/>
      <c r="Y2973" s="42"/>
    </row>
    <row r="2974" spans="1:27" ht="23.1" customHeight="1" x14ac:dyDescent="0.25">
      <c r="A2974" s="61"/>
      <c r="D2974" s="42"/>
      <c r="E2974" s="8" t="e">
        <v>#N/A</v>
      </c>
      <c r="F2974"/>
      <c r="M2974"/>
      <c r="O2974"/>
      <c r="Q2974"/>
      <c r="R2974"/>
      <c r="S2974"/>
      <c r="U2974"/>
      <c r="V2974"/>
      <c r="W2974"/>
      <c r="X2974" s="29"/>
      <c r="Y2974" s="42"/>
    </row>
  </sheetData>
  <autoFilter ref="A1:AA2974"/>
  <phoneticPr fontId="11" type="noConversion"/>
  <conditionalFormatting sqref="G881 G1025:H1256 G1258:H1330 G1345:H1522 N251:N368 G251:G368 N371:N715 G565:G715 G882:H896 G898:H1015 N844:N1522 G1537:H1584 C850:C1639 G1639:H1639 N1537:N1639">
    <cfRule type="expression" dxfId="1950" priority="26" stopIfTrue="1">
      <formula>LEN(TRIM(C251))=0</formula>
    </cfRule>
  </conditionalFormatting>
  <conditionalFormatting sqref="G1529">
    <cfRule type="expression" dxfId="1949" priority="13" stopIfTrue="1">
      <formula>LEN(TRIM(G1529))=0</formula>
    </cfRule>
  </conditionalFormatting>
  <conditionalFormatting sqref="E850:E1024 F2:F1024 E1025:F1638 F1639:F1805 E1639:E1640">
    <cfRule type="expression" dxfId="1948" priority="4030" stopIfTrue="1">
      <formula>ISERROR(E2)</formula>
    </cfRule>
  </conditionalFormatting>
  <conditionalFormatting sqref="E1641">
    <cfRule type="expression" dxfId="1947" priority="4029" stopIfTrue="1">
      <formula>ISERROR(E1641)</formula>
    </cfRule>
  </conditionalFormatting>
  <conditionalFormatting sqref="E1642">
    <cfRule type="expression" dxfId="1946" priority="4028" stopIfTrue="1">
      <formula>ISERROR(E1642)</formula>
    </cfRule>
  </conditionalFormatting>
  <conditionalFormatting sqref="E1643">
    <cfRule type="expression" dxfId="1945" priority="4027" stopIfTrue="1">
      <formula>ISERROR(E1643)</formula>
    </cfRule>
  </conditionalFormatting>
  <conditionalFormatting sqref="E1644">
    <cfRule type="expression" dxfId="1944" priority="4026" stopIfTrue="1">
      <formula>ISERROR(E1644)</formula>
    </cfRule>
  </conditionalFormatting>
  <conditionalFormatting sqref="E1645">
    <cfRule type="expression" dxfId="1943" priority="4020" stopIfTrue="1">
      <formula>ISERROR(E1645)</formula>
    </cfRule>
  </conditionalFormatting>
  <conditionalFormatting sqref="E1646">
    <cfRule type="expression" dxfId="1942" priority="4019" stopIfTrue="1">
      <formula>ISERROR(E1646)</formula>
    </cfRule>
  </conditionalFormatting>
  <conditionalFormatting sqref="E1647">
    <cfRule type="expression" dxfId="1941" priority="4018" stopIfTrue="1">
      <formula>ISERROR(E1647)</formula>
    </cfRule>
  </conditionalFormatting>
  <conditionalFormatting sqref="E1648">
    <cfRule type="expression" dxfId="1940" priority="4017" stopIfTrue="1">
      <formula>ISERROR(E1648)</formula>
    </cfRule>
  </conditionalFormatting>
  <conditionalFormatting sqref="E1649">
    <cfRule type="expression" dxfId="1939" priority="4016" stopIfTrue="1">
      <formula>ISERROR(E1649)</formula>
    </cfRule>
  </conditionalFormatting>
  <conditionalFormatting sqref="E1650">
    <cfRule type="expression" dxfId="1938" priority="4015" stopIfTrue="1">
      <formula>ISERROR(E1650)</formula>
    </cfRule>
  </conditionalFormatting>
  <conditionalFormatting sqref="E1651">
    <cfRule type="expression" dxfId="1937" priority="4014" stopIfTrue="1">
      <formula>ISERROR(E1651)</formula>
    </cfRule>
  </conditionalFormatting>
  <conditionalFormatting sqref="E1652">
    <cfRule type="expression" dxfId="1936" priority="4013" stopIfTrue="1">
      <formula>ISERROR(E1652)</formula>
    </cfRule>
  </conditionalFormatting>
  <conditionalFormatting sqref="E1656">
    <cfRule type="expression" dxfId="1935" priority="4054" stopIfTrue="1">
      <formula>ISERROR(E1656)</formula>
    </cfRule>
  </conditionalFormatting>
  <conditionalFormatting sqref="E1657">
    <cfRule type="expression" dxfId="1934" priority="4053" stopIfTrue="1">
      <formula>ISERROR(E1657)</formula>
    </cfRule>
  </conditionalFormatting>
  <conditionalFormatting sqref="C1661">
    <cfRule type="expression" dxfId="1933" priority="4048" stopIfTrue="1">
      <formula>LEN(TRIM(C1661))=0</formula>
    </cfRule>
  </conditionalFormatting>
  <conditionalFormatting sqref="C1662">
    <cfRule type="expression" dxfId="1932" priority="4047" stopIfTrue="1">
      <formula>LEN(TRIM(C1662))=0</formula>
    </cfRule>
  </conditionalFormatting>
  <conditionalFormatting sqref="C1663">
    <cfRule type="expression" dxfId="1931" priority="4046" stopIfTrue="1">
      <formula>LEN(TRIM(C1663))=0</formula>
    </cfRule>
  </conditionalFormatting>
  <conditionalFormatting sqref="C1664">
    <cfRule type="expression" dxfId="1930" priority="4045" stopIfTrue="1">
      <formula>LEN(TRIM(C1664))=0</formula>
    </cfRule>
  </conditionalFormatting>
  <conditionalFormatting sqref="C1665">
    <cfRule type="expression" dxfId="1929" priority="4044" stopIfTrue="1">
      <formula>LEN(TRIM(C1665))=0</formula>
    </cfRule>
  </conditionalFormatting>
  <conditionalFormatting sqref="C1666">
    <cfRule type="expression" dxfId="1928" priority="4043" stopIfTrue="1">
      <formula>LEN(TRIM(C1666))=0</formula>
    </cfRule>
  </conditionalFormatting>
  <conditionalFormatting sqref="C1667">
    <cfRule type="expression" dxfId="1927" priority="4042" stopIfTrue="1">
      <formula>LEN(TRIM(C1667))=0</formula>
    </cfRule>
  </conditionalFormatting>
  <conditionalFormatting sqref="C1668">
    <cfRule type="expression" dxfId="1926" priority="4041" stopIfTrue="1">
      <formula>LEN(TRIM(C1668))=0</formula>
    </cfRule>
  </conditionalFormatting>
  <conditionalFormatting sqref="C1669">
    <cfRule type="expression" dxfId="1925" priority="4040" stopIfTrue="1">
      <formula>LEN(TRIM(C1669))=0</formula>
    </cfRule>
  </conditionalFormatting>
  <conditionalFormatting sqref="C1670">
    <cfRule type="expression" dxfId="1924" priority="4039" stopIfTrue="1">
      <formula>LEN(TRIM(C1670))=0</formula>
    </cfRule>
  </conditionalFormatting>
  <conditionalFormatting sqref="C1671">
    <cfRule type="expression" dxfId="1923" priority="4038" stopIfTrue="1">
      <formula>LEN(TRIM(C1671))=0</formula>
    </cfRule>
  </conditionalFormatting>
  <conditionalFormatting sqref="C1672">
    <cfRule type="expression" dxfId="1922" priority="4037" stopIfTrue="1">
      <formula>LEN(TRIM(C1672))=0</formula>
    </cfRule>
  </conditionalFormatting>
  <conditionalFormatting sqref="C1673">
    <cfRule type="expression" dxfId="1921" priority="4036" stopIfTrue="1">
      <formula>LEN(TRIM(C1673))=0</formula>
    </cfRule>
  </conditionalFormatting>
  <conditionalFormatting sqref="C1674">
    <cfRule type="expression" dxfId="1920" priority="4035" stopIfTrue="1">
      <formula>LEN(TRIM(C1674))=0</formula>
    </cfRule>
  </conditionalFormatting>
  <conditionalFormatting sqref="C1675">
    <cfRule type="expression" dxfId="1919" priority="4034" stopIfTrue="1">
      <formula>LEN(TRIM(C1675))=0</formula>
    </cfRule>
  </conditionalFormatting>
  <conditionalFormatting sqref="C1676">
    <cfRule type="expression" dxfId="1918" priority="4033" stopIfTrue="1">
      <formula>LEN(TRIM(C1676))=0</formula>
    </cfRule>
  </conditionalFormatting>
  <conditionalFormatting sqref="C1679">
    <cfRule type="expression" dxfId="1917" priority="4032" stopIfTrue="1">
      <formula>LEN(TRIM(C1679))=0</formula>
    </cfRule>
  </conditionalFormatting>
  <conditionalFormatting sqref="C1680">
    <cfRule type="expression" dxfId="1916" priority="3949" stopIfTrue="1">
      <formula>LEN(TRIM(C1680))=0</formula>
    </cfRule>
  </conditionalFormatting>
  <conditionalFormatting sqref="C1681">
    <cfRule type="expression" dxfId="1915" priority="3968" stopIfTrue="1">
      <formula>LEN(TRIM(C1681))=0</formula>
    </cfRule>
  </conditionalFormatting>
  <conditionalFormatting sqref="E1681">
    <cfRule type="expression" dxfId="1914" priority="4004" stopIfTrue="1">
      <formula>ISERROR(E1681)</formula>
    </cfRule>
  </conditionalFormatting>
  <conditionalFormatting sqref="C1682">
    <cfRule type="expression" dxfId="1913" priority="3967" stopIfTrue="1">
      <formula>LEN(TRIM(C1682))=0</formula>
    </cfRule>
  </conditionalFormatting>
  <conditionalFormatting sqref="E1682">
    <cfRule type="expression" dxfId="1912" priority="4003" stopIfTrue="1">
      <formula>ISERROR(E1682)</formula>
    </cfRule>
  </conditionalFormatting>
  <conditionalFormatting sqref="C1683">
    <cfRule type="expression" dxfId="1911" priority="3966" stopIfTrue="1">
      <formula>LEN(TRIM(C1683))=0</formula>
    </cfRule>
  </conditionalFormatting>
  <conditionalFormatting sqref="E1683">
    <cfRule type="expression" dxfId="1910" priority="4002" stopIfTrue="1">
      <formula>ISERROR(E1683)</formula>
    </cfRule>
  </conditionalFormatting>
  <conditionalFormatting sqref="C1684">
    <cfRule type="expression" dxfId="1909" priority="3965" stopIfTrue="1">
      <formula>LEN(TRIM(C1684))=0</formula>
    </cfRule>
  </conditionalFormatting>
  <conditionalFormatting sqref="E1684">
    <cfRule type="expression" dxfId="1908" priority="4001" stopIfTrue="1">
      <formula>ISERROR(E1684)</formula>
    </cfRule>
  </conditionalFormatting>
  <conditionalFormatting sqref="C1685">
    <cfRule type="expression" dxfId="1907" priority="3964" stopIfTrue="1">
      <formula>LEN(TRIM(C1685))=0</formula>
    </cfRule>
  </conditionalFormatting>
  <conditionalFormatting sqref="E1685">
    <cfRule type="expression" dxfId="1906" priority="4000" stopIfTrue="1">
      <formula>ISERROR(E1685)</formula>
    </cfRule>
  </conditionalFormatting>
  <conditionalFormatting sqref="C1686">
    <cfRule type="expression" dxfId="1905" priority="3963" stopIfTrue="1">
      <formula>LEN(TRIM(C1686))=0</formula>
    </cfRule>
  </conditionalFormatting>
  <conditionalFormatting sqref="E1686">
    <cfRule type="expression" dxfId="1904" priority="3999" stopIfTrue="1">
      <formula>ISERROR(E1686)</formula>
    </cfRule>
  </conditionalFormatting>
  <conditionalFormatting sqref="C1687">
    <cfRule type="expression" dxfId="1903" priority="3962" stopIfTrue="1">
      <formula>LEN(TRIM(C1687))=0</formula>
    </cfRule>
  </conditionalFormatting>
  <conditionalFormatting sqref="E1687">
    <cfRule type="expression" dxfId="1902" priority="3998" stopIfTrue="1">
      <formula>ISERROR(E1687)</formula>
    </cfRule>
  </conditionalFormatting>
  <conditionalFormatting sqref="G1687:H1687">
    <cfRule type="expression" dxfId="1901" priority="3980" stopIfTrue="1">
      <formula>LEN(TRIM(G1687))=0</formula>
    </cfRule>
  </conditionalFormatting>
  <conditionalFormatting sqref="C1688">
    <cfRule type="expression" dxfId="1900" priority="3961" stopIfTrue="1">
      <formula>LEN(TRIM(C1688))=0</formula>
    </cfRule>
  </conditionalFormatting>
  <conditionalFormatting sqref="E1688">
    <cfRule type="expression" dxfId="1899" priority="3997" stopIfTrue="1">
      <formula>ISERROR(E1688)</formula>
    </cfRule>
  </conditionalFormatting>
  <conditionalFormatting sqref="G1688:H1688">
    <cfRule type="expression" dxfId="1898" priority="3979" stopIfTrue="1">
      <formula>LEN(TRIM(G1688))=0</formula>
    </cfRule>
  </conditionalFormatting>
  <conditionalFormatting sqref="C1689">
    <cfRule type="expression" dxfId="1897" priority="3960" stopIfTrue="1">
      <formula>LEN(TRIM(C1689))=0</formula>
    </cfRule>
  </conditionalFormatting>
  <conditionalFormatting sqref="E1689">
    <cfRule type="expression" dxfId="1896" priority="3996" stopIfTrue="1">
      <formula>ISERROR(E1689)</formula>
    </cfRule>
  </conditionalFormatting>
  <conditionalFormatting sqref="C1690">
    <cfRule type="expression" dxfId="1895" priority="3959" stopIfTrue="1">
      <formula>LEN(TRIM(C1690))=0</formula>
    </cfRule>
  </conditionalFormatting>
  <conditionalFormatting sqref="E1690">
    <cfRule type="expression" dxfId="1894" priority="3995" stopIfTrue="1">
      <formula>ISERROR(E1690)</formula>
    </cfRule>
  </conditionalFormatting>
  <conditionalFormatting sqref="C1691">
    <cfRule type="expression" dxfId="1893" priority="3958" stopIfTrue="1">
      <formula>LEN(TRIM(C1691))=0</formula>
    </cfRule>
  </conditionalFormatting>
  <conditionalFormatting sqref="E1691">
    <cfRule type="expression" dxfId="1892" priority="3994" stopIfTrue="1">
      <formula>ISERROR(E1691)</formula>
    </cfRule>
  </conditionalFormatting>
  <conditionalFormatting sqref="C1692">
    <cfRule type="expression" dxfId="1891" priority="3957" stopIfTrue="1">
      <formula>LEN(TRIM(C1692))=0</formula>
    </cfRule>
  </conditionalFormatting>
  <conditionalFormatting sqref="E1692">
    <cfRule type="expression" dxfId="1890" priority="3993" stopIfTrue="1">
      <formula>ISERROR(E1692)</formula>
    </cfRule>
  </conditionalFormatting>
  <conditionalFormatting sqref="C1693">
    <cfRule type="expression" dxfId="1889" priority="3956" stopIfTrue="1">
      <formula>LEN(TRIM(C1693))=0</formula>
    </cfRule>
  </conditionalFormatting>
  <conditionalFormatting sqref="E1693">
    <cfRule type="expression" dxfId="1888" priority="3992" stopIfTrue="1">
      <formula>ISERROR(E1693)</formula>
    </cfRule>
  </conditionalFormatting>
  <conditionalFormatting sqref="C1694">
    <cfRule type="expression" dxfId="1887" priority="3955" stopIfTrue="1">
      <formula>LEN(TRIM(C1694))=0</formula>
    </cfRule>
  </conditionalFormatting>
  <conditionalFormatting sqref="E1694">
    <cfRule type="expression" dxfId="1886" priority="3991" stopIfTrue="1">
      <formula>ISERROR(E1694)</formula>
    </cfRule>
  </conditionalFormatting>
  <conditionalFormatting sqref="C1695">
    <cfRule type="expression" dxfId="1885" priority="3954" stopIfTrue="1">
      <formula>LEN(TRIM(C1695))=0</formula>
    </cfRule>
  </conditionalFormatting>
  <conditionalFormatting sqref="E1695">
    <cfRule type="expression" dxfId="1884" priority="3990" stopIfTrue="1">
      <formula>ISERROR(E1695)</formula>
    </cfRule>
  </conditionalFormatting>
  <conditionalFormatting sqref="C1696">
    <cfRule type="expression" dxfId="1883" priority="3953" stopIfTrue="1">
      <formula>LEN(TRIM(C1696))=0</formula>
    </cfRule>
  </conditionalFormatting>
  <conditionalFormatting sqref="E1696">
    <cfRule type="expression" dxfId="1882" priority="3989" stopIfTrue="1">
      <formula>ISERROR(E1696)</formula>
    </cfRule>
  </conditionalFormatting>
  <conditionalFormatting sqref="C1697">
    <cfRule type="expression" dxfId="1881" priority="3952" stopIfTrue="1">
      <formula>LEN(TRIM(C1697))=0</formula>
    </cfRule>
  </conditionalFormatting>
  <conditionalFormatting sqref="E1697">
    <cfRule type="expression" dxfId="1880" priority="3988" stopIfTrue="1">
      <formula>ISERROR(E1697)</formula>
    </cfRule>
  </conditionalFormatting>
  <conditionalFormatting sqref="C1698">
    <cfRule type="expression" dxfId="1879" priority="3951" stopIfTrue="1">
      <formula>LEN(TRIM(C1698))=0</formula>
    </cfRule>
  </conditionalFormatting>
  <conditionalFormatting sqref="E1698">
    <cfRule type="expression" dxfId="1878" priority="3987" stopIfTrue="1">
      <formula>ISERROR(E1698)</formula>
    </cfRule>
  </conditionalFormatting>
  <conditionalFormatting sqref="C1699">
    <cfRule type="expression" dxfId="1877" priority="3930" stopIfTrue="1">
      <formula>LEN(TRIM(C1699))=0</formula>
    </cfRule>
  </conditionalFormatting>
  <conditionalFormatting sqref="E1699">
    <cfRule type="expression" dxfId="1876" priority="3948" stopIfTrue="1">
      <formula>ISERROR(E1699)</formula>
    </cfRule>
  </conditionalFormatting>
  <conditionalFormatting sqref="C1700">
    <cfRule type="expression" dxfId="1875" priority="3929" stopIfTrue="1">
      <formula>LEN(TRIM(C1700))=0</formula>
    </cfRule>
  </conditionalFormatting>
  <conditionalFormatting sqref="E1700">
    <cfRule type="expression" dxfId="1874" priority="3947" stopIfTrue="1">
      <formula>ISERROR(E1700)</formula>
    </cfRule>
  </conditionalFormatting>
  <conditionalFormatting sqref="C1701">
    <cfRule type="expression" dxfId="1873" priority="3928" stopIfTrue="1">
      <formula>LEN(TRIM(C1701))=0</formula>
    </cfRule>
  </conditionalFormatting>
  <conditionalFormatting sqref="E1701">
    <cfRule type="expression" dxfId="1872" priority="3946" stopIfTrue="1">
      <formula>ISERROR(E1701)</formula>
    </cfRule>
  </conditionalFormatting>
  <conditionalFormatting sqref="C1702">
    <cfRule type="expression" dxfId="1871" priority="3927" stopIfTrue="1">
      <formula>LEN(TRIM(C1702))=0</formula>
    </cfRule>
  </conditionalFormatting>
  <conditionalFormatting sqref="E1702">
    <cfRule type="expression" dxfId="1870" priority="3945" stopIfTrue="1">
      <formula>ISERROR(E1702)</formula>
    </cfRule>
  </conditionalFormatting>
  <conditionalFormatting sqref="C1703">
    <cfRule type="expression" dxfId="1869" priority="3926" stopIfTrue="1">
      <formula>LEN(TRIM(C1703))=0</formula>
    </cfRule>
  </conditionalFormatting>
  <conditionalFormatting sqref="E1703">
    <cfRule type="expression" dxfId="1868" priority="3944" stopIfTrue="1">
      <formula>ISERROR(E1703)</formula>
    </cfRule>
  </conditionalFormatting>
  <conditionalFormatting sqref="C1704">
    <cfRule type="expression" dxfId="1867" priority="3925" stopIfTrue="1">
      <formula>LEN(TRIM(C1704))=0</formula>
    </cfRule>
  </conditionalFormatting>
  <conditionalFormatting sqref="E1704">
    <cfRule type="expression" dxfId="1866" priority="3943" stopIfTrue="1">
      <formula>ISERROR(E1704)</formula>
    </cfRule>
  </conditionalFormatting>
  <conditionalFormatting sqref="C1705">
    <cfRule type="expression" dxfId="1865" priority="3924" stopIfTrue="1">
      <formula>LEN(TRIM(C1705))=0</formula>
    </cfRule>
  </conditionalFormatting>
  <conditionalFormatting sqref="E1705">
    <cfRule type="expression" dxfId="1864" priority="3942" stopIfTrue="1">
      <formula>ISERROR(E1705)</formula>
    </cfRule>
  </conditionalFormatting>
  <conditionalFormatting sqref="C1706">
    <cfRule type="expression" dxfId="1863" priority="3923" stopIfTrue="1">
      <formula>LEN(TRIM(C1706))=0</formula>
    </cfRule>
  </conditionalFormatting>
  <conditionalFormatting sqref="E1706">
    <cfRule type="expression" dxfId="1862" priority="3941" stopIfTrue="1">
      <formula>ISERROR(E1706)</formula>
    </cfRule>
  </conditionalFormatting>
  <conditionalFormatting sqref="C1707">
    <cfRule type="expression" dxfId="1861" priority="3922" stopIfTrue="1">
      <formula>LEN(TRIM(C1707))=0</formula>
    </cfRule>
  </conditionalFormatting>
  <conditionalFormatting sqref="C1708">
    <cfRule type="expression" dxfId="1860" priority="3921" stopIfTrue="1">
      <formula>LEN(TRIM(C1708))=0</formula>
    </cfRule>
  </conditionalFormatting>
  <conditionalFormatting sqref="C1711">
    <cfRule type="expression" dxfId="1859" priority="3919" stopIfTrue="1">
      <formula>LEN(TRIM(C1711))=0</formula>
    </cfRule>
  </conditionalFormatting>
  <conditionalFormatting sqref="C1712">
    <cfRule type="expression" dxfId="1858" priority="3918" stopIfTrue="1">
      <formula>LEN(TRIM(C1712))=0</formula>
    </cfRule>
  </conditionalFormatting>
  <conditionalFormatting sqref="C1713">
    <cfRule type="expression" dxfId="1857" priority="3917" stopIfTrue="1">
      <formula>LEN(TRIM(C1713))=0</formula>
    </cfRule>
  </conditionalFormatting>
  <conditionalFormatting sqref="C1714">
    <cfRule type="expression" dxfId="1856" priority="3916" stopIfTrue="1">
      <formula>LEN(TRIM(C1714))=0</formula>
    </cfRule>
  </conditionalFormatting>
  <conditionalFormatting sqref="C1715">
    <cfRule type="expression" dxfId="1855" priority="3915" stopIfTrue="1">
      <formula>LEN(TRIM(C1715))=0</formula>
    </cfRule>
  </conditionalFormatting>
  <conditionalFormatting sqref="C1716">
    <cfRule type="expression" dxfId="1854" priority="3914" stopIfTrue="1">
      <formula>LEN(TRIM(C1716))=0</formula>
    </cfRule>
  </conditionalFormatting>
  <conditionalFormatting sqref="C1721">
    <cfRule type="expression" dxfId="1853" priority="3912" stopIfTrue="1">
      <formula>LEN(TRIM(C1721))=0</formula>
    </cfRule>
  </conditionalFormatting>
  <conditionalFormatting sqref="C1722">
    <cfRule type="expression" dxfId="1852" priority="3911" stopIfTrue="1">
      <formula>LEN(TRIM(C1722))=0</formula>
    </cfRule>
  </conditionalFormatting>
  <conditionalFormatting sqref="C1723">
    <cfRule type="expression" dxfId="1851" priority="3910" stopIfTrue="1">
      <formula>LEN(TRIM(C1723))=0</formula>
    </cfRule>
  </conditionalFormatting>
  <conditionalFormatting sqref="C1724">
    <cfRule type="expression" dxfId="1850" priority="3909" stopIfTrue="1">
      <formula>LEN(TRIM(C1724))=0</formula>
    </cfRule>
  </conditionalFormatting>
  <conditionalFormatting sqref="C1725">
    <cfRule type="expression" dxfId="1849" priority="3908" stopIfTrue="1">
      <formula>LEN(TRIM(C1725))=0</formula>
    </cfRule>
  </conditionalFormatting>
  <conditionalFormatting sqref="C1726">
    <cfRule type="expression" dxfId="1848" priority="3907" stopIfTrue="1">
      <formula>LEN(TRIM(C1726))=0</formula>
    </cfRule>
  </conditionalFormatting>
  <conditionalFormatting sqref="C1727">
    <cfRule type="expression" dxfId="1847" priority="3893" stopIfTrue="1">
      <formula>LEN(TRIM(C1727))=0</formula>
    </cfRule>
  </conditionalFormatting>
  <conditionalFormatting sqref="E1727">
    <cfRule type="expression" dxfId="1846" priority="3905" stopIfTrue="1">
      <formula>ISERROR(E1727)</formula>
    </cfRule>
  </conditionalFormatting>
  <conditionalFormatting sqref="C1728">
    <cfRule type="expression" dxfId="1845" priority="3892" stopIfTrue="1">
      <formula>LEN(TRIM(C1728))=0</formula>
    </cfRule>
  </conditionalFormatting>
  <conditionalFormatting sqref="E1728">
    <cfRule type="expression" dxfId="1844" priority="3904" stopIfTrue="1">
      <formula>ISERROR(E1728)</formula>
    </cfRule>
  </conditionalFormatting>
  <conditionalFormatting sqref="C1729">
    <cfRule type="expression" dxfId="1843" priority="3891" stopIfTrue="1">
      <formula>LEN(TRIM(C1729))=0</formula>
    </cfRule>
  </conditionalFormatting>
  <conditionalFormatting sqref="E1729">
    <cfRule type="expression" dxfId="1842" priority="3903" stopIfTrue="1">
      <formula>ISERROR(E1729)</formula>
    </cfRule>
  </conditionalFormatting>
  <conditionalFormatting sqref="C1730">
    <cfRule type="expression" dxfId="1841" priority="3890" stopIfTrue="1">
      <formula>LEN(TRIM(C1730))=0</formula>
    </cfRule>
  </conditionalFormatting>
  <conditionalFormatting sqref="E1730">
    <cfRule type="expression" dxfId="1840" priority="3902" stopIfTrue="1">
      <formula>ISERROR(E1730)</formula>
    </cfRule>
  </conditionalFormatting>
  <conditionalFormatting sqref="C1731">
    <cfRule type="expression" dxfId="1839" priority="3889" stopIfTrue="1">
      <formula>LEN(TRIM(C1731))=0</formula>
    </cfRule>
  </conditionalFormatting>
  <conditionalFormatting sqref="E1731">
    <cfRule type="expression" dxfId="1838" priority="3901" stopIfTrue="1">
      <formula>ISERROR(E1731)</formula>
    </cfRule>
  </conditionalFormatting>
  <conditionalFormatting sqref="C1732">
    <cfRule type="expression" dxfId="1837" priority="3888" stopIfTrue="1">
      <formula>LEN(TRIM(C1732))=0</formula>
    </cfRule>
  </conditionalFormatting>
  <conditionalFormatting sqref="E1732">
    <cfRule type="expression" dxfId="1836" priority="3900" stopIfTrue="1">
      <formula>ISERROR(E1732)</formula>
    </cfRule>
  </conditionalFormatting>
  <conditionalFormatting sqref="C1733">
    <cfRule type="expression" dxfId="1835" priority="3803" stopIfTrue="1">
      <formula>LEN(TRIM(C1733))=0</formula>
    </cfRule>
  </conditionalFormatting>
  <conditionalFormatting sqref="E1733">
    <cfRule type="expression" dxfId="1834" priority="3887" stopIfTrue="1">
      <formula>ISERROR(E1733)</formula>
    </cfRule>
  </conditionalFormatting>
  <conditionalFormatting sqref="C1734">
    <cfRule type="expression" dxfId="1833" priority="3802" stopIfTrue="1">
      <formula>LEN(TRIM(C1734))=0</formula>
    </cfRule>
  </conditionalFormatting>
  <conditionalFormatting sqref="E1734">
    <cfRule type="expression" dxfId="1832" priority="3886" stopIfTrue="1">
      <formula>ISERROR(E1734)</formula>
    </cfRule>
  </conditionalFormatting>
  <conditionalFormatting sqref="C1735">
    <cfRule type="expression" dxfId="1831" priority="3801" stopIfTrue="1">
      <formula>LEN(TRIM(C1735))=0</formula>
    </cfRule>
  </conditionalFormatting>
  <conditionalFormatting sqref="E1735">
    <cfRule type="expression" dxfId="1830" priority="3885" stopIfTrue="1">
      <formula>ISERROR(E1735)</formula>
    </cfRule>
  </conditionalFormatting>
  <conditionalFormatting sqref="C1736">
    <cfRule type="expression" dxfId="1829" priority="3800" stopIfTrue="1">
      <formula>LEN(TRIM(C1736))=0</formula>
    </cfRule>
  </conditionalFormatting>
  <conditionalFormatting sqref="E1736">
    <cfRule type="expression" dxfId="1828" priority="3884" stopIfTrue="1">
      <formula>ISERROR(E1736)</formula>
    </cfRule>
  </conditionalFormatting>
  <conditionalFormatting sqref="C1737">
    <cfRule type="expression" dxfId="1827" priority="3799" stopIfTrue="1">
      <formula>LEN(TRIM(C1737))=0</formula>
    </cfRule>
  </conditionalFormatting>
  <conditionalFormatting sqref="E1737">
    <cfRule type="expression" dxfId="1826" priority="3883" stopIfTrue="1">
      <formula>ISERROR(E1737)</formula>
    </cfRule>
  </conditionalFormatting>
  <conditionalFormatting sqref="C1738">
    <cfRule type="expression" dxfId="1825" priority="3798" stopIfTrue="1">
      <formula>LEN(TRIM(C1738))=0</formula>
    </cfRule>
  </conditionalFormatting>
  <conditionalFormatting sqref="E1738">
    <cfRule type="expression" dxfId="1824" priority="3882" stopIfTrue="1">
      <formula>ISERROR(E1738)</formula>
    </cfRule>
  </conditionalFormatting>
  <conditionalFormatting sqref="C1739">
    <cfRule type="expression" dxfId="1823" priority="3797" stopIfTrue="1">
      <formula>LEN(TRIM(C1739))=0</formula>
    </cfRule>
  </conditionalFormatting>
  <conditionalFormatting sqref="E1739">
    <cfRule type="expression" dxfId="1822" priority="3881" stopIfTrue="1">
      <formula>ISERROR(E1739)</formula>
    </cfRule>
  </conditionalFormatting>
  <conditionalFormatting sqref="C1740">
    <cfRule type="expression" dxfId="1821" priority="3796" stopIfTrue="1">
      <formula>LEN(TRIM(C1740))=0</formula>
    </cfRule>
  </conditionalFormatting>
  <conditionalFormatting sqref="E1740">
    <cfRule type="expression" dxfId="1820" priority="3880" stopIfTrue="1">
      <formula>ISERROR(E1740)</formula>
    </cfRule>
  </conditionalFormatting>
  <conditionalFormatting sqref="C1741">
    <cfRule type="expression" dxfId="1819" priority="3795" stopIfTrue="1">
      <formula>LEN(TRIM(C1741))=0</formula>
    </cfRule>
  </conditionalFormatting>
  <conditionalFormatting sqref="E1741">
    <cfRule type="expression" dxfId="1818" priority="3879" stopIfTrue="1">
      <formula>ISERROR(E1741)</formula>
    </cfRule>
  </conditionalFormatting>
  <conditionalFormatting sqref="C1742">
    <cfRule type="expression" dxfId="1817" priority="3794" stopIfTrue="1">
      <formula>LEN(TRIM(C1742))=0</formula>
    </cfRule>
  </conditionalFormatting>
  <conditionalFormatting sqref="E1742">
    <cfRule type="expression" dxfId="1816" priority="3878" stopIfTrue="1">
      <formula>ISERROR(E1742)</formula>
    </cfRule>
  </conditionalFormatting>
  <conditionalFormatting sqref="C1743">
    <cfRule type="expression" dxfId="1815" priority="3793" stopIfTrue="1">
      <formula>LEN(TRIM(C1743))=0</formula>
    </cfRule>
  </conditionalFormatting>
  <conditionalFormatting sqref="E1743">
    <cfRule type="expression" dxfId="1814" priority="3877" stopIfTrue="1">
      <formula>ISERROR(E1743)</formula>
    </cfRule>
  </conditionalFormatting>
  <conditionalFormatting sqref="C1744">
    <cfRule type="expression" dxfId="1813" priority="3792" stopIfTrue="1">
      <formula>LEN(TRIM(C1744))=0</formula>
    </cfRule>
  </conditionalFormatting>
  <conditionalFormatting sqref="E1744">
    <cfRule type="expression" dxfId="1812" priority="3876" stopIfTrue="1">
      <formula>ISERROR(E1744)</formula>
    </cfRule>
  </conditionalFormatting>
  <conditionalFormatting sqref="C1745">
    <cfRule type="expression" dxfId="1811" priority="3791" stopIfTrue="1">
      <formula>LEN(TRIM(C1745))=0</formula>
    </cfRule>
  </conditionalFormatting>
  <conditionalFormatting sqref="E1745">
    <cfRule type="expression" dxfId="1810" priority="3875" stopIfTrue="1">
      <formula>ISERROR(E1745)</formula>
    </cfRule>
  </conditionalFormatting>
  <conditionalFormatting sqref="C1746">
    <cfRule type="expression" dxfId="1809" priority="3790" stopIfTrue="1">
      <formula>LEN(TRIM(C1746))=0</formula>
    </cfRule>
  </conditionalFormatting>
  <conditionalFormatting sqref="E1746">
    <cfRule type="expression" dxfId="1808" priority="3874" stopIfTrue="1">
      <formula>ISERROR(E1746)</formula>
    </cfRule>
  </conditionalFormatting>
  <conditionalFormatting sqref="C1747">
    <cfRule type="expression" dxfId="1807" priority="3789" stopIfTrue="1">
      <formula>LEN(TRIM(C1747))=0</formula>
    </cfRule>
  </conditionalFormatting>
  <conditionalFormatting sqref="E1747">
    <cfRule type="expression" dxfId="1806" priority="3873" stopIfTrue="1">
      <formula>ISERROR(E1747)</formula>
    </cfRule>
  </conditionalFormatting>
  <conditionalFormatting sqref="C1748">
    <cfRule type="expression" dxfId="1805" priority="3788" stopIfTrue="1">
      <formula>LEN(TRIM(C1748))=0</formula>
    </cfRule>
  </conditionalFormatting>
  <conditionalFormatting sqref="E1748">
    <cfRule type="expression" dxfId="1804" priority="3872" stopIfTrue="1">
      <formula>ISERROR(E1748)</formula>
    </cfRule>
  </conditionalFormatting>
  <conditionalFormatting sqref="C1749">
    <cfRule type="expression" dxfId="1803" priority="3787" stopIfTrue="1">
      <formula>LEN(TRIM(C1749))=0</formula>
    </cfRule>
  </conditionalFormatting>
  <conditionalFormatting sqref="E1749">
    <cfRule type="expression" dxfId="1802" priority="3871" stopIfTrue="1">
      <formula>ISERROR(E1749)</formula>
    </cfRule>
  </conditionalFormatting>
  <conditionalFormatting sqref="C1750">
    <cfRule type="expression" dxfId="1801" priority="3786" stopIfTrue="1">
      <formula>LEN(TRIM(C1750))=0</formula>
    </cfRule>
  </conditionalFormatting>
  <conditionalFormatting sqref="E1750">
    <cfRule type="expression" dxfId="1800" priority="3870" stopIfTrue="1">
      <formula>ISERROR(E1750)</formula>
    </cfRule>
  </conditionalFormatting>
  <conditionalFormatting sqref="C1751">
    <cfRule type="expression" dxfId="1799" priority="3785" stopIfTrue="1">
      <formula>LEN(TRIM(C1751))=0</formula>
    </cfRule>
  </conditionalFormatting>
  <conditionalFormatting sqref="E1751">
    <cfRule type="expression" dxfId="1798" priority="3869" stopIfTrue="1">
      <formula>ISERROR(E1751)</formula>
    </cfRule>
  </conditionalFormatting>
  <conditionalFormatting sqref="C1752">
    <cfRule type="expression" dxfId="1797" priority="3784" stopIfTrue="1">
      <formula>LEN(TRIM(C1752))=0</formula>
    </cfRule>
  </conditionalFormatting>
  <conditionalFormatting sqref="E1752">
    <cfRule type="expression" dxfId="1796" priority="3868" stopIfTrue="1">
      <formula>ISERROR(E1752)</formula>
    </cfRule>
  </conditionalFormatting>
  <conditionalFormatting sqref="G1752:H1752">
    <cfRule type="expression" dxfId="1795" priority="3826" stopIfTrue="1">
      <formula>LEN(TRIM(G1752))=0</formula>
    </cfRule>
  </conditionalFormatting>
  <conditionalFormatting sqref="C1753">
    <cfRule type="expression" dxfId="1794" priority="3783" stopIfTrue="1">
      <formula>LEN(TRIM(C1753))=0</formula>
    </cfRule>
  </conditionalFormatting>
  <conditionalFormatting sqref="E1753">
    <cfRule type="expression" dxfId="1793" priority="3867" stopIfTrue="1">
      <formula>ISERROR(E1753)</formula>
    </cfRule>
  </conditionalFormatting>
  <conditionalFormatting sqref="E1754">
    <cfRule type="expression" dxfId="1792" priority="3866" stopIfTrue="1">
      <formula>ISERROR(E1754)</formula>
    </cfRule>
  </conditionalFormatting>
  <conditionalFormatting sqref="E1755">
    <cfRule type="expression" dxfId="1791" priority="3865" stopIfTrue="1">
      <formula>ISERROR(E1755)</formula>
    </cfRule>
  </conditionalFormatting>
  <conditionalFormatting sqref="G1755">
    <cfRule type="expression" dxfId="1790" priority="3823" stopIfTrue="1">
      <formula>LEN(TRIM(G1755))=0</formula>
    </cfRule>
  </conditionalFormatting>
  <conditionalFormatting sqref="C1756">
    <cfRule type="expression" dxfId="1789" priority="3781" stopIfTrue="1">
      <formula>LEN(TRIM(C1756))=0</formula>
    </cfRule>
  </conditionalFormatting>
  <conditionalFormatting sqref="E1756">
    <cfRule type="expression" dxfId="1788" priority="3864" stopIfTrue="1">
      <formula>ISERROR(E1756)</formula>
    </cfRule>
  </conditionalFormatting>
  <conditionalFormatting sqref="C1757">
    <cfRule type="expression" dxfId="1787" priority="3780" stopIfTrue="1">
      <formula>LEN(TRIM(C1757))=0</formula>
    </cfRule>
  </conditionalFormatting>
  <conditionalFormatting sqref="E1757">
    <cfRule type="expression" dxfId="1786" priority="3863" stopIfTrue="1">
      <formula>ISERROR(E1757)</formula>
    </cfRule>
  </conditionalFormatting>
  <conditionalFormatting sqref="C1758">
    <cfRule type="expression" dxfId="1785" priority="3779" stopIfTrue="1">
      <formula>LEN(TRIM(C1758))=0</formula>
    </cfRule>
  </conditionalFormatting>
  <conditionalFormatting sqref="E1758">
    <cfRule type="expression" dxfId="1784" priority="3862" stopIfTrue="1">
      <formula>ISERROR(E1758)</formula>
    </cfRule>
  </conditionalFormatting>
  <conditionalFormatting sqref="C1759">
    <cfRule type="expression" dxfId="1783" priority="3778" stopIfTrue="1">
      <formula>LEN(TRIM(C1759))=0</formula>
    </cfRule>
  </conditionalFormatting>
  <conditionalFormatting sqref="E1759">
    <cfRule type="expression" dxfId="1782" priority="3861" stopIfTrue="1">
      <formula>ISERROR(E1759)</formula>
    </cfRule>
  </conditionalFormatting>
  <conditionalFormatting sqref="C1760">
    <cfRule type="expression" dxfId="1781" priority="3777" stopIfTrue="1">
      <formula>LEN(TRIM(C1760))=0</formula>
    </cfRule>
  </conditionalFormatting>
  <conditionalFormatting sqref="E1760">
    <cfRule type="expression" dxfId="1780" priority="3860" stopIfTrue="1">
      <formula>ISERROR(E1760)</formula>
    </cfRule>
  </conditionalFormatting>
  <conditionalFormatting sqref="C1761">
    <cfRule type="expression" dxfId="1779" priority="3776" stopIfTrue="1">
      <formula>LEN(TRIM(C1761))=0</formula>
    </cfRule>
  </conditionalFormatting>
  <conditionalFormatting sqref="E1761">
    <cfRule type="expression" dxfId="1778" priority="3859" stopIfTrue="1">
      <formula>ISERROR(E1761)</formula>
    </cfRule>
  </conditionalFormatting>
  <conditionalFormatting sqref="C1762">
    <cfRule type="expression" dxfId="1777" priority="3775" stopIfTrue="1">
      <formula>LEN(TRIM(C1762))=0</formula>
    </cfRule>
  </conditionalFormatting>
  <conditionalFormatting sqref="E1762">
    <cfRule type="expression" dxfId="1776" priority="3858" stopIfTrue="1">
      <formula>ISERROR(E1762)</formula>
    </cfRule>
  </conditionalFormatting>
  <conditionalFormatting sqref="C1763">
    <cfRule type="expression" dxfId="1775" priority="3774" stopIfTrue="1">
      <formula>LEN(TRIM(C1763))=0</formula>
    </cfRule>
  </conditionalFormatting>
  <conditionalFormatting sqref="E1763">
    <cfRule type="expression" dxfId="1774" priority="3857" stopIfTrue="1">
      <formula>ISERROR(E1763)</formula>
    </cfRule>
  </conditionalFormatting>
  <conditionalFormatting sqref="C1764">
    <cfRule type="expression" dxfId="1773" priority="3773" stopIfTrue="1">
      <formula>LEN(TRIM(C1764))=0</formula>
    </cfRule>
  </conditionalFormatting>
  <conditionalFormatting sqref="E1764">
    <cfRule type="expression" dxfId="1772" priority="3856" stopIfTrue="1">
      <formula>ISERROR(E1764)</formula>
    </cfRule>
  </conditionalFormatting>
  <conditionalFormatting sqref="C1765">
    <cfRule type="expression" dxfId="1771" priority="3772" stopIfTrue="1">
      <formula>LEN(TRIM(C1765))=0</formula>
    </cfRule>
  </conditionalFormatting>
  <conditionalFormatting sqref="E1765">
    <cfRule type="expression" dxfId="1770" priority="3855" stopIfTrue="1">
      <formula>ISERROR(E1765)</formula>
    </cfRule>
  </conditionalFormatting>
  <conditionalFormatting sqref="C1766">
    <cfRule type="expression" dxfId="1769" priority="3771" stopIfTrue="1">
      <formula>LEN(TRIM(C1766))=0</formula>
    </cfRule>
  </conditionalFormatting>
  <conditionalFormatting sqref="E1766">
    <cfRule type="expression" dxfId="1768" priority="3854" stopIfTrue="1">
      <formula>ISERROR(E1766)</formula>
    </cfRule>
  </conditionalFormatting>
  <conditionalFormatting sqref="C1767">
    <cfRule type="expression" dxfId="1767" priority="3770" stopIfTrue="1">
      <formula>LEN(TRIM(C1767))=0</formula>
    </cfRule>
  </conditionalFormatting>
  <conditionalFormatting sqref="E1767">
    <cfRule type="expression" dxfId="1766" priority="3853" stopIfTrue="1">
      <formula>ISERROR(E1767)</formula>
    </cfRule>
  </conditionalFormatting>
  <conditionalFormatting sqref="C1768">
    <cfRule type="expression" dxfId="1765" priority="3769" stopIfTrue="1">
      <formula>LEN(TRIM(C1768))=0</formula>
    </cfRule>
  </conditionalFormatting>
  <conditionalFormatting sqref="E1768">
    <cfRule type="expression" dxfId="1764" priority="3852" stopIfTrue="1">
      <formula>ISERROR(E1768)</formula>
    </cfRule>
  </conditionalFormatting>
  <conditionalFormatting sqref="C1769">
    <cfRule type="expression" dxfId="1763" priority="3768" stopIfTrue="1">
      <formula>LEN(TRIM(C1769))=0</formula>
    </cfRule>
  </conditionalFormatting>
  <conditionalFormatting sqref="E1769">
    <cfRule type="expression" dxfId="1762" priority="3851" stopIfTrue="1">
      <formula>ISERROR(E1769)</formula>
    </cfRule>
  </conditionalFormatting>
  <conditionalFormatting sqref="C1770">
    <cfRule type="expression" dxfId="1761" priority="3767" stopIfTrue="1">
      <formula>LEN(TRIM(C1770))=0</formula>
    </cfRule>
  </conditionalFormatting>
  <conditionalFormatting sqref="E1770">
    <cfRule type="expression" dxfId="1760" priority="3850" stopIfTrue="1">
      <formula>ISERROR(E1770)</formula>
    </cfRule>
  </conditionalFormatting>
  <conditionalFormatting sqref="C1771">
    <cfRule type="expression" dxfId="1759" priority="3766" stopIfTrue="1">
      <formula>LEN(TRIM(C1771))=0</formula>
    </cfRule>
  </conditionalFormatting>
  <conditionalFormatting sqref="E1771">
    <cfRule type="expression" dxfId="1758" priority="3849" stopIfTrue="1">
      <formula>ISERROR(E1771)</formula>
    </cfRule>
  </conditionalFormatting>
  <conditionalFormatting sqref="G1771:H1771">
    <cfRule type="expression" dxfId="1757" priority="3807" stopIfTrue="1">
      <formula>LEN(TRIM(G1771))=0</formula>
    </cfRule>
  </conditionalFormatting>
  <conditionalFormatting sqref="C1772">
    <cfRule type="expression" dxfId="1756" priority="3765" stopIfTrue="1">
      <formula>LEN(TRIM(C1772))=0</formula>
    </cfRule>
  </conditionalFormatting>
  <conditionalFormatting sqref="E1772">
    <cfRule type="expression" dxfId="1755" priority="3848" stopIfTrue="1">
      <formula>ISERROR(E1772)</formula>
    </cfRule>
  </conditionalFormatting>
  <conditionalFormatting sqref="C1773">
    <cfRule type="expression" dxfId="1754" priority="3764" stopIfTrue="1">
      <formula>LEN(TRIM(C1773))=0</formula>
    </cfRule>
  </conditionalFormatting>
  <conditionalFormatting sqref="E1773">
    <cfRule type="expression" dxfId="1753" priority="3847" stopIfTrue="1">
      <formula>ISERROR(E1773)</formula>
    </cfRule>
  </conditionalFormatting>
  <conditionalFormatting sqref="C1774">
    <cfRule type="expression" dxfId="1752" priority="3763" stopIfTrue="1">
      <formula>LEN(TRIM(C1774))=0</formula>
    </cfRule>
  </conditionalFormatting>
  <conditionalFormatting sqref="E1774">
    <cfRule type="expression" dxfId="1751" priority="3846" stopIfTrue="1">
      <formula>ISERROR(E1774)</formula>
    </cfRule>
  </conditionalFormatting>
  <conditionalFormatting sqref="C1775">
    <cfRule type="expression" dxfId="1750" priority="3748" stopIfTrue="1">
      <formula>LEN(TRIM(C1775))=0</formula>
    </cfRule>
  </conditionalFormatting>
  <conditionalFormatting sqref="E1775">
    <cfRule type="expression" dxfId="1749" priority="3762" stopIfTrue="1">
      <formula>ISERROR(E1775)</formula>
    </cfRule>
  </conditionalFormatting>
  <conditionalFormatting sqref="C1776">
    <cfRule type="expression" dxfId="1748" priority="3747" stopIfTrue="1">
      <formula>LEN(TRIM(C1776))=0</formula>
    </cfRule>
  </conditionalFormatting>
  <conditionalFormatting sqref="E1776">
    <cfRule type="expression" dxfId="1747" priority="3761" stopIfTrue="1">
      <formula>ISERROR(E1776)</formula>
    </cfRule>
  </conditionalFormatting>
  <conditionalFormatting sqref="C1777">
    <cfRule type="expression" dxfId="1746" priority="3746" stopIfTrue="1">
      <formula>LEN(TRIM(C1777))=0</formula>
    </cfRule>
  </conditionalFormatting>
  <conditionalFormatting sqref="E1777">
    <cfRule type="expression" dxfId="1745" priority="3760" stopIfTrue="1">
      <formula>ISERROR(E1777)</formula>
    </cfRule>
  </conditionalFormatting>
  <conditionalFormatting sqref="C1778">
    <cfRule type="expression" dxfId="1744" priority="3745" stopIfTrue="1">
      <formula>LEN(TRIM(C1778))=0</formula>
    </cfRule>
  </conditionalFormatting>
  <conditionalFormatting sqref="E1778">
    <cfRule type="expression" dxfId="1743" priority="3759" stopIfTrue="1">
      <formula>ISERROR(E1778)</formula>
    </cfRule>
  </conditionalFormatting>
  <conditionalFormatting sqref="H1778">
    <cfRule type="expression" dxfId="1742" priority="3752" stopIfTrue="1">
      <formula>LEN(TRIM(H1778))=0</formula>
    </cfRule>
  </conditionalFormatting>
  <conditionalFormatting sqref="C1779">
    <cfRule type="expression" dxfId="1741" priority="3744" stopIfTrue="1">
      <formula>LEN(TRIM(C1779))=0</formula>
    </cfRule>
  </conditionalFormatting>
  <conditionalFormatting sqref="E1779">
    <cfRule type="expression" dxfId="1740" priority="3758" stopIfTrue="1">
      <formula>ISERROR(E1779)</formula>
    </cfRule>
  </conditionalFormatting>
  <conditionalFormatting sqref="C1780">
    <cfRule type="expression" dxfId="1739" priority="3743" stopIfTrue="1">
      <formula>LEN(TRIM(C1780))=0</formula>
    </cfRule>
  </conditionalFormatting>
  <conditionalFormatting sqref="E1780">
    <cfRule type="expression" dxfId="1738" priority="3757" stopIfTrue="1">
      <formula>ISERROR(E1780)</formula>
    </cfRule>
  </conditionalFormatting>
  <conditionalFormatting sqref="C1781">
    <cfRule type="expression" dxfId="1737" priority="3742" stopIfTrue="1">
      <formula>LEN(TRIM(C1781))=0</formula>
    </cfRule>
  </conditionalFormatting>
  <conditionalFormatting sqref="C1784">
    <cfRule type="expression" dxfId="1736" priority="3740" stopIfTrue="1">
      <formula>LEN(TRIM(C1784))=0</formula>
    </cfRule>
  </conditionalFormatting>
  <conditionalFormatting sqref="C1785">
    <cfRule type="expression" dxfId="1735" priority="3739" stopIfTrue="1">
      <formula>LEN(TRIM(C1785))=0</formula>
    </cfRule>
  </conditionalFormatting>
  <conditionalFormatting sqref="C1786">
    <cfRule type="expression" dxfId="1734" priority="3738" stopIfTrue="1">
      <formula>LEN(TRIM(C1786))=0</formula>
    </cfRule>
  </conditionalFormatting>
  <conditionalFormatting sqref="C1787">
    <cfRule type="expression" dxfId="1733" priority="3737" stopIfTrue="1">
      <formula>LEN(TRIM(C1787))=0</formula>
    </cfRule>
  </conditionalFormatting>
  <conditionalFormatting sqref="C1788">
    <cfRule type="expression" dxfId="1732" priority="3736" stopIfTrue="1">
      <formula>LEN(TRIM(C1788))=0</formula>
    </cfRule>
  </conditionalFormatting>
  <conditionalFormatting sqref="C1789">
    <cfRule type="expression" dxfId="1731" priority="3735" stopIfTrue="1">
      <formula>LEN(TRIM(C1789))=0</formula>
    </cfRule>
  </conditionalFormatting>
  <conditionalFormatting sqref="C1790">
    <cfRule type="expression" dxfId="1730" priority="3734" stopIfTrue="1">
      <formula>LEN(TRIM(C1790))=0</formula>
    </cfRule>
  </conditionalFormatting>
  <conditionalFormatting sqref="C1791">
    <cfRule type="expression" dxfId="1729" priority="3733" stopIfTrue="1">
      <formula>LEN(TRIM(C1791))=0</formula>
    </cfRule>
  </conditionalFormatting>
  <conditionalFormatting sqref="C1792">
    <cfRule type="expression" dxfId="1728" priority="3732" stopIfTrue="1">
      <formula>LEN(TRIM(C1792))=0</formula>
    </cfRule>
  </conditionalFormatting>
  <conditionalFormatting sqref="C1793">
    <cfRule type="expression" dxfId="1727" priority="3731" stopIfTrue="1">
      <formula>LEN(TRIM(C1793))=0</formula>
    </cfRule>
  </conditionalFormatting>
  <conditionalFormatting sqref="C1794">
    <cfRule type="expression" dxfId="1726" priority="3720" stopIfTrue="1">
      <formula>LEN(TRIM(C1794))=0</formula>
    </cfRule>
  </conditionalFormatting>
  <conditionalFormatting sqref="N1794">
    <cfRule type="expression" dxfId="1725" priority="3718" stopIfTrue="1">
      <formula>LEN(TRIM(N1794))=0</formula>
    </cfRule>
  </conditionalFormatting>
  <conditionalFormatting sqref="C1795">
    <cfRule type="expression" dxfId="1724" priority="3719" stopIfTrue="1">
      <formula>LEN(TRIM(C1795))=0</formula>
    </cfRule>
  </conditionalFormatting>
  <conditionalFormatting sqref="C1796">
    <cfRule type="expression" dxfId="1723" priority="3730" stopIfTrue="1">
      <formula>LEN(TRIM(C1796))=0</formula>
    </cfRule>
  </conditionalFormatting>
  <conditionalFormatting sqref="C1797">
    <cfRule type="expression" dxfId="1722" priority="3729" stopIfTrue="1">
      <formula>LEN(TRIM(C1797))=0</formula>
    </cfRule>
  </conditionalFormatting>
  <conditionalFormatting sqref="C1798">
    <cfRule type="expression" dxfId="1721" priority="3728" stopIfTrue="1">
      <formula>LEN(TRIM(C1798))=0</formula>
    </cfRule>
  </conditionalFormatting>
  <conditionalFormatting sqref="C1799">
    <cfRule type="expression" dxfId="1720" priority="3727" stopIfTrue="1">
      <formula>LEN(TRIM(C1799))=0</formula>
    </cfRule>
  </conditionalFormatting>
  <conditionalFormatting sqref="C1800">
    <cfRule type="expression" dxfId="1719" priority="3726" stopIfTrue="1">
      <formula>LEN(TRIM(C1800))=0</formula>
    </cfRule>
  </conditionalFormatting>
  <conditionalFormatting sqref="C1801">
    <cfRule type="expression" dxfId="1718" priority="3725" stopIfTrue="1">
      <formula>LEN(TRIM(C1801))=0</formula>
    </cfRule>
  </conditionalFormatting>
  <conditionalFormatting sqref="C1802">
    <cfRule type="expression" dxfId="1717" priority="3724" stopIfTrue="1">
      <formula>LEN(TRIM(C1802))=0</formula>
    </cfRule>
  </conditionalFormatting>
  <conditionalFormatting sqref="C1803">
    <cfRule type="expression" dxfId="1716" priority="3723" stopIfTrue="1">
      <formula>LEN(TRIM(C1803))=0</formula>
    </cfRule>
  </conditionalFormatting>
  <conditionalFormatting sqref="C1804">
    <cfRule type="expression" dxfId="1715" priority="3722" stopIfTrue="1">
      <formula>LEN(TRIM(C1804))=0</formula>
    </cfRule>
  </conditionalFormatting>
  <conditionalFormatting sqref="C1805">
    <cfRule type="expression" dxfId="1714" priority="3721" stopIfTrue="1">
      <formula>LEN(TRIM(C1805))=0</formula>
    </cfRule>
  </conditionalFormatting>
  <conditionalFormatting sqref="C1806">
    <cfRule type="expression" dxfId="1713" priority="3712" stopIfTrue="1">
      <formula>LEN(TRIM(C1806))=0</formula>
    </cfRule>
  </conditionalFormatting>
  <conditionalFormatting sqref="C1807">
    <cfRule type="expression" dxfId="1712" priority="3711" stopIfTrue="1">
      <formula>LEN(TRIM(C1807))=0</formula>
    </cfRule>
  </conditionalFormatting>
  <conditionalFormatting sqref="C1808">
    <cfRule type="expression" dxfId="1711" priority="3710" stopIfTrue="1">
      <formula>LEN(TRIM(C1808))=0</formula>
    </cfRule>
  </conditionalFormatting>
  <conditionalFormatting sqref="C1809">
    <cfRule type="expression" dxfId="1710" priority="3709" stopIfTrue="1">
      <formula>LEN(TRIM(C1809))=0</formula>
    </cfRule>
  </conditionalFormatting>
  <conditionalFormatting sqref="C1810">
    <cfRule type="expression" dxfId="1709" priority="3708" stopIfTrue="1">
      <formula>LEN(TRIM(C1810))=0</formula>
    </cfRule>
  </conditionalFormatting>
  <conditionalFormatting sqref="C1811">
    <cfRule type="expression" dxfId="1708" priority="3707" stopIfTrue="1">
      <formula>LEN(TRIM(C1811))=0</formula>
    </cfRule>
  </conditionalFormatting>
  <conditionalFormatting sqref="C1812">
    <cfRule type="expression" dxfId="1707" priority="3706" stopIfTrue="1">
      <formula>LEN(TRIM(C1812))=0</formula>
    </cfRule>
  </conditionalFormatting>
  <conditionalFormatting sqref="C1813">
    <cfRule type="expression" dxfId="1706" priority="3705" stopIfTrue="1">
      <formula>LEN(TRIM(C1813))=0</formula>
    </cfRule>
  </conditionalFormatting>
  <conditionalFormatting sqref="C1814">
    <cfRule type="expression" dxfId="1705" priority="3704" stopIfTrue="1">
      <formula>LEN(TRIM(C1814))=0</formula>
    </cfRule>
  </conditionalFormatting>
  <conditionalFormatting sqref="C1815">
    <cfRule type="expression" dxfId="1704" priority="3703" stopIfTrue="1">
      <formula>LEN(TRIM(C1815))=0</formula>
    </cfRule>
  </conditionalFormatting>
  <conditionalFormatting sqref="C1816">
    <cfRule type="expression" dxfId="1703" priority="3702" stopIfTrue="1">
      <formula>LEN(TRIM(C1816))=0</formula>
    </cfRule>
  </conditionalFormatting>
  <conditionalFormatting sqref="C1817">
    <cfRule type="expression" dxfId="1702" priority="3701" stopIfTrue="1">
      <formula>LEN(TRIM(C1817))=0</formula>
    </cfRule>
  </conditionalFormatting>
  <conditionalFormatting sqref="C1818">
    <cfRule type="expression" dxfId="1701" priority="3700" stopIfTrue="1">
      <formula>LEN(TRIM(C1818))=0</formula>
    </cfRule>
  </conditionalFormatting>
  <conditionalFormatting sqref="C1819">
    <cfRule type="expression" dxfId="1700" priority="3646" stopIfTrue="1">
      <formula>LEN(TRIM(C1819))=0</formula>
    </cfRule>
  </conditionalFormatting>
  <conditionalFormatting sqref="E1819">
    <cfRule type="expression" dxfId="1699" priority="3699" stopIfTrue="1">
      <formula>ISERROR(E1819)</formula>
    </cfRule>
  </conditionalFormatting>
  <conditionalFormatting sqref="C1820">
    <cfRule type="expression" dxfId="1698" priority="3645" stopIfTrue="1">
      <formula>LEN(TRIM(C1820))=0</formula>
    </cfRule>
  </conditionalFormatting>
  <conditionalFormatting sqref="E1820">
    <cfRule type="expression" dxfId="1697" priority="3698" stopIfTrue="1">
      <formula>ISERROR(E1820)</formula>
    </cfRule>
  </conditionalFormatting>
  <conditionalFormatting sqref="C1821">
    <cfRule type="expression" dxfId="1696" priority="3644" stopIfTrue="1">
      <formula>LEN(TRIM(C1821))=0</formula>
    </cfRule>
  </conditionalFormatting>
  <conditionalFormatting sqref="E1821">
    <cfRule type="expression" dxfId="1695" priority="3697" stopIfTrue="1">
      <formula>ISERROR(E1821)</formula>
    </cfRule>
  </conditionalFormatting>
  <conditionalFormatting sqref="C1822">
    <cfRule type="expression" dxfId="1694" priority="3643" stopIfTrue="1">
      <formula>LEN(TRIM(C1822))=0</formula>
    </cfRule>
  </conditionalFormatting>
  <conditionalFormatting sqref="E1822">
    <cfRule type="expression" dxfId="1693" priority="3696" stopIfTrue="1">
      <formula>ISERROR(E1822)</formula>
    </cfRule>
  </conditionalFormatting>
  <conditionalFormatting sqref="C1823">
    <cfRule type="expression" dxfId="1692" priority="3642" stopIfTrue="1">
      <formula>LEN(TRIM(C1823))=0</formula>
    </cfRule>
  </conditionalFormatting>
  <conditionalFormatting sqref="E1823">
    <cfRule type="expression" dxfId="1691" priority="3695" stopIfTrue="1">
      <formula>ISERROR(E1823)</formula>
    </cfRule>
  </conditionalFormatting>
  <conditionalFormatting sqref="C1824">
    <cfRule type="expression" dxfId="1690" priority="3641" stopIfTrue="1">
      <formula>LEN(TRIM(C1824))=0</formula>
    </cfRule>
  </conditionalFormatting>
  <conditionalFormatting sqref="E1824">
    <cfRule type="expression" dxfId="1689" priority="3694" stopIfTrue="1">
      <formula>ISERROR(E1824)</formula>
    </cfRule>
  </conditionalFormatting>
  <conditionalFormatting sqref="C1825">
    <cfRule type="expression" dxfId="1688" priority="3640" stopIfTrue="1">
      <formula>LEN(TRIM(C1825))=0</formula>
    </cfRule>
  </conditionalFormatting>
  <conditionalFormatting sqref="E1825">
    <cfRule type="expression" dxfId="1687" priority="3693" stopIfTrue="1">
      <formula>ISERROR(E1825)</formula>
    </cfRule>
  </conditionalFormatting>
  <conditionalFormatting sqref="C1826">
    <cfRule type="expression" dxfId="1686" priority="3639" stopIfTrue="1">
      <formula>LEN(TRIM(C1826))=0</formula>
    </cfRule>
  </conditionalFormatting>
  <conditionalFormatting sqref="E1826">
    <cfRule type="expression" dxfId="1685" priority="3692" stopIfTrue="1">
      <formula>ISERROR(E1826)</formula>
    </cfRule>
  </conditionalFormatting>
  <conditionalFormatting sqref="C1827">
    <cfRule type="expression" dxfId="1684" priority="3638" stopIfTrue="1">
      <formula>LEN(TRIM(C1827))=0</formula>
    </cfRule>
  </conditionalFormatting>
  <conditionalFormatting sqref="E1827">
    <cfRule type="expression" dxfId="1683" priority="3691" stopIfTrue="1">
      <formula>ISERROR(E1827)</formula>
    </cfRule>
  </conditionalFormatting>
  <conditionalFormatting sqref="C1828">
    <cfRule type="expression" dxfId="1682" priority="3637" stopIfTrue="1">
      <formula>LEN(TRIM(C1828))=0</formula>
    </cfRule>
  </conditionalFormatting>
  <conditionalFormatting sqref="E1828">
    <cfRule type="expression" dxfId="1681" priority="3690" stopIfTrue="1">
      <formula>ISERROR(E1828)</formula>
    </cfRule>
  </conditionalFormatting>
  <conditionalFormatting sqref="C1829">
    <cfRule type="expression" dxfId="1680" priority="3636" stopIfTrue="1">
      <formula>LEN(TRIM(C1829))=0</formula>
    </cfRule>
  </conditionalFormatting>
  <conditionalFormatting sqref="E1829">
    <cfRule type="expression" dxfId="1679" priority="3689" stopIfTrue="1">
      <formula>ISERROR(E1829)</formula>
    </cfRule>
  </conditionalFormatting>
  <conditionalFormatting sqref="C1830">
    <cfRule type="expression" dxfId="1678" priority="3635" stopIfTrue="1">
      <formula>LEN(TRIM(C1830))=0</formula>
    </cfRule>
  </conditionalFormatting>
  <conditionalFormatting sqref="E1830">
    <cfRule type="expression" dxfId="1677" priority="3688" stopIfTrue="1">
      <formula>ISERROR(E1830)</formula>
    </cfRule>
  </conditionalFormatting>
  <conditionalFormatting sqref="C1831">
    <cfRule type="expression" dxfId="1676" priority="3634" stopIfTrue="1">
      <formula>LEN(TRIM(C1831))=0</formula>
    </cfRule>
  </conditionalFormatting>
  <conditionalFormatting sqref="E1831">
    <cfRule type="expression" dxfId="1675" priority="3687" stopIfTrue="1">
      <formula>ISERROR(E1831)</formula>
    </cfRule>
  </conditionalFormatting>
  <conditionalFormatting sqref="E1832">
    <cfRule type="expression" dxfId="1674" priority="3686" stopIfTrue="1">
      <formula>ISERROR(E1832)</formula>
    </cfRule>
  </conditionalFormatting>
  <conditionalFormatting sqref="E1833">
    <cfRule type="expression" dxfId="1673" priority="3685" stopIfTrue="1">
      <formula>ISERROR(E1833)</formula>
    </cfRule>
  </conditionalFormatting>
  <conditionalFormatting sqref="C1834">
    <cfRule type="expression" dxfId="1672" priority="3633" stopIfTrue="1">
      <formula>LEN(TRIM(C1834))=0</formula>
    </cfRule>
  </conditionalFormatting>
  <conditionalFormatting sqref="E1834">
    <cfRule type="expression" dxfId="1671" priority="3684" stopIfTrue="1">
      <formula>ISERROR(E1834)</formula>
    </cfRule>
  </conditionalFormatting>
  <conditionalFormatting sqref="C1835">
    <cfRule type="expression" dxfId="1670" priority="3622" stopIfTrue="1">
      <formula>LEN(TRIM(C1835))=0</formula>
    </cfRule>
  </conditionalFormatting>
  <conditionalFormatting sqref="E1835">
    <cfRule type="expression" dxfId="1669" priority="3683" stopIfTrue="1">
      <formula>ISERROR(E1835)</formula>
    </cfRule>
  </conditionalFormatting>
  <conditionalFormatting sqref="C1836">
    <cfRule type="expression" dxfId="1668" priority="3632" stopIfTrue="1">
      <formula>LEN(TRIM(C1836))=0</formula>
    </cfRule>
  </conditionalFormatting>
  <conditionalFormatting sqref="E1836">
    <cfRule type="expression" dxfId="1667" priority="3682" stopIfTrue="1">
      <formula>ISERROR(E1836)</formula>
    </cfRule>
  </conditionalFormatting>
  <conditionalFormatting sqref="C1837">
    <cfRule type="expression" dxfId="1666" priority="3631" stopIfTrue="1">
      <formula>LEN(TRIM(C1837))=0</formula>
    </cfRule>
  </conditionalFormatting>
  <conditionalFormatting sqref="E1837">
    <cfRule type="expression" dxfId="1665" priority="3681" stopIfTrue="1">
      <formula>ISERROR(E1837)</formula>
    </cfRule>
  </conditionalFormatting>
  <conditionalFormatting sqref="C1838">
    <cfRule type="expression" dxfId="1664" priority="3630" stopIfTrue="1">
      <formula>LEN(TRIM(C1838))=0</formula>
    </cfRule>
  </conditionalFormatting>
  <conditionalFormatting sqref="E1838">
    <cfRule type="expression" dxfId="1663" priority="3680" stopIfTrue="1">
      <formula>ISERROR(E1838)</formula>
    </cfRule>
  </conditionalFormatting>
  <conditionalFormatting sqref="C1839">
    <cfRule type="expression" dxfId="1662" priority="3476" stopIfTrue="1">
      <formula>LEN(TRIM(C1839))=0</formula>
    </cfRule>
  </conditionalFormatting>
  <conditionalFormatting sqref="E1839">
    <cfRule type="expression" dxfId="1661" priority="3679" stopIfTrue="1">
      <formula>ISERROR(E1839)</formula>
    </cfRule>
  </conditionalFormatting>
  <conditionalFormatting sqref="C1840">
    <cfRule type="expression" dxfId="1660" priority="3629" stopIfTrue="1">
      <formula>LEN(TRIM(C1840))=0</formula>
    </cfRule>
  </conditionalFormatting>
  <conditionalFormatting sqref="E1840">
    <cfRule type="expression" dxfId="1659" priority="3264" stopIfTrue="1">
      <formula>ISERROR(E1840)</formula>
    </cfRule>
  </conditionalFormatting>
  <conditionalFormatting sqref="C1841">
    <cfRule type="expression" dxfId="1658" priority="3628" stopIfTrue="1">
      <formula>LEN(TRIM(C1841))=0</formula>
    </cfRule>
  </conditionalFormatting>
  <conditionalFormatting sqref="E1841">
    <cfRule type="expression" dxfId="1657" priority="3678" stopIfTrue="1">
      <formula>ISERROR(E1841)</formula>
    </cfRule>
  </conditionalFormatting>
  <conditionalFormatting sqref="C1842">
    <cfRule type="expression" dxfId="1656" priority="3627" stopIfTrue="1">
      <formula>LEN(TRIM(C1842))=0</formula>
    </cfRule>
  </conditionalFormatting>
  <conditionalFormatting sqref="E1842">
    <cfRule type="expression" dxfId="1655" priority="3677" stopIfTrue="1">
      <formula>ISERROR(E1842)</formula>
    </cfRule>
  </conditionalFormatting>
  <conditionalFormatting sqref="C1843">
    <cfRule type="expression" dxfId="1654" priority="3626" stopIfTrue="1">
      <formula>LEN(TRIM(C1843))=0</formula>
    </cfRule>
  </conditionalFormatting>
  <conditionalFormatting sqref="E1843">
    <cfRule type="expression" dxfId="1653" priority="3676" stopIfTrue="1">
      <formula>ISERROR(E1843)</formula>
    </cfRule>
  </conditionalFormatting>
  <conditionalFormatting sqref="C1844">
    <cfRule type="expression" dxfId="1652" priority="3625" stopIfTrue="1">
      <formula>LEN(TRIM(C1844))=0</formula>
    </cfRule>
  </conditionalFormatting>
  <conditionalFormatting sqref="E1844">
    <cfRule type="expression" dxfId="1651" priority="3675" stopIfTrue="1">
      <formula>ISERROR(E1844)</formula>
    </cfRule>
  </conditionalFormatting>
  <conditionalFormatting sqref="C1845">
    <cfRule type="expression" dxfId="1650" priority="3624" stopIfTrue="1">
      <formula>LEN(TRIM(C1845))=0</formula>
    </cfRule>
  </conditionalFormatting>
  <conditionalFormatting sqref="E1845">
    <cfRule type="expression" dxfId="1649" priority="3674" stopIfTrue="1">
      <formula>ISERROR(E1845)</formula>
    </cfRule>
  </conditionalFormatting>
  <conditionalFormatting sqref="C1846">
    <cfRule type="expression" dxfId="1648" priority="3517" stopIfTrue="1">
      <formula>LEN(TRIM(C1846))=0</formula>
    </cfRule>
  </conditionalFormatting>
  <conditionalFormatting sqref="E1846">
    <cfRule type="expression" dxfId="1647" priority="3621" stopIfTrue="1">
      <formula>ISERROR(E1846)</formula>
    </cfRule>
  </conditionalFormatting>
  <conditionalFormatting sqref="C1847">
    <cfRule type="expression" dxfId="1646" priority="3516" stopIfTrue="1">
      <formula>LEN(TRIM(C1847))=0</formula>
    </cfRule>
  </conditionalFormatting>
  <conditionalFormatting sqref="E1847">
    <cfRule type="expression" dxfId="1645" priority="3620" stopIfTrue="1">
      <formula>ISERROR(E1847)</formula>
    </cfRule>
  </conditionalFormatting>
  <conditionalFormatting sqref="C1848">
    <cfRule type="expression" dxfId="1644" priority="3515" stopIfTrue="1">
      <formula>LEN(TRIM(C1848))=0</formula>
    </cfRule>
  </conditionalFormatting>
  <conditionalFormatting sqref="E1848">
    <cfRule type="expression" dxfId="1643" priority="3619" stopIfTrue="1">
      <formula>ISERROR(E1848)</formula>
    </cfRule>
  </conditionalFormatting>
  <conditionalFormatting sqref="C1849">
    <cfRule type="expression" dxfId="1642" priority="3514" stopIfTrue="1">
      <formula>LEN(TRIM(C1849))=0</formula>
    </cfRule>
  </conditionalFormatting>
  <conditionalFormatting sqref="E1849">
    <cfRule type="expression" dxfId="1641" priority="3618" stopIfTrue="1">
      <formula>ISERROR(E1849)</formula>
    </cfRule>
  </conditionalFormatting>
  <conditionalFormatting sqref="C1850">
    <cfRule type="expression" dxfId="1640" priority="3513" stopIfTrue="1">
      <formula>LEN(TRIM(C1850))=0</formula>
    </cfRule>
  </conditionalFormatting>
  <conditionalFormatting sqref="E1850">
    <cfRule type="expression" dxfId="1639" priority="3617" stopIfTrue="1">
      <formula>ISERROR(E1850)</formula>
    </cfRule>
  </conditionalFormatting>
  <conditionalFormatting sqref="C1851">
    <cfRule type="expression" dxfId="1638" priority="3512" stopIfTrue="1">
      <formula>LEN(TRIM(C1851))=0</formula>
    </cfRule>
  </conditionalFormatting>
  <conditionalFormatting sqref="E1851">
    <cfRule type="expression" dxfId="1637" priority="3616" stopIfTrue="1">
      <formula>ISERROR(E1851)</formula>
    </cfRule>
  </conditionalFormatting>
  <conditionalFormatting sqref="C1852">
    <cfRule type="expression" dxfId="1636" priority="3511" stopIfTrue="1">
      <formula>LEN(TRIM(C1852))=0</formula>
    </cfRule>
  </conditionalFormatting>
  <conditionalFormatting sqref="E1852">
    <cfRule type="expression" dxfId="1635" priority="3615" stopIfTrue="1">
      <formula>ISERROR(E1852)</formula>
    </cfRule>
  </conditionalFormatting>
  <conditionalFormatting sqref="C1853">
    <cfRule type="expression" dxfId="1634" priority="3510" stopIfTrue="1">
      <formula>LEN(TRIM(C1853))=0</formula>
    </cfRule>
  </conditionalFormatting>
  <conditionalFormatting sqref="E1853">
    <cfRule type="expression" dxfId="1633" priority="3614" stopIfTrue="1">
      <formula>ISERROR(E1853)</formula>
    </cfRule>
  </conditionalFormatting>
  <conditionalFormatting sqref="C1854">
    <cfRule type="expression" dxfId="1632" priority="3509" stopIfTrue="1">
      <formula>LEN(TRIM(C1854))=0</formula>
    </cfRule>
  </conditionalFormatting>
  <conditionalFormatting sqref="E1854">
    <cfRule type="expression" dxfId="1631" priority="3265" stopIfTrue="1">
      <formula>ISERROR(E1854)</formula>
    </cfRule>
  </conditionalFormatting>
  <conditionalFormatting sqref="E1855">
    <cfRule type="expression" dxfId="1630" priority="3266" stopIfTrue="1">
      <formula>ISERROR(E1855)</formula>
    </cfRule>
  </conditionalFormatting>
  <conditionalFormatting sqref="E1856">
    <cfRule type="expression" dxfId="1629" priority="3267" stopIfTrue="1">
      <formula>ISERROR(E1856)</formula>
    </cfRule>
  </conditionalFormatting>
  <conditionalFormatting sqref="E1857">
    <cfRule type="expression" dxfId="1628" priority="3613" stopIfTrue="1">
      <formula>ISERROR(E1857)</formula>
    </cfRule>
  </conditionalFormatting>
  <conditionalFormatting sqref="E1858">
    <cfRule type="expression" dxfId="1627" priority="3612" stopIfTrue="1">
      <formula>ISERROR(E1858)</formula>
    </cfRule>
  </conditionalFormatting>
  <conditionalFormatting sqref="E1859">
    <cfRule type="expression" dxfId="1626" priority="3611" stopIfTrue="1">
      <formula>ISERROR(E1859)</formula>
    </cfRule>
  </conditionalFormatting>
  <conditionalFormatting sqref="C1860">
    <cfRule type="expression" dxfId="1625" priority="3507" stopIfTrue="1">
      <formula>LEN(TRIM(C1860))=0</formula>
    </cfRule>
  </conditionalFormatting>
  <conditionalFormatting sqref="E1860">
    <cfRule type="expression" dxfId="1624" priority="3610" stopIfTrue="1">
      <formula>ISERROR(E1860)</formula>
    </cfRule>
  </conditionalFormatting>
  <conditionalFormatting sqref="C1861">
    <cfRule type="expression" dxfId="1623" priority="3506" stopIfTrue="1">
      <formula>LEN(TRIM(C1861))=0</formula>
    </cfRule>
  </conditionalFormatting>
  <conditionalFormatting sqref="E1861">
    <cfRule type="expression" dxfId="1622" priority="3609" stopIfTrue="1">
      <formula>ISERROR(E1861)</formula>
    </cfRule>
  </conditionalFormatting>
  <conditionalFormatting sqref="C1862">
    <cfRule type="expression" dxfId="1621" priority="3505" stopIfTrue="1">
      <formula>LEN(TRIM(C1862))=0</formula>
    </cfRule>
  </conditionalFormatting>
  <conditionalFormatting sqref="E1862">
    <cfRule type="expression" dxfId="1620" priority="3608" stopIfTrue="1">
      <formula>ISERROR(E1862)</formula>
    </cfRule>
  </conditionalFormatting>
  <conditionalFormatting sqref="C1863">
    <cfRule type="expression" dxfId="1619" priority="3504" stopIfTrue="1">
      <formula>LEN(TRIM(C1863))=0</formula>
    </cfRule>
  </conditionalFormatting>
  <conditionalFormatting sqref="E1863">
    <cfRule type="expression" dxfId="1618" priority="3607" stopIfTrue="1">
      <formula>ISERROR(E1863)</formula>
    </cfRule>
  </conditionalFormatting>
  <conditionalFormatting sqref="C1864">
    <cfRule type="expression" dxfId="1617" priority="3503" stopIfTrue="1">
      <formula>LEN(TRIM(C1864))=0</formula>
    </cfRule>
  </conditionalFormatting>
  <conditionalFormatting sqref="E1864">
    <cfRule type="expression" dxfId="1616" priority="3606" stopIfTrue="1">
      <formula>ISERROR(E1864)</formula>
    </cfRule>
  </conditionalFormatting>
  <conditionalFormatting sqref="E1865">
    <cfRule type="expression" dxfId="1615" priority="3605" stopIfTrue="1">
      <formula>ISERROR(E1865)</formula>
    </cfRule>
  </conditionalFormatting>
  <conditionalFormatting sqref="H1865">
    <cfRule type="expression" dxfId="1614" priority="3552" stopIfTrue="1">
      <formula>LEN(TRIM(H1865))=0</formula>
    </cfRule>
  </conditionalFormatting>
  <conditionalFormatting sqref="E1866">
    <cfRule type="expression" dxfId="1613" priority="3604" stopIfTrue="1">
      <formula>ISERROR(E1866)</formula>
    </cfRule>
  </conditionalFormatting>
  <conditionalFormatting sqref="H1866">
    <cfRule type="expression" dxfId="1612" priority="3551" stopIfTrue="1">
      <formula>LEN(TRIM(H1866))=0</formula>
    </cfRule>
  </conditionalFormatting>
  <conditionalFormatting sqref="C1867">
    <cfRule type="expression" dxfId="1611" priority="3502" stopIfTrue="1">
      <formula>LEN(TRIM(C1867))=0</formula>
    </cfRule>
  </conditionalFormatting>
  <conditionalFormatting sqref="E1867">
    <cfRule type="expression" dxfId="1610" priority="3603" stopIfTrue="1">
      <formula>ISERROR(E1867)</formula>
    </cfRule>
  </conditionalFormatting>
  <conditionalFormatting sqref="C1868">
    <cfRule type="expression" dxfId="1609" priority="3501" stopIfTrue="1">
      <formula>LEN(TRIM(C1868))=0</formula>
    </cfRule>
  </conditionalFormatting>
  <conditionalFormatting sqref="E1868">
    <cfRule type="expression" dxfId="1608" priority="3602" stopIfTrue="1">
      <formula>ISERROR(E1868)</formula>
    </cfRule>
  </conditionalFormatting>
  <conditionalFormatting sqref="C1869">
    <cfRule type="expression" dxfId="1607" priority="3500" stopIfTrue="1">
      <formula>LEN(TRIM(C1869))=0</formula>
    </cfRule>
  </conditionalFormatting>
  <conditionalFormatting sqref="E1869">
    <cfRule type="expression" dxfId="1606" priority="3601" stopIfTrue="1">
      <formula>ISERROR(E1869)</formula>
    </cfRule>
  </conditionalFormatting>
  <conditionalFormatting sqref="C1870">
    <cfRule type="expression" dxfId="1605" priority="3499" stopIfTrue="1">
      <formula>LEN(TRIM(C1870))=0</formula>
    </cfRule>
  </conditionalFormatting>
  <conditionalFormatting sqref="E1870">
    <cfRule type="expression" dxfId="1604" priority="3600" stopIfTrue="1">
      <formula>ISERROR(E1870)</formula>
    </cfRule>
  </conditionalFormatting>
  <conditionalFormatting sqref="C1871">
    <cfRule type="expression" dxfId="1603" priority="3498" stopIfTrue="1">
      <formula>LEN(TRIM(C1871))=0</formula>
    </cfRule>
  </conditionalFormatting>
  <conditionalFormatting sqref="E1871">
    <cfRule type="expression" dxfId="1602" priority="3599" stopIfTrue="1">
      <formula>ISERROR(E1871)</formula>
    </cfRule>
  </conditionalFormatting>
  <conditionalFormatting sqref="C1872">
    <cfRule type="expression" dxfId="1601" priority="3497" stopIfTrue="1">
      <formula>LEN(TRIM(C1872))=0</formula>
    </cfRule>
  </conditionalFormatting>
  <conditionalFormatting sqref="E1872">
    <cfRule type="expression" dxfId="1600" priority="3598" stopIfTrue="1">
      <formula>ISERROR(E1872)</formula>
    </cfRule>
  </conditionalFormatting>
  <conditionalFormatting sqref="C1873">
    <cfRule type="expression" dxfId="1599" priority="3496" stopIfTrue="1">
      <formula>LEN(TRIM(C1873))=0</formula>
    </cfRule>
  </conditionalFormatting>
  <conditionalFormatting sqref="E1873">
    <cfRule type="expression" dxfId="1598" priority="3597" stopIfTrue="1">
      <formula>ISERROR(E1873)</formula>
    </cfRule>
  </conditionalFormatting>
  <conditionalFormatting sqref="C1874">
    <cfRule type="expression" dxfId="1597" priority="3495" stopIfTrue="1">
      <formula>LEN(TRIM(C1874))=0</formula>
    </cfRule>
  </conditionalFormatting>
  <conditionalFormatting sqref="E1874">
    <cfRule type="expression" dxfId="1596" priority="3596" stopIfTrue="1">
      <formula>ISERROR(E1874)</formula>
    </cfRule>
  </conditionalFormatting>
  <conditionalFormatting sqref="C1875">
    <cfRule type="expression" dxfId="1595" priority="3494" stopIfTrue="1">
      <formula>LEN(TRIM(C1875))=0</formula>
    </cfRule>
  </conditionalFormatting>
  <conditionalFormatting sqref="E1875">
    <cfRule type="expression" dxfId="1594" priority="3595" stopIfTrue="1">
      <formula>ISERROR(E1875)</formula>
    </cfRule>
  </conditionalFormatting>
  <conditionalFormatting sqref="C1876">
    <cfRule type="expression" dxfId="1593" priority="3493" stopIfTrue="1">
      <formula>LEN(TRIM(C1876))=0</formula>
    </cfRule>
  </conditionalFormatting>
  <conditionalFormatting sqref="E1876">
    <cfRule type="expression" dxfId="1592" priority="3594" stopIfTrue="1">
      <formula>ISERROR(E1876)</formula>
    </cfRule>
  </conditionalFormatting>
  <conditionalFormatting sqref="G1876:H1876">
    <cfRule type="expression" dxfId="1591" priority="3541" stopIfTrue="1">
      <formula>LEN(TRIM(G1876))=0</formula>
    </cfRule>
  </conditionalFormatting>
  <conditionalFormatting sqref="C1877">
    <cfRule type="expression" dxfId="1590" priority="3492" stopIfTrue="1">
      <formula>LEN(TRIM(C1877))=0</formula>
    </cfRule>
  </conditionalFormatting>
  <conditionalFormatting sqref="E1877">
    <cfRule type="expression" dxfId="1589" priority="3593" stopIfTrue="1">
      <formula>ISERROR(E1877)</formula>
    </cfRule>
  </conditionalFormatting>
  <conditionalFormatting sqref="C1878">
    <cfRule type="expression" dxfId="1588" priority="3491" stopIfTrue="1">
      <formula>LEN(TRIM(C1878))=0</formula>
    </cfRule>
  </conditionalFormatting>
  <conditionalFormatting sqref="E1878">
    <cfRule type="expression" dxfId="1587" priority="3592" stopIfTrue="1">
      <formula>ISERROR(E1878)</formula>
    </cfRule>
  </conditionalFormatting>
  <conditionalFormatting sqref="E1879">
    <cfRule type="expression" dxfId="1586" priority="3591" stopIfTrue="1">
      <formula>ISERROR(E1879)</formula>
    </cfRule>
  </conditionalFormatting>
  <conditionalFormatting sqref="E1880">
    <cfRule type="expression" dxfId="1585" priority="3590" stopIfTrue="1">
      <formula>ISERROR(E1880)</formula>
    </cfRule>
  </conditionalFormatting>
  <conditionalFormatting sqref="E1881">
    <cfRule type="expression" dxfId="1584" priority="3589" stopIfTrue="1">
      <formula>ISERROR(E1881)</formula>
    </cfRule>
  </conditionalFormatting>
  <conditionalFormatting sqref="C1882">
    <cfRule type="expression" dxfId="1583" priority="3490" stopIfTrue="1">
      <formula>LEN(TRIM(C1882))=0</formula>
    </cfRule>
  </conditionalFormatting>
  <conditionalFormatting sqref="E1882">
    <cfRule type="expression" dxfId="1582" priority="3588" stopIfTrue="1">
      <formula>ISERROR(E1882)</formula>
    </cfRule>
  </conditionalFormatting>
  <conditionalFormatting sqref="C1883">
    <cfRule type="expression" dxfId="1581" priority="3489" stopIfTrue="1">
      <formula>LEN(TRIM(C1883))=0</formula>
    </cfRule>
  </conditionalFormatting>
  <conditionalFormatting sqref="E1883">
    <cfRule type="expression" dxfId="1580" priority="3268" stopIfTrue="1">
      <formula>ISERROR(E1883)</formula>
    </cfRule>
  </conditionalFormatting>
  <conditionalFormatting sqref="E1884">
    <cfRule type="expression" dxfId="1579" priority="3587" stopIfTrue="1">
      <formula>ISERROR(E1884)</formula>
    </cfRule>
  </conditionalFormatting>
  <conditionalFormatting sqref="E1885">
    <cfRule type="expression" dxfId="1578" priority="3586" stopIfTrue="1">
      <formula>ISERROR(E1885)</formula>
    </cfRule>
  </conditionalFormatting>
  <conditionalFormatting sqref="C1886">
    <cfRule type="expression" dxfId="1577" priority="3472" stopIfTrue="1">
      <formula>LEN(TRIM(C1886))=0</formula>
    </cfRule>
  </conditionalFormatting>
  <conditionalFormatting sqref="E1886">
    <cfRule type="expression" dxfId="1576" priority="3585" stopIfTrue="1">
      <formula>ISERROR(E1886)</formula>
    </cfRule>
  </conditionalFormatting>
  <conditionalFormatting sqref="C1887">
    <cfRule type="expression" dxfId="1575" priority="3487" stopIfTrue="1">
      <formula>LEN(TRIM(C1887))=0</formula>
    </cfRule>
  </conditionalFormatting>
  <conditionalFormatting sqref="E1887">
    <cfRule type="expression" dxfId="1574" priority="3584" stopIfTrue="1">
      <formula>ISERROR(E1887)</formula>
    </cfRule>
  </conditionalFormatting>
  <conditionalFormatting sqref="C1888">
    <cfRule type="expression" dxfId="1573" priority="3486" stopIfTrue="1">
      <formula>LEN(TRIM(C1888))=0</formula>
    </cfRule>
  </conditionalFormatting>
  <conditionalFormatting sqref="E1888">
    <cfRule type="expression" dxfId="1572" priority="3583" stopIfTrue="1">
      <formula>ISERROR(E1888)</formula>
    </cfRule>
  </conditionalFormatting>
  <conditionalFormatting sqref="E1889">
    <cfRule type="expression" dxfId="1571" priority="3582" stopIfTrue="1">
      <formula>ISERROR(E1889)</formula>
    </cfRule>
  </conditionalFormatting>
  <conditionalFormatting sqref="E1890">
    <cfRule type="expression" dxfId="1570" priority="3581" stopIfTrue="1">
      <formula>ISERROR(E1890)</formula>
    </cfRule>
  </conditionalFormatting>
  <conditionalFormatting sqref="G1890">
    <cfRule type="expression" dxfId="1569" priority="3527" stopIfTrue="1">
      <formula>LEN(TRIM(G1890))=0</formula>
    </cfRule>
  </conditionalFormatting>
  <conditionalFormatting sqref="C1891">
    <cfRule type="expression" dxfId="1568" priority="3484" stopIfTrue="1">
      <formula>LEN(TRIM(C1891))=0</formula>
    </cfRule>
  </conditionalFormatting>
  <conditionalFormatting sqref="E1891">
    <cfRule type="expression" dxfId="1567" priority="3580" stopIfTrue="1">
      <formula>ISERROR(E1891)</formula>
    </cfRule>
  </conditionalFormatting>
  <conditionalFormatting sqref="E1892">
    <cfRule type="expression" dxfId="1566" priority="3579" stopIfTrue="1">
      <formula>ISERROR(E1892)</formula>
    </cfRule>
  </conditionalFormatting>
  <conditionalFormatting sqref="E1893">
    <cfRule type="expression" dxfId="1565" priority="3578" stopIfTrue="1">
      <formula>ISERROR(E1893)</formula>
    </cfRule>
  </conditionalFormatting>
  <conditionalFormatting sqref="C1894">
    <cfRule type="expression" dxfId="1564" priority="3482" stopIfTrue="1">
      <formula>LEN(TRIM(C1894))=0</formula>
    </cfRule>
  </conditionalFormatting>
  <conditionalFormatting sqref="E1894">
    <cfRule type="expression" dxfId="1563" priority="3577" stopIfTrue="1">
      <formula>ISERROR(E1894)</formula>
    </cfRule>
  </conditionalFormatting>
  <conditionalFormatting sqref="C1895">
    <cfRule type="expression" dxfId="1562" priority="3481" stopIfTrue="1">
      <formula>LEN(TRIM(C1895))=0</formula>
    </cfRule>
  </conditionalFormatting>
  <conditionalFormatting sqref="E1895">
    <cfRule type="expression" dxfId="1561" priority="3576" stopIfTrue="1">
      <formula>ISERROR(E1895)</formula>
    </cfRule>
  </conditionalFormatting>
  <conditionalFormatting sqref="C1896">
    <cfRule type="expression" dxfId="1560" priority="3480" stopIfTrue="1">
      <formula>LEN(TRIM(C1896))=0</formula>
    </cfRule>
  </conditionalFormatting>
  <conditionalFormatting sqref="E1896">
    <cfRule type="expression" dxfId="1559" priority="3575" stopIfTrue="1">
      <formula>ISERROR(E1896)</formula>
    </cfRule>
  </conditionalFormatting>
  <conditionalFormatting sqref="C1897">
    <cfRule type="expression" dxfId="1558" priority="3479" stopIfTrue="1">
      <formula>LEN(TRIM(C1897))=0</formula>
    </cfRule>
  </conditionalFormatting>
  <conditionalFormatting sqref="E1897">
    <cfRule type="expression" dxfId="1557" priority="3574" stopIfTrue="1">
      <formula>ISERROR(E1897)</formula>
    </cfRule>
  </conditionalFormatting>
  <conditionalFormatting sqref="C1898">
    <cfRule type="expression" dxfId="1556" priority="3478" stopIfTrue="1">
      <formula>LEN(TRIM(C1898))=0</formula>
    </cfRule>
  </conditionalFormatting>
  <conditionalFormatting sqref="E1898">
    <cfRule type="expression" dxfId="1555" priority="3573" stopIfTrue="1">
      <formula>ISERROR(E1898)</formula>
    </cfRule>
  </conditionalFormatting>
  <conditionalFormatting sqref="C1899">
    <cfRule type="expression" dxfId="1554" priority="3477" stopIfTrue="1">
      <formula>LEN(TRIM(C1899))=0</formula>
    </cfRule>
  </conditionalFormatting>
  <conditionalFormatting sqref="E1899">
    <cfRule type="expression" dxfId="1553" priority="3572" stopIfTrue="1">
      <formula>ISERROR(E1899)</formula>
    </cfRule>
  </conditionalFormatting>
  <conditionalFormatting sqref="C1900">
    <cfRule type="expression" dxfId="1552" priority="3455" stopIfTrue="1">
      <formula>LEN(TRIM(C1900))=0</formula>
    </cfRule>
  </conditionalFormatting>
  <conditionalFormatting sqref="E1900">
    <cfRule type="expression" dxfId="1551" priority="3471" stopIfTrue="1">
      <formula>ISERROR(E1900)</formula>
    </cfRule>
  </conditionalFormatting>
  <conditionalFormatting sqref="C1901">
    <cfRule type="expression" dxfId="1550" priority="3454" stopIfTrue="1">
      <formula>LEN(TRIM(C1901))=0</formula>
    </cfRule>
  </conditionalFormatting>
  <conditionalFormatting sqref="E1901">
    <cfRule type="expression" dxfId="1549" priority="3470" stopIfTrue="1">
      <formula>ISERROR(E1901)</formula>
    </cfRule>
  </conditionalFormatting>
  <conditionalFormatting sqref="C1902">
    <cfRule type="expression" dxfId="1548" priority="3453" stopIfTrue="1">
      <formula>LEN(TRIM(C1902))=0</formula>
    </cfRule>
  </conditionalFormatting>
  <conditionalFormatting sqref="E1902">
    <cfRule type="expression" dxfId="1547" priority="3469" stopIfTrue="1">
      <formula>ISERROR(E1902)</formula>
    </cfRule>
  </conditionalFormatting>
  <conditionalFormatting sqref="C1903">
    <cfRule type="expression" dxfId="1546" priority="3452" stopIfTrue="1">
      <formula>LEN(TRIM(C1903))=0</formula>
    </cfRule>
  </conditionalFormatting>
  <conditionalFormatting sqref="E1903">
    <cfRule type="expression" dxfId="1545" priority="3468" stopIfTrue="1">
      <formula>ISERROR(E1903)</formula>
    </cfRule>
  </conditionalFormatting>
  <conditionalFormatting sqref="C1904">
    <cfRule type="expression" dxfId="1544" priority="3451" stopIfTrue="1">
      <formula>LEN(TRIM(C1904))=0</formula>
    </cfRule>
  </conditionalFormatting>
  <conditionalFormatting sqref="E1904">
    <cfRule type="expression" dxfId="1543" priority="3467" stopIfTrue="1">
      <formula>ISERROR(E1904)</formula>
    </cfRule>
  </conditionalFormatting>
  <conditionalFormatting sqref="C1905">
    <cfRule type="expression" dxfId="1542" priority="3422" stopIfTrue="1">
      <formula>LEN(TRIM(C1905))=0</formula>
    </cfRule>
  </conditionalFormatting>
  <conditionalFormatting sqref="E1905">
    <cfRule type="expression" dxfId="1541" priority="3424" stopIfTrue="1">
      <formula>ISERROR(E1905)</formula>
    </cfRule>
  </conditionalFormatting>
  <conditionalFormatting sqref="C1906">
    <cfRule type="expression" dxfId="1540" priority="3450" stopIfTrue="1">
      <formula>LEN(TRIM(C1906))=0</formula>
    </cfRule>
  </conditionalFormatting>
  <conditionalFormatting sqref="E1906">
    <cfRule type="expression" dxfId="1539" priority="3466" stopIfTrue="1">
      <formula>ISERROR(E1906)</formula>
    </cfRule>
  </conditionalFormatting>
  <conditionalFormatting sqref="E1907">
    <cfRule type="expression" dxfId="1538" priority="3465" stopIfTrue="1">
      <formula>ISERROR(E1907)</formula>
    </cfRule>
  </conditionalFormatting>
  <conditionalFormatting sqref="G1908">
    <cfRule type="expression" dxfId="1537" priority="31" stopIfTrue="1">
      <formula>LEN(TRIM(G1908))=0</formula>
    </cfRule>
  </conditionalFormatting>
  <conditionalFormatting sqref="C1909">
    <cfRule type="expression" dxfId="1536" priority="3448" stopIfTrue="1">
      <formula>LEN(TRIM(C1909))=0</formula>
    </cfRule>
  </conditionalFormatting>
  <conditionalFormatting sqref="C1910">
    <cfRule type="expression" dxfId="1535" priority="3447" stopIfTrue="1">
      <formula>LEN(TRIM(C1910))=0</formula>
    </cfRule>
  </conditionalFormatting>
  <conditionalFormatting sqref="C1911">
    <cfRule type="expression" dxfId="1534" priority="3446" stopIfTrue="1">
      <formula>LEN(TRIM(C1911))=0</formula>
    </cfRule>
  </conditionalFormatting>
  <conditionalFormatting sqref="C1912">
    <cfRule type="expression" dxfId="1533" priority="3445" stopIfTrue="1">
      <formula>LEN(TRIM(C1912))=0</formula>
    </cfRule>
  </conditionalFormatting>
  <conditionalFormatting sqref="C1913">
    <cfRule type="expression" dxfId="1532" priority="3444" stopIfTrue="1">
      <formula>LEN(TRIM(C1913))=0</formula>
    </cfRule>
  </conditionalFormatting>
  <conditionalFormatting sqref="C1914">
    <cfRule type="expression" dxfId="1531" priority="3443" stopIfTrue="1">
      <formula>LEN(TRIM(C1914))=0</formula>
    </cfRule>
  </conditionalFormatting>
  <conditionalFormatting sqref="C1915">
    <cfRule type="expression" dxfId="1530" priority="3442" stopIfTrue="1">
      <formula>LEN(TRIM(C1915))=0</formula>
    </cfRule>
  </conditionalFormatting>
  <conditionalFormatting sqref="C1916">
    <cfRule type="expression" dxfId="1529" priority="3441" stopIfTrue="1">
      <formula>LEN(TRIM(C1916))=0</formula>
    </cfRule>
  </conditionalFormatting>
  <conditionalFormatting sqref="C1917">
    <cfRule type="expression" dxfId="1528" priority="3440" stopIfTrue="1">
      <formula>LEN(TRIM(C1917))=0</formula>
    </cfRule>
  </conditionalFormatting>
  <conditionalFormatting sqref="C1918">
    <cfRule type="expression" dxfId="1527" priority="3439" stopIfTrue="1">
      <formula>LEN(TRIM(C1918))=0</formula>
    </cfRule>
  </conditionalFormatting>
  <conditionalFormatting sqref="C1919">
    <cfRule type="expression" dxfId="1526" priority="3438" stopIfTrue="1">
      <formula>LEN(TRIM(C1919))=0</formula>
    </cfRule>
  </conditionalFormatting>
  <conditionalFormatting sqref="C1920">
    <cfRule type="expression" dxfId="1525" priority="3437" stopIfTrue="1">
      <formula>LEN(TRIM(C1920))=0</formula>
    </cfRule>
  </conditionalFormatting>
  <conditionalFormatting sqref="C1921">
    <cfRule type="expression" dxfId="1524" priority="3436" stopIfTrue="1">
      <formula>LEN(TRIM(C1921))=0</formula>
    </cfRule>
  </conditionalFormatting>
  <conditionalFormatting sqref="C1922">
    <cfRule type="expression" dxfId="1523" priority="3435" stopIfTrue="1">
      <formula>LEN(TRIM(C1922))=0</formula>
    </cfRule>
  </conditionalFormatting>
  <conditionalFormatting sqref="C1923">
    <cfRule type="expression" dxfId="1522" priority="3434" stopIfTrue="1">
      <formula>LEN(TRIM(C1923))=0</formula>
    </cfRule>
  </conditionalFormatting>
  <conditionalFormatting sqref="C1924">
    <cfRule type="expression" dxfId="1521" priority="3433" stopIfTrue="1">
      <formula>LEN(TRIM(C1924))=0</formula>
    </cfRule>
  </conditionalFormatting>
  <conditionalFormatting sqref="C1925">
    <cfRule type="expression" dxfId="1520" priority="3432" stopIfTrue="1">
      <formula>LEN(TRIM(C1925))=0</formula>
    </cfRule>
  </conditionalFormatting>
  <conditionalFormatting sqref="C1926">
    <cfRule type="expression" dxfId="1519" priority="3431" stopIfTrue="1">
      <formula>LEN(TRIM(C1926))=0</formula>
    </cfRule>
  </conditionalFormatting>
  <conditionalFormatting sqref="C1927">
    <cfRule type="expression" dxfId="1518" priority="3430" stopIfTrue="1">
      <formula>LEN(TRIM(C1927))=0</formula>
    </cfRule>
  </conditionalFormatting>
  <conditionalFormatting sqref="C1928">
    <cfRule type="expression" dxfId="1517" priority="3429" stopIfTrue="1">
      <formula>LEN(TRIM(C1928))=0</formula>
    </cfRule>
  </conditionalFormatting>
  <conditionalFormatting sqref="C1929">
    <cfRule type="expression" dxfId="1516" priority="3428" stopIfTrue="1">
      <formula>LEN(TRIM(C1929))=0</formula>
    </cfRule>
  </conditionalFormatting>
  <conditionalFormatting sqref="C1930">
    <cfRule type="expression" dxfId="1515" priority="3427" stopIfTrue="1">
      <formula>LEN(TRIM(C1930))=0</formula>
    </cfRule>
  </conditionalFormatting>
  <conditionalFormatting sqref="C1931">
    <cfRule type="expression" dxfId="1514" priority="3426" stopIfTrue="1">
      <formula>LEN(TRIM(C1931))=0</formula>
    </cfRule>
  </conditionalFormatting>
  <conditionalFormatting sqref="C1934">
    <cfRule type="expression" dxfId="1513" priority="3403" stopIfTrue="1">
      <formula>LEN(TRIM(C1934))=0</formula>
    </cfRule>
  </conditionalFormatting>
  <conditionalFormatting sqref="E1934">
    <cfRule type="expression" dxfId="1512" priority="3421" stopIfTrue="1">
      <formula>ISERROR(E1934)</formula>
    </cfRule>
  </conditionalFormatting>
  <conditionalFormatting sqref="C1935">
    <cfRule type="expression" dxfId="1511" priority="3402" stopIfTrue="1">
      <formula>LEN(TRIM(C1935))=0</formula>
    </cfRule>
  </conditionalFormatting>
  <conditionalFormatting sqref="E1935">
    <cfRule type="expression" dxfId="1510" priority="3420" stopIfTrue="1">
      <formula>ISERROR(E1935)</formula>
    </cfRule>
  </conditionalFormatting>
  <conditionalFormatting sqref="C1936">
    <cfRule type="expression" dxfId="1509" priority="3401" stopIfTrue="1">
      <formula>LEN(TRIM(C1936))=0</formula>
    </cfRule>
  </conditionalFormatting>
  <conditionalFormatting sqref="E1936">
    <cfRule type="expression" dxfId="1508" priority="3419" stopIfTrue="1">
      <formula>ISERROR(E1936)</formula>
    </cfRule>
  </conditionalFormatting>
  <conditionalFormatting sqref="C1937">
    <cfRule type="expression" dxfId="1507" priority="3400" stopIfTrue="1">
      <formula>LEN(TRIM(C1937))=0</formula>
    </cfRule>
  </conditionalFormatting>
  <conditionalFormatting sqref="E1937">
    <cfRule type="expression" dxfId="1506" priority="3418" stopIfTrue="1">
      <formula>ISERROR(E1937)</formula>
    </cfRule>
  </conditionalFormatting>
  <conditionalFormatting sqref="C1938">
    <cfRule type="expression" dxfId="1505" priority="3399" stopIfTrue="1">
      <formula>LEN(TRIM(C1938))=0</formula>
    </cfRule>
  </conditionalFormatting>
  <conditionalFormatting sqref="E1938">
    <cfRule type="expression" dxfId="1504" priority="3417" stopIfTrue="1">
      <formula>ISERROR(E1938)</formula>
    </cfRule>
  </conditionalFormatting>
  <conditionalFormatting sqref="C1939">
    <cfRule type="expression" dxfId="1503" priority="3398" stopIfTrue="1">
      <formula>LEN(TRIM(C1939))=0</formula>
    </cfRule>
  </conditionalFormatting>
  <conditionalFormatting sqref="E1939">
    <cfRule type="expression" dxfId="1502" priority="3416" stopIfTrue="1">
      <formula>ISERROR(E1939)</formula>
    </cfRule>
  </conditionalFormatting>
  <conditionalFormatting sqref="C1940">
    <cfRule type="expression" dxfId="1501" priority="3397" stopIfTrue="1">
      <formula>LEN(TRIM(C1940))=0</formula>
    </cfRule>
  </conditionalFormatting>
  <conditionalFormatting sqref="E1940">
    <cfRule type="expression" dxfId="1500" priority="3415" stopIfTrue="1">
      <formula>ISERROR(E1940)</formula>
    </cfRule>
  </conditionalFormatting>
  <conditionalFormatting sqref="C1941">
    <cfRule type="expression" dxfId="1499" priority="3396" stopIfTrue="1">
      <formula>LEN(TRIM(C1941))=0</formula>
    </cfRule>
  </conditionalFormatting>
  <conditionalFormatting sqref="E1941">
    <cfRule type="expression" dxfId="1498" priority="3414" stopIfTrue="1">
      <formula>ISERROR(E1941)</formula>
    </cfRule>
  </conditionalFormatting>
  <conditionalFormatting sqref="C1942">
    <cfRule type="expression" dxfId="1497" priority="3395" stopIfTrue="1">
      <formula>LEN(TRIM(C1942))=0</formula>
    </cfRule>
  </conditionalFormatting>
  <conditionalFormatting sqref="E1942">
    <cfRule type="expression" dxfId="1496" priority="3413" stopIfTrue="1">
      <formula>ISERROR(E1942)</formula>
    </cfRule>
  </conditionalFormatting>
  <conditionalFormatting sqref="C1943">
    <cfRule type="expression" dxfId="1495" priority="3308" stopIfTrue="1">
      <formula>LEN(TRIM(C1943))=0</formula>
    </cfRule>
  </conditionalFormatting>
  <conditionalFormatting sqref="E1943">
    <cfRule type="expression" dxfId="1494" priority="3394" stopIfTrue="1">
      <formula>ISERROR(E1943)</formula>
    </cfRule>
  </conditionalFormatting>
  <conditionalFormatting sqref="C1944">
    <cfRule type="expression" dxfId="1493" priority="3307" stopIfTrue="1">
      <formula>LEN(TRIM(C1944))=0</formula>
    </cfRule>
  </conditionalFormatting>
  <conditionalFormatting sqref="E1944">
    <cfRule type="expression" dxfId="1492" priority="3393" stopIfTrue="1">
      <formula>ISERROR(E1944)</formula>
    </cfRule>
  </conditionalFormatting>
  <conditionalFormatting sqref="C1945">
    <cfRule type="expression" dxfId="1491" priority="3306" stopIfTrue="1">
      <formula>LEN(TRIM(C1945))=0</formula>
    </cfRule>
  </conditionalFormatting>
  <conditionalFormatting sqref="E1945">
    <cfRule type="expression" dxfId="1490" priority="3392" stopIfTrue="1">
      <formula>ISERROR(E1945)</formula>
    </cfRule>
  </conditionalFormatting>
  <conditionalFormatting sqref="E1946">
    <cfRule type="expression" dxfId="1489" priority="3391" stopIfTrue="1">
      <formula>ISERROR(E1946)</formula>
    </cfRule>
  </conditionalFormatting>
  <conditionalFormatting sqref="E1947">
    <cfRule type="expression" dxfId="1488" priority="3390" stopIfTrue="1">
      <formula>ISERROR(E1947)</formula>
    </cfRule>
  </conditionalFormatting>
  <conditionalFormatting sqref="E1948">
    <cfRule type="expression" dxfId="1487" priority="3389" stopIfTrue="1">
      <formula>ISERROR(E1948)</formula>
    </cfRule>
  </conditionalFormatting>
  <conditionalFormatting sqref="E1949">
    <cfRule type="expression" dxfId="1486" priority="3388" stopIfTrue="1">
      <formula>ISERROR(E1949)</formula>
    </cfRule>
  </conditionalFormatting>
  <conditionalFormatting sqref="C1950">
    <cfRule type="expression" dxfId="1485" priority="3303" stopIfTrue="1">
      <formula>LEN(TRIM(C1950))=0</formula>
    </cfRule>
  </conditionalFormatting>
  <conditionalFormatting sqref="E1950">
    <cfRule type="expression" dxfId="1484" priority="3387" stopIfTrue="1">
      <formula>ISERROR(E1950)</formula>
    </cfRule>
  </conditionalFormatting>
  <conditionalFormatting sqref="C1951">
    <cfRule type="expression" dxfId="1483" priority="3302" stopIfTrue="1">
      <formula>LEN(TRIM(C1951))=0</formula>
    </cfRule>
  </conditionalFormatting>
  <conditionalFormatting sqref="E1951">
    <cfRule type="expression" dxfId="1482" priority="3386" stopIfTrue="1">
      <formula>ISERROR(E1951)</formula>
    </cfRule>
  </conditionalFormatting>
  <conditionalFormatting sqref="C1952">
    <cfRule type="expression" dxfId="1481" priority="3301" stopIfTrue="1">
      <formula>LEN(TRIM(C1952))=0</formula>
    </cfRule>
  </conditionalFormatting>
  <conditionalFormatting sqref="E1952">
    <cfRule type="expression" dxfId="1480" priority="3385" stopIfTrue="1">
      <formula>ISERROR(E1952)</formula>
    </cfRule>
  </conditionalFormatting>
  <conditionalFormatting sqref="C1953">
    <cfRule type="expression" dxfId="1479" priority="3300" stopIfTrue="1">
      <formula>LEN(TRIM(C1953))=0</formula>
    </cfRule>
  </conditionalFormatting>
  <conditionalFormatting sqref="E1953">
    <cfRule type="expression" dxfId="1478" priority="3384" stopIfTrue="1">
      <formula>ISERROR(E1953)</formula>
    </cfRule>
  </conditionalFormatting>
  <conditionalFormatting sqref="C1954">
    <cfRule type="expression" dxfId="1477" priority="3299" stopIfTrue="1">
      <formula>LEN(TRIM(C1954))=0</formula>
    </cfRule>
  </conditionalFormatting>
  <conditionalFormatting sqref="E1954">
    <cfRule type="expression" dxfId="1476" priority="3383" stopIfTrue="1">
      <formula>ISERROR(E1954)</formula>
    </cfRule>
  </conditionalFormatting>
  <conditionalFormatting sqref="C1955">
    <cfRule type="expression" dxfId="1475" priority="3298" stopIfTrue="1">
      <formula>LEN(TRIM(C1955))=0</formula>
    </cfRule>
  </conditionalFormatting>
  <conditionalFormatting sqref="E1955">
    <cfRule type="expression" dxfId="1474" priority="3382" stopIfTrue="1">
      <formula>ISERROR(E1955)</formula>
    </cfRule>
  </conditionalFormatting>
  <conditionalFormatting sqref="G1955:H1955">
    <cfRule type="expression" dxfId="1473" priority="3340" stopIfTrue="1">
      <formula>LEN(TRIM(G1955))=0</formula>
    </cfRule>
  </conditionalFormatting>
  <conditionalFormatting sqref="C1956">
    <cfRule type="expression" dxfId="1472" priority="3297" stopIfTrue="1">
      <formula>LEN(TRIM(C1956))=0</formula>
    </cfRule>
  </conditionalFormatting>
  <conditionalFormatting sqref="E1956">
    <cfRule type="expression" dxfId="1471" priority="3381" stopIfTrue="1">
      <formula>ISERROR(E1956)</formula>
    </cfRule>
  </conditionalFormatting>
  <conditionalFormatting sqref="C1957">
    <cfRule type="expression" dxfId="1470" priority="3296" stopIfTrue="1">
      <formula>LEN(TRIM(C1957))=0</formula>
    </cfRule>
  </conditionalFormatting>
  <conditionalFormatting sqref="E1957">
    <cfRule type="expression" dxfId="1469" priority="3380" stopIfTrue="1">
      <formula>ISERROR(E1957)</formula>
    </cfRule>
  </conditionalFormatting>
  <conditionalFormatting sqref="C1958">
    <cfRule type="expression" dxfId="1468" priority="3295" stopIfTrue="1">
      <formula>LEN(TRIM(C1958))=0</formula>
    </cfRule>
  </conditionalFormatting>
  <conditionalFormatting sqref="E1958">
    <cfRule type="expression" dxfId="1467" priority="3379" stopIfTrue="1">
      <formula>ISERROR(E1958)</formula>
    </cfRule>
  </conditionalFormatting>
  <conditionalFormatting sqref="C1959">
    <cfRule type="expression" dxfId="1466" priority="3294" stopIfTrue="1">
      <formula>LEN(TRIM(C1959))=0</formula>
    </cfRule>
  </conditionalFormatting>
  <conditionalFormatting sqref="E1959">
    <cfRule type="expression" dxfId="1465" priority="3378" stopIfTrue="1">
      <formula>ISERROR(E1959)</formula>
    </cfRule>
  </conditionalFormatting>
  <conditionalFormatting sqref="C1960">
    <cfRule type="expression" dxfId="1464" priority="3293" stopIfTrue="1">
      <formula>LEN(TRIM(C1960))=0</formula>
    </cfRule>
  </conditionalFormatting>
  <conditionalFormatting sqref="E1960">
    <cfRule type="expression" dxfId="1463" priority="3377" stopIfTrue="1">
      <formula>ISERROR(E1960)</formula>
    </cfRule>
  </conditionalFormatting>
  <conditionalFormatting sqref="C1961">
    <cfRule type="expression" dxfId="1462" priority="3292" stopIfTrue="1">
      <formula>LEN(TRIM(C1961))=0</formula>
    </cfRule>
  </conditionalFormatting>
  <conditionalFormatting sqref="E1961">
    <cfRule type="expression" dxfId="1461" priority="3376" stopIfTrue="1">
      <formula>ISERROR(E1961)</formula>
    </cfRule>
  </conditionalFormatting>
  <conditionalFormatting sqref="C1962">
    <cfRule type="expression" dxfId="1460" priority="3291" stopIfTrue="1">
      <formula>LEN(TRIM(C1962))=0</formula>
    </cfRule>
  </conditionalFormatting>
  <conditionalFormatting sqref="E1962">
    <cfRule type="expression" dxfId="1459" priority="3375" stopIfTrue="1">
      <formula>ISERROR(E1962)</formula>
    </cfRule>
  </conditionalFormatting>
  <conditionalFormatting sqref="C1963">
    <cfRule type="expression" dxfId="1458" priority="3271" stopIfTrue="1">
      <formula>LEN(TRIM(C1963))=0</formula>
    </cfRule>
  </conditionalFormatting>
  <conditionalFormatting sqref="E1963">
    <cfRule type="expression" dxfId="1457" priority="3374" stopIfTrue="1">
      <formula>ISERROR(E1963)</formula>
    </cfRule>
  </conditionalFormatting>
  <conditionalFormatting sqref="C1964">
    <cfRule type="expression" dxfId="1456" priority="3290" stopIfTrue="1">
      <formula>LEN(TRIM(C1964))=0</formula>
    </cfRule>
  </conditionalFormatting>
  <conditionalFormatting sqref="E1964">
    <cfRule type="expression" dxfId="1455" priority="3373" stopIfTrue="1">
      <formula>ISERROR(E1964)</formula>
    </cfRule>
  </conditionalFormatting>
  <conditionalFormatting sqref="E1965">
    <cfRule type="expression" dxfId="1454" priority="3372" stopIfTrue="1">
      <formula>ISERROR(E1965)</formula>
    </cfRule>
  </conditionalFormatting>
  <conditionalFormatting sqref="E1966">
    <cfRule type="expression" dxfId="1453" priority="3371" stopIfTrue="1">
      <formula>ISERROR(E1966)</formula>
    </cfRule>
  </conditionalFormatting>
  <conditionalFormatting sqref="C1967">
    <cfRule type="expression" dxfId="1452" priority="3289" stopIfTrue="1">
      <formula>LEN(TRIM(C1967))=0</formula>
    </cfRule>
  </conditionalFormatting>
  <conditionalFormatting sqref="C1968">
    <cfRule type="expression" dxfId="1451" priority="3288" stopIfTrue="1">
      <formula>LEN(TRIM(C1968))=0</formula>
    </cfRule>
  </conditionalFormatting>
  <conditionalFormatting sqref="E1968">
    <cfRule type="expression" dxfId="1450" priority="3370" stopIfTrue="1">
      <formula>ISERROR(E1968)</formula>
    </cfRule>
  </conditionalFormatting>
  <conditionalFormatting sqref="C1969">
    <cfRule type="expression" dxfId="1449" priority="3287" stopIfTrue="1">
      <formula>LEN(TRIM(C1969))=0</formula>
    </cfRule>
  </conditionalFormatting>
  <conditionalFormatting sqref="C1970">
    <cfRule type="expression" dxfId="1448" priority="3286" stopIfTrue="1">
      <formula>LEN(TRIM(C1970))=0</formula>
    </cfRule>
  </conditionalFormatting>
  <conditionalFormatting sqref="C1971">
    <cfRule type="expression" dxfId="1447" priority="3285" stopIfTrue="1">
      <formula>LEN(TRIM(C1971))=0</formula>
    </cfRule>
  </conditionalFormatting>
  <conditionalFormatting sqref="E1971">
    <cfRule type="expression" dxfId="1446" priority="3368" stopIfTrue="1">
      <formula>ISERROR(E1971)</formula>
    </cfRule>
  </conditionalFormatting>
  <conditionalFormatting sqref="C1972">
    <cfRule type="expression" dxfId="1445" priority="3284" stopIfTrue="1">
      <formula>LEN(TRIM(C1972))=0</formula>
    </cfRule>
  </conditionalFormatting>
  <conditionalFormatting sqref="E1972">
    <cfRule type="expression" dxfId="1444" priority="3367" stopIfTrue="1">
      <formula>ISERROR(E1972)</formula>
    </cfRule>
  </conditionalFormatting>
  <conditionalFormatting sqref="C1973">
    <cfRule type="expression" dxfId="1443" priority="3283" stopIfTrue="1">
      <formula>LEN(TRIM(C1973))=0</formula>
    </cfRule>
  </conditionalFormatting>
  <conditionalFormatting sqref="E1973">
    <cfRule type="expression" dxfId="1442" priority="3366" stopIfTrue="1">
      <formula>ISERROR(E1973)</formula>
    </cfRule>
  </conditionalFormatting>
  <conditionalFormatting sqref="C1974">
    <cfRule type="expression" dxfId="1441" priority="3282" stopIfTrue="1">
      <formula>LEN(TRIM(C1974))=0</formula>
    </cfRule>
  </conditionalFormatting>
  <conditionalFormatting sqref="E1974">
    <cfRule type="expression" dxfId="1440" priority="3365" stopIfTrue="1">
      <formula>ISERROR(E1974)</formula>
    </cfRule>
  </conditionalFormatting>
  <conditionalFormatting sqref="C1975">
    <cfRule type="expression" dxfId="1439" priority="3281" stopIfTrue="1">
      <formula>LEN(TRIM(C1975))=0</formula>
    </cfRule>
  </conditionalFormatting>
  <conditionalFormatting sqref="E1975">
    <cfRule type="expression" dxfId="1438" priority="3364" stopIfTrue="1">
      <formula>ISERROR(E1975)</formula>
    </cfRule>
  </conditionalFormatting>
  <conditionalFormatting sqref="C1976">
    <cfRule type="expression" dxfId="1437" priority="3280" stopIfTrue="1">
      <formula>LEN(TRIM(C1976))=0</formula>
    </cfRule>
  </conditionalFormatting>
  <conditionalFormatting sqref="E1976">
    <cfRule type="expression" dxfId="1436" priority="3363" stopIfTrue="1">
      <formula>ISERROR(E1976)</formula>
    </cfRule>
  </conditionalFormatting>
  <conditionalFormatting sqref="E1977">
    <cfRule type="expression" dxfId="1435" priority="3362" stopIfTrue="1">
      <formula>ISERROR(E1977)</formula>
    </cfRule>
  </conditionalFormatting>
  <conditionalFormatting sqref="E1978">
    <cfRule type="expression" dxfId="1434" priority="3361" stopIfTrue="1">
      <formula>ISERROR(E1978)</formula>
    </cfRule>
  </conditionalFormatting>
  <conditionalFormatting sqref="C1979">
    <cfRule type="expression" dxfId="1433" priority="3279" stopIfTrue="1">
      <formula>LEN(TRIM(C1979))=0</formula>
    </cfRule>
  </conditionalFormatting>
  <conditionalFormatting sqref="E1979">
    <cfRule type="expression" dxfId="1432" priority="3360" stopIfTrue="1">
      <formula>ISERROR(E1979)</formula>
    </cfRule>
  </conditionalFormatting>
  <conditionalFormatting sqref="C1980">
    <cfRule type="expression" dxfId="1431" priority="3278" stopIfTrue="1">
      <formula>LEN(TRIM(C1980))=0</formula>
    </cfRule>
  </conditionalFormatting>
  <conditionalFormatting sqref="E1980">
    <cfRule type="expression" dxfId="1430" priority="3359" stopIfTrue="1">
      <formula>ISERROR(E1980)</formula>
    </cfRule>
  </conditionalFormatting>
  <conditionalFormatting sqref="C1981">
    <cfRule type="expression" dxfId="1429" priority="3277" stopIfTrue="1">
      <formula>LEN(TRIM(C1981))=0</formula>
    </cfRule>
  </conditionalFormatting>
  <conditionalFormatting sqref="E1981">
    <cfRule type="expression" dxfId="1428" priority="3358" stopIfTrue="1">
      <formula>ISERROR(E1981)</formula>
    </cfRule>
  </conditionalFormatting>
  <conditionalFormatting sqref="C1982">
    <cfRule type="expression" dxfId="1427" priority="3276" stopIfTrue="1">
      <formula>LEN(TRIM(C1982))=0</formula>
    </cfRule>
  </conditionalFormatting>
  <conditionalFormatting sqref="E1982">
    <cfRule type="expression" dxfId="1426" priority="3357" stopIfTrue="1">
      <formula>ISERROR(E1982)</formula>
    </cfRule>
  </conditionalFormatting>
  <conditionalFormatting sqref="C1983">
    <cfRule type="expression" dxfId="1425" priority="3275" stopIfTrue="1">
      <formula>LEN(TRIM(C1983))=0</formula>
    </cfRule>
  </conditionalFormatting>
  <conditionalFormatting sqref="E1983">
    <cfRule type="expression" dxfId="1424" priority="3356" stopIfTrue="1">
      <formula>ISERROR(E1983)</formula>
    </cfRule>
  </conditionalFormatting>
  <conditionalFormatting sqref="C1984">
    <cfRule type="expression" dxfId="1423" priority="3274" stopIfTrue="1">
      <formula>LEN(TRIM(C1984))=0</formula>
    </cfRule>
  </conditionalFormatting>
  <conditionalFormatting sqref="E1984">
    <cfRule type="expression" dxfId="1422" priority="3355" stopIfTrue="1">
      <formula>ISERROR(E1984)</formula>
    </cfRule>
  </conditionalFormatting>
  <conditionalFormatting sqref="C1985">
    <cfRule type="expression" dxfId="1421" priority="3273" stopIfTrue="1">
      <formula>LEN(TRIM(C1985))=0</formula>
    </cfRule>
  </conditionalFormatting>
  <conditionalFormatting sqref="E1985">
    <cfRule type="expression" dxfId="1420" priority="3354" stopIfTrue="1">
      <formula>ISERROR(E1985)</formula>
    </cfRule>
  </conditionalFormatting>
  <conditionalFormatting sqref="C1986">
    <cfRule type="expression" dxfId="1419" priority="3272" stopIfTrue="1">
      <formula>LEN(TRIM(C1986))=0</formula>
    </cfRule>
  </conditionalFormatting>
  <conditionalFormatting sqref="E1986">
    <cfRule type="expression" dxfId="1418" priority="3353" stopIfTrue="1">
      <formula>ISERROR(E1986)</formula>
    </cfRule>
  </conditionalFormatting>
  <conditionalFormatting sqref="C1987">
    <cfRule type="expression" dxfId="1417" priority="3247" stopIfTrue="1">
      <formula>LEN(TRIM(C1987))=0</formula>
    </cfRule>
  </conditionalFormatting>
  <conditionalFormatting sqref="E1987">
    <cfRule type="expression" dxfId="1416" priority="3263" stopIfTrue="1">
      <formula>ISERROR(E1987)</formula>
    </cfRule>
  </conditionalFormatting>
  <conditionalFormatting sqref="C1988">
    <cfRule type="expression" dxfId="1415" priority="3246" stopIfTrue="1">
      <formula>LEN(TRIM(C1988))=0</formula>
    </cfRule>
  </conditionalFormatting>
  <conditionalFormatting sqref="E1988">
    <cfRule type="expression" dxfId="1414" priority="3262" stopIfTrue="1">
      <formula>ISERROR(E1988)</formula>
    </cfRule>
  </conditionalFormatting>
  <conditionalFormatting sqref="C1989">
    <cfRule type="expression" dxfId="1413" priority="3245" stopIfTrue="1">
      <formula>LEN(TRIM(C1989))=0</formula>
    </cfRule>
  </conditionalFormatting>
  <conditionalFormatting sqref="E1989">
    <cfRule type="expression" dxfId="1412" priority="3261" stopIfTrue="1">
      <formula>ISERROR(E1989)</formula>
    </cfRule>
  </conditionalFormatting>
  <conditionalFormatting sqref="C1990">
    <cfRule type="expression" dxfId="1411" priority="3244" stopIfTrue="1">
      <formula>LEN(TRIM(C1990))=0</formula>
    </cfRule>
  </conditionalFormatting>
  <conditionalFormatting sqref="E1990">
    <cfRule type="expression" dxfId="1410" priority="3260" stopIfTrue="1">
      <formula>ISERROR(E1990)</formula>
    </cfRule>
  </conditionalFormatting>
  <conditionalFormatting sqref="C1991">
    <cfRule type="expression" dxfId="1409" priority="3243" stopIfTrue="1">
      <formula>LEN(TRIM(C1991))=0</formula>
    </cfRule>
  </conditionalFormatting>
  <conditionalFormatting sqref="E1991">
    <cfRule type="expression" dxfId="1408" priority="3259" stopIfTrue="1">
      <formula>ISERROR(E1991)</formula>
    </cfRule>
  </conditionalFormatting>
  <conditionalFormatting sqref="C1992">
    <cfRule type="expression" dxfId="1407" priority="3242" stopIfTrue="1">
      <formula>LEN(TRIM(C1992))=0</formula>
    </cfRule>
  </conditionalFormatting>
  <conditionalFormatting sqref="E1992">
    <cfRule type="expression" dxfId="1406" priority="3258" stopIfTrue="1">
      <formula>ISERROR(E1992)</formula>
    </cfRule>
  </conditionalFormatting>
  <conditionalFormatting sqref="C1993">
    <cfRule type="expression" dxfId="1405" priority="3241" stopIfTrue="1">
      <formula>LEN(TRIM(C1993))=0</formula>
    </cfRule>
  </conditionalFormatting>
  <conditionalFormatting sqref="E1993">
    <cfRule type="expression" dxfId="1404" priority="3257" stopIfTrue="1">
      <formula>ISERROR(E1993)</formula>
    </cfRule>
  </conditionalFormatting>
  <conditionalFormatting sqref="C1994">
    <cfRule type="expression" dxfId="1403" priority="3240" stopIfTrue="1">
      <formula>LEN(TRIM(C1994))=0</formula>
    </cfRule>
  </conditionalFormatting>
  <conditionalFormatting sqref="C1995">
    <cfRule type="expression" dxfId="1402" priority="3239" stopIfTrue="1">
      <formula>LEN(TRIM(C1995))=0</formula>
    </cfRule>
  </conditionalFormatting>
  <conditionalFormatting sqref="C1996">
    <cfRule type="expression" dxfId="1401" priority="3238" stopIfTrue="1">
      <formula>LEN(TRIM(C1996))=0</formula>
    </cfRule>
  </conditionalFormatting>
  <conditionalFormatting sqref="C1997">
    <cfRule type="expression" dxfId="1400" priority="3237" stopIfTrue="1">
      <formula>LEN(TRIM(C1997))=0</formula>
    </cfRule>
  </conditionalFormatting>
  <conditionalFormatting sqref="C1998">
    <cfRule type="expression" dxfId="1399" priority="3236" stopIfTrue="1">
      <formula>LEN(TRIM(C1998))=0</formula>
    </cfRule>
  </conditionalFormatting>
  <conditionalFormatting sqref="C1999">
    <cfRule type="expression" dxfId="1398" priority="3235" stopIfTrue="1">
      <formula>LEN(TRIM(C1999))=0</formula>
    </cfRule>
  </conditionalFormatting>
  <conditionalFormatting sqref="C2000">
    <cfRule type="expression" dxfId="1397" priority="3234" stopIfTrue="1">
      <formula>LEN(TRIM(C2000))=0</formula>
    </cfRule>
  </conditionalFormatting>
  <conditionalFormatting sqref="C2001">
    <cfRule type="expression" dxfId="1396" priority="3233" stopIfTrue="1">
      <formula>LEN(TRIM(C2001))=0</formula>
    </cfRule>
  </conditionalFormatting>
  <conditionalFormatting sqref="C2002">
    <cfRule type="expression" dxfId="1395" priority="3232" stopIfTrue="1">
      <formula>LEN(TRIM(C2002))=0</formula>
    </cfRule>
  </conditionalFormatting>
  <conditionalFormatting sqref="C2003">
    <cfRule type="expression" dxfId="1394" priority="3231" stopIfTrue="1">
      <formula>LEN(TRIM(C2003))=0</formula>
    </cfRule>
  </conditionalFormatting>
  <conditionalFormatting sqref="C2004">
    <cfRule type="expression" dxfId="1393" priority="3230" stopIfTrue="1">
      <formula>LEN(TRIM(C2004))=0</formula>
    </cfRule>
  </conditionalFormatting>
  <conditionalFormatting sqref="C2005">
    <cfRule type="expression" dxfId="1392" priority="3229" stopIfTrue="1">
      <formula>LEN(TRIM(C2005))=0</formula>
    </cfRule>
  </conditionalFormatting>
  <conditionalFormatting sqref="C2006">
    <cfRule type="expression" dxfId="1391" priority="3228" stopIfTrue="1">
      <formula>LEN(TRIM(C2006))=0</formula>
    </cfRule>
  </conditionalFormatting>
  <conditionalFormatting sqref="C2007">
    <cfRule type="expression" dxfId="1390" priority="3227" stopIfTrue="1">
      <formula>LEN(TRIM(C2007))=0</formula>
    </cfRule>
  </conditionalFormatting>
  <conditionalFormatting sqref="C2008">
    <cfRule type="expression" dxfId="1389" priority="3226" stopIfTrue="1">
      <formula>LEN(TRIM(C2008))=0</formula>
    </cfRule>
  </conditionalFormatting>
  <conditionalFormatting sqref="C2009">
    <cfRule type="expression" dxfId="1388" priority="3225" stopIfTrue="1">
      <formula>LEN(TRIM(C2009))=0</formula>
    </cfRule>
  </conditionalFormatting>
  <conditionalFormatting sqref="C2010">
    <cfRule type="expression" dxfId="1387" priority="3204" stopIfTrue="1">
      <formula>LEN(TRIM(C2010))=0</formula>
    </cfRule>
  </conditionalFormatting>
  <conditionalFormatting sqref="C2011">
    <cfRule type="expression" dxfId="1386" priority="3224" stopIfTrue="1">
      <formula>LEN(TRIM(C2011))=0</formula>
    </cfRule>
  </conditionalFormatting>
  <conditionalFormatting sqref="C2012">
    <cfRule type="expression" dxfId="1385" priority="3223" stopIfTrue="1">
      <formula>LEN(TRIM(C2012))=0</formula>
    </cfRule>
  </conditionalFormatting>
  <conditionalFormatting sqref="C2013">
    <cfRule type="expression" dxfId="1384" priority="3222" stopIfTrue="1">
      <formula>LEN(TRIM(C2013))=0</formula>
    </cfRule>
  </conditionalFormatting>
  <conditionalFormatting sqref="C2014">
    <cfRule type="expression" dxfId="1383" priority="3221" stopIfTrue="1">
      <formula>LEN(TRIM(C2014))=0</formula>
    </cfRule>
  </conditionalFormatting>
  <conditionalFormatting sqref="C2018">
    <cfRule type="expression" dxfId="1382" priority="3219" stopIfTrue="1">
      <formula>LEN(TRIM(C2018))=0</formula>
    </cfRule>
  </conditionalFormatting>
  <conditionalFormatting sqref="C2019">
    <cfRule type="expression" dxfId="1381" priority="3218" stopIfTrue="1">
      <formula>LEN(TRIM(C2019))=0</formula>
    </cfRule>
  </conditionalFormatting>
  <conditionalFormatting sqref="C2020">
    <cfRule type="expression" dxfId="1380" priority="3217" stopIfTrue="1">
      <formula>LEN(TRIM(C2020))=0</formula>
    </cfRule>
  </conditionalFormatting>
  <conditionalFormatting sqref="C2021">
    <cfRule type="expression" dxfId="1379" priority="3216" stopIfTrue="1">
      <formula>LEN(TRIM(C2021))=0</formula>
    </cfRule>
  </conditionalFormatting>
  <conditionalFormatting sqref="C2022">
    <cfRule type="expression" dxfId="1378" priority="3215" stopIfTrue="1">
      <formula>LEN(TRIM(C2022))=0</formula>
    </cfRule>
  </conditionalFormatting>
  <conditionalFormatting sqref="C2023">
    <cfRule type="expression" dxfId="1377" priority="3214" stopIfTrue="1">
      <formula>LEN(TRIM(C2023))=0</formula>
    </cfRule>
  </conditionalFormatting>
  <conditionalFormatting sqref="C2024">
    <cfRule type="expression" dxfId="1376" priority="3213" stopIfTrue="1">
      <formula>LEN(TRIM(C2024))=0</formula>
    </cfRule>
  </conditionalFormatting>
  <conditionalFormatting sqref="C2025">
    <cfRule type="expression" dxfId="1375" priority="3212" stopIfTrue="1">
      <formula>LEN(TRIM(C2025))=0</formula>
    </cfRule>
  </conditionalFormatting>
  <conditionalFormatting sqref="C2026">
    <cfRule type="expression" dxfId="1374" priority="3211" stopIfTrue="1">
      <formula>LEN(TRIM(C2026))=0</formula>
    </cfRule>
  </conditionalFormatting>
  <conditionalFormatting sqref="C2027">
    <cfRule type="expression" dxfId="1373" priority="3210" stopIfTrue="1">
      <formula>LEN(TRIM(C2027))=0</formula>
    </cfRule>
  </conditionalFormatting>
  <conditionalFormatting sqref="C2028">
    <cfRule type="expression" dxfId="1372" priority="3209" stopIfTrue="1">
      <formula>LEN(TRIM(C2028))=0</formula>
    </cfRule>
  </conditionalFormatting>
  <conditionalFormatting sqref="C2029">
    <cfRule type="expression" dxfId="1371" priority="3208" stopIfTrue="1">
      <formula>LEN(TRIM(C2029))=0</formula>
    </cfRule>
  </conditionalFormatting>
  <conditionalFormatting sqref="C2030">
    <cfRule type="expression" dxfId="1370" priority="3207" stopIfTrue="1">
      <formula>LEN(TRIM(C2030))=0</formula>
    </cfRule>
  </conditionalFormatting>
  <conditionalFormatting sqref="C2031">
    <cfRule type="expression" dxfId="1369" priority="3206" stopIfTrue="1">
      <formula>LEN(TRIM(C2031))=0</formula>
    </cfRule>
  </conditionalFormatting>
  <conditionalFormatting sqref="C2032">
    <cfRule type="expression" dxfId="1368" priority="3205" stopIfTrue="1">
      <formula>LEN(TRIM(C2032))=0</formula>
    </cfRule>
  </conditionalFormatting>
  <conditionalFormatting sqref="C2033">
    <cfRule type="expression" dxfId="1367" priority="3199" stopIfTrue="1">
      <formula>LEN(TRIM(C2033))=0</formula>
    </cfRule>
  </conditionalFormatting>
  <conditionalFormatting sqref="E2033">
    <cfRule type="expression" dxfId="1366" priority="3203" stopIfTrue="1">
      <formula>ISERROR(E2033)</formula>
    </cfRule>
  </conditionalFormatting>
  <conditionalFormatting sqref="C2034">
    <cfRule type="expression" dxfId="1365" priority="3198" stopIfTrue="1">
      <formula>LEN(TRIM(C2034))=0</formula>
    </cfRule>
  </conditionalFormatting>
  <conditionalFormatting sqref="E2034">
    <cfRule type="expression" dxfId="1364" priority="3202" stopIfTrue="1">
      <formula>ISERROR(E2034)</formula>
    </cfRule>
  </conditionalFormatting>
  <conditionalFormatting sqref="E2039">
    <cfRule type="expression" dxfId="1363" priority="3189" stopIfTrue="1">
      <formula>ISERROR(E2039)</formula>
    </cfRule>
  </conditionalFormatting>
  <conditionalFormatting sqref="E2045">
    <cfRule type="expression" dxfId="1362" priority="3185" stopIfTrue="1">
      <formula>ISERROR(E2045)</formula>
    </cfRule>
  </conditionalFormatting>
  <conditionalFormatting sqref="E2047">
    <cfRule type="expression" dxfId="1361" priority="3181" stopIfTrue="1">
      <formula>ISERROR(E2047)</formula>
    </cfRule>
  </conditionalFormatting>
  <conditionalFormatting sqref="E2049">
    <cfRule type="expression" dxfId="1360" priority="3179" stopIfTrue="1">
      <formula>ISERROR(E2049)</formula>
    </cfRule>
  </conditionalFormatting>
  <conditionalFormatting sqref="E2053">
    <cfRule type="expression" dxfId="1359" priority="3183" stopIfTrue="1">
      <formula>ISERROR(E2053)</formula>
    </cfRule>
  </conditionalFormatting>
  <conditionalFormatting sqref="C2056">
    <cfRule type="expression" dxfId="1358" priority="3193" stopIfTrue="1">
      <formula>LEN(TRIM(C2056))=0</formula>
    </cfRule>
  </conditionalFormatting>
  <conditionalFormatting sqref="E2056">
    <cfRule type="expression" dxfId="1357" priority="3197" stopIfTrue="1">
      <formula>ISERROR(E2056)</formula>
    </cfRule>
  </conditionalFormatting>
  <conditionalFormatting sqref="E2058">
    <cfRule type="expression" dxfId="1356" priority="3162" stopIfTrue="1">
      <formula>ISERROR(E2058)</formula>
    </cfRule>
  </conditionalFormatting>
  <conditionalFormatting sqref="G2066">
    <cfRule type="expression" dxfId="1355" priority="12" stopIfTrue="1">
      <formula>LEN(TRIM(G2066))=0</formula>
    </cfRule>
  </conditionalFormatting>
  <conditionalFormatting sqref="E2070">
    <cfRule type="expression" dxfId="1354" priority="3196" stopIfTrue="1">
      <formula>ISERROR(E2070)</formula>
    </cfRule>
  </conditionalFormatting>
  <conditionalFormatting sqref="E2071">
    <cfRule type="expression" dxfId="1353" priority="3173" stopIfTrue="1">
      <formula>ISERROR(E2071)</formula>
    </cfRule>
  </conditionalFormatting>
  <conditionalFormatting sqref="H2071">
    <cfRule type="expression" dxfId="1352" priority="3169" stopIfTrue="1">
      <formula>LEN(TRIM(H2071))=0</formula>
    </cfRule>
  </conditionalFormatting>
  <conditionalFormatting sqref="C2072">
    <cfRule type="expression" dxfId="1351" priority="3165" stopIfTrue="1">
      <formula>LEN(TRIM(C2072))=0</formula>
    </cfRule>
  </conditionalFormatting>
  <conditionalFormatting sqref="E2072">
    <cfRule type="expression" dxfId="1350" priority="3172" stopIfTrue="1">
      <formula>ISERROR(E2072)</formula>
    </cfRule>
  </conditionalFormatting>
  <conditionalFormatting sqref="C2073">
    <cfRule type="expression" dxfId="1349" priority="3164" stopIfTrue="1">
      <formula>LEN(TRIM(C2073))=0</formula>
    </cfRule>
  </conditionalFormatting>
  <conditionalFormatting sqref="E2073">
    <cfRule type="expression" dxfId="1348" priority="3171" stopIfTrue="1">
      <formula>ISERROR(E2073)</formula>
    </cfRule>
  </conditionalFormatting>
  <conditionalFormatting sqref="C2074">
    <cfRule type="expression" dxfId="1347" priority="3163" stopIfTrue="1">
      <formula>LEN(TRIM(C2074))=0</formula>
    </cfRule>
  </conditionalFormatting>
  <conditionalFormatting sqref="E2074">
    <cfRule type="expression" dxfId="1346" priority="3170" stopIfTrue="1">
      <formula>ISERROR(E2074)</formula>
    </cfRule>
  </conditionalFormatting>
  <conditionalFormatting sqref="C2075">
    <cfRule type="expression" dxfId="1345" priority="2543" stopIfTrue="1">
      <formula>LEN(TRIM(C2075))=0</formula>
    </cfRule>
  </conditionalFormatting>
  <conditionalFormatting sqref="E2075">
    <cfRule type="expression" dxfId="1344" priority="2576" stopIfTrue="1">
      <formula>ISERROR(E2075)</formula>
    </cfRule>
  </conditionalFormatting>
  <conditionalFormatting sqref="F2075">
    <cfRule type="expression" dxfId="1343" priority="2587" stopIfTrue="1">
      <formula>ISERROR(F2075)</formula>
    </cfRule>
  </conditionalFormatting>
  <conditionalFormatting sqref="G2075:H2075">
    <cfRule type="expression" dxfId="1342" priority="2554" stopIfTrue="1">
      <formula>LEN(TRIM(G2075))=0</formula>
    </cfRule>
  </conditionalFormatting>
  <conditionalFormatting sqref="N2075">
    <cfRule type="expression" dxfId="1341" priority="2565" stopIfTrue="1">
      <formula>LEN(TRIM(N2075))=0</formula>
    </cfRule>
  </conditionalFormatting>
  <conditionalFormatting sqref="C2076">
    <cfRule type="expression" dxfId="1340" priority="2542" stopIfTrue="1">
      <formula>LEN(TRIM(C2076))=0</formula>
    </cfRule>
  </conditionalFormatting>
  <conditionalFormatting sqref="E2076">
    <cfRule type="expression" dxfId="1339" priority="2575" stopIfTrue="1">
      <formula>ISERROR(E2076)</formula>
    </cfRule>
  </conditionalFormatting>
  <conditionalFormatting sqref="F2076">
    <cfRule type="expression" dxfId="1338" priority="2586" stopIfTrue="1">
      <formula>ISERROR(F2076)</formula>
    </cfRule>
  </conditionalFormatting>
  <conditionalFormatting sqref="G2076:H2076">
    <cfRule type="expression" dxfId="1337" priority="2553" stopIfTrue="1">
      <formula>LEN(TRIM(G2076))=0</formula>
    </cfRule>
  </conditionalFormatting>
  <conditionalFormatting sqref="N2076">
    <cfRule type="expression" dxfId="1336" priority="2564" stopIfTrue="1">
      <formula>LEN(TRIM(N2076))=0</formula>
    </cfRule>
  </conditionalFormatting>
  <conditionalFormatting sqref="C2077">
    <cfRule type="expression" dxfId="1335" priority="2541" stopIfTrue="1">
      <formula>LEN(TRIM(C2077))=0</formula>
    </cfRule>
  </conditionalFormatting>
  <conditionalFormatting sqref="E2077">
    <cfRule type="expression" dxfId="1334" priority="2574" stopIfTrue="1">
      <formula>ISERROR(E2077)</formula>
    </cfRule>
  </conditionalFormatting>
  <conditionalFormatting sqref="F2077">
    <cfRule type="expression" dxfId="1333" priority="2585" stopIfTrue="1">
      <formula>ISERROR(F2077)</formula>
    </cfRule>
  </conditionalFormatting>
  <conditionalFormatting sqref="G2077:H2077">
    <cfRule type="expression" dxfId="1332" priority="2552" stopIfTrue="1">
      <formula>LEN(TRIM(G2077))=0</formula>
    </cfRule>
  </conditionalFormatting>
  <conditionalFormatting sqref="N2077">
    <cfRule type="expression" dxfId="1331" priority="2563" stopIfTrue="1">
      <formula>LEN(TRIM(N2077))=0</formula>
    </cfRule>
  </conditionalFormatting>
  <conditionalFormatting sqref="C2078">
    <cfRule type="expression" dxfId="1330" priority="2540" stopIfTrue="1">
      <formula>LEN(TRIM(C2078))=0</formula>
    </cfRule>
  </conditionalFormatting>
  <conditionalFormatting sqref="E2078">
    <cfRule type="expression" dxfId="1329" priority="2573" stopIfTrue="1">
      <formula>ISERROR(E2078)</formula>
    </cfRule>
  </conditionalFormatting>
  <conditionalFormatting sqref="F2078">
    <cfRule type="expression" dxfId="1328" priority="2584" stopIfTrue="1">
      <formula>ISERROR(F2078)</formula>
    </cfRule>
  </conditionalFormatting>
  <conditionalFormatting sqref="G2078:H2078">
    <cfRule type="expression" dxfId="1327" priority="2551" stopIfTrue="1">
      <formula>LEN(TRIM(G2078))=0</formula>
    </cfRule>
  </conditionalFormatting>
  <conditionalFormatting sqref="N2078">
    <cfRule type="expression" dxfId="1326" priority="2562" stopIfTrue="1">
      <formula>LEN(TRIM(N2078))=0</formula>
    </cfRule>
  </conditionalFormatting>
  <conditionalFormatting sqref="C2079">
    <cfRule type="expression" dxfId="1325" priority="2538" stopIfTrue="1">
      <formula>LEN(TRIM(C2079))=0</formula>
    </cfRule>
  </conditionalFormatting>
  <conditionalFormatting sqref="E2079">
    <cfRule type="expression" dxfId="1324" priority="2571" stopIfTrue="1">
      <formula>ISERROR(E2079)</formula>
    </cfRule>
  </conditionalFormatting>
  <conditionalFormatting sqref="F2079">
    <cfRule type="expression" dxfId="1323" priority="2582" stopIfTrue="1">
      <formula>ISERROR(F2079)</formula>
    </cfRule>
  </conditionalFormatting>
  <conditionalFormatting sqref="G2079:H2079">
    <cfRule type="expression" dxfId="1322" priority="2549" stopIfTrue="1">
      <formula>LEN(TRIM(G2079))=0</formula>
    </cfRule>
  </conditionalFormatting>
  <conditionalFormatting sqref="N2079">
    <cfRule type="expression" dxfId="1321" priority="2560" stopIfTrue="1">
      <formula>LEN(TRIM(N2079))=0</formula>
    </cfRule>
  </conditionalFormatting>
  <conditionalFormatting sqref="C2080">
    <cfRule type="expression" dxfId="1320" priority="2537" stopIfTrue="1">
      <formula>LEN(TRIM(C2080))=0</formula>
    </cfRule>
  </conditionalFormatting>
  <conditionalFormatting sqref="E2080">
    <cfRule type="expression" dxfId="1319" priority="2570" stopIfTrue="1">
      <formula>ISERROR(E2080)</formula>
    </cfRule>
  </conditionalFormatting>
  <conditionalFormatting sqref="F2080">
    <cfRule type="expression" dxfId="1318" priority="2581" stopIfTrue="1">
      <formula>ISERROR(F2080)</formula>
    </cfRule>
  </conditionalFormatting>
  <conditionalFormatting sqref="G2080:H2080">
    <cfRule type="expression" dxfId="1317" priority="2548" stopIfTrue="1">
      <formula>LEN(TRIM(G2080))=0</formula>
    </cfRule>
  </conditionalFormatting>
  <conditionalFormatting sqref="N2080">
    <cfRule type="expression" dxfId="1316" priority="2559" stopIfTrue="1">
      <formula>LEN(TRIM(N2080))=0</formula>
    </cfRule>
  </conditionalFormatting>
  <conditionalFormatting sqref="C2081">
    <cfRule type="expression" dxfId="1315" priority="2536" stopIfTrue="1">
      <formula>LEN(TRIM(C2081))=0</formula>
    </cfRule>
  </conditionalFormatting>
  <conditionalFormatting sqref="E2081">
    <cfRule type="expression" dxfId="1314" priority="2569" stopIfTrue="1">
      <formula>ISERROR(E2081)</formula>
    </cfRule>
  </conditionalFormatting>
  <conditionalFormatting sqref="F2081">
    <cfRule type="expression" dxfId="1313" priority="2580" stopIfTrue="1">
      <formula>ISERROR(F2081)</formula>
    </cfRule>
  </conditionalFormatting>
  <conditionalFormatting sqref="G2081:H2081">
    <cfRule type="expression" dxfId="1312" priority="2547" stopIfTrue="1">
      <formula>LEN(TRIM(G2081))=0</formula>
    </cfRule>
  </conditionalFormatting>
  <conditionalFormatting sqref="N2081">
    <cfRule type="expression" dxfId="1311" priority="2558" stopIfTrue="1">
      <formula>LEN(TRIM(N2081))=0</formula>
    </cfRule>
  </conditionalFormatting>
  <conditionalFormatting sqref="C2082">
    <cfRule type="expression" dxfId="1310" priority="2535" stopIfTrue="1">
      <formula>LEN(TRIM(C2082))=0</formula>
    </cfRule>
  </conditionalFormatting>
  <conditionalFormatting sqref="E2082">
    <cfRule type="expression" dxfId="1309" priority="2568" stopIfTrue="1">
      <formula>ISERROR(E2082)</formula>
    </cfRule>
  </conditionalFormatting>
  <conditionalFormatting sqref="F2082">
    <cfRule type="expression" dxfId="1308" priority="2579" stopIfTrue="1">
      <formula>ISERROR(F2082)</formula>
    </cfRule>
  </conditionalFormatting>
  <conditionalFormatting sqref="G2082:H2082">
    <cfRule type="expression" dxfId="1307" priority="2546" stopIfTrue="1">
      <formula>LEN(TRIM(G2082))=0</formula>
    </cfRule>
  </conditionalFormatting>
  <conditionalFormatting sqref="N2082">
    <cfRule type="expression" dxfId="1306" priority="2557" stopIfTrue="1">
      <formula>LEN(TRIM(N2082))=0</formula>
    </cfRule>
  </conditionalFormatting>
  <conditionalFormatting sqref="C2083">
    <cfRule type="expression" dxfId="1305" priority="2534" stopIfTrue="1">
      <formula>LEN(TRIM(C2083))=0</formula>
    </cfRule>
  </conditionalFormatting>
  <conditionalFormatting sqref="E2083">
    <cfRule type="expression" dxfId="1304" priority="2567" stopIfTrue="1">
      <formula>ISERROR(E2083)</formula>
    </cfRule>
  </conditionalFormatting>
  <conditionalFormatting sqref="F2083">
    <cfRule type="expression" dxfId="1303" priority="2578" stopIfTrue="1">
      <formula>ISERROR(F2083)</formula>
    </cfRule>
  </conditionalFormatting>
  <conditionalFormatting sqref="H2083">
    <cfRule type="expression" dxfId="1302" priority="2545" stopIfTrue="1">
      <formula>LEN(TRIM(H2083))=0</formula>
    </cfRule>
  </conditionalFormatting>
  <conditionalFormatting sqref="N2083">
    <cfRule type="expression" dxfId="1301" priority="2556" stopIfTrue="1">
      <formula>LEN(TRIM(N2083))=0</formula>
    </cfRule>
  </conditionalFormatting>
  <conditionalFormatting sqref="C2084">
    <cfRule type="expression" dxfId="1300" priority="2533" stopIfTrue="1">
      <formula>LEN(TRIM(C2084))=0</formula>
    </cfRule>
  </conditionalFormatting>
  <conditionalFormatting sqref="E2084">
    <cfRule type="expression" dxfId="1299" priority="2566" stopIfTrue="1">
      <formula>ISERROR(E2084)</formula>
    </cfRule>
  </conditionalFormatting>
  <conditionalFormatting sqref="F2084">
    <cfRule type="expression" dxfId="1298" priority="2577" stopIfTrue="1">
      <formula>ISERROR(F2084)</formula>
    </cfRule>
  </conditionalFormatting>
  <conditionalFormatting sqref="G2084:H2084">
    <cfRule type="expression" dxfId="1297" priority="2544" stopIfTrue="1">
      <formula>LEN(TRIM(G2084))=0</formula>
    </cfRule>
  </conditionalFormatting>
  <conditionalFormatting sqref="N2084">
    <cfRule type="expression" dxfId="1296" priority="2555" stopIfTrue="1">
      <formula>LEN(TRIM(N2084))=0</formula>
    </cfRule>
  </conditionalFormatting>
  <conditionalFormatting sqref="E2085">
    <cfRule type="expression" dxfId="1295" priority="3137" stopIfTrue="1">
      <formula>ISERROR(E2085)</formula>
    </cfRule>
  </conditionalFormatting>
  <conditionalFormatting sqref="E2087">
    <cfRule type="expression" dxfId="1294" priority="3153" stopIfTrue="1">
      <formula>ISERROR(E2087)</formula>
    </cfRule>
  </conditionalFormatting>
  <conditionalFormatting sqref="E2089">
    <cfRule type="expression" dxfId="1293" priority="3149" stopIfTrue="1">
      <formula>ISERROR(E2089)</formula>
    </cfRule>
  </conditionalFormatting>
  <conditionalFormatting sqref="E2090">
    <cfRule type="expression" dxfId="1292" priority="3147" stopIfTrue="1">
      <formula>ISERROR(E2090)</formula>
    </cfRule>
  </conditionalFormatting>
  <conditionalFormatting sqref="E2092">
    <cfRule type="expression" dxfId="1291" priority="3151" stopIfTrue="1">
      <formula>ISERROR(E2092)</formula>
    </cfRule>
  </conditionalFormatting>
  <conditionalFormatting sqref="E2095">
    <cfRule type="expression" dxfId="1290" priority="3139" stopIfTrue="1">
      <formula>ISERROR(E2095)</formula>
    </cfRule>
  </conditionalFormatting>
  <conditionalFormatting sqref="C2096">
    <cfRule type="expression" dxfId="1289" priority="3157" stopIfTrue="1">
      <formula>LEN(TRIM(C2096))=0</formula>
    </cfRule>
  </conditionalFormatting>
  <conditionalFormatting sqref="E2096">
    <cfRule type="expression" dxfId="1288" priority="3160" stopIfTrue="1">
      <formula>ISERROR(E2096)</formula>
    </cfRule>
  </conditionalFormatting>
  <conditionalFormatting sqref="E2098">
    <cfRule type="expression" dxfId="1287" priority="3134" stopIfTrue="1">
      <formula>ISERROR(E2098)</formula>
    </cfRule>
  </conditionalFormatting>
  <conditionalFormatting sqref="C2103">
    <cfRule type="expression" dxfId="1286" priority="3156" stopIfTrue="1">
      <formula>LEN(TRIM(C2103))=0</formula>
    </cfRule>
  </conditionalFormatting>
  <conditionalFormatting sqref="E2103">
    <cfRule type="expression" dxfId="1285" priority="3141" stopIfTrue="1">
      <formula>ISERROR(E2103)</formula>
    </cfRule>
  </conditionalFormatting>
  <conditionalFormatting sqref="G2103:H2103">
    <cfRule type="expression" dxfId="1284" priority="3140" stopIfTrue="1">
      <formula>LEN(TRIM(G2103))=0</formula>
    </cfRule>
  </conditionalFormatting>
  <conditionalFormatting sqref="N2103">
    <cfRule type="expression" dxfId="1283" priority="3158" stopIfTrue="1">
      <formula>LEN(TRIM(N2103))=0</formula>
    </cfRule>
  </conditionalFormatting>
  <conditionalFormatting sqref="E2108">
    <cfRule type="expression" dxfId="1282" priority="3132" stopIfTrue="1">
      <formula>ISERROR(E2108)</formula>
    </cfRule>
  </conditionalFormatting>
  <conditionalFormatting sqref="E2112">
    <cfRule type="expression" dxfId="1281" priority="2525" stopIfTrue="1">
      <formula>ISERROR(E2112)</formula>
    </cfRule>
  </conditionalFormatting>
  <conditionalFormatting sqref="F2112">
    <cfRule type="expression" dxfId="1280" priority="2532" stopIfTrue="1">
      <formula>ISERROR(F2112)</formula>
    </cfRule>
  </conditionalFormatting>
  <conditionalFormatting sqref="E2113">
    <cfRule type="expression" dxfId="1279" priority="2524" stopIfTrue="1">
      <formula>ISERROR(E2113)</formula>
    </cfRule>
  </conditionalFormatting>
  <conditionalFormatting sqref="F2113">
    <cfRule type="expression" dxfId="1278" priority="2531" stopIfTrue="1">
      <formula>ISERROR(F2113)</formula>
    </cfRule>
  </conditionalFormatting>
  <conditionalFormatting sqref="E2114">
    <cfRule type="expression" dxfId="1277" priority="2523" stopIfTrue="1">
      <formula>ISERROR(E2114)</formula>
    </cfRule>
  </conditionalFormatting>
  <conditionalFormatting sqref="F2114">
    <cfRule type="expression" dxfId="1276" priority="2530" stopIfTrue="1">
      <formula>ISERROR(F2114)</formula>
    </cfRule>
  </conditionalFormatting>
  <conditionalFormatting sqref="E2115">
    <cfRule type="expression" dxfId="1275" priority="2522" stopIfTrue="1">
      <formula>ISERROR(E2115)</formula>
    </cfRule>
  </conditionalFormatting>
  <conditionalFormatting sqref="F2115">
    <cfRule type="expression" dxfId="1274" priority="2529" stopIfTrue="1">
      <formula>ISERROR(F2115)</formula>
    </cfRule>
  </conditionalFormatting>
  <conditionalFormatting sqref="E2116">
    <cfRule type="expression" dxfId="1273" priority="2521" stopIfTrue="1">
      <formula>ISERROR(E2116)</formula>
    </cfRule>
  </conditionalFormatting>
  <conditionalFormatting sqref="F2116">
    <cfRule type="expression" dxfId="1272" priority="2528" stopIfTrue="1">
      <formula>ISERROR(F2116)</formula>
    </cfRule>
  </conditionalFormatting>
  <conditionalFormatting sqref="E2117">
    <cfRule type="expression" dxfId="1271" priority="2520" stopIfTrue="1">
      <formula>ISERROR(E2117)</formula>
    </cfRule>
  </conditionalFormatting>
  <conditionalFormatting sqref="F2117">
    <cfRule type="expression" dxfId="1270" priority="2527" stopIfTrue="1">
      <formula>ISERROR(F2117)</formula>
    </cfRule>
  </conditionalFormatting>
  <conditionalFormatting sqref="E2118">
    <cfRule type="expression" dxfId="1269" priority="2519" stopIfTrue="1">
      <formula>ISERROR(E2118)</formula>
    </cfRule>
  </conditionalFormatting>
  <conditionalFormatting sqref="F2118">
    <cfRule type="expression" dxfId="1268" priority="2526" stopIfTrue="1">
      <formula>ISERROR(F2118)</formula>
    </cfRule>
  </conditionalFormatting>
  <conditionalFormatting sqref="E2119">
    <cfRule type="expression" dxfId="1267" priority="3107" stopIfTrue="1">
      <formula>ISERROR(E2119)</formula>
    </cfRule>
  </conditionalFormatting>
  <conditionalFormatting sqref="E2120">
    <cfRule type="expression" dxfId="1266" priority="3093" stopIfTrue="1">
      <formula>ISERROR(E2120)</formula>
    </cfRule>
  </conditionalFormatting>
  <conditionalFormatting sqref="E2121">
    <cfRule type="expression" dxfId="1265" priority="3106" stopIfTrue="1">
      <formula>ISERROR(E2121)</formula>
    </cfRule>
  </conditionalFormatting>
  <conditionalFormatting sqref="E2122">
    <cfRule type="expression" dxfId="1264" priority="3105" stopIfTrue="1">
      <formula>ISERROR(E2122)</formula>
    </cfRule>
  </conditionalFormatting>
  <conditionalFormatting sqref="E2123">
    <cfRule type="expression" dxfId="1263" priority="3097" stopIfTrue="1">
      <formula>ISERROR(E2123)</formula>
    </cfRule>
  </conditionalFormatting>
  <conditionalFormatting sqref="E2124">
    <cfRule type="expression" dxfId="1262" priority="3096" stopIfTrue="1">
      <formula>ISERROR(E2124)</formula>
    </cfRule>
  </conditionalFormatting>
  <conditionalFormatting sqref="E2125">
    <cfRule type="expression" dxfId="1261" priority="3104" stopIfTrue="1">
      <formula>ISERROR(E2125)</formula>
    </cfRule>
  </conditionalFormatting>
  <conditionalFormatting sqref="E2126">
    <cfRule type="expression" dxfId="1260" priority="3103" stopIfTrue="1">
      <formula>ISERROR(E2126)</formula>
    </cfRule>
  </conditionalFormatting>
  <conditionalFormatting sqref="E2128">
    <cfRule type="expression" dxfId="1259" priority="3123" stopIfTrue="1">
      <formula>ISERROR(E2128)</formula>
    </cfRule>
  </conditionalFormatting>
  <conditionalFormatting sqref="E2129">
    <cfRule type="expression" dxfId="1258" priority="3119" stopIfTrue="1">
      <formula>ISERROR(E2129)</formula>
    </cfRule>
  </conditionalFormatting>
  <conditionalFormatting sqref="E2132">
    <cfRule type="expression" dxfId="1257" priority="3080" stopIfTrue="1">
      <formula>ISERROR(E2132)</formula>
    </cfRule>
  </conditionalFormatting>
  <conditionalFormatting sqref="E2134">
    <cfRule type="expression" dxfId="1256" priority="3121" stopIfTrue="1">
      <formula>ISERROR(E2134)</formula>
    </cfRule>
  </conditionalFormatting>
  <conditionalFormatting sqref="E2135">
    <cfRule type="expression" dxfId="1255" priority="3091" stopIfTrue="1">
      <formula>ISERROR(E2135)</formula>
    </cfRule>
  </conditionalFormatting>
  <conditionalFormatting sqref="C2137">
    <cfRule type="expression" dxfId="1254" priority="3127" stopIfTrue="1">
      <formula>LEN(TRIM(C2137))=0</formula>
    </cfRule>
  </conditionalFormatting>
  <conditionalFormatting sqref="E2137">
    <cfRule type="expression" dxfId="1253" priority="3130" stopIfTrue="1">
      <formula>ISERROR(E2137)</formula>
    </cfRule>
  </conditionalFormatting>
  <conditionalFormatting sqref="C2138">
    <cfRule type="expression" dxfId="1252" priority="3084" stopIfTrue="1">
      <formula>LEN(TRIM(C2138))=0</formula>
    </cfRule>
  </conditionalFormatting>
  <conditionalFormatting sqref="E2138">
    <cfRule type="expression" dxfId="1251" priority="3086" stopIfTrue="1">
      <formula>ISERROR(E2138)</formula>
    </cfRule>
  </conditionalFormatting>
  <conditionalFormatting sqref="C2139">
    <cfRule type="expression" dxfId="1250" priority="3087" stopIfTrue="1">
      <formula>LEN(TRIM(C2139))=0</formula>
    </cfRule>
  </conditionalFormatting>
  <conditionalFormatting sqref="E2139">
    <cfRule type="expression" dxfId="1249" priority="3089" stopIfTrue="1">
      <formula>ISERROR(E2139)</formula>
    </cfRule>
  </conditionalFormatting>
  <conditionalFormatting sqref="C2140">
    <cfRule type="expression" dxfId="1248" priority="3081" stopIfTrue="1">
      <formula>LEN(TRIM(C2140))=0</formula>
    </cfRule>
  </conditionalFormatting>
  <conditionalFormatting sqref="E2140">
    <cfRule type="expression" dxfId="1247" priority="3083" stopIfTrue="1">
      <formula>ISERROR(E2140)</formula>
    </cfRule>
  </conditionalFormatting>
  <conditionalFormatting sqref="E2141">
    <cfRule type="expression" dxfId="1246" priority="3111" stopIfTrue="1">
      <formula>ISERROR(E2141)</formula>
    </cfRule>
  </conditionalFormatting>
  <conditionalFormatting sqref="E2144">
    <cfRule type="expression" dxfId="1245" priority="3078" stopIfTrue="1">
      <formula>ISERROR(E2144)</formula>
    </cfRule>
  </conditionalFormatting>
  <conditionalFormatting sqref="C2146">
    <cfRule type="expression" dxfId="1244" priority="3126" stopIfTrue="1">
      <formula>LEN(TRIM(C2146))=0</formula>
    </cfRule>
  </conditionalFormatting>
  <conditionalFormatting sqref="E2146">
    <cfRule type="expression" dxfId="1243" priority="3113" stopIfTrue="1">
      <formula>ISERROR(E2146)</formula>
    </cfRule>
  </conditionalFormatting>
  <conditionalFormatting sqref="G2146:H2146">
    <cfRule type="expression" dxfId="1242" priority="3112" stopIfTrue="1">
      <formula>LEN(TRIM(G2146))=0</formula>
    </cfRule>
  </conditionalFormatting>
  <conditionalFormatting sqref="N2146">
    <cfRule type="expression" dxfId="1241" priority="3128" stopIfTrue="1">
      <formula>LEN(TRIM(N2146))=0</formula>
    </cfRule>
  </conditionalFormatting>
  <conditionalFormatting sqref="E2155">
    <cfRule type="expression" dxfId="1240" priority="3109" stopIfTrue="1">
      <formula>ISERROR(E2155)</formula>
    </cfRule>
  </conditionalFormatting>
  <conditionalFormatting sqref="E2156">
    <cfRule type="expression" dxfId="1239" priority="3075" stopIfTrue="1">
      <formula>ISERROR(E2156)</formula>
    </cfRule>
  </conditionalFormatting>
  <conditionalFormatting sqref="N2156">
    <cfRule type="expression" dxfId="1238" priority="3076" stopIfTrue="1">
      <formula>LEN(TRIM(N2156))=0</formula>
    </cfRule>
  </conditionalFormatting>
  <conditionalFormatting sqref="E2157">
    <cfRule type="expression" dxfId="1237" priority="2911" stopIfTrue="1">
      <formula>ISERROR(E2157)</formula>
    </cfRule>
  </conditionalFormatting>
  <conditionalFormatting sqref="N2157">
    <cfRule type="expression" dxfId="1236" priority="3073" stopIfTrue="1">
      <formula>LEN(TRIM(N2157))=0</formula>
    </cfRule>
  </conditionalFormatting>
  <conditionalFormatting sqref="E2158">
    <cfRule type="expression" dxfId="1235" priority="2910" stopIfTrue="1">
      <formula>ISERROR(E2158)</formula>
    </cfRule>
  </conditionalFormatting>
  <conditionalFormatting sqref="N2158">
    <cfRule type="expression" dxfId="1234" priority="3072" stopIfTrue="1">
      <formula>LEN(TRIM(N2158))=0</formula>
    </cfRule>
  </conditionalFormatting>
  <conditionalFormatting sqref="E2159">
    <cfRule type="expression" dxfId="1233" priority="2909" stopIfTrue="1">
      <formula>ISERROR(E2159)</formula>
    </cfRule>
  </conditionalFormatting>
  <conditionalFormatting sqref="N2159">
    <cfRule type="expression" dxfId="1232" priority="3071" stopIfTrue="1">
      <formula>LEN(TRIM(N2159))=0</formula>
    </cfRule>
  </conditionalFormatting>
  <conditionalFormatting sqref="E2160">
    <cfRule type="expression" dxfId="1231" priority="2908" stopIfTrue="1">
      <formula>ISERROR(E2160)</formula>
    </cfRule>
  </conditionalFormatting>
  <conditionalFormatting sqref="N2160">
    <cfRule type="expression" dxfId="1230" priority="3070" stopIfTrue="1">
      <formula>LEN(TRIM(N2160))=0</formula>
    </cfRule>
  </conditionalFormatting>
  <conditionalFormatting sqref="E2161">
    <cfRule type="expression" dxfId="1229" priority="2907" stopIfTrue="1">
      <formula>ISERROR(E2161)</formula>
    </cfRule>
  </conditionalFormatting>
  <conditionalFormatting sqref="N2161">
    <cfRule type="expression" dxfId="1228" priority="3069" stopIfTrue="1">
      <formula>LEN(TRIM(N2161))=0</formula>
    </cfRule>
  </conditionalFormatting>
  <conditionalFormatting sqref="E2162">
    <cfRule type="expression" dxfId="1227" priority="2906" stopIfTrue="1">
      <formula>ISERROR(E2162)</formula>
    </cfRule>
  </conditionalFormatting>
  <conditionalFormatting sqref="N2162">
    <cfRule type="expression" dxfId="1226" priority="3068" stopIfTrue="1">
      <formula>LEN(TRIM(N2162))=0</formula>
    </cfRule>
  </conditionalFormatting>
  <conditionalFormatting sqref="E2163">
    <cfRule type="expression" dxfId="1225" priority="2905" stopIfTrue="1">
      <formula>ISERROR(E2163)</formula>
    </cfRule>
  </conditionalFormatting>
  <conditionalFormatting sqref="N2163">
    <cfRule type="expression" dxfId="1224" priority="3067" stopIfTrue="1">
      <formula>LEN(TRIM(N2163))=0</formula>
    </cfRule>
  </conditionalFormatting>
  <conditionalFormatting sqref="E2164">
    <cfRule type="expression" dxfId="1223" priority="2904" stopIfTrue="1">
      <formula>ISERROR(E2164)</formula>
    </cfRule>
  </conditionalFormatting>
  <conditionalFormatting sqref="N2164">
    <cfRule type="expression" dxfId="1222" priority="3066" stopIfTrue="1">
      <formula>LEN(TRIM(N2164))=0</formula>
    </cfRule>
  </conditionalFormatting>
  <conditionalFormatting sqref="E2165">
    <cfRule type="expression" dxfId="1221" priority="2903" stopIfTrue="1">
      <formula>ISERROR(E2165)</formula>
    </cfRule>
  </conditionalFormatting>
  <conditionalFormatting sqref="N2165">
    <cfRule type="expression" dxfId="1220" priority="3065" stopIfTrue="1">
      <formula>LEN(TRIM(N2165))=0</formula>
    </cfRule>
  </conditionalFormatting>
  <conditionalFormatting sqref="E2166">
    <cfRule type="expression" dxfId="1219" priority="2902" stopIfTrue="1">
      <formula>ISERROR(E2166)</formula>
    </cfRule>
  </conditionalFormatting>
  <conditionalFormatting sqref="N2166">
    <cfRule type="expression" dxfId="1218" priority="3064" stopIfTrue="1">
      <formula>LEN(TRIM(N2166))=0</formula>
    </cfRule>
  </conditionalFormatting>
  <conditionalFormatting sqref="E2167">
    <cfRule type="expression" dxfId="1217" priority="2901" stopIfTrue="1">
      <formula>ISERROR(E2167)</formula>
    </cfRule>
  </conditionalFormatting>
  <conditionalFormatting sqref="N2167">
    <cfRule type="expression" dxfId="1216" priority="3063" stopIfTrue="1">
      <formula>LEN(TRIM(N2167))=0</formula>
    </cfRule>
  </conditionalFormatting>
  <conditionalFormatting sqref="E2168">
    <cfRule type="expression" dxfId="1215" priority="2900" stopIfTrue="1">
      <formula>ISERROR(E2168)</formula>
    </cfRule>
  </conditionalFormatting>
  <conditionalFormatting sqref="N2168">
    <cfRule type="expression" dxfId="1214" priority="3062" stopIfTrue="1">
      <formula>LEN(TRIM(N2168))=0</formula>
    </cfRule>
  </conditionalFormatting>
  <conditionalFormatting sqref="E2169">
    <cfRule type="expression" dxfId="1213" priority="2899" stopIfTrue="1">
      <formula>ISERROR(E2169)</formula>
    </cfRule>
  </conditionalFormatting>
  <conditionalFormatting sqref="N2169">
    <cfRule type="expression" dxfId="1212" priority="3061" stopIfTrue="1">
      <formula>LEN(TRIM(N2169))=0</formula>
    </cfRule>
  </conditionalFormatting>
  <conditionalFormatting sqref="E2170">
    <cfRule type="expression" dxfId="1211" priority="2898" stopIfTrue="1">
      <formula>ISERROR(E2170)</formula>
    </cfRule>
  </conditionalFormatting>
  <conditionalFormatting sqref="N2170">
    <cfRule type="expression" dxfId="1210" priority="3060" stopIfTrue="1">
      <formula>LEN(TRIM(N2170))=0</formula>
    </cfRule>
  </conditionalFormatting>
  <conditionalFormatting sqref="E2171">
    <cfRule type="expression" dxfId="1209" priority="2897" stopIfTrue="1">
      <formula>ISERROR(E2171)</formula>
    </cfRule>
  </conditionalFormatting>
  <conditionalFormatting sqref="N2171">
    <cfRule type="expression" dxfId="1208" priority="3059" stopIfTrue="1">
      <formula>LEN(TRIM(N2171))=0</formula>
    </cfRule>
  </conditionalFormatting>
  <conditionalFormatting sqref="E2172">
    <cfRule type="expression" dxfId="1207" priority="2896" stopIfTrue="1">
      <formula>ISERROR(E2172)</formula>
    </cfRule>
  </conditionalFormatting>
  <conditionalFormatting sqref="N2172">
    <cfRule type="expression" dxfId="1206" priority="3058" stopIfTrue="1">
      <formula>LEN(TRIM(N2172))=0</formula>
    </cfRule>
  </conditionalFormatting>
  <conditionalFormatting sqref="E2173">
    <cfRule type="expression" dxfId="1205" priority="2895" stopIfTrue="1">
      <formula>ISERROR(E2173)</formula>
    </cfRule>
  </conditionalFormatting>
  <conditionalFormatting sqref="N2173">
    <cfRule type="expression" dxfId="1204" priority="3057" stopIfTrue="1">
      <formula>LEN(TRIM(N2173))=0</formula>
    </cfRule>
  </conditionalFormatting>
  <conditionalFormatting sqref="E2174">
    <cfRule type="expression" dxfId="1203" priority="2894" stopIfTrue="1">
      <formula>ISERROR(E2174)</formula>
    </cfRule>
  </conditionalFormatting>
  <conditionalFormatting sqref="N2174">
    <cfRule type="expression" dxfId="1202" priority="3056" stopIfTrue="1">
      <formula>LEN(TRIM(N2174))=0</formula>
    </cfRule>
  </conditionalFormatting>
  <conditionalFormatting sqref="E2175">
    <cfRule type="expression" dxfId="1201" priority="2893" stopIfTrue="1">
      <formula>ISERROR(E2175)</formula>
    </cfRule>
  </conditionalFormatting>
  <conditionalFormatting sqref="N2175">
    <cfRule type="expression" dxfId="1200" priority="3055" stopIfTrue="1">
      <formula>LEN(TRIM(N2175))=0</formula>
    </cfRule>
  </conditionalFormatting>
  <conditionalFormatting sqref="E2176">
    <cfRule type="expression" dxfId="1199" priority="2892" stopIfTrue="1">
      <formula>ISERROR(E2176)</formula>
    </cfRule>
  </conditionalFormatting>
  <conditionalFormatting sqref="N2176">
    <cfRule type="expression" dxfId="1198" priority="3054" stopIfTrue="1">
      <formula>LEN(TRIM(N2176))=0</formula>
    </cfRule>
  </conditionalFormatting>
  <conditionalFormatting sqref="E2177">
    <cfRule type="expression" dxfId="1197" priority="2891" stopIfTrue="1">
      <formula>ISERROR(E2177)</formula>
    </cfRule>
  </conditionalFormatting>
  <conditionalFormatting sqref="N2177">
    <cfRule type="expression" dxfId="1196" priority="3053" stopIfTrue="1">
      <formula>LEN(TRIM(N2177))=0</formula>
    </cfRule>
  </conditionalFormatting>
  <conditionalFormatting sqref="E2178">
    <cfRule type="expression" dxfId="1195" priority="2890" stopIfTrue="1">
      <formula>ISERROR(E2178)</formula>
    </cfRule>
  </conditionalFormatting>
  <conditionalFormatting sqref="N2178">
    <cfRule type="expression" dxfId="1194" priority="3052" stopIfTrue="1">
      <formula>LEN(TRIM(N2178))=0</formula>
    </cfRule>
  </conditionalFormatting>
  <conditionalFormatting sqref="E2179">
    <cfRule type="expression" dxfId="1193" priority="2889" stopIfTrue="1">
      <formula>ISERROR(E2179)</formula>
    </cfRule>
  </conditionalFormatting>
  <conditionalFormatting sqref="N2179">
    <cfRule type="expression" dxfId="1192" priority="3051" stopIfTrue="1">
      <formula>LEN(TRIM(N2179))=0</formula>
    </cfRule>
  </conditionalFormatting>
  <conditionalFormatting sqref="E2180">
    <cfRule type="expression" dxfId="1191" priority="2888" stopIfTrue="1">
      <formula>ISERROR(E2180)</formula>
    </cfRule>
  </conditionalFormatting>
  <conditionalFormatting sqref="N2180">
    <cfRule type="expression" dxfId="1190" priority="3050" stopIfTrue="1">
      <formula>LEN(TRIM(N2180))=0</formula>
    </cfRule>
  </conditionalFormatting>
  <conditionalFormatting sqref="E2181">
    <cfRule type="expression" dxfId="1189" priority="2887" stopIfTrue="1">
      <formula>ISERROR(E2181)</formula>
    </cfRule>
  </conditionalFormatting>
  <conditionalFormatting sqref="N2181">
    <cfRule type="expression" dxfId="1188" priority="3049" stopIfTrue="1">
      <formula>LEN(TRIM(N2181))=0</formula>
    </cfRule>
  </conditionalFormatting>
  <conditionalFormatting sqref="E2182">
    <cfRule type="expression" dxfId="1187" priority="2886" stopIfTrue="1">
      <formula>ISERROR(E2182)</formula>
    </cfRule>
  </conditionalFormatting>
  <conditionalFormatting sqref="N2182">
    <cfRule type="expression" dxfId="1186" priority="3048" stopIfTrue="1">
      <formula>LEN(TRIM(N2182))=0</formula>
    </cfRule>
  </conditionalFormatting>
  <conditionalFormatting sqref="E2183">
    <cfRule type="expression" dxfId="1185" priority="2885" stopIfTrue="1">
      <formula>ISERROR(E2183)</formula>
    </cfRule>
  </conditionalFormatting>
  <conditionalFormatting sqref="N2183">
    <cfRule type="expression" dxfId="1184" priority="3047" stopIfTrue="1">
      <formula>LEN(TRIM(N2183))=0</formula>
    </cfRule>
  </conditionalFormatting>
  <conditionalFormatting sqref="E2184">
    <cfRule type="expression" dxfId="1183" priority="2884" stopIfTrue="1">
      <formula>ISERROR(E2184)</formula>
    </cfRule>
  </conditionalFormatting>
  <conditionalFormatting sqref="N2184">
    <cfRule type="expression" dxfId="1182" priority="3046" stopIfTrue="1">
      <formula>LEN(TRIM(N2184))=0</formula>
    </cfRule>
  </conditionalFormatting>
  <conditionalFormatting sqref="E2185">
    <cfRule type="expression" dxfId="1181" priority="2883" stopIfTrue="1">
      <formula>ISERROR(E2185)</formula>
    </cfRule>
  </conditionalFormatting>
  <conditionalFormatting sqref="N2185">
    <cfRule type="expression" dxfId="1180" priority="3045" stopIfTrue="1">
      <formula>LEN(TRIM(N2185))=0</formula>
    </cfRule>
  </conditionalFormatting>
  <conditionalFormatting sqref="E2186">
    <cfRule type="expression" dxfId="1179" priority="2882" stopIfTrue="1">
      <formula>ISERROR(E2186)</formula>
    </cfRule>
  </conditionalFormatting>
  <conditionalFormatting sqref="N2186">
    <cfRule type="expression" dxfId="1178" priority="3044" stopIfTrue="1">
      <formula>LEN(TRIM(N2186))=0</formula>
    </cfRule>
  </conditionalFormatting>
  <conditionalFormatting sqref="E2187">
    <cfRule type="expression" dxfId="1177" priority="2881" stopIfTrue="1">
      <formula>ISERROR(E2187)</formula>
    </cfRule>
  </conditionalFormatting>
  <conditionalFormatting sqref="N2187">
    <cfRule type="expression" dxfId="1176" priority="3043" stopIfTrue="1">
      <formula>LEN(TRIM(N2187))=0</formula>
    </cfRule>
  </conditionalFormatting>
  <conditionalFormatting sqref="E2188">
    <cfRule type="expression" dxfId="1175" priority="2880" stopIfTrue="1">
      <formula>ISERROR(E2188)</formula>
    </cfRule>
  </conditionalFormatting>
  <conditionalFormatting sqref="N2188">
    <cfRule type="expression" dxfId="1174" priority="3042" stopIfTrue="1">
      <formula>LEN(TRIM(N2188))=0</formula>
    </cfRule>
  </conditionalFormatting>
  <conditionalFormatting sqref="E2189">
    <cfRule type="expression" dxfId="1173" priority="2879" stopIfTrue="1">
      <formula>ISERROR(E2189)</formula>
    </cfRule>
  </conditionalFormatting>
  <conditionalFormatting sqref="N2189">
    <cfRule type="expression" dxfId="1172" priority="3041" stopIfTrue="1">
      <formula>LEN(TRIM(N2189))=0</formula>
    </cfRule>
  </conditionalFormatting>
  <conditionalFormatting sqref="E2190">
    <cfRule type="expression" dxfId="1171" priority="2878" stopIfTrue="1">
      <formula>ISERROR(E2190)</formula>
    </cfRule>
  </conditionalFormatting>
  <conditionalFormatting sqref="N2190">
    <cfRule type="expression" dxfId="1170" priority="3040" stopIfTrue="1">
      <formula>LEN(TRIM(N2190))=0</formula>
    </cfRule>
  </conditionalFormatting>
  <conditionalFormatting sqref="E2191">
    <cfRule type="expression" dxfId="1169" priority="2877" stopIfTrue="1">
      <formula>ISERROR(E2191)</formula>
    </cfRule>
  </conditionalFormatting>
  <conditionalFormatting sqref="N2191">
    <cfRule type="expression" dxfId="1168" priority="3039" stopIfTrue="1">
      <formula>LEN(TRIM(N2191))=0</formula>
    </cfRule>
  </conditionalFormatting>
  <conditionalFormatting sqref="E2192">
    <cfRule type="expression" dxfId="1167" priority="2876" stopIfTrue="1">
      <formula>ISERROR(E2192)</formula>
    </cfRule>
  </conditionalFormatting>
  <conditionalFormatting sqref="N2192">
    <cfRule type="expression" dxfId="1166" priority="3038" stopIfTrue="1">
      <formula>LEN(TRIM(N2192))=0</formula>
    </cfRule>
  </conditionalFormatting>
  <conditionalFormatting sqref="E2193">
    <cfRule type="expression" dxfId="1165" priority="2875" stopIfTrue="1">
      <formula>ISERROR(E2193)</formula>
    </cfRule>
  </conditionalFormatting>
  <conditionalFormatting sqref="N2193">
    <cfRule type="expression" dxfId="1164" priority="3037" stopIfTrue="1">
      <formula>LEN(TRIM(N2193))=0</formula>
    </cfRule>
  </conditionalFormatting>
  <conditionalFormatting sqref="E2194">
    <cfRule type="expression" dxfId="1163" priority="2874" stopIfTrue="1">
      <formula>ISERROR(E2194)</formula>
    </cfRule>
  </conditionalFormatting>
  <conditionalFormatting sqref="N2194">
    <cfRule type="expression" dxfId="1162" priority="3036" stopIfTrue="1">
      <formula>LEN(TRIM(N2194))=0</formula>
    </cfRule>
  </conditionalFormatting>
  <conditionalFormatting sqref="E2195">
    <cfRule type="expression" dxfId="1161" priority="2873" stopIfTrue="1">
      <formula>ISERROR(E2195)</formula>
    </cfRule>
  </conditionalFormatting>
  <conditionalFormatting sqref="N2195">
    <cfRule type="expression" dxfId="1160" priority="3035" stopIfTrue="1">
      <formula>LEN(TRIM(N2195))=0</formula>
    </cfRule>
  </conditionalFormatting>
  <conditionalFormatting sqref="E2196">
    <cfRule type="expression" dxfId="1159" priority="2872" stopIfTrue="1">
      <formula>ISERROR(E2196)</formula>
    </cfRule>
  </conditionalFormatting>
  <conditionalFormatting sqref="N2196">
    <cfRule type="expression" dxfId="1158" priority="3034" stopIfTrue="1">
      <formula>LEN(TRIM(N2196))=0</formula>
    </cfRule>
  </conditionalFormatting>
  <conditionalFormatting sqref="E2197">
    <cfRule type="expression" dxfId="1157" priority="2871" stopIfTrue="1">
      <formula>ISERROR(E2197)</formula>
    </cfRule>
  </conditionalFormatting>
  <conditionalFormatting sqref="N2197">
    <cfRule type="expression" dxfId="1156" priority="3033" stopIfTrue="1">
      <formula>LEN(TRIM(N2197))=0</formula>
    </cfRule>
  </conditionalFormatting>
  <conditionalFormatting sqref="E2198">
    <cfRule type="expression" dxfId="1155" priority="2870" stopIfTrue="1">
      <formula>ISERROR(E2198)</formula>
    </cfRule>
  </conditionalFormatting>
  <conditionalFormatting sqref="N2198">
    <cfRule type="expression" dxfId="1154" priority="3032" stopIfTrue="1">
      <formula>LEN(TRIM(N2198))=0</formula>
    </cfRule>
  </conditionalFormatting>
  <conditionalFormatting sqref="E2199">
    <cfRule type="expression" dxfId="1153" priority="2869" stopIfTrue="1">
      <formula>ISERROR(E2199)</formula>
    </cfRule>
  </conditionalFormatting>
  <conditionalFormatting sqref="N2199">
    <cfRule type="expression" dxfId="1152" priority="3031" stopIfTrue="1">
      <formula>LEN(TRIM(N2199))=0</formula>
    </cfRule>
  </conditionalFormatting>
  <conditionalFormatting sqref="E2200">
    <cfRule type="expression" dxfId="1151" priority="2868" stopIfTrue="1">
      <formula>ISERROR(E2200)</formula>
    </cfRule>
  </conditionalFormatting>
  <conditionalFormatting sqref="N2200">
    <cfRule type="expression" dxfId="1150" priority="3030" stopIfTrue="1">
      <formula>LEN(TRIM(N2200))=0</formula>
    </cfRule>
  </conditionalFormatting>
  <conditionalFormatting sqref="E2201">
    <cfRule type="expression" dxfId="1149" priority="2867" stopIfTrue="1">
      <formula>ISERROR(E2201)</formula>
    </cfRule>
  </conditionalFormatting>
  <conditionalFormatting sqref="N2201">
    <cfRule type="expression" dxfId="1148" priority="3029" stopIfTrue="1">
      <formula>LEN(TRIM(N2201))=0</formula>
    </cfRule>
  </conditionalFormatting>
  <conditionalFormatting sqref="E2202">
    <cfRule type="expression" dxfId="1147" priority="2866" stopIfTrue="1">
      <formula>ISERROR(E2202)</formula>
    </cfRule>
  </conditionalFormatting>
  <conditionalFormatting sqref="N2202">
    <cfRule type="expression" dxfId="1146" priority="3028" stopIfTrue="1">
      <formula>LEN(TRIM(N2202))=0</formula>
    </cfRule>
  </conditionalFormatting>
  <conditionalFormatting sqref="E2203">
    <cfRule type="expression" dxfId="1145" priority="2865" stopIfTrue="1">
      <formula>ISERROR(E2203)</formula>
    </cfRule>
  </conditionalFormatting>
  <conditionalFormatting sqref="N2203">
    <cfRule type="expression" dxfId="1144" priority="3027" stopIfTrue="1">
      <formula>LEN(TRIM(N2203))=0</formula>
    </cfRule>
  </conditionalFormatting>
  <conditionalFormatting sqref="E2204">
    <cfRule type="expression" dxfId="1143" priority="2864" stopIfTrue="1">
      <formula>ISERROR(E2204)</formula>
    </cfRule>
  </conditionalFormatting>
  <conditionalFormatting sqref="N2204">
    <cfRule type="expression" dxfId="1142" priority="3026" stopIfTrue="1">
      <formula>LEN(TRIM(N2204))=0</formula>
    </cfRule>
  </conditionalFormatting>
  <conditionalFormatting sqref="E2205">
    <cfRule type="expression" dxfId="1141" priority="2863" stopIfTrue="1">
      <formula>ISERROR(E2205)</formula>
    </cfRule>
  </conditionalFormatting>
  <conditionalFormatting sqref="N2205">
    <cfRule type="expression" dxfId="1140" priority="3025" stopIfTrue="1">
      <formula>LEN(TRIM(N2205))=0</formula>
    </cfRule>
  </conditionalFormatting>
  <conditionalFormatting sqref="E2206">
    <cfRule type="expression" dxfId="1139" priority="2862" stopIfTrue="1">
      <formula>ISERROR(E2206)</formula>
    </cfRule>
  </conditionalFormatting>
  <conditionalFormatting sqref="N2206">
    <cfRule type="expression" dxfId="1138" priority="3024" stopIfTrue="1">
      <formula>LEN(TRIM(N2206))=0</formula>
    </cfRule>
  </conditionalFormatting>
  <conditionalFormatting sqref="E2207">
    <cfRule type="expression" dxfId="1137" priority="2861" stopIfTrue="1">
      <formula>ISERROR(E2207)</formula>
    </cfRule>
  </conditionalFormatting>
  <conditionalFormatting sqref="N2207">
    <cfRule type="expression" dxfId="1136" priority="3023" stopIfTrue="1">
      <formula>LEN(TRIM(N2207))=0</formula>
    </cfRule>
  </conditionalFormatting>
  <conditionalFormatting sqref="E2208">
    <cfRule type="expression" dxfId="1135" priority="2860" stopIfTrue="1">
      <formula>ISERROR(E2208)</formula>
    </cfRule>
  </conditionalFormatting>
  <conditionalFormatting sqref="N2208">
    <cfRule type="expression" dxfId="1134" priority="3022" stopIfTrue="1">
      <formula>LEN(TRIM(N2208))=0</formula>
    </cfRule>
  </conditionalFormatting>
  <conditionalFormatting sqref="E2209">
    <cfRule type="expression" dxfId="1133" priority="2859" stopIfTrue="1">
      <formula>ISERROR(E2209)</formula>
    </cfRule>
  </conditionalFormatting>
  <conditionalFormatting sqref="N2209">
    <cfRule type="expression" dxfId="1132" priority="3021" stopIfTrue="1">
      <formula>LEN(TRIM(N2209))=0</formula>
    </cfRule>
  </conditionalFormatting>
  <conditionalFormatting sqref="E2210">
    <cfRule type="expression" dxfId="1131" priority="2858" stopIfTrue="1">
      <formula>ISERROR(E2210)</formula>
    </cfRule>
  </conditionalFormatting>
  <conditionalFormatting sqref="N2210">
    <cfRule type="expression" dxfId="1130" priority="3020" stopIfTrue="1">
      <formula>LEN(TRIM(N2210))=0</formula>
    </cfRule>
  </conditionalFormatting>
  <conditionalFormatting sqref="E2211">
    <cfRule type="expression" dxfId="1129" priority="2857" stopIfTrue="1">
      <formula>ISERROR(E2211)</formula>
    </cfRule>
  </conditionalFormatting>
  <conditionalFormatting sqref="N2211">
    <cfRule type="expression" dxfId="1128" priority="3019" stopIfTrue="1">
      <formula>LEN(TRIM(N2211))=0</formula>
    </cfRule>
  </conditionalFormatting>
  <conditionalFormatting sqref="E2212">
    <cfRule type="expression" dxfId="1127" priority="2856" stopIfTrue="1">
      <formula>ISERROR(E2212)</formula>
    </cfRule>
  </conditionalFormatting>
  <conditionalFormatting sqref="N2212">
    <cfRule type="expression" dxfId="1126" priority="3018" stopIfTrue="1">
      <formula>LEN(TRIM(N2212))=0</formula>
    </cfRule>
  </conditionalFormatting>
  <conditionalFormatting sqref="E2213">
    <cfRule type="expression" dxfId="1125" priority="2855" stopIfTrue="1">
      <formula>ISERROR(E2213)</formula>
    </cfRule>
  </conditionalFormatting>
  <conditionalFormatting sqref="N2213">
    <cfRule type="expression" dxfId="1124" priority="3017" stopIfTrue="1">
      <formula>LEN(TRIM(N2213))=0</formula>
    </cfRule>
  </conditionalFormatting>
  <conditionalFormatting sqref="E2214">
    <cfRule type="expression" dxfId="1123" priority="2854" stopIfTrue="1">
      <formula>ISERROR(E2214)</formula>
    </cfRule>
  </conditionalFormatting>
  <conditionalFormatting sqref="N2214">
    <cfRule type="expression" dxfId="1122" priority="3016" stopIfTrue="1">
      <formula>LEN(TRIM(N2214))=0</formula>
    </cfRule>
  </conditionalFormatting>
  <conditionalFormatting sqref="E2215">
    <cfRule type="expression" dxfId="1121" priority="2853" stopIfTrue="1">
      <formula>ISERROR(E2215)</formula>
    </cfRule>
  </conditionalFormatting>
  <conditionalFormatting sqref="N2215">
    <cfRule type="expression" dxfId="1120" priority="3015" stopIfTrue="1">
      <formula>LEN(TRIM(N2215))=0</formula>
    </cfRule>
  </conditionalFormatting>
  <conditionalFormatting sqref="E2216">
    <cfRule type="expression" dxfId="1119" priority="2852" stopIfTrue="1">
      <formula>ISERROR(E2216)</formula>
    </cfRule>
  </conditionalFormatting>
  <conditionalFormatting sqref="N2216">
    <cfRule type="expression" dxfId="1118" priority="3014" stopIfTrue="1">
      <formula>LEN(TRIM(N2216))=0</formula>
    </cfRule>
  </conditionalFormatting>
  <conditionalFormatting sqref="E2217">
    <cfRule type="expression" dxfId="1117" priority="2851" stopIfTrue="1">
      <formula>ISERROR(E2217)</formula>
    </cfRule>
  </conditionalFormatting>
  <conditionalFormatting sqref="N2217">
    <cfRule type="expression" dxfId="1116" priority="3013" stopIfTrue="1">
      <formula>LEN(TRIM(N2217))=0</formula>
    </cfRule>
  </conditionalFormatting>
  <conditionalFormatting sqref="E2218">
    <cfRule type="expression" dxfId="1115" priority="2850" stopIfTrue="1">
      <formula>ISERROR(E2218)</formula>
    </cfRule>
  </conditionalFormatting>
  <conditionalFormatting sqref="N2218">
    <cfRule type="expression" dxfId="1114" priority="3012" stopIfTrue="1">
      <formula>LEN(TRIM(N2218))=0</formula>
    </cfRule>
  </conditionalFormatting>
  <conditionalFormatting sqref="E2219">
    <cfRule type="expression" dxfId="1113" priority="2849" stopIfTrue="1">
      <formula>ISERROR(E2219)</formula>
    </cfRule>
  </conditionalFormatting>
  <conditionalFormatting sqref="N2219">
    <cfRule type="expression" dxfId="1112" priority="3011" stopIfTrue="1">
      <formula>LEN(TRIM(N2219))=0</formula>
    </cfRule>
  </conditionalFormatting>
  <conditionalFormatting sqref="E2220">
    <cfRule type="expression" dxfId="1111" priority="2848" stopIfTrue="1">
      <formula>ISERROR(E2220)</formula>
    </cfRule>
  </conditionalFormatting>
  <conditionalFormatting sqref="N2220">
    <cfRule type="expression" dxfId="1110" priority="3010" stopIfTrue="1">
      <formula>LEN(TRIM(N2220))=0</formula>
    </cfRule>
  </conditionalFormatting>
  <conditionalFormatting sqref="E2221">
    <cfRule type="expression" dxfId="1109" priority="2847" stopIfTrue="1">
      <formula>ISERROR(E2221)</formula>
    </cfRule>
  </conditionalFormatting>
  <conditionalFormatting sqref="N2221">
    <cfRule type="expression" dxfId="1108" priority="3009" stopIfTrue="1">
      <formula>LEN(TRIM(N2221))=0</formula>
    </cfRule>
  </conditionalFormatting>
  <conditionalFormatting sqref="E2222">
    <cfRule type="expression" dxfId="1107" priority="2846" stopIfTrue="1">
      <formula>ISERROR(E2222)</formula>
    </cfRule>
  </conditionalFormatting>
  <conditionalFormatting sqref="N2222">
    <cfRule type="expression" dxfId="1106" priority="3008" stopIfTrue="1">
      <formula>LEN(TRIM(N2222))=0</formula>
    </cfRule>
  </conditionalFormatting>
  <conditionalFormatting sqref="E2223">
    <cfRule type="expression" dxfId="1105" priority="2845" stopIfTrue="1">
      <formula>ISERROR(E2223)</formula>
    </cfRule>
  </conditionalFormatting>
  <conditionalFormatting sqref="N2223">
    <cfRule type="expression" dxfId="1104" priority="3007" stopIfTrue="1">
      <formula>LEN(TRIM(N2223))=0</formula>
    </cfRule>
  </conditionalFormatting>
  <conditionalFormatting sqref="E2224">
    <cfRule type="expression" dxfId="1103" priority="2844" stopIfTrue="1">
      <formula>ISERROR(E2224)</formula>
    </cfRule>
  </conditionalFormatting>
  <conditionalFormatting sqref="N2224">
    <cfRule type="expression" dxfId="1102" priority="3006" stopIfTrue="1">
      <formula>LEN(TRIM(N2224))=0</formula>
    </cfRule>
  </conditionalFormatting>
  <conditionalFormatting sqref="E2225">
    <cfRule type="expression" dxfId="1101" priority="2843" stopIfTrue="1">
      <formula>ISERROR(E2225)</formula>
    </cfRule>
  </conditionalFormatting>
  <conditionalFormatting sqref="N2225">
    <cfRule type="expression" dxfId="1100" priority="3005" stopIfTrue="1">
      <formula>LEN(TRIM(N2225))=0</formula>
    </cfRule>
  </conditionalFormatting>
  <conditionalFormatting sqref="E2226">
    <cfRule type="expression" dxfId="1099" priority="2842" stopIfTrue="1">
      <formula>ISERROR(E2226)</formula>
    </cfRule>
  </conditionalFormatting>
  <conditionalFormatting sqref="N2226">
    <cfRule type="expression" dxfId="1098" priority="3004" stopIfTrue="1">
      <formula>LEN(TRIM(N2226))=0</formula>
    </cfRule>
  </conditionalFormatting>
  <conditionalFormatting sqref="E2227">
    <cfRule type="expression" dxfId="1097" priority="2841" stopIfTrue="1">
      <formula>ISERROR(E2227)</formula>
    </cfRule>
  </conditionalFormatting>
  <conditionalFormatting sqref="N2227">
    <cfRule type="expression" dxfId="1096" priority="3003" stopIfTrue="1">
      <formula>LEN(TRIM(N2227))=0</formula>
    </cfRule>
  </conditionalFormatting>
  <conditionalFormatting sqref="E2228">
    <cfRule type="expression" dxfId="1095" priority="2840" stopIfTrue="1">
      <formula>ISERROR(E2228)</formula>
    </cfRule>
  </conditionalFormatting>
  <conditionalFormatting sqref="N2228">
    <cfRule type="expression" dxfId="1094" priority="3002" stopIfTrue="1">
      <formula>LEN(TRIM(N2228))=0</formula>
    </cfRule>
  </conditionalFormatting>
  <conditionalFormatting sqref="E2229">
    <cfRule type="expression" dxfId="1093" priority="2839" stopIfTrue="1">
      <formula>ISERROR(E2229)</formula>
    </cfRule>
  </conditionalFormatting>
  <conditionalFormatting sqref="N2229">
    <cfRule type="expression" dxfId="1092" priority="3001" stopIfTrue="1">
      <formula>LEN(TRIM(N2229))=0</formula>
    </cfRule>
  </conditionalFormatting>
  <conditionalFormatting sqref="E2230">
    <cfRule type="expression" dxfId="1091" priority="2838" stopIfTrue="1">
      <formula>ISERROR(E2230)</formula>
    </cfRule>
  </conditionalFormatting>
  <conditionalFormatting sqref="N2230">
    <cfRule type="expression" dxfId="1090" priority="3000" stopIfTrue="1">
      <formula>LEN(TRIM(N2230))=0</formula>
    </cfRule>
  </conditionalFormatting>
  <conditionalFormatting sqref="E2231">
    <cfRule type="expression" dxfId="1089" priority="2837" stopIfTrue="1">
      <formula>ISERROR(E2231)</formula>
    </cfRule>
  </conditionalFormatting>
  <conditionalFormatting sqref="N2231">
    <cfRule type="expression" dxfId="1088" priority="2999" stopIfTrue="1">
      <formula>LEN(TRIM(N2231))=0</formula>
    </cfRule>
  </conditionalFormatting>
  <conditionalFormatting sqref="E2232">
    <cfRule type="expression" dxfId="1087" priority="2836" stopIfTrue="1">
      <formula>ISERROR(E2232)</formula>
    </cfRule>
  </conditionalFormatting>
  <conditionalFormatting sqref="N2232">
    <cfRule type="expression" dxfId="1086" priority="2998" stopIfTrue="1">
      <formula>LEN(TRIM(N2232))=0</formula>
    </cfRule>
  </conditionalFormatting>
  <conditionalFormatting sqref="E2233">
    <cfRule type="expression" dxfId="1085" priority="2835" stopIfTrue="1">
      <formula>ISERROR(E2233)</formula>
    </cfRule>
  </conditionalFormatting>
  <conditionalFormatting sqref="N2233">
    <cfRule type="expression" dxfId="1084" priority="2997" stopIfTrue="1">
      <formula>LEN(TRIM(N2233))=0</formula>
    </cfRule>
  </conditionalFormatting>
  <conditionalFormatting sqref="E2234">
    <cfRule type="expression" dxfId="1083" priority="2834" stopIfTrue="1">
      <formula>ISERROR(E2234)</formula>
    </cfRule>
  </conditionalFormatting>
  <conditionalFormatting sqref="N2234">
    <cfRule type="expression" dxfId="1082" priority="2996" stopIfTrue="1">
      <formula>LEN(TRIM(N2234))=0</formula>
    </cfRule>
  </conditionalFormatting>
  <conditionalFormatting sqref="E2235">
    <cfRule type="expression" dxfId="1081" priority="2833" stopIfTrue="1">
      <formula>ISERROR(E2235)</formula>
    </cfRule>
  </conditionalFormatting>
  <conditionalFormatting sqref="N2235">
    <cfRule type="expression" dxfId="1080" priority="2995" stopIfTrue="1">
      <formula>LEN(TRIM(N2235))=0</formula>
    </cfRule>
  </conditionalFormatting>
  <conditionalFormatting sqref="E2236">
    <cfRule type="expression" dxfId="1079" priority="2832" stopIfTrue="1">
      <formula>ISERROR(E2236)</formula>
    </cfRule>
  </conditionalFormatting>
  <conditionalFormatting sqref="N2236">
    <cfRule type="expression" dxfId="1078" priority="2994" stopIfTrue="1">
      <formula>LEN(TRIM(N2236))=0</formula>
    </cfRule>
  </conditionalFormatting>
  <conditionalFormatting sqref="E2237">
    <cfRule type="expression" dxfId="1077" priority="2831" stopIfTrue="1">
      <formula>ISERROR(E2237)</formula>
    </cfRule>
  </conditionalFormatting>
  <conditionalFormatting sqref="N2237">
    <cfRule type="expression" dxfId="1076" priority="2993" stopIfTrue="1">
      <formula>LEN(TRIM(N2237))=0</formula>
    </cfRule>
  </conditionalFormatting>
  <conditionalFormatting sqref="E2238">
    <cfRule type="expression" dxfId="1075" priority="2830" stopIfTrue="1">
      <formula>ISERROR(E2238)</formula>
    </cfRule>
  </conditionalFormatting>
  <conditionalFormatting sqref="N2238">
    <cfRule type="expression" dxfId="1074" priority="2992" stopIfTrue="1">
      <formula>LEN(TRIM(N2238))=0</formula>
    </cfRule>
  </conditionalFormatting>
  <conditionalFormatting sqref="E2239">
    <cfRule type="expression" dxfId="1073" priority="2829" stopIfTrue="1">
      <formula>ISERROR(E2239)</formula>
    </cfRule>
  </conditionalFormatting>
  <conditionalFormatting sqref="N2239">
    <cfRule type="expression" dxfId="1072" priority="2991" stopIfTrue="1">
      <formula>LEN(TRIM(N2239))=0</formula>
    </cfRule>
  </conditionalFormatting>
  <conditionalFormatting sqref="E2240">
    <cfRule type="expression" dxfId="1071" priority="2828" stopIfTrue="1">
      <formula>ISERROR(E2240)</formula>
    </cfRule>
  </conditionalFormatting>
  <conditionalFormatting sqref="N2240">
    <cfRule type="expression" dxfId="1070" priority="2990" stopIfTrue="1">
      <formula>LEN(TRIM(N2240))=0</formula>
    </cfRule>
  </conditionalFormatting>
  <conditionalFormatting sqref="E2241">
    <cfRule type="expression" dxfId="1069" priority="2827" stopIfTrue="1">
      <formula>ISERROR(E2241)</formula>
    </cfRule>
  </conditionalFormatting>
  <conditionalFormatting sqref="N2241">
    <cfRule type="expression" dxfId="1068" priority="2989" stopIfTrue="1">
      <formula>LEN(TRIM(N2241))=0</formula>
    </cfRule>
  </conditionalFormatting>
  <conditionalFormatting sqref="E2242">
    <cfRule type="expression" dxfId="1067" priority="2826" stopIfTrue="1">
      <formula>ISERROR(E2242)</formula>
    </cfRule>
  </conditionalFormatting>
  <conditionalFormatting sqref="N2242">
    <cfRule type="expression" dxfId="1066" priority="2988" stopIfTrue="1">
      <formula>LEN(TRIM(N2242))=0</formula>
    </cfRule>
  </conditionalFormatting>
  <conditionalFormatting sqref="E2243">
    <cfRule type="expression" dxfId="1065" priority="2825" stopIfTrue="1">
      <formula>ISERROR(E2243)</formula>
    </cfRule>
  </conditionalFormatting>
  <conditionalFormatting sqref="N2243">
    <cfRule type="expression" dxfId="1064" priority="2987" stopIfTrue="1">
      <formula>LEN(TRIM(N2243))=0</formula>
    </cfRule>
  </conditionalFormatting>
  <conditionalFormatting sqref="E2244">
    <cfRule type="expression" dxfId="1063" priority="2824" stopIfTrue="1">
      <formula>ISERROR(E2244)</formula>
    </cfRule>
  </conditionalFormatting>
  <conditionalFormatting sqref="N2244">
    <cfRule type="expression" dxfId="1062" priority="2986" stopIfTrue="1">
      <formula>LEN(TRIM(N2244))=0</formula>
    </cfRule>
  </conditionalFormatting>
  <conditionalFormatting sqref="E2245">
    <cfRule type="expression" dxfId="1061" priority="2823" stopIfTrue="1">
      <formula>ISERROR(E2245)</formula>
    </cfRule>
  </conditionalFormatting>
  <conditionalFormatting sqref="N2245">
    <cfRule type="expression" dxfId="1060" priority="2985" stopIfTrue="1">
      <formula>LEN(TRIM(N2245))=0</formula>
    </cfRule>
  </conditionalFormatting>
  <conditionalFormatting sqref="E2246">
    <cfRule type="expression" dxfId="1059" priority="2822" stopIfTrue="1">
      <formula>ISERROR(E2246)</formula>
    </cfRule>
  </conditionalFormatting>
  <conditionalFormatting sqref="N2246">
    <cfRule type="expression" dxfId="1058" priority="2984" stopIfTrue="1">
      <formula>LEN(TRIM(N2246))=0</formula>
    </cfRule>
  </conditionalFormatting>
  <conditionalFormatting sqref="E2247">
    <cfRule type="expression" dxfId="1057" priority="2821" stopIfTrue="1">
      <formula>ISERROR(E2247)</formula>
    </cfRule>
  </conditionalFormatting>
  <conditionalFormatting sqref="N2247">
    <cfRule type="expression" dxfId="1056" priority="2983" stopIfTrue="1">
      <formula>LEN(TRIM(N2247))=0</formula>
    </cfRule>
  </conditionalFormatting>
  <conditionalFormatting sqref="E2248">
    <cfRule type="expression" dxfId="1055" priority="2820" stopIfTrue="1">
      <formula>ISERROR(E2248)</formula>
    </cfRule>
  </conditionalFormatting>
  <conditionalFormatting sqref="N2248">
    <cfRule type="expression" dxfId="1054" priority="2982" stopIfTrue="1">
      <formula>LEN(TRIM(N2248))=0</formula>
    </cfRule>
  </conditionalFormatting>
  <conditionalFormatting sqref="E2249">
    <cfRule type="expression" dxfId="1053" priority="2819" stopIfTrue="1">
      <formula>ISERROR(E2249)</formula>
    </cfRule>
  </conditionalFormatting>
  <conditionalFormatting sqref="N2249">
    <cfRule type="expression" dxfId="1052" priority="2981" stopIfTrue="1">
      <formula>LEN(TRIM(N2249))=0</formula>
    </cfRule>
  </conditionalFormatting>
  <conditionalFormatting sqref="E2250">
    <cfRule type="expression" dxfId="1051" priority="2818" stopIfTrue="1">
      <formula>ISERROR(E2250)</formula>
    </cfRule>
  </conditionalFormatting>
  <conditionalFormatting sqref="N2250">
    <cfRule type="expression" dxfId="1050" priority="2980" stopIfTrue="1">
      <formula>LEN(TRIM(N2250))=0</formula>
    </cfRule>
  </conditionalFormatting>
  <conditionalFormatting sqref="E2251">
    <cfRule type="expression" dxfId="1049" priority="2817" stopIfTrue="1">
      <formula>ISERROR(E2251)</formula>
    </cfRule>
  </conditionalFormatting>
  <conditionalFormatting sqref="G2251">
    <cfRule type="expression" dxfId="1048" priority="82" stopIfTrue="1">
      <formula>LEN(TRIM(G2251))=0</formula>
    </cfRule>
  </conditionalFormatting>
  <conditionalFormatting sqref="N2251">
    <cfRule type="expression" dxfId="1047" priority="2979" stopIfTrue="1">
      <formula>LEN(TRIM(N2251))=0</formula>
    </cfRule>
  </conditionalFormatting>
  <conditionalFormatting sqref="E2252">
    <cfRule type="expression" dxfId="1046" priority="2816" stopIfTrue="1">
      <formula>ISERROR(E2252)</formula>
    </cfRule>
  </conditionalFormatting>
  <conditionalFormatting sqref="N2252">
    <cfRule type="expression" dxfId="1045" priority="2978" stopIfTrue="1">
      <formula>LEN(TRIM(N2252))=0</formula>
    </cfRule>
  </conditionalFormatting>
  <conditionalFormatting sqref="E2253">
    <cfRule type="expression" dxfId="1044" priority="2815" stopIfTrue="1">
      <formula>ISERROR(E2253)</formula>
    </cfRule>
  </conditionalFormatting>
  <conditionalFormatting sqref="N2253">
    <cfRule type="expression" dxfId="1043" priority="2977" stopIfTrue="1">
      <formula>LEN(TRIM(N2253))=0</formula>
    </cfRule>
  </conditionalFormatting>
  <conditionalFormatting sqref="E2254">
    <cfRule type="expression" dxfId="1042" priority="2814" stopIfTrue="1">
      <formula>ISERROR(E2254)</formula>
    </cfRule>
  </conditionalFormatting>
  <conditionalFormatting sqref="N2254">
    <cfRule type="expression" dxfId="1041" priority="2976" stopIfTrue="1">
      <formula>LEN(TRIM(N2254))=0</formula>
    </cfRule>
  </conditionalFormatting>
  <conditionalFormatting sqref="E2255">
    <cfRule type="expression" dxfId="1040" priority="2813" stopIfTrue="1">
      <formula>ISERROR(E2255)</formula>
    </cfRule>
  </conditionalFormatting>
  <conditionalFormatting sqref="N2255">
    <cfRule type="expression" dxfId="1039" priority="2975" stopIfTrue="1">
      <formula>LEN(TRIM(N2255))=0</formula>
    </cfRule>
  </conditionalFormatting>
  <conditionalFormatting sqref="E2256">
    <cfRule type="expression" dxfId="1038" priority="2812" stopIfTrue="1">
      <formula>ISERROR(E2256)</formula>
    </cfRule>
  </conditionalFormatting>
  <conditionalFormatting sqref="N2256">
    <cfRule type="expression" dxfId="1037" priority="2974" stopIfTrue="1">
      <formula>LEN(TRIM(N2256))=0</formula>
    </cfRule>
  </conditionalFormatting>
  <conditionalFormatting sqref="E2257">
    <cfRule type="expression" dxfId="1036" priority="2811" stopIfTrue="1">
      <formula>ISERROR(E2257)</formula>
    </cfRule>
  </conditionalFormatting>
  <conditionalFormatting sqref="N2257">
    <cfRule type="expression" dxfId="1035" priority="2973" stopIfTrue="1">
      <formula>LEN(TRIM(N2257))=0</formula>
    </cfRule>
  </conditionalFormatting>
  <conditionalFormatting sqref="E2258">
    <cfRule type="expression" dxfId="1034" priority="2810" stopIfTrue="1">
      <formula>ISERROR(E2258)</formula>
    </cfRule>
  </conditionalFormatting>
  <conditionalFormatting sqref="N2258">
    <cfRule type="expression" dxfId="1033" priority="2972" stopIfTrue="1">
      <formula>LEN(TRIM(N2258))=0</formula>
    </cfRule>
  </conditionalFormatting>
  <conditionalFormatting sqref="E2259">
    <cfRule type="expression" dxfId="1032" priority="2809" stopIfTrue="1">
      <formula>ISERROR(E2259)</formula>
    </cfRule>
  </conditionalFormatting>
  <conditionalFormatting sqref="N2259">
    <cfRule type="expression" dxfId="1031" priority="2971" stopIfTrue="1">
      <formula>LEN(TRIM(N2259))=0</formula>
    </cfRule>
  </conditionalFormatting>
  <conditionalFormatting sqref="E2260">
    <cfRule type="expression" dxfId="1030" priority="2808" stopIfTrue="1">
      <formula>ISERROR(E2260)</formula>
    </cfRule>
  </conditionalFormatting>
  <conditionalFormatting sqref="N2260">
    <cfRule type="expression" dxfId="1029" priority="2970" stopIfTrue="1">
      <formula>LEN(TRIM(N2260))=0</formula>
    </cfRule>
  </conditionalFormatting>
  <conditionalFormatting sqref="E2261">
    <cfRule type="expression" dxfId="1028" priority="2807" stopIfTrue="1">
      <formula>ISERROR(E2261)</formula>
    </cfRule>
  </conditionalFormatting>
  <conditionalFormatting sqref="N2261">
    <cfRule type="expression" dxfId="1027" priority="2969" stopIfTrue="1">
      <formula>LEN(TRIM(N2261))=0</formula>
    </cfRule>
  </conditionalFormatting>
  <conditionalFormatting sqref="E2262">
    <cfRule type="expression" dxfId="1026" priority="2806" stopIfTrue="1">
      <formula>ISERROR(E2262)</formula>
    </cfRule>
  </conditionalFormatting>
  <conditionalFormatting sqref="N2262">
    <cfRule type="expression" dxfId="1025" priority="2968" stopIfTrue="1">
      <formula>LEN(TRIM(N2262))=0</formula>
    </cfRule>
  </conditionalFormatting>
  <conditionalFormatting sqref="E2263">
    <cfRule type="expression" dxfId="1024" priority="2805" stopIfTrue="1">
      <formula>ISERROR(E2263)</formula>
    </cfRule>
  </conditionalFormatting>
  <conditionalFormatting sqref="N2263">
    <cfRule type="expression" dxfId="1023" priority="2967" stopIfTrue="1">
      <formula>LEN(TRIM(N2263))=0</formula>
    </cfRule>
  </conditionalFormatting>
  <conditionalFormatting sqref="E2264">
    <cfRule type="expression" dxfId="1022" priority="2804" stopIfTrue="1">
      <formula>ISERROR(E2264)</formula>
    </cfRule>
  </conditionalFormatting>
  <conditionalFormatting sqref="N2264">
    <cfRule type="expression" dxfId="1021" priority="2966" stopIfTrue="1">
      <formula>LEN(TRIM(N2264))=0</formula>
    </cfRule>
  </conditionalFormatting>
  <conditionalFormatting sqref="E2265">
    <cfRule type="expression" dxfId="1020" priority="2803" stopIfTrue="1">
      <formula>ISERROR(E2265)</formula>
    </cfRule>
  </conditionalFormatting>
  <conditionalFormatting sqref="N2265">
    <cfRule type="expression" dxfId="1019" priority="2965" stopIfTrue="1">
      <formula>LEN(TRIM(N2265))=0</formula>
    </cfRule>
  </conditionalFormatting>
  <conditionalFormatting sqref="E2266">
    <cfRule type="expression" dxfId="1018" priority="2802" stopIfTrue="1">
      <formula>ISERROR(E2266)</formula>
    </cfRule>
  </conditionalFormatting>
  <conditionalFormatting sqref="N2266">
    <cfRule type="expression" dxfId="1017" priority="2964" stopIfTrue="1">
      <formula>LEN(TRIM(N2266))=0</formula>
    </cfRule>
  </conditionalFormatting>
  <conditionalFormatting sqref="E2267">
    <cfRule type="expression" dxfId="1016" priority="2801" stopIfTrue="1">
      <formula>ISERROR(E2267)</formula>
    </cfRule>
  </conditionalFormatting>
  <conditionalFormatting sqref="N2267">
    <cfRule type="expression" dxfId="1015" priority="2963" stopIfTrue="1">
      <formula>LEN(TRIM(N2267))=0</formula>
    </cfRule>
  </conditionalFormatting>
  <conditionalFormatting sqref="E2268">
    <cfRule type="expression" dxfId="1014" priority="2800" stopIfTrue="1">
      <formula>ISERROR(E2268)</formula>
    </cfRule>
  </conditionalFormatting>
  <conditionalFormatting sqref="N2268">
    <cfRule type="expression" dxfId="1013" priority="2962" stopIfTrue="1">
      <formula>LEN(TRIM(N2268))=0</formula>
    </cfRule>
  </conditionalFormatting>
  <conditionalFormatting sqref="E2269">
    <cfRule type="expression" dxfId="1012" priority="2799" stopIfTrue="1">
      <formula>ISERROR(E2269)</formula>
    </cfRule>
  </conditionalFormatting>
  <conditionalFormatting sqref="N2269">
    <cfRule type="expression" dxfId="1011" priority="2961" stopIfTrue="1">
      <formula>LEN(TRIM(N2269))=0</formula>
    </cfRule>
  </conditionalFormatting>
  <conditionalFormatting sqref="E2270">
    <cfRule type="expression" dxfId="1010" priority="2798" stopIfTrue="1">
      <formula>ISERROR(E2270)</formula>
    </cfRule>
  </conditionalFormatting>
  <conditionalFormatting sqref="N2270">
    <cfRule type="expression" dxfId="1009" priority="2960" stopIfTrue="1">
      <formula>LEN(TRIM(N2270))=0</formula>
    </cfRule>
  </conditionalFormatting>
  <conditionalFormatting sqref="E2271">
    <cfRule type="expression" dxfId="1008" priority="2797" stopIfTrue="1">
      <formula>ISERROR(E2271)</formula>
    </cfRule>
  </conditionalFormatting>
  <conditionalFormatting sqref="N2271">
    <cfRule type="expression" dxfId="1007" priority="2959" stopIfTrue="1">
      <formula>LEN(TRIM(N2271))=0</formula>
    </cfRule>
  </conditionalFormatting>
  <conditionalFormatting sqref="E2272">
    <cfRule type="expression" dxfId="1006" priority="2796" stopIfTrue="1">
      <formula>ISERROR(E2272)</formula>
    </cfRule>
  </conditionalFormatting>
  <conditionalFormatting sqref="N2272">
    <cfRule type="expression" dxfId="1005" priority="2958" stopIfTrue="1">
      <formula>LEN(TRIM(N2272))=0</formula>
    </cfRule>
  </conditionalFormatting>
  <conditionalFormatting sqref="E2273">
    <cfRule type="expression" dxfId="1004" priority="2795" stopIfTrue="1">
      <formula>ISERROR(E2273)</formula>
    </cfRule>
  </conditionalFormatting>
  <conditionalFormatting sqref="G2273">
    <cfRule type="expression" dxfId="1003" priority="8" stopIfTrue="1">
      <formula>LEN(TRIM(G2273))=0</formula>
    </cfRule>
  </conditionalFormatting>
  <conditionalFormatting sqref="N2273">
    <cfRule type="expression" dxfId="1002" priority="2957" stopIfTrue="1">
      <formula>LEN(TRIM(N2273))=0</formula>
    </cfRule>
  </conditionalFormatting>
  <conditionalFormatting sqref="E2274">
    <cfRule type="expression" dxfId="1001" priority="2794" stopIfTrue="1">
      <formula>ISERROR(E2274)</formula>
    </cfRule>
  </conditionalFormatting>
  <conditionalFormatting sqref="N2274">
    <cfRule type="expression" dxfId="1000" priority="2956" stopIfTrue="1">
      <formula>LEN(TRIM(N2274))=0</formula>
    </cfRule>
  </conditionalFormatting>
  <conditionalFormatting sqref="E2275">
    <cfRule type="expression" dxfId="999" priority="2793" stopIfTrue="1">
      <formula>ISERROR(E2275)</formula>
    </cfRule>
  </conditionalFormatting>
  <conditionalFormatting sqref="N2275">
    <cfRule type="expression" dxfId="998" priority="2955" stopIfTrue="1">
      <formula>LEN(TRIM(N2275))=0</formula>
    </cfRule>
  </conditionalFormatting>
  <conditionalFormatting sqref="E2276">
    <cfRule type="expression" dxfId="997" priority="2792" stopIfTrue="1">
      <formula>ISERROR(E2276)</formula>
    </cfRule>
  </conditionalFormatting>
  <conditionalFormatting sqref="N2276">
    <cfRule type="expression" dxfId="996" priority="2954" stopIfTrue="1">
      <formula>LEN(TRIM(N2276))=0</formula>
    </cfRule>
  </conditionalFormatting>
  <conditionalFormatting sqref="E2277">
    <cfRule type="expression" dxfId="995" priority="2791" stopIfTrue="1">
      <formula>ISERROR(E2277)</formula>
    </cfRule>
  </conditionalFormatting>
  <conditionalFormatting sqref="N2277">
    <cfRule type="expression" dxfId="994" priority="2953" stopIfTrue="1">
      <formula>LEN(TRIM(N2277))=0</formula>
    </cfRule>
  </conditionalFormatting>
  <conditionalFormatting sqref="E2278">
    <cfRule type="expression" dxfId="993" priority="2790" stopIfTrue="1">
      <formula>ISERROR(E2278)</formula>
    </cfRule>
  </conditionalFormatting>
  <conditionalFormatting sqref="N2278">
    <cfRule type="expression" dxfId="992" priority="2952" stopIfTrue="1">
      <formula>LEN(TRIM(N2278))=0</formula>
    </cfRule>
  </conditionalFormatting>
  <conditionalFormatting sqref="E2279">
    <cfRule type="expression" dxfId="991" priority="2789" stopIfTrue="1">
      <formula>ISERROR(E2279)</formula>
    </cfRule>
  </conditionalFormatting>
  <conditionalFormatting sqref="N2279">
    <cfRule type="expression" dxfId="990" priority="2951" stopIfTrue="1">
      <formula>LEN(TRIM(N2279))=0</formula>
    </cfRule>
  </conditionalFormatting>
  <conditionalFormatting sqref="E2280">
    <cfRule type="expression" dxfId="989" priority="2788" stopIfTrue="1">
      <formula>ISERROR(E2280)</formula>
    </cfRule>
  </conditionalFormatting>
  <conditionalFormatting sqref="N2280">
    <cfRule type="expression" dxfId="988" priority="2950" stopIfTrue="1">
      <formula>LEN(TRIM(N2280))=0</formula>
    </cfRule>
  </conditionalFormatting>
  <conditionalFormatting sqref="E2281">
    <cfRule type="expression" dxfId="987" priority="2787" stopIfTrue="1">
      <formula>ISERROR(E2281)</formula>
    </cfRule>
  </conditionalFormatting>
  <conditionalFormatting sqref="N2281">
    <cfRule type="expression" dxfId="986" priority="2949" stopIfTrue="1">
      <formula>LEN(TRIM(N2281))=0</formula>
    </cfRule>
  </conditionalFormatting>
  <conditionalFormatting sqref="E2282">
    <cfRule type="expression" dxfId="985" priority="2786" stopIfTrue="1">
      <formula>ISERROR(E2282)</formula>
    </cfRule>
  </conditionalFormatting>
  <conditionalFormatting sqref="N2282">
    <cfRule type="expression" dxfId="984" priority="2948" stopIfTrue="1">
      <formula>LEN(TRIM(N2282))=0</formula>
    </cfRule>
  </conditionalFormatting>
  <conditionalFormatting sqref="E2283">
    <cfRule type="expression" dxfId="983" priority="2785" stopIfTrue="1">
      <formula>ISERROR(E2283)</formula>
    </cfRule>
  </conditionalFormatting>
  <conditionalFormatting sqref="N2283">
    <cfRule type="expression" dxfId="982" priority="2947" stopIfTrue="1">
      <formula>LEN(TRIM(N2283))=0</formula>
    </cfRule>
  </conditionalFormatting>
  <conditionalFormatting sqref="E2284">
    <cfRule type="expression" dxfId="981" priority="2784" stopIfTrue="1">
      <formula>ISERROR(E2284)</formula>
    </cfRule>
  </conditionalFormatting>
  <conditionalFormatting sqref="N2284">
    <cfRule type="expression" dxfId="980" priority="2946" stopIfTrue="1">
      <formula>LEN(TRIM(N2284))=0</formula>
    </cfRule>
  </conditionalFormatting>
  <conditionalFormatting sqref="E2285">
    <cfRule type="expression" dxfId="979" priority="2783" stopIfTrue="1">
      <formula>ISERROR(E2285)</formula>
    </cfRule>
  </conditionalFormatting>
  <conditionalFormatting sqref="N2285">
    <cfRule type="expression" dxfId="978" priority="2945" stopIfTrue="1">
      <formula>LEN(TRIM(N2285))=0</formula>
    </cfRule>
  </conditionalFormatting>
  <conditionalFormatting sqref="E2286">
    <cfRule type="expression" dxfId="977" priority="2782" stopIfTrue="1">
      <formula>ISERROR(E2286)</formula>
    </cfRule>
  </conditionalFormatting>
  <conditionalFormatting sqref="N2286">
    <cfRule type="expression" dxfId="976" priority="2944" stopIfTrue="1">
      <formula>LEN(TRIM(N2286))=0</formula>
    </cfRule>
  </conditionalFormatting>
  <conditionalFormatting sqref="E2287">
    <cfRule type="expression" dxfId="975" priority="2781" stopIfTrue="1">
      <formula>ISERROR(E2287)</formula>
    </cfRule>
  </conditionalFormatting>
  <conditionalFormatting sqref="N2287">
    <cfRule type="expression" dxfId="974" priority="2943" stopIfTrue="1">
      <formula>LEN(TRIM(N2287))=0</formula>
    </cfRule>
  </conditionalFormatting>
  <conditionalFormatting sqref="E2288">
    <cfRule type="expression" dxfId="973" priority="2780" stopIfTrue="1">
      <formula>ISERROR(E2288)</formula>
    </cfRule>
  </conditionalFormatting>
  <conditionalFormatting sqref="N2288">
    <cfRule type="expression" dxfId="972" priority="2942" stopIfTrue="1">
      <formula>LEN(TRIM(N2288))=0</formula>
    </cfRule>
  </conditionalFormatting>
  <conditionalFormatting sqref="E2289">
    <cfRule type="expression" dxfId="971" priority="2779" stopIfTrue="1">
      <formula>ISERROR(E2289)</formula>
    </cfRule>
  </conditionalFormatting>
  <conditionalFormatting sqref="N2289">
    <cfRule type="expression" dxfId="970" priority="2941" stopIfTrue="1">
      <formula>LEN(TRIM(N2289))=0</formula>
    </cfRule>
  </conditionalFormatting>
  <conditionalFormatting sqref="E2290">
    <cfRule type="expression" dxfId="969" priority="2778" stopIfTrue="1">
      <formula>ISERROR(E2290)</formula>
    </cfRule>
  </conditionalFormatting>
  <conditionalFormatting sqref="N2290">
    <cfRule type="expression" dxfId="968" priority="2940" stopIfTrue="1">
      <formula>LEN(TRIM(N2290))=0</formula>
    </cfRule>
  </conditionalFormatting>
  <conditionalFormatting sqref="E2291">
    <cfRule type="expression" dxfId="967" priority="2777" stopIfTrue="1">
      <formula>ISERROR(E2291)</formula>
    </cfRule>
  </conditionalFormatting>
  <conditionalFormatting sqref="N2291">
    <cfRule type="expression" dxfId="966" priority="2939" stopIfTrue="1">
      <formula>LEN(TRIM(N2291))=0</formula>
    </cfRule>
  </conditionalFormatting>
  <conditionalFormatting sqref="E2292">
    <cfRule type="expression" dxfId="965" priority="2776" stopIfTrue="1">
      <formula>ISERROR(E2292)</formula>
    </cfRule>
  </conditionalFormatting>
  <conditionalFormatting sqref="N2292">
    <cfRule type="expression" dxfId="964" priority="2938" stopIfTrue="1">
      <formula>LEN(TRIM(N2292))=0</formula>
    </cfRule>
  </conditionalFormatting>
  <conditionalFormatting sqref="E2293">
    <cfRule type="expression" dxfId="963" priority="2775" stopIfTrue="1">
      <formula>ISERROR(E2293)</formula>
    </cfRule>
  </conditionalFormatting>
  <conditionalFormatting sqref="N2293">
    <cfRule type="expression" dxfId="962" priority="2937" stopIfTrue="1">
      <formula>LEN(TRIM(N2293))=0</formula>
    </cfRule>
  </conditionalFormatting>
  <conditionalFormatting sqref="E2294">
    <cfRule type="expression" dxfId="961" priority="2774" stopIfTrue="1">
      <formula>ISERROR(E2294)</formula>
    </cfRule>
  </conditionalFormatting>
  <conditionalFormatting sqref="N2294">
    <cfRule type="expression" dxfId="960" priority="2936" stopIfTrue="1">
      <formula>LEN(TRIM(N2294))=0</formula>
    </cfRule>
  </conditionalFormatting>
  <conditionalFormatting sqref="E2295">
    <cfRule type="expression" dxfId="959" priority="2773" stopIfTrue="1">
      <formula>ISERROR(E2295)</formula>
    </cfRule>
  </conditionalFormatting>
  <conditionalFormatting sqref="N2295">
    <cfRule type="expression" dxfId="958" priority="2935" stopIfTrue="1">
      <formula>LEN(TRIM(N2295))=0</formula>
    </cfRule>
  </conditionalFormatting>
  <conditionalFormatting sqref="E2296">
    <cfRule type="expression" dxfId="957" priority="2772" stopIfTrue="1">
      <formula>ISERROR(E2296)</formula>
    </cfRule>
  </conditionalFormatting>
  <conditionalFormatting sqref="N2296">
    <cfRule type="expression" dxfId="956" priority="2934" stopIfTrue="1">
      <formula>LEN(TRIM(N2296))=0</formula>
    </cfRule>
  </conditionalFormatting>
  <conditionalFormatting sqref="E2297">
    <cfRule type="expression" dxfId="955" priority="2771" stopIfTrue="1">
      <formula>ISERROR(E2297)</formula>
    </cfRule>
  </conditionalFormatting>
  <conditionalFormatting sqref="N2297">
    <cfRule type="expression" dxfId="954" priority="2933" stopIfTrue="1">
      <formula>LEN(TRIM(N2297))=0</formula>
    </cfRule>
  </conditionalFormatting>
  <conditionalFormatting sqref="E2298">
    <cfRule type="expression" dxfId="953" priority="2770" stopIfTrue="1">
      <formula>ISERROR(E2298)</formula>
    </cfRule>
  </conditionalFormatting>
  <conditionalFormatting sqref="N2298">
    <cfRule type="expression" dxfId="952" priority="2932" stopIfTrue="1">
      <formula>LEN(TRIM(N2298))=0</formula>
    </cfRule>
  </conditionalFormatting>
  <conditionalFormatting sqref="E2299">
    <cfRule type="expression" dxfId="951" priority="2769" stopIfTrue="1">
      <formula>ISERROR(E2299)</formula>
    </cfRule>
  </conditionalFormatting>
  <conditionalFormatting sqref="N2299">
    <cfRule type="expression" dxfId="950" priority="2931" stopIfTrue="1">
      <formula>LEN(TRIM(N2299))=0</formula>
    </cfRule>
  </conditionalFormatting>
  <conditionalFormatting sqref="E2300">
    <cfRule type="expression" dxfId="949" priority="2768" stopIfTrue="1">
      <formula>ISERROR(E2300)</formula>
    </cfRule>
  </conditionalFormatting>
  <conditionalFormatting sqref="N2300">
    <cfRule type="expression" dxfId="948" priority="2930" stopIfTrue="1">
      <formula>LEN(TRIM(N2300))=0</formula>
    </cfRule>
  </conditionalFormatting>
  <conditionalFormatting sqref="E2301">
    <cfRule type="expression" dxfId="947" priority="2767" stopIfTrue="1">
      <formula>ISERROR(E2301)</formula>
    </cfRule>
  </conditionalFormatting>
  <conditionalFormatting sqref="N2301">
    <cfRule type="expression" dxfId="946" priority="2929" stopIfTrue="1">
      <formula>LEN(TRIM(N2301))=0</formula>
    </cfRule>
  </conditionalFormatting>
  <conditionalFormatting sqref="E2302">
    <cfRule type="expression" dxfId="945" priority="2766" stopIfTrue="1">
      <formula>ISERROR(E2302)</formula>
    </cfRule>
  </conditionalFormatting>
  <conditionalFormatting sqref="N2302">
    <cfRule type="expression" dxfId="944" priority="2928" stopIfTrue="1">
      <formula>LEN(TRIM(N2302))=0</formula>
    </cfRule>
  </conditionalFormatting>
  <conditionalFormatting sqref="E2303">
    <cfRule type="expression" dxfId="943" priority="2765" stopIfTrue="1">
      <formula>ISERROR(E2303)</formula>
    </cfRule>
  </conditionalFormatting>
  <conditionalFormatting sqref="N2303">
    <cfRule type="expression" dxfId="942" priority="2927" stopIfTrue="1">
      <formula>LEN(TRIM(N2303))=0</formula>
    </cfRule>
  </conditionalFormatting>
  <conditionalFormatting sqref="E2304">
    <cfRule type="expression" dxfId="941" priority="2764" stopIfTrue="1">
      <formula>ISERROR(E2304)</formula>
    </cfRule>
  </conditionalFormatting>
  <conditionalFormatting sqref="N2304">
    <cfRule type="expression" dxfId="940" priority="2926" stopIfTrue="1">
      <formula>LEN(TRIM(N2304))=0</formula>
    </cfRule>
  </conditionalFormatting>
  <conditionalFormatting sqref="E2305">
    <cfRule type="expression" dxfId="939" priority="2763" stopIfTrue="1">
      <formula>ISERROR(E2305)</formula>
    </cfRule>
  </conditionalFormatting>
  <conditionalFormatting sqref="N2305">
    <cfRule type="expression" dxfId="938" priority="2925" stopIfTrue="1">
      <formula>LEN(TRIM(N2305))=0</formula>
    </cfRule>
  </conditionalFormatting>
  <conditionalFormatting sqref="E2306">
    <cfRule type="expression" dxfId="937" priority="2762" stopIfTrue="1">
      <formula>ISERROR(E2306)</formula>
    </cfRule>
  </conditionalFormatting>
  <conditionalFormatting sqref="N2306">
    <cfRule type="expression" dxfId="936" priority="2924" stopIfTrue="1">
      <formula>LEN(TRIM(N2306))=0</formula>
    </cfRule>
  </conditionalFormatting>
  <conditionalFormatting sqref="E2307">
    <cfRule type="expression" dxfId="935" priority="2761" stopIfTrue="1">
      <formula>ISERROR(E2307)</formula>
    </cfRule>
  </conditionalFormatting>
  <conditionalFormatting sqref="N2307">
    <cfRule type="expression" dxfId="934" priority="2923" stopIfTrue="1">
      <formula>LEN(TRIM(N2307))=0</formula>
    </cfRule>
  </conditionalFormatting>
  <conditionalFormatting sqref="E2308">
    <cfRule type="expression" dxfId="933" priority="2760" stopIfTrue="1">
      <formula>ISERROR(E2308)</formula>
    </cfRule>
  </conditionalFormatting>
  <conditionalFormatting sqref="N2308">
    <cfRule type="expression" dxfId="932" priority="2922" stopIfTrue="1">
      <formula>LEN(TRIM(N2308))=0</formula>
    </cfRule>
  </conditionalFormatting>
  <conditionalFormatting sqref="E2309">
    <cfRule type="expression" dxfId="931" priority="2759" stopIfTrue="1">
      <formula>ISERROR(E2309)</formula>
    </cfRule>
  </conditionalFormatting>
  <conditionalFormatting sqref="N2309">
    <cfRule type="expression" dxfId="930" priority="2921" stopIfTrue="1">
      <formula>LEN(TRIM(N2309))=0</formula>
    </cfRule>
  </conditionalFormatting>
  <conditionalFormatting sqref="E2310">
    <cfRule type="expression" dxfId="929" priority="2758" stopIfTrue="1">
      <formula>ISERROR(E2310)</formula>
    </cfRule>
  </conditionalFormatting>
  <conditionalFormatting sqref="N2310">
    <cfRule type="expression" dxfId="928" priority="2920" stopIfTrue="1">
      <formula>LEN(TRIM(N2310))=0</formula>
    </cfRule>
  </conditionalFormatting>
  <conditionalFormatting sqref="E2311">
    <cfRule type="expression" dxfId="927" priority="2757" stopIfTrue="1">
      <formula>ISERROR(E2311)</formula>
    </cfRule>
  </conditionalFormatting>
  <conditionalFormatting sqref="N2311">
    <cfRule type="expression" dxfId="926" priority="2919" stopIfTrue="1">
      <formula>LEN(TRIM(N2311))=0</formula>
    </cfRule>
  </conditionalFormatting>
  <conditionalFormatting sqref="E2312">
    <cfRule type="expression" dxfId="925" priority="2756" stopIfTrue="1">
      <formula>ISERROR(E2312)</formula>
    </cfRule>
  </conditionalFormatting>
  <conditionalFormatting sqref="N2312">
    <cfRule type="expression" dxfId="924" priority="2918" stopIfTrue="1">
      <formula>LEN(TRIM(N2312))=0</formula>
    </cfRule>
  </conditionalFormatting>
  <conditionalFormatting sqref="E2313">
    <cfRule type="expression" dxfId="923" priority="2755" stopIfTrue="1">
      <formula>ISERROR(E2313)</formula>
    </cfRule>
  </conditionalFormatting>
  <conditionalFormatting sqref="N2313">
    <cfRule type="expression" dxfId="922" priority="2917" stopIfTrue="1">
      <formula>LEN(TRIM(N2313))=0</formula>
    </cfRule>
  </conditionalFormatting>
  <conditionalFormatting sqref="E2314">
    <cfRule type="expression" dxfId="921" priority="2754" stopIfTrue="1">
      <formula>ISERROR(E2314)</formula>
    </cfRule>
  </conditionalFormatting>
  <conditionalFormatting sqref="N2314">
    <cfRule type="expression" dxfId="920" priority="2916" stopIfTrue="1">
      <formula>LEN(TRIM(N2314))=0</formula>
    </cfRule>
  </conditionalFormatting>
  <conditionalFormatting sqref="E2315">
    <cfRule type="expression" dxfId="919" priority="2753" stopIfTrue="1">
      <formula>ISERROR(E2315)</formula>
    </cfRule>
  </conditionalFormatting>
  <conditionalFormatting sqref="N2315">
    <cfRule type="expression" dxfId="918" priority="2915" stopIfTrue="1">
      <formula>LEN(TRIM(N2315))=0</formula>
    </cfRule>
  </conditionalFormatting>
  <conditionalFormatting sqref="E2316">
    <cfRule type="expression" dxfId="917" priority="2752" stopIfTrue="1">
      <formula>ISERROR(E2316)</formula>
    </cfRule>
  </conditionalFormatting>
  <conditionalFormatting sqref="N2316">
    <cfRule type="expression" dxfId="916" priority="2914" stopIfTrue="1">
      <formula>LEN(TRIM(N2316))=0</formula>
    </cfRule>
  </conditionalFormatting>
  <conditionalFormatting sqref="E2317">
    <cfRule type="expression" dxfId="915" priority="2751" stopIfTrue="1">
      <formula>ISERROR(E2317)</formula>
    </cfRule>
  </conditionalFormatting>
  <conditionalFormatting sqref="N2317">
    <cfRule type="expression" dxfId="914" priority="2913" stopIfTrue="1">
      <formula>LEN(TRIM(N2317))=0</formula>
    </cfRule>
  </conditionalFormatting>
  <conditionalFormatting sqref="E2318">
    <cfRule type="expression" dxfId="913" priority="2164" stopIfTrue="1">
      <formula>ISERROR(E2318)</formula>
    </cfRule>
  </conditionalFormatting>
  <conditionalFormatting sqref="N2318">
    <cfRule type="expression" dxfId="912" priority="2167" stopIfTrue="1">
      <formula>LEN(TRIM(N2318))=0</formula>
    </cfRule>
  </conditionalFormatting>
  <conditionalFormatting sqref="E2319">
    <cfRule type="expression" dxfId="911" priority="2163" stopIfTrue="1">
      <formula>ISERROR(E2319)</formula>
    </cfRule>
  </conditionalFormatting>
  <conditionalFormatting sqref="N2319">
    <cfRule type="expression" dxfId="910" priority="2166" stopIfTrue="1">
      <formula>LEN(TRIM(N2319))=0</formula>
    </cfRule>
  </conditionalFormatting>
  <conditionalFormatting sqref="E2320">
    <cfRule type="expression" dxfId="909" priority="2162" stopIfTrue="1">
      <formula>ISERROR(E2320)</formula>
    </cfRule>
  </conditionalFormatting>
  <conditionalFormatting sqref="N2320">
    <cfRule type="expression" dxfId="908" priority="2165" stopIfTrue="1">
      <formula>LEN(TRIM(N2320))=0</formula>
    </cfRule>
  </conditionalFormatting>
  <conditionalFormatting sqref="C2321">
    <cfRule type="expression" dxfId="907" priority="2434" stopIfTrue="1">
      <formula>LEN(TRIM(C2321))=0</formula>
    </cfRule>
  </conditionalFormatting>
  <conditionalFormatting sqref="E2321">
    <cfRule type="expression" dxfId="906" priority="2506" stopIfTrue="1">
      <formula>ISERROR(E2321)</formula>
    </cfRule>
  </conditionalFormatting>
  <conditionalFormatting sqref="C2322">
    <cfRule type="expression" dxfId="905" priority="2433" stopIfTrue="1">
      <formula>LEN(TRIM(C2322))=0</formula>
    </cfRule>
  </conditionalFormatting>
  <conditionalFormatting sqref="E2322">
    <cfRule type="expression" dxfId="904" priority="2505" stopIfTrue="1">
      <formula>ISERROR(E2322)</formula>
    </cfRule>
  </conditionalFormatting>
  <conditionalFormatting sqref="C2323">
    <cfRule type="expression" dxfId="903" priority="2432" stopIfTrue="1">
      <formula>LEN(TRIM(C2323))=0</formula>
    </cfRule>
  </conditionalFormatting>
  <conditionalFormatting sqref="E2323">
    <cfRule type="expression" dxfId="902" priority="2504" stopIfTrue="1">
      <formula>ISERROR(E2323)</formula>
    </cfRule>
  </conditionalFormatting>
  <conditionalFormatting sqref="C2324">
    <cfRule type="expression" dxfId="901" priority="2431" stopIfTrue="1">
      <formula>LEN(TRIM(C2324))=0</formula>
    </cfRule>
  </conditionalFormatting>
  <conditionalFormatting sqref="E2324">
    <cfRule type="expression" dxfId="900" priority="2503" stopIfTrue="1">
      <formula>ISERROR(E2324)</formula>
    </cfRule>
  </conditionalFormatting>
  <conditionalFormatting sqref="C2325">
    <cfRule type="expression" dxfId="899" priority="2430" stopIfTrue="1">
      <formula>LEN(TRIM(C2325))=0</formula>
    </cfRule>
  </conditionalFormatting>
  <conditionalFormatting sqref="E2325">
    <cfRule type="expression" dxfId="898" priority="2502" stopIfTrue="1">
      <formula>ISERROR(E2325)</formula>
    </cfRule>
  </conditionalFormatting>
  <conditionalFormatting sqref="C2326">
    <cfRule type="expression" dxfId="897" priority="2429" stopIfTrue="1">
      <formula>LEN(TRIM(C2326))=0</formula>
    </cfRule>
  </conditionalFormatting>
  <conditionalFormatting sqref="E2326">
    <cfRule type="expression" dxfId="896" priority="2501" stopIfTrue="1">
      <formula>ISERROR(E2326)</formula>
    </cfRule>
  </conditionalFormatting>
  <conditionalFormatting sqref="C2327">
    <cfRule type="expression" dxfId="895" priority="2428" stopIfTrue="1">
      <formula>LEN(TRIM(C2327))=0</formula>
    </cfRule>
  </conditionalFormatting>
  <conditionalFormatting sqref="E2327">
    <cfRule type="expression" dxfId="894" priority="2500" stopIfTrue="1">
      <formula>ISERROR(E2327)</formula>
    </cfRule>
  </conditionalFormatting>
  <conditionalFormatting sqref="C2328">
    <cfRule type="expression" dxfId="893" priority="2427" stopIfTrue="1">
      <formula>LEN(TRIM(C2328))=0</formula>
    </cfRule>
  </conditionalFormatting>
  <conditionalFormatting sqref="E2328">
    <cfRule type="expression" dxfId="892" priority="2499" stopIfTrue="1">
      <formula>ISERROR(E2328)</formula>
    </cfRule>
  </conditionalFormatting>
  <conditionalFormatting sqref="C2329">
    <cfRule type="expression" dxfId="891" priority="2426" stopIfTrue="1">
      <formula>LEN(TRIM(C2329))=0</formula>
    </cfRule>
  </conditionalFormatting>
  <conditionalFormatting sqref="E2329">
    <cfRule type="expression" dxfId="890" priority="2498" stopIfTrue="1">
      <formula>ISERROR(E2329)</formula>
    </cfRule>
  </conditionalFormatting>
  <conditionalFormatting sqref="C2330">
    <cfRule type="expression" dxfId="889" priority="2425" stopIfTrue="1">
      <formula>LEN(TRIM(C2330))=0</formula>
    </cfRule>
  </conditionalFormatting>
  <conditionalFormatting sqref="E2330">
    <cfRule type="expression" dxfId="888" priority="2497" stopIfTrue="1">
      <formula>ISERROR(E2330)</formula>
    </cfRule>
  </conditionalFormatting>
  <conditionalFormatting sqref="C2331">
    <cfRule type="expression" dxfId="887" priority="2424" stopIfTrue="1">
      <formula>LEN(TRIM(C2331))=0</formula>
    </cfRule>
  </conditionalFormatting>
  <conditionalFormatting sqref="E2331">
    <cfRule type="expression" dxfId="886" priority="2496" stopIfTrue="1">
      <formula>ISERROR(E2331)</formula>
    </cfRule>
  </conditionalFormatting>
  <conditionalFormatting sqref="C2332">
    <cfRule type="expression" dxfId="885" priority="2423" stopIfTrue="1">
      <formula>LEN(TRIM(C2332))=0</formula>
    </cfRule>
  </conditionalFormatting>
  <conditionalFormatting sqref="E2332">
    <cfRule type="expression" dxfId="884" priority="2495" stopIfTrue="1">
      <formula>ISERROR(E2332)</formula>
    </cfRule>
  </conditionalFormatting>
  <conditionalFormatting sqref="C2333">
    <cfRule type="expression" dxfId="883" priority="2422" stopIfTrue="1">
      <formula>LEN(TRIM(C2333))=0</formula>
    </cfRule>
  </conditionalFormatting>
  <conditionalFormatting sqref="E2333">
    <cfRule type="expression" dxfId="882" priority="2494" stopIfTrue="1">
      <formula>ISERROR(E2333)</formula>
    </cfRule>
  </conditionalFormatting>
  <conditionalFormatting sqref="C2334">
    <cfRule type="expression" dxfId="881" priority="2421" stopIfTrue="1">
      <formula>LEN(TRIM(C2334))=0</formula>
    </cfRule>
  </conditionalFormatting>
  <conditionalFormatting sqref="E2334">
    <cfRule type="expression" dxfId="880" priority="2493" stopIfTrue="1">
      <formula>ISERROR(E2334)</formula>
    </cfRule>
  </conditionalFormatting>
  <conditionalFormatting sqref="C2335">
    <cfRule type="expression" dxfId="879" priority="2420" stopIfTrue="1">
      <formula>LEN(TRIM(C2335))=0</formula>
    </cfRule>
  </conditionalFormatting>
  <conditionalFormatting sqref="E2335">
    <cfRule type="expression" dxfId="878" priority="2492" stopIfTrue="1">
      <formula>ISERROR(E2335)</formula>
    </cfRule>
  </conditionalFormatting>
  <conditionalFormatting sqref="C2336">
    <cfRule type="expression" dxfId="877" priority="2419" stopIfTrue="1">
      <formula>LEN(TRIM(C2336))=0</formula>
    </cfRule>
  </conditionalFormatting>
  <conditionalFormatting sqref="E2336">
    <cfRule type="expression" dxfId="876" priority="2491" stopIfTrue="1">
      <formula>ISERROR(E2336)</formula>
    </cfRule>
  </conditionalFormatting>
  <conditionalFormatting sqref="C2337">
    <cfRule type="expression" dxfId="875" priority="2418" stopIfTrue="1">
      <formula>LEN(TRIM(C2337))=0</formula>
    </cfRule>
  </conditionalFormatting>
  <conditionalFormatting sqref="E2337">
    <cfRule type="expression" dxfId="874" priority="2490" stopIfTrue="1">
      <formula>ISERROR(E2337)</formula>
    </cfRule>
  </conditionalFormatting>
  <conditionalFormatting sqref="C2338">
    <cfRule type="expression" dxfId="873" priority="2417" stopIfTrue="1">
      <formula>LEN(TRIM(C2338))=0</formula>
    </cfRule>
  </conditionalFormatting>
  <conditionalFormatting sqref="E2338">
    <cfRule type="expression" dxfId="872" priority="2489" stopIfTrue="1">
      <formula>ISERROR(E2338)</formula>
    </cfRule>
  </conditionalFormatting>
  <conditionalFormatting sqref="C2339">
    <cfRule type="expression" dxfId="871" priority="2416" stopIfTrue="1">
      <formula>LEN(TRIM(C2339))=0</formula>
    </cfRule>
  </conditionalFormatting>
  <conditionalFormatting sqref="E2339">
    <cfRule type="expression" dxfId="870" priority="2488" stopIfTrue="1">
      <formula>ISERROR(E2339)</formula>
    </cfRule>
  </conditionalFormatting>
  <conditionalFormatting sqref="C2340">
    <cfRule type="expression" dxfId="869" priority="2415" stopIfTrue="1">
      <formula>LEN(TRIM(C2340))=0</formula>
    </cfRule>
  </conditionalFormatting>
  <conditionalFormatting sqref="E2340">
    <cfRule type="expression" dxfId="868" priority="2487" stopIfTrue="1">
      <formula>ISERROR(E2340)</formula>
    </cfRule>
  </conditionalFormatting>
  <conditionalFormatting sqref="C2341">
    <cfRule type="expression" dxfId="867" priority="2414" stopIfTrue="1">
      <formula>LEN(TRIM(C2341))=0</formula>
    </cfRule>
  </conditionalFormatting>
  <conditionalFormatting sqref="E2341">
    <cfRule type="expression" dxfId="866" priority="2486" stopIfTrue="1">
      <formula>ISERROR(E2341)</formula>
    </cfRule>
  </conditionalFormatting>
  <conditionalFormatting sqref="C2342">
    <cfRule type="expression" dxfId="865" priority="2413" stopIfTrue="1">
      <formula>LEN(TRIM(C2342))=0</formula>
    </cfRule>
  </conditionalFormatting>
  <conditionalFormatting sqref="E2342">
    <cfRule type="expression" dxfId="864" priority="2485" stopIfTrue="1">
      <formula>ISERROR(E2342)</formula>
    </cfRule>
  </conditionalFormatting>
  <conditionalFormatting sqref="C2343">
    <cfRule type="expression" dxfId="863" priority="2403" stopIfTrue="1">
      <formula>LEN(TRIM(C2343))=0</formula>
    </cfRule>
  </conditionalFormatting>
  <conditionalFormatting sqref="E2343">
    <cfRule type="expression" dxfId="862" priority="2484" stopIfTrue="1">
      <formula>ISERROR(E2343)</formula>
    </cfRule>
  </conditionalFormatting>
  <conditionalFormatting sqref="C2344">
    <cfRule type="expression" dxfId="861" priority="2402" stopIfTrue="1">
      <formula>LEN(TRIM(C2344))=0</formula>
    </cfRule>
  </conditionalFormatting>
  <conditionalFormatting sqref="E2344">
    <cfRule type="expression" dxfId="860" priority="2483" stopIfTrue="1">
      <formula>ISERROR(E2344)</formula>
    </cfRule>
  </conditionalFormatting>
  <conditionalFormatting sqref="C2345">
    <cfRule type="expression" dxfId="859" priority="2412" stopIfTrue="1">
      <formula>LEN(TRIM(C2345))=0</formula>
    </cfRule>
  </conditionalFormatting>
  <conditionalFormatting sqref="E2345">
    <cfRule type="expression" dxfId="858" priority="2482" stopIfTrue="1">
      <formula>ISERROR(E2345)</formula>
    </cfRule>
  </conditionalFormatting>
  <conditionalFormatting sqref="E2346">
    <cfRule type="expression" dxfId="857" priority="2481" stopIfTrue="1">
      <formula>ISERROR(E2346)</formula>
    </cfRule>
  </conditionalFormatting>
  <conditionalFormatting sqref="E2347">
    <cfRule type="expression" dxfId="856" priority="2480" stopIfTrue="1">
      <formula>ISERROR(E2347)</formula>
    </cfRule>
  </conditionalFormatting>
  <conditionalFormatting sqref="C2348">
    <cfRule type="expression" dxfId="855" priority="2410" stopIfTrue="1">
      <formula>LEN(TRIM(C2348))=0</formula>
    </cfRule>
  </conditionalFormatting>
  <conditionalFormatting sqref="E2348">
    <cfRule type="expression" dxfId="854" priority="2479" stopIfTrue="1">
      <formula>ISERROR(E2348)</formula>
    </cfRule>
  </conditionalFormatting>
  <conditionalFormatting sqref="C2349">
    <cfRule type="expression" dxfId="853" priority="2401" stopIfTrue="1">
      <formula>LEN(TRIM(C2349))=0</formula>
    </cfRule>
  </conditionalFormatting>
  <conditionalFormatting sqref="E2349">
    <cfRule type="expression" dxfId="852" priority="2478" stopIfTrue="1">
      <formula>ISERROR(E2349)</formula>
    </cfRule>
  </conditionalFormatting>
  <conditionalFormatting sqref="C2350">
    <cfRule type="expression" dxfId="851" priority="2400" stopIfTrue="1">
      <formula>LEN(TRIM(C2350))=0</formula>
    </cfRule>
  </conditionalFormatting>
  <conditionalFormatting sqref="E2350">
    <cfRule type="expression" dxfId="850" priority="2477" stopIfTrue="1">
      <formula>ISERROR(E2350)</formula>
    </cfRule>
  </conditionalFormatting>
  <conditionalFormatting sqref="C2351">
    <cfRule type="expression" dxfId="849" priority="2409" stopIfTrue="1">
      <formula>LEN(TRIM(C2351))=0</formula>
    </cfRule>
  </conditionalFormatting>
  <conditionalFormatting sqref="E2351">
    <cfRule type="expression" dxfId="848" priority="2476" stopIfTrue="1">
      <formula>ISERROR(E2351)</formula>
    </cfRule>
  </conditionalFormatting>
  <conditionalFormatting sqref="C2352">
    <cfRule type="expression" dxfId="847" priority="2408" stopIfTrue="1">
      <formula>LEN(TRIM(C2352))=0</formula>
    </cfRule>
  </conditionalFormatting>
  <conditionalFormatting sqref="E2352">
    <cfRule type="expression" dxfId="846" priority="2475" stopIfTrue="1">
      <formula>ISERROR(E2352)</formula>
    </cfRule>
  </conditionalFormatting>
  <conditionalFormatting sqref="C2353">
    <cfRule type="expression" dxfId="845" priority="2407" stopIfTrue="1">
      <formula>LEN(TRIM(C2353))=0</formula>
    </cfRule>
  </conditionalFormatting>
  <conditionalFormatting sqref="E2353">
    <cfRule type="expression" dxfId="844" priority="2474" stopIfTrue="1">
      <formula>ISERROR(E2353)</formula>
    </cfRule>
  </conditionalFormatting>
  <conditionalFormatting sqref="C2354">
    <cfRule type="expression" dxfId="843" priority="2406" stopIfTrue="1">
      <formula>LEN(TRIM(C2354))=0</formula>
    </cfRule>
  </conditionalFormatting>
  <conditionalFormatting sqref="E2354">
    <cfRule type="expression" dxfId="842" priority="2473" stopIfTrue="1">
      <formula>ISERROR(E2354)</formula>
    </cfRule>
  </conditionalFormatting>
  <conditionalFormatting sqref="C2355">
    <cfRule type="expression" dxfId="841" priority="2405" stopIfTrue="1">
      <formula>LEN(TRIM(C2355))=0</formula>
    </cfRule>
  </conditionalFormatting>
  <conditionalFormatting sqref="E2355">
    <cfRule type="expression" dxfId="840" priority="2472" stopIfTrue="1">
      <formula>ISERROR(E2355)</formula>
    </cfRule>
  </conditionalFormatting>
  <conditionalFormatting sqref="C2356">
    <cfRule type="expression" dxfId="839" priority="2404" stopIfTrue="1">
      <formula>LEN(TRIM(C2356))=0</formula>
    </cfRule>
  </conditionalFormatting>
  <conditionalFormatting sqref="E2356">
    <cfRule type="expression" dxfId="838" priority="2471" stopIfTrue="1">
      <formula>ISERROR(E2356)</formula>
    </cfRule>
  </conditionalFormatting>
  <conditionalFormatting sqref="C2357">
    <cfRule type="expression" dxfId="837" priority="2363" stopIfTrue="1">
      <formula>LEN(TRIM(C2357))=0</formula>
    </cfRule>
  </conditionalFormatting>
  <conditionalFormatting sqref="E2357">
    <cfRule type="expression" dxfId="836" priority="2399" stopIfTrue="1">
      <formula>ISERROR(E2357)</formula>
    </cfRule>
  </conditionalFormatting>
  <conditionalFormatting sqref="C2358">
    <cfRule type="expression" dxfId="835" priority="2362" stopIfTrue="1">
      <formula>LEN(TRIM(C2358))=0</formula>
    </cfRule>
  </conditionalFormatting>
  <conditionalFormatting sqref="E2358">
    <cfRule type="expression" dxfId="834" priority="2398" stopIfTrue="1">
      <formula>ISERROR(E2358)</formula>
    </cfRule>
  </conditionalFormatting>
  <conditionalFormatting sqref="C2359">
    <cfRule type="expression" dxfId="833" priority="2361" stopIfTrue="1">
      <formula>LEN(TRIM(C2359))=0</formula>
    </cfRule>
  </conditionalFormatting>
  <conditionalFormatting sqref="E2359">
    <cfRule type="expression" dxfId="832" priority="2397" stopIfTrue="1">
      <formula>ISERROR(E2359)</formula>
    </cfRule>
  </conditionalFormatting>
  <conditionalFormatting sqref="G2359:H2359">
    <cfRule type="expression" dxfId="831" priority="2379" stopIfTrue="1">
      <formula>LEN(TRIM(G2359))=0</formula>
    </cfRule>
  </conditionalFormatting>
  <conditionalFormatting sqref="C2360">
    <cfRule type="expression" dxfId="830" priority="2360" stopIfTrue="1">
      <formula>LEN(TRIM(C2360))=0</formula>
    </cfRule>
  </conditionalFormatting>
  <conditionalFormatting sqref="E2360">
    <cfRule type="expression" dxfId="829" priority="2396" stopIfTrue="1">
      <formula>ISERROR(E2360)</formula>
    </cfRule>
  </conditionalFormatting>
  <conditionalFormatting sqref="C2361">
    <cfRule type="expression" dxfId="828" priority="2359" stopIfTrue="1">
      <formula>LEN(TRIM(C2361))=0</formula>
    </cfRule>
  </conditionalFormatting>
  <conditionalFormatting sqref="E2361">
    <cfRule type="expression" dxfId="827" priority="2395" stopIfTrue="1">
      <formula>ISERROR(E2361)</formula>
    </cfRule>
  </conditionalFormatting>
  <conditionalFormatting sqref="C2362">
    <cfRule type="expression" dxfId="826" priority="2358" stopIfTrue="1">
      <formula>LEN(TRIM(C2362))=0</formula>
    </cfRule>
  </conditionalFormatting>
  <conditionalFormatting sqref="E2362">
    <cfRule type="expression" dxfId="825" priority="2394" stopIfTrue="1">
      <formula>ISERROR(E2362)</formula>
    </cfRule>
  </conditionalFormatting>
  <conditionalFormatting sqref="C2363">
    <cfRule type="expression" dxfId="824" priority="2357" stopIfTrue="1">
      <formula>LEN(TRIM(C2363))=0</formula>
    </cfRule>
  </conditionalFormatting>
  <conditionalFormatting sqref="E2363">
    <cfRule type="expression" dxfId="823" priority="2393" stopIfTrue="1">
      <formula>ISERROR(E2363)</formula>
    </cfRule>
  </conditionalFormatting>
  <conditionalFormatting sqref="C2364">
    <cfRule type="expression" dxfId="822" priority="2356" stopIfTrue="1">
      <formula>LEN(TRIM(C2364))=0</formula>
    </cfRule>
  </conditionalFormatting>
  <conditionalFormatting sqref="E2364">
    <cfRule type="expression" dxfId="821" priority="2392" stopIfTrue="1">
      <formula>ISERROR(E2364)</formula>
    </cfRule>
  </conditionalFormatting>
  <conditionalFormatting sqref="C2365">
    <cfRule type="expression" dxfId="820" priority="2355" stopIfTrue="1">
      <formula>LEN(TRIM(C2365))=0</formula>
    </cfRule>
  </conditionalFormatting>
  <conditionalFormatting sqref="E2365">
    <cfRule type="expression" dxfId="819" priority="2391" stopIfTrue="1">
      <formula>ISERROR(E2365)</formula>
    </cfRule>
  </conditionalFormatting>
  <conditionalFormatting sqref="C2366">
    <cfRule type="expression" dxfId="818" priority="2347" stopIfTrue="1">
      <formula>LEN(TRIM(C2366))=0</formula>
    </cfRule>
  </conditionalFormatting>
  <conditionalFormatting sqref="E2366">
    <cfRule type="expression" dxfId="817" priority="2390" stopIfTrue="1">
      <formula>ISERROR(E2366)</formula>
    </cfRule>
  </conditionalFormatting>
  <conditionalFormatting sqref="C2367">
    <cfRule type="expression" dxfId="816" priority="2346" stopIfTrue="1">
      <formula>LEN(TRIM(C2367))=0</formula>
    </cfRule>
  </conditionalFormatting>
  <conditionalFormatting sqref="E2367">
    <cfRule type="expression" dxfId="815" priority="2389" stopIfTrue="1">
      <formula>ISERROR(E2367)</formula>
    </cfRule>
  </conditionalFormatting>
  <conditionalFormatting sqref="C2368">
    <cfRule type="expression" dxfId="814" priority="2354" stopIfTrue="1">
      <formula>LEN(TRIM(C2368))=0</formula>
    </cfRule>
  </conditionalFormatting>
  <conditionalFormatting sqref="E2368">
    <cfRule type="expression" dxfId="813" priority="2388" stopIfTrue="1">
      <formula>ISERROR(E2368)</formula>
    </cfRule>
  </conditionalFormatting>
  <conditionalFormatting sqref="C2369">
    <cfRule type="expression" dxfId="812" priority="2353" stopIfTrue="1">
      <formula>LEN(TRIM(C2369))=0</formula>
    </cfRule>
  </conditionalFormatting>
  <conditionalFormatting sqref="E2369">
    <cfRule type="expression" dxfId="811" priority="2387" stopIfTrue="1">
      <formula>ISERROR(E2369)</formula>
    </cfRule>
  </conditionalFormatting>
  <conditionalFormatting sqref="C2370">
    <cfRule type="expression" dxfId="810" priority="2352" stopIfTrue="1">
      <formula>LEN(TRIM(C2370))=0</formula>
    </cfRule>
  </conditionalFormatting>
  <conditionalFormatting sqref="E2370">
    <cfRule type="expression" dxfId="809" priority="2386" stopIfTrue="1">
      <formula>ISERROR(E2370)</formula>
    </cfRule>
  </conditionalFormatting>
  <conditionalFormatting sqref="G2370:H2370">
    <cfRule type="expression" dxfId="808" priority="2368" stopIfTrue="1">
      <formula>LEN(TRIM(G2370))=0</formula>
    </cfRule>
  </conditionalFormatting>
  <conditionalFormatting sqref="C2371">
    <cfRule type="expression" dxfId="807" priority="2351" stopIfTrue="1">
      <formula>LEN(TRIM(C2371))=0</formula>
    </cfRule>
  </conditionalFormatting>
  <conditionalFormatting sqref="E2371">
    <cfRule type="expression" dxfId="806" priority="2385" stopIfTrue="1">
      <formula>ISERROR(E2371)</formula>
    </cfRule>
  </conditionalFormatting>
  <conditionalFormatting sqref="C2372">
    <cfRule type="expression" dxfId="805" priority="2350" stopIfTrue="1">
      <formula>LEN(TRIM(C2372))=0</formula>
    </cfRule>
  </conditionalFormatting>
  <conditionalFormatting sqref="E2372">
    <cfRule type="expression" dxfId="804" priority="2384" stopIfTrue="1">
      <formula>ISERROR(E2372)</formula>
    </cfRule>
  </conditionalFormatting>
  <conditionalFormatting sqref="C2373">
    <cfRule type="expression" dxfId="803" priority="2349" stopIfTrue="1">
      <formula>LEN(TRIM(C2373))=0</formula>
    </cfRule>
  </conditionalFormatting>
  <conditionalFormatting sqref="E2373">
    <cfRule type="expression" dxfId="802" priority="2383" stopIfTrue="1">
      <formula>ISERROR(E2373)</formula>
    </cfRule>
  </conditionalFormatting>
  <conditionalFormatting sqref="C2374">
    <cfRule type="expression" dxfId="801" priority="2348" stopIfTrue="1">
      <formula>LEN(TRIM(C2374))=0</formula>
    </cfRule>
  </conditionalFormatting>
  <conditionalFormatting sqref="E2374">
    <cfRule type="expression" dxfId="800" priority="2382" stopIfTrue="1">
      <formula>ISERROR(E2374)</formula>
    </cfRule>
  </conditionalFormatting>
  <conditionalFormatting sqref="C2375">
    <cfRule type="expression" dxfId="799" priority="2285" stopIfTrue="1">
      <formula>LEN(TRIM(C2375))=0</formula>
    </cfRule>
  </conditionalFormatting>
  <conditionalFormatting sqref="E2375">
    <cfRule type="expression" dxfId="798" priority="2345" stopIfTrue="1">
      <formula>ISERROR(E2375)</formula>
    </cfRule>
  </conditionalFormatting>
  <conditionalFormatting sqref="C2376">
    <cfRule type="expression" dxfId="797" priority="2284" stopIfTrue="1">
      <formula>LEN(TRIM(C2376))=0</formula>
    </cfRule>
  </conditionalFormatting>
  <conditionalFormatting sqref="E2376">
    <cfRule type="expression" dxfId="796" priority="2344" stopIfTrue="1">
      <formula>ISERROR(E2376)</formula>
    </cfRule>
  </conditionalFormatting>
  <conditionalFormatting sqref="G2376:H2376">
    <cfRule type="expression" dxfId="795" priority="2314" stopIfTrue="1">
      <formula>LEN(TRIM(G2376))=0</formula>
    </cfRule>
  </conditionalFormatting>
  <conditionalFormatting sqref="C2377">
    <cfRule type="expression" dxfId="794" priority="2283" stopIfTrue="1">
      <formula>LEN(TRIM(C2377))=0</formula>
    </cfRule>
  </conditionalFormatting>
  <conditionalFormatting sqref="E2377">
    <cfRule type="expression" dxfId="793" priority="2343" stopIfTrue="1">
      <formula>ISERROR(E2377)</formula>
    </cfRule>
  </conditionalFormatting>
  <conditionalFormatting sqref="C2378">
    <cfRule type="expression" dxfId="792" priority="2282" stopIfTrue="1">
      <formula>LEN(TRIM(C2378))=0</formula>
    </cfRule>
  </conditionalFormatting>
  <conditionalFormatting sqref="E2378">
    <cfRule type="expression" dxfId="791" priority="2342" stopIfTrue="1">
      <formula>ISERROR(E2378)</formula>
    </cfRule>
  </conditionalFormatting>
  <conditionalFormatting sqref="C2379">
    <cfRule type="expression" dxfId="790" priority="2281" stopIfTrue="1">
      <formula>LEN(TRIM(C2379))=0</formula>
    </cfRule>
  </conditionalFormatting>
  <conditionalFormatting sqref="E2379">
    <cfRule type="expression" dxfId="789" priority="2341" stopIfTrue="1">
      <formula>ISERROR(E2379)</formula>
    </cfRule>
  </conditionalFormatting>
  <conditionalFormatting sqref="C2380">
    <cfRule type="expression" dxfId="788" priority="2280" stopIfTrue="1">
      <formula>LEN(TRIM(C2380))=0</formula>
    </cfRule>
  </conditionalFormatting>
  <conditionalFormatting sqref="E2380">
    <cfRule type="expression" dxfId="787" priority="2340" stopIfTrue="1">
      <formula>ISERROR(E2380)</formula>
    </cfRule>
  </conditionalFormatting>
  <conditionalFormatting sqref="E2381">
    <cfRule type="expression" dxfId="786" priority="2339" stopIfTrue="1">
      <formula>ISERROR(E2381)</formula>
    </cfRule>
  </conditionalFormatting>
  <conditionalFormatting sqref="E2382">
    <cfRule type="expression" dxfId="785" priority="2338" stopIfTrue="1">
      <formula>ISERROR(E2382)</formula>
    </cfRule>
  </conditionalFormatting>
  <conditionalFormatting sqref="C2383">
    <cfRule type="expression" dxfId="784" priority="2278" stopIfTrue="1">
      <formula>LEN(TRIM(C2383))=0</formula>
    </cfRule>
  </conditionalFormatting>
  <conditionalFormatting sqref="E2383">
    <cfRule type="expression" dxfId="783" priority="2337" stopIfTrue="1">
      <formula>ISERROR(E2383)</formula>
    </cfRule>
  </conditionalFormatting>
  <conditionalFormatting sqref="C2384">
    <cfRule type="expression" dxfId="782" priority="2277" stopIfTrue="1">
      <formula>LEN(TRIM(C2384))=0</formula>
    </cfRule>
  </conditionalFormatting>
  <conditionalFormatting sqref="E2384">
    <cfRule type="expression" dxfId="781" priority="2336" stopIfTrue="1">
      <formula>ISERROR(E2384)</formula>
    </cfRule>
  </conditionalFormatting>
  <conditionalFormatting sqref="C2385">
    <cfRule type="expression" dxfId="780" priority="2276" stopIfTrue="1">
      <formula>LEN(TRIM(C2385))=0</formula>
    </cfRule>
  </conditionalFormatting>
  <conditionalFormatting sqref="E2385">
    <cfRule type="expression" dxfId="779" priority="2335" stopIfTrue="1">
      <formula>ISERROR(E2385)</formula>
    </cfRule>
  </conditionalFormatting>
  <conditionalFormatting sqref="C2386">
    <cfRule type="expression" dxfId="778" priority="2275" stopIfTrue="1">
      <formula>LEN(TRIM(C2386))=0</formula>
    </cfRule>
  </conditionalFormatting>
  <conditionalFormatting sqref="E2386">
    <cfRule type="expression" dxfId="777" priority="2334" stopIfTrue="1">
      <formula>ISERROR(E2386)</formula>
    </cfRule>
  </conditionalFormatting>
  <conditionalFormatting sqref="C2387">
    <cfRule type="expression" dxfId="776" priority="2274" stopIfTrue="1">
      <formula>LEN(TRIM(C2387))=0</formula>
    </cfRule>
  </conditionalFormatting>
  <conditionalFormatting sqref="E2387">
    <cfRule type="expression" dxfId="775" priority="2333" stopIfTrue="1">
      <formula>ISERROR(E2387)</formula>
    </cfRule>
  </conditionalFormatting>
  <conditionalFormatting sqref="C2388">
    <cfRule type="expression" dxfId="774" priority="2273" stopIfTrue="1">
      <formula>LEN(TRIM(C2388))=0</formula>
    </cfRule>
  </conditionalFormatting>
  <conditionalFormatting sqref="E2388">
    <cfRule type="expression" dxfId="773" priority="2332" stopIfTrue="1">
      <formula>ISERROR(E2388)</formula>
    </cfRule>
  </conditionalFormatting>
  <conditionalFormatting sqref="C2389">
    <cfRule type="expression" dxfId="772" priority="2272" stopIfTrue="1">
      <formula>LEN(TRIM(C2389))=0</formula>
    </cfRule>
  </conditionalFormatting>
  <conditionalFormatting sqref="E2389">
    <cfRule type="expression" dxfId="771" priority="2331" stopIfTrue="1">
      <formula>ISERROR(E2389)</formula>
    </cfRule>
  </conditionalFormatting>
  <conditionalFormatting sqref="C2390">
    <cfRule type="expression" dxfId="770" priority="2271" stopIfTrue="1">
      <formula>LEN(TRIM(C2390))=0</formula>
    </cfRule>
  </conditionalFormatting>
  <conditionalFormatting sqref="E2390">
    <cfRule type="expression" dxfId="769" priority="2330" stopIfTrue="1">
      <formula>ISERROR(E2390)</formula>
    </cfRule>
  </conditionalFormatting>
  <conditionalFormatting sqref="C2391">
    <cfRule type="expression" dxfId="768" priority="2270" stopIfTrue="1">
      <formula>LEN(TRIM(C2391))=0</formula>
    </cfRule>
  </conditionalFormatting>
  <conditionalFormatting sqref="E2391">
    <cfRule type="expression" dxfId="767" priority="2329" stopIfTrue="1">
      <formula>ISERROR(E2391)</formula>
    </cfRule>
  </conditionalFormatting>
  <conditionalFormatting sqref="C2392">
    <cfRule type="expression" dxfId="766" priority="2269" stopIfTrue="1">
      <formula>LEN(TRIM(C2392))=0</formula>
    </cfRule>
  </conditionalFormatting>
  <conditionalFormatting sqref="E2392">
    <cfRule type="expression" dxfId="765" priority="2328" stopIfTrue="1">
      <formula>ISERROR(E2392)</formula>
    </cfRule>
  </conditionalFormatting>
  <conditionalFormatting sqref="C2393">
    <cfRule type="expression" dxfId="764" priority="2268" stopIfTrue="1">
      <formula>LEN(TRIM(C2393))=0</formula>
    </cfRule>
  </conditionalFormatting>
  <conditionalFormatting sqref="E2393">
    <cfRule type="expression" dxfId="763" priority="2327" stopIfTrue="1">
      <formula>ISERROR(E2393)</formula>
    </cfRule>
  </conditionalFormatting>
  <conditionalFormatting sqref="C2394">
    <cfRule type="expression" dxfId="762" priority="2267" stopIfTrue="1">
      <formula>LEN(TRIM(C2394))=0</formula>
    </cfRule>
  </conditionalFormatting>
  <conditionalFormatting sqref="E2394">
    <cfRule type="expression" dxfId="761" priority="2326" stopIfTrue="1">
      <formula>ISERROR(E2394)</formula>
    </cfRule>
  </conditionalFormatting>
  <conditionalFormatting sqref="C2395">
    <cfRule type="expression" dxfId="760" priority="2266" stopIfTrue="1">
      <formula>LEN(TRIM(C2395))=0</formula>
    </cfRule>
  </conditionalFormatting>
  <conditionalFormatting sqref="E2395">
    <cfRule type="expression" dxfId="759" priority="2325" stopIfTrue="1">
      <formula>ISERROR(E2395)</formula>
    </cfRule>
  </conditionalFormatting>
  <conditionalFormatting sqref="C2396">
    <cfRule type="expression" dxfId="758" priority="2265" stopIfTrue="1">
      <formula>LEN(TRIM(C2396))=0</formula>
    </cfRule>
  </conditionalFormatting>
  <conditionalFormatting sqref="E2396">
    <cfRule type="expression" dxfId="757" priority="2324" stopIfTrue="1">
      <formula>ISERROR(E2396)</formula>
    </cfRule>
  </conditionalFormatting>
  <conditionalFormatting sqref="C2397">
    <cfRule type="expression" dxfId="756" priority="2264" stopIfTrue="1">
      <formula>LEN(TRIM(C2397))=0</formula>
    </cfRule>
  </conditionalFormatting>
  <conditionalFormatting sqref="E2397">
    <cfRule type="expression" dxfId="755" priority="2323" stopIfTrue="1">
      <formula>ISERROR(E2397)</formula>
    </cfRule>
  </conditionalFormatting>
  <conditionalFormatting sqref="C2398">
    <cfRule type="expression" dxfId="754" priority="2263" stopIfTrue="1">
      <formula>LEN(TRIM(C2398))=0</formula>
    </cfRule>
  </conditionalFormatting>
  <conditionalFormatting sqref="E2398">
    <cfRule type="expression" dxfId="753" priority="2322" stopIfTrue="1">
      <formula>ISERROR(E2398)</formula>
    </cfRule>
  </conditionalFormatting>
  <conditionalFormatting sqref="C2399">
    <cfRule type="expression" dxfId="752" priority="2262" stopIfTrue="1">
      <formula>LEN(TRIM(C2399))=0</formula>
    </cfRule>
  </conditionalFormatting>
  <conditionalFormatting sqref="E2399">
    <cfRule type="expression" dxfId="751" priority="2321" stopIfTrue="1">
      <formula>ISERROR(E2399)</formula>
    </cfRule>
  </conditionalFormatting>
  <conditionalFormatting sqref="C2400">
    <cfRule type="expression" dxfId="750" priority="2261" stopIfTrue="1">
      <formula>LEN(TRIM(C2400))=0</formula>
    </cfRule>
  </conditionalFormatting>
  <conditionalFormatting sqref="E2400">
    <cfRule type="expression" dxfId="749" priority="2320" stopIfTrue="1">
      <formula>ISERROR(E2400)</formula>
    </cfRule>
  </conditionalFormatting>
  <conditionalFormatting sqref="C2401">
    <cfRule type="expression" dxfId="748" priority="2260" stopIfTrue="1">
      <formula>LEN(TRIM(C2401))=0</formula>
    </cfRule>
  </conditionalFormatting>
  <conditionalFormatting sqref="E2401">
    <cfRule type="expression" dxfId="747" priority="2319" stopIfTrue="1">
      <formula>ISERROR(E2401)</formula>
    </cfRule>
  </conditionalFormatting>
  <conditionalFormatting sqref="C2402">
    <cfRule type="expression" dxfId="746" priority="2259" stopIfTrue="1">
      <formula>LEN(TRIM(C2402))=0</formula>
    </cfRule>
  </conditionalFormatting>
  <conditionalFormatting sqref="E2402">
    <cfRule type="expression" dxfId="745" priority="2318" stopIfTrue="1">
      <formula>ISERROR(E2402)</formula>
    </cfRule>
  </conditionalFormatting>
  <conditionalFormatting sqref="C2403">
    <cfRule type="expression" dxfId="744" priority="2258" stopIfTrue="1">
      <formula>LEN(TRIM(C2403))=0</formula>
    </cfRule>
  </conditionalFormatting>
  <conditionalFormatting sqref="E2403">
    <cfRule type="expression" dxfId="743" priority="2317" stopIfTrue="1">
      <formula>ISERROR(E2403)</formula>
    </cfRule>
  </conditionalFormatting>
  <conditionalFormatting sqref="C2404">
    <cfRule type="expression" dxfId="742" priority="2257" stopIfTrue="1">
      <formula>LEN(TRIM(C2404))=0</formula>
    </cfRule>
  </conditionalFormatting>
  <conditionalFormatting sqref="E2404">
    <cfRule type="expression" dxfId="741" priority="2316" stopIfTrue="1">
      <formula>ISERROR(E2404)</formula>
    </cfRule>
  </conditionalFormatting>
  <conditionalFormatting sqref="C2405">
    <cfRule type="expression" dxfId="740" priority="2192" stopIfTrue="1">
      <formula>LEN(TRIM(C2405))=0</formula>
    </cfRule>
  </conditionalFormatting>
  <conditionalFormatting sqref="E2405">
    <cfRule type="expression" dxfId="739" priority="2256" stopIfTrue="1">
      <formula>ISERROR(E2405)</formula>
    </cfRule>
  </conditionalFormatting>
  <conditionalFormatting sqref="C2406">
    <cfRule type="expression" dxfId="738" priority="2191" stopIfTrue="1">
      <formula>LEN(TRIM(C2406))=0</formula>
    </cfRule>
  </conditionalFormatting>
  <conditionalFormatting sqref="E2406">
    <cfRule type="expression" dxfId="737" priority="2255" stopIfTrue="1">
      <formula>ISERROR(E2406)</formula>
    </cfRule>
  </conditionalFormatting>
  <conditionalFormatting sqref="E2407">
    <cfRule type="expression" dxfId="736" priority="2254" stopIfTrue="1">
      <formula>ISERROR(E2407)</formula>
    </cfRule>
  </conditionalFormatting>
  <conditionalFormatting sqref="E2408">
    <cfRule type="expression" dxfId="735" priority="2253" stopIfTrue="1">
      <formula>ISERROR(E2408)</formula>
    </cfRule>
  </conditionalFormatting>
  <conditionalFormatting sqref="E2409">
    <cfRule type="expression" dxfId="734" priority="2252" stopIfTrue="1">
      <formula>ISERROR(E2409)</formula>
    </cfRule>
  </conditionalFormatting>
  <conditionalFormatting sqref="E2410">
    <cfRule type="expression" dxfId="733" priority="2251" stopIfTrue="1">
      <formula>ISERROR(E2410)</formula>
    </cfRule>
  </conditionalFormatting>
  <conditionalFormatting sqref="E2411">
    <cfRule type="expression" dxfId="732" priority="2250" stopIfTrue="1">
      <formula>ISERROR(E2411)</formula>
    </cfRule>
  </conditionalFormatting>
  <conditionalFormatting sqref="E2412">
    <cfRule type="expression" dxfId="731" priority="2249" stopIfTrue="1">
      <formula>ISERROR(E2412)</formula>
    </cfRule>
  </conditionalFormatting>
  <conditionalFormatting sqref="E2413">
    <cfRule type="expression" dxfId="730" priority="2248" stopIfTrue="1">
      <formula>ISERROR(E2413)</formula>
    </cfRule>
  </conditionalFormatting>
  <conditionalFormatting sqref="E2414">
    <cfRule type="expression" dxfId="729" priority="2247" stopIfTrue="1">
      <formula>ISERROR(E2414)</formula>
    </cfRule>
  </conditionalFormatting>
  <conditionalFormatting sqref="H2414">
    <cfRule type="expression" dxfId="728" priority="2215" stopIfTrue="1">
      <formula>LEN(TRIM(H2414))=0</formula>
    </cfRule>
  </conditionalFormatting>
  <conditionalFormatting sqref="C2415">
    <cfRule type="expression" dxfId="727" priority="2188" stopIfTrue="1">
      <formula>LEN(TRIM(C2415))=0</formula>
    </cfRule>
  </conditionalFormatting>
  <conditionalFormatting sqref="E2415">
    <cfRule type="expression" dxfId="726" priority="2246" stopIfTrue="1">
      <formula>ISERROR(E2415)</formula>
    </cfRule>
  </conditionalFormatting>
  <conditionalFormatting sqref="C2416">
    <cfRule type="expression" dxfId="725" priority="2187" stopIfTrue="1">
      <formula>LEN(TRIM(C2416))=0</formula>
    </cfRule>
  </conditionalFormatting>
  <conditionalFormatting sqref="E2416">
    <cfRule type="expression" dxfId="724" priority="2245" stopIfTrue="1">
      <formula>ISERROR(E2416)</formula>
    </cfRule>
  </conditionalFormatting>
  <conditionalFormatting sqref="E2417">
    <cfRule type="expression" dxfId="723" priority="2244" stopIfTrue="1">
      <formula>ISERROR(E2417)</formula>
    </cfRule>
  </conditionalFormatting>
  <conditionalFormatting sqref="E2418">
    <cfRule type="expression" dxfId="722" priority="2243" stopIfTrue="1">
      <formula>ISERROR(E2418)</formula>
    </cfRule>
  </conditionalFormatting>
  <conditionalFormatting sqref="C2419">
    <cfRule type="expression" dxfId="721" priority="2185" stopIfTrue="1">
      <formula>LEN(TRIM(C2419))=0</formula>
    </cfRule>
  </conditionalFormatting>
  <conditionalFormatting sqref="E2419">
    <cfRule type="expression" dxfId="720" priority="2242" stopIfTrue="1">
      <formula>ISERROR(E2419)</formula>
    </cfRule>
  </conditionalFormatting>
  <conditionalFormatting sqref="G2419:H2419">
    <cfRule type="expression" dxfId="719" priority="2210" stopIfTrue="1">
      <formula>LEN(TRIM(G2419))=0</formula>
    </cfRule>
  </conditionalFormatting>
  <conditionalFormatting sqref="C2420">
    <cfRule type="expression" dxfId="718" priority="2184" stopIfTrue="1">
      <formula>LEN(TRIM(C2420))=0</formula>
    </cfRule>
  </conditionalFormatting>
  <conditionalFormatting sqref="E2420">
    <cfRule type="expression" dxfId="717" priority="2241" stopIfTrue="1">
      <formula>ISERROR(E2420)</formula>
    </cfRule>
  </conditionalFormatting>
  <conditionalFormatting sqref="C2421">
    <cfRule type="expression" dxfId="716" priority="2183" stopIfTrue="1">
      <formula>LEN(TRIM(C2421))=0</formula>
    </cfRule>
  </conditionalFormatting>
  <conditionalFormatting sqref="E2421">
    <cfRule type="expression" dxfId="715" priority="2240" stopIfTrue="1">
      <formula>ISERROR(E2421)</formula>
    </cfRule>
  </conditionalFormatting>
  <conditionalFormatting sqref="C2422">
    <cfRule type="expression" dxfId="714" priority="2182" stopIfTrue="1">
      <formula>LEN(TRIM(C2422))=0</formula>
    </cfRule>
  </conditionalFormatting>
  <conditionalFormatting sqref="E2422">
    <cfRule type="expression" dxfId="713" priority="2239" stopIfTrue="1">
      <formula>ISERROR(E2422)</formula>
    </cfRule>
  </conditionalFormatting>
  <conditionalFormatting sqref="C2423">
    <cfRule type="expression" dxfId="712" priority="2181" stopIfTrue="1">
      <formula>LEN(TRIM(C2423))=0</formula>
    </cfRule>
  </conditionalFormatting>
  <conditionalFormatting sqref="E2423">
    <cfRule type="expression" dxfId="711" priority="2238" stopIfTrue="1">
      <formula>ISERROR(E2423)</formula>
    </cfRule>
  </conditionalFormatting>
  <conditionalFormatting sqref="C2424">
    <cfRule type="expression" dxfId="710" priority="2180" stopIfTrue="1">
      <formula>LEN(TRIM(C2424))=0</formula>
    </cfRule>
  </conditionalFormatting>
  <conditionalFormatting sqref="E2424">
    <cfRule type="expression" dxfId="709" priority="2237" stopIfTrue="1">
      <formula>ISERROR(E2424)</formula>
    </cfRule>
  </conditionalFormatting>
  <conditionalFormatting sqref="C2425">
    <cfRule type="expression" dxfId="708" priority="2179" stopIfTrue="1">
      <formula>LEN(TRIM(C2425))=0</formula>
    </cfRule>
  </conditionalFormatting>
  <conditionalFormatting sqref="E2425">
    <cfRule type="expression" dxfId="707" priority="2236" stopIfTrue="1">
      <formula>ISERROR(E2425)</formula>
    </cfRule>
  </conditionalFormatting>
  <conditionalFormatting sqref="C2426">
    <cfRule type="expression" dxfId="706" priority="2178" stopIfTrue="1">
      <formula>LEN(TRIM(C2426))=0</formula>
    </cfRule>
  </conditionalFormatting>
  <conditionalFormatting sqref="E2426">
    <cfRule type="expression" dxfId="705" priority="2235" stopIfTrue="1">
      <formula>ISERROR(E2426)</formula>
    </cfRule>
  </conditionalFormatting>
  <conditionalFormatting sqref="C2427">
    <cfRule type="expression" dxfId="704" priority="2177" stopIfTrue="1">
      <formula>LEN(TRIM(C2427))=0</formula>
    </cfRule>
  </conditionalFormatting>
  <conditionalFormatting sqref="E2427">
    <cfRule type="expression" dxfId="703" priority="2234" stopIfTrue="1">
      <formula>ISERROR(E2427)</formula>
    </cfRule>
  </conditionalFormatting>
  <conditionalFormatting sqref="C2428">
    <cfRule type="expression" dxfId="702" priority="2176" stopIfTrue="1">
      <formula>LEN(TRIM(C2428))=0</formula>
    </cfRule>
  </conditionalFormatting>
  <conditionalFormatting sqref="E2428">
    <cfRule type="expression" dxfId="701" priority="2233" stopIfTrue="1">
      <formula>ISERROR(E2428)</formula>
    </cfRule>
  </conditionalFormatting>
  <conditionalFormatting sqref="C2429">
    <cfRule type="expression" dxfId="700" priority="2175" stopIfTrue="1">
      <formula>LEN(TRIM(C2429))=0</formula>
    </cfRule>
  </conditionalFormatting>
  <conditionalFormatting sqref="E2429">
    <cfRule type="expression" dxfId="699" priority="2232" stopIfTrue="1">
      <formula>ISERROR(E2429)</formula>
    </cfRule>
  </conditionalFormatting>
  <conditionalFormatting sqref="C2430">
    <cfRule type="expression" dxfId="698" priority="2174" stopIfTrue="1">
      <formula>LEN(TRIM(C2430))=0</formula>
    </cfRule>
  </conditionalFormatting>
  <conditionalFormatting sqref="E2430">
    <cfRule type="expression" dxfId="697" priority="2231" stopIfTrue="1">
      <formula>ISERROR(E2430)</formula>
    </cfRule>
  </conditionalFormatting>
  <conditionalFormatting sqref="C2431">
    <cfRule type="expression" dxfId="696" priority="2173" stopIfTrue="1">
      <formula>LEN(TRIM(C2431))=0</formula>
    </cfRule>
  </conditionalFormatting>
  <conditionalFormatting sqref="E2431">
    <cfRule type="expression" dxfId="695" priority="2230" stopIfTrue="1">
      <formula>ISERROR(E2431)</formula>
    </cfRule>
  </conditionalFormatting>
  <conditionalFormatting sqref="C2432">
    <cfRule type="expression" dxfId="694" priority="2172" stopIfTrue="1">
      <formula>LEN(TRIM(C2432))=0</formula>
    </cfRule>
  </conditionalFormatting>
  <conditionalFormatting sqref="E2432">
    <cfRule type="expression" dxfId="693" priority="2229" stopIfTrue="1">
      <formula>ISERROR(E2432)</formula>
    </cfRule>
  </conditionalFormatting>
  <conditionalFormatting sqref="C2433">
    <cfRule type="expression" dxfId="692" priority="2171" stopIfTrue="1">
      <formula>LEN(TRIM(C2433))=0</formula>
    </cfRule>
  </conditionalFormatting>
  <conditionalFormatting sqref="E2433">
    <cfRule type="expression" dxfId="691" priority="2228" stopIfTrue="1">
      <formula>ISERROR(E2433)</formula>
    </cfRule>
  </conditionalFormatting>
  <conditionalFormatting sqref="C2434">
    <cfRule type="expression" dxfId="690" priority="2170" stopIfTrue="1">
      <formula>LEN(TRIM(C2434))=0</formula>
    </cfRule>
  </conditionalFormatting>
  <conditionalFormatting sqref="E2434">
    <cfRule type="expression" dxfId="689" priority="2227" stopIfTrue="1">
      <formula>ISERROR(E2434)</formula>
    </cfRule>
  </conditionalFormatting>
  <conditionalFormatting sqref="C2435">
    <cfRule type="expression" dxfId="688" priority="2169" stopIfTrue="1">
      <formula>LEN(TRIM(C2435))=0</formula>
    </cfRule>
  </conditionalFormatting>
  <conditionalFormatting sqref="E2435">
    <cfRule type="expression" dxfId="687" priority="2226" stopIfTrue="1">
      <formula>ISERROR(E2435)</formula>
    </cfRule>
  </conditionalFormatting>
  <conditionalFormatting sqref="C2436">
    <cfRule type="expression" dxfId="686" priority="34" stopIfTrue="1">
      <formula>LEN(TRIM(C2436))=0</formula>
    </cfRule>
  </conditionalFormatting>
  <conditionalFormatting sqref="E2436">
    <cfRule type="expression" dxfId="685" priority="36" stopIfTrue="1">
      <formula>ISERROR(E2436)</formula>
    </cfRule>
  </conditionalFormatting>
  <conditionalFormatting sqref="F2436">
    <cfRule type="expression" dxfId="684" priority="37" stopIfTrue="1">
      <formula>ISERROR(F2436)</formula>
    </cfRule>
  </conditionalFormatting>
  <conditionalFormatting sqref="C2437">
    <cfRule type="expression" dxfId="683" priority="2154" stopIfTrue="1">
      <formula>LEN(TRIM(C2437))=0</formula>
    </cfRule>
  </conditionalFormatting>
  <conditionalFormatting sqref="E2437">
    <cfRule type="expression" dxfId="682" priority="2158" stopIfTrue="1">
      <formula>ISERROR(E2437)</formula>
    </cfRule>
  </conditionalFormatting>
  <conditionalFormatting sqref="C2438">
    <cfRule type="expression" dxfId="681" priority="2153" stopIfTrue="1">
      <formula>LEN(TRIM(C2438))=0</formula>
    </cfRule>
  </conditionalFormatting>
  <conditionalFormatting sqref="E2438">
    <cfRule type="expression" dxfId="680" priority="2157" stopIfTrue="1">
      <formula>ISERROR(E2438)</formula>
    </cfRule>
  </conditionalFormatting>
  <conditionalFormatting sqref="G2508">
    <cfRule type="expression" dxfId="679" priority="11" stopIfTrue="1">
      <formula>LEN(TRIM(G2508))=0</formula>
    </cfRule>
  </conditionalFormatting>
  <conditionalFormatting sqref="H2952">
    <cfRule type="expression" dxfId="678" priority="117" stopIfTrue="1">
      <formula>LEN(TRIM(H2952))=0</formula>
    </cfRule>
  </conditionalFormatting>
  <conditionalFormatting sqref="H2955">
    <cfRule type="expression" dxfId="677" priority="114" stopIfTrue="1">
      <formula>LEN(TRIM(H2955))=0</formula>
    </cfRule>
  </conditionalFormatting>
  <conditionalFormatting sqref="H2962">
    <cfRule type="expression" dxfId="676" priority="107" stopIfTrue="1">
      <formula>LEN(TRIM(H2962))=0</formula>
    </cfRule>
  </conditionalFormatting>
  <conditionalFormatting sqref="N2968">
    <cfRule type="expression" dxfId="675" priority="59" stopIfTrue="1">
      <formula>LEN(TRIM(N2968))=0</formula>
    </cfRule>
  </conditionalFormatting>
  <conditionalFormatting sqref="G2969:H2969">
    <cfRule type="expression" dxfId="674" priority="65" stopIfTrue="1">
      <formula>LEN(TRIM(G2969))=0</formula>
    </cfRule>
  </conditionalFormatting>
  <conditionalFormatting sqref="N2969">
    <cfRule type="expression" dxfId="673" priority="43" stopIfTrue="1">
      <formula>LEN(TRIM(N2969))=0</formula>
    </cfRule>
  </conditionalFormatting>
  <conditionalFormatting sqref="H2971">
    <cfRule type="expression" dxfId="672" priority="63" stopIfTrue="1">
      <formula>LEN(TRIM(H2971))=0</formula>
    </cfRule>
  </conditionalFormatting>
  <conditionalFormatting sqref="G2972:H2972">
    <cfRule type="expression" dxfId="671" priority="62" stopIfTrue="1">
      <formula>LEN(TRIM(G2972))=0</formula>
    </cfRule>
  </conditionalFormatting>
  <conditionalFormatting sqref="N2972">
    <cfRule type="expression" dxfId="670" priority="40" stopIfTrue="1">
      <formula>LEN(TRIM(N2972))=0</formula>
    </cfRule>
  </conditionalFormatting>
  <conditionalFormatting sqref="G2973:H2973">
    <cfRule type="expression" dxfId="669" priority="61" stopIfTrue="1">
      <formula>LEN(TRIM(G2973))=0</formula>
    </cfRule>
  </conditionalFormatting>
  <conditionalFormatting sqref="N2973">
    <cfRule type="expression" dxfId="668" priority="39" stopIfTrue="1">
      <formula>LEN(TRIM(N2973))=0</formula>
    </cfRule>
  </conditionalFormatting>
  <conditionalFormatting sqref="G2974:H2974">
    <cfRule type="expression" dxfId="667" priority="60" stopIfTrue="1">
      <formula>LEN(TRIM(G2974))=0</formula>
    </cfRule>
  </conditionalFormatting>
  <conditionalFormatting sqref="N2974">
    <cfRule type="expression" dxfId="666" priority="38" stopIfTrue="1">
      <formula>LEN(TRIM(N2974))=0</formula>
    </cfRule>
  </conditionalFormatting>
  <conditionalFormatting sqref="C1657:C1660">
    <cfRule type="expression" dxfId="665" priority="4031" stopIfTrue="1">
      <formula>LEN(TRIM(C1657))=0</formula>
    </cfRule>
  </conditionalFormatting>
  <conditionalFormatting sqref="C1677:C1678">
    <cfRule type="expression" dxfId="664" priority="3950" stopIfTrue="1">
      <formula>LEN(TRIM(C1677))=0</formula>
    </cfRule>
  </conditionalFormatting>
  <conditionalFormatting sqref="C1709:C1710">
    <cfRule type="expression" dxfId="663" priority="3920" stopIfTrue="1">
      <formula>LEN(TRIM(C1709))=0</formula>
    </cfRule>
  </conditionalFormatting>
  <conditionalFormatting sqref="C1717:C1720">
    <cfRule type="expression" dxfId="662" priority="3913" stopIfTrue="1">
      <formula>LEN(TRIM(C1717))=0</formula>
    </cfRule>
  </conditionalFormatting>
  <conditionalFormatting sqref="C1754:C1755">
    <cfRule type="expression" dxfId="661" priority="3782" stopIfTrue="1">
      <formula>LEN(TRIM(C1754))=0</formula>
    </cfRule>
  </conditionalFormatting>
  <conditionalFormatting sqref="C1782:C1783">
    <cfRule type="expression" dxfId="660" priority="3741" stopIfTrue="1">
      <formula>LEN(TRIM(C1782))=0</formula>
    </cfRule>
  </conditionalFormatting>
  <conditionalFormatting sqref="C1832:C1833">
    <cfRule type="expression" dxfId="659" priority="3623" stopIfTrue="1">
      <formula>LEN(TRIM(C1832))=0</formula>
    </cfRule>
  </conditionalFormatting>
  <conditionalFormatting sqref="C1855:C1856">
    <cfRule type="expression" dxfId="658" priority="3475" stopIfTrue="1">
      <formula>LEN(TRIM(C1855))=0</formula>
    </cfRule>
  </conditionalFormatting>
  <conditionalFormatting sqref="C1857:C1859">
    <cfRule type="expression" dxfId="657" priority="3508" stopIfTrue="1">
      <formula>LEN(TRIM(C1857))=0</formula>
    </cfRule>
  </conditionalFormatting>
  <conditionalFormatting sqref="C1865:C1866">
    <cfRule type="expression" dxfId="656" priority="3474" stopIfTrue="1">
      <formula>LEN(TRIM(C1865))=0</formula>
    </cfRule>
  </conditionalFormatting>
  <conditionalFormatting sqref="C1879:C1881">
    <cfRule type="expression" dxfId="655" priority="3473" stopIfTrue="1">
      <formula>LEN(TRIM(C1879))=0</formula>
    </cfRule>
  </conditionalFormatting>
  <conditionalFormatting sqref="C1884:C1885">
    <cfRule type="expression" dxfId="654" priority="3488" stopIfTrue="1">
      <formula>LEN(TRIM(C1884))=0</formula>
    </cfRule>
  </conditionalFormatting>
  <conditionalFormatting sqref="C1889:C1890">
    <cfRule type="expression" dxfId="653" priority="3485" stopIfTrue="1">
      <formula>LEN(TRIM(C1889))=0</formula>
    </cfRule>
  </conditionalFormatting>
  <conditionalFormatting sqref="C1892:C1893">
    <cfRule type="expression" dxfId="652" priority="3483" stopIfTrue="1">
      <formula>LEN(TRIM(C1892))=0</formula>
    </cfRule>
  </conditionalFormatting>
  <conditionalFormatting sqref="C1907:C1908">
    <cfRule type="expression" dxfId="651" priority="3449" stopIfTrue="1">
      <formula>LEN(TRIM(C1907))=0</formula>
    </cfRule>
  </conditionalFormatting>
  <conditionalFormatting sqref="C1932:C1933">
    <cfRule type="expression" dxfId="650" priority="3425" stopIfTrue="1">
      <formula>LEN(TRIM(C1932))=0</formula>
    </cfRule>
  </conditionalFormatting>
  <conditionalFormatting sqref="C1946:C1947">
    <cfRule type="expression" dxfId="649" priority="3305" stopIfTrue="1">
      <formula>LEN(TRIM(C1946))=0</formula>
    </cfRule>
  </conditionalFormatting>
  <conditionalFormatting sqref="C1948:C1949">
    <cfRule type="expression" dxfId="648" priority="3304" stopIfTrue="1">
      <formula>LEN(TRIM(C1948))=0</formula>
    </cfRule>
  </conditionalFormatting>
  <conditionalFormatting sqref="C1965:C1966">
    <cfRule type="expression" dxfId="647" priority="3270" stopIfTrue="1">
      <formula>LEN(TRIM(C1965))=0</formula>
    </cfRule>
  </conditionalFormatting>
  <conditionalFormatting sqref="C1977:C1978">
    <cfRule type="expression" dxfId="646" priority="3269" stopIfTrue="1">
      <formula>LEN(TRIM(C1977))=0</formula>
    </cfRule>
  </conditionalFormatting>
  <conditionalFormatting sqref="C2015:C2017">
    <cfRule type="expression" dxfId="645" priority="3220" stopIfTrue="1">
      <formula>LEN(TRIM(C2015))=0</formula>
    </cfRule>
  </conditionalFormatting>
  <conditionalFormatting sqref="C2070:C2071">
    <cfRule type="expression" dxfId="644" priority="3192" stopIfTrue="1">
      <formula>LEN(TRIM(C2070))=0</formula>
    </cfRule>
  </conditionalFormatting>
  <conditionalFormatting sqref="C2346:C2347">
    <cfRule type="expression" dxfId="643" priority="2411" stopIfTrue="1">
      <formula>LEN(TRIM(C2346))=0</formula>
    </cfRule>
  </conditionalFormatting>
  <conditionalFormatting sqref="C2381:C2382">
    <cfRule type="expression" dxfId="642" priority="2279" stopIfTrue="1">
      <formula>LEN(TRIM(C2381))=0</formula>
    </cfRule>
  </conditionalFormatting>
  <conditionalFormatting sqref="C2407:C2409">
    <cfRule type="expression" dxfId="641" priority="2190" stopIfTrue="1">
      <formula>LEN(TRIM(C2407))=0</formula>
    </cfRule>
  </conditionalFormatting>
  <conditionalFormatting sqref="C2410:C2414">
    <cfRule type="expression" dxfId="640" priority="2189" stopIfTrue="1">
      <formula>LEN(TRIM(C2410))=0</formula>
    </cfRule>
  </conditionalFormatting>
  <conditionalFormatting sqref="C2417:C2418">
    <cfRule type="expression" dxfId="639" priority="2186" stopIfTrue="1">
      <formula>LEN(TRIM(C2417))=0</formula>
    </cfRule>
  </conditionalFormatting>
  <conditionalFormatting sqref="E1658:E1680">
    <cfRule type="expression" dxfId="638" priority="4052" stopIfTrue="1">
      <formula>ISERROR(E1658)</formula>
    </cfRule>
  </conditionalFormatting>
  <conditionalFormatting sqref="E1707:E1726">
    <cfRule type="expression" dxfId="637" priority="3940" stopIfTrue="1">
      <formula>ISERROR(E1707)</formula>
    </cfRule>
  </conditionalFormatting>
  <conditionalFormatting sqref="E1781:E1805">
    <cfRule type="expression" dxfId="636" priority="3756" stopIfTrue="1">
      <formula>ISERROR(E1781)</formula>
    </cfRule>
  </conditionalFormatting>
  <conditionalFormatting sqref="E1806:E1818">
    <cfRule type="expression" dxfId="635" priority="3714" stopIfTrue="1">
      <formula>ISERROR(E1806)</formula>
    </cfRule>
  </conditionalFormatting>
  <conditionalFormatting sqref="E1908:E1933">
    <cfRule type="expression" dxfId="634" priority="3464" stopIfTrue="1">
      <formula>ISERROR(E1908)</formula>
    </cfRule>
  </conditionalFormatting>
  <conditionalFormatting sqref="E1969:E1970">
    <cfRule type="expression" dxfId="633" priority="3369" stopIfTrue="1">
      <formula>ISERROR(E1969)</formula>
    </cfRule>
  </conditionalFormatting>
  <conditionalFormatting sqref="E1994:E2032">
    <cfRule type="expression" dxfId="632" priority="3256" stopIfTrue="1">
      <formula>ISERROR(E1994)</formula>
    </cfRule>
  </conditionalFormatting>
  <conditionalFormatting sqref="E2063:E2069">
    <cfRule type="expression" dxfId="631" priority="3175" stopIfTrue="1">
      <formula>ISERROR(E2063)</formula>
    </cfRule>
  </conditionalFormatting>
  <conditionalFormatting sqref="E2148:E2154">
    <cfRule type="expression" dxfId="630" priority="3115" stopIfTrue="1">
      <formula>ISERROR(E2148)</formula>
    </cfRule>
  </conditionalFormatting>
  <conditionalFormatting sqref="G2318:G2319">
    <cfRule type="expression" dxfId="629" priority="32" stopIfTrue="1">
      <formula>LEN(TRIM(G2318))=0</formula>
    </cfRule>
  </conditionalFormatting>
  <conditionalFormatting sqref="H1719:H1720">
    <cfRule type="expression" dxfId="628" priority="3906" stopIfTrue="1">
      <formula>LEN(TRIM(H1719))=0</formula>
    </cfRule>
  </conditionalFormatting>
  <conditionalFormatting sqref="N1795:N1796">
    <cfRule type="expression" dxfId="627" priority="3717" stopIfTrue="1">
      <formula>LEN(TRIM(N1795))=0</formula>
    </cfRule>
  </conditionalFormatting>
  <conditionalFormatting sqref="N2970:N2971">
    <cfRule type="expression" dxfId="626" priority="42" stopIfTrue="1">
      <formula>LEN(TRIM(N2970))=0</formula>
    </cfRule>
  </conditionalFormatting>
  <conditionalFormatting sqref="N1 C1 G1:H1 N177:N249 N718:N835 G840:G841 N840:N841 G844:G849 H897 G177:G194 G175 G196:G249 C2937:C2949 N2937:N2949 G2937:H2949 H881 H1016:H1017 G850:H880 G371:G563 G718:G835 G1018:H1024">
    <cfRule type="expression" dxfId="625" priority="4068" stopIfTrue="1">
      <formula>LEN(TRIM(C1))=0</formula>
    </cfRule>
  </conditionalFormatting>
  <conditionalFormatting sqref="E1:F1">
    <cfRule type="expression" dxfId="624" priority="4069" stopIfTrue="1">
      <formula>ISERROR(E1)</formula>
    </cfRule>
  </conditionalFormatting>
  <conditionalFormatting sqref="G78 N2975:N64044 C2975:C64044 G2975:H64044">
    <cfRule type="expression" dxfId="623" priority="4065" stopIfTrue="1">
      <formula>LEN(TRIM(C78))=0</formula>
    </cfRule>
  </conditionalFormatting>
  <conditionalFormatting sqref="G84 G112">
    <cfRule type="expression" dxfId="622" priority="4063" stopIfTrue="1">
      <formula>LEN(TRIM(G84))=0</formula>
    </cfRule>
  </conditionalFormatting>
  <conditionalFormatting sqref="G195 G176">
    <cfRule type="expression" dxfId="621" priority="4061" stopIfTrue="1">
      <formula>LEN(TRIM(G176))=0</formula>
    </cfRule>
  </conditionalFormatting>
  <conditionalFormatting sqref="H1257 G1335:H1342 H1331:H1334 H1343:H1344">
    <cfRule type="expression" dxfId="620" priority="4059" stopIfTrue="1">
      <formula>LEN(TRIM(G1257))=0</formula>
    </cfRule>
  </conditionalFormatting>
  <conditionalFormatting sqref="G1523:H1528 N1523:N1535 G1530:H1535 H1529 H1536 G1586:H1638 H1585">
    <cfRule type="expression" dxfId="619" priority="4057" stopIfTrue="1">
      <formula>LEN(TRIM(G1523))=0</formula>
    </cfRule>
  </conditionalFormatting>
  <conditionalFormatting sqref="C1653:C1655 G1653:H1655 N1653:N1655">
    <cfRule type="expression" dxfId="618" priority="4055" stopIfTrue="1">
      <formula>LEN(TRIM(C1653))=0</formula>
    </cfRule>
  </conditionalFormatting>
  <conditionalFormatting sqref="E1653:E1655">
    <cfRule type="expression" dxfId="617" priority="4056" stopIfTrue="1">
      <formula>ISERROR(E1653)</formula>
    </cfRule>
  </conditionalFormatting>
  <conditionalFormatting sqref="C1640 G1640:H1640 N1640">
    <cfRule type="expression" dxfId="616" priority="4025" stopIfTrue="1">
      <formula>LEN(TRIM(C1640))=0</formula>
    </cfRule>
  </conditionalFormatting>
  <conditionalFormatting sqref="C1641 G1641:H1641 N1641">
    <cfRule type="expression" dxfId="615" priority="4024" stopIfTrue="1">
      <formula>LEN(TRIM(C1641))=0</formula>
    </cfRule>
  </conditionalFormatting>
  <conditionalFormatting sqref="C1642 G1642:H1642 N1642">
    <cfRule type="expression" dxfId="614" priority="4023" stopIfTrue="1">
      <formula>LEN(TRIM(C1642))=0</formula>
    </cfRule>
  </conditionalFormatting>
  <conditionalFormatting sqref="C1643 G1643:H1643 N1643">
    <cfRule type="expression" dxfId="613" priority="4022" stopIfTrue="1">
      <formula>LEN(TRIM(C1643))=0</formula>
    </cfRule>
  </conditionalFormatting>
  <conditionalFormatting sqref="C1644 G1644:H1644 N1644">
    <cfRule type="expression" dxfId="612" priority="4021" stopIfTrue="1">
      <formula>LEN(TRIM(C1644))=0</formula>
    </cfRule>
  </conditionalFormatting>
  <conditionalFormatting sqref="C1645 G1645:H1645 N1645">
    <cfRule type="expression" dxfId="611" priority="4012" stopIfTrue="1">
      <formula>LEN(TRIM(C1645))=0</formula>
    </cfRule>
  </conditionalFormatting>
  <conditionalFormatting sqref="C1646 G1646:H1646 N1646">
    <cfRule type="expression" dxfId="610" priority="4011" stopIfTrue="1">
      <formula>LEN(TRIM(C1646))=0</formula>
    </cfRule>
  </conditionalFormatting>
  <conditionalFormatting sqref="C1647 G1647:H1647 N1647">
    <cfRule type="expression" dxfId="609" priority="4010" stopIfTrue="1">
      <formula>LEN(TRIM(C1647))=0</formula>
    </cfRule>
  </conditionalFormatting>
  <conditionalFormatting sqref="C1648 G1648:H1648 N1648">
    <cfRule type="expression" dxfId="608" priority="4009" stopIfTrue="1">
      <formula>LEN(TRIM(C1648))=0</formula>
    </cfRule>
  </conditionalFormatting>
  <conditionalFormatting sqref="C1649 G1649:H1649 N1649">
    <cfRule type="expression" dxfId="607" priority="4008" stopIfTrue="1">
      <formula>LEN(TRIM(C1649))=0</formula>
    </cfRule>
  </conditionalFormatting>
  <conditionalFormatting sqref="C1650 G1650:H1650 N1650">
    <cfRule type="expression" dxfId="606" priority="4007" stopIfTrue="1">
      <formula>LEN(TRIM(C1650))=0</formula>
    </cfRule>
  </conditionalFormatting>
  <conditionalFormatting sqref="C1651 G1651:H1651 N1651">
    <cfRule type="expression" dxfId="605" priority="4006" stopIfTrue="1">
      <formula>LEN(TRIM(C1651))=0</formula>
    </cfRule>
  </conditionalFormatting>
  <conditionalFormatting sqref="C1652 G1652:H1652 N1652">
    <cfRule type="expression" dxfId="604" priority="4005" stopIfTrue="1">
      <formula>LEN(TRIM(C1652))=0</formula>
    </cfRule>
  </conditionalFormatting>
  <conditionalFormatting sqref="C1656 G1656:H1656 N1656">
    <cfRule type="expression" dxfId="603" priority="4051" stopIfTrue="1">
      <formula>LEN(TRIM(C1656))=0</formula>
    </cfRule>
  </conditionalFormatting>
  <conditionalFormatting sqref="G1657:H1657 N1657">
    <cfRule type="expression" dxfId="602" priority="4050" stopIfTrue="1">
      <formula>LEN(TRIM(G1657))=0</formula>
    </cfRule>
  </conditionalFormatting>
  <conditionalFormatting sqref="G1658:H1680 N1658:N1680">
    <cfRule type="expression" dxfId="601" priority="4049" stopIfTrue="1">
      <formula>LEN(TRIM(G1658))=0</formula>
    </cfRule>
  </conditionalFormatting>
  <conditionalFormatting sqref="G1681:H1681 N1681 G1682">
    <cfRule type="expression" dxfId="600" priority="3986" stopIfTrue="1">
      <formula>LEN(TRIM(G1681))=0</formula>
    </cfRule>
  </conditionalFormatting>
  <conditionalFormatting sqref="H1682 N1682">
    <cfRule type="expression" dxfId="599" priority="3985" stopIfTrue="1">
      <formula>LEN(TRIM(H1682))=0</formula>
    </cfRule>
  </conditionalFormatting>
  <conditionalFormatting sqref="G1683:H1683 N1683">
    <cfRule type="expression" dxfId="598" priority="3984" stopIfTrue="1">
      <formula>LEN(TRIM(G1683))=0</formula>
    </cfRule>
  </conditionalFormatting>
  <conditionalFormatting sqref="G1684:H1684 N1684">
    <cfRule type="expression" dxfId="597" priority="3983" stopIfTrue="1">
      <formula>LEN(TRIM(G1684))=0</formula>
    </cfRule>
  </conditionalFormatting>
  <conditionalFormatting sqref="G1805 G1685">
    <cfRule type="expression" dxfId="596" priority="6" stopIfTrue="1">
      <formula>LEN(TRIM(G1685))=0</formula>
    </cfRule>
  </conditionalFormatting>
  <conditionalFormatting sqref="H1685 N1685">
    <cfRule type="expression" dxfId="595" priority="3982" stopIfTrue="1">
      <formula>LEN(TRIM(H1685))=0</formula>
    </cfRule>
  </conditionalFormatting>
  <conditionalFormatting sqref="G1686:H1686 N1686:N1688">
    <cfRule type="expression" dxfId="594" priority="3981" stopIfTrue="1">
      <formula>LEN(TRIM(G1686))=0</formula>
    </cfRule>
  </conditionalFormatting>
  <conditionalFormatting sqref="G1689:H1689 N1689">
    <cfRule type="expression" dxfId="593" priority="3978" stopIfTrue="1">
      <formula>LEN(TRIM(G1689))=0</formula>
    </cfRule>
  </conditionalFormatting>
  <conditionalFormatting sqref="H1690 N1690">
    <cfRule type="expression" dxfId="592" priority="3977" stopIfTrue="1">
      <formula>LEN(TRIM(H1690))=0</formula>
    </cfRule>
  </conditionalFormatting>
  <conditionalFormatting sqref="G1691:H1691 N1691">
    <cfRule type="expression" dxfId="591" priority="3976" stopIfTrue="1">
      <formula>LEN(TRIM(G1691))=0</formula>
    </cfRule>
  </conditionalFormatting>
  <conditionalFormatting sqref="G1692:H1692 N1692">
    <cfRule type="expression" dxfId="590" priority="3975" stopIfTrue="1">
      <formula>LEN(TRIM(G1692))=0</formula>
    </cfRule>
  </conditionalFormatting>
  <conditionalFormatting sqref="G1693:H1693 N1693 G1694">
    <cfRule type="expression" dxfId="589" priority="3974" stopIfTrue="1">
      <formula>LEN(TRIM(G1693))=0</formula>
    </cfRule>
  </conditionalFormatting>
  <conditionalFormatting sqref="H1694 N1694">
    <cfRule type="expression" dxfId="588" priority="3973" stopIfTrue="1">
      <formula>LEN(TRIM(H1694))=0</formula>
    </cfRule>
  </conditionalFormatting>
  <conditionalFormatting sqref="G1695:H1695 N1695">
    <cfRule type="expression" dxfId="587" priority="3972" stopIfTrue="1">
      <formula>LEN(TRIM(G1695))=0</formula>
    </cfRule>
  </conditionalFormatting>
  <conditionalFormatting sqref="G1696:H1696 N1696">
    <cfRule type="expression" dxfId="586" priority="3971" stopIfTrue="1">
      <formula>LEN(TRIM(G1696))=0</formula>
    </cfRule>
  </conditionalFormatting>
  <conditionalFormatting sqref="G1697:H1697 N1697">
    <cfRule type="expression" dxfId="585" priority="3970" stopIfTrue="1">
      <formula>LEN(TRIM(G1697))=0</formula>
    </cfRule>
  </conditionalFormatting>
  <conditionalFormatting sqref="G1698:H1698 N1698">
    <cfRule type="expression" dxfId="584" priority="3969" stopIfTrue="1">
      <formula>LEN(TRIM(G1698))=0</formula>
    </cfRule>
  </conditionalFormatting>
  <conditionalFormatting sqref="G1699:H1699 N1699">
    <cfRule type="expression" dxfId="583" priority="3939" stopIfTrue="1">
      <formula>LEN(TRIM(G1699))=0</formula>
    </cfRule>
  </conditionalFormatting>
  <conditionalFormatting sqref="G1700:H1700 N1700">
    <cfRule type="expression" dxfId="582" priority="3938" stopIfTrue="1">
      <formula>LEN(TRIM(G1700))=0</formula>
    </cfRule>
  </conditionalFormatting>
  <conditionalFormatting sqref="G1701:H1701 N1701">
    <cfRule type="expression" dxfId="581" priority="3937" stopIfTrue="1">
      <formula>LEN(TRIM(G1701))=0</formula>
    </cfRule>
  </conditionalFormatting>
  <conditionalFormatting sqref="G1702:H1702 N1702">
    <cfRule type="expression" dxfId="580" priority="3936" stopIfTrue="1">
      <formula>LEN(TRIM(G1702))=0</formula>
    </cfRule>
  </conditionalFormatting>
  <conditionalFormatting sqref="G1703:H1703 N1703">
    <cfRule type="expression" dxfId="579" priority="3935" stopIfTrue="1">
      <formula>LEN(TRIM(G1703))=0</formula>
    </cfRule>
  </conditionalFormatting>
  <conditionalFormatting sqref="G1704:H1704 N1704">
    <cfRule type="expression" dxfId="578" priority="3934" stopIfTrue="1">
      <formula>LEN(TRIM(G1704))=0</formula>
    </cfRule>
  </conditionalFormatting>
  <conditionalFormatting sqref="G1705:H1705 N1705">
    <cfRule type="expression" dxfId="577" priority="3933" stopIfTrue="1">
      <formula>LEN(TRIM(G1705))=0</formula>
    </cfRule>
  </conditionalFormatting>
  <conditionalFormatting sqref="G1706:H1706 N1706">
    <cfRule type="expression" dxfId="576" priority="3932" stopIfTrue="1">
      <formula>LEN(TRIM(G1706))=0</formula>
    </cfRule>
  </conditionalFormatting>
  <conditionalFormatting sqref="G1707:H1718 G1719:G1720 G1721:H1726 N1707:N1726">
    <cfRule type="expression" dxfId="575" priority="3931" stopIfTrue="1">
      <formula>LEN(TRIM(G1707))=0</formula>
    </cfRule>
  </conditionalFormatting>
  <conditionalFormatting sqref="G1727:H1727 N1727">
    <cfRule type="expression" dxfId="574" priority="3899" stopIfTrue="1">
      <formula>LEN(TRIM(G1727))=0</formula>
    </cfRule>
  </conditionalFormatting>
  <conditionalFormatting sqref="G1728:H1728 N1728 G1729">
    <cfRule type="expression" dxfId="573" priority="3898" stopIfTrue="1">
      <formula>LEN(TRIM(G1728))=0</formula>
    </cfRule>
  </conditionalFormatting>
  <conditionalFormatting sqref="H1729 N1729">
    <cfRule type="expression" dxfId="572" priority="3897" stopIfTrue="1">
      <formula>LEN(TRIM(H1729))=0</formula>
    </cfRule>
  </conditionalFormatting>
  <conditionalFormatting sqref="G1730:H1730 N1730">
    <cfRule type="expression" dxfId="571" priority="3896" stopIfTrue="1">
      <formula>LEN(TRIM(G1730))=0</formula>
    </cfRule>
  </conditionalFormatting>
  <conditionalFormatting sqref="G1731:H1731 N1731">
    <cfRule type="expression" dxfId="570" priority="3895" stopIfTrue="1">
      <formula>LEN(TRIM(G1731))=0</formula>
    </cfRule>
  </conditionalFormatting>
  <conditionalFormatting sqref="G1732:H1732 N1732">
    <cfRule type="expression" dxfId="569" priority="3894" stopIfTrue="1">
      <formula>LEN(TRIM(G1732))=0</formula>
    </cfRule>
  </conditionalFormatting>
  <conditionalFormatting sqref="G1733:H1733 N1733">
    <cfRule type="expression" dxfId="568" priority="3845" stopIfTrue="1">
      <formula>LEN(TRIM(G1733))=0</formula>
    </cfRule>
  </conditionalFormatting>
  <conditionalFormatting sqref="G1734:H1734 N1734">
    <cfRule type="expression" dxfId="567" priority="3844" stopIfTrue="1">
      <formula>LEN(TRIM(G1734))=0</formula>
    </cfRule>
  </conditionalFormatting>
  <conditionalFormatting sqref="G1735:H1735 N1735">
    <cfRule type="expression" dxfId="566" priority="3843" stopIfTrue="1">
      <formula>LEN(TRIM(G1735))=0</formula>
    </cfRule>
  </conditionalFormatting>
  <conditionalFormatting sqref="G1736:H1736 N1736">
    <cfRule type="expression" dxfId="565" priority="3842" stopIfTrue="1">
      <formula>LEN(TRIM(G1736))=0</formula>
    </cfRule>
  </conditionalFormatting>
  <conditionalFormatting sqref="G1737:H1737 N1737">
    <cfRule type="expression" dxfId="564" priority="3841" stopIfTrue="1">
      <formula>LEN(TRIM(G1737))=0</formula>
    </cfRule>
  </conditionalFormatting>
  <conditionalFormatting sqref="G1738:H1738 N1738">
    <cfRule type="expression" dxfId="563" priority="3840" stopIfTrue="1">
      <formula>LEN(TRIM(G1738))=0</formula>
    </cfRule>
  </conditionalFormatting>
  <conditionalFormatting sqref="G1739:H1739 N1739">
    <cfRule type="expression" dxfId="562" priority="3839" stopIfTrue="1">
      <formula>LEN(TRIM(G1739))=0</formula>
    </cfRule>
  </conditionalFormatting>
  <conditionalFormatting sqref="G1740:H1740 N1740">
    <cfRule type="expression" dxfId="561" priority="3838" stopIfTrue="1">
      <formula>LEN(TRIM(G1740))=0</formula>
    </cfRule>
  </conditionalFormatting>
  <conditionalFormatting sqref="G1741:H1741 N1741">
    <cfRule type="expression" dxfId="560" priority="3837" stopIfTrue="1">
      <formula>LEN(TRIM(G1741))=0</formula>
    </cfRule>
  </conditionalFormatting>
  <conditionalFormatting sqref="G1742:H1742 N1742">
    <cfRule type="expression" dxfId="559" priority="3836" stopIfTrue="1">
      <formula>LEN(TRIM(G1742))=0</formula>
    </cfRule>
  </conditionalFormatting>
  <conditionalFormatting sqref="G1743:H1743 N1743">
    <cfRule type="expression" dxfId="558" priority="3835" stopIfTrue="1">
      <formula>LEN(TRIM(G1743))=0</formula>
    </cfRule>
  </conditionalFormatting>
  <conditionalFormatting sqref="G1744:H1744 N1744">
    <cfRule type="expression" dxfId="557" priority="3834" stopIfTrue="1">
      <formula>LEN(TRIM(G1744))=0</formula>
    </cfRule>
  </conditionalFormatting>
  <conditionalFormatting sqref="G1745:H1745 N1745">
    <cfRule type="expression" dxfId="556" priority="3833" stopIfTrue="1">
      <formula>LEN(TRIM(G1745))=0</formula>
    </cfRule>
  </conditionalFormatting>
  <conditionalFormatting sqref="G1746:H1746 N1746">
    <cfRule type="expression" dxfId="555" priority="3832" stopIfTrue="1">
      <formula>LEN(TRIM(G1746))=0</formula>
    </cfRule>
  </conditionalFormatting>
  <conditionalFormatting sqref="G1747:H1747 N1747">
    <cfRule type="expression" dxfId="554" priority="3831" stopIfTrue="1">
      <formula>LEN(TRIM(G1747))=0</formula>
    </cfRule>
  </conditionalFormatting>
  <conditionalFormatting sqref="G1748:H1748 N1748">
    <cfRule type="expression" dxfId="553" priority="3830" stopIfTrue="1">
      <formula>LEN(TRIM(G1748))=0</formula>
    </cfRule>
  </conditionalFormatting>
  <conditionalFormatting sqref="G1749:H1749 N1749">
    <cfRule type="expression" dxfId="552" priority="3829" stopIfTrue="1">
      <formula>LEN(TRIM(G1749))=0</formula>
    </cfRule>
  </conditionalFormatting>
  <conditionalFormatting sqref="G1750:H1750 N1750">
    <cfRule type="expression" dxfId="551" priority="3828" stopIfTrue="1">
      <formula>LEN(TRIM(G1750))=0</formula>
    </cfRule>
  </conditionalFormatting>
  <conditionalFormatting sqref="G1751:H1751 N1751:N1752">
    <cfRule type="expression" dxfId="550" priority="3827" stopIfTrue="1">
      <formula>LEN(TRIM(G1751))=0</formula>
    </cfRule>
  </conditionalFormatting>
  <conditionalFormatting sqref="G1753:H1753 N1753">
    <cfRule type="expression" dxfId="549" priority="3825" stopIfTrue="1">
      <formula>LEN(TRIM(G1753))=0</formula>
    </cfRule>
  </conditionalFormatting>
  <conditionalFormatting sqref="G1754:H1754 N1754:N1755 H1755">
    <cfRule type="expression" dxfId="548" priority="3824" stopIfTrue="1">
      <formula>LEN(TRIM(G1754))=0</formula>
    </cfRule>
  </conditionalFormatting>
  <conditionalFormatting sqref="G1756:H1756 N1756">
    <cfRule type="expression" dxfId="547" priority="3822" stopIfTrue="1">
      <formula>LEN(TRIM(G1756))=0</formula>
    </cfRule>
  </conditionalFormatting>
  <conditionalFormatting sqref="G1757:H1757 N1757">
    <cfRule type="expression" dxfId="546" priority="3821" stopIfTrue="1">
      <formula>LEN(TRIM(G1757))=0</formula>
    </cfRule>
  </conditionalFormatting>
  <conditionalFormatting sqref="G1758:H1758 N1758 G1759">
    <cfRule type="expression" dxfId="545" priority="3820" stopIfTrue="1">
      <formula>LEN(TRIM(G1758))=0</formula>
    </cfRule>
  </conditionalFormatting>
  <conditionalFormatting sqref="H1759 N1759">
    <cfRule type="expression" dxfId="544" priority="3819" stopIfTrue="1">
      <formula>LEN(TRIM(H1759))=0</formula>
    </cfRule>
  </conditionalFormatting>
  <conditionalFormatting sqref="G1760:H1760 N1760">
    <cfRule type="expression" dxfId="543" priority="3818" stopIfTrue="1">
      <formula>LEN(TRIM(G1760))=0</formula>
    </cfRule>
  </conditionalFormatting>
  <conditionalFormatting sqref="G1761:H1761 N1761">
    <cfRule type="expression" dxfId="542" priority="3817" stopIfTrue="1">
      <formula>LEN(TRIM(G1761))=0</formula>
    </cfRule>
  </conditionalFormatting>
  <conditionalFormatting sqref="G1762:H1762 N1762">
    <cfRule type="expression" dxfId="541" priority="3816" stopIfTrue="1">
      <formula>LEN(TRIM(G1762))=0</formula>
    </cfRule>
  </conditionalFormatting>
  <conditionalFormatting sqref="G1763:H1763 N1763">
    <cfRule type="expression" dxfId="540" priority="3815" stopIfTrue="1">
      <formula>LEN(TRIM(G1763))=0</formula>
    </cfRule>
  </conditionalFormatting>
  <conditionalFormatting sqref="G1764:H1764 N1764">
    <cfRule type="expression" dxfId="539" priority="3814" stopIfTrue="1">
      <formula>LEN(TRIM(G1764))=0</formula>
    </cfRule>
  </conditionalFormatting>
  <conditionalFormatting sqref="G1765:H1765 N1765">
    <cfRule type="expression" dxfId="538" priority="3813" stopIfTrue="1">
      <formula>LEN(TRIM(G1765))=0</formula>
    </cfRule>
  </conditionalFormatting>
  <conditionalFormatting sqref="G1766:H1766 N1766">
    <cfRule type="expression" dxfId="537" priority="3812" stopIfTrue="1">
      <formula>LEN(TRIM(G1766))=0</formula>
    </cfRule>
  </conditionalFormatting>
  <conditionalFormatting sqref="G1767:H1767 N1767">
    <cfRule type="expression" dxfId="536" priority="3811" stopIfTrue="1">
      <formula>LEN(TRIM(G1767))=0</formula>
    </cfRule>
  </conditionalFormatting>
  <conditionalFormatting sqref="G1768:H1768 N1768">
    <cfRule type="expression" dxfId="535" priority="3810" stopIfTrue="1">
      <formula>LEN(TRIM(G1768))=0</formula>
    </cfRule>
  </conditionalFormatting>
  <conditionalFormatting sqref="G1769:H1769 N1769">
    <cfRule type="expression" dxfId="534" priority="3809" stopIfTrue="1">
      <formula>LEN(TRIM(G1769))=0</formula>
    </cfRule>
  </conditionalFormatting>
  <conditionalFormatting sqref="G1770:H1770 N1770:N1771">
    <cfRule type="expression" dxfId="533" priority="3808" stopIfTrue="1">
      <formula>LEN(TRIM(G1770))=0</formula>
    </cfRule>
  </conditionalFormatting>
  <conditionalFormatting sqref="G1772:H1772 N1772">
    <cfRule type="expression" dxfId="532" priority="3806" stopIfTrue="1">
      <formula>LEN(TRIM(G1772))=0</formula>
    </cfRule>
  </conditionalFormatting>
  <conditionalFormatting sqref="G1773:H1773 N1773">
    <cfRule type="expression" dxfId="531" priority="3805" stopIfTrue="1">
      <formula>LEN(TRIM(G1773))=0</formula>
    </cfRule>
  </conditionalFormatting>
  <conditionalFormatting sqref="G1774:H1774 N1774">
    <cfRule type="expression" dxfId="530" priority="3804" stopIfTrue="1">
      <formula>LEN(TRIM(G1774))=0</formula>
    </cfRule>
  </conditionalFormatting>
  <conditionalFormatting sqref="G1775:H1775 N1775">
    <cfRule type="expression" dxfId="529" priority="3755" stopIfTrue="1">
      <formula>LEN(TRIM(G1775))=0</formula>
    </cfRule>
  </conditionalFormatting>
  <conditionalFormatting sqref="G1776:H1776 N1776">
    <cfRule type="expression" dxfId="528" priority="3754" stopIfTrue="1">
      <formula>LEN(TRIM(G1776))=0</formula>
    </cfRule>
  </conditionalFormatting>
  <conditionalFormatting sqref="G1777:H1777 N1777:N1778 G1778:G1779">
    <cfRule type="expression" dxfId="527" priority="3753" stopIfTrue="1">
      <formula>LEN(TRIM(G1777))=0</formula>
    </cfRule>
  </conditionalFormatting>
  <conditionalFormatting sqref="H1779 N1779">
    <cfRule type="expression" dxfId="526" priority="3751" stopIfTrue="1">
      <formula>LEN(TRIM(H1779))=0</formula>
    </cfRule>
  </conditionalFormatting>
  <conditionalFormatting sqref="G1780:H1780 N1780">
    <cfRule type="expression" dxfId="525" priority="3750" stopIfTrue="1">
      <formula>LEN(TRIM(G1780))=0</formula>
    </cfRule>
  </conditionalFormatting>
  <conditionalFormatting sqref="G1781:H1781 N1781:N1793 N1797:N1805 G1784:H1804 H1782:H1783 H1805">
    <cfRule type="expression" dxfId="524" priority="3749" stopIfTrue="1">
      <formula>LEN(TRIM(G1781))=0</formula>
    </cfRule>
  </conditionalFormatting>
  <conditionalFormatting sqref="G1782:G1783 G1847 G1907">
    <cfRule type="expression" dxfId="523" priority="27" stopIfTrue="1">
      <formula>LEN(TRIM(G1782))=0</formula>
    </cfRule>
  </conditionalFormatting>
  <conditionalFormatting sqref="F1806:F2074 F2085:F2111 F2119:F2317">
    <cfRule type="expression" dxfId="522" priority="3716" stopIfTrue="1">
      <formula>ISERROR(F1806)</formula>
    </cfRule>
  </conditionalFormatting>
  <conditionalFormatting sqref="G1806:H1818 N1806:N1818">
    <cfRule type="expression" dxfId="521" priority="3713" stopIfTrue="1">
      <formula>LEN(TRIM(G1806))=0</formula>
    </cfRule>
  </conditionalFormatting>
  <conditionalFormatting sqref="G1819:H1819 N1819">
    <cfRule type="expression" dxfId="520" priority="3673" stopIfTrue="1">
      <formula>LEN(TRIM(G1819))=0</formula>
    </cfRule>
  </conditionalFormatting>
  <conditionalFormatting sqref="G1820 G1864:G1866">
    <cfRule type="expression" dxfId="519" priority="14" stopIfTrue="1">
      <formula>LEN(TRIM(G1820))=0</formula>
    </cfRule>
  </conditionalFormatting>
  <conditionalFormatting sqref="H1820 N1820">
    <cfRule type="expression" dxfId="518" priority="3672" stopIfTrue="1">
      <formula>LEN(TRIM(H1820))=0</formula>
    </cfRule>
  </conditionalFormatting>
  <conditionalFormatting sqref="G1821:H1821 N1821">
    <cfRule type="expression" dxfId="517" priority="3671" stopIfTrue="1">
      <formula>LEN(TRIM(G1821))=0</formula>
    </cfRule>
  </conditionalFormatting>
  <conditionalFormatting sqref="G1822:H1822 N1822">
    <cfRule type="expression" dxfId="516" priority="3670" stopIfTrue="1">
      <formula>LEN(TRIM(G1822))=0</formula>
    </cfRule>
  </conditionalFormatting>
  <conditionalFormatting sqref="G1823:H1823 N1823">
    <cfRule type="expression" dxfId="515" priority="3669" stopIfTrue="1">
      <formula>LEN(TRIM(G1823))=0</formula>
    </cfRule>
  </conditionalFormatting>
  <conditionalFormatting sqref="G1824:H1824 N1824">
    <cfRule type="expression" dxfId="514" priority="3668" stopIfTrue="1">
      <formula>LEN(TRIM(G1824))=0</formula>
    </cfRule>
  </conditionalFormatting>
  <conditionalFormatting sqref="G1825:H1825 N1825">
    <cfRule type="expression" dxfId="513" priority="3667" stopIfTrue="1">
      <formula>LEN(TRIM(G1825))=0</formula>
    </cfRule>
  </conditionalFormatting>
  <conditionalFormatting sqref="G1826:H1826 N1826">
    <cfRule type="expression" dxfId="512" priority="3666" stopIfTrue="1">
      <formula>LEN(TRIM(G1826))=0</formula>
    </cfRule>
  </conditionalFormatting>
  <conditionalFormatting sqref="G1827:H1827 N1827">
    <cfRule type="expression" dxfId="511" priority="3665" stopIfTrue="1">
      <formula>LEN(TRIM(G1827))=0</formula>
    </cfRule>
  </conditionalFormatting>
  <conditionalFormatting sqref="G1828:H1828 N1828">
    <cfRule type="expression" dxfId="510" priority="3664" stopIfTrue="1">
      <formula>LEN(TRIM(G1828))=0</formula>
    </cfRule>
  </conditionalFormatting>
  <conditionalFormatting sqref="G1829:H1829 N1829">
    <cfRule type="expression" dxfId="509" priority="3663" stopIfTrue="1">
      <formula>LEN(TRIM(G1829))=0</formula>
    </cfRule>
  </conditionalFormatting>
  <conditionalFormatting sqref="G1830:H1830 N1830">
    <cfRule type="expression" dxfId="508" priority="3662" stopIfTrue="1">
      <formula>LEN(TRIM(G1830))=0</formula>
    </cfRule>
  </conditionalFormatting>
  <conditionalFormatting sqref="G1831:H1831 N1831">
    <cfRule type="expression" dxfId="507" priority="3661" stopIfTrue="1">
      <formula>LEN(TRIM(G1831))=0</formula>
    </cfRule>
  </conditionalFormatting>
  <conditionalFormatting sqref="G1832:H1832 N1832">
    <cfRule type="expression" dxfId="506" priority="3660" stopIfTrue="1">
      <formula>LEN(TRIM(G1832))=0</formula>
    </cfRule>
  </conditionalFormatting>
  <conditionalFormatting sqref="G1833:H1833 N1833">
    <cfRule type="expression" dxfId="505" priority="3659" stopIfTrue="1">
      <formula>LEN(TRIM(G1833))=0</formula>
    </cfRule>
  </conditionalFormatting>
  <conditionalFormatting sqref="G1834:H1834 N1834">
    <cfRule type="expression" dxfId="504" priority="3658" stopIfTrue="1">
      <formula>LEN(TRIM(G1834))=0</formula>
    </cfRule>
  </conditionalFormatting>
  <conditionalFormatting sqref="G1835:H1835 N1835">
    <cfRule type="expression" dxfId="503" priority="3657" stopIfTrue="1">
      <formula>LEN(TRIM(G1835))=0</formula>
    </cfRule>
  </conditionalFormatting>
  <conditionalFormatting sqref="G1836:H1836 N1836">
    <cfRule type="expression" dxfId="502" priority="3656" stopIfTrue="1">
      <formula>LEN(TRIM(G1836))=0</formula>
    </cfRule>
  </conditionalFormatting>
  <conditionalFormatting sqref="G1837:H1837 N1837">
    <cfRule type="expression" dxfId="501" priority="3655" stopIfTrue="1">
      <formula>LEN(TRIM(G1837))=0</formula>
    </cfRule>
  </conditionalFormatting>
  <conditionalFormatting sqref="G1838:H1838 N1838">
    <cfRule type="expression" dxfId="500" priority="3654" stopIfTrue="1">
      <formula>LEN(TRIM(G1838))=0</formula>
    </cfRule>
  </conditionalFormatting>
  <conditionalFormatting sqref="G1839:H1839 N1839">
    <cfRule type="expression" dxfId="499" priority="3653" stopIfTrue="1">
      <formula>LEN(TRIM(G1839))=0</formula>
    </cfRule>
  </conditionalFormatting>
  <conditionalFormatting sqref="G1840:H1840 N1840">
    <cfRule type="expression" dxfId="498" priority="3652" stopIfTrue="1">
      <formula>LEN(TRIM(G1840))=0</formula>
    </cfRule>
  </conditionalFormatting>
  <conditionalFormatting sqref="G1841:H1841 N1841">
    <cfRule type="expression" dxfId="497" priority="3651" stopIfTrue="1">
      <formula>LEN(TRIM(G1841))=0</formula>
    </cfRule>
  </conditionalFormatting>
  <conditionalFormatting sqref="G1842:H1842 N1842">
    <cfRule type="expression" dxfId="496" priority="3650" stopIfTrue="1">
      <formula>LEN(TRIM(G1842))=0</formula>
    </cfRule>
  </conditionalFormatting>
  <conditionalFormatting sqref="G1843:H1843 N1843">
    <cfRule type="expression" dxfId="495" priority="3649" stopIfTrue="1">
      <formula>LEN(TRIM(G1843))=0</formula>
    </cfRule>
  </conditionalFormatting>
  <conditionalFormatting sqref="G1844:H1844 N1844">
    <cfRule type="expression" dxfId="494" priority="3648" stopIfTrue="1">
      <formula>LEN(TRIM(G1844))=0</formula>
    </cfRule>
  </conditionalFormatting>
  <conditionalFormatting sqref="G1845:H1845 N1845">
    <cfRule type="expression" dxfId="493" priority="3647" stopIfTrue="1">
      <formula>LEN(TRIM(G1845))=0</formula>
    </cfRule>
  </conditionalFormatting>
  <conditionalFormatting sqref="G1846:H1846 N1846">
    <cfRule type="expression" dxfId="492" priority="3571" stopIfTrue="1">
      <formula>LEN(TRIM(G1846))=0</formula>
    </cfRule>
  </conditionalFormatting>
  <conditionalFormatting sqref="H1847 N1847">
    <cfRule type="expression" dxfId="491" priority="3570" stopIfTrue="1">
      <formula>LEN(TRIM(H1847))=0</formula>
    </cfRule>
  </conditionalFormatting>
  <conditionalFormatting sqref="G1848:H1848 N1848">
    <cfRule type="expression" dxfId="490" priority="3569" stopIfTrue="1">
      <formula>LEN(TRIM(G1848))=0</formula>
    </cfRule>
  </conditionalFormatting>
  <conditionalFormatting sqref="G1849:H1849 N1849">
    <cfRule type="expression" dxfId="489" priority="3568" stopIfTrue="1">
      <formula>LEN(TRIM(G1849))=0</formula>
    </cfRule>
  </conditionalFormatting>
  <conditionalFormatting sqref="G1850:H1850 N1850">
    <cfRule type="expression" dxfId="488" priority="3567" stopIfTrue="1">
      <formula>LEN(TRIM(G1850))=0</formula>
    </cfRule>
  </conditionalFormatting>
  <conditionalFormatting sqref="G1851:H1851 N1851">
    <cfRule type="expression" dxfId="487" priority="3566" stopIfTrue="1">
      <formula>LEN(TRIM(G1851))=0</formula>
    </cfRule>
  </conditionalFormatting>
  <conditionalFormatting sqref="G1852:H1852 N1852">
    <cfRule type="expression" dxfId="486" priority="3565" stopIfTrue="1">
      <formula>LEN(TRIM(G1852))=0</formula>
    </cfRule>
  </conditionalFormatting>
  <conditionalFormatting sqref="G1853:H1853 N1853">
    <cfRule type="expression" dxfId="485" priority="3564" stopIfTrue="1">
      <formula>LEN(TRIM(G1853))=0</formula>
    </cfRule>
  </conditionalFormatting>
  <conditionalFormatting sqref="G1854:H1854 N1854">
    <cfRule type="expression" dxfId="484" priority="3563" stopIfTrue="1">
      <formula>LEN(TRIM(G1854))=0</formula>
    </cfRule>
  </conditionalFormatting>
  <conditionalFormatting sqref="G1855:H1855 N1855">
    <cfRule type="expression" dxfId="483" priority="3562" stopIfTrue="1">
      <formula>LEN(TRIM(G1855))=0</formula>
    </cfRule>
  </conditionalFormatting>
  <conditionalFormatting sqref="G1856:H1856 N1856">
    <cfRule type="expression" dxfId="482" priority="3561" stopIfTrue="1">
      <formula>LEN(TRIM(G1856))=0</formula>
    </cfRule>
  </conditionalFormatting>
  <conditionalFormatting sqref="G1857:H1857 N1857">
    <cfRule type="expression" dxfId="481" priority="3560" stopIfTrue="1">
      <formula>LEN(TRIM(G1857))=0</formula>
    </cfRule>
  </conditionalFormatting>
  <conditionalFormatting sqref="G1858:H1858 N1858">
    <cfRule type="expression" dxfId="480" priority="3559" stopIfTrue="1">
      <formula>LEN(TRIM(G1858))=0</formula>
    </cfRule>
  </conditionalFormatting>
  <conditionalFormatting sqref="G1859:H1859 N1859">
    <cfRule type="expression" dxfId="479" priority="3558" stopIfTrue="1">
      <formula>LEN(TRIM(G1859))=0</formula>
    </cfRule>
  </conditionalFormatting>
  <conditionalFormatting sqref="G1860:H1860 N1860">
    <cfRule type="expression" dxfId="478" priority="3557" stopIfTrue="1">
      <formula>LEN(TRIM(G1860))=0</formula>
    </cfRule>
  </conditionalFormatting>
  <conditionalFormatting sqref="G1861:H1861 N1861">
    <cfRule type="expression" dxfId="477" priority="3556" stopIfTrue="1">
      <formula>LEN(TRIM(G1861))=0</formula>
    </cfRule>
  </conditionalFormatting>
  <conditionalFormatting sqref="G1862:H1862 N1862">
    <cfRule type="expression" dxfId="476" priority="3555" stopIfTrue="1">
      <formula>LEN(TRIM(G1862))=0</formula>
    </cfRule>
  </conditionalFormatting>
  <conditionalFormatting sqref="G1863:H1863 N1863">
    <cfRule type="expression" dxfId="475" priority="3554" stopIfTrue="1">
      <formula>LEN(TRIM(G1863))=0</formula>
    </cfRule>
  </conditionalFormatting>
  <conditionalFormatting sqref="H1864 N1864:N1866">
    <cfRule type="expression" dxfId="474" priority="3553" stopIfTrue="1">
      <formula>LEN(TRIM(H1864))=0</formula>
    </cfRule>
  </conditionalFormatting>
  <conditionalFormatting sqref="G1867:H1867 N1867">
    <cfRule type="expression" dxfId="473" priority="3550" stopIfTrue="1">
      <formula>LEN(TRIM(G1867))=0</formula>
    </cfRule>
  </conditionalFormatting>
  <conditionalFormatting sqref="G1868:H1868 N1868">
    <cfRule type="expression" dxfId="472" priority="3549" stopIfTrue="1">
      <formula>LEN(TRIM(G1868))=0</formula>
    </cfRule>
  </conditionalFormatting>
  <conditionalFormatting sqref="G1869:H1869 N1869">
    <cfRule type="expression" dxfId="471" priority="3548" stopIfTrue="1">
      <formula>LEN(TRIM(G1869))=0</formula>
    </cfRule>
  </conditionalFormatting>
  <conditionalFormatting sqref="G1870:H1870 N1870">
    <cfRule type="expression" dxfId="470" priority="3547" stopIfTrue="1">
      <formula>LEN(TRIM(G1870))=0</formula>
    </cfRule>
  </conditionalFormatting>
  <conditionalFormatting sqref="G1871:H1871 N1871">
    <cfRule type="expression" dxfId="469" priority="3546" stopIfTrue="1">
      <formula>LEN(TRIM(G1871))=0</formula>
    </cfRule>
  </conditionalFormatting>
  <conditionalFormatting sqref="G1872:H1872 N1872">
    <cfRule type="expression" dxfId="468" priority="3545" stopIfTrue="1">
      <formula>LEN(TRIM(G1872))=0</formula>
    </cfRule>
  </conditionalFormatting>
  <conditionalFormatting sqref="G1873:H1873 N1873">
    <cfRule type="expression" dxfId="467" priority="3544" stopIfTrue="1">
      <formula>LEN(TRIM(G1873))=0</formula>
    </cfRule>
  </conditionalFormatting>
  <conditionalFormatting sqref="G1874:H1874 N1874">
    <cfRule type="expression" dxfId="466" priority="3543" stopIfTrue="1">
      <formula>LEN(TRIM(G1874))=0</formula>
    </cfRule>
  </conditionalFormatting>
  <conditionalFormatting sqref="G1875:H1875 N1875:N1876">
    <cfRule type="expression" dxfId="465" priority="3542" stopIfTrue="1">
      <formula>LEN(TRIM(G1875))=0</formula>
    </cfRule>
  </conditionalFormatting>
  <conditionalFormatting sqref="G1877:H1877 N1877">
    <cfRule type="expression" dxfId="464" priority="3540" stopIfTrue="1">
      <formula>LEN(TRIM(G1877))=0</formula>
    </cfRule>
  </conditionalFormatting>
  <conditionalFormatting sqref="G1878:H1878 N1878">
    <cfRule type="expression" dxfId="463" priority="3539" stopIfTrue="1">
      <formula>LEN(TRIM(G1878))=0</formula>
    </cfRule>
  </conditionalFormatting>
  <conditionalFormatting sqref="G1879:H1879 N1879">
    <cfRule type="expression" dxfId="462" priority="3538" stopIfTrue="1">
      <formula>LEN(TRIM(G1879))=0</formula>
    </cfRule>
  </conditionalFormatting>
  <conditionalFormatting sqref="G1880:H1880 N1880">
    <cfRule type="expression" dxfId="461" priority="3537" stopIfTrue="1">
      <formula>LEN(TRIM(G1880))=0</formula>
    </cfRule>
  </conditionalFormatting>
  <conditionalFormatting sqref="G1881:H1881 N1881">
    <cfRule type="expression" dxfId="460" priority="3536" stopIfTrue="1">
      <formula>LEN(TRIM(G1881))=0</formula>
    </cfRule>
  </conditionalFormatting>
  <conditionalFormatting sqref="G1882:H1882 N1882">
    <cfRule type="expression" dxfId="459" priority="3535" stopIfTrue="1">
      <formula>LEN(TRIM(G1882))=0</formula>
    </cfRule>
  </conditionalFormatting>
  <conditionalFormatting sqref="G1883:H1883 N1883">
    <cfRule type="expression" dxfId="458" priority="3534" stopIfTrue="1">
      <formula>LEN(TRIM(G1883))=0</formula>
    </cfRule>
  </conditionalFormatting>
  <conditionalFormatting sqref="G1884:H1884 N1884 G1885">
    <cfRule type="expression" dxfId="457" priority="3533" stopIfTrue="1">
      <formula>LEN(TRIM(G1884))=0</formula>
    </cfRule>
  </conditionalFormatting>
  <conditionalFormatting sqref="H1885 N1885">
    <cfRule type="expression" dxfId="456" priority="3532" stopIfTrue="1">
      <formula>LEN(TRIM(H1885))=0</formula>
    </cfRule>
  </conditionalFormatting>
  <conditionalFormatting sqref="G1886:H1886 N1886">
    <cfRule type="expression" dxfId="455" priority="3531" stopIfTrue="1">
      <formula>LEN(TRIM(G1886))=0</formula>
    </cfRule>
  </conditionalFormatting>
  <conditionalFormatting sqref="G1887:H1887 N1887">
    <cfRule type="expression" dxfId="454" priority="3530" stopIfTrue="1">
      <formula>LEN(TRIM(G1887))=0</formula>
    </cfRule>
  </conditionalFormatting>
  <conditionalFormatting sqref="G1888:H1888 N1888">
    <cfRule type="expression" dxfId="453" priority="3529" stopIfTrue="1">
      <formula>LEN(TRIM(G1888))=0</formula>
    </cfRule>
  </conditionalFormatting>
  <conditionalFormatting sqref="G1889:H1889 N1889:N1890 H1890">
    <cfRule type="expression" dxfId="452" priority="3528" stopIfTrue="1">
      <formula>LEN(TRIM(G1889))=0</formula>
    </cfRule>
  </conditionalFormatting>
  <conditionalFormatting sqref="G1891:H1891 N1891">
    <cfRule type="expression" dxfId="451" priority="3526" stopIfTrue="1">
      <formula>LEN(TRIM(G1891))=0</formula>
    </cfRule>
  </conditionalFormatting>
  <conditionalFormatting sqref="G1892:H1892 N1892 G1893">
    <cfRule type="expression" dxfId="450" priority="3525" stopIfTrue="1">
      <formula>LEN(TRIM(G1892))=0</formula>
    </cfRule>
  </conditionalFormatting>
  <conditionalFormatting sqref="H1893 N1893">
    <cfRule type="expression" dxfId="449" priority="3524" stopIfTrue="1">
      <formula>LEN(TRIM(H1893))=0</formula>
    </cfRule>
  </conditionalFormatting>
  <conditionalFormatting sqref="G1894:H1894 N1894">
    <cfRule type="expression" dxfId="448" priority="3523" stopIfTrue="1">
      <formula>LEN(TRIM(G1894))=0</formula>
    </cfRule>
  </conditionalFormatting>
  <conditionalFormatting sqref="G1895:H1895 N1895">
    <cfRule type="expression" dxfId="447" priority="3522" stopIfTrue="1">
      <formula>LEN(TRIM(G1895))=0</formula>
    </cfRule>
  </conditionalFormatting>
  <conditionalFormatting sqref="G1896:H1896 N1896">
    <cfRule type="expression" dxfId="446" priority="3521" stopIfTrue="1">
      <formula>LEN(TRIM(G1896))=0</formula>
    </cfRule>
  </conditionalFormatting>
  <conditionalFormatting sqref="G1897:H1897 N1897">
    <cfRule type="expression" dxfId="445" priority="3520" stopIfTrue="1">
      <formula>LEN(TRIM(G1897))=0</formula>
    </cfRule>
  </conditionalFormatting>
  <conditionalFormatting sqref="G1898:H1898 N1898">
    <cfRule type="expression" dxfId="444" priority="3519" stopIfTrue="1">
      <formula>LEN(TRIM(G1898))=0</formula>
    </cfRule>
  </conditionalFormatting>
  <conditionalFormatting sqref="G1899:H1899 N1899">
    <cfRule type="expression" dxfId="443" priority="3518" stopIfTrue="1">
      <formula>LEN(TRIM(G1899))=0</formula>
    </cfRule>
  </conditionalFormatting>
  <conditionalFormatting sqref="G1900:H1900 N1900">
    <cfRule type="expression" dxfId="442" priority="3463" stopIfTrue="1">
      <formula>LEN(TRIM(G1900))=0</formula>
    </cfRule>
  </conditionalFormatting>
  <conditionalFormatting sqref="G1901:H1901 N1901">
    <cfRule type="expression" dxfId="441" priority="3462" stopIfTrue="1">
      <formula>LEN(TRIM(G1901))=0</formula>
    </cfRule>
  </conditionalFormatting>
  <conditionalFormatting sqref="G1902:H1902 N1902">
    <cfRule type="expression" dxfId="440" priority="3461" stopIfTrue="1">
      <formula>LEN(TRIM(G1902))=0</formula>
    </cfRule>
  </conditionalFormatting>
  <conditionalFormatting sqref="G1903:H1903 N1903">
    <cfRule type="expression" dxfId="439" priority="3460" stopIfTrue="1">
      <formula>LEN(TRIM(G1903))=0</formula>
    </cfRule>
  </conditionalFormatting>
  <conditionalFormatting sqref="G1904:G1905 G1918 G1935 G2070:G2071 G2083 G2182">
    <cfRule type="expression" dxfId="438" priority="18" stopIfTrue="1">
      <formula>LEN(TRIM(G1904))=0</formula>
    </cfRule>
  </conditionalFormatting>
  <conditionalFormatting sqref="H1904 N1904">
    <cfRule type="expression" dxfId="437" priority="3459" stopIfTrue="1">
      <formula>LEN(TRIM(H1904))=0</formula>
    </cfRule>
  </conditionalFormatting>
  <conditionalFormatting sqref="H1905 N1905">
    <cfRule type="expression" dxfId="436" priority="3423" stopIfTrue="1">
      <formula>LEN(TRIM(H1905))=0</formula>
    </cfRule>
  </conditionalFormatting>
  <conditionalFormatting sqref="G1906:H1906 N1906">
    <cfRule type="expression" dxfId="435" priority="3458" stopIfTrue="1">
      <formula>LEN(TRIM(G1906))=0</formula>
    </cfRule>
  </conditionalFormatting>
  <conditionalFormatting sqref="H1907 N1907:N1908">
    <cfRule type="expression" dxfId="434" priority="3457" stopIfTrue="1">
      <formula>LEN(TRIM(H1907))=0</formula>
    </cfRule>
  </conditionalFormatting>
  <conditionalFormatting sqref="G1909:H1917 N1909:N1933 H1908 G1919:H1933 H1918">
    <cfRule type="expression" dxfId="433" priority="3456" stopIfTrue="1">
      <formula>LEN(TRIM(G1908))=0</formula>
    </cfRule>
  </conditionalFormatting>
  <conditionalFormatting sqref="G1934:H1934 N1934">
    <cfRule type="expression" dxfId="432" priority="3412" stopIfTrue="1">
      <formula>LEN(TRIM(G1934))=0</formula>
    </cfRule>
  </conditionalFormatting>
  <conditionalFormatting sqref="H1935 N1935">
    <cfRule type="expression" dxfId="431" priority="3411" stopIfTrue="1">
      <formula>LEN(TRIM(H1935))=0</formula>
    </cfRule>
  </conditionalFormatting>
  <conditionalFormatting sqref="G1936:H1936 N1936">
    <cfRule type="expression" dxfId="430" priority="3410" stopIfTrue="1">
      <formula>LEN(TRIM(G1936))=0</formula>
    </cfRule>
  </conditionalFormatting>
  <conditionalFormatting sqref="G1937:H1937 N1937">
    <cfRule type="expression" dxfId="429" priority="3409" stopIfTrue="1">
      <formula>LEN(TRIM(G1937))=0</formula>
    </cfRule>
  </conditionalFormatting>
  <conditionalFormatting sqref="G1938:H1938 N1938">
    <cfRule type="expression" dxfId="428" priority="3408" stopIfTrue="1">
      <formula>LEN(TRIM(G1938))=0</formula>
    </cfRule>
  </conditionalFormatting>
  <conditionalFormatting sqref="G1939:H1939 N1939">
    <cfRule type="expression" dxfId="427" priority="3407" stopIfTrue="1">
      <formula>LEN(TRIM(G1939))=0</formula>
    </cfRule>
  </conditionalFormatting>
  <conditionalFormatting sqref="G1940:H1940 N1940">
    <cfRule type="expression" dxfId="426" priority="3406" stopIfTrue="1">
      <formula>LEN(TRIM(G1940))=0</formula>
    </cfRule>
  </conditionalFormatting>
  <conditionalFormatting sqref="G1941:H1941 N1941">
    <cfRule type="expression" dxfId="425" priority="3405" stopIfTrue="1">
      <formula>LEN(TRIM(G1941))=0</formula>
    </cfRule>
  </conditionalFormatting>
  <conditionalFormatting sqref="G1942:H1942 N1942">
    <cfRule type="expression" dxfId="424" priority="3404" stopIfTrue="1">
      <formula>LEN(TRIM(G1942))=0</formula>
    </cfRule>
  </conditionalFormatting>
  <conditionalFormatting sqref="G1943:H1943 N1943">
    <cfRule type="expression" dxfId="423" priority="3352" stopIfTrue="1">
      <formula>LEN(TRIM(G1943))=0</formula>
    </cfRule>
  </conditionalFormatting>
  <conditionalFormatting sqref="G1944:H1944 N1944">
    <cfRule type="expression" dxfId="422" priority="3351" stopIfTrue="1">
      <formula>LEN(TRIM(G1944))=0</formula>
    </cfRule>
  </conditionalFormatting>
  <conditionalFormatting sqref="G1945:H1945 N1945">
    <cfRule type="expression" dxfId="421" priority="3350" stopIfTrue="1">
      <formula>LEN(TRIM(G1945))=0</formula>
    </cfRule>
  </conditionalFormatting>
  <conditionalFormatting sqref="G1946:H1946 N1946">
    <cfRule type="expression" dxfId="420" priority="3349" stopIfTrue="1">
      <formula>LEN(TRIM(G1946))=0</formula>
    </cfRule>
  </conditionalFormatting>
  <conditionalFormatting sqref="G1947:H1947 N1947">
    <cfRule type="expression" dxfId="419" priority="3348" stopIfTrue="1">
      <formula>LEN(TRIM(G1947))=0</formula>
    </cfRule>
  </conditionalFormatting>
  <conditionalFormatting sqref="G1948:H1948 N1948">
    <cfRule type="expression" dxfId="418" priority="3347" stopIfTrue="1">
      <formula>LEN(TRIM(G1948))=0</formula>
    </cfRule>
  </conditionalFormatting>
  <conditionalFormatting sqref="G1949:H1949 N1949">
    <cfRule type="expression" dxfId="417" priority="3346" stopIfTrue="1">
      <formula>LEN(TRIM(G1949))=0</formula>
    </cfRule>
  </conditionalFormatting>
  <conditionalFormatting sqref="G1950:H1950 N1950">
    <cfRule type="expression" dxfId="416" priority="3345" stopIfTrue="1">
      <formula>LEN(TRIM(G1950))=0</formula>
    </cfRule>
  </conditionalFormatting>
  <conditionalFormatting sqref="G1951:H1951 N1951">
    <cfRule type="expression" dxfId="415" priority="3344" stopIfTrue="1">
      <formula>LEN(TRIM(G1951))=0</formula>
    </cfRule>
  </conditionalFormatting>
  <conditionalFormatting sqref="G1952:H1952 N1952">
    <cfRule type="expression" dxfId="414" priority="3343" stopIfTrue="1">
      <formula>LEN(TRIM(G1952))=0</formula>
    </cfRule>
  </conditionalFormatting>
  <conditionalFormatting sqref="G1953:H1953 N1953">
    <cfRule type="expression" dxfId="413" priority="3342" stopIfTrue="1">
      <formula>LEN(TRIM(G1953))=0</formula>
    </cfRule>
  </conditionalFormatting>
  <conditionalFormatting sqref="G1954:H1954 N1954:N1955">
    <cfRule type="expression" dxfId="412" priority="3341" stopIfTrue="1">
      <formula>LEN(TRIM(G1954))=0</formula>
    </cfRule>
  </conditionalFormatting>
  <conditionalFormatting sqref="G1956:H1956 N1956">
    <cfRule type="expression" dxfId="411" priority="3339" stopIfTrue="1">
      <formula>LEN(TRIM(G1956))=0</formula>
    </cfRule>
  </conditionalFormatting>
  <conditionalFormatting sqref="G1957:H1957 N1957">
    <cfRule type="expression" dxfId="410" priority="3338" stopIfTrue="1">
      <formula>LEN(TRIM(G1957))=0</formula>
    </cfRule>
  </conditionalFormatting>
  <conditionalFormatting sqref="G1958:H1958 N1958">
    <cfRule type="expression" dxfId="409" priority="3337" stopIfTrue="1">
      <formula>LEN(TRIM(G1958))=0</formula>
    </cfRule>
  </conditionalFormatting>
  <conditionalFormatting sqref="G1959:H1959 N1959">
    <cfRule type="expression" dxfId="408" priority="3336" stopIfTrue="1">
      <formula>LEN(TRIM(G1959))=0</formula>
    </cfRule>
  </conditionalFormatting>
  <conditionalFormatting sqref="G1960:H1960 N1960">
    <cfRule type="expression" dxfId="407" priority="3335" stopIfTrue="1">
      <formula>LEN(TRIM(G1960))=0</formula>
    </cfRule>
  </conditionalFormatting>
  <conditionalFormatting sqref="G1961:H1961 N1961">
    <cfRule type="expression" dxfId="406" priority="3334" stopIfTrue="1">
      <formula>LEN(TRIM(G1961))=0</formula>
    </cfRule>
  </conditionalFormatting>
  <conditionalFormatting sqref="G1962:H1962 N1962 G1963">
    <cfRule type="expression" dxfId="405" priority="3333" stopIfTrue="1">
      <formula>LEN(TRIM(G1962))=0</formula>
    </cfRule>
  </conditionalFormatting>
  <conditionalFormatting sqref="H1963 N1963">
    <cfRule type="expression" dxfId="404" priority="3332" stopIfTrue="1">
      <formula>LEN(TRIM(H1963))=0</formula>
    </cfRule>
  </conditionalFormatting>
  <conditionalFormatting sqref="G1964:H1964 N1964">
    <cfRule type="expression" dxfId="403" priority="3331" stopIfTrue="1">
      <formula>LEN(TRIM(G1964))=0</formula>
    </cfRule>
  </conditionalFormatting>
  <conditionalFormatting sqref="G1965:H1965 N1965">
    <cfRule type="expression" dxfId="402" priority="3330" stopIfTrue="1">
      <formula>LEN(TRIM(G1965))=0</formula>
    </cfRule>
  </conditionalFormatting>
  <conditionalFormatting sqref="G1966:H1966 N1966">
    <cfRule type="expression" dxfId="401" priority="3329" stopIfTrue="1">
      <formula>LEN(TRIM(G1966))=0</formula>
    </cfRule>
  </conditionalFormatting>
  <conditionalFormatting sqref="G1967:H1967 N1967">
    <cfRule type="expression" dxfId="400" priority="3328" stopIfTrue="1">
      <formula>LEN(TRIM(G1967))=0</formula>
    </cfRule>
  </conditionalFormatting>
  <conditionalFormatting sqref="G1968:H1968 N1968">
    <cfRule type="expression" dxfId="399" priority="3327" stopIfTrue="1">
      <formula>LEN(TRIM(G1968))=0</formula>
    </cfRule>
  </conditionalFormatting>
  <conditionalFormatting sqref="G1969:H1969 N1969">
    <cfRule type="expression" dxfId="398" priority="3326" stopIfTrue="1">
      <formula>LEN(TRIM(G1969))=0</formula>
    </cfRule>
  </conditionalFormatting>
  <conditionalFormatting sqref="G1970:H1970 N1970">
    <cfRule type="expression" dxfId="397" priority="3325" stopIfTrue="1">
      <formula>LEN(TRIM(G1970))=0</formula>
    </cfRule>
  </conditionalFormatting>
  <conditionalFormatting sqref="G1971:H1971 N1971">
    <cfRule type="expression" dxfId="396" priority="3324" stopIfTrue="1">
      <formula>LEN(TRIM(G1971))=0</formula>
    </cfRule>
  </conditionalFormatting>
  <conditionalFormatting sqref="G1972:H1972 N1972">
    <cfRule type="expression" dxfId="395" priority="3323" stopIfTrue="1">
      <formula>LEN(TRIM(G1972))=0</formula>
    </cfRule>
  </conditionalFormatting>
  <conditionalFormatting sqref="G1973:H1973 N1973 G1974">
    <cfRule type="expression" dxfId="394" priority="3322" stopIfTrue="1">
      <formula>LEN(TRIM(G1973))=0</formula>
    </cfRule>
  </conditionalFormatting>
  <conditionalFormatting sqref="H1974 N1974">
    <cfRule type="expression" dxfId="393" priority="3321" stopIfTrue="1">
      <formula>LEN(TRIM(H1974))=0</formula>
    </cfRule>
  </conditionalFormatting>
  <conditionalFormatting sqref="G1975:H1975 N1975">
    <cfRule type="expression" dxfId="392" priority="3320" stopIfTrue="1">
      <formula>LEN(TRIM(G1975))=0</formula>
    </cfRule>
  </conditionalFormatting>
  <conditionalFormatting sqref="G1976:H1976 N1976">
    <cfRule type="expression" dxfId="391" priority="3319" stopIfTrue="1">
      <formula>LEN(TRIM(G1976))=0</formula>
    </cfRule>
  </conditionalFormatting>
  <conditionalFormatting sqref="G1977:H1977 N1977">
    <cfRule type="expression" dxfId="390" priority="3318" stopIfTrue="1">
      <formula>LEN(TRIM(G1977))=0</formula>
    </cfRule>
  </conditionalFormatting>
  <conditionalFormatting sqref="G1978:H1978 N1978">
    <cfRule type="expression" dxfId="389" priority="3317" stopIfTrue="1">
      <formula>LEN(TRIM(G1978))=0</formula>
    </cfRule>
  </conditionalFormatting>
  <conditionalFormatting sqref="G1979:H1979 N1979">
    <cfRule type="expression" dxfId="388" priority="3316" stopIfTrue="1">
      <formula>LEN(TRIM(G1979))=0</formula>
    </cfRule>
  </conditionalFormatting>
  <conditionalFormatting sqref="G1980:H1980 N1980">
    <cfRule type="expression" dxfId="387" priority="3315" stopIfTrue="1">
      <formula>LEN(TRIM(G1980))=0</formula>
    </cfRule>
  </conditionalFormatting>
  <conditionalFormatting sqref="G1981:H1981 N1981">
    <cfRule type="expression" dxfId="386" priority="3314" stopIfTrue="1">
      <formula>LEN(TRIM(G1981))=0</formula>
    </cfRule>
  </conditionalFormatting>
  <conditionalFormatting sqref="G1982:H1982 N1982">
    <cfRule type="expression" dxfId="385" priority="3313" stopIfTrue="1">
      <formula>LEN(TRIM(G1982))=0</formula>
    </cfRule>
  </conditionalFormatting>
  <conditionalFormatting sqref="G1983:H1983 N1983">
    <cfRule type="expression" dxfId="384" priority="3312" stopIfTrue="1">
      <formula>LEN(TRIM(G1983))=0</formula>
    </cfRule>
  </conditionalFormatting>
  <conditionalFormatting sqref="G1984:H1984 N1984">
    <cfRule type="expression" dxfId="383" priority="3311" stopIfTrue="1">
      <formula>LEN(TRIM(G1984))=0</formula>
    </cfRule>
  </conditionalFormatting>
  <conditionalFormatting sqref="G1985:H1985 N1985">
    <cfRule type="expression" dxfId="382" priority="3310" stopIfTrue="1">
      <formula>LEN(TRIM(G1985))=0</formula>
    </cfRule>
  </conditionalFormatting>
  <conditionalFormatting sqref="G1986:H1986 N1986">
    <cfRule type="expression" dxfId="381" priority="3309" stopIfTrue="1">
      <formula>LEN(TRIM(G1986))=0</formula>
    </cfRule>
  </conditionalFormatting>
  <conditionalFormatting sqref="G1987:H1987 N1987">
    <cfRule type="expression" dxfId="380" priority="3255" stopIfTrue="1">
      <formula>LEN(TRIM(G1987))=0</formula>
    </cfRule>
  </conditionalFormatting>
  <conditionalFormatting sqref="G1988:H1988 N1988">
    <cfRule type="expression" dxfId="379" priority="3254" stopIfTrue="1">
      <formula>LEN(TRIM(G1988))=0</formula>
    </cfRule>
  </conditionalFormatting>
  <conditionalFormatting sqref="G1989:H1989 N1989">
    <cfRule type="expression" dxfId="378" priority="3253" stopIfTrue="1">
      <formula>LEN(TRIM(G1989))=0</formula>
    </cfRule>
  </conditionalFormatting>
  <conditionalFormatting sqref="G1990:H1990 N1990">
    <cfRule type="expression" dxfId="377" priority="3252" stopIfTrue="1">
      <formula>LEN(TRIM(G1990))=0</formula>
    </cfRule>
  </conditionalFormatting>
  <conditionalFormatting sqref="G1991:H1991 N1991">
    <cfRule type="expression" dxfId="376" priority="3251" stopIfTrue="1">
      <formula>LEN(TRIM(G1991))=0</formula>
    </cfRule>
  </conditionalFormatting>
  <conditionalFormatting sqref="G1992:H1992 N1992">
    <cfRule type="expression" dxfId="375" priority="3250" stopIfTrue="1">
      <formula>LEN(TRIM(G1992))=0</formula>
    </cfRule>
  </conditionalFormatting>
  <conditionalFormatting sqref="G1993:H1993 N1993">
    <cfRule type="expression" dxfId="374" priority="3249" stopIfTrue="1">
      <formula>LEN(TRIM(G1993))=0</formula>
    </cfRule>
  </conditionalFormatting>
  <conditionalFormatting sqref="G1994:H2032 N1994:N2032">
    <cfRule type="expression" dxfId="373" priority="3248" stopIfTrue="1">
      <formula>LEN(TRIM(G1994))=0</formula>
    </cfRule>
  </conditionalFormatting>
  <conditionalFormatting sqref="G2033:H2033 N2033">
    <cfRule type="expression" dxfId="372" priority="3201" stopIfTrue="1">
      <formula>LEN(TRIM(G2033))=0</formula>
    </cfRule>
  </conditionalFormatting>
  <conditionalFormatting sqref="G2034:H2034 N2034">
    <cfRule type="expression" dxfId="371" priority="3200" stopIfTrue="1">
      <formula>LEN(TRIM(G2034))=0</formula>
    </cfRule>
  </conditionalFormatting>
  <conditionalFormatting sqref="C2035:C2038 C2040:C2042 G2035:H2038 G2040:H2042 N2035:N2038 N2040:N2042">
    <cfRule type="expression" dxfId="370" priority="3190" stopIfTrue="1">
      <formula>LEN(TRIM(C2035))=0</formula>
    </cfRule>
  </conditionalFormatting>
  <conditionalFormatting sqref="E2035:E2038 E2040:E2042">
    <cfRule type="expression" dxfId="369" priority="3191" stopIfTrue="1">
      <formula>ISERROR(E2035)</formula>
    </cfRule>
  </conditionalFormatting>
  <conditionalFormatting sqref="C2039 G2039:H2039 N2039">
    <cfRule type="expression" dxfId="368" priority="3188" stopIfTrue="1">
      <formula>LEN(TRIM(C2039))=0</formula>
    </cfRule>
  </conditionalFormatting>
  <conditionalFormatting sqref="C2043:C2044 C2046 C2048 C2050:C2052 G2043:H2044 G2046:H2046 G2048:H2048 G2050:H2052 N2043:N2044 N2046 N2048 N2050:N2052 C2054:C2055 G2054:H2055 N2054:N2055">
    <cfRule type="expression" dxfId="367" priority="3186" stopIfTrue="1">
      <formula>LEN(TRIM(C2043))=0</formula>
    </cfRule>
  </conditionalFormatting>
  <conditionalFormatting sqref="E2043:E2044 E2046 E2048 E2050:E2052 E2054:E2055">
    <cfRule type="expression" dxfId="366" priority="3187" stopIfTrue="1">
      <formula>ISERROR(E2043)</formula>
    </cfRule>
  </conditionalFormatting>
  <conditionalFormatting sqref="C2045 G2045:H2045 N2045">
    <cfRule type="expression" dxfId="365" priority="3184" stopIfTrue="1">
      <formula>LEN(TRIM(C2045))=0</formula>
    </cfRule>
  </conditionalFormatting>
  <conditionalFormatting sqref="C2047 G2047:H2047 N2047">
    <cfRule type="expression" dxfId="364" priority="3180" stopIfTrue="1">
      <formula>LEN(TRIM(C2047))=0</formula>
    </cfRule>
  </conditionalFormatting>
  <conditionalFormatting sqref="C2049 G2049:H2049 N2049">
    <cfRule type="expression" dxfId="363" priority="3178" stopIfTrue="1">
      <formula>LEN(TRIM(C2049))=0</formula>
    </cfRule>
  </conditionalFormatting>
  <conditionalFormatting sqref="C2053 G2053:H2053 N2053">
    <cfRule type="expression" dxfId="362" priority="3182" stopIfTrue="1">
      <formula>LEN(TRIM(C2053))=0</formula>
    </cfRule>
  </conditionalFormatting>
  <conditionalFormatting sqref="G2056:H2056 N2056">
    <cfRule type="expression" dxfId="361" priority="3195" stopIfTrue="1">
      <formula>LEN(TRIM(G2056))=0</formula>
    </cfRule>
  </conditionalFormatting>
  <conditionalFormatting sqref="C2057 C2059:C2062 G2057:H2057 G2059:H2062 N2057 N2059:N2062">
    <cfRule type="expression" dxfId="360" priority="3176" stopIfTrue="1">
      <formula>LEN(TRIM(C2057))=0</formula>
    </cfRule>
  </conditionalFormatting>
  <conditionalFormatting sqref="E2057 E2059:E2062">
    <cfRule type="expression" dxfId="359" priority="3177" stopIfTrue="1">
      <formula>ISERROR(E2057)</formula>
    </cfRule>
  </conditionalFormatting>
  <conditionalFormatting sqref="C2058 G2058:H2058 N2058">
    <cfRule type="expression" dxfId="358" priority="3161" stopIfTrue="1">
      <formula>LEN(TRIM(C2058))=0</formula>
    </cfRule>
  </conditionalFormatting>
  <conditionalFormatting sqref="C2063:C2069 G2063:H2065 N2063:N2069 G2067:H2069 H2066">
    <cfRule type="expression" dxfId="357" priority="3174" stopIfTrue="1">
      <formula>LEN(TRIM(C2063))=0</formula>
    </cfRule>
  </conditionalFormatting>
  <conditionalFormatting sqref="H2070 N2070:N2071">
    <cfRule type="expression" dxfId="356" priority="3194" stopIfTrue="1">
      <formula>LEN(TRIM(H2070))=0</formula>
    </cfRule>
  </conditionalFormatting>
  <conditionalFormatting sqref="G2072:H2072 N2072">
    <cfRule type="expression" dxfId="355" priority="3168" stopIfTrue="1">
      <formula>LEN(TRIM(G2072))=0</formula>
    </cfRule>
  </conditionalFormatting>
  <conditionalFormatting sqref="G2073:H2073 N2073">
    <cfRule type="expression" dxfId="354" priority="3167" stopIfTrue="1">
      <formula>LEN(TRIM(G2073))=0</formula>
    </cfRule>
  </conditionalFormatting>
  <conditionalFormatting sqref="G2074:H2074 N2074">
    <cfRule type="expression" dxfId="353" priority="3166" stopIfTrue="1">
      <formula>LEN(TRIM(G2074))=0</formula>
    </cfRule>
  </conditionalFormatting>
  <conditionalFormatting sqref="C2085 H2085 N2085">
    <cfRule type="expression" dxfId="352" priority="3136" stopIfTrue="1">
      <formula>LEN(TRIM(C2085))=0</formula>
    </cfRule>
  </conditionalFormatting>
  <conditionalFormatting sqref="G2085 G2285">
    <cfRule type="expression" dxfId="351" priority="9" stopIfTrue="1">
      <formula>LEN(TRIM(G2085))=0</formula>
    </cfRule>
  </conditionalFormatting>
  <conditionalFormatting sqref="C2086 G2086:H2086 N2086 C2088 G2088:H2088 N2088 C2091 G2091:H2091 N2091 C2093:C2094 G2093:H2094 N2093:N2094">
    <cfRule type="expression" dxfId="350" priority="3154" stopIfTrue="1">
      <formula>LEN(TRIM(C2086))=0</formula>
    </cfRule>
  </conditionalFormatting>
  <conditionalFormatting sqref="E2086 E2088 E2091 E2093:E2094">
    <cfRule type="expression" dxfId="349" priority="3155" stopIfTrue="1">
      <formula>ISERROR(E2086)</formula>
    </cfRule>
  </conditionalFormatting>
  <conditionalFormatting sqref="C2087 G2087:H2087 N2087">
    <cfRule type="expression" dxfId="348" priority="3152" stopIfTrue="1">
      <formula>LEN(TRIM(C2087))=0</formula>
    </cfRule>
  </conditionalFormatting>
  <conditionalFormatting sqref="C2089 G2089:H2089 N2089">
    <cfRule type="expression" dxfId="347" priority="3148" stopIfTrue="1">
      <formula>LEN(TRIM(C2089))=0</formula>
    </cfRule>
  </conditionalFormatting>
  <conditionalFormatting sqref="C2090 G2090:H2090 N2090">
    <cfRule type="expression" dxfId="346" priority="3146" stopIfTrue="1">
      <formula>LEN(TRIM(C2090))=0</formula>
    </cfRule>
  </conditionalFormatting>
  <conditionalFormatting sqref="C2092 G2092:H2092 N2092">
    <cfRule type="expression" dxfId="345" priority="3150" stopIfTrue="1">
      <formula>LEN(TRIM(C2092))=0</formula>
    </cfRule>
  </conditionalFormatting>
  <conditionalFormatting sqref="C2095 G2095:H2095 N2095">
    <cfRule type="expression" dxfId="344" priority="3138" stopIfTrue="1">
      <formula>LEN(TRIM(C2095))=0</formula>
    </cfRule>
  </conditionalFormatting>
  <conditionalFormatting sqref="G2096:H2096 N2096">
    <cfRule type="expression" dxfId="343" priority="3159" stopIfTrue="1">
      <formula>LEN(TRIM(G2096))=0</formula>
    </cfRule>
  </conditionalFormatting>
  <conditionalFormatting sqref="C2097 G2097:H2097 N2097:N2102 C2099:C2101 G2099:H2101 C2104 G2104:H2104 N2104 G2102">
    <cfRule type="expression" dxfId="342" priority="3144" stopIfTrue="1">
      <formula>LEN(TRIM(C2097))=0</formula>
    </cfRule>
  </conditionalFormatting>
  <conditionalFormatting sqref="E2097 E2099:E2102 E2104">
    <cfRule type="expression" dxfId="341" priority="3145" stopIfTrue="1">
      <formula>ISERROR(E2097)</formula>
    </cfRule>
  </conditionalFormatting>
  <conditionalFormatting sqref="C2098 G2098:H2098">
    <cfRule type="expression" dxfId="340" priority="3133" stopIfTrue="1">
      <formula>LEN(TRIM(C2098))=0</formula>
    </cfRule>
  </conditionalFormatting>
  <conditionalFormatting sqref="C2102 H2102">
    <cfRule type="expression" dxfId="339" priority="3135" stopIfTrue="1">
      <formula>LEN(TRIM(C2102))=0</formula>
    </cfRule>
  </conditionalFormatting>
  <conditionalFormatting sqref="C2105:C2107 C2109:C2111 G2105:H2107 G2109:H2111 N2105:N2107 N2109:N2111">
    <cfRule type="expression" dxfId="338" priority="3142" stopIfTrue="1">
      <formula>LEN(TRIM(C2105))=0</formula>
    </cfRule>
  </conditionalFormatting>
  <conditionalFormatting sqref="E2105:E2107 E2109:E2111">
    <cfRule type="expression" dxfId="337" priority="3143" stopIfTrue="1">
      <formula>ISERROR(E2105)</formula>
    </cfRule>
  </conditionalFormatting>
  <conditionalFormatting sqref="C2108 G2108:H2108 N2108">
    <cfRule type="expression" dxfId="336" priority="3131" stopIfTrue="1">
      <formula>LEN(TRIM(C2108))=0</formula>
    </cfRule>
  </conditionalFormatting>
  <conditionalFormatting sqref="C2112 G2112:H2112 N2112">
    <cfRule type="expression" dxfId="335" priority="2518" stopIfTrue="1">
      <formula>LEN(TRIM(C2112))=0</formula>
    </cfRule>
  </conditionalFormatting>
  <conditionalFormatting sqref="C2113 G2113:H2113 N2113">
    <cfRule type="expression" dxfId="334" priority="2517" stopIfTrue="1">
      <formula>LEN(TRIM(C2113))=0</formula>
    </cfRule>
  </conditionalFormatting>
  <conditionalFormatting sqref="C2114 G2114:H2114 N2114">
    <cfRule type="expression" dxfId="333" priority="2516" stopIfTrue="1">
      <formula>LEN(TRIM(C2114))=0</formula>
    </cfRule>
  </conditionalFormatting>
  <conditionalFormatting sqref="C2115 G2115:H2115 N2115">
    <cfRule type="expression" dxfId="332" priority="2515" stopIfTrue="1">
      <formula>LEN(TRIM(C2115))=0</formula>
    </cfRule>
  </conditionalFormatting>
  <conditionalFormatting sqref="C2116 G2116:H2116 N2116">
    <cfRule type="expression" dxfId="331" priority="2514" stopIfTrue="1">
      <formula>LEN(TRIM(C2116))=0</formula>
    </cfRule>
  </conditionalFormatting>
  <conditionalFormatting sqref="C2117 G2117:H2117 N2117">
    <cfRule type="expression" dxfId="330" priority="2513" stopIfTrue="1">
      <formula>LEN(TRIM(C2117))=0</formula>
    </cfRule>
  </conditionalFormatting>
  <conditionalFormatting sqref="C2118 G2118:H2118 N2118">
    <cfRule type="expression" dxfId="329" priority="2512" stopIfTrue="1">
      <formula>LEN(TRIM(C2118))=0</formula>
    </cfRule>
  </conditionalFormatting>
  <conditionalFormatting sqref="C2119 G2119:H2119 N2119">
    <cfRule type="expression" dxfId="328" priority="3102" stopIfTrue="1">
      <formula>LEN(TRIM(C2119))=0</formula>
    </cfRule>
  </conditionalFormatting>
  <conditionalFormatting sqref="C2120 G2120:H2120 N2120">
    <cfRule type="expression" dxfId="327" priority="3092" stopIfTrue="1">
      <formula>LEN(TRIM(C2120))=0</formula>
    </cfRule>
  </conditionalFormatting>
  <conditionalFormatting sqref="C2121 G2121:H2121 N2121">
    <cfRule type="expression" dxfId="326" priority="3101" stopIfTrue="1">
      <formula>LEN(TRIM(C2121))=0</formula>
    </cfRule>
  </conditionalFormatting>
  <conditionalFormatting sqref="C2122 G2122:H2122 N2122">
    <cfRule type="expression" dxfId="325" priority="3100" stopIfTrue="1">
      <formula>LEN(TRIM(C2122))=0</formula>
    </cfRule>
  </conditionalFormatting>
  <conditionalFormatting sqref="C2123 G2123:H2123 N2123">
    <cfRule type="expression" dxfId="324" priority="3095" stopIfTrue="1">
      <formula>LEN(TRIM(C2123))=0</formula>
    </cfRule>
  </conditionalFormatting>
  <conditionalFormatting sqref="C2124 G2124:H2124 N2124">
    <cfRule type="expression" dxfId="323" priority="3094" stopIfTrue="1">
      <formula>LEN(TRIM(C2124))=0</formula>
    </cfRule>
  </conditionalFormatting>
  <conditionalFormatting sqref="C2125 G2125:H2125 N2125">
    <cfRule type="expression" dxfId="322" priority="3099" stopIfTrue="1">
      <formula>LEN(TRIM(C2125))=0</formula>
    </cfRule>
  </conditionalFormatting>
  <conditionalFormatting sqref="C2126 G2126:H2126 N2126">
    <cfRule type="expression" dxfId="321" priority="3098" stopIfTrue="1">
      <formula>LEN(TRIM(C2126))=0</formula>
    </cfRule>
  </conditionalFormatting>
  <conditionalFormatting sqref="C2127 G2127:H2127 N2127 C2130:C2131 G2130:H2131 N2130:N2131 C2133 G2133:H2133 N2133 C2136 G2136:H2136 N2136">
    <cfRule type="expression" dxfId="320" priority="3124" stopIfTrue="1">
      <formula>LEN(TRIM(C2127))=0</formula>
    </cfRule>
  </conditionalFormatting>
  <conditionalFormatting sqref="E2127 E2130:E2131 E2133 E2136">
    <cfRule type="expression" dxfId="319" priority="3125" stopIfTrue="1">
      <formula>ISERROR(E2127)</formula>
    </cfRule>
  </conditionalFormatting>
  <conditionalFormatting sqref="C2128 G2128:H2128 N2128">
    <cfRule type="expression" dxfId="318" priority="3122" stopIfTrue="1">
      <formula>LEN(TRIM(C2128))=0</formula>
    </cfRule>
  </conditionalFormatting>
  <conditionalFormatting sqref="C2129 G2129:H2129 N2129">
    <cfRule type="expression" dxfId="317" priority="3118" stopIfTrue="1">
      <formula>LEN(TRIM(C2129))=0</formula>
    </cfRule>
  </conditionalFormatting>
  <conditionalFormatting sqref="C2132 G2132:H2132 N2132">
    <cfRule type="expression" dxfId="316" priority="3079" stopIfTrue="1">
      <formula>LEN(TRIM(C2132))=0</formula>
    </cfRule>
  </conditionalFormatting>
  <conditionalFormatting sqref="C2134 G2134:H2134 N2134">
    <cfRule type="expression" dxfId="315" priority="3120" stopIfTrue="1">
      <formula>LEN(TRIM(C2134))=0</formula>
    </cfRule>
  </conditionalFormatting>
  <conditionalFormatting sqref="C2135 G2135:H2135 N2135">
    <cfRule type="expression" dxfId="314" priority="3090" stopIfTrue="1">
      <formula>LEN(TRIM(C2135))=0</formula>
    </cfRule>
  </conditionalFormatting>
  <conditionalFormatting sqref="G2137:H2137 N2137">
    <cfRule type="expression" dxfId="313" priority="3129" stopIfTrue="1">
      <formula>LEN(TRIM(G2137))=0</formula>
    </cfRule>
  </conditionalFormatting>
  <conditionalFormatting sqref="G2138:H2138 N2138">
    <cfRule type="expression" dxfId="312" priority="3085" stopIfTrue="1">
      <formula>LEN(TRIM(G2138))=0</formula>
    </cfRule>
  </conditionalFormatting>
  <conditionalFormatting sqref="G2139:H2139 N2139">
    <cfRule type="expression" dxfId="311" priority="3088" stopIfTrue="1">
      <formula>LEN(TRIM(G2139))=0</formula>
    </cfRule>
  </conditionalFormatting>
  <conditionalFormatting sqref="G2140:H2140 N2140">
    <cfRule type="expression" dxfId="310" priority="3082" stopIfTrue="1">
      <formula>LEN(TRIM(G2140))=0</formula>
    </cfRule>
  </conditionalFormatting>
  <conditionalFormatting sqref="N2141:N2143 C2142:C2143 C2145 G2142:H2143 G2145:H2145 N2145 C2147 G2147:H2147 N2147">
    <cfRule type="expression" dxfId="309" priority="3116" stopIfTrue="1">
      <formula>LEN(TRIM(C2141))=0</formula>
    </cfRule>
  </conditionalFormatting>
  <conditionalFormatting sqref="C2141 G2141:H2141">
    <cfRule type="expression" dxfId="308" priority="3110" stopIfTrue="1">
      <formula>LEN(TRIM(C2141))=0</formula>
    </cfRule>
  </conditionalFormatting>
  <conditionalFormatting sqref="E2142:E2143 E2145 E2147">
    <cfRule type="expression" dxfId="307" priority="3117" stopIfTrue="1">
      <formula>ISERROR(E2142)</formula>
    </cfRule>
  </conditionalFormatting>
  <conditionalFormatting sqref="C2144 G2144:H2144 N2144">
    <cfRule type="expression" dxfId="306" priority="3077" stopIfTrue="1">
      <formula>LEN(TRIM(C2144))=0</formula>
    </cfRule>
  </conditionalFormatting>
  <conditionalFormatting sqref="C2148:C2154 G2148:H2154 N2148:N2155">
    <cfRule type="expression" dxfId="305" priority="3114" stopIfTrue="1">
      <formula>LEN(TRIM(C2148))=0</formula>
    </cfRule>
  </conditionalFormatting>
  <conditionalFormatting sqref="C2155 G2155:H2155">
    <cfRule type="expression" dxfId="304" priority="3108" stopIfTrue="1">
      <formula>LEN(TRIM(C2155))=0</formula>
    </cfRule>
  </conditionalFormatting>
  <conditionalFormatting sqref="C2156 G2156:H2156">
    <cfRule type="expression" dxfId="303" priority="3074" stopIfTrue="1">
      <formula>LEN(TRIM(C2156))=0</formula>
    </cfRule>
  </conditionalFormatting>
  <conditionalFormatting sqref="C2157 G2157:H2157">
    <cfRule type="expression" dxfId="302" priority="2749" stopIfTrue="1">
      <formula>LEN(TRIM(C2157))=0</formula>
    </cfRule>
  </conditionalFormatting>
  <conditionalFormatting sqref="C2158 G2158:H2158">
    <cfRule type="expression" dxfId="301" priority="2748" stopIfTrue="1">
      <formula>LEN(TRIM(C2158))=0</formula>
    </cfRule>
  </conditionalFormatting>
  <conditionalFormatting sqref="C2159 G2159:H2159">
    <cfRule type="expression" dxfId="300" priority="2747" stopIfTrue="1">
      <formula>LEN(TRIM(C2159))=0</formula>
    </cfRule>
  </conditionalFormatting>
  <conditionalFormatting sqref="C2160 G2160:H2160">
    <cfRule type="expression" dxfId="299" priority="2746" stopIfTrue="1">
      <formula>LEN(TRIM(C2160))=0</formula>
    </cfRule>
  </conditionalFormatting>
  <conditionalFormatting sqref="C2161 G2161:H2161">
    <cfRule type="expression" dxfId="298" priority="2745" stopIfTrue="1">
      <formula>LEN(TRIM(C2161))=0</formula>
    </cfRule>
  </conditionalFormatting>
  <conditionalFormatting sqref="C2162 G2162:H2162">
    <cfRule type="expression" dxfId="297" priority="2744" stopIfTrue="1">
      <formula>LEN(TRIM(C2162))=0</formula>
    </cfRule>
  </conditionalFormatting>
  <conditionalFormatting sqref="C2163 G2163:H2163">
    <cfRule type="expression" dxfId="296" priority="2743" stopIfTrue="1">
      <formula>LEN(TRIM(C2163))=0</formula>
    </cfRule>
  </conditionalFormatting>
  <conditionalFormatting sqref="C2164 G2164:H2164">
    <cfRule type="expression" dxfId="295" priority="2742" stopIfTrue="1">
      <formula>LEN(TRIM(C2164))=0</formula>
    </cfRule>
  </conditionalFormatting>
  <conditionalFormatting sqref="C2165 G2165:H2165">
    <cfRule type="expression" dxfId="294" priority="2741" stopIfTrue="1">
      <formula>LEN(TRIM(C2165))=0</formula>
    </cfRule>
  </conditionalFormatting>
  <conditionalFormatting sqref="C2166 G2166:H2166">
    <cfRule type="expression" dxfId="293" priority="2740" stopIfTrue="1">
      <formula>LEN(TRIM(C2166))=0</formula>
    </cfRule>
  </conditionalFormatting>
  <conditionalFormatting sqref="C2167 G2167:H2167">
    <cfRule type="expression" dxfId="292" priority="2739" stopIfTrue="1">
      <formula>LEN(TRIM(C2167))=0</formula>
    </cfRule>
  </conditionalFormatting>
  <conditionalFormatting sqref="C2168 G2168:H2168">
    <cfRule type="expression" dxfId="291" priority="2738" stopIfTrue="1">
      <formula>LEN(TRIM(C2168))=0</formula>
    </cfRule>
  </conditionalFormatting>
  <conditionalFormatting sqref="C2169 G2169:H2169">
    <cfRule type="expression" dxfId="290" priority="2737" stopIfTrue="1">
      <formula>LEN(TRIM(C2169))=0</formula>
    </cfRule>
  </conditionalFormatting>
  <conditionalFormatting sqref="C2170 G2170:H2170">
    <cfRule type="expression" dxfId="289" priority="2736" stopIfTrue="1">
      <formula>LEN(TRIM(C2170))=0</formula>
    </cfRule>
  </conditionalFormatting>
  <conditionalFormatting sqref="C2171 G2171:H2171">
    <cfRule type="expression" dxfId="288" priority="2735" stopIfTrue="1">
      <formula>LEN(TRIM(C2171))=0</formula>
    </cfRule>
  </conditionalFormatting>
  <conditionalFormatting sqref="C2172 G2172:H2172">
    <cfRule type="expression" dxfId="287" priority="2734" stopIfTrue="1">
      <formula>LEN(TRIM(C2172))=0</formula>
    </cfRule>
  </conditionalFormatting>
  <conditionalFormatting sqref="C2173 G2173:H2173">
    <cfRule type="expression" dxfId="286" priority="2733" stopIfTrue="1">
      <formula>LEN(TRIM(C2173))=0</formula>
    </cfRule>
  </conditionalFormatting>
  <conditionalFormatting sqref="C2174 G2174:H2174">
    <cfRule type="expression" dxfId="285" priority="2732" stopIfTrue="1">
      <formula>LEN(TRIM(C2174))=0</formula>
    </cfRule>
  </conditionalFormatting>
  <conditionalFormatting sqref="C2175 G2175:H2175">
    <cfRule type="expression" dxfId="284" priority="2731" stopIfTrue="1">
      <formula>LEN(TRIM(C2175))=0</formula>
    </cfRule>
  </conditionalFormatting>
  <conditionalFormatting sqref="C2176 G2176:H2176">
    <cfRule type="expression" dxfId="283" priority="2730" stopIfTrue="1">
      <formula>LEN(TRIM(C2176))=0</formula>
    </cfRule>
  </conditionalFormatting>
  <conditionalFormatting sqref="C2177 G2177:H2177">
    <cfRule type="expression" dxfId="282" priority="2729" stopIfTrue="1">
      <formula>LEN(TRIM(C2177))=0</formula>
    </cfRule>
  </conditionalFormatting>
  <conditionalFormatting sqref="C2178 G2178:H2178">
    <cfRule type="expression" dxfId="281" priority="2728" stopIfTrue="1">
      <formula>LEN(TRIM(C2178))=0</formula>
    </cfRule>
  </conditionalFormatting>
  <conditionalFormatting sqref="C2179 G2179:H2179">
    <cfRule type="expression" dxfId="280" priority="2727" stopIfTrue="1">
      <formula>LEN(TRIM(C2179))=0</formula>
    </cfRule>
  </conditionalFormatting>
  <conditionalFormatting sqref="C2180 G2180:H2180">
    <cfRule type="expression" dxfId="279" priority="2726" stopIfTrue="1">
      <formula>LEN(TRIM(C2180))=0</formula>
    </cfRule>
  </conditionalFormatting>
  <conditionalFormatting sqref="C2181 G2181:H2181">
    <cfRule type="expression" dxfId="278" priority="2725" stopIfTrue="1">
      <formula>LEN(TRIM(C2181))=0</formula>
    </cfRule>
  </conditionalFormatting>
  <conditionalFormatting sqref="C2182 H2182">
    <cfRule type="expression" dxfId="277" priority="2724" stopIfTrue="1">
      <formula>LEN(TRIM(C2182))=0</formula>
    </cfRule>
  </conditionalFormatting>
  <conditionalFormatting sqref="C2183 G2183:H2183">
    <cfRule type="expression" dxfId="276" priority="2723" stopIfTrue="1">
      <formula>LEN(TRIM(C2183))=0</formula>
    </cfRule>
  </conditionalFormatting>
  <conditionalFormatting sqref="C2184 G2184:H2184">
    <cfRule type="expression" dxfId="275" priority="2722" stopIfTrue="1">
      <formula>LEN(TRIM(C2184))=0</formula>
    </cfRule>
  </conditionalFormatting>
  <conditionalFormatting sqref="C2185 G2185:H2185">
    <cfRule type="expression" dxfId="274" priority="2721" stopIfTrue="1">
      <formula>LEN(TRIM(C2185))=0</formula>
    </cfRule>
  </conditionalFormatting>
  <conditionalFormatting sqref="C2186 G2186:H2186">
    <cfRule type="expression" dxfId="273" priority="2720" stopIfTrue="1">
      <formula>LEN(TRIM(C2186))=0</formula>
    </cfRule>
  </conditionalFormatting>
  <conditionalFormatting sqref="C2187 G2187:H2187">
    <cfRule type="expression" dxfId="272" priority="2719" stopIfTrue="1">
      <formula>LEN(TRIM(C2187))=0</formula>
    </cfRule>
  </conditionalFormatting>
  <conditionalFormatting sqref="C2188 G2188:H2188">
    <cfRule type="expression" dxfId="271" priority="2718" stopIfTrue="1">
      <formula>LEN(TRIM(C2188))=0</formula>
    </cfRule>
  </conditionalFormatting>
  <conditionalFormatting sqref="C2189 G2189:H2189">
    <cfRule type="expression" dxfId="270" priority="2717" stopIfTrue="1">
      <formula>LEN(TRIM(C2189))=0</formula>
    </cfRule>
  </conditionalFormatting>
  <conditionalFormatting sqref="C2190 G2190:H2190">
    <cfRule type="expression" dxfId="269" priority="2716" stopIfTrue="1">
      <formula>LEN(TRIM(C2190))=0</formula>
    </cfRule>
  </conditionalFormatting>
  <conditionalFormatting sqref="C2191 G2191:H2191">
    <cfRule type="expression" dxfId="268" priority="2715" stopIfTrue="1">
      <formula>LEN(TRIM(C2191))=0</formula>
    </cfRule>
  </conditionalFormatting>
  <conditionalFormatting sqref="C2192 G2192:H2192">
    <cfRule type="expression" dxfId="267" priority="2714" stopIfTrue="1">
      <formula>LEN(TRIM(C2192))=0</formula>
    </cfRule>
  </conditionalFormatting>
  <conditionalFormatting sqref="C2193 G2193:H2193">
    <cfRule type="expression" dxfId="266" priority="2713" stopIfTrue="1">
      <formula>LEN(TRIM(C2193))=0</formula>
    </cfRule>
  </conditionalFormatting>
  <conditionalFormatting sqref="C2194 G2194:H2194">
    <cfRule type="expression" dxfId="265" priority="2712" stopIfTrue="1">
      <formula>LEN(TRIM(C2194))=0</formula>
    </cfRule>
  </conditionalFormatting>
  <conditionalFormatting sqref="C2195 G2195:H2195">
    <cfRule type="expression" dxfId="264" priority="2711" stopIfTrue="1">
      <formula>LEN(TRIM(C2195))=0</formula>
    </cfRule>
  </conditionalFormatting>
  <conditionalFormatting sqref="C2196 G2196:H2196">
    <cfRule type="expression" dxfId="263" priority="2710" stopIfTrue="1">
      <formula>LEN(TRIM(C2196))=0</formula>
    </cfRule>
  </conditionalFormatting>
  <conditionalFormatting sqref="C2197 G2197:H2197">
    <cfRule type="expression" dxfId="262" priority="2709" stopIfTrue="1">
      <formula>LEN(TRIM(C2197))=0</formula>
    </cfRule>
  </conditionalFormatting>
  <conditionalFormatting sqref="C2198 G2198:H2198">
    <cfRule type="expression" dxfId="261" priority="2708" stopIfTrue="1">
      <formula>LEN(TRIM(C2198))=0</formula>
    </cfRule>
  </conditionalFormatting>
  <conditionalFormatting sqref="C2199 G2199:H2199">
    <cfRule type="expression" dxfId="260" priority="2707" stopIfTrue="1">
      <formula>LEN(TRIM(C2199))=0</formula>
    </cfRule>
  </conditionalFormatting>
  <conditionalFormatting sqref="C2200 G2200:H2200">
    <cfRule type="expression" dxfId="259" priority="2706" stopIfTrue="1">
      <formula>LEN(TRIM(C2200))=0</formula>
    </cfRule>
  </conditionalFormatting>
  <conditionalFormatting sqref="C2201 G2201:H2201">
    <cfRule type="expression" dxfId="258" priority="2705" stopIfTrue="1">
      <formula>LEN(TRIM(C2201))=0</formula>
    </cfRule>
  </conditionalFormatting>
  <conditionalFormatting sqref="C2202 G2202:H2202">
    <cfRule type="expression" dxfId="257" priority="2704" stopIfTrue="1">
      <formula>LEN(TRIM(C2202))=0</formula>
    </cfRule>
  </conditionalFormatting>
  <conditionalFormatting sqref="C2203 G2203:H2203">
    <cfRule type="expression" dxfId="256" priority="2703" stopIfTrue="1">
      <formula>LEN(TRIM(C2203))=0</formula>
    </cfRule>
  </conditionalFormatting>
  <conditionalFormatting sqref="C2204 G2204:H2204">
    <cfRule type="expression" dxfId="255" priority="2702" stopIfTrue="1">
      <formula>LEN(TRIM(C2204))=0</formula>
    </cfRule>
  </conditionalFormatting>
  <conditionalFormatting sqref="C2205 G2205:H2205">
    <cfRule type="expression" dxfId="254" priority="2701" stopIfTrue="1">
      <formula>LEN(TRIM(C2205))=0</formula>
    </cfRule>
  </conditionalFormatting>
  <conditionalFormatting sqref="C2206 G2206:H2206">
    <cfRule type="expression" dxfId="253" priority="2700" stopIfTrue="1">
      <formula>LEN(TRIM(C2206))=0</formula>
    </cfRule>
  </conditionalFormatting>
  <conditionalFormatting sqref="C2207 G2207:H2207">
    <cfRule type="expression" dxfId="252" priority="2699" stopIfTrue="1">
      <formula>LEN(TRIM(C2207))=0</formula>
    </cfRule>
  </conditionalFormatting>
  <conditionalFormatting sqref="C2208 G2208:H2208">
    <cfRule type="expression" dxfId="251" priority="2698" stopIfTrue="1">
      <formula>LEN(TRIM(C2208))=0</formula>
    </cfRule>
  </conditionalFormatting>
  <conditionalFormatting sqref="C2209 G2209:H2209">
    <cfRule type="expression" dxfId="250" priority="2697" stopIfTrue="1">
      <formula>LEN(TRIM(C2209))=0</formula>
    </cfRule>
  </conditionalFormatting>
  <conditionalFormatting sqref="C2210 G2210:H2210">
    <cfRule type="expression" dxfId="249" priority="2696" stopIfTrue="1">
      <formula>LEN(TRIM(C2210))=0</formula>
    </cfRule>
  </conditionalFormatting>
  <conditionalFormatting sqref="C2211 G2211:H2211">
    <cfRule type="expression" dxfId="248" priority="2695" stopIfTrue="1">
      <formula>LEN(TRIM(C2211))=0</formula>
    </cfRule>
  </conditionalFormatting>
  <conditionalFormatting sqref="C2212 G2212:H2212">
    <cfRule type="expression" dxfId="247" priority="2694" stopIfTrue="1">
      <formula>LEN(TRIM(C2212))=0</formula>
    </cfRule>
  </conditionalFormatting>
  <conditionalFormatting sqref="C2213 G2213:H2213">
    <cfRule type="expression" dxfId="246" priority="2693" stopIfTrue="1">
      <formula>LEN(TRIM(C2213))=0</formula>
    </cfRule>
  </conditionalFormatting>
  <conditionalFormatting sqref="C2214 G2214:H2214">
    <cfRule type="expression" dxfId="245" priority="2692" stopIfTrue="1">
      <formula>LEN(TRIM(C2214))=0</formula>
    </cfRule>
  </conditionalFormatting>
  <conditionalFormatting sqref="C2215 G2215:H2215">
    <cfRule type="expression" dxfId="244" priority="2691" stopIfTrue="1">
      <formula>LEN(TRIM(C2215))=0</formula>
    </cfRule>
  </conditionalFormatting>
  <conditionalFormatting sqref="C2216 G2216:H2216">
    <cfRule type="expression" dxfId="243" priority="2690" stopIfTrue="1">
      <formula>LEN(TRIM(C2216))=0</formula>
    </cfRule>
  </conditionalFormatting>
  <conditionalFormatting sqref="C2217 G2217:H2217">
    <cfRule type="expression" dxfId="242" priority="2689" stopIfTrue="1">
      <formula>LEN(TRIM(C2217))=0</formula>
    </cfRule>
  </conditionalFormatting>
  <conditionalFormatting sqref="C2218 G2218:H2218">
    <cfRule type="expression" dxfId="241" priority="2688" stopIfTrue="1">
      <formula>LEN(TRIM(C2218))=0</formula>
    </cfRule>
  </conditionalFormatting>
  <conditionalFormatting sqref="C2219 G2219:H2219">
    <cfRule type="expression" dxfId="240" priority="2687" stopIfTrue="1">
      <formula>LEN(TRIM(C2219))=0</formula>
    </cfRule>
  </conditionalFormatting>
  <conditionalFormatting sqref="C2220 G2220:H2220">
    <cfRule type="expression" dxfId="239" priority="2686" stopIfTrue="1">
      <formula>LEN(TRIM(C2220))=0</formula>
    </cfRule>
  </conditionalFormatting>
  <conditionalFormatting sqref="C2221 G2221:H2221">
    <cfRule type="expression" dxfId="238" priority="2685" stopIfTrue="1">
      <formula>LEN(TRIM(C2221))=0</formula>
    </cfRule>
  </conditionalFormatting>
  <conditionalFormatting sqref="C2222 G2222:H2222">
    <cfRule type="expression" dxfId="237" priority="2684" stopIfTrue="1">
      <formula>LEN(TRIM(C2222))=0</formula>
    </cfRule>
  </conditionalFormatting>
  <conditionalFormatting sqref="C2223 G2223:H2223">
    <cfRule type="expression" dxfId="236" priority="2683" stopIfTrue="1">
      <formula>LEN(TRIM(C2223))=0</formula>
    </cfRule>
  </conditionalFormatting>
  <conditionalFormatting sqref="C2224 G2224:H2224">
    <cfRule type="expression" dxfId="235" priority="2682" stopIfTrue="1">
      <formula>LEN(TRIM(C2224))=0</formula>
    </cfRule>
  </conditionalFormatting>
  <conditionalFormatting sqref="C2225 G2225:H2225">
    <cfRule type="expression" dxfId="234" priority="2681" stopIfTrue="1">
      <formula>LEN(TRIM(C2225))=0</formula>
    </cfRule>
  </conditionalFormatting>
  <conditionalFormatting sqref="C2226 G2226:H2226">
    <cfRule type="expression" dxfId="233" priority="2680" stopIfTrue="1">
      <formula>LEN(TRIM(C2226))=0</formula>
    </cfRule>
  </conditionalFormatting>
  <conditionalFormatting sqref="C2227 G2227:H2227">
    <cfRule type="expression" dxfId="232" priority="2679" stopIfTrue="1">
      <formula>LEN(TRIM(C2227))=0</formula>
    </cfRule>
  </conditionalFormatting>
  <conditionalFormatting sqref="C2228 G2228:H2228">
    <cfRule type="expression" dxfId="231" priority="2678" stopIfTrue="1">
      <formula>LEN(TRIM(C2228))=0</formula>
    </cfRule>
  </conditionalFormatting>
  <conditionalFormatting sqref="C2229 G2229:H2229">
    <cfRule type="expression" dxfId="230" priority="2677" stopIfTrue="1">
      <formula>LEN(TRIM(C2229))=0</formula>
    </cfRule>
  </conditionalFormatting>
  <conditionalFormatting sqref="C2230 G2230:H2230">
    <cfRule type="expression" dxfId="229" priority="2676" stopIfTrue="1">
      <formula>LEN(TRIM(C2230))=0</formula>
    </cfRule>
  </conditionalFormatting>
  <conditionalFormatting sqref="C2231 G2231:H2231">
    <cfRule type="expression" dxfId="228" priority="2675" stopIfTrue="1">
      <formula>LEN(TRIM(C2231))=0</formula>
    </cfRule>
  </conditionalFormatting>
  <conditionalFormatting sqref="C2232 G2232:H2232">
    <cfRule type="expression" dxfId="227" priority="2674" stopIfTrue="1">
      <formula>LEN(TRIM(C2232))=0</formula>
    </cfRule>
  </conditionalFormatting>
  <conditionalFormatting sqref="C2233 G2233:H2233">
    <cfRule type="expression" dxfId="226" priority="2673" stopIfTrue="1">
      <formula>LEN(TRIM(C2233))=0</formula>
    </cfRule>
  </conditionalFormatting>
  <conditionalFormatting sqref="C2234 G2234:H2234">
    <cfRule type="expression" dxfId="225" priority="2672" stopIfTrue="1">
      <formula>LEN(TRIM(C2234))=0</formula>
    </cfRule>
  </conditionalFormatting>
  <conditionalFormatting sqref="C2235 G2235:H2235">
    <cfRule type="expression" dxfId="224" priority="2671" stopIfTrue="1">
      <formula>LEN(TRIM(C2235))=0</formula>
    </cfRule>
  </conditionalFormatting>
  <conditionalFormatting sqref="C2236 G2236:H2236">
    <cfRule type="expression" dxfId="223" priority="2670" stopIfTrue="1">
      <formula>LEN(TRIM(C2236))=0</formula>
    </cfRule>
  </conditionalFormatting>
  <conditionalFormatting sqref="C2237 G2237:H2237">
    <cfRule type="expression" dxfId="222" priority="2669" stopIfTrue="1">
      <formula>LEN(TRIM(C2237))=0</formula>
    </cfRule>
  </conditionalFormatting>
  <conditionalFormatting sqref="C2238 G2238:H2238">
    <cfRule type="expression" dxfId="221" priority="2668" stopIfTrue="1">
      <formula>LEN(TRIM(C2238))=0</formula>
    </cfRule>
  </conditionalFormatting>
  <conditionalFormatting sqref="C2239 G2239:H2239">
    <cfRule type="expression" dxfId="220" priority="2667" stopIfTrue="1">
      <formula>LEN(TRIM(C2239))=0</formula>
    </cfRule>
  </conditionalFormatting>
  <conditionalFormatting sqref="C2240 G2240:H2240">
    <cfRule type="expression" dxfId="219" priority="2666" stopIfTrue="1">
      <formula>LEN(TRIM(C2240))=0</formula>
    </cfRule>
  </conditionalFormatting>
  <conditionalFormatting sqref="C2241 G2241:H2241">
    <cfRule type="expression" dxfId="218" priority="2665" stopIfTrue="1">
      <formula>LEN(TRIM(C2241))=0</formula>
    </cfRule>
  </conditionalFormatting>
  <conditionalFormatting sqref="C2242 G2242:H2242">
    <cfRule type="expression" dxfId="217" priority="2664" stopIfTrue="1">
      <formula>LEN(TRIM(C2242))=0</formula>
    </cfRule>
  </conditionalFormatting>
  <conditionalFormatting sqref="C2243 G2243:H2243">
    <cfRule type="expression" dxfId="216" priority="2663" stopIfTrue="1">
      <formula>LEN(TRIM(C2243))=0</formula>
    </cfRule>
  </conditionalFormatting>
  <conditionalFormatting sqref="C2244 G2244:H2244">
    <cfRule type="expression" dxfId="215" priority="2662" stopIfTrue="1">
      <formula>LEN(TRIM(C2244))=0</formula>
    </cfRule>
  </conditionalFormatting>
  <conditionalFormatting sqref="C2245 G2245:H2245">
    <cfRule type="expression" dxfId="214" priority="2661" stopIfTrue="1">
      <formula>LEN(TRIM(C2245))=0</formula>
    </cfRule>
  </conditionalFormatting>
  <conditionalFormatting sqref="C2246 G2246:H2246">
    <cfRule type="expression" dxfId="213" priority="2660" stopIfTrue="1">
      <formula>LEN(TRIM(C2246))=0</formula>
    </cfRule>
  </conditionalFormatting>
  <conditionalFormatting sqref="C2247 G2247:H2247">
    <cfRule type="expression" dxfId="212" priority="2659" stopIfTrue="1">
      <formula>LEN(TRIM(C2247))=0</formula>
    </cfRule>
  </conditionalFormatting>
  <conditionalFormatting sqref="C2248 G2248:H2248">
    <cfRule type="expression" dxfId="211" priority="2658" stopIfTrue="1">
      <formula>LEN(TRIM(C2248))=0</formula>
    </cfRule>
  </conditionalFormatting>
  <conditionalFormatting sqref="C2249 G2249:H2249">
    <cfRule type="expression" dxfId="210" priority="2657" stopIfTrue="1">
      <formula>LEN(TRIM(C2249))=0</formula>
    </cfRule>
  </conditionalFormatting>
  <conditionalFormatting sqref="C2250 G2250:H2250">
    <cfRule type="expression" dxfId="209" priority="2656" stopIfTrue="1">
      <formula>LEN(TRIM(C2250))=0</formula>
    </cfRule>
  </conditionalFormatting>
  <conditionalFormatting sqref="C2251 H2251">
    <cfRule type="expression" dxfId="208" priority="2655" stopIfTrue="1">
      <formula>LEN(TRIM(C2251))=0</formula>
    </cfRule>
  </conditionalFormatting>
  <conditionalFormatting sqref="C2252 G2252:H2252">
    <cfRule type="expression" dxfId="207" priority="2654" stopIfTrue="1">
      <formula>LEN(TRIM(C2252))=0</formula>
    </cfRule>
  </conditionalFormatting>
  <conditionalFormatting sqref="C2253 G2253:H2253">
    <cfRule type="expression" dxfId="206" priority="2653" stopIfTrue="1">
      <formula>LEN(TRIM(C2253))=0</formula>
    </cfRule>
  </conditionalFormatting>
  <conditionalFormatting sqref="C2254 G2254:H2254">
    <cfRule type="expression" dxfId="205" priority="2652" stopIfTrue="1">
      <formula>LEN(TRIM(C2254))=0</formula>
    </cfRule>
  </conditionalFormatting>
  <conditionalFormatting sqref="C2255 G2255:H2255">
    <cfRule type="expression" dxfId="204" priority="2651" stopIfTrue="1">
      <formula>LEN(TRIM(C2255))=0</formula>
    </cfRule>
  </conditionalFormatting>
  <conditionalFormatting sqref="C2256 G2256:H2256">
    <cfRule type="expression" dxfId="203" priority="2650" stopIfTrue="1">
      <formula>LEN(TRIM(C2256))=0</formula>
    </cfRule>
  </conditionalFormatting>
  <conditionalFormatting sqref="C2257 G2257:H2257">
    <cfRule type="expression" dxfId="202" priority="2649" stopIfTrue="1">
      <formula>LEN(TRIM(C2257))=0</formula>
    </cfRule>
  </conditionalFormatting>
  <conditionalFormatting sqref="C2258 G2258:H2258">
    <cfRule type="expression" dxfId="201" priority="2648" stopIfTrue="1">
      <formula>LEN(TRIM(C2258))=0</formula>
    </cfRule>
  </conditionalFormatting>
  <conditionalFormatting sqref="C2259 G2259:H2259">
    <cfRule type="expression" dxfId="200" priority="2647" stopIfTrue="1">
      <formula>LEN(TRIM(C2259))=0</formula>
    </cfRule>
  </conditionalFormatting>
  <conditionalFormatting sqref="C2260 G2260:H2260">
    <cfRule type="expression" dxfId="199" priority="2646" stopIfTrue="1">
      <formula>LEN(TRIM(C2260))=0</formula>
    </cfRule>
  </conditionalFormatting>
  <conditionalFormatting sqref="C2261 G2261:H2261">
    <cfRule type="expression" dxfId="198" priority="2645" stopIfTrue="1">
      <formula>LEN(TRIM(C2261))=0</formula>
    </cfRule>
  </conditionalFormatting>
  <conditionalFormatting sqref="C2262 G2262:H2262">
    <cfRule type="expression" dxfId="197" priority="2644" stopIfTrue="1">
      <formula>LEN(TRIM(C2262))=0</formula>
    </cfRule>
  </conditionalFormatting>
  <conditionalFormatting sqref="C2263 G2263:H2263">
    <cfRule type="expression" dxfId="196" priority="2643" stopIfTrue="1">
      <formula>LEN(TRIM(C2263))=0</formula>
    </cfRule>
  </conditionalFormatting>
  <conditionalFormatting sqref="C2264 G2264:H2264">
    <cfRule type="expression" dxfId="195" priority="2642" stopIfTrue="1">
      <formula>LEN(TRIM(C2264))=0</formula>
    </cfRule>
  </conditionalFormatting>
  <conditionalFormatting sqref="C2265 G2265:H2265">
    <cfRule type="expression" dxfId="194" priority="2641" stopIfTrue="1">
      <formula>LEN(TRIM(C2265))=0</formula>
    </cfRule>
  </conditionalFormatting>
  <conditionalFormatting sqref="C2266 G2266:H2266">
    <cfRule type="expression" dxfId="193" priority="2640" stopIfTrue="1">
      <formula>LEN(TRIM(C2266))=0</formula>
    </cfRule>
  </conditionalFormatting>
  <conditionalFormatting sqref="C2267 G2267:H2267">
    <cfRule type="expression" dxfId="192" priority="2639" stopIfTrue="1">
      <formula>LEN(TRIM(C2267))=0</formula>
    </cfRule>
  </conditionalFormatting>
  <conditionalFormatting sqref="C2268 G2268:H2268">
    <cfRule type="expression" dxfId="191" priority="2638" stopIfTrue="1">
      <formula>LEN(TRIM(C2268))=0</formula>
    </cfRule>
  </conditionalFormatting>
  <conditionalFormatting sqref="C2269 G2269:H2269">
    <cfRule type="expression" dxfId="190" priority="2637" stopIfTrue="1">
      <formula>LEN(TRIM(C2269))=0</formula>
    </cfRule>
  </conditionalFormatting>
  <conditionalFormatting sqref="C2270 G2270:H2270">
    <cfRule type="expression" dxfId="189" priority="2636" stopIfTrue="1">
      <formula>LEN(TRIM(C2270))=0</formula>
    </cfRule>
  </conditionalFormatting>
  <conditionalFormatting sqref="C2271 G2271:H2271">
    <cfRule type="expression" dxfId="188" priority="2635" stopIfTrue="1">
      <formula>LEN(TRIM(C2271))=0</formula>
    </cfRule>
  </conditionalFormatting>
  <conditionalFormatting sqref="C2272 G2272:H2272">
    <cfRule type="expression" dxfId="187" priority="2634" stopIfTrue="1">
      <formula>LEN(TRIM(C2272))=0</formula>
    </cfRule>
  </conditionalFormatting>
  <conditionalFormatting sqref="C2273 H2273">
    <cfRule type="expression" dxfId="186" priority="2633" stopIfTrue="1">
      <formula>LEN(TRIM(C2273))=0</formula>
    </cfRule>
  </conditionalFormatting>
  <conditionalFormatting sqref="C2274 G2274:H2274">
    <cfRule type="expression" dxfId="185" priority="2632" stopIfTrue="1">
      <formula>LEN(TRIM(C2274))=0</formula>
    </cfRule>
  </conditionalFormatting>
  <conditionalFormatting sqref="C2275 G2275:H2275">
    <cfRule type="expression" dxfId="184" priority="2631" stopIfTrue="1">
      <formula>LEN(TRIM(C2275))=0</formula>
    </cfRule>
  </conditionalFormatting>
  <conditionalFormatting sqref="C2276 G2276:H2276">
    <cfRule type="expression" dxfId="183" priority="2630" stopIfTrue="1">
      <formula>LEN(TRIM(C2276))=0</formula>
    </cfRule>
  </conditionalFormatting>
  <conditionalFormatting sqref="C2277 G2277:H2277">
    <cfRule type="expression" dxfId="182" priority="2629" stopIfTrue="1">
      <formula>LEN(TRIM(C2277))=0</formula>
    </cfRule>
  </conditionalFormatting>
  <conditionalFormatting sqref="C2278 G2278:H2278">
    <cfRule type="expression" dxfId="181" priority="2628" stopIfTrue="1">
      <formula>LEN(TRIM(C2278))=0</formula>
    </cfRule>
  </conditionalFormatting>
  <conditionalFormatting sqref="C2279 G2279:H2279">
    <cfRule type="expression" dxfId="180" priority="2627" stopIfTrue="1">
      <formula>LEN(TRIM(C2279))=0</formula>
    </cfRule>
  </conditionalFormatting>
  <conditionalFormatting sqref="C2280 G2280:H2280">
    <cfRule type="expression" dxfId="179" priority="2626" stopIfTrue="1">
      <formula>LEN(TRIM(C2280))=0</formula>
    </cfRule>
  </conditionalFormatting>
  <conditionalFormatting sqref="C2281 G2281:H2281">
    <cfRule type="expression" dxfId="178" priority="2625" stopIfTrue="1">
      <formula>LEN(TRIM(C2281))=0</formula>
    </cfRule>
  </conditionalFormatting>
  <conditionalFormatting sqref="C2282 G2282:H2282">
    <cfRule type="expression" dxfId="177" priority="2624" stopIfTrue="1">
      <formula>LEN(TRIM(C2282))=0</formula>
    </cfRule>
  </conditionalFormatting>
  <conditionalFormatting sqref="C2283 G2283:H2283">
    <cfRule type="expression" dxfId="176" priority="2623" stopIfTrue="1">
      <formula>LEN(TRIM(C2283))=0</formula>
    </cfRule>
  </conditionalFormatting>
  <conditionalFormatting sqref="C2284 G2284:H2284">
    <cfRule type="expression" dxfId="175" priority="2622" stopIfTrue="1">
      <formula>LEN(TRIM(C2284))=0</formula>
    </cfRule>
  </conditionalFormatting>
  <conditionalFormatting sqref="C2285 H2285">
    <cfRule type="expression" dxfId="174" priority="2621" stopIfTrue="1">
      <formula>LEN(TRIM(C2285))=0</formula>
    </cfRule>
  </conditionalFormatting>
  <conditionalFormatting sqref="C2286 G2286:H2286">
    <cfRule type="expression" dxfId="173" priority="2620" stopIfTrue="1">
      <formula>LEN(TRIM(C2286))=0</formula>
    </cfRule>
  </conditionalFormatting>
  <conditionalFormatting sqref="C2287 G2287:H2287">
    <cfRule type="expression" dxfId="172" priority="2619" stopIfTrue="1">
      <formula>LEN(TRIM(C2287))=0</formula>
    </cfRule>
  </conditionalFormatting>
  <conditionalFormatting sqref="C2288 G2288:H2288">
    <cfRule type="expression" dxfId="171" priority="2618" stopIfTrue="1">
      <formula>LEN(TRIM(C2288))=0</formula>
    </cfRule>
  </conditionalFormatting>
  <conditionalFormatting sqref="C2289 G2289:H2289">
    <cfRule type="expression" dxfId="170" priority="2617" stopIfTrue="1">
      <formula>LEN(TRIM(C2289))=0</formula>
    </cfRule>
  </conditionalFormatting>
  <conditionalFormatting sqref="C2290 G2290:H2290">
    <cfRule type="expression" dxfId="169" priority="2616" stopIfTrue="1">
      <formula>LEN(TRIM(C2290))=0</formula>
    </cfRule>
  </conditionalFormatting>
  <conditionalFormatting sqref="C2291 G2291:H2291">
    <cfRule type="expression" dxfId="168" priority="2615" stopIfTrue="1">
      <formula>LEN(TRIM(C2291))=0</formula>
    </cfRule>
  </conditionalFormatting>
  <conditionalFormatting sqref="C2292 G2292:H2292">
    <cfRule type="expression" dxfId="167" priority="2614" stopIfTrue="1">
      <formula>LEN(TRIM(C2292))=0</formula>
    </cfRule>
  </conditionalFormatting>
  <conditionalFormatting sqref="C2293 G2293:H2293">
    <cfRule type="expression" dxfId="166" priority="2613" stopIfTrue="1">
      <formula>LEN(TRIM(C2293))=0</formula>
    </cfRule>
  </conditionalFormatting>
  <conditionalFormatting sqref="C2294 G2294:H2294">
    <cfRule type="expression" dxfId="165" priority="2612" stopIfTrue="1">
      <formula>LEN(TRIM(C2294))=0</formula>
    </cfRule>
  </conditionalFormatting>
  <conditionalFormatting sqref="C2295 G2295:H2295">
    <cfRule type="expression" dxfId="164" priority="2611" stopIfTrue="1">
      <formula>LEN(TRIM(C2295))=0</formula>
    </cfRule>
  </conditionalFormatting>
  <conditionalFormatting sqref="C2296 G2296:H2296">
    <cfRule type="expression" dxfId="163" priority="2610" stopIfTrue="1">
      <formula>LEN(TRIM(C2296))=0</formula>
    </cfRule>
  </conditionalFormatting>
  <conditionalFormatting sqref="C2297 G2297:H2297">
    <cfRule type="expression" dxfId="162" priority="2609" stopIfTrue="1">
      <formula>LEN(TRIM(C2297))=0</formula>
    </cfRule>
  </conditionalFormatting>
  <conditionalFormatting sqref="C2298 G2298:H2298">
    <cfRule type="expression" dxfId="161" priority="2608" stopIfTrue="1">
      <formula>LEN(TRIM(C2298))=0</formula>
    </cfRule>
  </conditionalFormatting>
  <conditionalFormatting sqref="C2299 G2299:H2299">
    <cfRule type="expression" dxfId="160" priority="2607" stopIfTrue="1">
      <formula>LEN(TRIM(C2299))=0</formula>
    </cfRule>
  </conditionalFormatting>
  <conditionalFormatting sqref="C2300 G2300:H2300">
    <cfRule type="expression" dxfId="159" priority="2606" stopIfTrue="1">
      <formula>LEN(TRIM(C2300))=0</formula>
    </cfRule>
  </conditionalFormatting>
  <conditionalFormatting sqref="C2301 G2301:H2301">
    <cfRule type="expression" dxfId="158" priority="2605" stopIfTrue="1">
      <formula>LEN(TRIM(C2301))=0</formula>
    </cfRule>
  </conditionalFormatting>
  <conditionalFormatting sqref="C2302 G2302:H2302">
    <cfRule type="expression" dxfId="157" priority="2604" stopIfTrue="1">
      <formula>LEN(TRIM(C2302))=0</formula>
    </cfRule>
  </conditionalFormatting>
  <conditionalFormatting sqref="C2303 G2303:H2303">
    <cfRule type="expression" dxfId="156" priority="2603" stopIfTrue="1">
      <formula>LEN(TRIM(C2303))=0</formula>
    </cfRule>
  </conditionalFormatting>
  <conditionalFormatting sqref="C2304 G2304:H2304">
    <cfRule type="expression" dxfId="155" priority="2602" stopIfTrue="1">
      <formula>LEN(TRIM(C2304))=0</formula>
    </cfRule>
  </conditionalFormatting>
  <conditionalFormatting sqref="C2305 G2305:H2305">
    <cfRule type="expression" dxfId="154" priority="2601" stopIfTrue="1">
      <formula>LEN(TRIM(C2305))=0</formula>
    </cfRule>
  </conditionalFormatting>
  <conditionalFormatting sqref="C2306 G2306:H2306">
    <cfRule type="expression" dxfId="153" priority="2600" stopIfTrue="1">
      <formula>LEN(TRIM(C2306))=0</formula>
    </cfRule>
  </conditionalFormatting>
  <conditionalFormatting sqref="C2307 G2307:H2307">
    <cfRule type="expression" dxfId="152" priority="2599" stopIfTrue="1">
      <formula>LEN(TRIM(C2307))=0</formula>
    </cfRule>
  </conditionalFormatting>
  <conditionalFormatting sqref="C2308 G2308:H2308">
    <cfRule type="expression" dxfId="151" priority="2598" stopIfTrue="1">
      <formula>LEN(TRIM(C2308))=0</formula>
    </cfRule>
  </conditionalFormatting>
  <conditionalFormatting sqref="C2309 G2309:H2309">
    <cfRule type="expression" dxfId="150" priority="2597" stopIfTrue="1">
      <formula>LEN(TRIM(C2309))=0</formula>
    </cfRule>
  </conditionalFormatting>
  <conditionalFormatting sqref="C2310 G2310:H2310">
    <cfRule type="expression" dxfId="149" priority="2596" stopIfTrue="1">
      <formula>LEN(TRIM(C2310))=0</formula>
    </cfRule>
  </conditionalFormatting>
  <conditionalFormatting sqref="C2311 G2311:H2311">
    <cfRule type="expression" dxfId="148" priority="2595" stopIfTrue="1">
      <formula>LEN(TRIM(C2311))=0</formula>
    </cfRule>
  </conditionalFormatting>
  <conditionalFormatting sqref="C2312 G2312:H2312">
    <cfRule type="expression" dxfId="147" priority="2594" stopIfTrue="1">
      <formula>LEN(TRIM(C2312))=0</formula>
    </cfRule>
  </conditionalFormatting>
  <conditionalFormatting sqref="C2313 G2313:H2313">
    <cfRule type="expression" dxfId="146" priority="2593" stopIfTrue="1">
      <formula>LEN(TRIM(C2313))=0</formula>
    </cfRule>
  </conditionalFormatting>
  <conditionalFormatting sqref="C2314 G2314:H2314">
    <cfRule type="expression" dxfId="145" priority="2592" stopIfTrue="1">
      <formula>LEN(TRIM(C2314))=0</formula>
    </cfRule>
  </conditionalFormatting>
  <conditionalFormatting sqref="C2315 G2315:H2315">
    <cfRule type="expression" dxfId="144" priority="2591" stopIfTrue="1">
      <formula>LEN(TRIM(C2315))=0</formula>
    </cfRule>
  </conditionalFormatting>
  <conditionalFormatting sqref="C2316 G2316:H2316">
    <cfRule type="expression" dxfId="143" priority="2590" stopIfTrue="1">
      <formula>LEN(TRIM(C2316))=0</formula>
    </cfRule>
  </conditionalFormatting>
  <conditionalFormatting sqref="C2317 G2317:H2317">
    <cfRule type="expression" dxfId="142" priority="2589" stopIfTrue="1">
      <formula>LEN(TRIM(C2317))=0</formula>
    </cfRule>
  </conditionalFormatting>
  <conditionalFormatting sqref="C2318 H2318">
    <cfRule type="expression" dxfId="141" priority="2161" stopIfTrue="1">
      <formula>LEN(TRIM(C2318))=0</formula>
    </cfRule>
  </conditionalFormatting>
  <conditionalFormatting sqref="F2318:F2435 F2437:F2438">
    <cfRule type="expression" dxfId="140" priority="2507" stopIfTrue="1">
      <formula>ISERROR(F2318)</formula>
    </cfRule>
  </conditionalFormatting>
  <conditionalFormatting sqref="C2319 H2319">
    <cfRule type="expression" dxfId="139" priority="2160" stopIfTrue="1">
      <formula>LEN(TRIM(C2319))=0</formula>
    </cfRule>
  </conditionalFormatting>
  <conditionalFormatting sqref="C2320 G2320:H2320">
    <cfRule type="expression" dxfId="138" priority="2159" stopIfTrue="1">
      <formula>LEN(TRIM(C2320))=0</formula>
    </cfRule>
  </conditionalFormatting>
  <conditionalFormatting sqref="G2321:H2321 N2321">
    <cfRule type="expression" dxfId="137" priority="2470" stopIfTrue="1">
      <formula>LEN(TRIM(G2321))=0</formula>
    </cfRule>
  </conditionalFormatting>
  <conditionalFormatting sqref="G2322:H2322 N2322">
    <cfRule type="expression" dxfId="136" priority="2469" stopIfTrue="1">
      <formula>LEN(TRIM(G2322))=0</formula>
    </cfRule>
  </conditionalFormatting>
  <conditionalFormatting sqref="G2323:H2323 N2323">
    <cfRule type="expression" dxfId="135" priority="2468" stopIfTrue="1">
      <formula>LEN(TRIM(G2323))=0</formula>
    </cfRule>
  </conditionalFormatting>
  <conditionalFormatting sqref="G2324:H2324 N2324">
    <cfRule type="expression" dxfId="134" priority="2467" stopIfTrue="1">
      <formula>LEN(TRIM(G2324))=0</formula>
    </cfRule>
  </conditionalFormatting>
  <conditionalFormatting sqref="G2325:H2325 N2325">
    <cfRule type="expression" dxfId="133" priority="2466" stopIfTrue="1">
      <formula>LEN(TRIM(G2325))=0</formula>
    </cfRule>
  </conditionalFormatting>
  <conditionalFormatting sqref="G2326:H2326 N2326">
    <cfRule type="expression" dxfId="132" priority="2465" stopIfTrue="1">
      <formula>LEN(TRIM(G2326))=0</formula>
    </cfRule>
  </conditionalFormatting>
  <conditionalFormatting sqref="G2327:H2327 N2327">
    <cfRule type="expression" dxfId="131" priority="2464" stopIfTrue="1">
      <formula>LEN(TRIM(G2327))=0</formula>
    </cfRule>
  </conditionalFormatting>
  <conditionalFormatting sqref="G2328:H2328 N2328">
    <cfRule type="expression" dxfId="130" priority="2463" stopIfTrue="1">
      <formula>LEN(TRIM(G2328))=0</formula>
    </cfRule>
  </conditionalFormatting>
  <conditionalFormatting sqref="G2329:H2329 N2329">
    <cfRule type="expression" dxfId="129" priority="2462" stopIfTrue="1">
      <formula>LEN(TRIM(G2329))=0</formula>
    </cfRule>
  </conditionalFormatting>
  <conditionalFormatting sqref="G2330:H2330 N2330">
    <cfRule type="expression" dxfId="128" priority="2461" stopIfTrue="1">
      <formula>LEN(TRIM(G2330))=0</formula>
    </cfRule>
  </conditionalFormatting>
  <conditionalFormatting sqref="G2331:H2331 N2331">
    <cfRule type="expression" dxfId="127" priority="2460" stopIfTrue="1">
      <formula>LEN(TRIM(G2331))=0</formula>
    </cfRule>
  </conditionalFormatting>
  <conditionalFormatting sqref="G2332:H2332 N2332">
    <cfRule type="expression" dxfId="126" priority="2459" stopIfTrue="1">
      <formula>LEN(TRIM(G2332))=0</formula>
    </cfRule>
  </conditionalFormatting>
  <conditionalFormatting sqref="G2333:H2333 N2333">
    <cfRule type="expression" dxfId="125" priority="2458" stopIfTrue="1">
      <formula>LEN(TRIM(G2333))=0</formula>
    </cfRule>
  </conditionalFormatting>
  <conditionalFormatting sqref="G2334:H2334 N2334">
    <cfRule type="expression" dxfId="124" priority="2457" stopIfTrue="1">
      <formula>LEN(TRIM(G2334))=0</formula>
    </cfRule>
  </conditionalFormatting>
  <conditionalFormatting sqref="G2335:H2335 N2335 G2336">
    <cfRule type="expression" dxfId="123" priority="2456" stopIfTrue="1">
      <formula>LEN(TRIM(G2335))=0</formula>
    </cfRule>
  </conditionalFormatting>
  <conditionalFormatting sqref="H2336 N2336">
    <cfRule type="expression" dxfId="122" priority="2455" stopIfTrue="1">
      <formula>LEN(TRIM(H2336))=0</formula>
    </cfRule>
  </conditionalFormatting>
  <conditionalFormatting sqref="G2337:H2337 N2337">
    <cfRule type="expression" dxfId="121" priority="2454" stopIfTrue="1">
      <formula>LEN(TRIM(G2337))=0</formula>
    </cfRule>
  </conditionalFormatting>
  <conditionalFormatting sqref="G2338:H2338 N2338">
    <cfRule type="expression" dxfId="120" priority="2453" stopIfTrue="1">
      <formula>LEN(TRIM(G2338))=0</formula>
    </cfRule>
  </conditionalFormatting>
  <conditionalFormatting sqref="G2339:H2339 N2339">
    <cfRule type="expression" dxfId="119" priority="2452" stopIfTrue="1">
      <formula>LEN(TRIM(G2339))=0</formula>
    </cfRule>
  </conditionalFormatting>
  <conditionalFormatting sqref="G2340:H2340 N2340">
    <cfRule type="expression" dxfId="118" priority="2451" stopIfTrue="1">
      <formula>LEN(TRIM(G2340))=0</formula>
    </cfRule>
  </conditionalFormatting>
  <conditionalFormatting sqref="G2341:H2341 N2341">
    <cfRule type="expression" dxfId="117" priority="2450" stopIfTrue="1">
      <formula>LEN(TRIM(G2341))=0</formula>
    </cfRule>
  </conditionalFormatting>
  <conditionalFormatting sqref="G2342:H2342 N2342">
    <cfRule type="expression" dxfId="116" priority="2449" stopIfTrue="1">
      <formula>LEN(TRIM(G2342))=0</formula>
    </cfRule>
  </conditionalFormatting>
  <conditionalFormatting sqref="G2343:H2343 N2343">
    <cfRule type="expression" dxfId="115" priority="2448" stopIfTrue="1">
      <formula>LEN(TRIM(G2343))=0</formula>
    </cfRule>
  </conditionalFormatting>
  <conditionalFormatting sqref="G2344:H2344 N2344">
    <cfRule type="expression" dxfId="114" priority="2447" stopIfTrue="1">
      <formula>LEN(TRIM(G2344))=0</formula>
    </cfRule>
  </conditionalFormatting>
  <conditionalFormatting sqref="G2345:H2345 N2345">
    <cfRule type="expression" dxfId="113" priority="2446" stopIfTrue="1">
      <formula>LEN(TRIM(G2345))=0</formula>
    </cfRule>
  </conditionalFormatting>
  <conditionalFormatting sqref="G2346:H2346 N2346">
    <cfRule type="expression" dxfId="112" priority="2445" stopIfTrue="1">
      <formula>LEN(TRIM(G2346))=0</formula>
    </cfRule>
  </conditionalFormatting>
  <conditionalFormatting sqref="G2347:H2347 N2347">
    <cfRule type="expression" dxfId="111" priority="2444" stopIfTrue="1">
      <formula>LEN(TRIM(G2347))=0</formula>
    </cfRule>
  </conditionalFormatting>
  <conditionalFormatting sqref="G2348:H2348 N2348">
    <cfRule type="expression" dxfId="110" priority="2443" stopIfTrue="1">
      <formula>LEN(TRIM(G2348))=0</formula>
    </cfRule>
  </conditionalFormatting>
  <conditionalFormatting sqref="G2349:H2349 N2349">
    <cfRule type="expression" dxfId="109" priority="2442" stopIfTrue="1">
      <formula>LEN(TRIM(G2349))=0</formula>
    </cfRule>
  </conditionalFormatting>
  <conditionalFormatting sqref="G2350:H2350 N2350">
    <cfRule type="expression" dxfId="108" priority="2441" stopIfTrue="1">
      <formula>LEN(TRIM(G2350))=0</formula>
    </cfRule>
  </conditionalFormatting>
  <conditionalFormatting sqref="G2351:H2351 N2351">
    <cfRule type="expression" dxfId="107" priority="2440" stopIfTrue="1">
      <formula>LEN(TRIM(G2351))=0</formula>
    </cfRule>
  </conditionalFormatting>
  <conditionalFormatting sqref="G2352:H2352 N2352">
    <cfRule type="expression" dxfId="106" priority="2439" stopIfTrue="1">
      <formula>LEN(TRIM(G2352))=0</formula>
    </cfRule>
  </conditionalFormatting>
  <conditionalFormatting sqref="G2353:H2353 N2353">
    <cfRule type="expression" dxfId="105" priority="2438" stopIfTrue="1">
      <formula>LEN(TRIM(G2353))=0</formula>
    </cfRule>
  </conditionalFormatting>
  <conditionalFormatting sqref="G2354:H2354 N2354">
    <cfRule type="expression" dxfId="104" priority="2437" stopIfTrue="1">
      <formula>LEN(TRIM(G2354))=0</formula>
    </cfRule>
  </conditionalFormatting>
  <conditionalFormatting sqref="G2355:H2355 N2355">
    <cfRule type="expression" dxfId="103" priority="2436" stopIfTrue="1">
      <formula>LEN(TRIM(G2355))=0</formula>
    </cfRule>
  </conditionalFormatting>
  <conditionalFormatting sqref="G2356:H2356 N2356">
    <cfRule type="expression" dxfId="102" priority="2435" stopIfTrue="1">
      <formula>LEN(TRIM(G2356))=0</formula>
    </cfRule>
  </conditionalFormatting>
  <conditionalFormatting sqref="G2357:H2357 N2357">
    <cfRule type="expression" dxfId="101" priority="2381" stopIfTrue="1">
      <formula>LEN(TRIM(G2357))=0</formula>
    </cfRule>
  </conditionalFormatting>
  <conditionalFormatting sqref="G2358:H2358 N2358:N2359">
    <cfRule type="expression" dxfId="100" priority="2380" stopIfTrue="1">
      <formula>LEN(TRIM(G2358))=0</formula>
    </cfRule>
  </conditionalFormatting>
  <conditionalFormatting sqref="G2360:H2360 N2360">
    <cfRule type="expression" dxfId="99" priority="2378" stopIfTrue="1">
      <formula>LEN(TRIM(G2360))=0</formula>
    </cfRule>
  </conditionalFormatting>
  <conditionalFormatting sqref="G2361:H2361 N2361">
    <cfRule type="expression" dxfId="98" priority="2377" stopIfTrue="1">
      <formula>LEN(TRIM(G2361))=0</formula>
    </cfRule>
  </conditionalFormatting>
  <conditionalFormatting sqref="G2362:H2362 N2362">
    <cfRule type="expression" dxfId="97" priority="2376" stopIfTrue="1">
      <formula>LEN(TRIM(G2362))=0</formula>
    </cfRule>
  </conditionalFormatting>
  <conditionalFormatting sqref="G2363:H2363 N2363">
    <cfRule type="expression" dxfId="96" priority="2375" stopIfTrue="1">
      <formula>LEN(TRIM(G2363))=0</formula>
    </cfRule>
  </conditionalFormatting>
  <conditionalFormatting sqref="G2364:H2364 N2364">
    <cfRule type="expression" dxfId="95" priority="2374" stopIfTrue="1">
      <formula>LEN(TRIM(G2364))=0</formula>
    </cfRule>
  </conditionalFormatting>
  <conditionalFormatting sqref="G2365:H2365 N2365">
    <cfRule type="expression" dxfId="94" priority="2373" stopIfTrue="1">
      <formula>LEN(TRIM(G2365))=0</formula>
    </cfRule>
  </conditionalFormatting>
  <conditionalFormatting sqref="G2366:H2366 N2366">
    <cfRule type="expression" dxfId="93" priority="2372" stopIfTrue="1">
      <formula>LEN(TRIM(G2366))=0</formula>
    </cfRule>
  </conditionalFormatting>
  <conditionalFormatting sqref="G2367:H2367 N2367">
    <cfRule type="expression" dxfId="92" priority="2371" stopIfTrue="1">
      <formula>LEN(TRIM(G2367))=0</formula>
    </cfRule>
  </conditionalFormatting>
  <conditionalFormatting sqref="G2368:H2368 N2368">
    <cfRule type="expression" dxfId="91" priority="2370" stopIfTrue="1">
      <formula>LEN(TRIM(G2368))=0</formula>
    </cfRule>
  </conditionalFormatting>
  <conditionalFormatting sqref="G2369:H2369 N2369:N2370">
    <cfRule type="expression" dxfId="90" priority="2369" stopIfTrue="1">
      <formula>LEN(TRIM(G2369))=0</formula>
    </cfRule>
  </conditionalFormatting>
  <conditionalFormatting sqref="G2371:H2371 N2371">
    <cfRule type="expression" dxfId="89" priority="2367" stopIfTrue="1">
      <formula>LEN(TRIM(G2371))=0</formula>
    </cfRule>
  </conditionalFormatting>
  <conditionalFormatting sqref="G2372:H2372 N2372">
    <cfRule type="expression" dxfId="88" priority="2366" stopIfTrue="1">
      <formula>LEN(TRIM(G2372))=0</formula>
    </cfRule>
  </conditionalFormatting>
  <conditionalFormatting sqref="G2373:H2373 N2373">
    <cfRule type="expression" dxfId="87" priority="2365" stopIfTrue="1">
      <formula>LEN(TRIM(G2373))=0</formula>
    </cfRule>
  </conditionalFormatting>
  <conditionalFormatting sqref="G2374:H2374 N2374">
    <cfRule type="expression" dxfId="86" priority="2364" stopIfTrue="1">
      <formula>LEN(TRIM(G2374))=0</formula>
    </cfRule>
  </conditionalFormatting>
  <conditionalFormatting sqref="G2375:H2375 N2375:N2376">
    <cfRule type="expression" dxfId="85" priority="2315" stopIfTrue="1">
      <formula>LEN(TRIM(G2375))=0</formula>
    </cfRule>
  </conditionalFormatting>
  <conditionalFormatting sqref="G2377:H2377 N2377">
    <cfRule type="expression" dxfId="84" priority="2313" stopIfTrue="1">
      <formula>LEN(TRIM(G2377))=0</formula>
    </cfRule>
  </conditionalFormatting>
  <conditionalFormatting sqref="G2378:H2378 N2378">
    <cfRule type="expression" dxfId="83" priority="2312" stopIfTrue="1">
      <formula>LEN(TRIM(G2378))=0</formula>
    </cfRule>
  </conditionalFormatting>
  <conditionalFormatting sqref="G2379:H2379 N2379">
    <cfRule type="expression" dxfId="82" priority="2311" stopIfTrue="1">
      <formula>LEN(TRIM(G2379))=0</formula>
    </cfRule>
  </conditionalFormatting>
  <conditionalFormatting sqref="G2380:H2380 N2380">
    <cfRule type="expression" dxfId="81" priority="2310" stopIfTrue="1">
      <formula>LEN(TRIM(G2380))=0</formula>
    </cfRule>
  </conditionalFormatting>
  <conditionalFormatting sqref="G2381:H2381 N2381">
    <cfRule type="expression" dxfId="80" priority="2309" stopIfTrue="1">
      <formula>LEN(TRIM(G2381))=0</formula>
    </cfRule>
  </conditionalFormatting>
  <conditionalFormatting sqref="G2382:H2382 N2382">
    <cfRule type="expression" dxfId="79" priority="2308" stopIfTrue="1">
      <formula>LEN(TRIM(G2382))=0</formula>
    </cfRule>
  </conditionalFormatting>
  <conditionalFormatting sqref="G2383:H2383 N2383">
    <cfRule type="expression" dxfId="78" priority="2307" stopIfTrue="1">
      <formula>LEN(TRIM(G2383))=0</formula>
    </cfRule>
  </conditionalFormatting>
  <conditionalFormatting sqref="G2384:H2384 N2384">
    <cfRule type="expression" dxfId="77" priority="2306" stopIfTrue="1">
      <formula>LEN(TRIM(G2384))=0</formula>
    </cfRule>
  </conditionalFormatting>
  <conditionalFormatting sqref="G2385:H2385 N2385">
    <cfRule type="expression" dxfId="76" priority="2305" stopIfTrue="1">
      <formula>LEN(TRIM(G2385))=0</formula>
    </cfRule>
  </conditionalFormatting>
  <conditionalFormatting sqref="G2386:H2386 N2386">
    <cfRule type="expression" dxfId="75" priority="2304" stopIfTrue="1">
      <formula>LEN(TRIM(G2386))=0</formula>
    </cfRule>
  </conditionalFormatting>
  <conditionalFormatting sqref="G2387:H2387 N2387">
    <cfRule type="expression" dxfId="74" priority="2303" stopIfTrue="1">
      <formula>LEN(TRIM(G2387))=0</formula>
    </cfRule>
  </conditionalFormatting>
  <conditionalFormatting sqref="G2388:H2388 N2388">
    <cfRule type="expression" dxfId="73" priority="2302" stopIfTrue="1">
      <formula>LEN(TRIM(G2388))=0</formula>
    </cfRule>
  </conditionalFormatting>
  <conditionalFormatting sqref="G2389:H2389 N2389">
    <cfRule type="expression" dxfId="72" priority="2301" stopIfTrue="1">
      <formula>LEN(TRIM(G2389))=0</formula>
    </cfRule>
  </conditionalFormatting>
  <conditionalFormatting sqref="G2390:H2390 N2390">
    <cfRule type="expression" dxfId="71" priority="2300" stopIfTrue="1">
      <formula>LEN(TRIM(G2390))=0</formula>
    </cfRule>
  </conditionalFormatting>
  <conditionalFormatting sqref="G2391:H2391 N2391">
    <cfRule type="expression" dxfId="70" priority="2299" stopIfTrue="1">
      <formula>LEN(TRIM(G2391))=0</formula>
    </cfRule>
  </conditionalFormatting>
  <conditionalFormatting sqref="G2392:H2392 N2392">
    <cfRule type="expression" dxfId="69" priority="2298" stopIfTrue="1">
      <formula>LEN(TRIM(G2392))=0</formula>
    </cfRule>
  </conditionalFormatting>
  <conditionalFormatting sqref="G2393:H2393 N2393">
    <cfRule type="expression" dxfId="68" priority="2297" stopIfTrue="1">
      <formula>LEN(TRIM(G2393))=0</formula>
    </cfRule>
  </conditionalFormatting>
  <conditionalFormatting sqref="G2394:H2394 N2394">
    <cfRule type="expression" dxfId="67" priority="2296" stopIfTrue="1">
      <formula>LEN(TRIM(G2394))=0</formula>
    </cfRule>
  </conditionalFormatting>
  <conditionalFormatting sqref="G2395:H2395 N2395">
    <cfRule type="expression" dxfId="66" priority="2295" stopIfTrue="1">
      <formula>LEN(TRIM(G2395))=0</formula>
    </cfRule>
  </conditionalFormatting>
  <conditionalFormatting sqref="G2396:H2396 N2396">
    <cfRule type="expression" dxfId="65" priority="2294" stopIfTrue="1">
      <formula>LEN(TRIM(G2396))=0</formula>
    </cfRule>
  </conditionalFormatting>
  <conditionalFormatting sqref="G2397:H2397 N2397">
    <cfRule type="expression" dxfId="64" priority="2293" stopIfTrue="1">
      <formula>LEN(TRIM(G2397))=0</formula>
    </cfRule>
  </conditionalFormatting>
  <conditionalFormatting sqref="G2398:H2398 N2398">
    <cfRule type="expression" dxfId="63" priority="2292" stopIfTrue="1">
      <formula>LEN(TRIM(G2398))=0</formula>
    </cfRule>
  </conditionalFormatting>
  <conditionalFormatting sqref="G2399:H2399 N2399">
    <cfRule type="expression" dxfId="62" priority="2291" stopIfTrue="1">
      <formula>LEN(TRIM(G2399))=0</formula>
    </cfRule>
  </conditionalFormatting>
  <conditionalFormatting sqref="G2400:H2400 N2400">
    <cfRule type="expression" dxfId="61" priority="2290" stopIfTrue="1">
      <formula>LEN(TRIM(G2400))=0</formula>
    </cfRule>
  </conditionalFormatting>
  <conditionalFormatting sqref="G2401:H2401 N2401">
    <cfRule type="expression" dxfId="60" priority="2289" stopIfTrue="1">
      <formula>LEN(TRIM(G2401))=0</formula>
    </cfRule>
  </conditionalFormatting>
  <conditionalFormatting sqref="G2402:H2402 N2402">
    <cfRule type="expression" dxfId="59" priority="2288" stopIfTrue="1">
      <formula>LEN(TRIM(G2402))=0</formula>
    </cfRule>
  </conditionalFormatting>
  <conditionalFormatting sqref="G2403:H2403 N2403">
    <cfRule type="expression" dxfId="58" priority="2287" stopIfTrue="1">
      <formula>LEN(TRIM(G2403))=0</formula>
    </cfRule>
  </conditionalFormatting>
  <conditionalFormatting sqref="G2404:H2404 N2404">
    <cfRule type="expression" dxfId="57" priority="2286" stopIfTrue="1">
      <formula>LEN(TRIM(G2404))=0</formula>
    </cfRule>
  </conditionalFormatting>
  <conditionalFormatting sqref="G2405:H2405 N2405">
    <cfRule type="expression" dxfId="56" priority="2224" stopIfTrue="1">
      <formula>LEN(TRIM(G2405))=0</formula>
    </cfRule>
  </conditionalFormatting>
  <conditionalFormatting sqref="G2406:H2406 N2406">
    <cfRule type="expression" dxfId="55" priority="2223" stopIfTrue="1">
      <formula>LEN(TRIM(G2406))=0</formula>
    </cfRule>
  </conditionalFormatting>
  <conditionalFormatting sqref="G2407:H2407 N2407">
    <cfRule type="expression" dxfId="54" priority="2222" stopIfTrue="1">
      <formula>LEN(TRIM(G2407))=0</formula>
    </cfRule>
  </conditionalFormatting>
  <conditionalFormatting sqref="G2408:H2408 N2408">
    <cfRule type="expression" dxfId="53" priority="2221" stopIfTrue="1">
      <formula>LEN(TRIM(G2408))=0</formula>
    </cfRule>
  </conditionalFormatting>
  <conditionalFormatting sqref="G2409:H2409 N2409">
    <cfRule type="expression" dxfId="52" priority="2220" stopIfTrue="1">
      <formula>LEN(TRIM(G2409))=0</formula>
    </cfRule>
  </conditionalFormatting>
  <conditionalFormatting sqref="H2410 N2410">
    <cfRule type="expression" dxfId="51" priority="2219" stopIfTrue="1">
      <formula>LEN(TRIM(H2410))=0</formula>
    </cfRule>
  </conditionalFormatting>
  <conditionalFormatting sqref="H2411 N2411">
    <cfRule type="expression" dxfId="50" priority="2218" stopIfTrue="1">
      <formula>LEN(TRIM(H2411))=0</formula>
    </cfRule>
  </conditionalFormatting>
  <conditionalFormatting sqref="H2412 N2412">
    <cfRule type="expression" dxfId="49" priority="2217" stopIfTrue="1">
      <formula>LEN(TRIM(H2412))=0</formula>
    </cfRule>
  </conditionalFormatting>
  <conditionalFormatting sqref="H2413 N2413:N2414">
    <cfRule type="expression" dxfId="48" priority="2216" stopIfTrue="1">
      <formula>LEN(TRIM(H2413))=0</formula>
    </cfRule>
  </conditionalFormatting>
  <conditionalFormatting sqref="G2415:H2415 N2415">
    <cfRule type="expression" dxfId="47" priority="2214" stopIfTrue="1">
      <formula>LEN(TRIM(G2415))=0</formula>
    </cfRule>
  </conditionalFormatting>
  <conditionalFormatting sqref="G2416:H2416 N2416">
    <cfRule type="expression" dxfId="46" priority="2213" stopIfTrue="1">
      <formula>LEN(TRIM(G2416))=0</formula>
    </cfRule>
  </conditionalFormatting>
  <conditionalFormatting sqref="G2417:H2417 N2417">
    <cfRule type="expression" dxfId="45" priority="2212" stopIfTrue="1">
      <formula>LEN(TRIM(G2417))=0</formula>
    </cfRule>
  </conditionalFormatting>
  <conditionalFormatting sqref="G2418:H2418 N2418:N2419">
    <cfRule type="expression" dxfId="44" priority="2211" stopIfTrue="1">
      <formula>LEN(TRIM(G2418))=0</formula>
    </cfRule>
  </conditionalFormatting>
  <conditionalFormatting sqref="G2420:H2420 N2420">
    <cfRule type="expression" dxfId="43" priority="2209" stopIfTrue="1">
      <formula>LEN(TRIM(G2420))=0</formula>
    </cfRule>
  </conditionalFormatting>
  <conditionalFormatting sqref="G2421:H2421 N2421">
    <cfRule type="expression" dxfId="42" priority="2208" stopIfTrue="1">
      <formula>LEN(TRIM(G2421))=0</formula>
    </cfRule>
  </conditionalFormatting>
  <conditionalFormatting sqref="G2422:H2422 N2422">
    <cfRule type="expression" dxfId="41" priority="2207" stopIfTrue="1">
      <formula>LEN(TRIM(G2422))=0</formula>
    </cfRule>
  </conditionalFormatting>
  <conditionalFormatting sqref="G2423:H2423 N2423">
    <cfRule type="expression" dxfId="40" priority="2206" stopIfTrue="1">
      <formula>LEN(TRIM(G2423))=0</formula>
    </cfRule>
  </conditionalFormatting>
  <conditionalFormatting sqref="G2424:H2424 N2424">
    <cfRule type="expression" dxfId="39" priority="2205" stopIfTrue="1">
      <formula>LEN(TRIM(G2424))=0</formula>
    </cfRule>
  </conditionalFormatting>
  <conditionalFormatting sqref="G2425:H2425 N2425">
    <cfRule type="expression" dxfId="38" priority="2204" stopIfTrue="1">
      <formula>LEN(TRIM(G2425))=0</formula>
    </cfRule>
  </conditionalFormatting>
  <conditionalFormatting sqref="G2426:H2426 N2426">
    <cfRule type="expression" dxfId="37" priority="2203" stopIfTrue="1">
      <formula>LEN(TRIM(G2426))=0</formula>
    </cfRule>
  </conditionalFormatting>
  <conditionalFormatting sqref="G2427:H2427 N2427">
    <cfRule type="expression" dxfId="36" priority="2202" stopIfTrue="1">
      <formula>LEN(TRIM(G2427))=0</formula>
    </cfRule>
  </conditionalFormatting>
  <conditionalFormatting sqref="G2428:H2428 N2428">
    <cfRule type="expression" dxfId="35" priority="2201" stopIfTrue="1">
      <formula>LEN(TRIM(G2428))=0</formula>
    </cfRule>
  </conditionalFormatting>
  <conditionalFormatting sqref="G2429:H2429 N2429 G2430">
    <cfRule type="expression" dxfId="34" priority="2200" stopIfTrue="1">
      <formula>LEN(TRIM(G2429))=0</formula>
    </cfRule>
  </conditionalFormatting>
  <conditionalFormatting sqref="H2430 N2430">
    <cfRule type="expression" dxfId="33" priority="2199" stopIfTrue="1">
      <formula>LEN(TRIM(H2430))=0</formula>
    </cfRule>
  </conditionalFormatting>
  <conditionalFormatting sqref="G2431:H2431 N2431">
    <cfRule type="expression" dxfId="32" priority="2198" stopIfTrue="1">
      <formula>LEN(TRIM(G2431))=0</formula>
    </cfRule>
  </conditionalFormatting>
  <conditionalFormatting sqref="G2432:H2432 N2432">
    <cfRule type="expression" dxfId="31" priority="2197" stopIfTrue="1">
      <formula>LEN(TRIM(G2432))=0</formula>
    </cfRule>
  </conditionalFormatting>
  <conditionalFormatting sqref="G2433:H2433 N2433">
    <cfRule type="expression" dxfId="30" priority="2196" stopIfTrue="1">
      <formula>LEN(TRIM(G2433))=0</formula>
    </cfRule>
  </conditionalFormatting>
  <conditionalFormatting sqref="G2434:H2434 N2434">
    <cfRule type="expression" dxfId="29" priority="2195" stopIfTrue="1">
      <formula>LEN(TRIM(G2434))=0</formula>
    </cfRule>
  </conditionalFormatting>
  <conditionalFormatting sqref="G2435:H2435 N2435">
    <cfRule type="expression" dxfId="28" priority="2194" stopIfTrue="1">
      <formula>LEN(TRIM(G2435))=0</formula>
    </cfRule>
  </conditionalFormatting>
  <conditionalFormatting sqref="G2436:H2436 N2436">
    <cfRule type="expression" dxfId="27" priority="35" stopIfTrue="1">
      <formula>LEN(TRIM(G2436))=0</formula>
    </cfRule>
  </conditionalFormatting>
  <conditionalFormatting sqref="G2437:H2437 N2437">
    <cfRule type="expression" dxfId="26" priority="2156" stopIfTrue="1">
      <formula>LEN(TRIM(G2437))=0</formula>
    </cfRule>
  </conditionalFormatting>
  <conditionalFormatting sqref="G2438:H2438 N2438">
    <cfRule type="expression" dxfId="25" priority="2155" stopIfTrue="1">
      <formula>LEN(TRIM(G2438))=0</formula>
    </cfRule>
  </conditionalFormatting>
  <conditionalFormatting sqref="N2950 G2950:H2950">
    <cfRule type="expression" dxfId="24" priority="119" stopIfTrue="1">
      <formula>LEN(TRIM(G2950))=0</formula>
    </cfRule>
  </conditionalFormatting>
  <conditionalFormatting sqref="N2951:N2952 G2951:H2951 G2952">
    <cfRule type="expression" dxfId="23" priority="118" stopIfTrue="1">
      <formula>LEN(TRIM(G2951))=0</formula>
    </cfRule>
  </conditionalFormatting>
  <conditionalFormatting sqref="N2953:N2955 G2953:H2953">
    <cfRule type="expression" dxfId="22" priority="116" stopIfTrue="1">
      <formula>LEN(TRIM(G2953))=0</formula>
    </cfRule>
  </conditionalFormatting>
  <conditionalFormatting sqref="G2954:H2954 G2955">
    <cfRule type="expression" dxfId="21" priority="115" stopIfTrue="1">
      <formula>LEN(TRIM(G2954))=0</formula>
    </cfRule>
  </conditionalFormatting>
  <conditionalFormatting sqref="N2956 G2956:H2956">
    <cfRule type="expression" dxfId="20" priority="113" stopIfTrue="1">
      <formula>LEN(TRIM(G2956))=0</formula>
    </cfRule>
  </conditionalFormatting>
  <conditionalFormatting sqref="N2957 G2957:H2957">
    <cfRule type="expression" dxfId="19" priority="112" stopIfTrue="1">
      <formula>LEN(TRIM(G2957))=0</formula>
    </cfRule>
  </conditionalFormatting>
  <conditionalFormatting sqref="N2958 G2958:H2958">
    <cfRule type="expression" dxfId="18" priority="111" stopIfTrue="1">
      <formula>LEN(TRIM(G2958))=0</formula>
    </cfRule>
  </conditionalFormatting>
  <conditionalFormatting sqref="N2959 G2959:H2959">
    <cfRule type="expression" dxfId="17" priority="110" stopIfTrue="1">
      <formula>LEN(TRIM(G2959))=0</formula>
    </cfRule>
  </conditionalFormatting>
  <conditionalFormatting sqref="N2960 G2960:H2960">
    <cfRule type="expression" dxfId="16" priority="109" stopIfTrue="1">
      <formula>LEN(TRIM(G2960))=0</formula>
    </cfRule>
  </conditionalFormatting>
  <conditionalFormatting sqref="N2961:N2962 G2961:H2961 G2962">
    <cfRule type="expression" dxfId="15" priority="108" stopIfTrue="1">
      <formula>LEN(TRIM(G2961))=0</formula>
    </cfRule>
  </conditionalFormatting>
  <conditionalFormatting sqref="N2963 G2963:H2963">
    <cfRule type="expression" dxfId="14" priority="106" stopIfTrue="1">
      <formula>LEN(TRIM(G2963))=0</formula>
    </cfRule>
  </conditionalFormatting>
  <conditionalFormatting sqref="N2964 G2964:H2964">
    <cfRule type="expression" dxfId="13" priority="105" stopIfTrue="1">
      <formula>LEN(TRIM(G2964))=0</formula>
    </cfRule>
  </conditionalFormatting>
  <conditionalFormatting sqref="N2965 G2965:H2965">
    <cfRule type="expression" dxfId="12" priority="104" stopIfTrue="1">
      <formula>LEN(TRIM(G2965))=0</formula>
    </cfRule>
  </conditionalFormatting>
  <conditionalFormatting sqref="N2966 G2966:H2966">
    <cfRule type="expression" dxfId="11" priority="103" stopIfTrue="1">
      <formula>LEN(TRIM(G2966))=0</formula>
    </cfRule>
  </conditionalFormatting>
  <conditionalFormatting sqref="N2967 G2967:H2967">
    <cfRule type="expression" dxfId="10" priority="102" stopIfTrue="1">
      <formula>LEN(TRIM(G2967))=0</formula>
    </cfRule>
  </conditionalFormatting>
  <conditionalFormatting sqref="G2968:H2968">
    <cfRule type="expression" dxfId="9" priority="81" stopIfTrue="1">
      <formula>LEN(TRIM(G2968))=0</formula>
    </cfRule>
  </conditionalFormatting>
  <conditionalFormatting sqref="G2970:H2970 G2971">
    <cfRule type="expression" dxfId="8" priority="64" stopIfTrue="1">
      <formula>LEN(TRIM(G2970))=0</formula>
    </cfRule>
  </conditionalFormatting>
  <conditionalFormatting sqref="N1536">
    <cfRule type="expression" dxfId="7" priority="5" stopIfTrue="1">
      <formula>LEN(TRIM(N1536))=0</formula>
    </cfRule>
  </conditionalFormatting>
  <conditionalFormatting sqref="G564">
    <cfRule type="expression" dxfId="6" priority="4" stopIfTrue="1">
      <formula>LEN(TRIM(G564))=0</formula>
    </cfRule>
  </conditionalFormatting>
  <conditionalFormatting sqref="G120">
    <cfRule type="expression" dxfId="5" priority="3" stopIfTrue="1">
      <formula>LEN(TRIM(G120))=0</formula>
    </cfRule>
  </conditionalFormatting>
  <conditionalFormatting sqref="G897">
    <cfRule type="expression" dxfId="4" priority="2" stopIfTrue="1">
      <formula>LEN(TRIM(G897))=0</formula>
    </cfRule>
  </conditionalFormatting>
  <conditionalFormatting sqref="G1585">
    <cfRule type="expression" dxfId="3" priority="1" stopIfTrue="1">
      <formula>LEN(TRIM(G1585))=0</formula>
    </cfRule>
  </conditionalFormatting>
  <dataValidations count="3">
    <dataValidation type="custom" showInputMessage="1" showErrorMessage="1" sqref="P1 JH1 TD1 ACZ1 AMV1 AWR1 BGN1 BQJ1 CAF1 CKB1 CTX1 DDT1 DNP1 DXL1 EHH1 ERD1 FAZ1 FKV1 FUR1 GEN1 GOJ1 GYF1 HIB1 HRX1 IBT1 ILP1 IVL1 JFH1 JPD1 JYZ1 KIV1 KSR1 LCN1 LMJ1 LWF1 MGB1 MPX1 MZT1 NJP1 NTL1 ODH1 OND1 OWZ1 PGV1 PQR1 QAN1 QKJ1 QUF1 REB1 RNX1 RXT1 SHP1 SRL1 TBH1 TLD1 TUZ1 UEV1 UOR1 UYN1 VIJ1 VSF1 WCB1 WLX1 WVT1 O404 O441 O445 O460 O500 O548 O586 P65434 JH65434 TD65434 ACZ65434 AMV65434 AWR65434 BGN65434 BQJ65434 CAF65434 CKB65434 CTX65434 DDT65434 DNP65434 DXL65434 EHH65434 ERD65434 FAZ65434 FKV65434 FUR65434 GEN65434 GOJ65434 GYF65434 HIB65434 HRX65434 IBT65434 ILP65434 IVL65434 JFH65434 JPD65434 JYZ65434 KIV65434 KSR65434 LCN65434 LMJ65434 LWF65434 MGB65434 MPX65434 MZT65434 NJP65434 NTL65434 ODH65434 OND65434 OWZ65434 PGV65434 PQR65434 QAN65434 QKJ65434 QUF65434 REB65434 RNX65434 RXT65434 SHP65434 SRL65434 TBH65434 TLD65434 TUZ65434 UEV65434 UOR65434 UYN65434 VIJ65434 VSF65434 WCB65434 WLX65434 WVT65434 P130970 JH130970 TD130970 ACZ130970 AMV130970 AWR130970 BGN130970 BQJ130970 CAF130970 CKB130970 CTX130970 DDT130970 DNP130970 DXL130970 EHH130970 ERD130970 FAZ130970 FKV130970 FUR130970 GEN130970 GOJ130970 GYF130970 HIB130970 HRX130970 IBT130970 ILP130970 IVL130970 JFH130970 JPD130970 JYZ130970 KIV130970 KSR130970 LCN130970 LMJ130970 LWF130970 MGB130970 MPX130970 MZT130970 NJP130970 NTL130970 ODH130970 OND130970 OWZ130970 PGV130970 PQR130970 QAN130970 QKJ130970 QUF130970 REB130970 RNX130970 RXT130970 SHP130970 SRL130970 TBH130970 TLD130970 TUZ130970 UEV130970 UOR130970 UYN130970 VIJ130970 VSF130970 WCB130970 WLX130970 WVT130970 P196506 JH196506 TD196506 ACZ196506 AMV196506 AWR196506 BGN196506 BQJ196506 CAF196506 CKB196506 CTX196506 DDT196506 DNP196506 DXL196506 EHH196506 ERD196506 FAZ196506 FKV196506 FUR196506 GEN196506 GOJ196506 GYF196506 HIB196506 HRX196506 IBT196506 ILP196506 IVL196506 JFH196506 JPD196506 JYZ196506 KIV196506 KSR196506 LCN196506 LMJ196506 LWF196506 MGB196506 MPX196506 MZT196506 NJP196506 NTL196506 ODH196506 OND196506 OWZ196506 PGV196506 PQR196506 QAN196506 QKJ196506 QUF196506 REB196506 RNX196506 RXT196506 SHP196506 SRL196506 TBH196506 TLD196506 TUZ196506 UEV196506 UOR196506 UYN196506 VIJ196506 VSF196506 WCB196506 WLX196506 WVT196506 P262042 JH262042 TD262042 ACZ262042 AMV262042 AWR262042 BGN262042 BQJ262042 CAF262042 CKB262042 CTX262042 DDT262042 DNP262042 DXL262042 EHH262042 ERD262042 FAZ262042 FKV262042 FUR262042 GEN262042 GOJ262042 GYF262042 HIB262042 HRX262042 IBT262042 ILP262042 IVL262042 JFH262042 JPD262042 JYZ262042 KIV262042 KSR262042 LCN262042 LMJ262042 LWF262042 MGB262042 MPX262042 MZT262042 NJP262042 NTL262042 ODH262042 OND262042 OWZ262042 PGV262042 PQR262042 QAN262042 QKJ262042 QUF262042 REB262042 RNX262042 RXT262042 SHP262042 SRL262042 TBH262042 TLD262042 TUZ262042 UEV262042 UOR262042 UYN262042 VIJ262042 VSF262042 WCB262042 WLX262042 WVT262042 P327578 JH327578 TD327578 ACZ327578 AMV327578 AWR327578 BGN327578 BQJ327578 CAF327578 CKB327578 CTX327578 DDT327578 DNP327578 DXL327578 EHH327578 ERD327578 FAZ327578 FKV327578 FUR327578 GEN327578 GOJ327578 GYF327578 HIB327578 HRX327578 IBT327578 ILP327578 IVL327578 JFH327578 JPD327578 JYZ327578 KIV327578 KSR327578 LCN327578 LMJ327578 LWF327578 MGB327578 MPX327578 MZT327578 NJP327578 NTL327578 ODH327578 OND327578 OWZ327578 PGV327578 PQR327578 QAN327578 QKJ327578 QUF327578 REB327578 RNX327578 RXT327578 SHP327578 SRL327578 TBH327578 TLD327578 TUZ327578 UEV327578 UOR327578 UYN327578 VIJ327578 VSF327578 WCB327578 WLX327578 WVT327578 P393114 JH393114 TD393114 ACZ393114 AMV393114 AWR393114 BGN393114 BQJ393114 CAF393114 CKB393114 CTX393114 DDT393114 DNP393114 DXL393114 EHH393114 ERD393114 FAZ393114 FKV393114 FUR393114 GEN393114 GOJ393114 GYF393114 HIB393114 HRX393114 IBT393114 ILP393114 IVL393114 JFH393114 JPD393114 JYZ393114 KIV393114 KSR393114 LCN393114 LMJ393114 LWF393114 MGB393114 MPX393114 MZT393114 NJP393114 NTL393114 ODH393114 OND393114 OWZ393114 PGV393114 PQR393114 QAN393114 QKJ393114 QUF393114 REB393114 RNX393114 RXT393114 SHP393114 SRL393114 TBH393114 TLD393114 TUZ393114 UEV393114 UOR393114 UYN393114 VIJ393114 VSF393114 WCB393114 WLX393114 WVT393114 P458650 JH458650 TD458650 ACZ458650 AMV458650 AWR458650 BGN458650 BQJ458650 CAF458650 CKB458650 CTX458650 DDT458650 DNP458650 DXL458650 EHH458650 ERD458650 FAZ458650 FKV458650 FUR458650 GEN458650 GOJ458650 GYF458650 HIB458650 HRX458650 IBT458650 ILP458650 IVL458650 JFH458650 JPD458650 JYZ458650 KIV458650 KSR458650 LCN458650 LMJ458650 LWF458650 MGB458650 MPX458650 MZT458650 NJP458650 NTL458650 ODH458650 OND458650 OWZ458650 PGV458650 PQR458650 QAN458650 QKJ458650 QUF458650 REB458650 RNX458650 RXT458650 SHP458650 SRL458650 TBH458650 TLD458650 TUZ458650 UEV458650 UOR458650 UYN458650 VIJ458650 VSF458650 WCB458650 WLX458650 WVT458650 P524186 JH524186 TD524186 ACZ524186 AMV524186 AWR524186 BGN524186 BQJ524186 CAF524186 CKB524186 CTX524186 DDT524186 DNP524186 DXL524186 EHH524186 ERD524186 FAZ524186 FKV524186 FUR524186 GEN524186 GOJ524186 GYF524186 HIB524186 HRX524186 IBT524186 ILP524186 IVL524186 JFH524186 JPD524186 JYZ524186 KIV524186 KSR524186 LCN524186 LMJ524186 LWF524186 MGB524186 MPX524186 MZT524186 NJP524186 NTL524186 ODH524186 OND524186 OWZ524186 PGV524186 PQR524186 QAN524186 QKJ524186 QUF524186 REB524186 RNX524186 RXT524186 SHP524186 SRL524186 TBH524186 TLD524186 TUZ524186 UEV524186 UOR524186 UYN524186 VIJ524186 VSF524186 WCB524186 WLX524186 WVT524186 P589722 JH589722 TD589722 ACZ589722 AMV589722 AWR589722 BGN589722 BQJ589722 CAF589722 CKB589722 CTX589722 DDT589722 DNP589722 DXL589722 EHH589722 ERD589722 FAZ589722 FKV589722 FUR589722 GEN589722 GOJ589722 GYF589722 HIB589722 HRX589722 IBT589722 ILP589722 IVL589722 JFH589722 JPD589722 JYZ589722 KIV589722 KSR589722 LCN589722 LMJ589722 LWF589722 MGB589722 MPX589722 MZT589722 NJP589722 NTL589722 ODH589722 OND589722 OWZ589722 PGV589722 PQR589722 QAN589722 QKJ589722 QUF589722 REB589722 RNX589722 RXT589722 SHP589722 SRL589722 TBH589722 TLD589722 TUZ589722 UEV589722 UOR589722 UYN589722 VIJ589722 VSF589722 WCB589722 WLX589722 WVT589722 P655258 JH655258 TD655258 ACZ655258 AMV655258 AWR655258 BGN655258 BQJ655258 CAF655258 CKB655258 CTX655258 DDT655258 DNP655258 DXL655258 EHH655258 ERD655258 FAZ655258 FKV655258 FUR655258 GEN655258 GOJ655258 GYF655258 HIB655258 HRX655258 IBT655258 ILP655258 IVL655258 JFH655258 JPD655258 JYZ655258 KIV655258 KSR655258 LCN655258 LMJ655258 LWF655258 MGB655258 MPX655258 MZT655258 NJP655258 NTL655258 ODH655258 OND655258 OWZ655258 PGV655258 PQR655258 QAN655258 QKJ655258 QUF655258 REB655258 RNX655258 RXT655258 SHP655258 SRL655258 TBH655258 TLD655258 TUZ655258 UEV655258 UOR655258 UYN655258 VIJ655258 VSF655258 WCB655258 WLX655258 WVT655258 P720794 JH720794 TD720794 ACZ720794 AMV720794 AWR720794 BGN720794 BQJ720794 CAF720794 CKB720794 CTX720794 DDT720794 DNP720794 DXL720794 EHH720794 ERD720794 FAZ720794 FKV720794 FUR720794 GEN720794 GOJ720794 GYF720794 HIB720794 HRX720794 IBT720794 ILP720794 IVL720794 JFH720794 JPD720794 JYZ720794 KIV720794 KSR720794 LCN720794 LMJ720794 LWF720794 MGB720794 MPX720794 MZT720794 NJP720794 NTL720794 ODH720794 OND720794 OWZ720794 PGV720794 PQR720794 QAN720794 QKJ720794 QUF720794 REB720794 RNX720794 RXT720794 SHP720794 SRL720794 TBH720794 TLD720794 TUZ720794 UEV720794 UOR720794 UYN720794 VIJ720794 VSF720794 WCB720794 WLX720794 WVT720794 P786330 JH786330 TD786330 ACZ786330 AMV786330 AWR786330 BGN786330 BQJ786330 CAF786330 CKB786330 CTX786330 DDT786330 DNP786330 DXL786330 EHH786330 ERD786330 FAZ786330 FKV786330 FUR786330 GEN786330 GOJ786330 GYF786330 HIB786330 HRX786330 IBT786330 ILP786330 IVL786330 JFH786330 JPD786330 JYZ786330 KIV786330 KSR786330 LCN786330 LMJ786330 LWF786330 MGB786330 MPX786330 MZT786330 NJP786330 NTL786330 ODH786330 OND786330 OWZ786330 PGV786330 PQR786330 QAN786330 QKJ786330 QUF786330 REB786330 RNX786330 RXT786330 SHP786330 SRL786330 TBH786330 TLD786330 TUZ786330 UEV786330 UOR786330 UYN786330 VIJ786330 VSF786330 WCB786330 WLX786330 WVT786330 P851866 JH851866 TD851866 ACZ851866 AMV851866 AWR851866 BGN851866 BQJ851866 CAF851866 CKB851866 CTX851866 DDT851866 DNP851866 DXL851866 EHH851866 ERD851866 FAZ851866 FKV851866 FUR851866 GEN851866 GOJ851866 GYF851866 HIB851866 HRX851866 IBT851866 ILP851866 IVL851866 JFH851866 JPD851866 JYZ851866 KIV851866 KSR851866 LCN851866 LMJ851866 LWF851866 MGB851866 MPX851866 MZT851866 NJP851866 NTL851866 ODH851866 OND851866 OWZ851866 PGV851866 PQR851866 QAN851866 QKJ851866 QUF851866 REB851866 RNX851866 RXT851866 SHP851866 SRL851866 TBH851866 TLD851866 TUZ851866 UEV851866 UOR851866 UYN851866 VIJ851866 VSF851866 WCB851866 WLX851866 WVT851866 P917402 JH917402 TD917402 ACZ917402 AMV917402 AWR917402 BGN917402 BQJ917402 CAF917402 CKB917402 CTX917402 DDT917402 DNP917402 DXL917402 EHH917402 ERD917402 FAZ917402 FKV917402 FUR917402 GEN917402 GOJ917402 GYF917402 HIB917402 HRX917402 IBT917402 ILP917402 IVL917402 JFH917402 JPD917402 JYZ917402 KIV917402 KSR917402 LCN917402 LMJ917402 LWF917402 MGB917402 MPX917402 MZT917402 NJP917402 NTL917402 ODH917402 OND917402 OWZ917402 PGV917402 PQR917402 QAN917402 QKJ917402 QUF917402 REB917402 RNX917402 RXT917402 SHP917402 SRL917402 TBH917402 TLD917402 TUZ917402 UEV917402 UOR917402 UYN917402 VIJ917402 VSF917402 WCB917402 WLX917402 WVT917402 P982938 JH982938 TD982938 ACZ982938 AMV982938 AWR982938 BGN982938 BQJ982938 CAF982938 CKB982938 CTX982938 DDT982938 DNP982938 DXL982938 EHH982938 ERD982938 FAZ982938 FKV982938 FUR982938 GEN982938 GOJ982938 GYF982938 HIB982938 HRX982938 IBT982938 ILP982938 IVL982938 JFH982938 JPD982938 JYZ982938 KIV982938 KSR982938 LCN982938 LMJ982938 LWF982938 MGB982938 MPX982938 MZT982938 NJP982938 NTL982938 ODH982938 OND982938 OWZ982938 PGV982938 PQR982938 QAN982938 QKJ982938 QUF982938 REB982938 RNX982938 RXT982938 SHP982938 SRL982938 TBH982938 TLD982938 TUZ982938 UEV982938 UOR982938 UYN982938 VIJ982938 VSF982938 WCB982938 WLX982938 WVT982938 O353 O390 O466:O467 O65612:O65684 O65686:O65782 O65902:O65903 O131148:O131220 O131222:O131318 O131438:O131439 O196684:O196756 O196758:O196854 O196974:O196975 O262220:O262292 O262294:O262390 O262510:O262511 O327756:O327828 O327830:O327926 O328046:O328047 O393292:O393364 O393366:O393462 O393582:O393583 O458828:O458900 O458902:O458998 O459118:O459119 O524364:O524436 O524438:O524534 O524654:O524655 O589900:O589972 O589974:O590070 O590190:O590191 O655436:O655508 O655510:O655606 O655726:O655727 O720972:O721044 O721046:O721142 O721262:O721263 O786508:O786580 O786582:O786678 O786798:O786799 O852044:O852116 O852118:O852214 O852334:O852335 O917580:O917652 O917654:O917750 O917870:O917871 O983116:O983188 O983190:O983286 O983406:O983407 JG177:JG249 JG466:JG467 JG65612:JG65684 JG65686:JG65782 JG65902:JG65903 JG131148:JG131220 JG131222:JG131318 JG131438:JG131439 JG196684:JG196756 JG196758:JG196854 JG196974:JG196975 JG262220:JG262292 JG262294:JG262390 JG262510:JG262511 JG327756:JG327828 JG327830:JG327926 JG328046:JG328047 JG393292:JG393364 JG393366:JG393462 JG393582:JG393583 JG458828:JG458900 JG458902:JG458998 JG459118:JG459119 JG524364:JG524436 JG524438:JG524534 JG524654:JG524655 JG589900:JG589972 JG589974:JG590070 JG590190:JG590191 JG655436:JG655508 JG655510:JG655606 JG655726:JG655727 JG720972:JG721044 JG721046:JG721142 JG721262:JG721263 JG786508:JG786580 JG786582:JG786678 JG786798:JG786799 JG852044:JG852116 JG852118:JG852214 JG852334:JG852335 JG917580:JG917652 JG917654:JG917750 JG917870:JG917871 JG983116:JG983188 JG983190:JG983286 JG983406:JG983407 TC177:TC249 TC466:TC467 TC65612:TC65684 TC65686:TC65782 TC65902:TC65903 TC131148:TC131220 TC131222:TC131318 TC131438:TC131439 TC196684:TC196756 TC196758:TC196854 TC196974:TC196975 TC262220:TC262292 TC262294:TC262390 TC262510:TC262511 TC327756:TC327828 TC327830:TC327926 TC328046:TC328047 TC393292:TC393364 TC393366:TC393462 TC393582:TC393583 TC458828:TC458900 TC458902:TC458998 TC459118:TC459119 TC524364:TC524436 TC524438:TC524534 TC524654:TC524655 TC589900:TC589972 TC589974:TC590070 TC590190:TC590191 TC655436:TC655508 TC655510:TC655606 TC655726:TC655727 TC720972:TC721044 TC721046:TC721142 TC721262:TC721263 TC786508:TC786580 TC786582:TC786678 TC786798:TC786799 TC852044:TC852116 TC852118:TC852214 TC852334:TC852335 TC917580:TC917652 TC917654:TC917750 TC917870:TC917871 TC983116:TC983188 TC983190:TC983286 TC983406:TC983407 ACY177:ACY249 ACY466:ACY467 ACY65612:ACY65684 ACY65686:ACY65782 ACY65902:ACY65903 ACY131148:ACY131220 ACY131222:ACY131318 ACY131438:ACY131439 ACY196684:ACY196756 ACY196758:ACY196854 ACY196974:ACY196975 ACY262220:ACY262292 ACY262294:ACY262390 ACY262510:ACY262511 ACY327756:ACY327828 ACY327830:ACY327926 ACY328046:ACY328047 ACY393292:ACY393364 ACY393366:ACY393462 ACY393582:ACY393583 ACY458828:ACY458900 ACY458902:ACY458998 ACY459118:ACY459119 ACY524364:ACY524436 ACY524438:ACY524534 ACY524654:ACY524655 ACY589900:ACY589972 ACY589974:ACY590070 ACY590190:ACY590191 ACY655436:ACY655508 ACY655510:ACY655606 ACY655726:ACY655727 ACY720972:ACY721044 ACY721046:ACY721142 ACY721262:ACY721263 ACY786508:ACY786580 ACY786582:ACY786678 ACY786798:ACY786799 ACY852044:ACY852116 ACY852118:ACY852214 ACY852334:ACY852335 ACY917580:ACY917652 ACY917654:ACY917750 ACY917870:ACY917871 ACY983116:ACY983188 ACY983190:ACY983286 ACY983406:ACY983407 AMU177:AMU249 AMU466:AMU467 AMU65612:AMU65684 AMU65686:AMU65782 AMU65902:AMU65903 AMU131148:AMU131220 AMU131222:AMU131318 AMU131438:AMU131439 AMU196684:AMU196756 AMU196758:AMU196854 AMU196974:AMU196975 AMU262220:AMU262292 AMU262294:AMU262390 AMU262510:AMU262511 AMU327756:AMU327828 AMU327830:AMU327926 AMU328046:AMU328047 AMU393292:AMU393364 AMU393366:AMU393462 AMU393582:AMU393583 AMU458828:AMU458900 AMU458902:AMU458998 AMU459118:AMU459119 AMU524364:AMU524436 AMU524438:AMU524534 AMU524654:AMU524655 AMU589900:AMU589972 AMU589974:AMU590070 AMU590190:AMU590191 AMU655436:AMU655508 AMU655510:AMU655606 AMU655726:AMU655727 AMU720972:AMU721044 AMU721046:AMU721142 AMU721262:AMU721263 AMU786508:AMU786580 AMU786582:AMU786678 AMU786798:AMU786799 AMU852044:AMU852116 AMU852118:AMU852214 AMU852334:AMU852335 AMU917580:AMU917652 AMU917654:AMU917750 AMU917870:AMU917871 AMU983116:AMU983188 AMU983190:AMU983286 AMU983406:AMU983407 AWQ177:AWQ249 AWQ466:AWQ467 AWQ65612:AWQ65684 AWQ65686:AWQ65782 AWQ65902:AWQ65903 AWQ131148:AWQ131220 AWQ131222:AWQ131318 AWQ131438:AWQ131439 AWQ196684:AWQ196756 AWQ196758:AWQ196854 AWQ196974:AWQ196975 AWQ262220:AWQ262292 AWQ262294:AWQ262390 AWQ262510:AWQ262511 AWQ327756:AWQ327828 AWQ327830:AWQ327926 AWQ328046:AWQ328047 AWQ393292:AWQ393364 AWQ393366:AWQ393462 AWQ393582:AWQ393583 AWQ458828:AWQ458900 AWQ458902:AWQ458998 AWQ459118:AWQ459119 AWQ524364:AWQ524436 AWQ524438:AWQ524534 AWQ524654:AWQ524655 AWQ589900:AWQ589972 AWQ589974:AWQ590070 AWQ590190:AWQ590191 AWQ655436:AWQ655508 AWQ655510:AWQ655606 AWQ655726:AWQ655727 AWQ720972:AWQ721044 AWQ721046:AWQ721142 AWQ721262:AWQ721263 AWQ786508:AWQ786580 AWQ786582:AWQ786678 AWQ786798:AWQ786799 AWQ852044:AWQ852116 AWQ852118:AWQ852214 AWQ852334:AWQ852335 AWQ917580:AWQ917652 AWQ917654:AWQ917750 AWQ917870:AWQ917871 AWQ983116:AWQ983188 AWQ983190:AWQ983286 AWQ983406:AWQ983407 BGM177:BGM249 BGM466:BGM467 BGM65612:BGM65684 BGM65686:BGM65782 BGM65902:BGM65903 BGM131148:BGM131220 BGM131222:BGM131318 BGM131438:BGM131439 BGM196684:BGM196756 BGM196758:BGM196854 BGM196974:BGM196975 BGM262220:BGM262292 BGM262294:BGM262390 BGM262510:BGM262511 BGM327756:BGM327828 BGM327830:BGM327926 BGM328046:BGM328047 BGM393292:BGM393364 BGM393366:BGM393462 BGM393582:BGM393583 BGM458828:BGM458900 BGM458902:BGM458998 BGM459118:BGM459119 BGM524364:BGM524436 BGM524438:BGM524534 BGM524654:BGM524655 BGM589900:BGM589972 BGM589974:BGM590070 BGM590190:BGM590191 BGM655436:BGM655508 BGM655510:BGM655606 BGM655726:BGM655727 BGM720972:BGM721044 BGM721046:BGM721142 BGM721262:BGM721263 BGM786508:BGM786580 BGM786582:BGM786678 BGM786798:BGM786799 BGM852044:BGM852116 BGM852118:BGM852214 BGM852334:BGM852335 BGM917580:BGM917652 BGM917654:BGM917750 BGM917870:BGM917871 BGM983116:BGM983188 BGM983190:BGM983286 BGM983406:BGM983407 BQI177:BQI249 BQI466:BQI467 BQI65612:BQI65684 BQI65686:BQI65782 BQI65902:BQI65903 BQI131148:BQI131220 BQI131222:BQI131318 BQI131438:BQI131439 BQI196684:BQI196756 BQI196758:BQI196854 BQI196974:BQI196975 BQI262220:BQI262292 BQI262294:BQI262390 BQI262510:BQI262511 BQI327756:BQI327828 BQI327830:BQI327926 BQI328046:BQI328047 BQI393292:BQI393364 BQI393366:BQI393462 BQI393582:BQI393583 BQI458828:BQI458900 BQI458902:BQI458998 BQI459118:BQI459119 BQI524364:BQI524436 BQI524438:BQI524534 BQI524654:BQI524655 BQI589900:BQI589972 BQI589974:BQI590070 BQI590190:BQI590191 BQI655436:BQI655508 BQI655510:BQI655606 BQI655726:BQI655727 BQI720972:BQI721044 BQI721046:BQI721142 BQI721262:BQI721263 BQI786508:BQI786580 BQI786582:BQI786678 BQI786798:BQI786799 BQI852044:BQI852116 BQI852118:BQI852214 BQI852334:BQI852335 BQI917580:BQI917652 BQI917654:BQI917750 BQI917870:BQI917871 BQI983116:BQI983188 BQI983190:BQI983286 BQI983406:BQI983407 CAE177:CAE249 CAE466:CAE467 CAE65612:CAE65684 CAE65686:CAE65782 CAE65902:CAE65903 CAE131148:CAE131220 CAE131222:CAE131318 CAE131438:CAE131439 CAE196684:CAE196756 CAE196758:CAE196854 CAE196974:CAE196975 CAE262220:CAE262292 CAE262294:CAE262390 CAE262510:CAE262511 CAE327756:CAE327828 CAE327830:CAE327926 CAE328046:CAE328047 CAE393292:CAE393364 CAE393366:CAE393462 CAE393582:CAE393583 CAE458828:CAE458900 CAE458902:CAE458998 CAE459118:CAE459119 CAE524364:CAE524436 CAE524438:CAE524534 CAE524654:CAE524655 CAE589900:CAE589972 CAE589974:CAE590070 CAE590190:CAE590191 CAE655436:CAE655508 CAE655510:CAE655606 CAE655726:CAE655727 CAE720972:CAE721044 CAE721046:CAE721142 CAE721262:CAE721263 CAE786508:CAE786580 CAE786582:CAE786678 CAE786798:CAE786799 CAE852044:CAE852116 CAE852118:CAE852214 CAE852334:CAE852335 CAE917580:CAE917652 CAE917654:CAE917750 CAE917870:CAE917871 CAE983116:CAE983188 CAE983190:CAE983286 CAE983406:CAE983407 CKA177:CKA249 CKA466:CKA467 CKA65612:CKA65684 CKA65686:CKA65782 CKA65902:CKA65903 CKA131148:CKA131220 CKA131222:CKA131318 CKA131438:CKA131439 CKA196684:CKA196756 CKA196758:CKA196854 CKA196974:CKA196975 CKA262220:CKA262292 CKA262294:CKA262390 CKA262510:CKA262511 CKA327756:CKA327828 CKA327830:CKA327926 CKA328046:CKA328047 CKA393292:CKA393364 CKA393366:CKA393462 CKA393582:CKA393583 CKA458828:CKA458900 CKA458902:CKA458998 CKA459118:CKA459119 CKA524364:CKA524436 CKA524438:CKA524534 CKA524654:CKA524655 CKA589900:CKA589972 CKA589974:CKA590070 CKA590190:CKA590191 CKA655436:CKA655508 CKA655510:CKA655606 CKA655726:CKA655727 CKA720972:CKA721044 CKA721046:CKA721142 CKA721262:CKA721263 CKA786508:CKA786580 CKA786582:CKA786678 CKA786798:CKA786799 CKA852044:CKA852116 CKA852118:CKA852214 CKA852334:CKA852335 CKA917580:CKA917652 CKA917654:CKA917750 CKA917870:CKA917871 CKA983116:CKA983188 CKA983190:CKA983286 CKA983406:CKA983407 CTW177:CTW249 CTW466:CTW467 CTW65612:CTW65684 CTW65686:CTW65782 CTW65902:CTW65903 CTW131148:CTW131220 CTW131222:CTW131318 CTW131438:CTW131439 CTW196684:CTW196756 CTW196758:CTW196854 CTW196974:CTW196975 CTW262220:CTW262292 CTW262294:CTW262390 CTW262510:CTW262511 CTW327756:CTW327828 CTW327830:CTW327926 CTW328046:CTW328047 CTW393292:CTW393364 CTW393366:CTW393462 CTW393582:CTW393583 CTW458828:CTW458900 CTW458902:CTW458998 CTW459118:CTW459119 CTW524364:CTW524436 CTW524438:CTW524534 CTW524654:CTW524655 CTW589900:CTW589972 CTW589974:CTW590070 CTW590190:CTW590191 CTW655436:CTW655508 CTW655510:CTW655606 CTW655726:CTW655727 CTW720972:CTW721044 CTW721046:CTW721142 CTW721262:CTW721263 CTW786508:CTW786580 CTW786582:CTW786678 CTW786798:CTW786799 CTW852044:CTW852116 CTW852118:CTW852214 CTW852334:CTW852335 CTW917580:CTW917652 CTW917654:CTW917750 CTW917870:CTW917871 CTW983116:CTW983188 CTW983190:CTW983286 CTW983406:CTW983407 DDS177:DDS249 DDS466:DDS467 DDS65612:DDS65684 DDS65686:DDS65782 DDS65902:DDS65903 DDS131148:DDS131220 DDS131222:DDS131318 DDS131438:DDS131439 DDS196684:DDS196756 DDS196758:DDS196854 DDS196974:DDS196975 DDS262220:DDS262292 DDS262294:DDS262390 DDS262510:DDS262511 DDS327756:DDS327828 DDS327830:DDS327926 DDS328046:DDS328047 DDS393292:DDS393364 DDS393366:DDS393462 DDS393582:DDS393583 DDS458828:DDS458900 DDS458902:DDS458998 DDS459118:DDS459119 DDS524364:DDS524436 DDS524438:DDS524534 DDS524654:DDS524655 DDS589900:DDS589972 DDS589974:DDS590070 DDS590190:DDS590191 DDS655436:DDS655508 DDS655510:DDS655606 DDS655726:DDS655727 DDS720972:DDS721044 DDS721046:DDS721142 DDS721262:DDS721263 DDS786508:DDS786580 DDS786582:DDS786678 DDS786798:DDS786799 DDS852044:DDS852116 DDS852118:DDS852214 DDS852334:DDS852335 DDS917580:DDS917652 DDS917654:DDS917750 DDS917870:DDS917871 DDS983116:DDS983188 DDS983190:DDS983286 DDS983406:DDS983407 DNO177:DNO249 DNO466:DNO467 DNO65612:DNO65684 DNO65686:DNO65782 DNO65902:DNO65903 DNO131148:DNO131220 DNO131222:DNO131318 DNO131438:DNO131439 DNO196684:DNO196756 DNO196758:DNO196854 DNO196974:DNO196975 DNO262220:DNO262292 DNO262294:DNO262390 DNO262510:DNO262511 DNO327756:DNO327828 DNO327830:DNO327926 DNO328046:DNO328047 DNO393292:DNO393364 DNO393366:DNO393462 DNO393582:DNO393583 DNO458828:DNO458900 DNO458902:DNO458998 DNO459118:DNO459119 DNO524364:DNO524436 DNO524438:DNO524534 DNO524654:DNO524655 DNO589900:DNO589972 DNO589974:DNO590070 DNO590190:DNO590191 DNO655436:DNO655508 DNO655510:DNO655606 DNO655726:DNO655727 DNO720972:DNO721044 DNO721046:DNO721142 DNO721262:DNO721263 DNO786508:DNO786580 DNO786582:DNO786678 DNO786798:DNO786799 DNO852044:DNO852116 DNO852118:DNO852214 DNO852334:DNO852335 DNO917580:DNO917652 DNO917654:DNO917750 DNO917870:DNO917871 DNO983116:DNO983188 DNO983190:DNO983286 DNO983406:DNO983407 DXK177:DXK249 DXK466:DXK467 DXK65612:DXK65684 DXK65686:DXK65782 DXK65902:DXK65903 DXK131148:DXK131220 DXK131222:DXK131318 DXK131438:DXK131439 DXK196684:DXK196756 DXK196758:DXK196854 DXK196974:DXK196975 DXK262220:DXK262292 DXK262294:DXK262390 DXK262510:DXK262511 DXK327756:DXK327828 DXK327830:DXK327926 DXK328046:DXK328047 DXK393292:DXK393364 DXK393366:DXK393462 DXK393582:DXK393583 DXK458828:DXK458900 DXK458902:DXK458998 DXK459118:DXK459119 DXK524364:DXK524436 DXK524438:DXK524534 DXK524654:DXK524655 DXK589900:DXK589972 DXK589974:DXK590070 DXK590190:DXK590191 DXK655436:DXK655508 DXK655510:DXK655606 DXK655726:DXK655727 DXK720972:DXK721044 DXK721046:DXK721142 DXK721262:DXK721263 DXK786508:DXK786580 DXK786582:DXK786678 DXK786798:DXK786799 DXK852044:DXK852116 DXK852118:DXK852214 DXK852334:DXK852335 DXK917580:DXK917652 DXK917654:DXK917750 DXK917870:DXK917871 DXK983116:DXK983188 DXK983190:DXK983286 DXK983406:DXK983407 EHG177:EHG249 EHG466:EHG467 EHG65612:EHG65684 EHG65686:EHG65782 EHG65902:EHG65903 EHG131148:EHG131220 EHG131222:EHG131318 EHG131438:EHG131439 EHG196684:EHG196756 EHG196758:EHG196854 EHG196974:EHG196975 EHG262220:EHG262292 EHG262294:EHG262390 EHG262510:EHG262511 EHG327756:EHG327828 EHG327830:EHG327926 EHG328046:EHG328047 EHG393292:EHG393364 EHG393366:EHG393462 EHG393582:EHG393583 EHG458828:EHG458900 EHG458902:EHG458998 EHG459118:EHG459119 EHG524364:EHG524436 EHG524438:EHG524534 EHG524654:EHG524655 EHG589900:EHG589972 EHG589974:EHG590070 EHG590190:EHG590191 EHG655436:EHG655508 EHG655510:EHG655606 EHG655726:EHG655727 EHG720972:EHG721044 EHG721046:EHG721142 EHG721262:EHG721263 EHG786508:EHG786580 EHG786582:EHG786678 EHG786798:EHG786799 EHG852044:EHG852116 EHG852118:EHG852214 EHG852334:EHG852335 EHG917580:EHG917652 EHG917654:EHG917750 EHG917870:EHG917871 EHG983116:EHG983188 EHG983190:EHG983286 EHG983406:EHG983407 ERC177:ERC249 ERC466:ERC467 ERC65612:ERC65684 ERC65686:ERC65782 ERC65902:ERC65903 ERC131148:ERC131220 ERC131222:ERC131318 ERC131438:ERC131439 ERC196684:ERC196756 ERC196758:ERC196854 ERC196974:ERC196975 ERC262220:ERC262292 ERC262294:ERC262390 ERC262510:ERC262511 ERC327756:ERC327828 ERC327830:ERC327926 ERC328046:ERC328047 ERC393292:ERC393364 ERC393366:ERC393462 ERC393582:ERC393583 ERC458828:ERC458900 ERC458902:ERC458998 ERC459118:ERC459119 ERC524364:ERC524436 ERC524438:ERC524534 ERC524654:ERC524655 ERC589900:ERC589972 ERC589974:ERC590070 ERC590190:ERC590191 ERC655436:ERC655508 ERC655510:ERC655606 ERC655726:ERC655727 ERC720972:ERC721044 ERC721046:ERC721142 ERC721262:ERC721263 ERC786508:ERC786580 ERC786582:ERC786678 ERC786798:ERC786799 ERC852044:ERC852116 ERC852118:ERC852214 ERC852334:ERC852335 ERC917580:ERC917652 ERC917654:ERC917750 ERC917870:ERC917871 ERC983116:ERC983188 ERC983190:ERC983286 ERC983406:ERC983407 FAY177:FAY249 FAY466:FAY467 FAY65612:FAY65684 FAY65686:FAY65782 FAY65902:FAY65903 FAY131148:FAY131220 FAY131222:FAY131318 FAY131438:FAY131439 FAY196684:FAY196756 FAY196758:FAY196854 FAY196974:FAY196975 FAY262220:FAY262292 FAY262294:FAY262390 FAY262510:FAY262511 FAY327756:FAY327828 FAY327830:FAY327926 FAY328046:FAY328047 FAY393292:FAY393364 FAY393366:FAY393462 FAY393582:FAY393583 FAY458828:FAY458900 FAY458902:FAY458998 FAY459118:FAY459119 FAY524364:FAY524436 FAY524438:FAY524534 FAY524654:FAY524655 FAY589900:FAY589972 FAY589974:FAY590070 FAY590190:FAY590191 FAY655436:FAY655508 FAY655510:FAY655606 FAY655726:FAY655727 FAY720972:FAY721044 FAY721046:FAY721142 FAY721262:FAY721263 FAY786508:FAY786580 FAY786582:FAY786678 FAY786798:FAY786799 FAY852044:FAY852116 FAY852118:FAY852214 FAY852334:FAY852335 FAY917580:FAY917652 FAY917654:FAY917750 FAY917870:FAY917871 FAY983116:FAY983188 FAY983190:FAY983286 FAY983406:FAY983407 FKU177:FKU249 FKU466:FKU467 FKU65612:FKU65684 FKU65686:FKU65782 FKU65902:FKU65903 FKU131148:FKU131220 FKU131222:FKU131318 FKU131438:FKU131439 FKU196684:FKU196756 FKU196758:FKU196854 FKU196974:FKU196975 FKU262220:FKU262292 FKU262294:FKU262390 FKU262510:FKU262511 FKU327756:FKU327828 FKU327830:FKU327926 FKU328046:FKU328047 FKU393292:FKU393364 FKU393366:FKU393462 FKU393582:FKU393583 FKU458828:FKU458900 FKU458902:FKU458998 FKU459118:FKU459119 FKU524364:FKU524436 FKU524438:FKU524534 FKU524654:FKU524655 FKU589900:FKU589972 FKU589974:FKU590070 FKU590190:FKU590191 FKU655436:FKU655508 FKU655510:FKU655606 FKU655726:FKU655727 FKU720972:FKU721044 FKU721046:FKU721142 FKU721262:FKU721263 FKU786508:FKU786580 FKU786582:FKU786678 FKU786798:FKU786799 FKU852044:FKU852116 FKU852118:FKU852214 FKU852334:FKU852335 FKU917580:FKU917652 FKU917654:FKU917750 FKU917870:FKU917871 FKU983116:FKU983188 FKU983190:FKU983286 FKU983406:FKU983407 FUQ177:FUQ249 FUQ466:FUQ467 FUQ65612:FUQ65684 FUQ65686:FUQ65782 FUQ65902:FUQ65903 FUQ131148:FUQ131220 FUQ131222:FUQ131318 FUQ131438:FUQ131439 FUQ196684:FUQ196756 FUQ196758:FUQ196854 FUQ196974:FUQ196975 FUQ262220:FUQ262292 FUQ262294:FUQ262390 FUQ262510:FUQ262511 FUQ327756:FUQ327828 FUQ327830:FUQ327926 FUQ328046:FUQ328047 FUQ393292:FUQ393364 FUQ393366:FUQ393462 FUQ393582:FUQ393583 FUQ458828:FUQ458900 FUQ458902:FUQ458998 FUQ459118:FUQ459119 FUQ524364:FUQ524436 FUQ524438:FUQ524534 FUQ524654:FUQ524655 FUQ589900:FUQ589972 FUQ589974:FUQ590070 FUQ590190:FUQ590191 FUQ655436:FUQ655508 FUQ655510:FUQ655606 FUQ655726:FUQ655727 FUQ720972:FUQ721044 FUQ721046:FUQ721142 FUQ721262:FUQ721263 FUQ786508:FUQ786580 FUQ786582:FUQ786678 FUQ786798:FUQ786799 FUQ852044:FUQ852116 FUQ852118:FUQ852214 FUQ852334:FUQ852335 FUQ917580:FUQ917652 FUQ917654:FUQ917750 FUQ917870:FUQ917871 FUQ983116:FUQ983188 FUQ983190:FUQ983286 FUQ983406:FUQ983407 GEM177:GEM249 GEM466:GEM467 GEM65612:GEM65684 GEM65686:GEM65782 GEM65902:GEM65903 GEM131148:GEM131220 GEM131222:GEM131318 GEM131438:GEM131439 GEM196684:GEM196756 GEM196758:GEM196854 GEM196974:GEM196975 GEM262220:GEM262292 GEM262294:GEM262390 GEM262510:GEM262511 GEM327756:GEM327828 GEM327830:GEM327926 GEM328046:GEM328047 GEM393292:GEM393364 GEM393366:GEM393462 GEM393582:GEM393583 GEM458828:GEM458900 GEM458902:GEM458998 GEM459118:GEM459119 GEM524364:GEM524436 GEM524438:GEM524534 GEM524654:GEM524655 GEM589900:GEM589972 GEM589974:GEM590070 GEM590190:GEM590191 GEM655436:GEM655508 GEM655510:GEM655606 GEM655726:GEM655727 GEM720972:GEM721044 GEM721046:GEM721142 GEM721262:GEM721263 GEM786508:GEM786580 GEM786582:GEM786678 GEM786798:GEM786799 GEM852044:GEM852116 GEM852118:GEM852214 GEM852334:GEM852335 GEM917580:GEM917652 GEM917654:GEM917750 GEM917870:GEM917871 GEM983116:GEM983188 GEM983190:GEM983286 GEM983406:GEM983407 GOI177:GOI249 GOI466:GOI467 GOI65612:GOI65684 GOI65686:GOI65782 GOI65902:GOI65903 GOI131148:GOI131220 GOI131222:GOI131318 GOI131438:GOI131439 GOI196684:GOI196756 GOI196758:GOI196854 GOI196974:GOI196975 GOI262220:GOI262292 GOI262294:GOI262390 GOI262510:GOI262511 GOI327756:GOI327828 GOI327830:GOI327926 GOI328046:GOI328047 GOI393292:GOI393364 GOI393366:GOI393462 GOI393582:GOI393583 GOI458828:GOI458900 GOI458902:GOI458998 GOI459118:GOI459119 GOI524364:GOI524436 GOI524438:GOI524534 GOI524654:GOI524655 GOI589900:GOI589972 GOI589974:GOI590070 GOI590190:GOI590191 GOI655436:GOI655508 GOI655510:GOI655606 GOI655726:GOI655727 GOI720972:GOI721044 GOI721046:GOI721142 GOI721262:GOI721263 GOI786508:GOI786580 GOI786582:GOI786678 GOI786798:GOI786799 GOI852044:GOI852116 GOI852118:GOI852214 GOI852334:GOI852335 GOI917580:GOI917652 GOI917654:GOI917750 GOI917870:GOI917871 GOI983116:GOI983188 GOI983190:GOI983286 GOI983406:GOI983407 GYE177:GYE249 GYE466:GYE467 GYE65612:GYE65684 GYE65686:GYE65782 GYE65902:GYE65903 GYE131148:GYE131220 GYE131222:GYE131318 GYE131438:GYE131439 GYE196684:GYE196756 GYE196758:GYE196854 GYE196974:GYE196975 GYE262220:GYE262292 GYE262294:GYE262390 GYE262510:GYE262511 GYE327756:GYE327828 GYE327830:GYE327926 GYE328046:GYE328047 GYE393292:GYE393364 GYE393366:GYE393462 GYE393582:GYE393583 GYE458828:GYE458900 GYE458902:GYE458998 GYE459118:GYE459119 GYE524364:GYE524436 GYE524438:GYE524534 GYE524654:GYE524655 GYE589900:GYE589972 GYE589974:GYE590070 GYE590190:GYE590191 GYE655436:GYE655508 GYE655510:GYE655606 GYE655726:GYE655727 GYE720972:GYE721044 GYE721046:GYE721142 GYE721262:GYE721263 GYE786508:GYE786580 GYE786582:GYE786678 GYE786798:GYE786799 GYE852044:GYE852116 GYE852118:GYE852214 GYE852334:GYE852335 GYE917580:GYE917652 GYE917654:GYE917750 GYE917870:GYE917871 GYE983116:GYE983188 GYE983190:GYE983286 GYE983406:GYE983407 HIA177:HIA249 HIA466:HIA467 HIA65612:HIA65684 HIA65686:HIA65782 HIA65902:HIA65903 HIA131148:HIA131220 HIA131222:HIA131318 HIA131438:HIA131439 HIA196684:HIA196756 HIA196758:HIA196854 HIA196974:HIA196975 HIA262220:HIA262292 HIA262294:HIA262390 HIA262510:HIA262511 HIA327756:HIA327828 HIA327830:HIA327926 HIA328046:HIA328047 HIA393292:HIA393364 HIA393366:HIA393462 HIA393582:HIA393583 HIA458828:HIA458900 HIA458902:HIA458998 HIA459118:HIA459119 HIA524364:HIA524436 HIA524438:HIA524534 HIA524654:HIA524655 HIA589900:HIA589972 HIA589974:HIA590070 HIA590190:HIA590191 HIA655436:HIA655508 HIA655510:HIA655606 HIA655726:HIA655727 HIA720972:HIA721044 HIA721046:HIA721142 HIA721262:HIA721263 HIA786508:HIA786580 HIA786582:HIA786678 HIA786798:HIA786799 HIA852044:HIA852116 HIA852118:HIA852214 HIA852334:HIA852335 HIA917580:HIA917652 HIA917654:HIA917750 HIA917870:HIA917871 HIA983116:HIA983188 HIA983190:HIA983286 HIA983406:HIA983407 HRW177:HRW249 HRW466:HRW467 HRW65612:HRW65684 HRW65686:HRW65782 HRW65902:HRW65903 HRW131148:HRW131220 HRW131222:HRW131318 HRW131438:HRW131439 HRW196684:HRW196756 HRW196758:HRW196854 HRW196974:HRW196975 HRW262220:HRW262292 HRW262294:HRW262390 HRW262510:HRW262511 HRW327756:HRW327828 HRW327830:HRW327926 HRW328046:HRW328047 HRW393292:HRW393364 HRW393366:HRW393462 HRW393582:HRW393583 HRW458828:HRW458900 HRW458902:HRW458998 HRW459118:HRW459119 HRW524364:HRW524436 HRW524438:HRW524534 HRW524654:HRW524655 HRW589900:HRW589972 HRW589974:HRW590070 HRW590190:HRW590191 HRW655436:HRW655508 HRW655510:HRW655606 HRW655726:HRW655727 HRW720972:HRW721044 HRW721046:HRW721142 HRW721262:HRW721263 HRW786508:HRW786580 HRW786582:HRW786678 HRW786798:HRW786799 HRW852044:HRW852116 HRW852118:HRW852214 HRW852334:HRW852335 HRW917580:HRW917652 HRW917654:HRW917750 HRW917870:HRW917871 HRW983116:HRW983188 HRW983190:HRW983286 HRW983406:HRW983407 IBS177:IBS249 IBS466:IBS467 IBS65612:IBS65684 IBS65686:IBS65782 IBS65902:IBS65903 IBS131148:IBS131220 IBS131222:IBS131318 IBS131438:IBS131439 IBS196684:IBS196756 IBS196758:IBS196854 IBS196974:IBS196975 IBS262220:IBS262292 IBS262294:IBS262390 IBS262510:IBS262511 IBS327756:IBS327828 IBS327830:IBS327926 IBS328046:IBS328047 IBS393292:IBS393364 IBS393366:IBS393462 IBS393582:IBS393583 IBS458828:IBS458900 IBS458902:IBS458998 IBS459118:IBS459119 IBS524364:IBS524436 IBS524438:IBS524534 IBS524654:IBS524655 IBS589900:IBS589972 IBS589974:IBS590070 IBS590190:IBS590191 IBS655436:IBS655508 IBS655510:IBS655606 IBS655726:IBS655727 IBS720972:IBS721044 IBS721046:IBS721142 IBS721262:IBS721263 IBS786508:IBS786580 IBS786582:IBS786678 IBS786798:IBS786799 IBS852044:IBS852116 IBS852118:IBS852214 IBS852334:IBS852335 IBS917580:IBS917652 IBS917654:IBS917750 IBS917870:IBS917871 IBS983116:IBS983188 IBS983190:IBS983286 IBS983406:IBS983407 ILO177:ILO249 ILO466:ILO467 ILO65612:ILO65684 ILO65686:ILO65782 ILO65902:ILO65903 ILO131148:ILO131220 ILO131222:ILO131318 ILO131438:ILO131439 ILO196684:ILO196756 ILO196758:ILO196854 ILO196974:ILO196975 ILO262220:ILO262292 ILO262294:ILO262390 ILO262510:ILO262511 ILO327756:ILO327828 ILO327830:ILO327926 ILO328046:ILO328047 ILO393292:ILO393364 ILO393366:ILO393462 ILO393582:ILO393583 ILO458828:ILO458900 ILO458902:ILO458998 ILO459118:ILO459119 ILO524364:ILO524436 ILO524438:ILO524534 ILO524654:ILO524655 ILO589900:ILO589972 ILO589974:ILO590070 ILO590190:ILO590191 ILO655436:ILO655508 ILO655510:ILO655606 ILO655726:ILO655727 ILO720972:ILO721044 ILO721046:ILO721142 ILO721262:ILO721263 ILO786508:ILO786580 ILO786582:ILO786678 ILO786798:ILO786799 ILO852044:ILO852116 ILO852118:ILO852214 ILO852334:ILO852335 ILO917580:ILO917652 ILO917654:ILO917750 ILO917870:ILO917871 ILO983116:ILO983188 ILO983190:ILO983286 ILO983406:ILO983407 IVK177:IVK249 IVK466:IVK467 IVK65612:IVK65684 IVK65686:IVK65782 IVK65902:IVK65903 IVK131148:IVK131220 IVK131222:IVK131318 IVK131438:IVK131439 IVK196684:IVK196756 IVK196758:IVK196854 IVK196974:IVK196975 IVK262220:IVK262292 IVK262294:IVK262390 IVK262510:IVK262511 IVK327756:IVK327828 IVK327830:IVK327926 IVK328046:IVK328047 IVK393292:IVK393364 IVK393366:IVK393462 IVK393582:IVK393583 IVK458828:IVK458900 IVK458902:IVK458998 IVK459118:IVK459119 IVK524364:IVK524436 IVK524438:IVK524534 IVK524654:IVK524655 IVK589900:IVK589972 IVK589974:IVK590070 IVK590190:IVK590191 IVK655436:IVK655508 IVK655510:IVK655606 IVK655726:IVK655727 IVK720972:IVK721044 IVK721046:IVK721142 IVK721262:IVK721263 IVK786508:IVK786580 IVK786582:IVK786678 IVK786798:IVK786799 IVK852044:IVK852116 IVK852118:IVK852214 IVK852334:IVK852335 IVK917580:IVK917652 IVK917654:IVK917750 IVK917870:IVK917871 IVK983116:IVK983188 IVK983190:IVK983286 IVK983406:IVK983407 JFG177:JFG249 JFG466:JFG467 JFG65612:JFG65684 JFG65686:JFG65782 JFG65902:JFG65903 JFG131148:JFG131220 JFG131222:JFG131318 JFG131438:JFG131439 JFG196684:JFG196756 JFG196758:JFG196854 JFG196974:JFG196975 JFG262220:JFG262292 JFG262294:JFG262390 JFG262510:JFG262511 JFG327756:JFG327828 JFG327830:JFG327926 JFG328046:JFG328047 JFG393292:JFG393364 JFG393366:JFG393462 JFG393582:JFG393583 JFG458828:JFG458900 JFG458902:JFG458998 JFG459118:JFG459119 JFG524364:JFG524436 JFG524438:JFG524534 JFG524654:JFG524655 JFG589900:JFG589972 JFG589974:JFG590070 JFG590190:JFG590191 JFG655436:JFG655508 JFG655510:JFG655606 JFG655726:JFG655727 JFG720972:JFG721044 JFG721046:JFG721142 JFG721262:JFG721263 JFG786508:JFG786580 JFG786582:JFG786678 JFG786798:JFG786799 JFG852044:JFG852116 JFG852118:JFG852214 JFG852334:JFG852335 JFG917580:JFG917652 JFG917654:JFG917750 JFG917870:JFG917871 JFG983116:JFG983188 JFG983190:JFG983286 JFG983406:JFG983407 JPC177:JPC249 JPC466:JPC467 JPC65612:JPC65684 JPC65686:JPC65782 JPC65902:JPC65903 JPC131148:JPC131220 JPC131222:JPC131318 JPC131438:JPC131439 JPC196684:JPC196756 JPC196758:JPC196854 JPC196974:JPC196975 JPC262220:JPC262292 JPC262294:JPC262390 JPC262510:JPC262511 JPC327756:JPC327828 JPC327830:JPC327926 JPC328046:JPC328047 JPC393292:JPC393364 JPC393366:JPC393462 JPC393582:JPC393583 JPC458828:JPC458900 JPC458902:JPC458998 JPC459118:JPC459119 JPC524364:JPC524436 JPC524438:JPC524534 JPC524654:JPC524655 JPC589900:JPC589972 JPC589974:JPC590070 JPC590190:JPC590191 JPC655436:JPC655508 JPC655510:JPC655606 JPC655726:JPC655727 JPC720972:JPC721044 JPC721046:JPC721142 JPC721262:JPC721263 JPC786508:JPC786580 JPC786582:JPC786678 JPC786798:JPC786799 JPC852044:JPC852116 JPC852118:JPC852214 JPC852334:JPC852335 JPC917580:JPC917652 JPC917654:JPC917750 JPC917870:JPC917871 JPC983116:JPC983188 JPC983190:JPC983286 JPC983406:JPC983407 JYY177:JYY249 JYY466:JYY467 JYY65612:JYY65684 JYY65686:JYY65782 JYY65902:JYY65903 JYY131148:JYY131220 JYY131222:JYY131318 JYY131438:JYY131439 JYY196684:JYY196756 JYY196758:JYY196854 JYY196974:JYY196975 JYY262220:JYY262292 JYY262294:JYY262390 JYY262510:JYY262511 JYY327756:JYY327828 JYY327830:JYY327926 JYY328046:JYY328047 JYY393292:JYY393364 JYY393366:JYY393462 JYY393582:JYY393583 JYY458828:JYY458900 JYY458902:JYY458998 JYY459118:JYY459119 JYY524364:JYY524436 JYY524438:JYY524534 JYY524654:JYY524655 JYY589900:JYY589972 JYY589974:JYY590070 JYY590190:JYY590191 JYY655436:JYY655508 JYY655510:JYY655606 JYY655726:JYY655727 JYY720972:JYY721044 JYY721046:JYY721142 JYY721262:JYY721263 JYY786508:JYY786580 JYY786582:JYY786678 JYY786798:JYY786799 JYY852044:JYY852116 JYY852118:JYY852214 JYY852334:JYY852335 JYY917580:JYY917652 JYY917654:JYY917750 JYY917870:JYY917871 JYY983116:JYY983188 JYY983190:JYY983286 JYY983406:JYY983407 KIU177:KIU249 KIU466:KIU467 KIU65612:KIU65684 KIU65686:KIU65782 KIU65902:KIU65903 KIU131148:KIU131220 KIU131222:KIU131318 KIU131438:KIU131439 KIU196684:KIU196756 KIU196758:KIU196854 KIU196974:KIU196975 KIU262220:KIU262292 KIU262294:KIU262390 KIU262510:KIU262511 KIU327756:KIU327828 KIU327830:KIU327926 KIU328046:KIU328047 KIU393292:KIU393364 KIU393366:KIU393462 KIU393582:KIU393583 KIU458828:KIU458900 KIU458902:KIU458998 KIU459118:KIU459119 KIU524364:KIU524436 KIU524438:KIU524534 KIU524654:KIU524655 KIU589900:KIU589972 KIU589974:KIU590070 KIU590190:KIU590191 KIU655436:KIU655508 KIU655510:KIU655606 KIU655726:KIU655727 KIU720972:KIU721044 KIU721046:KIU721142 KIU721262:KIU721263 KIU786508:KIU786580 KIU786582:KIU786678 KIU786798:KIU786799 KIU852044:KIU852116 KIU852118:KIU852214 KIU852334:KIU852335 KIU917580:KIU917652 KIU917654:KIU917750 KIU917870:KIU917871 KIU983116:KIU983188 KIU983190:KIU983286 KIU983406:KIU983407 KSQ177:KSQ249 KSQ466:KSQ467 KSQ65612:KSQ65684 KSQ65686:KSQ65782 KSQ65902:KSQ65903 KSQ131148:KSQ131220 KSQ131222:KSQ131318 KSQ131438:KSQ131439 KSQ196684:KSQ196756 KSQ196758:KSQ196854 KSQ196974:KSQ196975 KSQ262220:KSQ262292 KSQ262294:KSQ262390 KSQ262510:KSQ262511 KSQ327756:KSQ327828 KSQ327830:KSQ327926 KSQ328046:KSQ328047 KSQ393292:KSQ393364 KSQ393366:KSQ393462 KSQ393582:KSQ393583 KSQ458828:KSQ458900 KSQ458902:KSQ458998 KSQ459118:KSQ459119 KSQ524364:KSQ524436 KSQ524438:KSQ524534 KSQ524654:KSQ524655 KSQ589900:KSQ589972 KSQ589974:KSQ590070 KSQ590190:KSQ590191 KSQ655436:KSQ655508 KSQ655510:KSQ655606 KSQ655726:KSQ655727 KSQ720972:KSQ721044 KSQ721046:KSQ721142 KSQ721262:KSQ721263 KSQ786508:KSQ786580 KSQ786582:KSQ786678 KSQ786798:KSQ786799 KSQ852044:KSQ852116 KSQ852118:KSQ852214 KSQ852334:KSQ852335 KSQ917580:KSQ917652 KSQ917654:KSQ917750 KSQ917870:KSQ917871 KSQ983116:KSQ983188 KSQ983190:KSQ983286 KSQ983406:KSQ983407 LCM177:LCM249 LCM466:LCM467 LCM65612:LCM65684 LCM65686:LCM65782 LCM65902:LCM65903 LCM131148:LCM131220 LCM131222:LCM131318 LCM131438:LCM131439 LCM196684:LCM196756 LCM196758:LCM196854 LCM196974:LCM196975 LCM262220:LCM262292 LCM262294:LCM262390 LCM262510:LCM262511 LCM327756:LCM327828 LCM327830:LCM327926 LCM328046:LCM328047 LCM393292:LCM393364 LCM393366:LCM393462 LCM393582:LCM393583 LCM458828:LCM458900 LCM458902:LCM458998 LCM459118:LCM459119 LCM524364:LCM524436 LCM524438:LCM524534 LCM524654:LCM524655 LCM589900:LCM589972 LCM589974:LCM590070 LCM590190:LCM590191 LCM655436:LCM655508 LCM655510:LCM655606 LCM655726:LCM655727 LCM720972:LCM721044 LCM721046:LCM721142 LCM721262:LCM721263 LCM786508:LCM786580 LCM786582:LCM786678 LCM786798:LCM786799 LCM852044:LCM852116 LCM852118:LCM852214 LCM852334:LCM852335 LCM917580:LCM917652 LCM917654:LCM917750 LCM917870:LCM917871 LCM983116:LCM983188 LCM983190:LCM983286 LCM983406:LCM983407 LMI177:LMI249 LMI466:LMI467 LMI65612:LMI65684 LMI65686:LMI65782 LMI65902:LMI65903 LMI131148:LMI131220 LMI131222:LMI131318 LMI131438:LMI131439 LMI196684:LMI196756 LMI196758:LMI196854 LMI196974:LMI196975 LMI262220:LMI262292 LMI262294:LMI262390 LMI262510:LMI262511 LMI327756:LMI327828 LMI327830:LMI327926 LMI328046:LMI328047 LMI393292:LMI393364 LMI393366:LMI393462 LMI393582:LMI393583 LMI458828:LMI458900 LMI458902:LMI458998 LMI459118:LMI459119 LMI524364:LMI524436 LMI524438:LMI524534 LMI524654:LMI524655 LMI589900:LMI589972 LMI589974:LMI590070 LMI590190:LMI590191 LMI655436:LMI655508 LMI655510:LMI655606 LMI655726:LMI655727 LMI720972:LMI721044 LMI721046:LMI721142 LMI721262:LMI721263 LMI786508:LMI786580 LMI786582:LMI786678 LMI786798:LMI786799 LMI852044:LMI852116 LMI852118:LMI852214 LMI852334:LMI852335 LMI917580:LMI917652 LMI917654:LMI917750 LMI917870:LMI917871 LMI983116:LMI983188 LMI983190:LMI983286 LMI983406:LMI983407 LWE177:LWE249 LWE466:LWE467 LWE65612:LWE65684 LWE65686:LWE65782 LWE65902:LWE65903 LWE131148:LWE131220 LWE131222:LWE131318 LWE131438:LWE131439 LWE196684:LWE196756 LWE196758:LWE196854 LWE196974:LWE196975 LWE262220:LWE262292 LWE262294:LWE262390 LWE262510:LWE262511 LWE327756:LWE327828 LWE327830:LWE327926 LWE328046:LWE328047 LWE393292:LWE393364 LWE393366:LWE393462 LWE393582:LWE393583 LWE458828:LWE458900 LWE458902:LWE458998 LWE459118:LWE459119 LWE524364:LWE524436 LWE524438:LWE524534 LWE524654:LWE524655 LWE589900:LWE589972 LWE589974:LWE590070 LWE590190:LWE590191 LWE655436:LWE655508 LWE655510:LWE655606 LWE655726:LWE655727 LWE720972:LWE721044 LWE721046:LWE721142 LWE721262:LWE721263 LWE786508:LWE786580 LWE786582:LWE786678 LWE786798:LWE786799 LWE852044:LWE852116 LWE852118:LWE852214 LWE852334:LWE852335 LWE917580:LWE917652 LWE917654:LWE917750 LWE917870:LWE917871 LWE983116:LWE983188 LWE983190:LWE983286 LWE983406:LWE983407 MGA177:MGA249 MGA466:MGA467 MGA65612:MGA65684 MGA65686:MGA65782 MGA65902:MGA65903 MGA131148:MGA131220 MGA131222:MGA131318 MGA131438:MGA131439 MGA196684:MGA196756 MGA196758:MGA196854 MGA196974:MGA196975 MGA262220:MGA262292 MGA262294:MGA262390 MGA262510:MGA262511 MGA327756:MGA327828 MGA327830:MGA327926 MGA328046:MGA328047 MGA393292:MGA393364 MGA393366:MGA393462 MGA393582:MGA393583 MGA458828:MGA458900 MGA458902:MGA458998 MGA459118:MGA459119 MGA524364:MGA524436 MGA524438:MGA524534 MGA524654:MGA524655 MGA589900:MGA589972 MGA589974:MGA590070 MGA590190:MGA590191 MGA655436:MGA655508 MGA655510:MGA655606 MGA655726:MGA655727 MGA720972:MGA721044 MGA721046:MGA721142 MGA721262:MGA721263 MGA786508:MGA786580 MGA786582:MGA786678 MGA786798:MGA786799 MGA852044:MGA852116 MGA852118:MGA852214 MGA852334:MGA852335 MGA917580:MGA917652 MGA917654:MGA917750 MGA917870:MGA917871 MGA983116:MGA983188 MGA983190:MGA983286 MGA983406:MGA983407 MPW177:MPW249 MPW466:MPW467 MPW65612:MPW65684 MPW65686:MPW65782 MPW65902:MPW65903 MPW131148:MPW131220 MPW131222:MPW131318 MPW131438:MPW131439 MPW196684:MPW196756 MPW196758:MPW196854 MPW196974:MPW196975 MPW262220:MPW262292 MPW262294:MPW262390 MPW262510:MPW262511 MPW327756:MPW327828 MPW327830:MPW327926 MPW328046:MPW328047 MPW393292:MPW393364 MPW393366:MPW393462 MPW393582:MPW393583 MPW458828:MPW458900 MPW458902:MPW458998 MPW459118:MPW459119 MPW524364:MPW524436 MPW524438:MPW524534 MPW524654:MPW524655 MPW589900:MPW589972 MPW589974:MPW590070 MPW590190:MPW590191 MPW655436:MPW655508 MPW655510:MPW655606 MPW655726:MPW655727 MPW720972:MPW721044 MPW721046:MPW721142 MPW721262:MPW721263 MPW786508:MPW786580 MPW786582:MPW786678 MPW786798:MPW786799 MPW852044:MPW852116 MPW852118:MPW852214 MPW852334:MPW852335 MPW917580:MPW917652 MPW917654:MPW917750 MPW917870:MPW917871 MPW983116:MPW983188 MPW983190:MPW983286 MPW983406:MPW983407 MZS177:MZS249 MZS466:MZS467 MZS65612:MZS65684 MZS65686:MZS65782 MZS65902:MZS65903 MZS131148:MZS131220 MZS131222:MZS131318 MZS131438:MZS131439 MZS196684:MZS196756 MZS196758:MZS196854 MZS196974:MZS196975 MZS262220:MZS262292 MZS262294:MZS262390 MZS262510:MZS262511 MZS327756:MZS327828 MZS327830:MZS327926 MZS328046:MZS328047 MZS393292:MZS393364 MZS393366:MZS393462 MZS393582:MZS393583 MZS458828:MZS458900 MZS458902:MZS458998 MZS459118:MZS459119 MZS524364:MZS524436 MZS524438:MZS524534 MZS524654:MZS524655 MZS589900:MZS589972 MZS589974:MZS590070 MZS590190:MZS590191 MZS655436:MZS655508 MZS655510:MZS655606 MZS655726:MZS655727 MZS720972:MZS721044 MZS721046:MZS721142 MZS721262:MZS721263 MZS786508:MZS786580 MZS786582:MZS786678 MZS786798:MZS786799 MZS852044:MZS852116 MZS852118:MZS852214 MZS852334:MZS852335 MZS917580:MZS917652 MZS917654:MZS917750 MZS917870:MZS917871 MZS983116:MZS983188 MZS983190:MZS983286 MZS983406:MZS983407 NJO177:NJO249 NJO466:NJO467 NJO65612:NJO65684 NJO65686:NJO65782 NJO65902:NJO65903 NJO131148:NJO131220 NJO131222:NJO131318 NJO131438:NJO131439 NJO196684:NJO196756 NJO196758:NJO196854 NJO196974:NJO196975 NJO262220:NJO262292 NJO262294:NJO262390 NJO262510:NJO262511 NJO327756:NJO327828 NJO327830:NJO327926 NJO328046:NJO328047 NJO393292:NJO393364 NJO393366:NJO393462 NJO393582:NJO393583 NJO458828:NJO458900 NJO458902:NJO458998 NJO459118:NJO459119 NJO524364:NJO524436 NJO524438:NJO524534 NJO524654:NJO524655 NJO589900:NJO589972 NJO589974:NJO590070 NJO590190:NJO590191 NJO655436:NJO655508 NJO655510:NJO655606 NJO655726:NJO655727 NJO720972:NJO721044 NJO721046:NJO721142 NJO721262:NJO721263 NJO786508:NJO786580 NJO786582:NJO786678 NJO786798:NJO786799 NJO852044:NJO852116 NJO852118:NJO852214 NJO852334:NJO852335 NJO917580:NJO917652 NJO917654:NJO917750 NJO917870:NJO917871 NJO983116:NJO983188 NJO983190:NJO983286 NJO983406:NJO983407 NTK177:NTK249 NTK466:NTK467 NTK65612:NTK65684 NTK65686:NTK65782 NTK65902:NTK65903 NTK131148:NTK131220 NTK131222:NTK131318 NTK131438:NTK131439 NTK196684:NTK196756 NTK196758:NTK196854 NTK196974:NTK196975 NTK262220:NTK262292 NTK262294:NTK262390 NTK262510:NTK262511 NTK327756:NTK327828 NTK327830:NTK327926 NTK328046:NTK328047 NTK393292:NTK393364 NTK393366:NTK393462 NTK393582:NTK393583 NTK458828:NTK458900 NTK458902:NTK458998 NTK459118:NTK459119 NTK524364:NTK524436 NTK524438:NTK524534 NTK524654:NTK524655 NTK589900:NTK589972 NTK589974:NTK590070 NTK590190:NTK590191 NTK655436:NTK655508 NTK655510:NTK655606 NTK655726:NTK655727 NTK720972:NTK721044 NTK721046:NTK721142 NTK721262:NTK721263 NTK786508:NTK786580 NTK786582:NTK786678 NTK786798:NTK786799 NTK852044:NTK852116 NTK852118:NTK852214 NTK852334:NTK852335 NTK917580:NTK917652 NTK917654:NTK917750 NTK917870:NTK917871 NTK983116:NTK983188 NTK983190:NTK983286 NTK983406:NTK983407 ODG177:ODG249 ODG466:ODG467 ODG65612:ODG65684 ODG65686:ODG65782 ODG65902:ODG65903 ODG131148:ODG131220 ODG131222:ODG131318 ODG131438:ODG131439 ODG196684:ODG196756 ODG196758:ODG196854 ODG196974:ODG196975 ODG262220:ODG262292 ODG262294:ODG262390 ODG262510:ODG262511 ODG327756:ODG327828 ODG327830:ODG327926 ODG328046:ODG328047 ODG393292:ODG393364 ODG393366:ODG393462 ODG393582:ODG393583 ODG458828:ODG458900 ODG458902:ODG458998 ODG459118:ODG459119 ODG524364:ODG524436 ODG524438:ODG524534 ODG524654:ODG524655 ODG589900:ODG589972 ODG589974:ODG590070 ODG590190:ODG590191 ODG655436:ODG655508 ODG655510:ODG655606 ODG655726:ODG655727 ODG720972:ODG721044 ODG721046:ODG721142 ODG721262:ODG721263 ODG786508:ODG786580 ODG786582:ODG786678 ODG786798:ODG786799 ODG852044:ODG852116 ODG852118:ODG852214 ODG852334:ODG852335 ODG917580:ODG917652 ODG917654:ODG917750 ODG917870:ODG917871 ODG983116:ODG983188 ODG983190:ODG983286 ODG983406:ODG983407 ONC177:ONC249 ONC466:ONC467 ONC65612:ONC65684 ONC65686:ONC65782 ONC65902:ONC65903 ONC131148:ONC131220 ONC131222:ONC131318 ONC131438:ONC131439 ONC196684:ONC196756 ONC196758:ONC196854 ONC196974:ONC196975 ONC262220:ONC262292 ONC262294:ONC262390 ONC262510:ONC262511 ONC327756:ONC327828 ONC327830:ONC327926 ONC328046:ONC328047 ONC393292:ONC393364 ONC393366:ONC393462 ONC393582:ONC393583 ONC458828:ONC458900 ONC458902:ONC458998 ONC459118:ONC459119 ONC524364:ONC524436 ONC524438:ONC524534 ONC524654:ONC524655 ONC589900:ONC589972 ONC589974:ONC590070 ONC590190:ONC590191 ONC655436:ONC655508 ONC655510:ONC655606 ONC655726:ONC655727 ONC720972:ONC721044 ONC721046:ONC721142 ONC721262:ONC721263 ONC786508:ONC786580 ONC786582:ONC786678 ONC786798:ONC786799 ONC852044:ONC852116 ONC852118:ONC852214 ONC852334:ONC852335 ONC917580:ONC917652 ONC917654:ONC917750 ONC917870:ONC917871 ONC983116:ONC983188 ONC983190:ONC983286 ONC983406:ONC983407 OWY177:OWY249 OWY466:OWY467 OWY65612:OWY65684 OWY65686:OWY65782 OWY65902:OWY65903 OWY131148:OWY131220 OWY131222:OWY131318 OWY131438:OWY131439 OWY196684:OWY196756 OWY196758:OWY196854 OWY196974:OWY196975 OWY262220:OWY262292 OWY262294:OWY262390 OWY262510:OWY262511 OWY327756:OWY327828 OWY327830:OWY327926 OWY328046:OWY328047 OWY393292:OWY393364 OWY393366:OWY393462 OWY393582:OWY393583 OWY458828:OWY458900 OWY458902:OWY458998 OWY459118:OWY459119 OWY524364:OWY524436 OWY524438:OWY524534 OWY524654:OWY524655 OWY589900:OWY589972 OWY589974:OWY590070 OWY590190:OWY590191 OWY655436:OWY655508 OWY655510:OWY655606 OWY655726:OWY655727 OWY720972:OWY721044 OWY721046:OWY721142 OWY721262:OWY721263 OWY786508:OWY786580 OWY786582:OWY786678 OWY786798:OWY786799 OWY852044:OWY852116 OWY852118:OWY852214 OWY852334:OWY852335 OWY917580:OWY917652 OWY917654:OWY917750 OWY917870:OWY917871 OWY983116:OWY983188 OWY983190:OWY983286 OWY983406:OWY983407 PGU177:PGU249 PGU466:PGU467 PGU65612:PGU65684 PGU65686:PGU65782 PGU65902:PGU65903 PGU131148:PGU131220 PGU131222:PGU131318 PGU131438:PGU131439 PGU196684:PGU196756 PGU196758:PGU196854 PGU196974:PGU196975 PGU262220:PGU262292 PGU262294:PGU262390 PGU262510:PGU262511 PGU327756:PGU327828 PGU327830:PGU327926 PGU328046:PGU328047 PGU393292:PGU393364 PGU393366:PGU393462 PGU393582:PGU393583 PGU458828:PGU458900 PGU458902:PGU458998 PGU459118:PGU459119 PGU524364:PGU524436 PGU524438:PGU524534 PGU524654:PGU524655 PGU589900:PGU589972 PGU589974:PGU590070 PGU590190:PGU590191 PGU655436:PGU655508 PGU655510:PGU655606 PGU655726:PGU655727 PGU720972:PGU721044 PGU721046:PGU721142 PGU721262:PGU721263 PGU786508:PGU786580 PGU786582:PGU786678 PGU786798:PGU786799 PGU852044:PGU852116 PGU852118:PGU852214 PGU852334:PGU852335 PGU917580:PGU917652 PGU917654:PGU917750 PGU917870:PGU917871 PGU983116:PGU983188 PGU983190:PGU983286 PGU983406:PGU983407 PQQ177:PQQ249 PQQ466:PQQ467 PQQ65612:PQQ65684 PQQ65686:PQQ65782 PQQ65902:PQQ65903 PQQ131148:PQQ131220 PQQ131222:PQQ131318 PQQ131438:PQQ131439 PQQ196684:PQQ196756 PQQ196758:PQQ196854 PQQ196974:PQQ196975 PQQ262220:PQQ262292 PQQ262294:PQQ262390 PQQ262510:PQQ262511 PQQ327756:PQQ327828 PQQ327830:PQQ327926 PQQ328046:PQQ328047 PQQ393292:PQQ393364 PQQ393366:PQQ393462 PQQ393582:PQQ393583 PQQ458828:PQQ458900 PQQ458902:PQQ458998 PQQ459118:PQQ459119 PQQ524364:PQQ524436 PQQ524438:PQQ524534 PQQ524654:PQQ524655 PQQ589900:PQQ589972 PQQ589974:PQQ590070 PQQ590190:PQQ590191 PQQ655436:PQQ655508 PQQ655510:PQQ655606 PQQ655726:PQQ655727 PQQ720972:PQQ721044 PQQ721046:PQQ721142 PQQ721262:PQQ721263 PQQ786508:PQQ786580 PQQ786582:PQQ786678 PQQ786798:PQQ786799 PQQ852044:PQQ852116 PQQ852118:PQQ852214 PQQ852334:PQQ852335 PQQ917580:PQQ917652 PQQ917654:PQQ917750 PQQ917870:PQQ917871 PQQ983116:PQQ983188 PQQ983190:PQQ983286 PQQ983406:PQQ983407 QAM177:QAM249 QAM466:QAM467 QAM65612:QAM65684 QAM65686:QAM65782 QAM65902:QAM65903 QAM131148:QAM131220 QAM131222:QAM131318 QAM131438:QAM131439 QAM196684:QAM196756 QAM196758:QAM196854 QAM196974:QAM196975 QAM262220:QAM262292 QAM262294:QAM262390 QAM262510:QAM262511 QAM327756:QAM327828 QAM327830:QAM327926 QAM328046:QAM328047 QAM393292:QAM393364 QAM393366:QAM393462 QAM393582:QAM393583 QAM458828:QAM458900 QAM458902:QAM458998 QAM459118:QAM459119 QAM524364:QAM524436 QAM524438:QAM524534 QAM524654:QAM524655 QAM589900:QAM589972 QAM589974:QAM590070 QAM590190:QAM590191 QAM655436:QAM655508 QAM655510:QAM655606 QAM655726:QAM655727 QAM720972:QAM721044 QAM721046:QAM721142 QAM721262:QAM721263 QAM786508:QAM786580 QAM786582:QAM786678 QAM786798:QAM786799 QAM852044:QAM852116 QAM852118:QAM852214 QAM852334:QAM852335 QAM917580:QAM917652 QAM917654:QAM917750 QAM917870:QAM917871 QAM983116:QAM983188 QAM983190:QAM983286 QAM983406:QAM983407 QKI177:QKI249 QKI466:QKI467 QKI65612:QKI65684 QKI65686:QKI65782 QKI65902:QKI65903 QKI131148:QKI131220 QKI131222:QKI131318 QKI131438:QKI131439 QKI196684:QKI196756 QKI196758:QKI196854 QKI196974:QKI196975 QKI262220:QKI262292 QKI262294:QKI262390 QKI262510:QKI262511 QKI327756:QKI327828 QKI327830:QKI327926 QKI328046:QKI328047 QKI393292:QKI393364 QKI393366:QKI393462 QKI393582:QKI393583 QKI458828:QKI458900 QKI458902:QKI458998 QKI459118:QKI459119 QKI524364:QKI524436 QKI524438:QKI524534 QKI524654:QKI524655 QKI589900:QKI589972 QKI589974:QKI590070 QKI590190:QKI590191 QKI655436:QKI655508 QKI655510:QKI655606 QKI655726:QKI655727 QKI720972:QKI721044 QKI721046:QKI721142 QKI721262:QKI721263 QKI786508:QKI786580 QKI786582:QKI786678 QKI786798:QKI786799 QKI852044:QKI852116 QKI852118:QKI852214 QKI852334:QKI852335 QKI917580:QKI917652 QKI917654:QKI917750 QKI917870:QKI917871 QKI983116:QKI983188 QKI983190:QKI983286 QKI983406:QKI983407 QUE177:QUE249 QUE466:QUE467 QUE65612:QUE65684 QUE65686:QUE65782 QUE65902:QUE65903 QUE131148:QUE131220 QUE131222:QUE131318 QUE131438:QUE131439 QUE196684:QUE196756 QUE196758:QUE196854 QUE196974:QUE196975 QUE262220:QUE262292 QUE262294:QUE262390 QUE262510:QUE262511 QUE327756:QUE327828 QUE327830:QUE327926 QUE328046:QUE328047 QUE393292:QUE393364 QUE393366:QUE393462 QUE393582:QUE393583 QUE458828:QUE458900 QUE458902:QUE458998 QUE459118:QUE459119 QUE524364:QUE524436 QUE524438:QUE524534 QUE524654:QUE524655 QUE589900:QUE589972 QUE589974:QUE590070 QUE590190:QUE590191 QUE655436:QUE655508 QUE655510:QUE655606 QUE655726:QUE655727 QUE720972:QUE721044 QUE721046:QUE721142 QUE721262:QUE721263 QUE786508:QUE786580 QUE786582:QUE786678 QUE786798:QUE786799 QUE852044:QUE852116 QUE852118:QUE852214 QUE852334:QUE852335 QUE917580:QUE917652 QUE917654:QUE917750 QUE917870:QUE917871 QUE983116:QUE983188 QUE983190:QUE983286 QUE983406:QUE983407 REA177:REA249 REA466:REA467 REA65612:REA65684 REA65686:REA65782 REA65902:REA65903 REA131148:REA131220 REA131222:REA131318 REA131438:REA131439 REA196684:REA196756 REA196758:REA196854 REA196974:REA196975 REA262220:REA262292 REA262294:REA262390 REA262510:REA262511 REA327756:REA327828 REA327830:REA327926 REA328046:REA328047 REA393292:REA393364 REA393366:REA393462 REA393582:REA393583 REA458828:REA458900 REA458902:REA458998 REA459118:REA459119 REA524364:REA524436 REA524438:REA524534 REA524654:REA524655 REA589900:REA589972 REA589974:REA590070 REA590190:REA590191 REA655436:REA655508 REA655510:REA655606 REA655726:REA655727 REA720972:REA721044 REA721046:REA721142 REA721262:REA721263 REA786508:REA786580 REA786582:REA786678 REA786798:REA786799 REA852044:REA852116 REA852118:REA852214 REA852334:REA852335 REA917580:REA917652 REA917654:REA917750 REA917870:REA917871 REA983116:REA983188 REA983190:REA983286 REA983406:REA983407 RNW177:RNW249 RNW466:RNW467 RNW65612:RNW65684 RNW65686:RNW65782 RNW65902:RNW65903 RNW131148:RNW131220 RNW131222:RNW131318 RNW131438:RNW131439 RNW196684:RNW196756 RNW196758:RNW196854 RNW196974:RNW196975 RNW262220:RNW262292 RNW262294:RNW262390 RNW262510:RNW262511 RNW327756:RNW327828 RNW327830:RNW327926 RNW328046:RNW328047 RNW393292:RNW393364 RNW393366:RNW393462 RNW393582:RNW393583 RNW458828:RNW458900 RNW458902:RNW458998 RNW459118:RNW459119 RNW524364:RNW524436 RNW524438:RNW524534 RNW524654:RNW524655 RNW589900:RNW589972 RNW589974:RNW590070 RNW590190:RNW590191 RNW655436:RNW655508 RNW655510:RNW655606 RNW655726:RNW655727 RNW720972:RNW721044 RNW721046:RNW721142 RNW721262:RNW721263 RNW786508:RNW786580 RNW786582:RNW786678 RNW786798:RNW786799 RNW852044:RNW852116 RNW852118:RNW852214 RNW852334:RNW852335 RNW917580:RNW917652 RNW917654:RNW917750 RNW917870:RNW917871 RNW983116:RNW983188 RNW983190:RNW983286 RNW983406:RNW983407 RXS177:RXS249 RXS466:RXS467 RXS65612:RXS65684 RXS65686:RXS65782 RXS65902:RXS65903 RXS131148:RXS131220 RXS131222:RXS131318 RXS131438:RXS131439 RXS196684:RXS196756 RXS196758:RXS196854 RXS196974:RXS196975 RXS262220:RXS262292 RXS262294:RXS262390 RXS262510:RXS262511 RXS327756:RXS327828 RXS327830:RXS327926 RXS328046:RXS328047 RXS393292:RXS393364 RXS393366:RXS393462 RXS393582:RXS393583 RXS458828:RXS458900 RXS458902:RXS458998 RXS459118:RXS459119 RXS524364:RXS524436 RXS524438:RXS524534 RXS524654:RXS524655 RXS589900:RXS589972 RXS589974:RXS590070 RXS590190:RXS590191 RXS655436:RXS655508 RXS655510:RXS655606 RXS655726:RXS655727 RXS720972:RXS721044 RXS721046:RXS721142 RXS721262:RXS721263 RXS786508:RXS786580 RXS786582:RXS786678 RXS786798:RXS786799 RXS852044:RXS852116 RXS852118:RXS852214 RXS852334:RXS852335 RXS917580:RXS917652 RXS917654:RXS917750 RXS917870:RXS917871 RXS983116:RXS983188 RXS983190:RXS983286 RXS983406:RXS983407 SHO177:SHO249 SHO466:SHO467 SHO65612:SHO65684 SHO65686:SHO65782 SHO65902:SHO65903 SHO131148:SHO131220 SHO131222:SHO131318 SHO131438:SHO131439 SHO196684:SHO196756 SHO196758:SHO196854 SHO196974:SHO196975 SHO262220:SHO262292 SHO262294:SHO262390 SHO262510:SHO262511 SHO327756:SHO327828 SHO327830:SHO327926 SHO328046:SHO328047 SHO393292:SHO393364 SHO393366:SHO393462 SHO393582:SHO393583 SHO458828:SHO458900 SHO458902:SHO458998 SHO459118:SHO459119 SHO524364:SHO524436 SHO524438:SHO524534 SHO524654:SHO524655 SHO589900:SHO589972 SHO589974:SHO590070 SHO590190:SHO590191 SHO655436:SHO655508 SHO655510:SHO655606 SHO655726:SHO655727 SHO720972:SHO721044 SHO721046:SHO721142 SHO721262:SHO721263 SHO786508:SHO786580 SHO786582:SHO786678 SHO786798:SHO786799 SHO852044:SHO852116 SHO852118:SHO852214 SHO852334:SHO852335 SHO917580:SHO917652 SHO917654:SHO917750 SHO917870:SHO917871 SHO983116:SHO983188 SHO983190:SHO983286 SHO983406:SHO983407 SRK177:SRK249 SRK466:SRK467 SRK65612:SRK65684 SRK65686:SRK65782 SRK65902:SRK65903 SRK131148:SRK131220 SRK131222:SRK131318 SRK131438:SRK131439 SRK196684:SRK196756 SRK196758:SRK196854 SRK196974:SRK196975 SRK262220:SRK262292 SRK262294:SRK262390 SRK262510:SRK262511 SRK327756:SRK327828 SRK327830:SRK327926 SRK328046:SRK328047 SRK393292:SRK393364 SRK393366:SRK393462 SRK393582:SRK393583 SRK458828:SRK458900 SRK458902:SRK458998 SRK459118:SRK459119 SRK524364:SRK524436 SRK524438:SRK524534 SRK524654:SRK524655 SRK589900:SRK589972 SRK589974:SRK590070 SRK590190:SRK590191 SRK655436:SRK655508 SRK655510:SRK655606 SRK655726:SRK655727 SRK720972:SRK721044 SRK721046:SRK721142 SRK721262:SRK721263 SRK786508:SRK786580 SRK786582:SRK786678 SRK786798:SRK786799 SRK852044:SRK852116 SRK852118:SRK852214 SRK852334:SRK852335 SRK917580:SRK917652 SRK917654:SRK917750 SRK917870:SRK917871 SRK983116:SRK983188 SRK983190:SRK983286 SRK983406:SRK983407 TBG177:TBG249 TBG466:TBG467 TBG65612:TBG65684 TBG65686:TBG65782 TBG65902:TBG65903 TBG131148:TBG131220 TBG131222:TBG131318 TBG131438:TBG131439 TBG196684:TBG196756 TBG196758:TBG196854 TBG196974:TBG196975 TBG262220:TBG262292 TBG262294:TBG262390 TBG262510:TBG262511 TBG327756:TBG327828 TBG327830:TBG327926 TBG328046:TBG328047 TBG393292:TBG393364 TBG393366:TBG393462 TBG393582:TBG393583 TBG458828:TBG458900 TBG458902:TBG458998 TBG459118:TBG459119 TBG524364:TBG524436 TBG524438:TBG524534 TBG524654:TBG524655 TBG589900:TBG589972 TBG589974:TBG590070 TBG590190:TBG590191 TBG655436:TBG655508 TBG655510:TBG655606 TBG655726:TBG655727 TBG720972:TBG721044 TBG721046:TBG721142 TBG721262:TBG721263 TBG786508:TBG786580 TBG786582:TBG786678 TBG786798:TBG786799 TBG852044:TBG852116 TBG852118:TBG852214 TBG852334:TBG852335 TBG917580:TBG917652 TBG917654:TBG917750 TBG917870:TBG917871 TBG983116:TBG983188 TBG983190:TBG983286 TBG983406:TBG983407 TLC177:TLC249 TLC466:TLC467 TLC65612:TLC65684 TLC65686:TLC65782 TLC65902:TLC65903 TLC131148:TLC131220 TLC131222:TLC131318 TLC131438:TLC131439 TLC196684:TLC196756 TLC196758:TLC196854 TLC196974:TLC196975 TLC262220:TLC262292 TLC262294:TLC262390 TLC262510:TLC262511 TLC327756:TLC327828 TLC327830:TLC327926 TLC328046:TLC328047 TLC393292:TLC393364 TLC393366:TLC393462 TLC393582:TLC393583 TLC458828:TLC458900 TLC458902:TLC458998 TLC459118:TLC459119 TLC524364:TLC524436 TLC524438:TLC524534 TLC524654:TLC524655 TLC589900:TLC589972 TLC589974:TLC590070 TLC590190:TLC590191 TLC655436:TLC655508 TLC655510:TLC655606 TLC655726:TLC655727 TLC720972:TLC721044 TLC721046:TLC721142 TLC721262:TLC721263 TLC786508:TLC786580 TLC786582:TLC786678 TLC786798:TLC786799 TLC852044:TLC852116 TLC852118:TLC852214 TLC852334:TLC852335 TLC917580:TLC917652 TLC917654:TLC917750 TLC917870:TLC917871 TLC983116:TLC983188 TLC983190:TLC983286 TLC983406:TLC983407 TUY177:TUY249 TUY466:TUY467 TUY65612:TUY65684 TUY65686:TUY65782 TUY65902:TUY65903 TUY131148:TUY131220 TUY131222:TUY131318 TUY131438:TUY131439 TUY196684:TUY196756 TUY196758:TUY196854 TUY196974:TUY196975 TUY262220:TUY262292 TUY262294:TUY262390 TUY262510:TUY262511 TUY327756:TUY327828 TUY327830:TUY327926 TUY328046:TUY328047 TUY393292:TUY393364 TUY393366:TUY393462 TUY393582:TUY393583 TUY458828:TUY458900 TUY458902:TUY458998 TUY459118:TUY459119 TUY524364:TUY524436 TUY524438:TUY524534 TUY524654:TUY524655 TUY589900:TUY589972 TUY589974:TUY590070 TUY590190:TUY590191 TUY655436:TUY655508 TUY655510:TUY655606 TUY655726:TUY655727 TUY720972:TUY721044 TUY721046:TUY721142 TUY721262:TUY721263 TUY786508:TUY786580 TUY786582:TUY786678 TUY786798:TUY786799 TUY852044:TUY852116 TUY852118:TUY852214 TUY852334:TUY852335 TUY917580:TUY917652 TUY917654:TUY917750 TUY917870:TUY917871 TUY983116:TUY983188 TUY983190:TUY983286 TUY983406:TUY983407 UEU177:UEU249 UEU466:UEU467 UEU65612:UEU65684 UEU65686:UEU65782 UEU65902:UEU65903 UEU131148:UEU131220 UEU131222:UEU131318 UEU131438:UEU131439 UEU196684:UEU196756 UEU196758:UEU196854 UEU196974:UEU196975 UEU262220:UEU262292 UEU262294:UEU262390 UEU262510:UEU262511 UEU327756:UEU327828 UEU327830:UEU327926 UEU328046:UEU328047 UEU393292:UEU393364 UEU393366:UEU393462 UEU393582:UEU393583 UEU458828:UEU458900 UEU458902:UEU458998 UEU459118:UEU459119 UEU524364:UEU524436 UEU524438:UEU524534 UEU524654:UEU524655 UEU589900:UEU589972 UEU589974:UEU590070 UEU590190:UEU590191 UEU655436:UEU655508 UEU655510:UEU655606 UEU655726:UEU655727 UEU720972:UEU721044 UEU721046:UEU721142 UEU721262:UEU721263 UEU786508:UEU786580 UEU786582:UEU786678 UEU786798:UEU786799 UEU852044:UEU852116 UEU852118:UEU852214 UEU852334:UEU852335 UEU917580:UEU917652 UEU917654:UEU917750 UEU917870:UEU917871 UEU983116:UEU983188 UEU983190:UEU983286 UEU983406:UEU983407 UOQ177:UOQ249 UOQ466:UOQ467 UOQ65612:UOQ65684 UOQ65686:UOQ65782 UOQ65902:UOQ65903 UOQ131148:UOQ131220 UOQ131222:UOQ131318 UOQ131438:UOQ131439 UOQ196684:UOQ196756 UOQ196758:UOQ196854 UOQ196974:UOQ196975 UOQ262220:UOQ262292 UOQ262294:UOQ262390 UOQ262510:UOQ262511 UOQ327756:UOQ327828 UOQ327830:UOQ327926 UOQ328046:UOQ328047 UOQ393292:UOQ393364 UOQ393366:UOQ393462 UOQ393582:UOQ393583 UOQ458828:UOQ458900 UOQ458902:UOQ458998 UOQ459118:UOQ459119 UOQ524364:UOQ524436 UOQ524438:UOQ524534 UOQ524654:UOQ524655 UOQ589900:UOQ589972 UOQ589974:UOQ590070 UOQ590190:UOQ590191 UOQ655436:UOQ655508 UOQ655510:UOQ655606 UOQ655726:UOQ655727 UOQ720972:UOQ721044 UOQ721046:UOQ721142 UOQ721262:UOQ721263 UOQ786508:UOQ786580 UOQ786582:UOQ786678 UOQ786798:UOQ786799 UOQ852044:UOQ852116 UOQ852118:UOQ852214 UOQ852334:UOQ852335 UOQ917580:UOQ917652 UOQ917654:UOQ917750 UOQ917870:UOQ917871 UOQ983116:UOQ983188 UOQ983190:UOQ983286 UOQ983406:UOQ983407 UYM177:UYM249 UYM466:UYM467 UYM65612:UYM65684 UYM65686:UYM65782 UYM65902:UYM65903 UYM131148:UYM131220 UYM131222:UYM131318 UYM131438:UYM131439 UYM196684:UYM196756 UYM196758:UYM196854 UYM196974:UYM196975 UYM262220:UYM262292 UYM262294:UYM262390 UYM262510:UYM262511 UYM327756:UYM327828 UYM327830:UYM327926 UYM328046:UYM328047 UYM393292:UYM393364 UYM393366:UYM393462 UYM393582:UYM393583 UYM458828:UYM458900 UYM458902:UYM458998 UYM459118:UYM459119 UYM524364:UYM524436 UYM524438:UYM524534 UYM524654:UYM524655 UYM589900:UYM589972 UYM589974:UYM590070 UYM590190:UYM590191 UYM655436:UYM655508 UYM655510:UYM655606 UYM655726:UYM655727 UYM720972:UYM721044 UYM721046:UYM721142 UYM721262:UYM721263 UYM786508:UYM786580 UYM786582:UYM786678 UYM786798:UYM786799 UYM852044:UYM852116 UYM852118:UYM852214 UYM852334:UYM852335 UYM917580:UYM917652 UYM917654:UYM917750 UYM917870:UYM917871 UYM983116:UYM983188 UYM983190:UYM983286 UYM983406:UYM983407 VII177:VII249 VII466:VII467 VII65612:VII65684 VII65686:VII65782 VII65902:VII65903 VII131148:VII131220 VII131222:VII131318 VII131438:VII131439 VII196684:VII196756 VII196758:VII196854 VII196974:VII196975 VII262220:VII262292 VII262294:VII262390 VII262510:VII262511 VII327756:VII327828 VII327830:VII327926 VII328046:VII328047 VII393292:VII393364 VII393366:VII393462 VII393582:VII393583 VII458828:VII458900 VII458902:VII458998 VII459118:VII459119 VII524364:VII524436 VII524438:VII524534 VII524654:VII524655 VII589900:VII589972 VII589974:VII590070 VII590190:VII590191 VII655436:VII655508 VII655510:VII655606 VII655726:VII655727 VII720972:VII721044 VII721046:VII721142 VII721262:VII721263 VII786508:VII786580 VII786582:VII786678 VII786798:VII786799 VII852044:VII852116 VII852118:VII852214 VII852334:VII852335 VII917580:VII917652 VII917654:VII917750 VII917870:VII917871 VII983116:VII983188 VII983190:VII983286 VII983406:VII983407 VSE177:VSE249 VSE466:VSE467 VSE65612:VSE65684 VSE65686:VSE65782 VSE65902:VSE65903 VSE131148:VSE131220 VSE131222:VSE131318 VSE131438:VSE131439 VSE196684:VSE196756 VSE196758:VSE196854 VSE196974:VSE196975 VSE262220:VSE262292 VSE262294:VSE262390 VSE262510:VSE262511 VSE327756:VSE327828 VSE327830:VSE327926 VSE328046:VSE328047 VSE393292:VSE393364 VSE393366:VSE393462 VSE393582:VSE393583 VSE458828:VSE458900 VSE458902:VSE458998 VSE459118:VSE459119 VSE524364:VSE524436 VSE524438:VSE524534 VSE524654:VSE524655 VSE589900:VSE589972 VSE589974:VSE590070 VSE590190:VSE590191 VSE655436:VSE655508 VSE655510:VSE655606 VSE655726:VSE655727 VSE720972:VSE721044 VSE721046:VSE721142 VSE721262:VSE721263 VSE786508:VSE786580 VSE786582:VSE786678 VSE786798:VSE786799 VSE852044:VSE852116 VSE852118:VSE852214 VSE852334:VSE852335 VSE917580:VSE917652 VSE917654:VSE917750 VSE917870:VSE917871 VSE983116:VSE983188 VSE983190:VSE983286 VSE983406:VSE983407 WCA177:WCA249 WCA466:WCA467 WCA65612:WCA65684 WCA65686:WCA65782 WCA65902:WCA65903 WCA131148:WCA131220 WCA131222:WCA131318 WCA131438:WCA131439 WCA196684:WCA196756 WCA196758:WCA196854 WCA196974:WCA196975 WCA262220:WCA262292 WCA262294:WCA262390 WCA262510:WCA262511 WCA327756:WCA327828 WCA327830:WCA327926 WCA328046:WCA328047 WCA393292:WCA393364 WCA393366:WCA393462 WCA393582:WCA393583 WCA458828:WCA458900 WCA458902:WCA458998 WCA459118:WCA459119 WCA524364:WCA524436 WCA524438:WCA524534 WCA524654:WCA524655 WCA589900:WCA589972 WCA589974:WCA590070 WCA590190:WCA590191 WCA655436:WCA655508 WCA655510:WCA655606 WCA655726:WCA655727 WCA720972:WCA721044 WCA721046:WCA721142 WCA721262:WCA721263 WCA786508:WCA786580 WCA786582:WCA786678 WCA786798:WCA786799 WCA852044:WCA852116 WCA852118:WCA852214 WCA852334:WCA852335 WCA917580:WCA917652 WCA917654:WCA917750 WCA917870:WCA917871 WCA983116:WCA983188 WCA983190:WCA983286 WCA983406:WCA983407 WLW177:WLW249 WLW466:WLW467 WLW65612:WLW65684 WLW65686:WLW65782 WLW65902:WLW65903 WLW131148:WLW131220 WLW131222:WLW131318 WLW131438:WLW131439 WLW196684:WLW196756 WLW196758:WLW196854 WLW196974:WLW196975 WLW262220:WLW262292 WLW262294:WLW262390 WLW262510:WLW262511 WLW327756:WLW327828 WLW327830:WLW327926 WLW328046:WLW328047 WLW393292:WLW393364 WLW393366:WLW393462 WLW393582:WLW393583 WLW458828:WLW458900 WLW458902:WLW458998 WLW459118:WLW459119 WLW524364:WLW524436 WLW524438:WLW524534 WLW524654:WLW524655 WLW589900:WLW589972 WLW589974:WLW590070 WLW590190:WLW590191 WLW655436:WLW655508 WLW655510:WLW655606 WLW655726:WLW655727 WLW720972:WLW721044 WLW721046:WLW721142 WLW721262:WLW721263 WLW786508:WLW786580 WLW786582:WLW786678 WLW786798:WLW786799 WLW852044:WLW852116 WLW852118:WLW852214 WLW852334:WLW852335 WLW917580:WLW917652 WLW917654:WLW917750 WLW917870:WLW917871 WLW983116:WLW983188 WLW983190:WLW983286 WLW983406:WLW983407 WVS177:WVS249 WVS466:WVS467 WVS65612:WVS65684 WVS65686:WVS65782 WVS65902:WVS65903 WVS131148:WVS131220 WVS131222:WVS131318 WVS131438:WVS131439 WVS196684:WVS196756 WVS196758:WVS196854 WVS196974:WVS196975 WVS262220:WVS262292 WVS262294:WVS262390 WVS262510:WVS262511 WVS327756:WVS327828 WVS327830:WVS327926 WVS328046:WVS328047 WVS393292:WVS393364 WVS393366:WVS393462 WVS393582:WVS393583 WVS458828:WVS458900 WVS458902:WVS458998 WVS459118:WVS459119 WVS524364:WVS524436 WVS524438:WVS524534 WVS524654:WVS524655 WVS589900:WVS589972 WVS589974:WVS590070 WVS590190:WVS590191 WVS655436:WVS655508 WVS655510:WVS655606 WVS655726:WVS655727 WVS720972:WVS721044 WVS721046:WVS721142 WVS721262:WVS721263 WVS786508:WVS786580 WVS786582:WVS786678 WVS786798:WVS786799 WVS852044:WVS852116 WVS852118:WVS852214 WVS852334:WVS852335 WVS917580:WVS917652 WVS917654:WVS917750 WVS917870:WVS917871 WVS983116:WVS983188 WVS983190:WVS983286 WVS983406:WVS983407 WVS917403:WVT917579 O982939:P983115 JG982939:JH983115 TC982939:TD983115 ACY982939:ACZ983115 AMU982939:AMV983115 AWQ982939:AWR983115 BGM982939:BGN983115 BQI982939:BQJ983115 CAE982939:CAF983115 CKA982939:CKB983115 CTW982939:CTX983115 DDS982939:DDT983115 DNO982939:DNP983115 DXK982939:DXL983115 EHG982939:EHH983115 ERC982939:ERD983115 FAY982939:FAZ983115 FKU982939:FKV983115 FUQ982939:FUR983115 GEM982939:GEN983115 GOI982939:GOJ983115 GYE982939:GYF983115 HIA982939:HIB983115 HRW982939:HRX983115 IBS982939:IBT983115 ILO982939:ILP983115 IVK982939:IVL983115 JFG982939:JFH983115 JPC982939:JPD983115 JYY982939:JYZ983115 KIU982939:KIV983115 KSQ982939:KSR983115 LCM982939:LCN983115 LMI982939:LMJ983115 LWE982939:LWF983115 MGA982939:MGB983115 MPW982939:MPX983115 MZS982939:MZT983115 NJO982939:NJP983115 NTK982939:NTL983115 ODG982939:ODH983115 ONC982939:OND983115 OWY982939:OWZ983115 PGU982939:PGV983115 PQQ982939:PQR983115 QAM982939:QAN983115 QKI982939:QKJ983115 QUE982939:QUF983115 REA982939:REB983115 RNW982939:RNX983115 RXS982939:RXT983115 SHO982939:SHP983115 SRK982939:SRL983115 TBG982939:TBH983115 TLC982939:TLD983115 TUY982939:TUZ983115 UEU982939:UEV983115 UOQ982939:UOR983115 UYM982939:UYN983115 VII982939:VIJ983115 VSE982939:VSF983115 WCA982939:WCB983115 WLW982939:WLX983115 WVS982939:WVT983115 O65435:P65611 JG65435:JH65611 TC65435:TD65611 ACY65435:ACZ65611 AMU65435:AMV65611 AWQ65435:AWR65611 BGM65435:BGN65611 BQI65435:BQJ65611 CAE65435:CAF65611 CKA65435:CKB65611 CTW65435:CTX65611 DDS65435:DDT65611 DNO65435:DNP65611 DXK65435:DXL65611 EHG65435:EHH65611 ERC65435:ERD65611 FAY65435:FAZ65611 FKU65435:FKV65611 FUQ65435:FUR65611 GEM65435:GEN65611 GOI65435:GOJ65611 GYE65435:GYF65611 HIA65435:HIB65611 HRW65435:HRX65611 IBS65435:IBT65611 ILO65435:ILP65611 IVK65435:IVL65611 JFG65435:JFH65611 JPC65435:JPD65611 JYY65435:JYZ65611 KIU65435:KIV65611 KSQ65435:KSR65611 LCM65435:LCN65611 LMI65435:LMJ65611 LWE65435:LWF65611 MGA65435:MGB65611 MPW65435:MPX65611 MZS65435:MZT65611 NJO65435:NJP65611 NTK65435:NTL65611 ODG65435:ODH65611 ONC65435:OND65611 OWY65435:OWZ65611 PGU65435:PGV65611 PQQ65435:PQR65611 QAM65435:QAN65611 QKI65435:QKJ65611 QUE65435:QUF65611 REA65435:REB65611 RNW65435:RNX65611 RXS65435:RXT65611 SHO65435:SHP65611 SRK65435:SRL65611 TBG65435:TBH65611 TLC65435:TLD65611 TUY65435:TUZ65611 UEU65435:UEV65611 UOQ65435:UOR65611 UYM65435:UYN65611 VII65435:VIJ65611 VSE65435:VSF65611 WCA65435:WCB65611 WLW65435:WLX65611 WVS65435:WVT65611 O130971:P131147 JG130971:JH131147 TC130971:TD131147 ACY130971:ACZ131147 AMU130971:AMV131147 AWQ130971:AWR131147 BGM130971:BGN131147 BQI130971:BQJ131147 CAE130971:CAF131147 CKA130971:CKB131147 CTW130971:CTX131147 DDS130971:DDT131147 DNO130971:DNP131147 DXK130971:DXL131147 EHG130971:EHH131147 ERC130971:ERD131147 FAY130971:FAZ131147 FKU130971:FKV131147 FUQ130971:FUR131147 GEM130971:GEN131147 GOI130971:GOJ131147 GYE130971:GYF131147 HIA130971:HIB131147 HRW130971:HRX131147 IBS130971:IBT131147 ILO130971:ILP131147 IVK130971:IVL131147 JFG130971:JFH131147 JPC130971:JPD131147 JYY130971:JYZ131147 KIU130971:KIV131147 KSQ130971:KSR131147 LCM130971:LCN131147 LMI130971:LMJ131147 LWE130971:LWF131147 MGA130971:MGB131147 MPW130971:MPX131147 MZS130971:MZT131147 NJO130971:NJP131147 NTK130971:NTL131147 ODG130971:ODH131147 ONC130971:OND131147 OWY130971:OWZ131147 PGU130971:PGV131147 PQQ130971:PQR131147 QAM130971:QAN131147 QKI130971:QKJ131147 QUE130971:QUF131147 REA130971:REB131147 RNW130971:RNX131147 RXS130971:RXT131147 SHO130971:SHP131147 SRK130971:SRL131147 TBG130971:TBH131147 TLC130971:TLD131147 TUY130971:TUZ131147 UEU130971:UEV131147 UOQ130971:UOR131147 UYM130971:UYN131147 VII130971:VIJ131147 VSE130971:VSF131147 WCA130971:WCB131147 WLW130971:WLX131147 WVS130971:WVT131147 O196507:P196683 JG196507:JH196683 TC196507:TD196683 ACY196507:ACZ196683 AMU196507:AMV196683 AWQ196507:AWR196683 BGM196507:BGN196683 BQI196507:BQJ196683 CAE196507:CAF196683 CKA196507:CKB196683 CTW196507:CTX196683 DDS196507:DDT196683 DNO196507:DNP196683 DXK196507:DXL196683 EHG196507:EHH196683 ERC196507:ERD196683 FAY196507:FAZ196683 FKU196507:FKV196683 FUQ196507:FUR196683 GEM196507:GEN196683 GOI196507:GOJ196683 GYE196507:GYF196683 HIA196507:HIB196683 HRW196507:HRX196683 IBS196507:IBT196683 ILO196507:ILP196683 IVK196507:IVL196683 JFG196507:JFH196683 JPC196507:JPD196683 JYY196507:JYZ196683 KIU196507:KIV196683 KSQ196507:KSR196683 LCM196507:LCN196683 LMI196507:LMJ196683 LWE196507:LWF196683 MGA196507:MGB196683 MPW196507:MPX196683 MZS196507:MZT196683 NJO196507:NJP196683 NTK196507:NTL196683 ODG196507:ODH196683 ONC196507:OND196683 OWY196507:OWZ196683 PGU196507:PGV196683 PQQ196507:PQR196683 QAM196507:QAN196683 QKI196507:QKJ196683 QUE196507:QUF196683 REA196507:REB196683 RNW196507:RNX196683 RXS196507:RXT196683 SHO196507:SHP196683 SRK196507:SRL196683 TBG196507:TBH196683 TLC196507:TLD196683 TUY196507:TUZ196683 UEU196507:UEV196683 UOQ196507:UOR196683 UYM196507:UYN196683 VII196507:VIJ196683 VSE196507:VSF196683 WCA196507:WCB196683 WLW196507:WLX196683 WVS196507:WVT196683 O262043:P262219 JG262043:JH262219 TC262043:TD262219 ACY262043:ACZ262219 AMU262043:AMV262219 AWQ262043:AWR262219 BGM262043:BGN262219 BQI262043:BQJ262219 CAE262043:CAF262219 CKA262043:CKB262219 CTW262043:CTX262219 DDS262043:DDT262219 DNO262043:DNP262219 DXK262043:DXL262219 EHG262043:EHH262219 ERC262043:ERD262219 FAY262043:FAZ262219 FKU262043:FKV262219 FUQ262043:FUR262219 GEM262043:GEN262219 GOI262043:GOJ262219 GYE262043:GYF262219 HIA262043:HIB262219 HRW262043:HRX262219 IBS262043:IBT262219 ILO262043:ILP262219 IVK262043:IVL262219 JFG262043:JFH262219 JPC262043:JPD262219 JYY262043:JYZ262219 KIU262043:KIV262219 KSQ262043:KSR262219 LCM262043:LCN262219 LMI262043:LMJ262219 LWE262043:LWF262219 MGA262043:MGB262219 MPW262043:MPX262219 MZS262043:MZT262219 NJO262043:NJP262219 NTK262043:NTL262219 ODG262043:ODH262219 ONC262043:OND262219 OWY262043:OWZ262219 PGU262043:PGV262219 PQQ262043:PQR262219 QAM262043:QAN262219 QKI262043:QKJ262219 QUE262043:QUF262219 REA262043:REB262219 RNW262043:RNX262219 RXS262043:RXT262219 SHO262043:SHP262219 SRK262043:SRL262219 TBG262043:TBH262219 TLC262043:TLD262219 TUY262043:TUZ262219 UEU262043:UEV262219 UOQ262043:UOR262219 UYM262043:UYN262219 VII262043:VIJ262219 VSE262043:VSF262219 WCA262043:WCB262219 WLW262043:WLX262219 WVS262043:WVT262219 O327579:P327755 JG327579:JH327755 TC327579:TD327755 ACY327579:ACZ327755 AMU327579:AMV327755 AWQ327579:AWR327755 BGM327579:BGN327755 BQI327579:BQJ327755 CAE327579:CAF327755 CKA327579:CKB327755 CTW327579:CTX327755 DDS327579:DDT327755 DNO327579:DNP327755 DXK327579:DXL327755 EHG327579:EHH327755 ERC327579:ERD327755 FAY327579:FAZ327755 FKU327579:FKV327755 FUQ327579:FUR327755 GEM327579:GEN327755 GOI327579:GOJ327755 GYE327579:GYF327755 HIA327579:HIB327755 HRW327579:HRX327755 IBS327579:IBT327755 ILO327579:ILP327755 IVK327579:IVL327755 JFG327579:JFH327755 JPC327579:JPD327755 JYY327579:JYZ327755 KIU327579:KIV327755 KSQ327579:KSR327755 LCM327579:LCN327755 LMI327579:LMJ327755 LWE327579:LWF327755 MGA327579:MGB327755 MPW327579:MPX327755 MZS327579:MZT327755 NJO327579:NJP327755 NTK327579:NTL327755 ODG327579:ODH327755 ONC327579:OND327755 OWY327579:OWZ327755 PGU327579:PGV327755 PQQ327579:PQR327755 QAM327579:QAN327755 QKI327579:QKJ327755 QUE327579:QUF327755 REA327579:REB327755 RNW327579:RNX327755 RXS327579:RXT327755 SHO327579:SHP327755 SRK327579:SRL327755 TBG327579:TBH327755 TLC327579:TLD327755 TUY327579:TUZ327755 UEU327579:UEV327755 UOQ327579:UOR327755 UYM327579:UYN327755 VII327579:VIJ327755 VSE327579:VSF327755 WCA327579:WCB327755 WLW327579:WLX327755 WVS327579:WVT327755 O393115:P393291 JG393115:JH393291 TC393115:TD393291 ACY393115:ACZ393291 AMU393115:AMV393291 AWQ393115:AWR393291 BGM393115:BGN393291 BQI393115:BQJ393291 CAE393115:CAF393291 CKA393115:CKB393291 CTW393115:CTX393291 DDS393115:DDT393291 DNO393115:DNP393291 DXK393115:DXL393291 EHG393115:EHH393291 ERC393115:ERD393291 FAY393115:FAZ393291 FKU393115:FKV393291 FUQ393115:FUR393291 GEM393115:GEN393291 GOI393115:GOJ393291 GYE393115:GYF393291 HIA393115:HIB393291 HRW393115:HRX393291 IBS393115:IBT393291 ILO393115:ILP393291 IVK393115:IVL393291 JFG393115:JFH393291 JPC393115:JPD393291 JYY393115:JYZ393291 KIU393115:KIV393291 KSQ393115:KSR393291 LCM393115:LCN393291 LMI393115:LMJ393291 LWE393115:LWF393291 MGA393115:MGB393291 MPW393115:MPX393291 MZS393115:MZT393291 NJO393115:NJP393291 NTK393115:NTL393291 ODG393115:ODH393291 ONC393115:OND393291 OWY393115:OWZ393291 PGU393115:PGV393291 PQQ393115:PQR393291 QAM393115:QAN393291 QKI393115:QKJ393291 QUE393115:QUF393291 REA393115:REB393291 RNW393115:RNX393291 RXS393115:RXT393291 SHO393115:SHP393291 SRK393115:SRL393291 TBG393115:TBH393291 TLC393115:TLD393291 TUY393115:TUZ393291 UEU393115:UEV393291 UOQ393115:UOR393291 UYM393115:UYN393291 VII393115:VIJ393291 VSE393115:VSF393291 WCA393115:WCB393291 WLW393115:WLX393291 WVS393115:WVT393291 O458651:P458827 JG458651:JH458827 TC458651:TD458827 ACY458651:ACZ458827 AMU458651:AMV458827 AWQ458651:AWR458827 BGM458651:BGN458827 BQI458651:BQJ458827 CAE458651:CAF458827 CKA458651:CKB458827 CTW458651:CTX458827 DDS458651:DDT458827 DNO458651:DNP458827 DXK458651:DXL458827 EHG458651:EHH458827 ERC458651:ERD458827 FAY458651:FAZ458827 FKU458651:FKV458827 FUQ458651:FUR458827 GEM458651:GEN458827 GOI458651:GOJ458827 GYE458651:GYF458827 HIA458651:HIB458827 HRW458651:HRX458827 IBS458651:IBT458827 ILO458651:ILP458827 IVK458651:IVL458827 JFG458651:JFH458827 JPC458651:JPD458827 JYY458651:JYZ458827 KIU458651:KIV458827 KSQ458651:KSR458827 LCM458651:LCN458827 LMI458651:LMJ458827 LWE458651:LWF458827 MGA458651:MGB458827 MPW458651:MPX458827 MZS458651:MZT458827 NJO458651:NJP458827 NTK458651:NTL458827 ODG458651:ODH458827 ONC458651:OND458827 OWY458651:OWZ458827 PGU458651:PGV458827 PQQ458651:PQR458827 QAM458651:QAN458827 QKI458651:QKJ458827 QUE458651:QUF458827 REA458651:REB458827 RNW458651:RNX458827 RXS458651:RXT458827 SHO458651:SHP458827 SRK458651:SRL458827 TBG458651:TBH458827 TLC458651:TLD458827 TUY458651:TUZ458827 UEU458651:UEV458827 UOQ458651:UOR458827 UYM458651:UYN458827 VII458651:VIJ458827 VSE458651:VSF458827 WCA458651:WCB458827 WLW458651:WLX458827 WVS458651:WVT458827 O524187:P524363 JG524187:JH524363 TC524187:TD524363 ACY524187:ACZ524363 AMU524187:AMV524363 AWQ524187:AWR524363 BGM524187:BGN524363 BQI524187:BQJ524363 CAE524187:CAF524363 CKA524187:CKB524363 CTW524187:CTX524363 DDS524187:DDT524363 DNO524187:DNP524363 DXK524187:DXL524363 EHG524187:EHH524363 ERC524187:ERD524363 FAY524187:FAZ524363 FKU524187:FKV524363 FUQ524187:FUR524363 GEM524187:GEN524363 GOI524187:GOJ524363 GYE524187:GYF524363 HIA524187:HIB524363 HRW524187:HRX524363 IBS524187:IBT524363 ILO524187:ILP524363 IVK524187:IVL524363 JFG524187:JFH524363 JPC524187:JPD524363 JYY524187:JYZ524363 KIU524187:KIV524363 KSQ524187:KSR524363 LCM524187:LCN524363 LMI524187:LMJ524363 LWE524187:LWF524363 MGA524187:MGB524363 MPW524187:MPX524363 MZS524187:MZT524363 NJO524187:NJP524363 NTK524187:NTL524363 ODG524187:ODH524363 ONC524187:OND524363 OWY524187:OWZ524363 PGU524187:PGV524363 PQQ524187:PQR524363 QAM524187:QAN524363 QKI524187:QKJ524363 QUE524187:QUF524363 REA524187:REB524363 RNW524187:RNX524363 RXS524187:RXT524363 SHO524187:SHP524363 SRK524187:SRL524363 TBG524187:TBH524363 TLC524187:TLD524363 TUY524187:TUZ524363 UEU524187:UEV524363 UOQ524187:UOR524363 UYM524187:UYN524363 VII524187:VIJ524363 VSE524187:VSF524363 WCA524187:WCB524363 WLW524187:WLX524363 WVS524187:WVT524363 O589723:P589899 JG589723:JH589899 TC589723:TD589899 ACY589723:ACZ589899 AMU589723:AMV589899 AWQ589723:AWR589899 BGM589723:BGN589899 BQI589723:BQJ589899 CAE589723:CAF589899 CKA589723:CKB589899 CTW589723:CTX589899 DDS589723:DDT589899 DNO589723:DNP589899 DXK589723:DXL589899 EHG589723:EHH589899 ERC589723:ERD589899 FAY589723:FAZ589899 FKU589723:FKV589899 FUQ589723:FUR589899 GEM589723:GEN589899 GOI589723:GOJ589899 GYE589723:GYF589899 HIA589723:HIB589899 HRW589723:HRX589899 IBS589723:IBT589899 ILO589723:ILP589899 IVK589723:IVL589899 JFG589723:JFH589899 JPC589723:JPD589899 JYY589723:JYZ589899 KIU589723:KIV589899 KSQ589723:KSR589899 LCM589723:LCN589899 LMI589723:LMJ589899 LWE589723:LWF589899 MGA589723:MGB589899 MPW589723:MPX589899 MZS589723:MZT589899 NJO589723:NJP589899 NTK589723:NTL589899 ODG589723:ODH589899 ONC589723:OND589899 OWY589723:OWZ589899 PGU589723:PGV589899 PQQ589723:PQR589899 QAM589723:QAN589899 QKI589723:QKJ589899 QUE589723:QUF589899 REA589723:REB589899 RNW589723:RNX589899 RXS589723:RXT589899 SHO589723:SHP589899 SRK589723:SRL589899 TBG589723:TBH589899 TLC589723:TLD589899 TUY589723:TUZ589899 UEU589723:UEV589899 UOQ589723:UOR589899 UYM589723:UYN589899 VII589723:VIJ589899 VSE589723:VSF589899 WCA589723:WCB589899 WLW589723:WLX589899 WVS589723:WVT589899 O655259:P655435 JG655259:JH655435 TC655259:TD655435 ACY655259:ACZ655435 AMU655259:AMV655435 AWQ655259:AWR655435 BGM655259:BGN655435 BQI655259:BQJ655435 CAE655259:CAF655435 CKA655259:CKB655435 CTW655259:CTX655435 DDS655259:DDT655435 DNO655259:DNP655435 DXK655259:DXL655435 EHG655259:EHH655435 ERC655259:ERD655435 FAY655259:FAZ655435 FKU655259:FKV655435 FUQ655259:FUR655435 GEM655259:GEN655435 GOI655259:GOJ655435 GYE655259:GYF655435 HIA655259:HIB655435 HRW655259:HRX655435 IBS655259:IBT655435 ILO655259:ILP655435 IVK655259:IVL655435 JFG655259:JFH655435 JPC655259:JPD655435 JYY655259:JYZ655435 KIU655259:KIV655435 KSQ655259:KSR655435 LCM655259:LCN655435 LMI655259:LMJ655435 LWE655259:LWF655435 MGA655259:MGB655435 MPW655259:MPX655435 MZS655259:MZT655435 NJO655259:NJP655435 NTK655259:NTL655435 ODG655259:ODH655435 ONC655259:OND655435 OWY655259:OWZ655435 PGU655259:PGV655435 PQQ655259:PQR655435 QAM655259:QAN655435 QKI655259:QKJ655435 QUE655259:QUF655435 REA655259:REB655435 RNW655259:RNX655435 RXS655259:RXT655435 SHO655259:SHP655435 SRK655259:SRL655435 TBG655259:TBH655435 TLC655259:TLD655435 TUY655259:TUZ655435 UEU655259:UEV655435 UOQ655259:UOR655435 UYM655259:UYN655435 VII655259:VIJ655435 VSE655259:VSF655435 WCA655259:WCB655435 WLW655259:WLX655435 WVS655259:WVT655435 O720795:P720971 JG720795:JH720971 TC720795:TD720971 ACY720795:ACZ720971 AMU720795:AMV720971 AWQ720795:AWR720971 BGM720795:BGN720971 BQI720795:BQJ720971 CAE720795:CAF720971 CKA720795:CKB720971 CTW720795:CTX720971 DDS720795:DDT720971 DNO720795:DNP720971 DXK720795:DXL720971 EHG720795:EHH720971 ERC720795:ERD720971 FAY720795:FAZ720971 FKU720795:FKV720971 FUQ720795:FUR720971 GEM720795:GEN720971 GOI720795:GOJ720971 GYE720795:GYF720971 HIA720795:HIB720971 HRW720795:HRX720971 IBS720795:IBT720971 ILO720795:ILP720971 IVK720795:IVL720971 JFG720795:JFH720971 JPC720795:JPD720971 JYY720795:JYZ720971 KIU720795:KIV720971 KSQ720795:KSR720971 LCM720795:LCN720971 LMI720795:LMJ720971 LWE720795:LWF720971 MGA720795:MGB720971 MPW720795:MPX720971 MZS720795:MZT720971 NJO720795:NJP720971 NTK720795:NTL720971 ODG720795:ODH720971 ONC720795:OND720971 OWY720795:OWZ720971 PGU720795:PGV720971 PQQ720795:PQR720971 QAM720795:QAN720971 QKI720795:QKJ720971 QUE720795:QUF720971 REA720795:REB720971 RNW720795:RNX720971 RXS720795:RXT720971 SHO720795:SHP720971 SRK720795:SRL720971 TBG720795:TBH720971 TLC720795:TLD720971 TUY720795:TUZ720971 UEU720795:UEV720971 UOQ720795:UOR720971 UYM720795:UYN720971 VII720795:VIJ720971 VSE720795:VSF720971 WCA720795:WCB720971 WLW720795:WLX720971 WVS720795:WVT720971 O786331:P786507 JG786331:JH786507 TC786331:TD786507 ACY786331:ACZ786507 AMU786331:AMV786507 AWQ786331:AWR786507 BGM786331:BGN786507 BQI786331:BQJ786507 CAE786331:CAF786507 CKA786331:CKB786507 CTW786331:CTX786507 DDS786331:DDT786507 DNO786331:DNP786507 DXK786331:DXL786507 EHG786331:EHH786507 ERC786331:ERD786507 FAY786331:FAZ786507 FKU786331:FKV786507 FUQ786331:FUR786507 GEM786331:GEN786507 GOI786331:GOJ786507 GYE786331:GYF786507 HIA786331:HIB786507 HRW786331:HRX786507 IBS786331:IBT786507 ILO786331:ILP786507 IVK786331:IVL786507 JFG786331:JFH786507 JPC786331:JPD786507 JYY786331:JYZ786507 KIU786331:KIV786507 KSQ786331:KSR786507 LCM786331:LCN786507 LMI786331:LMJ786507 LWE786331:LWF786507 MGA786331:MGB786507 MPW786331:MPX786507 MZS786331:MZT786507 NJO786331:NJP786507 NTK786331:NTL786507 ODG786331:ODH786507 ONC786331:OND786507 OWY786331:OWZ786507 PGU786331:PGV786507 PQQ786331:PQR786507 QAM786331:QAN786507 QKI786331:QKJ786507 QUE786331:QUF786507 REA786331:REB786507 RNW786331:RNX786507 RXS786331:RXT786507 SHO786331:SHP786507 SRK786331:SRL786507 TBG786331:TBH786507 TLC786331:TLD786507 TUY786331:TUZ786507 UEU786331:UEV786507 UOQ786331:UOR786507 UYM786331:UYN786507 VII786331:VIJ786507 VSE786331:VSF786507 WCA786331:WCB786507 WLW786331:WLX786507 WVS786331:WVT786507 O851867:P852043 JG851867:JH852043 TC851867:TD852043 ACY851867:ACZ852043 AMU851867:AMV852043 AWQ851867:AWR852043 BGM851867:BGN852043 BQI851867:BQJ852043 CAE851867:CAF852043 CKA851867:CKB852043 CTW851867:CTX852043 DDS851867:DDT852043 DNO851867:DNP852043 DXK851867:DXL852043 EHG851867:EHH852043 ERC851867:ERD852043 FAY851867:FAZ852043 FKU851867:FKV852043 FUQ851867:FUR852043 GEM851867:GEN852043 GOI851867:GOJ852043 GYE851867:GYF852043 HIA851867:HIB852043 HRW851867:HRX852043 IBS851867:IBT852043 ILO851867:ILP852043 IVK851867:IVL852043 JFG851867:JFH852043 JPC851867:JPD852043 JYY851867:JYZ852043 KIU851867:KIV852043 KSQ851867:KSR852043 LCM851867:LCN852043 LMI851867:LMJ852043 LWE851867:LWF852043 MGA851867:MGB852043 MPW851867:MPX852043 MZS851867:MZT852043 NJO851867:NJP852043 NTK851867:NTL852043 ODG851867:ODH852043 ONC851867:OND852043 OWY851867:OWZ852043 PGU851867:PGV852043 PQQ851867:PQR852043 QAM851867:QAN852043 QKI851867:QKJ852043 QUE851867:QUF852043 REA851867:REB852043 RNW851867:RNX852043 RXS851867:RXT852043 SHO851867:SHP852043 SRK851867:SRL852043 TBG851867:TBH852043 TLC851867:TLD852043 TUY851867:TUZ852043 UEU851867:UEV852043 UOQ851867:UOR852043 UYM851867:UYN852043 VII851867:VIJ852043 VSE851867:VSF852043 WCA851867:WCB852043 WLW851867:WLX852043 WVS851867:WVT852043 O917403:P917579 JG917403:JH917579 TC917403:TD917579 ACY917403:ACZ917579 AMU917403:AMV917579 AWQ917403:AWR917579 BGM917403:BGN917579 BQI917403:BQJ917579 CAE917403:CAF917579 CKA917403:CKB917579 CTW917403:CTX917579 DDS917403:DDT917579 DNO917403:DNP917579 DXK917403:DXL917579 EHG917403:EHH917579 ERC917403:ERD917579 FAY917403:FAZ917579 FKU917403:FKV917579 FUQ917403:FUR917579 GEM917403:GEN917579 GOI917403:GOJ917579 GYE917403:GYF917579 HIA917403:HIB917579 HRW917403:HRX917579 IBS917403:IBT917579 ILO917403:ILP917579 IVK917403:IVL917579 JFG917403:JFH917579 JPC917403:JPD917579 JYY917403:JYZ917579 KIU917403:KIV917579 KSQ917403:KSR917579 LCM917403:LCN917579 LMI917403:LMJ917579 LWE917403:LWF917579 MGA917403:MGB917579 MPW917403:MPX917579 MZS917403:MZT917579 NJO917403:NJP917579 NTK917403:NTL917579 ODG917403:ODH917579 ONC917403:OND917579 OWY917403:OWZ917579 PGU917403:PGV917579 PQQ917403:PQR917579 QAM917403:QAN917579 QKI917403:QKJ917579 QUE917403:QUF917579 REA917403:REB917579 RNW917403:RNX917579 RXS917403:RXT917579 SHO917403:SHP917579 SRK917403:SRL917579 TBG917403:TBH917579 TLC917403:TLD917579 TUY917403:TUZ917579 UEU917403:UEV917579 UOQ917403:UOR917579 UYM917403:UYN917579 VII917403:VIJ917579 VSE917403:VSF917579 WCA917403:WCB917579 WLW917403:WLX917579 O414 O177:O249 O514 O521 JG2:JH176 WVS2:WVT176 WLW2:WLX176 WCA2:WCB176 VSE2:VSF176 VII2:VIJ176 UYM2:UYN176 UOQ2:UOR176 UEU2:UEV176 TUY2:TUZ176 TLC2:TLD176 TBG2:TBH176 SRK2:SRL176 SHO2:SHP176 RXS2:RXT176 RNW2:RNX176 REA2:REB176 QUE2:QUF176 QKI2:QKJ176 QAM2:QAN176 PQQ2:PQR176 PGU2:PGV176 OWY2:OWZ176 ONC2:OND176 ODG2:ODH176 NTK2:NTL176 NJO2:NJP176 MZS2:MZT176 MPW2:MPX176 MGA2:MGB176 LWE2:LWF176 LMI2:LMJ176 LCM2:LCN176 KSQ2:KSR176 KIU2:KIV176 JYY2:JYZ176 JPC2:JPD176 JFG2:JFH176 IVK2:IVL176 ILO2:ILP176 IBS2:IBT176 HRW2:HRX176 HIA2:HIB176 GYE2:GYF176 GOI2:GOJ176 GEM2:GEN176 FUQ2:FUR176 FKU2:FKV176 FAY2:FAZ176 ERC2:ERD176 EHG2:EHH176 DXK2:DXL176 DNO2:DNP176 DDS2:DDT176 CTW2:CTX176 CKA2:CKB176 CAE2:CAF176 BQI2:BQJ176 BGM2:BGN176 AWQ2:AWR176 AMU2:AMV176 ACY2:ACZ176 TC2:TD176 O2:P176 O251:O346 WVS251:WVS346 WLW251:WLW346 WCA251:WCA346 VSE251:VSE346 VII251:VII346 UYM251:UYM346 UOQ251:UOQ346 UEU251:UEU346 TUY251:TUY346 TLC251:TLC346 TBG251:TBG346 SRK251:SRK346 SHO251:SHO346 RXS251:RXS346 RNW251:RNW346 REA251:REA346 QUE251:QUE346 QKI251:QKI346 QAM251:QAM346 PQQ251:PQQ346 PGU251:PGU346 OWY251:OWY346 ONC251:ONC346 ODG251:ODG346 NTK251:NTK346 NJO251:NJO346 MZS251:MZS346 MPW251:MPW346 MGA251:MGA346 LWE251:LWE346 LMI251:LMI346 LCM251:LCM346 KSQ251:KSQ346 KIU251:KIU346 JYY251:JYY346 JPC251:JPC346 JFG251:JFG346 IVK251:IVK346 ILO251:ILO346 IBS251:IBS346 HRW251:HRW346 HIA251:HIA346 GYE251:GYE346 GOI251:GOI346 GEM251:GEM346 FUQ251:FUQ346 FKU251:FKU346 FAY251:FAY346 ERC251:ERC346 EHG251:EHG346 DXK251:DXK346 DNO251:DNO346 DDS251:DDS346 CTW251:CTW346 CKA251:CKA346 CAE251:CAE346 BQI251:BQI346 BGM251:BGM346 AWQ251:AWQ346 AMU251:AMU346 ACY251:ACY346 TC251:TC346 JG251:JG346">
      <formula1>N1&lt;&gt;""</formula1>
    </dataValidation>
    <dataValidation allowBlank="1" showInputMessage="1" showErrorMessage="1" sqref="O1 JG1 TC1 ACY1 AMU1 AWQ1 BGM1 BQI1 CAE1 CKA1 CTW1 DDS1 DNO1 DXK1 EHG1 ERC1 FAY1 FKU1 FUQ1 GEM1 GOI1 GYE1 HIA1 HRW1 IBS1 ILO1 IVK1 JFG1 JPC1 JYY1 KIU1 KSQ1 LCM1 LMI1 LWE1 MGA1 MPW1 MZS1 NJO1 NTK1 ODG1 ONC1 OWY1 PGU1 PQQ1 QAM1 QKI1 QUE1 REA1 RNW1 RXS1 SHO1 SRK1 TBG1 TLC1 TUY1 UEU1 UOQ1 UYM1 VII1 VSE1 WCA1 WLW1 WVS1 O65434 JG65434 TC65434 ACY65434 AMU65434 AWQ65434 BGM65434 BQI65434 CAE65434 CKA65434 CTW65434 DDS65434 DNO65434 DXK65434 EHG65434 ERC65434 FAY65434 FKU65434 FUQ65434 GEM65434 GOI65434 GYE65434 HIA65434 HRW65434 IBS65434 ILO65434 IVK65434 JFG65434 JPC65434 JYY65434 KIU65434 KSQ65434 LCM65434 LMI65434 LWE65434 MGA65434 MPW65434 MZS65434 NJO65434 NTK65434 ODG65434 ONC65434 OWY65434 PGU65434 PQQ65434 QAM65434 QKI65434 QUE65434 REA65434 RNW65434 RXS65434 SHO65434 SRK65434 TBG65434 TLC65434 TUY65434 UEU65434 UOQ65434 UYM65434 VII65434 VSE65434 WCA65434 WLW65434 WVS65434 O130970 JG130970 TC130970 ACY130970 AMU130970 AWQ130970 BGM130970 BQI130970 CAE130970 CKA130970 CTW130970 DDS130970 DNO130970 DXK130970 EHG130970 ERC130970 FAY130970 FKU130970 FUQ130970 GEM130970 GOI130970 GYE130970 HIA130970 HRW130970 IBS130970 ILO130970 IVK130970 JFG130970 JPC130970 JYY130970 KIU130970 KSQ130970 LCM130970 LMI130970 LWE130970 MGA130970 MPW130970 MZS130970 NJO130970 NTK130970 ODG130970 ONC130970 OWY130970 PGU130970 PQQ130970 QAM130970 QKI130970 QUE130970 REA130970 RNW130970 RXS130970 SHO130970 SRK130970 TBG130970 TLC130970 TUY130970 UEU130970 UOQ130970 UYM130970 VII130970 VSE130970 WCA130970 WLW130970 WVS130970 O196506 JG196506 TC196506 ACY196506 AMU196506 AWQ196506 BGM196506 BQI196506 CAE196506 CKA196506 CTW196506 DDS196506 DNO196506 DXK196506 EHG196506 ERC196506 FAY196506 FKU196506 FUQ196506 GEM196506 GOI196506 GYE196506 HIA196506 HRW196506 IBS196506 ILO196506 IVK196506 JFG196506 JPC196506 JYY196506 KIU196506 KSQ196506 LCM196506 LMI196506 LWE196506 MGA196506 MPW196506 MZS196506 NJO196506 NTK196506 ODG196506 ONC196506 OWY196506 PGU196506 PQQ196506 QAM196506 QKI196506 QUE196506 REA196506 RNW196506 RXS196506 SHO196506 SRK196506 TBG196506 TLC196506 TUY196506 UEU196506 UOQ196506 UYM196506 VII196506 VSE196506 WCA196506 WLW196506 WVS196506 O262042 JG262042 TC262042 ACY262042 AMU262042 AWQ262042 BGM262042 BQI262042 CAE262042 CKA262042 CTW262042 DDS262042 DNO262042 DXK262042 EHG262042 ERC262042 FAY262042 FKU262042 FUQ262042 GEM262042 GOI262042 GYE262042 HIA262042 HRW262042 IBS262042 ILO262042 IVK262042 JFG262042 JPC262042 JYY262042 KIU262042 KSQ262042 LCM262042 LMI262042 LWE262042 MGA262042 MPW262042 MZS262042 NJO262042 NTK262042 ODG262042 ONC262042 OWY262042 PGU262042 PQQ262042 QAM262042 QKI262042 QUE262042 REA262042 RNW262042 RXS262042 SHO262042 SRK262042 TBG262042 TLC262042 TUY262042 UEU262042 UOQ262042 UYM262042 VII262042 VSE262042 WCA262042 WLW262042 WVS262042 O327578 JG327578 TC327578 ACY327578 AMU327578 AWQ327578 BGM327578 BQI327578 CAE327578 CKA327578 CTW327578 DDS327578 DNO327578 DXK327578 EHG327578 ERC327578 FAY327578 FKU327578 FUQ327578 GEM327578 GOI327578 GYE327578 HIA327578 HRW327578 IBS327578 ILO327578 IVK327578 JFG327578 JPC327578 JYY327578 KIU327578 KSQ327578 LCM327578 LMI327578 LWE327578 MGA327578 MPW327578 MZS327578 NJO327578 NTK327578 ODG327578 ONC327578 OWY327578 PGU327578 PQQ327578 QAM327578 QKI327578 QUE327578 REA327578 RNW327578 RXS327578 SHO327578 SRK327578 TBG327578 TLC327578 TUY327578 UEU327578 UOQ327578 UYM327578 VII327578 VSE327578 WCA327578 WLW327578 WVS327578 O393114 JG393114 TC393114 ACY393114 AMU393114 AWQ393114 BGM393114 BQI393114 CAE393114 CKA393114 CTW393114 DDS393114 DNO393114 DXK393114 EHG393114 ERC393114 FAY393114 FKU393114 FUQ393114 GEM393114 GOI393114 GYE393114 HIA393114 HRW393114 IBS393114 ILO393114 IVK393114 JFG393114 JPC393114 JYY393114 KIU393114 KSQ393114 LCM393114 LMI393114 LWE393114 MGA393114 MPW393114 MZS393114 NJO393114 NTK393114 ODG393114 ONC393114 OWY393114 PGU393114 PQQ393114 QAM393114 QKI393114 QUE393114 REA393114 RNW393114 RXS393114 SHO393114 SRK393114 TBG393114 TLC393114 TUY393114 UEU393114 UOQ393114 UYM393114 VII393114 VSE393114 WCA393114 WLW393114 WVS393114 O458650 JG458650 TC458650 ACY458650 AMU458650 AWQ458650 BGM458650 BQI458650 CAE458650 CKA458650 CTW458650 DDS458650 DNO458650 DXK458650 EHG458650 ERC458650 FAY458650 FKU458650 FUQ458650 GEM458650 GOI458650 GYE458650 HIA458650 HRW458650 IBS458650 ILO458650 IVK458650 JFG458650 JPC458650 JYY458650 KIU458650 KSQ458650 LCM458650 LMI458650 LWE458650 MGA458650 MPW458650 MZS458650 NJO458650 NTK458650 ODG458650 ONC458650 OWY458650 PGU458650 PQQ458650 QAM458650 QKI458650 QUE458650 REA458650 RNW458650 RXS458650 SHO458650 SRK458650 TBG458650 TLC458650 TUY458650 UEU458650 UOQ458650 UYM458650 VII458650 VSE458650 WCA458650 WLW458650 WVS458650 O524186 JG524186 TC524186 ACY524186 AMU524186 AWQ524186 BGM524186 BQI524186 CAE524186 CKA524186 CTW524186 DDS524186 DNO524186 DXK524186 EHG524186 ERC524186 FAY524186 FKU524186 FUQ524186 GEM524186 GOI524186 GYE524186 HIA524186 HRW524186 IBS524186 ILO524186 IVK524186 JFG524186 JPC524186 JYY524186 KIU524186 KSQ524186 LCM524186 LMI524186 LWE524186 MGA524186 MPW524186 MZS524186 NJO524186 NTK524186 ODG524186 ONC524186 OWY524186 PGU524186 PQQ524186 QAM524186 QKI524186 QUE524186 REA524186 RNW524186 RXS524186 SHO524186 SRK524186 TBG524186 TLC524186 TUY524186 UEU524186 UOQ524186 UYM524186 VII524186 VSE524186 WCA524186 WLW524186 WVS524186 O589722 JG589722 TC589722 ACY589722 AMU589722 AWQ589722 BGM589722 BQI589722 CAE589722 CKA589722 CTW589722 DDS589722 DNO589722 DXK589722 EHG589722 ERC589722 FAY589722 FKU589722 FUQ589722 GEM589722 GOI589722 GYE589722 HIA589722 HRW589722 IBS589722 ILO589722 IVK589722 JFG589722 JPC589722 JYY589722 KIU589722 KSQ589722 LCM589722 LMI589722 LWE589722 MGA589722 MPW589722 MZS589722 NJO589722 NTK589722 ODG589722 ONC589722 OWY589722 PGU589722 PQQ589722 QAM589722 QKI589722 QUE589722 REA589722 RNW589722 RXS589722 SHO589722 SRK589722 TBG589722 TLC589722 TUY589722 UEU589722 UOQ589722 UYM589722 VII589722 VSE589722 WCA589722 WLW589722 WVS589722 O655258 JG655258 TC655258 ACY655258 AMU655258 AWQ655258 BGM655258 BQI655258 CAE655258 CKA655258 CTW655258 DDS655258 DNO655258 DXK655258 EHG655258 ERC655258 FAY655258 FKU655258 FUQ655258 GEM655258 GOI655258 GYE655258 HIA655258 HRW655258 IBS655258 ILO655258 IVK655258 JFG655258 JPC655258 JYY655258 KIU655258 KSQ655258 LCM655258 LMI655258 LWE655258 MGA655258 MPW655258 MZS655258 NJO655258 NTK655258 ODG655258 ONC655258 OWY655258 PGU655258 PQQ655258 QAM655258 QKI655258 QUE655258 REA655258 RNW655258 RXS655258 SHO655258 SRK655258 TBG655258 TLC655258 TUY655258 UEU655258 UOQ655258 UYM655258 VII655258 VSE655258 WCA655258 WLW655258 WVS655258 O720794 JG720794 TC720794 ACY720794 AMU720794 AWQ720794 BGM720794 BQI720794 CAE720794 CKA720794 CTW720794 DDS720794 DNO720794 DXK720794 EHG720794 ERC720794 FAY720794 FKU720794 FUQ720794 GEM720794 GOI720794 GYE720794 HIA720794 HRW720794 IBS720794 ILO720794 IVK720794 JFG720794 JPC720794 JYY720794 KIU720794 KSQ720794 LCM720794 LMI720794 LWE720794 MGA720794 MPW720794 MZS720794 NJO720794 NTK720794 ODG720794 ONC720794 OWY720794 PGU720794 PQQ720794 QAM720794 QKI720794 QUE720794 REA720794 RNW720794 RXS720794 SHO720794 SRK720794 TBG720794 TLC720794 TUY720794 UEU720794 UOQ720794 UYM720794 VII720794 VSE720794 WCA720794 WLW720794 WVS720794 O786330 JG786330 TC786330 ACY786330 AMU786330 AWQ786330 BGM786330 BQI786330 CAE786330 CKA786330 CTW786330 DDS786330 DNO786330 DXK786330 EHG786330 ERC786330 FAY786330 FKU786330 FUQ786330 GEM786330 GOI786330 GYE786330 HIA786330 HRW786330 IBS786330 ILO786330 IVK786330 JFG786330 JPC786330 JYY786330 KIU786330 KSQ786330 LCM786330 LMI786330 LWE786330 MGA786330 MPW786330 MZS786330 NJO786330 NTK786330 ODG786330 ONC786330 OWY786330 PGU786330 PQQ786330 QAM786330 QKI786330 QUE786330 REA786330 RNW786330 RXS786330 SHO786330 SRK786330 TBG786330 TLC786330 TUY786330 UEU786330 UOQ786330 UYM786330 VII786330 VSE786330 WCA786330 WLW786330 WVS786330 O851866 JG851866 TC851866 ACY851866 AMU851866 AWQ851866 BGM851866 BQI851866 CAE851866 CKA851866 CTW851866 DDS851866 DNO851866 DXK851866 EHG851866 ERC851866 FAY851866 FKU851866 FUQ851866 GEM851866 GOI851866 GYE851866 HIA851866 HRW851866 IBS851866 ILO851866 IVK851866 JFG851866 JPC851866 JYY851866 KIU851866 KSQ851866 LCM851866 LMI851866 LWE851866 MGA851866 MPW851866 MZS851866 NJO851866 NTK851866 ODG851866 ONC851866 OWY851866 PGU851866 PQQ851866 QAM851866 QKI851866 QUE851866 REA851866 RNW851866 RXS851866 SHO851866 SRK851866 TBG851866 TLC851866 TUY851866 UEU851866 UOQ851866 UYM851866 VII851866 VSE851866 WCA851866 WLW851866 WVS851866 O917402 JG917402 TC917402 ACY917402 AMU917402 AWQ917402 BGM917402 BQI917402 CAE917402 CKA917402 CTW917402 DDS917402 DNO917402 DXK917402 EHG917402 ERC917402 FAY917402 FKU917402 FUQ917402 GEM917402 GOI917402 GYE917402 HIA917402 HRW917402 IBS917402 ILO917402 IVK917402 JFG917402 JPC917402 JYY917402 KIU917402 KSQ917402 LCM917402 LMI917402 LWE917402 MGA917402 MPW917402 MZS917402 NJO917402 NTK917402 ODG917402 ONC917402 OWY917402 PGU917402 PQQ917402 QAM917402 QKI917402 QUE917402 REA917402 RNW917402 RXS917402 SHO917402 SRK917402 TBG917402 TLC917402 TUY917402 UEU917402 UOQ917402 UYM917402 VII917402 VSE917402 WCA917402 WLW917402 WVS917402 O982938 JG982938 TC982938 ACY982938 AMU982938 AWQ982938 BGM982938 BQI982938 CAE982938 CKA982938 CTW982938 DDS982938 DNO982938 DXK982938 EHG982938 ERC982938 FAY982938 FKU982938 FUQ982938 GEM982938 GOI982938 GYE982938 HIA982938 HRW982938 IBS982938 ILO982938 IVK982938 JFG982938 JPC982938 JYY982938 KIU982938 KSQ982938 LCM982938 LMI982938 LWE982938 MGA982938 MPW982938 MZS982938 NJO982938 NTK982938 ODG982938 ONC982938 OWY982938 PGU982938 PQQ982938 QAM982938 QKI982938 QUE982938 REA982938 RNW982938 RXS982938 SHO982938 SRK982938 TBG982938 TLC982938 TUY982938 UEU982938 UOQ982938 UYM982938 VII982938 VSE982938 WCA982938 WLW982938 WVS982938"/>
    <dataValidation type="list" allowBlank="1" showInputMessage="1" showErrorMessage="1" sqref="G1906 G2084 G1686:G1689 G1691:G1781 G1784:G1804 G1806:G1819 G1821:G1846 G1848:G1863 G1867:G1903 G1909:G1917 G1919:G1934 G1936:G2065 G2067:G2069 G2086:G2156 G2318:G2409 G2415:G2436 B2318:C2436 L2318:M2436 G1585 G2072:G2082 B1639:C2156 L1639:M2156 G1639:G1684">
      <formula1>#REF!</formula1>
    </dataValidation>
  </dataValidations>
  <pageMargins left="0.69930555555555596" right="0.69930555555555596" top="0.75" bottom="0.75" header="0.3" footer="0.3"/>
  <pageSetup paperSize="9" orientation="portrait" horizontalDpi="200" verticalDpi="300"/>
  <headerFooter alignWithMargins="0"/>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'Z:\Users\Administrator\Desktop\1-27\工时录入\[桌面 1月铣工工时1-28.xls]机床号'!#REF!</xm:f>
          </x14:formula1>
          <xm:sqref>G2437:G2438 B2437:C2438 L2437:M2438</xm:sqref>
        </x14:dataValidation>
        <x14:dataValidation type="list" allowBlank="1" showInputMessage="1" showErrorMessage="1">
          <x14:formula1>
            <xm:f>'Z:\2021年资料\2021产品工时\铣工\[1月铣工工时1-18.xls]机床号'!#REF!</xm:f>
          </x14:formula1>
          <xm:sqref>C1 G1 IU1 IY1 SQ1 SU1 ACM1 ACQ1 AMI1 AMM1 AWE1 AWI1 BGA1 BGE1 BPW1 BQA1 BZS1 BZW1 CJO1 CJS1 CTK1 CTO1 DDG1 DDK1 DNC1 DNG1 DWY1 DXC1 EGU1 EGY1 EQQ1 EQU1 FAM1 FAQ1 FKI1 FKM1 FUE1 FUI1 GEA1 GEE1 GNW1 GOA1 GXS1 GXW1 HHO1 HHS1 HRK1 HRO1 IBG1 IBK1 ILC1 ILG1 IUY1 IVC1 JEU1 JEY1 JOQ1 JOU1 JYM1 JYQ1 KII1 KIM1 KSE1 KSI1 LCA1 LCE1 LLW1 LMA1 LVS1 LVW1 MFO1 MFS1 MPK1 MPO1 MZG1 MZK1 NJC1 NJG1 NSY1 NTC1 OCU1 OCY1 OMQ1 OMU1 OWM1 OWQ1 PGI1 PGM1 PQE1 PQI1 QAA1 QAE1 QJW1 QKA1 QTS1 QTW1 RDO1 RDS1 RNK1 RNO1 RXG1 RXK1 SHC1 SHG1 SQY1 SRC1 TAU1 TAY1 TKQ1 TKU1 TUM1 TUQ1 UEI1 UEM1 UOE1 UOI1 UYA1 UYE1 VHW1 VIA1 VRS1 VRW1 WBO1 WBS1 WLK1 WLO1 WVG1 WVK1 C65434 G65434 IU65434 IY65434 SQ65434 SU65434 ACM65434 ACQ65434 AMI65434 AMM65434 AWE65434 AWI65434 BGA65434 BGE65434 BPW65434 BQA65434 BZS65434 BZW65434 CJO65434 CJS65434 CTK65434 CTO65434 DDG65434 DDK65434 DNC65434 DNG65434 DWY65434 DXC65434 EGU65434 EGY65434 EQQ65434 EQU65434 FAM65434 FAQ65434 FKI65434 FKM65434 FUE65434 FUI65434 GEA65434 GEE65434 GNW65434 GOA65434 GXS65434 GXW65434 HHO65434 HHS65434 HRK65434 HRO65434 IBG65434 IBK65434 ILC65434 ILG65434 IUY65434 IVC65434 JEU65434 JEY65434 JOQ65434 JOU65434 JYM65434 JYQ65434 KII65434 KIM65434 KSE65434 KSI65434 LCA65434 LCE65434 LLW65434 LMA65434 LVS65434 LVW65434 MFO65434 MFS65434 MPK65434 MPO65434 MZG65434 MZK65434 NJC65434 NJG65434 NSY65434 NTC65434 OCU65434 OCY65434 OMQ65434 OMU65434 OWM65434 OWQ65434 PGI65434 PGM65434 PQE65434 PQI65434 QAA65434 QAE65434 QJW65434 QKA65434 QTS65434 QTW65434 RDO65434 RDS65434 RNK65434 RNO65434 RXG65434 RXK65434 SHC65434 SHG65434 SQY65434 SRC65434 TAU65434 TAY65434 TKQ65434 TKU65434 TUM65434 TUQ65434 UEI65434 UEM65434 UOE65434 UOI65434 UYA65434 UYE65434 VHW65434 VIA65434 VRS65434 VRW65434 WBO65434 WBS65434 WLK65434 WLO65434 WVG65434 WVK65434 C130970 G130970 IU130970 IY130970 SQ130970 SU130970 ACM130970 ACQ130970 AMI130970 AMM130970 AWE130970 AWI130970 BGA130970 BGE130970 BPW130970 BQA130970 BZS130970 BZW130970 CJO130970 CJS130970 CTK130970 CTO130970 DDG130970 DDK130970 DNC130970 DNG130970 DWY130970 DXC130970 EGU130970 EGY130970 EQQ130970 EQU130970 FAM130970 FAQ130970 FKI130970 FKM130970 FUE130970 FUI130970 GEA130970 GEE130970 GNW130970 GOA130970 GXS130970 GXW130970 HHO130970 HHS130970 HRK130970 HRO130970 IBG130970 IBK130970 ILC130970 ILG130970 IUY130970 IVC130970 JEU130970 JEY130970 JOQ130970 JOU130970 JYM130970 JYQ130970 KII130970 KIM130970 KSE130970 KSI130970 LCA130970 LCE130970 LLW130970 LMA130970 LVS130970 LVW130970 MFO130970 MFS130970 MPK130970 MPO130970 MZG130970 MZK130970 NJC130970 NJG130970 NSY130970 NTC130970 OCU130970 OCY130970 OMQ130970 OMU130970 OWM130970 OWQ130970 PGI130970 PGM130970 PQE130970 PQI130970 QAA130970 QAE130970 QJW130970 QKA130970 QTS130970 QTW130970 RDO130970 RDS130970 RNK130970 RNO130970 RXG130970 RXK130970 SHC130970 SHG130970 SQY130970 SRC130970 TAU130970 TAY130970 TKQ130970 TKU130970 TUM130970 TUQ130970 UEI130970 UEM130970 UOE130970 UOI130970 UYA130970 UYE130970 VHW130970 VIA130970 VRS130970 VRW130970 WBO130970 WBS130970 WLK130970 WLO130970 WVG130970 WVK130970 C196506 G196506 IU196506 IY196506 SQ196506 SU196506 ACM196506 ACQ196506 AMI196506 AMM196506 AWE196506 AWI196506 BGA196506 BGE196506 BPW196506 BQA196506 BZS196506 BZW196506 CJO196506 CJS196506 CTK196506 CTO196506 DDG196506 DDK196506 DNC196506 DNG196506 DWY196506 DXC196506 EGU196506 EGY196506 EQQ196506 EQU196506 FAM196506 FAQ196506 FKI196506 FKM196506 FUE196506 FUI196506 GEA196506 GEE196506 GNW196506 GOA196506 GXS196506 GXW196506 HHO196506 HHS196506 HRK196506 HRO196506 IBG196506 IBK196506 ILC196506 ILG196506 IUY196506 IVC196506 JEU196506 JEY196506 JOQ196506 JOU196506 JYM196506 JYQ196506 KII196506 KIM196506 KSE196506 KSI196506 LCA196506 LCE196506 LLW196506 LMA196506 LVS196506 LVW196506 MFO196506 MFS196506 MPK196506 MPO196506 MZG196506 MZK196506 NJC196506 NJG196506 NSY196506 NTC196506 OCU196506 OCY196506 OMQ196506 OMU196506 OWM196506 OWQ196506 PGI196506 PGM196506 PQE196506 PQI196506 QAA196506 QAE196506 QJW196506 QKA196506 QTS196506 QTW196506 RDO196506 RDS196506 RNK196506 RNO196506 RXG196506 RXK196506 SHC196506 SHG196506 SQY196506 SRC196506 TAU196506 TAY196506 TKQ196506 TKU196506 TUM196506 TUQ196506 UEI196506 UEM196506 UOE196506 UOI196506 UYA196506 UYE196506 VHW196506 VIA196506 VRS196506 VRW196506 WBO196506 WBS196506 WLK196506 WLO196506 WVG196506 WVK196506 C262042 G262042 IU262042 IY262042 SQ262042 SU262042 ACM262042 ACQ262042 AMI262042 AMM262042 AWE262042 AWI262042 BGA262042 BGE262042 BPW262042 BQA262042 BZS262042 BZW262042 CJO262042 CJS262042 CTK262042 CTO262042 DDG262042 DDK262042 DNC262042 DNG262042 DWY262042 DXC262042 EGU262042 EGY262042 EQQ262042 EQU262042 FAM262042 FAQ262042 FKI262042 FKM262042 FUE262042 FUI262042 GEA262042 GEE262042 GNW262042 GOA262042 GXS262042 GXW262042 HHO262042 HHS262042 HRK262042 HRO262042 IBG262042 IBK262042 ILC262042 ILG262042 IUY262042 IVC262042 JEU262042 JEY262042 JOQ262042 JOU262042 JYM262042 JYQ262042 KII262042 KIM262042 KSE262042 KSI262042 LCA262042 LCE262042 LLW262042 LMA262042 LVS262042 LVW262042 MFO262042 MFS262042 MPK262042 MPO262042 MZG262042 MZK262042 NJC262042 NJG262042 NSY262042 NTC262042 OCU262042 OCY262042 OMQ262042 OMU262042 OWM262042 OWQ262042 PGI262042 PGM262042 PQE262042 PQI262042 QAA262042 QAE262042 QJW262042 QKA262042 QTS262042 QTW262042 RDO262042 RDS262042 RNK262042 RNO262042 RXG262042 RXK262042 SHC262042 SHG262042 SQY262042 SRC262042 TAU262042 TAY262042 TKQ262042 TKU262042 TUM262042 TUQ262042 UEI262042 UEM262042 UOE262042 UOI262042 UYA262042 UYE262042 VHW262042 VIA262042 VRS262042 VRW262042 WBO262042 WBS262042 WLK262042 WLO262042 WVG262042 WVK262042 C327578 G327578 IU327578 IY327578 SQ327578 SU327578 ACM327578 ACQ327578 AMI327578 AMM327578 AWE327578 AWI327578 BGA327578 BGE327578 BPW327578 BQA327578 BZS327578 BZW327578 CJO327578 CJS327578 CTK327578 CTO327578 DDG327578 DDK327578 DNC327578 DNG327578 DWY327578 DXC327578 EGU327578 EGY327578 EQQ327578 EQU327578 FAM327578 FAQ327578 FKI327578 FKM327578 FUE327578 FUI327578 GEA327578 GEE327578 GNW327578 GOA327578 GXS327578 GXW327578 HHO327578 HHS327578 HRK327578 HRO327578 IBG327578 IBK327578 ILC327578 ILG327578 IUY327578 IVC327578 JEU327578 JEY327578 JOQ327578 JOU327578 JYM327578 JYQ327578 KII327578 KIM327578 KSE327578 KSI327578 LCA327578 LCE327578 LLW327578 LMA327578 LVS327578 LVW327578 MFO327578 MFS327578 MPK327578 MPO327578 MZG327578 MZK327578 NJC327578 NJG327578 NSY327578 NTC327578 OCU327578 OCY327578 OMQ327578 OMU327578 OWM327578 OWQ327578 PGI327578 PGM327578 PQE327578 PQI327578 QAA327578 QAE327578 QJW327578 QKA327578 QTS327578 QTW327578 RDO327578 RDS327578 RNK327578 RNO327578 RXG327578 RXK327578 SHC327578 SHG327578 SQY327578 SRC327578 TAU327578 TAY327578 TKQ327578 TKU327578 TUM327578 TUQ327578 UEI327578 UEM327578 UOE327578 UOI327578 UYA327578 UYE327578 VHW327578 VIA327578 VRS327578 VRW327578 WBO327578 WBS327578 WLK327578 WLO327578 WVG327578 WVK327578 C393114 G393114 IU393114 IY393114 SQ393114 SU393114 ACM393114 ACQ393114 AMI393114 AMM393114 AWE393114 AWI393114 BGA393114 BGE393114 BPW393114 BQA393114 BZS393114 BZW393114 CJO393114 CJS393114 CTK393114 CTO393114 DDG393114 DDK393114 DNC393114 DNG393114 DWY393114 DXC393114 EGU393114 EGY393114 EQQ393114 EQU393114 FAM393114 FAQ393114 FKI393114 FKM393114 FUE393114 FUI393114 GEA393114 GEE393114 GNW393114 GOA393114 GXS393114 GXW393114 HHO393114 HHS393114 HRK393114 HRO393114 IBG393114 IBK393114 ILC393114 ILG393114 IUY393114 IVC393114 JEU393114 JEY393114 JOQ393114 JOU393114 JYM393114 JYQ393114 KII393114 KIM393114 KSE393114 KSI393114 LCA393114 LCE393114 LLW393114 LMA393114 LVS393114 LVW393114 MFO393114 MFS393114 MPK393114 MPO393114 MZG393114 MZK393114 NJC393114 NJG393114 NSY393114 NTC393114 OCU393114 OCY393114 OMQ393114 OMU393114 OWM393114 OWQ393114 PGI393114 PGM393114 PQE393114 PQI393114 QAA393114 QAE393114 QJW393114 QKA393114 QTS393114 QTW393114 RDO393114 RDS393114 RNK393114 RNO393114 RXG393114 RXK393114 SHC393114 SHG393114 SQY393114 SRC393114 TAU393114 TAY393114 TKQ393114 TKU393114 TUM393114 TUQ393114 UEI393114 UEM393114 UOE393114 UOI393114 UYA393114 UYE393114 VHW393114 VIA393114 VRS393114 VRW393114 WBO393114 WBS393114 WLK393114 WLO393114 WVG393114 WVK393114 C458650 G458650 IU458650 IY458650 SQ458650 SU458650 ACM458650 ACQ458650 AMI458650 AMM458650 AWE458650 AWI458650 BGA458650 BGE458650 BPW458650 BQA458650 BZS458650 BZW458650 CJO458650 CJS458650 CTK458650 CTO458650 DDG458650 DDK458650 DNC458650 DNG458650 DWY458650 DXC458650 EGU458650 EGY458650 EQQ458650 EQU458650 FAM458650 FAQ458650 FKI458650 FKM458650 FUE458650 FUI458650 GEA458650 GEE458650 GNW458650 GOA458650 GXS458650 GXW458650 HHO458650 HHS458650 HRK458650 HRO458650 IBG458650 IBK458650 ILC458650 ILG458650 IUY458650 IVC458650 JEU458650 JEY458650 JOQ458650 JOU458650 JYM458650 JYQ458650 KII458650 KIM458650 KSE458650 KSI458650 LCA458650 LCE458650 LLW458650 LMA458650 LVS458650 LVW458650 MFO458650 MFS458650 MPK458650 MPO458650 MZG458650 MZK458650 NJC458650 NJG458650 NSY458650 NTC458650 OCU458650 OCY458650 OMQ458650 OMU458650 OWM458650 OWQ458650 PGI458650 PGM458650 PQE458650 PQI458650 QAA458650 QAE458650 QJW458650 QKA458650 QTS458650 QTW458650 RDO458650 RDS458650 RNK458650 RNO458650 RXG458650 RXK458650 SHC458650 SHG458650 SQY458650 SRC458650 TAU458650 TAY458650 TKQ458650 TKU458650 TUM458650 TUQ458650 UEI458650 UEM458650 UOE458650 UOI458650 UYA458650 UYE458650 VHW458650 VIA458650 VRS458650 VRW458650 WBO458650 WBS458650 WLK458650 WLO458650 WVG458650 WVK458650 C524186 G524186 IU524186 IY524186 SQ524186 SU524186 ACM524186 ACQ524186 AMI524186 AMM524186 AWE524186 AWI524186 BGA524186 BGE524186 BPW524186 BQA524186 BZS524186 BZW524186 CJO524186 CJS524186 CTK524186 CTO524186 DDG524186 DDK524186 DNC524186 DNG524186 DWY524186 DXC524186 EGU524186 EGY524186 EQQ524186 EQU524186 FAM524186 FAQ524186 FKI524186 FKM524186 FUE524186 FUI524186 GEA524186 GEE524186 GNW524186 GOA524186 GXS524186 GXW524186 HHO524186 HHS524186 HRK524186 HRO524186 IBG524186 IBK524186 ILC524186 ILG524186 IUY524186 IVC524186 JEU524186 JEY524186 JOQ524186 JOU524186 JYM524186 JYQ524186 KII524186 KIM524186 KSE524186 KSI524186 LCA524186 LCE524186 LLW524186 LMA524186 LVS524186 LVW524186 MFO524186 MFS524186 MPK524186 MPO524186 MZG524186 MZK524186 NJC524186 NJG524186 NSY524186 NTC524186 OCU524186 OCY524186 OMQ524186 OMU524186 OWM524186 OWQ524186 PGI524186 PGM524186 PQE524186 PQI524186 QAA524186 QAE524186 QJW524186 QKA524186 QTS524186 QTW524186 RDO524186 RDS524186 RNK524186 RNO524186 RXG524186 RXK524186 SHC524186 SHG524186 SQY524186 SRC524186 TAU524186 TAY524186 TKQ524186 TKU524186 TUM524186 TUQ524186 UEI524186 UEM524186 UOE524186 UOI524186 UYA524186 UYE524186 VHW524186 VIA524186 VRS524186 VRW524186 WBO524186 WBS524186 WLK524186 WLO524186 WVG524186 WVK524186 C589722 G589722 IU589722 IY589722 SQ589722 SU589722 ACM589722 ACQ589722 AMI589722 AMM589722 AWE589722 AWI589722 BGA589722 BGE589722 BPW589722 BQA589722 BZS589722 BZW589722 CJO589722 CJS589722 CTK589722 CTO589722 DDG589722 DDK589722 DNC589722 DNG589722 DWY589722 DXC589722 EGU589722 EGY589722 EQQ589722 EQU589722 FAM589722 FAQ589722 FKI589722 FKM589722 FUE589722 FUI589722 GEA589722 GEE589722 GNW589722 GOA589722 GXS589722 GXW589722 HHO589722 HHS589722 HRK589722 HRO589722 IBG589722 IBK589722 ILC589722 ILG589722 IUY589722 IVC589722 JEU589722 JEY589722 JOQ589722 JOU589722 JYM589722 JYQ589722 KII589722 KIM589722 KSE589722 KSI589722 LCA589722 LCE589722 LLW589722 LMA589722 LVS589722 LVW589722 MFO589722 MFS589722 MPK589722 MPO589722 MZG589722 MZK589722 NJC589722 NJG589722 NSY589722 NTC589722 OCU589722 OCY589722 OMQ589722 OMU589722 OWM589722 OWQ589722 PGI589722 PGM589722 PQE589722 PQI589722 QAA589722 QAE589722 QJW589722 QKA589722 QTS589722 QTW589722 RDO589722 RDS589722 RNK589722 RNO589722 RXG589722 RXK589722 SHC589722 SHG589722 SQY589722 SRC589722 TAU589722 TAY589722 TKQ589722 TKU589722 TUM589722 TUQ589722 UEI589722 UEM589722 UOE589722 UOI589722 UYA589722 UYE589722 VHW589722 VIA589722 VRS589722 VRW589722 WBO589722 WBS589722 WLK589722 WLO589722 WVG589722 WVK589722 C655258 G655258 IU655258 IY655258 SQ655258 SU655258 ACM655258 ACQ655258 AMI655258 AMM655258 AWE655258 AWI655258 BGA655258 BGE655258 BPW655258 BQA655258 BZS655258 BZW655258 CJO655258 CJS655258 CTK655258 CTO655258 DDG655258 DDK655258 DNC655258 DNG655258 DWY655258 DXC655258 EGU655258 EGY655258 EQQ655258 EQU655258 FAM655258 FAQ655258 FKI655258 FKM655258 FUE655258 FUI655258 GEA655258 GEE655258 GNW655258 GOA655258 GXS655258 GXW655258 HHO655258 HHS655258 HRK655258 HRO655258 IBG655258 IBK655258 ILC655258 ILG655258 IUY655258 IVC655258 JEU655258 JEY655258 JOQ655258 JOU655258 JYM655258 JYQ655258 KII655258 KIM655258 KSE655258 KSI655258 LCA655258 LCE655258 LLW655258 LMA655258 LVS655258 LVW655258 MFO655258 MFS655258 MPK655258 MPO655258 MZG655258 MZK655258 NJC655258 NJG655258 NSY655258 NTC655258 OCU655258 OCY655258 OMQ655258 OMU655258 OWM655258 OWQ655258 PGI655258 PGM655258 PQE655258 PQI655258 QAA655258 QAE655258 QJW655258 QKA655258 QTS655258 QTW655258 RDO655258 RDS655258 RNK655258 RNO655258 RXG655258 RXK655258 SHC655258 SHG655258 SQY655258 SRC655258 TAU655258 TAY655258 TKQ655258 TKU655258 TUM655258 TUQ655258 UEI655258 UEM655258 UOE655258 UOI655258 UYA655258 UYE655258 VHW655258 VIA655258 VRS655258 VRW655258 WBO655258 WBS655258 WLK655258 WLO655258 WVG655258 WVK655258 C720794 G720794 IU720794 IY720794 SQ720794 SU720794 ACM720794 ACQ720794 AMI720794 AMM720794 AWE720794 AWI720794 BGA720794 BGE720794 BPW720794 BQA720794 BZS720794 BZW720794 CJO720794 CJS720794 CTK720794 CTO720794 DDG720794 DDK720794 DNC720794 DNG720794 DWY720794 DXC720794 EGU720794 EGY720794 EQQ720794 EQU720794 FAM720794 FAQ720794 FKI720794 FKM720794 FUE720794 FUI720794 GEA720794 GEE720794 GNW720794 GOA720794 GXS720794 GXW720794 HHO720794 HHS720794 HRK720794 HRO720794 IBG720794 IBK720794 ILC720794 ILG720794 IUY720794 IVC720794 JEU720794 JEY720794 JOQ720794 JOU720794 JYM720794 JYQ720794 KII720794 KIM720794 KSE720794 KSI720794 LCA720794 LCE720794 LLW720794 LMA720794 LVS720794 LVW720794 MFO720794 MFS720794 MPK720794 MPO720794 MZG720794 MZK720794 NJC720794 NJG720794 NSY720794 NTC720794 OCU720794 OCY720794 OMQ720794 OMU720794 OWM720794 OWQ720794 PGI720794 PGM720794 PQE720794 PQI720794 QAA720794 QAE720794 QJW720794 QKA720794 QTS720794 QTW720794 RDO720794 RDS720794 RNK720794 RNO720794 RXG720794 RXK720794 SHC720794 SHG720794 SQY720794 SRC720794 TAU720794 TAY720794 TKQ720794 TKU720794 TUM720794 TUQ720794 UEI720794 UEM720794 UOE720794 UOI720794 UYA720794 UYE720794 VHW720794 VIA720794 VRS720794 VRW720794 WBO720794 WBS720794 WLK720794 WLO720794 WVG720794 WVK720794 C786330 G786330 IU786330 IY786330 SQ786330 SU786330 ACM786330 ACQ786330 AMI786330 AMM786330 AWE786330 AWI786330 BGA786330 BGE786330 BPW786330 BQA786330 BZS786330 BZW786330 CJO786330 CJS786330 CTK786330 CTO786330 DDG786330 DDK786330 DNC786330 DNG786330 DWY786330 DXC786330 EGU786330 EGY786330 EQQ786330 EQU786330 FAM786330 FAQ786330 FKI786330 FKM786330 FUE786330 FUI786330 GEA786330 GEE786330 GNW786330 GOA786330 GXS786330 GXW786330 HHO786330 HHS786330 HRK786330 HRO786330 IBG786330 IBK786330 ILC786330 ILG786330 IUY786330 IVC786330 JEU786330 JEY786330 JOQ786330 JOU786330 JYM786330 JYQ786330 KII786330 KIM786330 KSE786330 KSI786330 LCA786330 LCE786330 LLW786330 LMA786330 LVS786330 LVW786330 MFO786330 MFS786330 MPK786330 MPO786330 MZG786330 MZK786330 NJC786330 NJG786330 NSY786330 NTC786330 OCU786330 OCY786330 OMQ786330 OMU786330 OWM786330 OWQ786330 PGI786330 PGM786330 PQE786330 PQI786330 QAA786330 QAE786330 QJW786330 QKA786330 QTS786330 QTW786330 RDO786330 RDS786330 RNK786330 RNO786330 RXG786330 RXK786330 SHC786330 SHG786330 SQY786330 SRC786330 TAU786330 TAY786330 TKQ786330 TKU786330 TUM786330 TUQ786330 UEI786330 UEM786330 UOE786330 UOI786330 UYA786330 UYE786330 VHW786330 VIA786330 VRS786330 VRW786330 WBO786330 WBS786330 WLK786330 WLO786330 WVG786330 WVK786330 C851866 G851866 IU851866 IY851866 SQ851866 SU851866 ACM851866 ACQ851866 AMI851866 AMM851866 AWE851866 AWI851866 BGA851866 BGE851866 BPW851866 BQA851866 BZS851866 BZW851866 CJO851866 CJS851866 CTK851866 CTO851866 DDG851866 DDK851866 DNC851866 DNG851866 DWY851866 DXC851866 EGU851866 EGY851866 EQQ851866 EQU851866 FAM851866 FAQ851866 FKI851866 FKM851866 FUE851866 FUI851866 GEA851866 GEE851866 GNW851866 GOA851866 GXS851866 GXW851866 HHO851866 HHS851866 HRK851866 HRO851866 IBG851866 IBK851866 ILC851866 ILG851866 IUY851866 IVC851866 JEU851866 JEY851866 JOQ851866 JOU851866 JYM851866 JYQ851866 KII851866 KIM851866 KSE851866 KSI851866 LCA851866 LCE851866 LLW851866 LMA851866 LVS851866 LVW851866 MFO851866 MFS851866 MPK851866 MPO851866 MZG851866 MZK851866 NJC851866 NJG851866 NSY851866 NTC851866 OCU851866 OCY851866 OMQ851866 OMU851866 OWM851866 OWQ851866 PGI851866 PGM851866 PQE851866 PQI851866 QAA851866 QAE851866 QJW851866 QKA851866 QTS851866 QTW851866 RDO851866 RDS851866 RNK851866 RNO851866 RXG851866 RXK851866 SHC851866 SHG851866 SQY851866 SRC851866 TAU851866 TAY851866 TKQ851866 TKU851866 TUM851866 TUQ851866 UEI851866 UEM851866 UOE851866 UOI851866 UYA851866 UYE851866 VHW851866 VIA851866 VRS851866 VRW851866 WBO851866 WBS851866 WLK851866 WLO851866 WVG851866 WVK851866 C917402 G917402 IU917402 IY917402 SQ917402 SU917402 ACM917402 ACQ917402 AMI917402 AMM917402 AWE917402 AWI917402 BGA917402 BGE917402 BPW917402 BQA917402 BZS917402 BZW917402 CJO917402 CJS917402 CTK917402 CTO917402 DDG917402 DDK917402 DNC917402 DNG917402 DWY917402 DXC917402 EGU917402 EGY917402 EQQ917402 EQU917402 FAM917402 FAQ917402 FKI917402 FKM917402 FUE917402 FUI917402 GEA917402 GEE917402 GNW917402 GOA917402 GXS917402 GXW917402 HHO917402 HHS917402 HRK917402 HRO917402 IBG917402 IBK917402 ILC917402 ILG917402 IUY917402 IVC917402 JEU917402 JEY917402 JOQ917402 JOU917402 JYM917402 JYQ917402 KII917402 KIM917402 KSE917402 KSI917402 LCA917402 LCE917402 LLW917402 LMA917402 LVS917402 LVW917402 MFO917402 MFS917402 MPK917402 MPO917402 MZG917402 MZK917402 NJC917402 NJG917402 NSY917402 NTC917402 OCU917402 OCY917402 OMQ917402 OMU917402 OWM917402 OWQ917402 PGI917402 PGM917402 PQE917402 PQI917402 QAA917402 QAE917402 QJW917402 QKA917402 QTS917402 QTW917402 RDO917402 RDS917402 RNK917402 RNO917402 RXG917402 RXK917402 SHC917402 SHG917402 SQY917402 SRC917402 TAU917402 TAY917402 TKQ917402 TKU917402 TUM917402 TUQ917402 UEI917402 UEM917402 UOE917402 UOI917402 UYA917402 UYE917402 VHW917402 VIA917402 VRS917402 VRW917402 WBO917402 WBS917402 WLK917402 WLO917402 WVG917402 WVK917402 C982938 G982938 IU982938 IY982938 SQ982938 SU982938 ACM982938 ACQ982938 AMI982938 AMM982938 AWE982938 AWI982938 BGA982938 BGE982938 BPW982938 BQA982938 BZS982938 BZW982938 CJO982938 CJS982938 CTK982938 CTO982938 DDG982938 DDK982938 DNC982938 DNG982938 DWY982938 DXC982938 EGU982938 EGY982938 EQQ982938 EQU982938 FAM982938 FAQ982938 FKI982938 FKM982938 FUE982938 FUI982938 GEA982938 GEE982938 GNW982938 GOA982938 GXS982938 GXW982938 HHO982938 HHS982938 HRK982938 HRO982938 IBG982938 IBK982938 ILC982938 ILG982938 IUY982938 IVC982938 JEU982938 JEY982938 JOQ982938 JOU982938 JYM982938 JYQ982938 KII982938 KIM982938 KSE982938 KSI982938 LCA982938 LCE982938 LLW982938 LMA982938 LVS982938 LVW982938 MFO982938 MFS982938 MPK982938 MPO982938 MZG982938 MZK982938 NJC982938 NJG982938 NSY982938 NTC982938 OCU982938 OCY982938 OMQ982938 OMU982938 OWM982938 OWQ982938 PGI982938 PGM982938 PQE982938 PQI982938 QAA982938 QAE982938 QJW982938 QKA982938 QTS982938 QTW982938 RDO982938 RDS982938 RNK982938 RNO982938 RXG982938 RXK982938 SHC982938 SHG982938 SQY982938 SRC982938 TAU982938 TAY982938 TKQ982938 TKU982938 TUM982938 TUQ982938 UEI982938 UEM982938 UOE982938 UOI982938 UYA982938 UYE982938 VHW982938 VIA982938 VRS982938 VRW982938 WBO982938 WBS982938 WLK982938 WLO982938 WVG982938 WVK982938 C2937:C2949 C2951:C2968 B2972:C64044 WVF2937:WVG64044 G66288:G129580 G131824:G195116 G197360:G260652 G262896:G326188 G328432:G391724 G393968:G457260 G459504:G522796 G525040:G588332 G590576:G653868 G656112:G719404 G721648:G784940 G787184:G850476 G852720:G916012 G918256:G981548 G983792:G1047084 IY66288:IY129580 IY131824:IY195116 IY197360:IY260652 IY262896:IY326188 IY328432:IY391724 IY393968:IY457260 IY459504:IY522796 IY525040:IY588332 IY590576:IY653868 IY656112:IY719404 IY721648:IY784940 IY787184:IY850476 IY852720:IY916012 IY918256:IY981548 IY983792:IY1047084 SU66288:SU129580 SU131824:SU195116 SU197360:SU260652 SU262896:SU326188 SU328432:SU391724 SU393968:SU457260 SU459504:SU522796 SU525040:SU588332 SU590576:SU653868 SU656112:SU719404 SU721648:SU784940 SU787184:SU850476 SU852720:SU916012 SU918256:SU981548 SU983792:SU1047084 ACQ66288:ACQ129580 ACQ131824:ACQ195116 ACQ197360:ACQ260652 ACQ262896:ACQ326188 ACQ328432:ACQ391724 ACQ393968:ACQ457260 ACQ459504:ACQ522796 ACQ525040:ACQ588332 ACQ590576:ACQ653868 ACQ656112:ACQ719404 ACQ721648:ACQ784940 ACQ787184:ACQ850476 ACQ852720:ACQ916012 ACQ918256:ACQ981548 ACQ983792:ACQ1047084 AMM66288:AMM129580 AMM131824:AMM195116 AMM197360:AMM260652 AMM262896:AMM326188 AMM328432:AMM391724 AMM393968:AMM457260 AMM459504:AMM522796 AMM525040:AMM588332 AMM590576:AMM653868 AMM656112:AMM719404 AMM721648:AMM784940 AMM787184:AMM850476 AMM852720:AMM916012 AMM918256:AMM981548 AMM983792:AMM1047084 AWI66288:AWI129580 AWI131824:AWI195116 AWI197360:AWI260652 AWI262896:AWI326188 AWI328432:AWI391724 AWI393968:AWI457260 AWI459504:AWI522796 AWI525040:AWI588332 AWI590576:AWI653868 AWI656112:AWI719404 AWI721648:AWI784940 AWI787184:AWI850476 AWI852720:AWI916012 AWI918256:AWI981548 AWI983792:AWI1047084 BGE66288:BGE129580 BGE131824:BGE195116 BGE197360:BGE260652 BGE262896:BGE326188 BGE328432:BGE391724 BGE393968:BGE457260 BGE459504:BGE522796 BGE525040:BGE588332 BGE590576:BGE653868 BGE656112:BGE719404 BGE721648:BGE784940 BGE787184:BGE850476 BGE852720:BGE916012 BGE918256:BGE981548 BGE983792:BGE1047084 BQA66288:BQA129580 BQA131824:BQA195116 BQA197360:BQA260652 BQA262896:BQA326188 BQA328432:BQA391724 BQA393968:BQA457260 BQA459504:BQA522796 BQA525040:BQA588332 BQA590576:BQA653868 BQA656112:BQA719404 BQA721648:BQA784940 BQA787184:BQA850476 BQA852720:BQA916012 BQA918256:BQA981548 BQA983792:BQA1047084 BZW66288:BZW129580 BZW131824:BZW195116 BZW197360:BZW260652 BZW262896:BZW326188 BZW328432:BZW391724 BZW393968:BZW457260 BZW459504:BZW522796 BZW525040:BZW588332 BZW590576:BZW653868 BZW656112:BZW719404 BZW721648:BZW784940 BZW787184:BZW850476 BZW852720:BZW916012 BZW918256:BZW981548 BZW983792:BZW1047084 CJS66288:CJS129580 CJS131824:CJS195116 CJS197360:CJS260652 CJS262896:CJS326188 CJS328432:CJS391724 CJS393968:CJS457260 CJS459504:CJS522796 CJS525040:CJS588332 CJS590576:CJS653868 CJS656112:CJS719404 CJS721648:CJS784940 CJS787184:CJS850476 CJS852720:CJS916012 CJS918256:CJS981548 CJS983792:CJS1047084 CTO66288:CTO129580 CTO131824:CTO195116 CTO197360:CTO260652 CTO262896:CTO326188 CTO328432:CTO391724 CTO393968:CTO457260 CTO459504:CTO522796 CTO525040:CTO588332 CTO590576:CTO653868 CTO656112:CTO719404 CTO721648:CTO784940 CTO787184:CTO850476 CTO852720:CTO916012 CTO918256:CTO981548 CTO983792:CTO1047084 DDK66288:DDK129580 DDK131824:DDK195116 DDK197360:DDK260652 DDK262896:DDK326188 DDK328432:DDK391724 DDK393968:DDK457260 DDK459504:DDK522796 DDK525040:DDK588332 DDK590576:DDK653868 DDK656112:DDK719404 DDK721648:DDK784940 DDK787184:DDK850476 DDK852720:DDK916012 DDK918256:DDK981548 DDK983792:DDK1047084 DNG66288:DNG129580 DNG131824:DNG195116 DNG197360:DNG260652 DNG262896:DNG326188 DNG328432:DNG391724 DNG393968:DNG457260 DNG459504:DNG522796 DNG525040:DNG588332 DNG590576:DNG653868 DNG656112:DNG719404 DNG721648:DNG784940 DNG787184:DNG850476 DNG852720:DNG916012 DNG918256:DNG981548 DNG983792:DNG1047084 DXC66288:DXC129580 DXC131824:DXC195116 DXC197360:DXC260652 DXC262896:DXC326188 DXC328432:DXC391724 DXC393968:DXC457260 DXC459504:DXC522796 DXC525040:DXC588332 DXC590576:DXC653868 DXC656112:DXC719404 DXC721648:DXC784940 DXC787184:DXC850476 DXC852720:DXC916012 DXC918256:DXC981548 DXC983792:DXC1047084 EGY66288:EGY129580 EGY131824:EGY195116 EGY197360:EGY260652 EGY262896:EGY326188 EGY328432:EGY391724 EGY393968:EGY457260 EGY459504:EGY522796 EGY525040:EGY588332 EGY590576:EGY653868 EGY656112:EGY719404 EGY721648:EGY784940 EGY787184:EGY850476 EGY852720:EGY916012 EGY918256:EGY981548 EGY983792:EGY1047084 EQU66288:EQU129580 EQU131824:EQU195116 EQU197360:EQU260652 EQU262896:EQU326188 EQU328432:EQU391724 EQU393968:EQU457260 EQU459504:EQU522796 EQU525040:EQU588332 EQU590576:EQU653868 EQU656112:EQU719404 EQU721648:EQU784940 EQU787184:EQU850476 EQU852720:EQU916012 EQU918256:EQU981548 EQU983792:EQU1047084 FAQ66288:FAQ129580 FAQ131824:FAQ195116 FAQ197360:FAQ260652 FAQ262896:FAQ326188 FAQ328432:FAQ391724 FAQ393968:FAQ457260 FAQ459504:FAQ522796 FAQ525040:FAQ588332 FAQ590576:FAQ653868 FAQ656112:FAQ719404 FAQ721648:FAQ784940 FAQ787184:FAQ850476 FAQ852720:FAQ916012 FAQ918256:FAQ981548 FAQ983792:FAQ1047084 FKM66288:FKM129580 FKM131824:FKM195116 FKM197360:FKM260652 FKM262896:FKM326188 FKM328432:FKM391724 FKM393968:FKM457260 FKM459504:FKM522796 FKM525040:FKM588332 FKM590576:FKM653868 FKM656112:FKM719404 FKM721648:FKM784940 FKM787184:FKM850476 FKM852720:FKM916012 FKM918256:FKM981548 FKM983792:FKM1047084 FUI66288:FUI129580 FUI131824:FUI195116 FUI197360:FUI260652 FUI262896:FUI326188 FUI328432:FUI391724 FUI393968:FUI457260 FUI459504:FUI522796 FUI525040:FUI588332 FUI590576:FUI653868 FUI656112:FUI719404 FUI721648:FUI784940 FUI787184:FUI850476 FUI852720:FUI916012 FUI918256:FUI981548 FUI983792:FUI1047084 GEE66288:GEE129580 GEE131824:GEE195116 GEE197360:GEE260652 GEE262896:GEE326188 GEE328432:GEE391724 GEE393968:GEE457260 GEE459504:GEE522796 GEE525040:GEE588332 GEE590576:GEE653868 GEE656112:GEE719404 GEE721648:GEE784940 GEE787184:GEE850476 GEE852720:GEE916012 GEE918256:GEE981548 GEE983792:GEE1047084 GOA66288:GOA129580 GOA131824:GOA195116 GOA197360:GOA260652 GOA262896:GOA326188 GOA328432:GOA391724 GOA393968:GOA457260 GOA459504:GOA522796 GOA525040:GOA588332 GOA590576:GOA653868 GOA656112:GOA719404 GOA721648:GOA784940 GOA787184:GOA850476 GOA852720:GOA916012 GOA918256:GOA981548 GOA983792:GOA1047084 GXW66288:GXW129580 GXW131824:GXW195116 GXW197360:GXW260652 GXW262896:GXW326188 GXW328432:GXW391724 GXW393968:GXW457260 GXW459504:GXW522796 GXW525040:GXW588332 GXW590576:GXW653868 GXW656112:GXW719404 GXW721648:GXW784940 GXW787184:GXW850476 GXW852720:GXW916012 GXW918256:GXW981548 GXW983792:GXW1047084 HHS66288:HHS129580 HHS131824:HHS195116 HHS197360:HHS260652 HHS262896:HHS326188 HHS328432:HHS391724 HHS393968:HHS457260 HHS459504:HHS522796 HHS525040:HHS588332 HHS590576:HHS653868 HHS656112:HHS719404 HHS721648:HHS784940 HHS787184:HHS850476 HHS852720:HHS916012 HHS918256:HHS981548 HHS983792:HHS1047084 HRO66288:HRO129580 HRO131824:HRO195116 HRO197360:HRO260652 HRO262896:HRO326188 HRO328432:HRO391724 HRO393968:HRO457260 HRO459504:HRO522796 HRO525040:HRO588332 HRO590576:HRO653868 HRO656112:HRO719404 HRO721648:HRO784940 HRO787184:HRO850476 HRO852720:HRO916012 HRO918256:HRO981548 HRO983792:HRO1047084 IBK66288:IBK129580 IBK131824:IBK195116 IBK197360:IBK260652 IBK262896:IBK326188 IBK328432:IBK391724 IBK393968:IBK457260 IBK459504:IBK522796 IBK525040:IBK588332 IBK590576:IBK653868 IBK656112:IBK719404 IBK721648:IBK784940 IBK787184:IBK850476 IBK852720:IBK916012 IBK918256:IBK981548 IBK983792:IBK1047084 ILG66288:ILG129580 ILG131824:ILG195116 ILG197360:ILG260652 ILG262896:ILG326188 ILG328432:ILG391724 ILG393968:ILG457260 ILG459504:ILG522796 ILG525040:ILG588332 ILG590576:ILG653868 ILG656112:ILG719404 ILG721648:ILG784940 ILG787184:ILG850476 ILG852720:ILG916012 ILG918256:ILG981548 ILG983792:ILG1047084 IVC66288:IVC129580 IVC131824:IVC195116 IVC197360:IVC260652 IVC262896:IVC326188 IVC328432:IVC391724 IVC393968:IVC457260 IVC459504:IVC522796 IVC525040:IVC588332 IVC590576:IVC653868 IVC656112:IVC719404 IVC721648:IVC784940 IVC787184:IVC850476 IVC852720:IVC916012 IVC918256:IVC981548 IVC983792:IVC1047084 JEY66288:JEY129580 JEY131824:JEY195116 JEY197360:JEY260652 JEY262896:JEY326188 JEY328432:JEY391724 JEY393968:JEY457260 JEY459504:JEY522796 JEY525040:JEY588332 JEY590576:JEY653868 JEY656112:JEY719404 JEY721648:JEY784940 JEY787184:JEY850476 JEY852720:JEY916012 JEY918256:JEY981548 JEY983792:JEY1047084 JOU66288:JOU129580 JOU131824:JOU195116 JOU197360:JOU260652 JOU262896:JOU326188 JOU328432:JOU391724 JOU393968:JOU457260 JOU459504:JOU522796 JOU525040:JOU588332 JOU590576:JOU653868 JOU656112:JOU719404 JOU721648:JOU784940 JOU787184:JOU850476 JOU852720:JOU916012 JOU918256:JOU981548 JOU983792:JOU1047084 JYQ66288:JYQ129580 JYQ131824:JYQ195116 JYQ197360:JYQ260652 JYQ262896:JYQ326188 JYQ328432:JYQ391724 JYQ393968:JYQ457260 JYQ459504:JYQ522796 JYQ525040:JYQ588332 JYQ590576:JYQ653868 JYQ656112:JYQ719404 JYQ721648:JYQ784940 JYQ787184:JYQ850476 JYQ852720:JYQ916012 JYQ918256:JYQ981548 JYQ983792:JYQ1047084 KIM66288:KIM129580 KIM131824:KIM195116 KIM197360:KIM260652 KIM262896:KIM326188 KIM328432:KIM391724 KIM393968:KIM457260 KIM459504:KIM522796 KIM525040:KIM588332 KIM590576:KIM653868 KIM656112:KIM719404 KIM721648:KIM784940 KIM787184:KIM850476 KIM852720:KIM916012 KIM918256:KIM981548 KIM983792:KIM1047084 KSI66288:KSI129580 KSI131824:KSI195116 KSI197360:KSI260652 KSI262896:KSI326188 KSI328432:KSI391724 KSI393968:KSI457260 KSI459504:KSI522796 KSI525040:KSI588332 KSI590576:KSI653868 KSI656112:KSI719404 KSI721648:KSI784940 KSI787184:KSI850476 KSI852720:KSI916012 KSI918256:KSI981548 KSI983792:KSI1047084 LCE66288:LCE129580 LCE131824:LCE195116 LCE197360:LCE260652 LCE262896:LCE326188 LCE328432:LCE391724 LCE393968:LCE457260 LCE459504:LCE522796 LCE525040:LCE588332 LCE590576:LCE653868 LCE656112:LCE719404 LCE721648:LCE784940 LCE787184:LCE850476 LCE852720:LCE916012 LCE918256:LCE981548 LCE983792:LCE1047084 LMA66288:LMA129580 LMA131824:LMA195116 LMA197360:LMA260652 LMA262896:LMA326188 LMA328432:LMA391724 LMA393968:LMA457260 LMA459504:LMA522796 LMA525040:LMA588332 LMA590576:LMA653868 LMA656112:LMA719404 LMA721648:LMA784940 LMA787184:LMA850476 LMA852720:LMA916012 LMA918256:LMA981548 LMA983792:LMA1047084 LVW66288:LVW129580 LVW131824:LVW195116 LVW197360:LVW260652 LVW262896:LVW326188 LVW328432:LVW391724 LVW393968:LVW457260 LVW459504:LVW522796 LVW525040:LVW588332 LVW590576:LVW653868 LVW656112:LVW719404 LVW721648:LVW784940 LVW787184:LVW850476 LVW852720:LVW916012 LVW918256:LVW981548 LVW983792:LVW1047084 MFS66288:MFS129580 MFS131824:MFS195116 MFS197360:MFS260652 MFS262896:MFS326188 MFS328432:MFS391724 MFS393968:MFS457260 MFS459504:MFS522796 MFS525040:MFS588332 MFS590576:MFS653868 MFS656112:MFS719404 MFS721648:MFS784940 MFS787184:MFS850476 MFS852720:MFS916012 MFS918256:MFS981548 MFS983792:MFS1047084 MPO66288:MPO129580 MPO131824:MPO195116 MPO197360:MPO260652 MPO262896:MPO326188 MPO328432:MPO391724 MPO393968:MPO457260 MPO459504:MPO522796 MPO525040:MPO588332 MPO590576:MPO653868 MPO656112:MPO719404 MPO721648:MPO784940 MPO787184:MPO850476 MPO852720:MPO916012 MPO918256:MPO981548 MPO983792:MPO1047084 MZK66288:MZK129580 MZK131824:MZK195116 MZK197360:MZK260652 MZK262896:MZK326188 MZK328432:MZK391724 MZK393968:MZK457260 MZK459504:MZK522796 MZK525040:MZK588332 MZK590576:MZK653868 MZK656112:MZK719404 MZK721648:MZK784940 MZK787184:MZK850476 MZK852720:MZK916012 MZK918256:MZK981548 MZK983792:MZK1047084 NJG66288:NJG129580 NJG131824:NJG195116 NJG197360:NJG260652 NJG262896:NJG326188 NJG328432:NJG391724 NJG393968:NJG457260 NJG459504:NJG522796 NJG525040:NJG588332 NJG590576:NJG653868 NJG656112:NJG719404 NJG721648:NJG784940 NJG787184:NJG850476 NJG852720:NJG916012 NJG918256:NJG981548 NJG983792:NJG1047084 NTC66288:NTC129580 NTC131824:NTC195116 NTC197360:NTC260652 NTC262896:NTC326188 NTC328432:NTC391724 NTC393968:NTC457260 NTC459504:NTC522796 NTC525040:NTC588332 NTC590576:NTC653868 NTC656112:NTC719404 NTC721648:NTC784940 NTC787184:NTC850476 NTC852720:NTC916012 NTC918256:NTC981548 NTC983792:NTC1047084 OCY66288:OCY129580 OCY131824:OCY195116 OCY197360:OCY260652 OCY262896:OCY326188 OCY328432:OCY391724 OCY393968:OCY457260 OCY459504:OCY522796 OCY525040:OCY588332 OCY590576:OCY653868 OCY656112:OCY719404 OCY721648:OCY784940 OCY787184:OCY850476 OCY852720:OCY916012 OCY918256:OCY981548 OCY983792:OCY1047084 OMU66288:OMU129580 OMU131824:OMU195116 OMU197360:OMU260652 OMU262896:OMU326188 OMU328432:OMU391724 OMU393968:OMU457260 OMU459504:OMU522796 OMU525040:OMU588332 OMU590576:OMU653868 OMU656112:OMU719404 OMU721648:OMU784940 OMU787184:OMU850476 OMU852720:OMU916012 OMU918256:OMU981548 OMU983792:OMU1047084 OWQ66288:OWQ129580 OWQ131824:OWQ195116 OWQ197360:OWQ260652 OWQ262896:OWQ326188 OWQ328432:OWQ391724 OWQ393968:OWQ457260 OWQ459504:OWQ522796 OWQ525040:OWQ588332 OWQ590576:OWQ653868 OWQ656112:OWQ719404 OWQ721648:OWQ784940 OWQ787184:OWQ850476 OWQ852720:OWQ916012 OWQ918256:OWQ981548 OWQ983792:OWQ1047084 PGM66288:PGM129580 PGM131824:PGM195116 PGM197360:PGM260652 PGM262896:PGM326188 PGM328432:PGM391724 PGM393968:PGM457260 PGM459504:PGM522796 PGM525040:PGM588332 PGM590576:PGM653868 PGM656112:PGM719404 PGM721648:PGM784940 PGM787184:PGM850476 PGM852720:PGM916012 PGM918256:PGM981548 PGM983792:PGM1047084 PQI66288:PQI129580 PQI131824:PQI195116 PQI197360:PQI260652 PQI262896:PQI326188 PQI328432:PQI391724 PQI393968:PQI457260 PQI459504:PQI522796 PQI525040:PQI588332 PQI590576:PQI653868 PQI656112:PQI719404 PQI721648:PQI784940 PQI787184:PQI850476 PQI852720:PQI916012 PQI918256:PQI981548 PQI983792:PQI1047084 QAE66288:QAE129580 QAE131824:QAE195116 QAE197360:QAE260652 QAE262896:QAE326188 QAE328432:QAE391724 QAE393968:QAE457260 QAE459504:QAE522796 QAE525040:QAE588332 QAE590576:QAE653868 QAE656112:QAE719404 QAE721648:QAE784940 QAE787184:QAE850476 QAE852720:QAE916012 QAE918256:QAE981548 QAE983792:QAE1047084 QKA66288:QKA129580 QKA131824:QKA195116 QKA197360:QKA260652 QKA262896:QKA326188 QKA328432:QKA391724 QKA393968:QKA457260 QKA459504:QKA522796 QKA525040:QKA588332 QKA590576:QKA653868 QKA656112:QKA719404 QKA721648:QKA784940 QKA787184:QKA850476 QKA852720:QKA916012 QKA918256:QKA981548 QKA983792:QKA1047084 QTW66288:QTW129580 QTW131824:QTW195116 QTW197360:QTW260652 QTW262896:QTW326188 QTW328432:QTW391724 QTW393968:QTW457260 QTW459504:QTW522796 QTW525040:QTW588332 QTW590576:QTW653868 QTW656112:QTW719404 QTW721648:QTW784940 QTW787184:QTW850476 QTW852720:QTW916012 QTW918256:QTW981548 QTW983792:QTW1047084 RDS66288:RDS129580 RDS131824:RDS195116 RDS197360:RDS260652 RDS262896:RDS326188 RDS328432:RDS391724 RDS393968:RDS457260 RDS459504:RDS522796 RDS525040:RDS588332 RDS590576:RDS653868 RDS656112:RDS719404 RDS721648:RDS784940 RDS787184:RDS850476 RDS852720:RDS916012 RDS918256:RDS981548 RDS983792:RDS1047084 RNO66288:RNO129580 RNO131824:RNO195116 RNO197360:RNO260652 RNO262896:RNO326188 RNO328432:RNO391724 RNO393968:RNO457260 RNO459504:RNO522796 RNO525040:RNO588332 RNO590576:RNO653868 RNO656112:RNO719404 RNO721648:RNO784940 RNO787184:RNO850476 RNO852720:RNO916012 RNO918256:RNO981548 RNO983792:RNO1047084 RXK66288:RXK129580 RXK131824:RXK195116 RXK197360:RXK260652 RXK262896:RXK326188 RXK328432:RXK391724 RXK393968:RXK457260 RXK459504:RXK522796 RXK525040:RXK588332 RXK590576:RXK653868 RXK656112:RXK719404 RXK721648:RXK784940 RXK787184:RXK850476 RXK852720:RXK916012 RXK918256:RXK981548 RXK983792:RXK1047084 SHG66288:SHG129580 SHG131824:SHG195116 SHG197360:SHG260652 SHG262896:SHG326188 SHG328432:SHG391724 SHG393968:SHG457260 SHG459504:SHG522796 SHG525040:SHG588332 SHG590576:SHG653868 SHG656112:SHG719404 SHG721648:SHG784940 SHG787184:SHG850476 SHG852720:SHG916012 SHG918256:SHG981548 SHG983792:SHG1047084 SRC66288:SRC129580 SRC131824:SRC195116 SRC197360:SRC260652 SRC262896:SRC326188 SRC328432:SRC391724 SRC393968:SRC457260 SRC459504:SRC522796 SRC525040:SRC588332 SRC590576:SRC653868 SRC656112:SRC719404 SRC721648:SRC784940 SRC787184:SRC850476 SRC852720:SRC916012 SRC918256:SRC981548 SRC983792:SRC1047084 TAY66288:TAY129580 TAY131824:TAY195116 TAY197360:TAY260652 TAY262896:TAY326188 TAY328432:TAY391724 TAY393968:TAY457260 TAY459504:TAY522796 TAY525040:TAY588332 TAY590576:TAY653868 TAY656112:TAY719404 TAY721648:TAY784940 TAY787184:TAY850476 TAY852720:TAY916012 TAY918256:TAY981548 TAY983792:TAY1047084 TKU66288:TKU129580 TKU131824:TKU195116 TKU197360:TKU260652 TKU262896:TKU326188 TKU328432:TKU391724 TKU393968:TKU457260 TKU459504:TKU522796 TKU525040:TKU588332 TKU590576:TKU653868 TKU656112:TKU719404 TKU721648:TKU784940 TKU787184:TKU850476 TKU852720:TKU916012 TKU918256:TKU981548 TKU983792:TKU1047084 TUQ66288:TUQ129580 TUQ131824:TUQ195116 TUQ197360:TUQ260652 TUQ262896:TUQ326188 TUQ328432:TUQ391724 TUQ393968:TUQ457260 TUQ459504:TUQ522796 TUQ525040:TUQ588332 TUQ590576:TUQ653868 TUQ656112:TUQ719404 TUQ721648:TUQ784940 TUQ787184:TUQ850476 TUQ852720:TUQ916012 TUQ918256:TUQ981548 TUQ983792:TUQ1047084 UEM66288:UEM129580 UEM131824:UEM195116 UEM197360:UEM260652 UEM262896:UEM326188 UEM328432:UEM391724 UEM393968:UEM457260 UEM459504:UEM522796 UEM525040:UEM588332 UEM590576:UEM653868 UEM656112:UEM719404 UEM721648:UEM784940 UEM787184:UEM850476 UEM852720:UEM916012 UEM918256:UEM981548 UEM983792:UEM1047084 UOI66288:UOI129580 UOI131824:UOI195116 UOI197360:UOI260652 UOI262896:UOI326188 UOI328432:UOI391724 UOI393968:UOI457260 UOI459504:UOI522796 UOI525040:UOI588332 UOI590576:UOI653868 UOI656112:UOI719404 UOI721648:UOI784940 UOI787184:UOI850476 UOI852720:UOI916012 UOI918256:UOI981548 UOI983792:UOI1047084 UYE66288:UYE129580 UYE131824:UYE195116 UYE197360:UYE260652 UYE262896:UYE326188 UYE328432:UYE391724 UYE393968:UYE457260 UYE459504:UYE522796 UYE525040:UYE588332 UYE590576:UYE653868 UYE656112:UYE719404 UYE721648:UYE784940 UYE787184:UYE850476 UYE852720:UYE916012 UYE918256:UYE981548 UYE983792:UYE1047084 VIA66288:VIA129580 VIA131824:VIA195116 VIA197360:VIA260652 VIA262896:VIA326188 VIA328432:VIA391724 VIA393968:VIA457260 VIA459504:VIA522796 VIA525040:VIA588332 VIA590576:VIA653868 VIA656112:VIA719404 VIA721648:VIA784940 VIA787184:VIA850476 VIA852720:VIA916012 VIA918256:VIA981548 VIA983792:VIA1047084 VRW66288:VRW129580 VRW131824:VRW195116 VRW197360:VRW260652 VRW262896:VRW326188 VRW328432:VRW391724 VRW393968:VRW457260 VRW459504:VRW522796 VRW525040:VRW588332 VRW590576:VRW653868 VRW656112:VRW719404 VRW721648:VRW784940 VRW787184:VRW850476 VRW852720:VRW916012 VRW918256:VRW981548 VRW983792:VRW1047084 WBS66288:WBS129580 WBS131824:WBS195116 WBS197360:WBS260652 WBS262896:WBS326188 WBS328432:WBS391724 WBS393968:WBS457260 WBS459504:WBS522796 WBS525040:WBS588332 WBS590576:WBS653868 WBS656112:WBS719404 WBS721648:WBS784940 WBS787184:WBS850476 WBS852720:WBS916012 WBS918256:WBS981548 WBS983792:WBS1047084 WLO66288:WLO129580 WLO131824:WLO195116 WLO197360:WLO260652 WLO262896:WLO326188 WLO328432:WLO391724 WLO393968:WLO457260 WLO459504:WLO522796 WLO525040:WLO588332 WLO590576:WLO653868 WLO656112:WLO719404 WLO721648:WLO784940 WLO787184:WLO850476 WLO852720:WLO916012 WLO918256:WLO981548 WLO983792:WLO1047084 WVK66288:WVK129580 WVK131824:WVK195116 WVK197360:WVK260652 WVK262896:WVK326188 WVK328432:WVK391724 WVK393968:WVK457260 WVK459504:WVK522796 WVK525040:WVK588332 WVK590576:WVK653868 WVK656112:WVK719404 WVK721648:WVK784940 WVK787184:WVK850476 WVK852720:WVK916012 WVK918256:WVK981548 WVK983792:WVK1047084 B983792:C1047084 IT983792:IU1047084 SP983792:SQ1047084 ACL983792:ACM1047084 AMH983792:AMI1047084 AWD983792:AWE1047084 BFZ983792:BGA1047084 BPV983792:BPW1047084 BZR983792:BZS1047084 CJN983792:CJO1047084 CTJ983792:CTK1047084 DDF983792:DDG1047084 DNB983792:DNC1047084 DWX983792:DWY1047084 EGT983792:EGU1047084 EQP983792:EQQ1047084 FAL983792:FAM1047084 FKH983792:FKI1047084 FUD983792:FUE1047084 GDZ983792:GEA1047084 GNV983792:GNW1047084 GXR983792:GXS1047084 HHN983792:HHO1047084 HRJ983792:HRK1047084 IBF983792:IBG1047084 ILB983792:ILC1047084 IUX983792:IUY1047084 JET983792:JEU1047084 JOP983792:JOQ1047084 JYL983792:JYM1047084 KIH983792:KII1047084 KSD983792:KSE1047084 LBZ983792:LCA1047084 LLV983792:LLW1047084 LVR983792:LVS1047084 MFN983792:MFO1047084 MPJ983792:MPK1047084 MZF983792:MZG1047084 NJB983792:NJC1047084 NSX983792:NSY1047084 OCT983792:OCU1047084 OMP983792:OMQ1047084 OWL983792:OWM1047084 PGH983792:PGI1047084 PQD983792:PQE1047084 PZZ983792:QAA1047084 QJV983792:QJW1047084 QTR983792:QTS1047084 RDN983792:RDO1047084 RNJ983792:RNK1047084 RXF983792:RXG1047084 SHB983792:SHC1047084 SQX983792:SQY1047084 TAT983792:TAU1047084 TKP983792:TKQ1047084 TUL983792:TUM1047084 UEH983792:UEI1047084 UOD983792:UOE1047084 UXZ983792:UYA1047084 VHV983792:VHW1047084 VRR983792:VRS1047084 WBN983792:WBO1047084 WLJ983792:WLK1047084 WVF983792:WVG1047084 B66288:C129580 IT66288:IU129580 SP66288:SQ129580 ACL66288:ACM129580 AMH66288:AMI129580 AWD66288:AWE129580 BFZ66288:BGA129580 BPV66288:BPW129580 BZR66288:BZS129580 CJN66288:CJO129580 CTJ66288:CTK129580 DDF66288:DDG129580 DNB66288:DNC129580 DWX66288:DWY129580 EGT66288:EGU129580 EQP66288:EQQ129580 FAL66288:FAM129580 FKH66288:FKI129580 FUD66288:FUE129580 GDZ66288:GEA129580 GNV66288:GNW129580 GXR66288:GXS129580 HHN66288:HHO129580 HRJ66288:HRK129580 IBF66288:IBG129580 ILB66288:ILC129580 IUX66288:IUY129580 JET66288:JEU129580 JOP66288:JOQ129580 JYL66288:JYM129580 KIH66288:KII129580 KSD66288:KSE129580 LBZ66288:LCA129580 LLV66288:LLW129580 LVR66288:LVS129580 MFN66288:MFO129580 MPJ66288:MPK129580 MZF66288:MZG129580 NJB66288:NJC129580 NSX66288:NSY129580 OCT66288:OCU129580 OMP66288:OMQ129580 OWL66288:OWM129580 PGH66288:PGI129580 PQD66288:PQE129580 PZZ66288:QAA129580 QJV66288:QJW129580 QTR66288:QTS129580 RDN66288:RDO129580 RNJ66288:RNK129580 RXF66288:RXG129580 SHB66288:SHC129580 SQX66288:SQY129580 TAT66288:TAU129580 TKP66288:TKQ129580 TUL66288:TUM129580 UEH66288:UEI129580 UOD66288:UOE129580 UXZ66288:UYA129580 VHV66288:VHW129580 VRR66288:VRS129580 WBN66288:WBO129580 WLJ66288:WLK129580 WVF66288:WVG129580 B131824:C195116 IT131824:IU195116 SP131824:SQ195116 ACL131824:ACM195116 AMH131824:AMI195116 AWD131824:AWE195116 BFZ131824:BGA195116 BPV131824:BPW195116 BZR131824:BZS195116 CJN131824:CJO195116 CTJ131824:CTK195116 DDF131824:DDG195116 DNB131824:DNC195116 DWX131824:DWY195116 EGT131824:EGU195116 EQP131824:EQQ195116 FAL131824:FAM195116 FKH131824:FKI195116 FUD131824:FUE195116 GDZ131824:GEA195116 GNV131824:GNW195116 GXR131824:GXS195116 HHN131824:HHO195116 HRJ131824:HRK195116 IBF131824:IBG195116 ILB131824:ILC195116 IUX131824:IUY195116 JET131824:JEU195116 JOP131824:JOQ195116 JYL131824:JYM195116 KIH131824:KII195116 KSD131824:KSE195116 LBZ131824:LCA195116 LLV131824:LLW195116 LVR131824:LVS195116 MFN131824:MFO195116 MPJ131824:MPK195116 MZF131824:MZG195116 NJB131824:NJC195116 NSX131824:NSY195116 OCT131824:OCU195116 OMP131824:OMQ195116 OWL131824:OWM195116 PGH131824:PGI195116 PQD131824:PQE195116 PZZ131824:QAA195116 QJV131824:QJW195116 QTR131824:QTS195116 RDN131824:RDO195116 RNJ131824:RNK195116 RXF131824:RXG195116 SHB131824:SHC195116 SQX131824:SQY195116 TAT131824:TAU195116 TKP131824:TKQ195116 TUL131824:TUM195116 UEH131824:UEI195116 UOD131824:UOE195116 UXZ131824:UYA195116 VHV131824:VHW195116 VRR131824:VRS195116 WBN131824:WBO195116 WLJ131824:WLK195116 WVF131824:WVG195116 B197360:C260652 IT197360:IU260652 SP197360:SQ260652 ACL197360:ACM260652 AMH197360:AMI260652 AWD197360:AWE260652 BFZ197360:BGA260652 BPV197360:BPW260652 BZR197360:BZS260652 CJN197360:CJO260652 CTJ197360:CTK260652 DDF197360:DDG260652 DNB197360:DNC260652 DWX197360:DWY260652 EGT197360:EGU260652 EQP197360:EQQ260652 FAL197360:FAM260652 FKH197360:FKI260652 FUD197360:FUE260652 GDZ197360:GEA260652 GNV197360:GNW260652 GXR197360:GXS260652 HHN197360:HHO260652 HRJ197360:HRK260652 IBF197360:IBG260652 ILB197360:ILC260652 IUX197360:IUY260652 JET197360:JEU260652 JOP197360:JOQ260652 JYL197360:JYM260652 KIH197360:KII260652 KSD197360:KSE260652 LBZ197360:LCA260652 LLV197360:LLW260652 LVR197360:LVS260652 MFN197360:MFO260652 MPJ197360:MPK260652 MZF197360:MZG260652 NJB197360:NJC260652 NSX197360:NSY260652 OCT197360:OCU260652 OMP197360:OMQ260652 OWL197360:OWM260652 PGH197360:PGI260652 PQD197360:PQE260652 PZZ197360:QAA260652 QJV197360:QJW260652 QTR197360:QTS260652 RDN197360:RDO260652 RNJ197360:RNK260652 RXF197360:RXG260652 SHB197360:SHC260652 SQX197360:SQY260652 TAT197360:TAU260652 TKP197360:TKQ260652 TUL197360:TUM260652 UEH197360:UEI260652 UOD197360:UOE260652 UXZ197360:UYA260652 VHV197360:VHW260652 VRR197360:VRS260652 WBN197360:WBO260652 WLJ197360:WLK260652 WVF197360:WVG260652 B262896:C326188 IT262896:IU326188 SP262896:SQ326188 ACL262896:ACM326188 AMH262896:AMI326188 AWD262896:AWE326188 BFZ262896:BGA326188 BPV262896:BPW326188 BZR262896:BZS326188 CJN262896:CJO326188 CTJ262896:CTK326188 DDF262896:DDG326188 DNB262896:DNC326188 DWX262896:DWY326188 EGT262896:EGU326188 EQP262896:EQQ326188 FAL262896:FAM326188 FKH262896:FKI326188 FUD262896:FUE326188 GDZ262896:GEA326188 GNV262896:GNW326188 GXR262896:GXS326188 HHN262896:HHO326188 HRJ262896:HRK326188 IBF262896:IBG326188 ILB262896:ILC326188 IUX262896:IUY326188 JET262896:JEU326188 JOP262896:JOQ326188 JYL262896:JYM326188 KIH262896:KII326188 KSD262896:KSE326188 LBZ262896:LCA326188 LLV262896:LLW326188 LVR262896:LVS326188 MFN262896:MFO326188 MPJ262896:MPK326188 MZF262896:MZG326188 NJB262896:NJC326188 NSX262896:NSY326188 OCT262896:OCU326188 OMP262896:OMQ326188 OWL262896:OWM326188 PGH262896:PGI326188 PQD262896:PQE326188 PZZ262896:QAA326188 QJV262896:QJW326188 QTR262896:QTS326188 RDN262896:RDO326188 RNJ262896:RNK326188 RXF262896:RXG326188 SHB262896:SHC326188 SQX262896:SQY326188 TAT262896:TAU326188 TKP262896:TKQ326188 TUL262896:TUM326188 UEH262896:UEI326188 UOD262896:UOE326188 UXZ262896:UYA326188 VHV262896:VHW326188 VRR262896:VRS326188 WBN262896:WBO326188 WLJ262896:WLK326188 WVF262896:WVG326188 B328432:C391724 IT328432:IU391724 SP328432:SQ391724 ACL328432:ACM391724 AMH328432:AMI391724 AWD328432:AWE391724 BFZ328432:BGA391724 BPV328432:BPW391724 BZR328432:BZS391724 CJN328432:CJO391724 CTJ328432:CTK391724 DDF328432:DDG391724 DNB328432:DNC391724 DWX328432:DWY391724 EGT328432:EGU391724 EQP328432:EQQ391724 FAL328432:FAM391724 FKH328432:FKI391724 FUD328432:FUE391724 GDZ328432:GEA391724 GNV328432:GNW391724 GXR328432:GXS391724 HHN328432:HHO391724 HRJ328432:HRK391724 IBF328432:IBG391724 ILB328432:ILC391724 IUX328432:IUY391724 JET328432:JEU391724 JOP328432:JOQ391724 JYL328432:JYM391724 KIH328432:KII391724 KSD328432:KSE391724 LBZ328432:LCA391724 LLV328432:LLW391724 LVR328432:LVS391724 MFN328432:MFO391724 MPJ328432:MPK391724 MZF328432:MZG391724 NJB328432:NJC391724 NSX328432:NSY391724 OCT328432:OCU391724 OMP328432:OMQ391724 OWL328432:OWM391724 PGH328432:PGI391724 PQD328432:PQE391724 PZZ328432:QAA391724 QJV328432:QJW391724 QTR328432:QTS391724 RDN328432:RDO391724 RNJ328432:RNK391724 RXF328432:RXG391724 SHB328432:SHC391724 SQX328432:SQY391724 TAT328432:TAU391724 TKP328432:TKQ391724 TUL328432:TUM391724 UEH328432:UEI391724 UOD328432:UOE391724 UXZ328432:UYA391724 VHV328432:VHW391724 VRR328432:VRS391724 WBN328432:WBO391724 WLJ328432:WLK391724 WVF328432:WVG391724 B393968:C457260 IT393968:IU457260 SP393968:SQ457260 ACL393968:ACM457260 AMH393968:AMI457260 AWD393968:AWE457260 BFZ393968:BGA457260 BPV393968:BPW457260 BZR393968:BZS457260 CJN393968:CJO457260 CTJ393968:CTK457260 DDF393968:DDG457260 DNB393968:DNC457260 DWX393968:DWY457260 EGT393968:EGU457260 EQP393968:EQQ457260 FAL393968:FAM457260 FKH393968:FKI457260 FUD393968:FUE457260 GDZ393968:GEA457260 GNV393968:GNW457260 GXR393968:GXS457260 HHN393968:HHO457260 HRJ393968:HRK457260 IBF393968:IBG457260 ILB393968:ILC457260 IUX393968:IUY457260 JET393968:JEU457260 JOP393968:JOQ457260 JYL393968:JYM457260 KIH393968:KII457260 KSD393968:KSE457260 LBZ393968:LCA457260 LLV393968:LLW457260 LVR393968:LVS457260 MFN393968:MFO457260 MPJ393968:MPK457260 MZF393968:MZG457260 NJB393968:NJC457260 NSX393968:NSY457260 OCT393968:OCU457260 OMP393968:OMQ457260 OWL393968:OWM457260 PGH393968:PGI457260 PQD393968:PQE457260 PZZ393968:QAA457260 QJV393968:QJW457260 QTR393968:QTS457260 RDN393968:RDO457260 RNJ393968:RNK457260 RXF393968:RXG457260 SHB393968:SHC457260 SQX393968:SQY457260 TAT393968:TAU457260 TKP393968:TKQ457260 TUL393968:TUM457260 UEH393968:UEI457260 UOD393968:UOE457260 UXZ393968:UYA457260 VHV393968:VHW457260 VRR393968:VRS457260 WBN393968:WBO457260 WLJ393968:WLK457260 WVF393968:WVG457260 B459504:C522796 IT459504:IU522796 SP459504:SQ522796 ACL459504:ACM522796 AMH459504:AMI522796 AWD459504:AWE522796 BFZ459504:BGA522796 BPV459504:BPW522796 BZR459504:BZS522796 CJN459504:CJO522796 CTJ459504:CTK522796 DDF459504:DDG522796 DNB459504:DNC522796 DWX459504:DWY522796 EGT459504:EGU522796 EQP459504:EQQ522796 FAL459504:FAM522796 FKH459504:FKI522796 FUD459504:FUE522796 GDZ459504:GEA522796 GNV459504:GNW522796 GXR459504:GXS522796 HHN459504:HHO522796 HRJ459504:HRK522796 IBF459504:IBG522796 ILB459504:ILC522796 IUX459504:IUY522796 JET459504:JEU522796 JOP459504:JOQ522796 JYL459504:JYM522796 KIH459504:KII522796 KSD459504:KSE522796 LBZ459504:LCA522796 LLV459504:LLW522796 LVR459504:LVS522796 MFN459504:MFO522796 MPJ459504:MPK522796 MZF459504:MZG522796 NJB459504:NJC522796 NSX459504:NSY522796 OCT459504:OCU522796 OMP459504:OMQ522796 OWL459504:OWM522796 PGH459504:PGI522796 PQD459504:PQE522796 PZZ459504:QAA522796 QJV459504:QJW522796 QTR459504:QTS522796 RDN459504:RDO522796 RNJ459504:RNK522796 RXF459504:RXG522796 SHB459504:SHC522796 SQX459504:SQY522796 TAT459504:TAU522796 TKP459504:TKQ522796 TUL459504:TUM522796 UEH459504:UEI522796 UOD459504:UOE522796 UXZ459504:UYA522796 VHV459504:VHW522796 VRR459504:VRS522796 WBN459504:WBO522796 WLJ459504:WLK522796 WVF459504:WVG522796 B525040:C588332 IT525040:IU588332 SP525040:SQ588332 ACL525040:ACM588332 AMH525040:AMI588332 AWD525040:AWE588332 BFZ525040:BGA588332 BPV525040:BPW588332 BZR525040:BZS588332 CJN525040:CJO588332 CTJ525040:CTK588332 DDF525040:DDG588332 DNB525040:DNC588332 DWX525040:DWY588332 EGT525040:EGU588332 EQP525040:EQQ588332 FAL525040:FAM588332 FKH525040:FKI588332 FUD525040:FUE588332 GDZ525040:GEA588332 GNV525040:GNW588332 GXR525040:GXS588332 HHN525040:HHO588332 HRJ525040:HRK588332 IBF525040:IBG588332 ILB525040:ILC588332 IUX525040:IUY588332 JET525040:JEU588332 JOP525040:JOQ588332 JYL525040:JYM588332 KIH525040:KII588332 KSD525040:KSE588332 LBZ525040:LCA588332 LLV525040:LLW588332 LVR525040:LVS588332 MFN525040:MFO588332 MPJ525040:MPK588332 MZF525040:MZG588332 NJB525040:NJC588332 NSX525040:NSY588332 OCT525040:OCU588332 OMP525040:OMQ588332 OWL525040:OWM588332 PGH525040:PGI588332 PQD525040:PQE588332 PZZ525040:QAA588332 QJV525040:QJW588332 QTR525040:QTS588332 RDN525040:RDO588332 RNJ525040:RNK588332 RXF525040:RXG588332 SHB525040:SHC588332 SQX525040:SQY588332 TAT525040:TAU588332 TKP525040:TKQ588332 TUL525040:TUM588332 UEH525040:UEI588332 UOD525040:UOE588332 UXZ525040:UYA588332 VHV525040:VHW588332 VRR525040:VRS588332 WBN525040:WBO588332 WLJ525040:WLK588332 WVF525040:WVG588332 B590576:C653868 IT590576:IU653868 SP590576:SQ653868 ACL590576:ACM653868 AMH590576:AMI653868 AWD590576:AWE653868 BFZ590576:BGA653868 BPV590576:BPW653868 BZR590576:BZS653868 CJN590576:CJO653868 CTJ590576:CTK653868 DDF590576:DDG653868 DNB590576:DNC653868 DWX590576:DWY653868 EGT590576:EGU653868 EQP590576:EQQ653868 FAL590576:FAM653868 FKH590576:FKI653868 FUD590576:FUE653868 GDZ590576:GEA653868 GNV590576:GNW653868 GXR590576:GXS653868 HHN590576:HHO653868 HRJ590576:HRK653868 IBF590576:IBG653868 ILB590576:ILC653868 IUX590576:IUY653868 JET590576:JEU653868 JOP590576:JOQ653868 JYL590576:JYM653868 KIH590576:KII653868 KSD590576:KSE653868 LBZ590576:LCA653868 LLV590576:LLW653868 LVR590576:LVS653868 MFN590576:MFO653868 MPJ590576:MPK653868 MZF590576:MZG653868 NJB590576:NJC653868 NSX590576:NSY653868 OCT590576:OCU653868 OMP590576:OMQ653868 OWL590576:OWM653868 PGH590576:PGI653868 PQD590576:PQE653868 PZZ590576:QAA653868 QJV590576:QJW653868 QTR590576:QTS653868 RDN590576:RDO653868 RNJ590576:RNK653868 RXF590576:RXG653868 SHB590576:SHC653868 SQX590576:SQY653868 TAT590576:TAU653868 TKP590576:TKQ653868 TUL590576:TUM653868 UEH590576:UEI653868 UOD590576:UOE653868 UXZ590576:UYA653868 VHV590576:VHW653868 VRR590576:VRS653868 WBN590576:WBO653868 WLJ590576:WLK653868 WVF590576:WVG653868 B656112:C719404 IT656112:IU719404 SP656112:SQ719404 ACL656112:ACM719404 AMH656112:AMI719404 AWD656112:AWE719404 BFZ656112:BGA719404 BPV656112:BPW719404 BZR656112:BZS719404 CJN656112:CJO719404 CTJ656112:CTK719404 DDF656112:DDG719404 DNB656112:DNC719404 DWX656112:DWY719404 EGT656112:EGU719404 EQP656112:EQQ719404 FAL656112:FAM719404 FKH656112:FKI719404 FUD656112:FUE719404 GDZ656112:GEA719404 GNV656112:GNW719404 GXR656112:GXS719404 HHN656112:HHO719404 HRJ656112:HRK719404 IBF656112:IBG719404 ILB656112:ILC719404 IUX656112:IUY719404 JET656112:JEU719404 JOP656112:JOQ719404 JYL656112:JYM719404 KIH656112:KII719404 KSD656112:KSE719404 LBZ656112:LCA719404 LLV656112:LLW719404 LVR656112:LVS719404 MFN656112:MFO719404 MPJ656112:MPK719404 MZF656112:MZG719404 NJB656112:NJC719404 NSX656112:NSY719404 OCT656112:OCU719404 OMP656112:OMQ719404 OWL656112:OWM719404 PGH656112:PGI719404 PQD656112:PQE719404 PZZ656112:QAA719404 QJV656112:QJW719404 QTR656112:QTS719404 RDN656112:RDO719404 RNJ656112:RNK719404 RXF656112:RXG719404 SHB656112:SHC719404 SQX656112:SQY719404 TAT656112:TAU719404 TKP656112:TKQ719404 TUL656112:TUM719404 UEH656112:UEI719404 UOD656112:UOE719404 UXZ656112:UYA719404 VHV656112:VHW719404 VRR656112:VRS719404 WBN656112:WBO719404 WLJ656112:WLK719404 WVF656112:WVG719404 B721648:C784940 IT721648:IU784940 SP721648:SQ784940 ACL721648:ACM784940 AMH721648:AMI784940 AWD721648:AWE784940 BFZ721648:BGA784940 BPV721648:BPW784940 BZR721648:BZS784940 CJN721648:CJO784940 CTJ721648:CTK784940 DDF721648:DDG784940 DNB721648:DNC784940 DWX721648:DWY784940 EGT721648:EGU784940 EQP721648:EQQ784940 FAL721648:FAM784940 FKH721648:FKI784940 FUD721648:FUE784940 GDZ721648:GEA784940 GNV721648:GNW784940 GXR721648:GXS784940 HHN721648:HHO784940 HRJ721648:HRK784940 IBF721648:IBG784940 ILB721648:ILC784940 IUX721648:IUY784940 JET721648:JEU784940 JOP721648:JOQ784940 JYL721648:JYM784940 KIH721648:KII784940 KSD721648:KSE784940 LBZ721648:LCA784940 LLV721648:LLW784940 LVR721648:LVS784940 MFN721648:MFO784940 MPJ721648:MPK784940 MZF721648:MZG784940 NJB721648:NJC784940 NSX721648:NSY784940 OCT721648:OCU784940 OMP721648:OMQ784940 OWL721648:OWM784940 PGH721648:PGI784940 PQD721648:PQE784940 PZZ721648:QAA784940 QJV721648:QJW784940 QTR721648:QTS784940 RDN721648:RDO784940 RNJ721648:RNK784940 RXF721648:RXG784940 SHB721648:SHC784940 SQX721648:SQY784940 TAT721648:TAU784940 TKP721648:TKQ784940 TUL721648:TUM784940 UEH721648:UEI784940 UOD721648:UOE784940 UXZ721648:UYA784940 VHV721648:VHW784940 VRR721648:VRS784940 WBN721648:WBO784940 WLJ721648:WLK784940 WVF721648:WVG784940 B787184:C850476 IT787184:IU850476 SP787184:SQ850476 ACL787184:ACM850476 AMH787184:AMI850476 AWD787184:AWE850476 BFZ787184:BGA850476 BPV787184:BPW850476 BZR787184:BZS850476 CJN787184:CJO850476 CTJ787184:CTK850476 DDF787184:DDG850476 DNB787184:DNC850476 DWX787184:DWY850476 EGT787184:EGU850476 EQP787184:EQQ850476 FAL787184:FAM850476 FKH787184:FKI850476 FUD787184:FUE850476 GDZ787184:GEA850476 GNV787184:GNW850476 GXR787184:GXS850476 HHN787184:HHO850476 HRJ787184:HRK850476 IBF787184:IBG850476 ILB787184:ILC850476 IUX787184:IUY850476 JET787184:JEU850476 JOP787184:JOQ850476 JYL787184:JYM850476 KIH787184:KII850476 KSD787184:KSE850476 LBZ787184:LCA850476 LLV787184:LLW850476 LVR787184:LVS850476 MFN787184:MFO850476 MPJ787184:MPK850476 MZF787184:MZG850476 NJB787184:NJC850476 NSX787184:NSY850476 OCT787184:OCU850476 OMP787184:OMQ850476 OWL787184:OWM850476 PGH787184:PGI850476 PQD787184:PQE850476 PZZ787184:QAA850476 QJV787184:QJW850476 QTR787184:QTS850476 RDN787184:RDO850476 RNJ787184:RNK850476 RXF787184:RXG850476 SHB787184:SHC850476 SQX787184:SQY850476 TAT787184:TAU850476 TKP787184:TKQ850476 TUL787184:TUM850476 UEH787184:UEI850476 UOD787184:UOE850476 UXZ787184:UYA850476 VHV787184:VHW850476 VRR787184:VRS850476 WBN787184:WBO850476 WLJ787184:WLK850476 WVF787184:WVG850476 B852720:C916012 IT852720:IU916012 SP852720:SQ916012 ACL852720:ACM916012 AMH852720:AMI916012 AWD852720:AWE916012 BFZ852720:BGA916012 BPV852720:BPW916012 BZR852720:BZS916012 CJN852720:CJO916012 CTJ852720:CTK916012 DDF852720:DDG916012 DNB852720:DNC916012 DWX852720:DWY916012 EGT852720:EGU916012 EQP852720:EQQ916012 FAL852720:FAM916012 FKH852720:FKI916012 FUD852720:FUE916012 GDZ852720:GEA916012 GNV852720:GNW916012 GXR852720:GXS916012 HHN852720:HHO916012 HRJ852720:HRK916012 IBF852720:IBG916012 ILB852720:ILC916012 IUX852720:IUY916012 JET852720:JEU916012 JOP852720:JOQ916012 JYL852720:JYM916012 KIH852720:KII916012 KSD852720:KSE916012 LBZ852720:LCA916012 LLV852720:LLW916012 LVR852720:LVS916012 MFN852720:MFO916012 MPJ852720:MPK916012 MZF852720:MZG916012 NJB852720:NJC916012 NSX852720:NSY916012 OCT852720:OCU916012 OMP852720:OMQ916012 OWL852720:OWM916012 PGH852720:PGI916012 PQD852720:PQE916012 PZZ852720:QAA916012 QJV852720:QJW916012 QTR852720:QTS916012 RDN852720:RDO916012 RNJ852720:RNK916012 RXF852720:RXG916012 SHB852720:SHC916012 SQX852720:SQY916012 TAT852720:TAU916012 TKP852720:TKQ916012 TUL852720:TUM916012 UEH852720:UEI916012 UOD852720:UOE916012 UXZ852720:UYA916012 VHV852720:VHW916012 VRR852720:VRS916012 WBN852720:WBO916012 WLJ852720:WLK916012 WVF852720:WVG916012 B918256:C981548 IT918256:IU981548 SP918256:SQ981548 ACL918256:ACM981548 AMH918256:AMI981548 AWD918256:AWE981548 BFZ918256:BGA981548 BPV918256:BPW981548 BZR918256:BZS981548 CJN918256:CJO981548 CTJ918256:CTK981548 DDF918256:DDG981548 DNB918256:DNC981548 DWX918256:DWY981548 EGT918256:EGU981548 EQP918256:EQQ981548 FAL918256:FAM981548 FKH918256:FKI981548 FUD918256:FUE981548 GDZ918256:GEA981548 GNV918256:GNW981548 GXR918256:GXS981548 HHN918256:HHO981548 HRJ918256:HRK981548 IBF918256:IBG981548 ILB918256:ILC981548 IUX918256:IUY981548 JET918256:JEU981548 JOP918256:JOQ981548 JYL918256:JYM981548 KIH918256:KII981548 KSD918256:KSE981548 LBZ918256:LCA981548 LLV918256:LLW981548 LVR918256:LVS981548 MFN918256:MFO981548 MPJ918256:MPK981548 MZF918256:MZG981548 NJB918256:NJC981548 NSX918256:NSY981548 OCT918256:OCU981548 OMP918256:OMQ981548 OWL918256:OWM981548 PGH918256:PGI981548 PQD918256:PQE981548 PZZ918256:QAA981548 QJV918256:QJW981548 QTR918256:QTS981548 RDN918256:RDO981548 RNJ918256:RNK981548 RXF918256:RXG981548 SHB918256:SHC981548 SQX918256:SQY981548 TAT918256:TAU981548 TKP918256:TKQ981548 TUL918256:TUM981548 UEH918256:UEI981548 UOD918256:UOE981548 UXZ918256:UYA981548 VHV918256:VHW981548 VRR918256:VRS981548 WBN918256:WBO981548 WLJ918256:WLK981548 WVF918256:WVG981548 B2937:B2971 G2937:G64044 IY2937:IY64044 SU2937:SU64044 ACQ2937:ACQ64044 AMM2937:AMM64044 AWI2937:AWI64044 BGE2937:BGE64044 BQA2937:BQA64044 BZW2937:BZW64044 CJS2937:CJS64044 CTO2937:CTO64044 DDK2937:DDK64044 DNG2937:DNG64044 DXC2937:DXC64044 EGY2937:EGY64044 EQU2937:EQU64044 FAQ2937:FAQ64044 FKM2937:FKM64044 FUI2937:FUI64044 GEE2937:GEE64044 GOA2937:GOA64044 GXW2937:GXW64044 HHS2937:HHS64044 HRO2937:HRO64044 IBK2937:IBK64044 ILG2937:ILG64044 IVC2937:IVC64044 JEY2937:JEY64044 JOU2937:JOU64044 JYQ2937:JYQ64044 KIM2937:KIM64044 KSI2937:KSI64044 LCE2937:LCE64044 LMA2937:LMA64044 LVW2937:LVW64044 MFS2937:MFS64044 MPO2937:MPO64044 MZK2937:MZK64044 NJG2937:NJG64044 NTC2937:NTC64044 OCY2937:OCY64044 OMU2937:OMU64044 OWQ2937:OWQ64044 PGM2937:PGM64044 PQI2937:PQI64044 QAE2937:QAE64044 QKA2937:QKA64044 QTW2937:QTW64044 RDS2937:RDS64044 RNO2937:RNO64044 RXK2937:RXK64044 SHG2937:SHG64044 SRC2937:SRC64044 TAY2937:TAY64044 TKU2937:TKU64044 TUQ2937:TUQ64044 UEM2937:UEM64044 UOI2937:UOI64044 UYE2937:UYE64044 VIA2937:VIA64044 VRW2937:VRW64044 WBS2937:WBS64044 WLO2937:WLO64044 WVK2937:WVK64044 IT2937:IU64044 SP2937:SQ64044 ACL2937:ACM64044 AMH2937:AMI64044 AWD2937:AWE64044 BFZ2937:BGA64044 BPV2937:BPW64044 BZR2937:BZS64044 CJN2937:CJO64044 CTJ2937:CTK64044 DDF2937:DDG64044 DNB2937:DNC64044 DWX2937:DWY64044 EGT2937:EGU64044 EQP2937:EQQ64044 FAL2937:FAM64044 FKH2937:FKI64044 FUD2937:FUE64044 GDZ2937:GEA64044 GNV2937:GNW64044 GXR2937:GXS64044 HHN2937:HHO64044 HRJ2937:HRK64044 IBF2937:IBG64044 ILB2937:ILC64044 IUX2937:IUY64044 JET2937:JEU64044 JOP2937:JOQ64044 JYL2937:JYM64044 KIH2937:KII64044 KSD2937:KSE64044 LBZ2937:LCA64044 LLV2937:LLW64044 LVR2937:LVS64044 MFN2937:MFO64044 MPJ2937:MPK64044 MZF2937:MZG64044 NJB2937:NJC64044 NSX2937:NSY64044 OCT2937:OCU64044 OMP2937:OMQ64044 OWL2937:OWM64044 PGH2937:PGI64044 PQD2937:PQE64044 PZZ2937:QAA64044 QJV2937:QJW64044 QTR2937:QTS64044 RDN2937:RDO64044 RNJ2937:RNK64044 RXF2937:RXG64044 SHB2937:SHC64044 SQX2937:SQY64044 TAT2937:TAU64044 TKP2937:TKQ64044 TUL2937:TUM64044 UEH2937:UEI64044 UOD2937:UOE64044 UXZ2937:UYA64044 VHV2937:VHW64044 VRR2937:VRS64044 WBN2937:WBO64044 WLJ2937:WLK64044 G850:G880 G631 G1018:G1024 G882:G974 IY850:IY1024 WVF850:WVG1024 WLJ850:WLK1024 WBN850:WBO1024 VRR850:VRS1024 VHV850:VHW1024 UXZ850:UYA1024 UOD850:UOE1024 UEH850:UEI1024 TUL850:TUM1024 TKP850:TKQ1024 TAT850:TAU1024 SQX850:SQY1024 SHB850:SHC1024 RXF850:RXG1024 RNJ850:RNK1024 RDN850:RDO1024 QTR850:QTS1024 QJV850:QJW1024 PZZ850:QAA1024 PQD850:PQE1024 PGH850:PGI1024 OWL850:OWM1024 OMP850:OMQ1024 OCT850:OCU1024 NSX850:NSY1024 NJB850:NJC1024 MZF850:MZG1024 MPJ850:MPK1024 MFN850:MFO1024 LVR850:LVS1024 LLV850:LLW1024 LBZ850:LCA1024 KSD850:KSE1024 KIH850:KII1024 JYL850:JYM1024 JOP850:JOQ1024 JET850:JEU1024 IUX850:IUY1024 ILB850:ILC1024 IBF850:IBG1024 HRJ850:HRK1024 HHN850:HHO1024 GXR850:GXS1024 GNV850:GNW1024 GDZ850:GEA1024 FUD850:FUE1024 FKH850:FKI1024 FAL850:FAM1024 EQP850:EQQ1024 EGT850:EGU1024 DWX850:DWY1024 DNB850:DNC1024 DDF850:DDG1024 CTJ850:CTK1024 CJN850:CJO1024 BZR850:BZS1024 BPV850:BPW1024 BFZ850:BGA1024 AWD850:AWE1024 AMH850:AMI1024 ACL850:ACM1024 SP850:SQ1024 IT850:IU1024 B850:C1024 WVK850:WVK1024 WLO850:WLO1024 WBS850:WBS1024 VRW850:VRW1024 VIA850:VIA1024 UYE850:UYE1024 UOI850:UOI1024 UEM850:UEM1024 TUQ850:TUQ1024 TKU850:TKU1024 TAY850:TAY1024 SRC850:SRC1024 SHG850:SHG1024 RXK850:RXK1024 RNO850:RNO1024 RDS850:RDS1024 QTW850:QTW1024 QKA850:QKA1024 QAE850:QAE1024 PQI850:PQI1024 PGM850:PGM1024 OWQ850:OWQ1024 OMU850:OMU1024 OCY850:OCY1024 NTC850:NTC1024 NJG850:NJG1024 MZK850:MZK1024 MPO850:MPO1024 MFS850:MFS1024 LVW850:LVW1024 LMA850:LMA1024 LCE850:LCE1024 KSI850:KSI1024 KIM850:KIM1024 JYQ850:JYQ1024 JOU850:JOU1024 JEY850:JEY1024 IVC850:IVC1024 ILG850:ILG1024 IBK850:IBK1024 HRO850:HRO1024 HHS850:HHS1024 GXW850:GXW1024 GOA850:GOA1024 GEE850:GEE1024 FUI850:FUI1024 FKM850:FKM1024 FAQ850:FAQ1024 EQU850:EQU1024 EGY850:EGY1024 DXC850:DXC1024 DNG850:DNG1024 DDK850:DDK1024 CTO850:CTO1024 CJS850:CJS1024 BZW850:BZW1024 BQA850:BQA1024 BGE850:BGE1024 AWI850:AWI1024 AMM850:AMM1024 ACQ850:ACQ1024 SU850:SU1024 G976:G1015 WLJ1523:WLK2438 WBN1523:WBO2438 VRR1523:VRS2438 VHV1523:VHW2438 UXZ1523:UYA2438 UOD1523:UOE2438 UEH1523:UEI2438 TUL1523:TUM2438 TKP1523:TKQ2438 TAT1523:TAU2438 SQX1523:SQY2438 SHB1523:SHC2438 RXF1523:RXG2438 RNJ1523:RNK2438 RDN1523:RDO2438 QTR1523:QTS2438 QJV1523:QJW2438 PZZ1523:QAA2438 PQD1523:PQE2438 PGH1523:PGI2438 OWL1523:OWM2438 OMP1523:OMQ2438 OCT1523:OCU2438 NSX1523:NSY2438 NJB1523:NJC2438 MZF1523:MZG2438 MPJ1523:MPK2438 MFN1523:MFO2438 LVR1523:LVS2438 LLV1523:LLW2438 LBZ1523:LCA2438 KSD1523:KSE2438 KIH1523:KII2438 JYL1523:JYM2438 JOP1523:JOQ2438 JET1523:JEU2438 IUX1523:IUY2438 ILB1523:ILC2438 IBF1523:IBG2438 HRJ1523:HRK2438 HHN1523:HHO2438 GXR1523:GXS2438 GNV1523:GNW2438 GDZ1523:GEA2438 FUD1523:FUE2438 FKH1523:FKI2438 FAL1523:FAM2438 EQP1523:EQQ2438 EGT1523:EGU2438 DWX1523:DWY2438 DNB1523:DNC2438 DDF1523:DDG2438 CTJ1523:CTK2438 CJN1523:CJO2438 BZR1523:BZS2438 BPV1523:BPW2438 BFZ1523:BGA2438 AWD1523:AWE2438 AMH1523:AMI2438 ACL1523:ACM2438 SP1523:SQ2438 IT1523:IU2438 WVK1523:WVK2438 WLO1523:WLO2438 WBS1523:WBS2438 VRW1523:VRW2438 VIA1523:VIA2438 UYE1523:UYE2438 UOI1523:UOI2438 UEM1523:UEM2438 TUQ1523:TUQ2438 TKU1523:TKU2438 TAY1523:TAY2438 SRC1523:SRC2438 SHG1523:SHG2438 RXK1523:RXK2438 RNO1523:RNO2438 RDS1523:RDS2438 QTW1523:QTW2438 QKA1523:QKA2438 QAE1523:QAE2438 PQI1523:PQI2438 PGM1523:PGM2438 OWQ1523:OWQ2438 OMU1523:OMU2438 OCY1523:OCY2438 NTC1523:NTC2438 NJG1523:NJG2438 MZK1523:MZK2438 MPO1523:MPO2438 MFS1523:MFS2438 LVW1523:LVW2438 LMA1523:LMA2438 LCE1523:LCE2438 KSI1523:KSI2438 KIM1523:KIM2438 JYQ1523:JYQ2438 JOU1523:JOU2438 JEY1523:JEY2438 IVC1523:IVC2438 ILG1523:ILG2438 IBK1523:IBK2438 HRO1523:HRO2438 HHS1523:HHS2438 GXW1523:GXW2438 GOA1523:GOA2438 GEE1523:GEE2438 FUI1523:FUI2438 FKM1523:FKM2438 FAQ1523:FAQ2438 EQU1523:EQU2438 EGY1523:EGY2438 DXC1523:DXC2438 DNG1523:DNG2438 DDK1523:DDK2438 CTO1523:CTO2438 CJS1523:CJS2438 BZW1523:BZW2438 BQA1523:BQA2438 BGE1523:BGE2438 AWI1523:AWI2438 AMM1523:AMM2438 ACQ1523:ACQ2438 SU1523:SU2438 IY1523:IY2438 WVF1523:WVG2438</xm:sqref>
        </x14:dataValidation>
        <x14:dataValidation type="list" allowBlank="1" showInputMessage="1" showErrorMessage="1">
          <x14:formula1>
            <xm:f>'Z:\2021年资料\2021产品工时\铣工\[1月铣工工时1-20.xls]机床号'!#REF!</xm:f>
          </x14:formula1>
          <xm:sqref>G881 G1529 G1820 G1918 G1935 G2066 G2083 G2085 G2182 G2285 G2508 G1335:G1342 G1864:G1866 G1904:G1905 G2070:G2071 G1025:G1256 G1258:G1330 IY1025:IY1522 SU1025:SU1522 ACQ1025:ACQ1522 AMM1025:AMM1522 AWI1025:AWI1522 BGE1025:BGE1522 BQA1025:BQA1522 BZW1025:BZW1522 CJS1025:CJS1522 CTO1025:CTO1522 DDK1025:DDK1522 DNG1025:DNG1522 DXC1025:DXC1522 EGY1025:EGY1522 EQU1025:EQU1522 FAQ1025:FAQ1522 FKM1025:FKM1522 FUI1025:FUI1522 GEE1025:GEE1522 GOA1025:GOA1522 GXW1025:GXW1522 HHS1025:HHS1522 HRO1025:HRO1522 IBK1025:IBK1522 ILG1025:ILG1522 IVC1025:IVC1522 JEY1025:JEY1522 JOU1025:JOU1522 JYQ1025:JYQ1522 KIM1025:KIM1522 KSI1025:KSI1522 LCE1025:LCE1522 LMA1025:LMA1522 LVW1025:LVW1522 MFS1025:MFS1522 MPO1025:MPO1522 MZK1025:MZK1522 NJG1025:NJG1522 NTC1025:NTC1522 OCY1025:OCY1522 OMU1025:OMU1522 OWQ1025:OWQ1522 PGM1025:PGM1522 PQI1025:PQI1522 QAE1025:QAE1522 QKA1025:QKA1522 QTW1025:QTW1522 RDS1025:RDS1522 RNO1025:RNO1522 RXK1025:RXK1522 SHG1025:SHG1522 SRC1025:SRC1522 TAY1025:TAY1522 TKU1025:TKU1522 TUQ1025:TUQ1522 UEM1025:UEM1522 UOI1025:UOI1522 UYE1025:UYE1522 VIA1025:VIA1522 VRW1025:VRW1522 WBS1025:WBS1522 WLO1025:WLO1522 WVK1025:WVK1522 B1025:C1522 IT1025:IU1522 SP1025:SQ1522 ACL1025:ACM1522 AMH1025:AMI1522 AWD1025:AWE1522 BFZ1025:BGA1522 BPV1025:BPW1522 BZR1025:BZS1522 CJN1025:CJO1522 CTJ1025:CTK1522 DDF1025:DDG1522 DNB1025:DNC1522 DWX1025:DWY1522 EGT1025:EGU1522 EQP1025:EQQ1522 FAL1025:FAM1522 FKH1025:FKI1522 FUD1025:FUE1522 GDZ1025:GEA1522 GNV1025:GNW1522 GXR1025:GXS1522 HHN1025:HHO1522 HRJ1025:HRK1522 IBF1025:IBG1522 ILB1025:ILC1522 IUX1025:IUY1522 JET1025:JEU1522 JOP1025:JOQ1522 JYL1025:JYM1522 KIH1025:KII1522 KSD1025:KSE1522 LBZ1025:LCA1522 LLV1025:LLW1522 LVR1025:LVS1522 MFN1025:MFO1522 MPJ1025:MPK1522 MZF1025:MZG1522 NJB1025:NJC1522 NSX1025:NSY1522 OCT1025:OCU1522 OMP1025:OMQ1522 OWL1025:OWM1522 PGH1025:PGI1522 PQD1025:PQE1522 PZZ1025:QAA1522 QJV1025:QJW1522 QTR1025:QTS1522 RDN1025:RDO1522 RNJ1025:RNK1522 RXF1025:RXG1522 SHB1025:SHC1522 SQX1025:SQY1522 TAT1025:TAU1522 TKP1025:TKQ1522 TUL1025:TUM1522 UEH1025:UEI1522 UOD1025:UOE1522 UXZ1025:UYA1522 VHV1025:VHW1522 VRR1025:VRS1522 WBN1025:WBO1522 WLJ1025:WLK1522 WVF1025:WVG1522 G1345:G1522</xm:sqref>
        </x14:dataValidation>
        <x14:dataValidation type="list" allowBlank="1" showInputMessage="1" showErrorMessage="1">
          <x14:formula1>
            <xm:f>'Z:\Users\Administrator\Desktop\工时录入\[桌面 1月铣工工时1-26.xls]机床号'!#REF!</xm:f>
          </x14:formula1>
          <xm:sqref>G1847 G1782:G1783 G1907:G1908 G2157:G2181 G2183:G2284 G2286:G2317 B2157:C2317 L2157:M2317</xm:sqref>
        </x14:dataValidation>
        <x14:dataValidation type="list" allowBlank="1" showInputMessage="1" showErrorMessage="1">
          <x14:formula1>
            <xm:f>'Z:\2021年资料\2021产品工时\铣工\[1月铣工工时.xls]机床号'!#REF!</xm:f>
          </x14:formula1>
          <xm:sqref>G1523:G1528 G1530:G1535 G1586:G1638 G1537:G1584 B1523:C1638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F2971"/>
  <sheetViews>
    <sheetView workbookViewId="0">
      <pane ySplit="1" topLeftCell="A2" activePane="bottomLeft" state="frozen"/>
      <selection pane="bottomLeft" activeCell="E16" sqref="E16"/>
    </sheetView>
  </sheetViews>
  <sheetFormatPr defaultColWidth="9" defaultRowHeight="14.4" x14ac:dyDescent="0.25"/>
  <cols>
    <col min="1" max="1" width="6.44140625" style="14" customWidth="1"/>
    <col min="2" max="2" width="3.44140625" style="10" customWidth="1"/>
    <col min="3" max="3" width="5.44140625" style="10" customWidth="1"/>
    <col min="4" max="4" width="26.21875" style="10" customWidth="1"/>
    <col min="5" max="5" width="19.109375" style="78" customWidth="1"/>
    <col min="6" max="7" width="29.21875" style="90" customWidth="1"/>
    <col min="8" max="8" width="3" style="10" customWidth="1"/>
    <col min="9" max="9" width="4.88671875" style="10" customWidth="1"/>
    <col min="10" max="10" width="10.6640625" style="10" customWidth="1"/>
    <col min="11" max="11" width="5.21875" style="10" customWidth="1"/>
    <col min="12" max="12" width="5.33203125" style="10" customWidth="1"/>
    <col min="13" max="13" width="4" style="10" customWidth="1"/>
    <col min="14" max="14" width="3.88671875" style="10" customWidth="1"/>
    <col min="15" max="15" width="10.88671875" style="55" customWidth="1"/>
    <col min="16" max="16" width="4.21875" style="10" customWidth="1"/>
    <col min="17" max="17" width="7.6640625" style="10" customWidth="1"/>
    <col min="18" max="18" width="5" style="10" customWidth="1"/>
    <col min="19" max="19" width="5.21875" style="10" customWidth="1"/>
    <col min="20" max="20" width="4.33203125" style="10" customWidth="1"/>
    <col min="21" max="21" width="4.21875" style="10" customWidth="1"/>
    <col min="22" max="22" width="4.77734375" style="10" customWidth="1"/>
    <col min="23" max="23" width="4.109375" style="10" customWidth="1"/>
    <col min="24" max="24" width="4.44140625" style="14" customWidth="1"/>
    <col min="25" max="25" width="7.6640625" style="14" customWidth="1"/>
    <col min="26" max="26" width="18.44140625" style="10" customWidth="1"/>
    <col min="27" max="27" width="39.88671875" style="14" customWidth="1"/>
    <col min="28" max="28" width="8.109375" style="14" customWidth="1"/>
    <col min="29" max="253" width="9" style="14"/>
    <col min="254" max="254" width="6.6640625" style="14" customWidth="1"/>
    <col min="255" max="255" width="5.109375" style="14" customWidth="1"/>
    <col min="256" max="256" width="5.88671875" style="14" customWidth="1"/>
    <col min="257" max="257" width="29.6640625" style="14" customWidth="1"/>
    <col min="258" max="258" width="24.88671875" style="14" customWidth="1"/>
    <col min="259" max="259" width="18.44140625" style="14" customWidth="1"/>
    <col min="260" max="260" width="4.88671875" style="14" customWidth="1"/>
    <col min="261" max="261" width="6.109375" style="14" customWidth="1"/>
    <col min="262" max="262" width="7.6640625" style="14" customWidth="1"/>
    <col min="263" max="263" width="5.6640625" style="14" customWidth="1"/>
    <col min="264" max="264" width="5.33203125" style="14" customWidth="1"/>
    <col min="265" max="266" width="6.33203125" style="14" customWidth="1"/>
    <col min="267" max="267" width="10.88671875" style="14" customWidth="1"/>
    <col min="268" max="271" width="7.6640625" style="14" customWidth="1"/>
    <col min="272" max="272" width="4.33203125" style="14" customWidth="1"/>
    <col min="273" max="274" width="7.6640625" style="14" customWidth="1"/>
    <col min="275" max="275" width="4.109375" style="14" customWidth="1"/>
    <col min="276" max="276" width="7.6640625" style="14" customWidth="1"/>
    <col min="277" max="277" width="4.33203125" style="14" customWidth="1"/>
    <col min="278" max="278" width="18.6640625" style="14" customWidth="1"/>
    <col min="279" max="279" width="47.77734375" style="14" customWidth="1"/>
    <col min="280" max="280" width="9.44140625" style="14" customWidth="1"/>
    <col min="281" max="509" width="9" style="14"/>
    <col min="510" max="510" width="6.6640625" style="14" customWidth="1"/>
    <col min="511" max="511" width="5.109375" style="14" customWidth="1"/>
    <col min="512" max="512" width="5.88671875" style="14" customWidth="1"/>
    <col min="513" max="513" width="29.6640625" style="14" customWidth="1"/>
    <col min="514" max="514" width="24.88671875" style="14" customWidth="1"/>
    <col min="515" max="515" width="18.44140625" style="14" customWidth="1"/>
    <col min="516" max="516" width="4.88671875" style="14" customWidth="1"/>
    <col min="517" max="517" width="6.109375" style="14" customWidth="1"/>
    <col min="518" max="518" width="7.6640625" style="14" customWidth="1"/>
    <col min="519" max="519" width="5.6640625" style="14" customWidth="1"/>
    <col min="520" max="520" width="5.33203125" style="14" customWidth="1"/>
    <col min="521" max="522" width="6.33203125" style="14" customWidth="1"/>
    <col min="523" max="523" width="10.88671875" style="14" customWidth="1"/>
    <col min="524" max="527" width="7.6640625" style="14" customWidth="1"/>
    <col min="528" max="528" width="4.33203125" style="14" customWidth="1"/>
    <col min="529" max="530" width="7.6640625" style="14" customWidth="1"/>
    <col min="531" max="531" width="4.109375" style="14" customWidth="1"/>
    <col min="532" max="532" width="7.6640625" style="14" customWidth="1"/>
    <col min="533" max="533" width="4.33203125" style="14" customWidth="1"/>
    <col min="534" max="534" width="18.6640625" style="14" customWidth="1"/>
    <col min="535" max="535" width="47.77734375" style="14" customWidth="1"/>
    <col min="536" max="536" width="9.44140625" style="14" customWidth="1"/>
    <col min="537" max="765" width="9" style="14"/>
    <col min="766" max="766" width="6.6640625" style="14" customWidth="1"/>
    <col min="767" max="767" width="5.109375" style="14" customWidth="1"/>
    <col min="768" max="768" width="5.88671875" style="14" customWidth="1"/>
    <col min="769" max="769" width="29.6640625" style="14" customWidth="1"/>
    <col min="770" max="770" width="24.88671875" style="14" customWidth="1"/>
    <col min="771" max="771" width="18.44140625" style="14" customWidth="1"/>
    <col min="772" max="772" width="4.88671875" style="14" customWidth="1"/>
    <col min="773" max="773" width="6.109375" style="14" customWidth="1"/>
    <col min="774" max="774" width="7.6640625" style="14" customWidth="1"/>
    <col min="775" max="775" width="5.6640625" style="14" customWidth="1"/>
    <col min="776" max="776" width="5.33203125" style="14" customWidth="1"/>
    <col min="777" max="778" width="6.33203125" style="14" customWidth="1"/>
    <col min="779" max="779" width="10.88671875" style="14" customWidth="1"/>
    <col min="780" max="783" width="7.6640625" style="14" customWidth="1"/>
    <col min="784" max="784" width="4.33203125" style="14" customWidth="1"/>
    <col min="785" max="786" width="7.6640625" style="14" customWidth="1"/>
    <col min="787" max="787" width="4.109375" style="14" customWidth="1"/>
    <col min="788" max="788" width="7.6640625" style="14" customWidth="1"/>
    <col min="789" max="789" width="4.33203125" style="14" customWidth="1"/>
    <col min="790" max="790" width="18.6640625" style="14" customWidth="1"/>
    <col min="791" max="791" width="47.77734375" style="14" customWidth="1"/>
    <col min="792" max="792" width="9.44140625" style="14" customWidth="1"/>
    <col min="793" max="1021" width="9" style="14"/>
    <col min="1022" max="1022" width="6.6640625" style="14" customWidth="1"/>
    <col min="1023" max="1023" width="5.109375" style="14" customWidth="1"/>
    <col min="1024" max="1024" width="5.88671875" style="14" customWidth="1"/>
    <col min="1025" max="1025" width="29.6640625" style="14" customWidth="1"/>
    <col min="1026" max="1026" width="24.88671875" style="14" customWidth="1"/>
    <col min="1027" max="1027" width="18.44140625" style="14" customWidth="1"/>
    <col min="1028" max="1028" width="4.88671875" style="14" customWidth="1"/>
    <col min="1029" max="1029" width="6.109375" style="14" customWidth="1"/>
    <col min="1030" max="1030" width="7.6640625" style="14" customWidth="1"/>
    <col min="1031" max="1031" width="5.6640625" style="14" customWidth="1"/>
    <col min="1032" max="1032" width="5.33203125" style="14" customWidth="1"/>
    <col min="1033" max="1034" width="6.33203125" style="14" customWidth="1"/>
    <col min="1035" max="1035" width="10.88671875" style="14" customWidth="1"/>
    <col min="1036" max="1039" width="7.6640625" style="14" customWidth="1"/>
    <col min="1040" max="1040" width="4.33203125" style="14" customWidth="1"/>
    <col min="1041" max="1042" width="7.6640625" style="14" customWidth="1"/>
    <col min="1043" max="1043" width="4.109375" style="14" customWidth="1"/>
    <col min="1044" max="1044" width="7.6640625" style="14" customWidth="1"/>
    <col min="1045" max="1045" width="4.33203125" style="14" customWidth="1"/>
    <col min="1046" max="1046" width="18.6640625" style="14" customWidth="1"/>
    <col min="1047" max="1047" width="47.77734375" style="14" customWidth="1"/>
    <col min="1048" max="1048" width="9.44140625" style="14" customWidth="1"/>
    <col min="1049" max="1277" width="9" style="14"/>
    <col min="1278" max="1278" width="6.6640625" style="14" customWidth="1"/>
    <col min="1279" max="1279" width="5.109375" style="14" customWidth="1"/>
    <col min="1280" max="1280" width="5.88671875" style="14" customWidth="1"/>
    <col min="1281" max="1281" width="29.6640625" style="14" customWidth="1"/>
    <col min="1282" max="1282" width="24.88671875" style="14" customWidth="1"/>
    <col min="1283" max="1283" width="18.44140625" style="14" customWidth="1"/>
    <col min="1284" max="1284" width="4.88671875" style="14" customWidth="1"/>
    <col min="1285" max="1285" width="6.109375" style="14" customWidth="1"/>
    <col min="1286" max="1286" width="7.6640625" style="14" customWidth="1"/>
    <col min="1287" max="1287" width="5.6640625" style="14" customWidth="1"/>
    <col min="1288" max="1288" width="5.33203125" style="14" customWidth="1"/>
    <col min="1289" max="1290" width="6.33203125" style="14" customWidth="1"/>
    <col min="1291" max="1291" width="10.88671875" style="14" customWidth="1"/>
    <col min="1292" max="1295" width="7.6640625" style="14" customWidth="1"/>
    <col min="1296" max="1296" width="4.33203125" style="14" customWidth="1"/>
    <col min="1297" max="1298" width="7.6640625" style="14" customWidth="1"/>
    <col min="1299" max="1299" width="4.109375" style="14" customWidth="1"/>
    <col min="1300" max="1300" width="7.6640625" style="14" customWidth="1"/>
    <col min="1301" max="1301" width="4.33203125" style="14" customWidth="1"/>
    <col min="1302" max="1302" width="18.6640625" style="14" customWidth="1"/>
    <col min="1303" max="1303" width="47.77734375" style="14" customWidth="1"/>
    <col min="1304" max="1304" width="9.44140625" style="14" customWidth="1"/>
    <col min="1305" max="1533" width="9" style="14"/>
    <col min="1534" max="1534" width="6.6640625" style="14" customWidth="1"/>
    <col min="1535" max="1535" width="5.109375" style="14" customWidth="1"/>
    <col min="1536" max="1536" width="5.88671875" style="14" customWidth="1"/>
    <col min="1537" max="1537" width="29.6640625" style="14" customWidth="1"/>
    <col min="1538" max="1538" width="24.88671875" style="14" customWidth="1"/>
    <col min="1539" max="1539" width="18.44140625" style="14" customWidth="1"/>
    <col min="1540" max="1540" width="4.88671875" style="14" customWidth="1"/>
    <col min="1541" max="1541" width="6.109375" style="14" customWidth="1"/>
    <col min="1542" max="1542" width="7.6640625" style="14" customWidth="1"/>
    <col min="1543" max="1543" width="5.6640625" style="14" customWidth="1"/>
    <col min="1544" max="1544" width="5.33203125" style="14" customWidth="1"/>
    <col min="1545" max="1546" width="6.33203125" style="14" customWidth="1"/>
    <col min="1547" max="1547" width="10.88671875" style="14" customWidth="1"/>
    <col min="1548" max="1551" width="7.6640625" style="14" customWidth="1"/>
    <col min="1552" max="1552" width="4.33203125" style="14" customWidth="1"/>
    <col min="1553" max="1554" width="7.6640625" style="14" customWidth="1"/>
    <col min="1555" max="1555" width="4.109375" style="14" customWidth="1"/>
    <col min="1556" max="1556" width="7.6640625" style="14" customWidth="1"/>
    <col min="1557" max="1557" width="4.33203125" style="14" customWidth="1"/>
    <col min="1558" max="1558" width="18.6640625" style="14" customWidth="1"/>
    <col min="1559" max="1559" width="47.77734375" style="14" customWidth="1"/>
    <col min="1560" max="1560" width="9.44140625" style="14" customWidth="1"/>
    <col min="1561" max="1789" width="9" style="14"/>
    <col min="1790" max="1790" width="6.6640625" style="14" customWidth="1"/>
    <col min="1791" max="1791" width="5.109375" style="14" customWidth="1"/>
    <col min="1792" max="1792" width="5.88671875" style="14" customWidth="1"/>
    <col min="1793" max="1793" width="29.6640625" style="14" customWidth="1"/>
    <col min="1794" max="1794" width="24.88671875" style="14" customWidth="1"/>
    <col min="1795" max="1795" width="18.44140625" style="14" customWidth="1"/>
    <col min="1796" max="1796" width="4.88671875" style="14" customWidth="1"/>
    <col min="1797" max="1797" width="6.109375" style="14" customWidth="1"/>
    <col min="1798" max="1798" width="7.6640625" style="14" customWidth="1"/>
    <col min="1799" max="1799" width="5.6640625" style="14" customWidth="1"/>
    <col min="1800" max="1800" width="5.33203125" style="14" customWidth="1"/>
    <col min="1801" max="1802" width="6.33203125" style="14" customWidth="1"/>
    <col min="1803" max="1803" width="10.88671875" style="14" customWidth="1"/>
    <col min="1804" max="1807" width="7.6640625" style="14" customWidth="1"/>
    <col min="1808" max="1808" width="4.33203125" style="14" customWidth="1"/>
    <col min="1809" max="1810" width="7.6640625" style="14" customWidth="1"/>
    <col min="1811" max="1811" width="4.109375" style="14" customWidth="1"/>
    <col min="1812" max="1812" width="7.6640625" style="14" customWidth="1"/>
    <col min="1813" max="1813" width="4.33203125" style="14" customWidth="1"/>
    <col min="1814" max="1814" width="18.6640625" style="14" customWidth="1"/>
    <col min="1815" max="1815" width="47.77734375" style="14" customWidth="1"/>
    <col min="1816" max="1816" width="9.44140625" style="14" customWidth="1"/>
    <col min="1817" max="2045" width="9" style="14"/>
    <col min="2046" max="2046" width="6.6640625" style="14" customWidth="1"/>
    <col min="2047" max="2047" width="5.109375" style="14" customWidth="1"/>
    <col min="2048" max="2048" width="5.88671875" style="14" customWidth="1"/>
    <col min="2049" max="2049" width="29.6640625" style="14" customWidth="1"/>
    <col min="2050" max="2050" width="24.88671875" style="14" customWidth="1"/>
    <col min="2051" max="2051" width="18.44140625" style="14" customWidth="1"/>
    <col min="2052" max="2052" width="4.88671875" style="14" customWidth="1"/>
    <col min="2053" max="2053" width="6.109375" style="14" customWidth="1"/>
    <col min="2054" max="2054" width="7.6640625" style="14" customWidth="1"/>
    <col min="2055" max="2055" width="5.6640625" style="14" customWidth="1"/>
    <col min="2056" max="2056" width="5.33203125" style="14" customWidth="1"/>
    <col min="2057" max="2058" width="6.33203125" style="14" customWidth="1"/>
    <col min="2059" max="2059" width="10.88671875" style="14" customWidth="1"/>
    <col min="2060" max="2063" width="7.6640625" style="14" customWidth="1"/>
    <col min="2064" max="2064" width="4.33203125" style="14" customWidth="1"/>
    <col min="2065" max="2066" width="7.6640625" style="14" customWidth="1"/>
    <col min="2067" max="2067" width="4.109375" style="14" customWidth="1"/>
    <col min="2068" max="2068" width="7.6640625" style="14" customWidth="1"/>
    <col min="2069" max="2069" width="4.33203125" style="14" customWidth="1"/>
    <col min="2070" max="2070" width="18.6640625" style="14" customWidth="1"/>
    <col min="2071" max="2071" width="47.77734375" style="14" customWidth="1"/>
    <col min="2072" max="2072" width="9.44140625" style="14" customWidth="1"/>
    <col min="2073" max="2301" width="9" style="14"/>
    <col min="2302" max="2302" width="6.6640625" style="14" customWidth="1"/>
    <col min="2303" max="2303" width="5.109375" style="14" customWidth="1"/>
    <col min="2304" max="2304" width="5.88671875" style="14" customWidth="1"/>
    <col min="2305" max="2305" width="29.6640625" style="14" customWidth="1"/>
    <col min="2306" max="2306" width="24.88671875" style="14" customWidth="1"/>
    <col min="2307" max="2307" width="18.44140625" style="14" customWidth="1"/>
    <col min="2308" max="2308" width="4.88671875" style="14" customWidth="1"/>
    <col min="2309" max="2309" width="6.109375" style="14" customWidth="1"/>
    <col min="2310" max="2310" width="7.6640625" style="14" customWidth="1"/>
    <col min="2311" max="2311" width="5.6640625" style="14" customWidth="1"/>
    <col min="2312" max="2312" width="5.33203125" style="14" customWidth="1"/>
    <col min="2313" max="2314" width="6.33203125" style="14" customWidth="1"/>
    <col min="2315" max="2315" width="10.88671875" style="14" customWidth="1"/>
    <col min="2316" max="2319" width="7.6640625" style="14" customWidth="1"/>
    <col min="2320" max="2320" width="4.33203125" style="14" customWidth="1"/>
    <col min="2321" max="2322" width="7.6640625" style="14" customWidth="1"/>
    <col min="2323" max="2323" width="4.109375" style="14" customWidth="1"/>
    <col min="2324" max="2324" width="7.6640625" style="14" customWidth="1"/>
    <col min="2325" max="2325" width="4.33203125" style="14" customWidth="1"/>
    <col min="2326" max="2326" width="18.6640625" style="14" customWidth="1"/>
    <col min="2327" max="2327" width="47.77734375" style="14" customWidth="1"/>
    <col min="2328" max="2328" width="9.44140625" style="14" customWidth="1"/>
    <col min="2329" max="2557" width="9" style="14"/>
    <col min="2558" max="2558" width="6.6640625" style="14" customWidth="1"/>
    <col min="2559" max="2559" width="5.109375" style="14" customWidth="1"/>
    <col min="2560" max="2560" width="5.88671875" style="14" customWidth="1"/>
    <col min="2561" max="2561" width="29.6640625" style="14" customWidth="1"/>
    <col min="2562" max="2562" width="24.88671875" style="14" customWidth="1"/>
    <col min="2563" max="2563" width="18.44140625" style="14" customWidth="1"/>
    <col min="2564" max="2564" width="4.88671875" style="14" customWidth="1"/>
    <col min="2565" max="2565" width="6.109375" style="14" customWidth="1"/>
    <col min="2566" max="2566" width="7.6640625" style="14" customWidth="1"/>
    <col min="2567" max="2567" width="5.6640625" style="14" customWidth="1"/>
    <col min="2568" max="2568" width="5.33203125" style="14" customWidth="1"/>
    <col min="2569" max="2570" width="6.33203125" style="14" customWidth="1"/>
    <col min="2571" max="2571" width="10.88671875" style="14" customWidth="1"/>
    <col min="2572" max="2575" width="7.6640625" style="14" customWidth="1"/>
    <col min="2576" max="2576" width="4.33203125" style="14" customWidth="1"/>
    <col min="2577" max="2578" width="7.6640625" style="14" customWidth="1"/>
    <col min="2579" max="2579" width="4.109375" style="14" customWidth="1"/>
    <col min="2580" max="2580" width="7.6640625" style="14" customWidth="1"/>
    <col min="2581" max="2581" width="4.33203125" style="14" customWidth="1"/>
    <col min="2582" max="2582" width="18.6640625" style="14" customWidth="1"/>
    <col min="2583" max="2583" width="47.77734375" style="14" customWidth="1"/>
    <col min="2584" max="2584" width="9.44140625" style="14" customWidth="1"/>
    <col min="2585" max="2813" width="9" style="14"/>
    <col min="2814" max="2814" width="6.6640625" style="14" customWidth="1"/>
    <col min="2815" max="2815" width="5.109375" style="14" customWidth="1"/>
    <col min="2816" max="2816" width="5.88671875" style="14" customWidth="1"/>
    <col min="2817" max="2817" width="29.6640625" style="14" customWidth="1"/>
    <col min="2818" max="2818" width="24.88671875" style="14" customWidth="1"/>
    <col min="2819" max="2819" width="18.44140625" style="14" customWidth="1"/>
    <col min="2820" max="2820" width="4.88671875" style="14" customWidth="1"/>
    <col min="2821" max="2821" width="6.109375" style="14" customWidth="1"/>
    <col min="2822" max="2822" width="7.6640625" style="14" customWidth="1"/>
    <col min="2823" max="2823" width="5.6640625" style="14" customWidth="1"/>
    <col min="2824" max="2824" width="5.33203125" style="14" customWidth="1"/>
    <col min="2825" max="2826" width="6.33203125" style="14" customWidth="1"/>
    <col min="2827" max="2827" width="10.88671875" style="14" customWidth="1"/>
    <col min="2828" max="2831" width="7.6640625" style="14" customWidth="1"/>
    <col min="2832" max="2832" width="4.33203125" style="14" customWidth="1"/>
    <col min="2833" max="2834" width="7.6640625" style="14" customWidth="1"/>
    <col min="2835" max="2835" width="4.109375" style="14" customWidth="1"/>
    <col min="2836" max="2836" width="7.6640625" style="14" customWidth="1"/>
    <col min="2837" max="2837" width="4.33203125" style="14" customWidth="1"/>
    <col min="2838" max="2838" width="18.6640625" style="14" customWidth="1"/>
    <col min="2839" max="2839" width="47.77734375" style="14" customWidth="1"/>
    <col min="2840" max="2840" width="9.44140625" style="14" customWidth="1"/>
    <col min="2841" max="3069" width="9" style="14"/>
    <col min="3070" max="3070" width="6.6640625" style="14" customWidth="1"/>
    <col min="3071" max="3071" width="5.109375" style="14" customWidth="1"/>
    <col min="3072" max="3072" width="5.88671875" style="14" customWidth="1"/>
    <col min="3073" max="3073" width="29.6640625" style="14" customWidth="1"/>
    <col min="3074" max="3074" width="24.88671875" style="14" customWidth="1"/>
    <col min="3075" max="3075" width="18.44140625" style="14" customWidth="1"/>
    <col min="3076" max="3076" width="4.88671875" style="14" customWidth="1"/>
    <col min="3077" max="3077" width="6.109375" style="14" customWidth="1"/>
    <col min="3078" max="3078" width="7.6640625" style="14" customWidth="1"/>
    <col min="3079" max="3079" width="5.6640625" style="14" customWidth="1"/>
    <col min="3080" max="3080" width="5.33203125" style="14" customWidth="1"/>
    <col min="3081" max="3082" width="6.33203125" style="14" customWidth="1"/>
    <col min="3083" max="3083" width="10.88671875" style="14" customWidth="1"/>
    <col min="3084" max="3087" width="7.6640625" style="14" customWidth="1"/>
    <col min="3088" max="3088" width="4.33203125" style="14" customWidth="1"/>
    <col min="3089" max="3090" width="7.6640625" style="14" customWidth="1"/>
    <col min="3091" max="3091" width="4.109375" style="14" customWidth="1"/>
    <col min="3092" max="3092" width="7.6640625" style="14" customWidth="1"/>
    <col min="3093" max="3093" width="4.33203125" style="14" customWidth="1"/>
    <col min="3094" max="3094" width="18.6640625" style="14" customWidth="1"/>
    <col min="3095" max="3095" width="47.77734375" style="14" customWidth="1"/>
    <col min="3096" max="3096" width="9.44140625" style="14" customWidth="1"/>
    <col min="3097" max="3325" width="9" style="14"/>
    <col min="3326" max="3326" width="6.6640625" style="14" customWidth="1"/>
    <col min="3327" max="3327" width="5.109375" style="14" customWidth="1"/>
    <col min="3328" max="3328" width="5.88671875" style="14" customWidth="1"/>
    <col min="3329" max="3329" width="29.6640625" style="14" customWidth="1"/>
    <col min="3330" max="3330" width="24.88671875" style="14" customWidth="1"/>
    <col min="3331" max="3331" width="18.44140625" style="14" customWidth="1"/>
    <col min="3332" max="3332" width="4.88671875" style="14" customWidth="1"/>
    <col min="3333" max="3333" width="6.109375" style="14" customWidth="1"/>
    <col min="3334" max="3334" width="7.6640625" style="14" customWidth="1"/>
    <col min="3335" max="3335" width="5.6640625" style="14" customWidth="1"/>
    <col min="3336" max="3336" width="5.33203125" style="14" customWidth="1"/>
    <col min="3337" max="3338" width="6.33203125" style="14" customWidth="1"/>
    <col min="3339" max="3339" width="10.88671875" style="14" customWidth="1"/>
    <col min="3340" max="3343" width="7.6640625" style="14" customWidth="1"/>
    <col min="3344" max="3344" width="4.33203125" style="14" customWidth="1"/>
    <col min="3345" max="3346" width="7.6640625" style="14" customWidth="1"/>
    <col min="3347" max="3347" width="4.109375" style="14" customWidth="1"/>
    <col min="3348" max="3348" width="7.6640625" style="14" customWidth="1"/>
    <col min="3349" max="3349" width="4.33203125" style="14" customWidth="1"/>
    <col min="3350" max="3350" width="18.6640625" style="14" customWidth="1"/>
    <col min="3351" max="3351" width="47.77734375" style="14" customWidth="1"/>
    <col min="3352" max="3352" width="9.44140625" style="14" customWidth="1"/>
    <col min="3353" max="3581" width="9" style="14"/>
    <col min="3582" max="3582" width="6.6640625" style="14" customWidth="1"/>
    <col min="3583" max="3583" width="5.109375" style="14" customWidth="1"/>
    <col min="3584" max="3584" width="5.88671875" style="14" customWidth="1"/>
    <col min="3585" max="3585" width="29.6640625" style="14" customWidth="1"/>
    <col min="3586" max="3586" width="24.88671875" style="14" customWidth="1"/>
    <col min="3587" max="3587" width="18.44140625" style="14" customWidth="1"/>
    <col min="3588" max="3588" width="4.88671875" style="14" customWidth="1"/>
    <col min="3589" max="3589" width="6.109375" style="14" customWidth="1"/>
    <col min="3590" max="3590" width="7.6640625" style="14" customWidth="1"/>
    <col min="3591" max="3591" width="5.6640625" style="14" customWidth="1"/>
    <col min="3592" max="3592" width="5.33203125" style="14" customWidth="1"/>
    <col min="3593" max="3594" width="6.33203125" style="14" customWidth="1"/>
    <col min="3595" max="3595" width="10.88671875" style="14" customWidth="1"/>
    <col min="3596" max="3599" width="7.6640625" style="14" customWidth="1"/>
    <col min="3600" max="3600" width="4.33203125" style="14" customWidth="1"/>
    <col min="3601" max="3602" width="7.6640625" style="14" customWidth="1"/>
    <col min="3603" max="3603" width="4.109375" style="14" customWidth="1"/>
    <col min="3604" max="3604" width="7.6640625" style="14" customWidth="1"/>
    <col min="3605" max="3605" width="4.33203125" style="14" customWidth="1"/>
    <col min="3606" max="3606" width="18.6640625" style="14" customWidth="1"/>
    <col min="3607" max="3607" width="47.77734375" style="14" customWidth="1"/>
    <col min="3608" max="3608" width="9.44140625" style="14" customWidth="1"/>
    <col min="3609" max="3837" width="9" style="14"/>
    <col min="3838" max="3838" width="6.6640625" style="14" customWidth="1"/>
    <col min="3839" max="3839" width="5.109375" style="14" customWidth="1"/>
    <col min="3840" max="3840" width="5.88671875" style="14" customWidth="1"/>
    <col min="3841" max="3841" width="29.6640625" style="14" customWidth="1"/>
    <col min="3842" max="3842" width="24.88671875" style="14" customWidth="1"/>
    <col min="3843" max="3843" width="18.44140625" style="14" customWidth="1"/>
    <col min="3844" max="3844" width="4.88671875" style="14" customWidth="1"/>
    <col min="3845" max="3845" width="6.109375" style="14" customWidth="1"/>
    <col min="3846" max="3846" width="7.6640625" style="14" customWidth="1"/>
    <col min="3847" max="3847" width="5.6640625" style="14" customWidth="1"/>
    <col min="3848" max="3848" width="5.33203125" style="14" customWidth="1"/>
    <col min="3849" max="3850" width="6.33203125" style="14" customWidth="1"/>
    <col min="3851" max="3851" width="10.88671875" style="14" customWidth="1"/>
    <col min="3852" max="3855" width="7.6640625" style="14" customWidth="1"/>
    <col min="3856" max="3856" width="4.33203125" style="14" customWidth="1"/>
    <col min="3857" max="3858" width="7.6640625" style="14" customWidth="1"/>
    <col min="3859" max="3859" width="4.109375" style="14" customWidth="1"/>
    <col min="3860" max="3860" width="7.6640625" style="14" customWidth="1"/>
    <col min="3861" max="3861" width="4.33203125" style="14" customWidth="1"/>
    <col min="3862" max="3862" width="18.6640625" style="14" customWidth="1"/>
    <col min="3863" max="3863" width="47.77734375" style="14" customWidth="1"/>
    <col min="3864" max="3864" width="9.44140625" style="14" customWidth="1"/>
    <col min="3865" max="4093" width="9" style="14"/>
    <col min="4094" max="4094" width="6.6640625" style="14" customWidth="1"/>
    <col min="4095" max="4095" width="5.109375" style="14" customWidth="1"/>
    <col min="4096" max="4096" width="5.88671875" style="14" customWidth="1"/>
    <col min="4097" max="4097" width="29.6640625" style="14" customWidth="1"/>
    <col min="4098" max="4098" width="24.88671875" style="14" customWidth="1"/>
    <col min="4099" max="4099" width="18.44140625" style="14" customWidth="1"/>
    <col min="4100" max="4100" width="4.88671875" style="14" customWidth="1"/>
    <col min="4101" max="4101" width="6.109375" style="14" customWidth="1"/>
    <col min="4102" max="4102" width="7.6640625" style="14" customWidth="1"/>
    <col min="4103" max="4103" width="5.6640625" style="14" customWidth="1"/>
    <col min="4104" max="4104" width="5.33203125" style="14" customWidth="1"/>
    <col min="4105" max="4106" width="6.33203125" style="14" customWidth="1"/>
    <col min="4107" max="4107" width="10.88671875" style="14" customWidth="1"/>
    <col min="4108" max="4111" width="7.6640625" style="14" customWidth="1"/>
    <col min="4112" max="4112" width="4.33203125" style="14" customWidth="1"/>
    <col min="4113" max="4114" width="7.6640625" style="14" customWidth="1"/>
    <col min="4115" max="4115" width="4.109375" style="14" customWidth="1"/>
    <col min="4116" max="4116" width="7.6640625" style="14" customWidth="1"/>
    <col min="4117" max="4117" width="4.33203125" style="14" customWidth="1"/>
    <col min="4118" max="4118" width="18.6640625" style="14" customWidth="1"/>
    <col min="4119" max="4119" width="47.77734375" style="14" customWidth="1"/>
    <col min="4120" max="4120" width="9.44140625" style="14" customWidth="1"/>
    <col min="4121" max="4349" width="9" style="14"/>
    <col min="4350" max="4350" width="6.6640625" style="14" customWidth="1"/>
    <col min="4351" max="4351" width="5.109375" style="14" customWidth="1"/>
    <col min="4352" max="4352" width="5.88671875" style="14" customWidth="1"/>
    <col min="4353" max="4353" width="29.6640625" style="14" customWidth="1"/>
    <col min="4354" max="4354" width="24.88671875" style="14" customWidth="1"/>
    <col min="4355" max="4355" width="18.44140625" style="14" customWidth="1"/>
    <col min="4356" max="4356" width="4.88671875" style="14" customWidth="1"/>
    <col min="4357" max="4357" width="6.109375" style="14" customWidth="1"/>
    <col min="4358" max="4358" width="7.6640625" style="14" customWidth="1"/>
    <col min="4359" max="4359" width="5.6640625" style="14" customWidth="1"/>
    <col min="4360" max="4360" width="5.33203125" style="14" customWidth="1"/>
    <col min="4361" max="4362" width="6.33203125" style="14" customWidth="1"/>
    <col min="4363" max="4363" width="10.88671875" style="14" customWidth="1"/>
    <col min="4364" max="4367" width="7.6640625" style="14" customWidth="1"/>
    <col min="4368" max="4368" width="4.33203125" style="14" customWidth="1"/>
    <col min="4369" max="4370" width="7.6640625" style="14" customWidth="1"/>
    <col min="4371" max="4371" width="4.109375" style="14" customWidth="1"/>
    <col min="4372" max="4372" width="7.6640625" style="14" customWidth="1"/>
    <col min="4373" max="4373" width="4.33203125" style="14" customWidth="1"/>
    <col min="4374" max="4374" width="18.6640625" style="14" customWidth="1"/>
    <col min="4375" max="4375" width="47.77734375" style="14" customWidth="1"/>
    <col min="4376" max="4376" width="9.44140625" style="14" customWidth="1"/>
    <col min="4377" max="4605" width="9" style="14"/>
    <col min="4606" max="4606" width="6.6640625" style="14" customWidth="1"/>
    <col min="4607" max="4607" width="5.109375" style="14" customWidth="1"/>
    <col min="4608" max="4608" width="5.88671875" style="14" customWidth="1"/>
    <col min="4609" max="4609" width="29.6640625" style="14" customWidth="1"/>
    <col min="4610" max="4610" width="24.88671875" style="14" customWidth="1"/>
    <col min="4611" max="4611" width="18.44140625" style="14" customWidth="1"/>
    <col min="4612" max="4612" width="4.88671875" style="14" customWidth="1"/>
    <col min="4613" max="4613" width="6.109375" style="14" customWidth="1"/>
    <col min="4614" max="4614" width="7.6640625" style="14" customWidth="1"/>
    <col min="4615" max="4615" width="5.6640625" style="14" customWidth="1"/>
    <col min="4616" max="4616" width="5.33203125" style="14" customWidth="1"/>
    <col min="4617" max="4618" width="6.33203125" style="14" customWidth="1"/>
    <col min="4619" max="4619" width="10.88671875" style="14" customWidth="1"/>
    <col min="4620" max="4623" width="7.6640625" style="14" customWidth="1"/>
    <col min="4624" max="4624" width="4.33203125" style="14" customWidth="1"/>
    <col min="4625" max="4626" width="7.6640625" style="14" customWidth="1"/>
    <col min="4627" max="4627" width="4.109375" style="14" customWidth="1"/>
    <col min="4628" max="4628" width="7.6640625" style="14" customWidth="1"/>
    <col min="4629" max="4629" width="4.33203125" style="14" customWidth="1"/>
    <col min="4630" max="4630" width="18.6640625" style="14" customWidth="1"/>
    <col min="4631" max="4631" width="47.77734375" style="14" customWidth="1"/>
    <col min="4632" max="4632" width="9.44140625" style="14" customWidth="1"/>
    <col min="4633" max="4861" width="9" style="14"/>
    <col min="4862" max="4862" width="6.6640625" style="14" customWidth="1"/>
    <col min="4863" max="4863" width="5.109375" style="14" customWidth="1"/>
    <col min="4864" max="4864" width="5.88671875" style="14" customWidth="1"/>
    <col min="4865" max="4865" width="29.6640625" style="14" customWidth="1"/>
    <col min="4866" max="4866" width="24.88671875" style="14" customWidth="1"/>
    <col min="4867" max="4867" width="18.44140625" style="14" customWidth="1"/>
    <col min="4868" max="4868" width="4.88671875" style="14" customWidth="1"/>
    <col min="4869" max="4869" width="6.109375" style="14" customWidth="1"/>
    <col min="4870" max="4870" width="7.6640625" style="14" customWidth="1"/>
    <col min="4871" max="4871" width="5.6640625" style="14" customWidth="1"/>
    <col min="4872" max="4872" width="5.33203125" style="14" customWidth="1"/>
    <col min="4873" max="4874" width="6.33203125" style="14" customWidth="1"/>
    <col min="4875" max="4875" width="10.88671875" style="14" customWidth="1"/>
    <col min="4876" max="4879" width="7.6640625" style="14" customWidth="1"/>
    <col min="4880" max="4880" width="4.33203125" style="14" customWidth="1"/>
    <col min="4881" max="4882" width="7.6640625" style="14" customWidth="1"/>
    <col min="4883" max="4883" width="4.109375" style="14" customWidth="1"/>
    <col min="4884" max="4884" width="7.6640625" style="14" customWidth="1"/>
    <col min="4885" max="4885" width="4.33203125" style="14" customWidth="1"/>
    <col min="4886" max="4886" width="18.6640625" style="14" customWidth="1"/>
    <col min="4887" max="4887" width="47.77734375" style="14" customWidth="1"/>
    <col min="4888" max="4888" width="9.44140625" style="14" customWidth="1"/>
    <col min="4889" max="5117" width="9" style="14"/>
    <col min="5118" max="5118" width="6.6640625" style="14" customWidth="1"/>
    <col min="5119" max="5119" width="5.109375" style="14" customWidth="1"/>
    <col min="5120" max="5120" width="5.88671875" style="14" customWidth="1"/>
    <col min="5121" max="5121" width="29.6640625" style="14" customWidth="1"/>
    <col min="5122" max="5122" width="24.88671875" style="14" customWidth="1"/>
    <col min="5123" max="5123" width="18.44140625" style="14" customWidth="1"/>
    <col min="5124" max="5124" width="4.88671875" style="14" customWidth="1"/>
    <col min="5125" max="5125" width="6.109375" style="14" customWidth="1"/>
    <col min="5126" max="5126" width="7.6640625" style="14" customWidth="1"/>
    <col min="5127" max="5127" width="5.6640625" style="14" customWidth="1"/>
    <col min="5128" max="5128" width="5.33203125" style="14" customWidth="1"/>
    <col min="5129" max="5130" width="6.33203125" style="14" customWidth="1"/>
    <col min="5131" max="5131" width="10.88671875" style="14" customWidth="1"/>
    <col min="5132" max="5135" width="7.6640625" style="14" customWidth="1"/>
    <col min="5136" max="5136" width="4.33203125" style="14" customWidth="1"/>
    <col min="5137" max="5138" width="7.6640625" style="14" customWidth="1"/>
    <col min="5139" max="5139" width="4.109375" style="14" customWidth="1"/>
    <col min="5140" max="5140" width="7.6640625" style="14" customWidth="1"/>
    <col min="5141" max="5141" width="4.33203125" style="14" customWidth="1"/>
    <col min="5142" max="5142" width="18.6640625" style="14" customWidth="1"/>
    <col min="5143" max="5143" width="47.77734375" style="14" customWidth="1"/>
    <col min="5144" max="5144" width="9.44140625" style="14" customWidth="1"/>
    <col min="5145" max="5373" width="9" style="14"/>
    <col min="5374" max="5374" width="6.6640625" style="14" customWidth="1"/>
    <col min="5375" max="5375" width="5.109375" style="14" customWidth="1"/>
    <col min="5376" max="5376" width="5.88671875" style="14" customWidth="1"/>
    <col min="5377" max="5377" width="29.6640625" style="14" customWidth="1"/>
    <col min="5378" max="5378" width="24.88671875" style="14" customWidth="1"/>
    <col min="5379" max="5379" width="18.44140625" style="14" customWidth="1"/>
    <col min="5380" max="5380" width="4.88671875" style="14" customWidth="1"/>
    <col min="5381" max="5381" width="6.109375" style="14" customWidth="1"/>
    <col min="5382" max="5382" width="7.6640625" style="14" customWidth="1"/>
    <col min="5383" max="5383" width="5.6640625" style="14" customWidth="1"/>
    <col min="5384" max="5384" width="5.33203125" style="14" customWidth="1"/>
    <col min="5385" max="5386" width="6.33203125" style="14" customWidth="1"/>
    <col min="5387" max="5387" width="10.88671875" style="14" customWidth="1"/>
    <col min="5388" max="5391" width="7.6640625" style="14" customWidth="1"/>
    <col min="5392" max="5392" width="4.33203125" style="14" customWidth="1"/>
    <col min="5393" max="5394" width="7.6640625" style="14" customWidth="1"/>
    <col min="5395" max="5395" width="4.109375" style="14" customWidth="1"/>
    <col min="5396" max="5396" width="7.6640625" style="14" customWidth="1"/>
    <col min="5397" max="5397" width="4.33203125" style="14" customWidth="1"/>
    <col min="5398" max="5398" width="18.6640625" style="14" customWidth="1"/>
    <col min="5399" max="5399" width="47.77734375" style="14" customWidth="1"/>
    <col min="5400" max="5400" width="9.44140625" style="14" customWidth="1"/>
    <col min="5401" max="5629" width="9" style="14"/>
    <col min="5630" max="5630" width="6.6640625" style="14" customWidth="1"/>
    <col min="5631" max="5631" width="5.109375" style="14" customWidth="1"/>
    <col min="5632" max="5632" width="5.88671875" style="14" customWidth="1"/>
    <col min="5633" max="5633" width="29.6640625" style="14" customWidth="1"/>
    <col min="5634" max="5634" width="24.88671875" style="14" customWidth="1"/>
    <col min="5635" max="5635" width="18.44140625" style="14" customWidth="1"/>
    <col min="5636" max="5636" width="4.88671875" style="14" customWidth="1"/>
    <col min="5637" max="5637" width="6.109375" style="14" customWidth="1"/>
    <col min="5638" max="5638" width="7.6640625" style="14" customWidth="1"/>
    <col min="5639" max="5639" width="5.6640625" style="14" customWidth="1"/>
    <col min="5640" max="5640" width="5.33203125" style="14" customWidth="1"/>
    <col min="5641" max="5642" width="6.33203125" style="14" customWidth="1"/>
    <col min="5643" max="5643" width="10.88671875" style="14" customWidth="1"/>
    <col min="5644" max="5647" width="7.6640625" style="14" customWidth="1"/>
    <col min="5648" max="5648" width="4.33203125" style="14" customWidth="1"/>
    <col min="5649" max="5650" width="7.6640625" style="14" customWidth="1"/>
    <col min="5651" max="5651" width="4.109375" style="14" customWidth="1"/>
    <col min="5652" max="5652" width="7.6640625" style="14" customWidth="1"/>
    <col min="5653" max="5653" width="4.33203125" style="14" customWidth="1"/>
    <col min="5654" max="5654" width="18.6640625" style="14" customWidth="1"/>
    <col min="5655" max="5655" width="47.77734375" style="14" customWidth="1"/>
    <col min="5656" max="5656" width="9.44140625" style="14" customWidth="1"/>
    <col min="5657" max="5885" width="9" style="14"/>
    <col min="5886" max="5886" width="6.6640625" style="14" customWidth="1"/>
    <col min="5887" max="5887" width="5.109375" style="14" customWidth="1"/>
    <col min="5888" max="5888" width="5.88671875" style="14" customWidth="1"/>
    <col min="5889" max="5889" width="29.6640625" style="14" customWidth="1"/>
    <col min="5890" max="5890" width="24.88671875" style="14" customWidth="1"/>
    <col min="5891" max="5891" width="18.44140625" style="14" customWidth="1"/>
    <col min="5892" max="5892" width="4.88671875" style="14" customWidth="1"/>
    <col min="5893" max="5893" width="6.109375" style="14" customWidth="1"/>
    <col min="5894" max="5894" width="7.6640625" style="14" customWidth="1"/>
    <col min="5895" max="5895" width="5.6640625" style="14" customWidth="1"/>
    <col min="5896" max="5896" width="5.33203125" style="14" customWidth="1"/>
    <col min="5897" max="5898" width="6.33203125" style="14" customWidth="1"/>
    <col min="5899" max="5899" width="10.88671875" style="14" customWidth="1"/>
    <col min="5900" max="5903" width="7.6640625" style="14" customWidth="1"/>
    <col min="5904" max="5904" width="4.33203125" style="14" customWidth="1"/>
    <col min="5905" max="5906" width="7.6640625" style="14" customWidth="1"/>
    <col min="5907" max="5907" width="4.109375" style="14" customWidth="1"/>
    <col min="5908" max="5908" width="7.6640625" style="14" customWidth="1"/>
    <col min="5909" max="5909" width="4.33203125" style="14" customWidth="1"/>
    <col min="5910" max="5910" width="18.6640625" style="14" customWidth="1"/>
    <col min="5911" max="5911" width="47.77734375" style="14" customWidth="1"/>
    <col min="5912" max="5912" width="9.44140625" style="14" customWidth="1"/>
    <col min="5913" max="6141" width="9" style="14"/>
    <col min="6142" max="6142" width="6.6640625" style="14" customWidth="1"/>
    <col min="6143" max="6143" width="5.109375" style="14" customWidth="1"/>
    <col min="6144" max="6144" width="5.88671875" style="14" customWidth="1"/>
    <col min="6145" max="6145" width="29.6640625" style="14" customWidth="1"/>
    <col min="6146" max="6146" width="24.88671875" style="14" customWidth="1"/>
    <col min="6147" max="6147" width="18.44140625" style="14" customWidth="1"/>
    <col min="6148" max="6148" width="4.88671875" style="14" customWidth="1"/>
    <col min="6149" max="6149" width="6.109375" style="14" customWidth="1"/>
    <col min="6150" max="6150" width="7.6640625" style="14" customWidth="1"/>
    <col min="6151" max="6151" width="5.6640625" style="14" customWidth="1"/>
    <col min="6152" max="6152" width="5.33203125" style="14" customWidth="1"/>
    <col min="6153" max="6154" width="6.33203125" style="14" customWidth="1"/>
    <col min="6155" max="6155" width="10.88671875" style="14" customWidth="1"/>
    <col min="6156" max="6159" width="7.6640625" style="14" customWidth="1"/>
    <col min="6160" max="6160" width="4.33203125" style="14" customWidth="1"/>
    <col min="6161" max="6162" width="7.6640625" style="14" customWidth="1"/>
    <col min="6163" max="6163" width="4.109375" style="14" customWidth="1"/>
    <col min="6164" max="6164" width="7.6640625" style="14" customWidth="1"/>
    <col min="6165" max="6165" width="4.33203125" style="14" customWidth="1"/>
    <col min="6166" max="6166" width="18.6640625" style="14" customWidth="1"/>
    <col min="6167" max="6167" width="47.77734375" style="14" customWidth="1"/>
    <col min="6168" max="6168" width="9.44140625" style="14" customWidth="1"/>
    <col min="6169" max="6397" width="9" style="14"/>
    <col min="6398" max="6398" width="6.6640625" style="14" customWidth="1"/>
    <col min="6399" max="6399" width="5.109375" style="14" customWidth="1"/>
    <col min="6400" max="6400" width="5.88671875" style="14" customWidth="1"/>
    <col min="6401" max="6401" width="29.6640625" style="14" customWidth="1"/>
    <col min="6402" max="6402" width="24.88671875" style="14" customWidth="1"/>
    <col min="6403" max="6403" width="18.44140625" style="14" customWidth="1"/>
    <col min="6404" max="6404" width="4.88671875" style="14" customWidth="1"/>
    <col min="6405" max="6405" width="6.109375" style="14" customWidth="1"/>
    <col min="6406" max="6406" width="7.6640625" style="14" customWidth="1"/>
    <col min="6407" max="6407" width="5.6640625" style="14" customWidth="1"/>
    <col min="6408" max="6408" width="5.33203125" style="14" customWidth="1"/>
    <col min="6409" max="6410" width="6.33203125" style="14" customWidth="1"/>
    <col min="6411" max="6411" width="10.88671875" style="14" customWidth="1"/>
    <col min="6412" max="6415" width="7.6640625" style="14" customWidth="1"/>
    <col min="6416" max="6416" width="4.33203125" style="14" customWidth="1"/>
    <col min="6417" max="6418" width="7.6640625" style="14" customWidth="1"/>
    <col min="6419" max="6419" width="4.109375" style="14" customWidth="1"/>
    <col min="6420" max="6420" width="7.6640625" style="14" customWidth="1"/>
    <col min="6421" max="6421" width="4.33203125" style="14" customWidth="1"/>
    <col min="6422" max="6422" width="18.6640625" style="14" customWidth="1"/>
    <col min="6423" max="6423" width="47.77734375" style="14" customWidth="1"/>
    <col min="6424" max="6424" width="9.44140625" style="14" customWidth="1"/>
    <col min="6425" max="6653" width="9" style="14"/>
    <col min="6654" max="6654" width="6.6640625" style="14" customWidth="1"/>
    <col min="6655" max="6655" width="5.109375" style="14" customWidth="1"/>
    <col min="6656" max="6656" width="5.88671875" style="14" customWidth="1"/>
    <col min="6657" max="6657" width="29.6640625" style="14" customWidth="1"/>
    <col min="6658" max="6658" width="24.88671875" style="14" customWidth="1"/>
    <col min="6659" max="6659" width="18.44140625" style="14" customWidth="1"/>
    <col min="6660" max="6660" width="4.88671875" style="14" customWidth="1"/>
    <col min="6661" max="6661" width="6.109375" style="14" customWidth="1"/>
    <col min="6662" max="6662" width="7.6640625" style="14" customWidth="1"/>
    <col min="6663" max="6663" width="5.6640625" style="14" customWidth="1"/>
    <col min="6664" max="6664" width="5.33203125" style="14" customWidth="1"/>
    <col min="6665" max="6666" width="6.33203125" style="14" customWidth="1"/>
    <col min="6667" max="6667" width="10.88671875" style="14" customWidth="1"/>
    <col min="6668" max="6671" width="7.6640625" style="14" customWidth="1"/>
    <col min="6672" max="6672" width="4.33203125" style="14" customWidth="1"/>
    <col min="6673" max="6674" width="7.6640625" style="14" customWidth="1"/>
    <col min="6675" max="6675" width="4.109375" style="14" customWidth="1"/>
    <col min="6676" max="6676" width="7.6640625" style="14" customWidth="1"/>
    <col min="6677" max="6677" width="4.33203125" style="14" customWidth="1"/>
    <col min="6678" max="6678" width="18.6640625" style="14" customWidth="1"/>
    <col min="6679" max="6679" width="47.77734375" style="14" customWidth="1"/>
    <col min="6680" max="6680" width="9.44140625" style="14" customWidth="1"/>
    <col min="6681" max="6909" width="9" style="14"/>
    <col min="6910" max="6910" width="6.6640625" style="14" customWidth="1"/>
    <col min="6911" max="6911" width="5.109375" style="14" customWidth="1"/>
    <col min="6912" max="6912" width="5.88671875" style="14" customWidth="1"/>
    <col min="6913" max="6913" width="29.6640625" style="14" customWidth="1"/>
    <col min="6914" max="6914" width="24.88671875" style="14" customWidth="1"/>
    <col min="6915" max="6915" width="18.44140625" style="14" customWidth="1"/>
    <col min="6916" max="6916" width="4.88671875" style="14" customWidth="1"/>
    <col min="6917" max="6917" width="6.109375" style="14" customWidth="1"/>
    <col min="6918" max="6918" width="7.6640625" style="14" customWidth="1"/>
    <col min="6919" max="6919" width="5.6640625" style="14" customWidth="1"/>
    <col min="6920" max="6920" width="5.33203125" style="14" customWidth="1"/>
    <col min="6921" max="6922" width="6.33203125" style="14" customWidth="1"/>
    <col min="6923" max="6923" width="10.88671875" style="14" customWidth="1"/>
    <col min="6924" max="6927" width="7.6640625" style="14" customWidth="1"/>
    <col min="6928" max="6928" width="4.33203125" style="14" customWidth="1"/>
    <col min="6929" max="6930" width="7.6640625" style="14" customWidth="1"/>
    <col min="6931" max="6931" width="4.109375" style="14" customWidth="1"/>
    <col min="6932" max="6932" width="7.6640625" style="14" customWidth="1"/>
    <col min="6933" max="6933" width="4.33203125" style="14" customWidth="1"/>
    <col min="6934" max="6934" width="18.6640625" style="14" customWidth="1"/>
    <col min="6935" max="6935" width="47.77734375" style="14" customWidth="1"/>
    <col min="6936" max="6936" width="9.44140625" style="14" customWidth="1"/>
    <col min="6937" max="7165" width="9" style="14"/>
    <col min="7166" max="7166" width="6.6640625" style="14" customWidth="1"/>
    <col min="7167" max="7167" width="5.109375" style="14" customWidth="1"/>
    <col min="7168" max="7168" width="5.88671875" style="14" customWidth="1"/>
    <col min="7169" max="7169" width="29.6640625" style="14" customWidth="1"/>
    <col min="7170" max="7170" width="24.88671875" style="14" customWidth="1"/>
    <col min="7171" max="7171" width="18.44140625" style="14" customWidth="1"/>
    <col min="7172" max="7172" width="4.88671875" style="14" customWidth="1"/>
    <col min="7173" max="7173" width="6.109375" style="14" customWidth="1"/>
    <col min="7174" max="7174" width="7.6640625" style="14" customWidth="1"/>
    <col min="7175" max="7175" width="5.6640625" style="14" customWidth="1"/>
    <col min="7176" max="7176" width="5.33203125" style="14" customWidth="1"/>
    <col min="7177" max="7178" width="6.33203125" style="14" customWidth="1"/>
    <col min="7179" max="7179" width="10.88671875" style="14" customWidth="1"/>
    <col min="7180" max="7183" width="7.6640625" style="14" customWidth="1"/>
    <col min="7184" max="7184" width="4.33203125" style="14" customWidth="1"/>
    <col min="7185" max="7186" width="7.6640625" style="14" customWidth="1"/>
    <col min="7187" max="7187" width="4.109375" style="14" customWidth="1"/>
    <col min="7188" max="7188" width="7.6640625" style="14" customWidth="1"/>
    <col min="7189" max="7189" width="4.33203125" style="14" customWidth="1"/>
    <col min="7190" max="7190" width="18.6640625" style="14" customWidth="1"/>
    <col min="7191" max="7191" width="47.77734375" style="14" customWidth="1"/>
    <col min="7192" max="7192" width="9.44140625" style="14" customWidth="1"/>
    <col min="7193" max="7421" width="9" style="14"/>
    <col min="7422" max="7422" width="6.6640625" style="14" customWidth="1"/>
    <col min="7423" max="7423" width="5.109375" style="14" customWidth="1"/>
    <col min="7424" max="7424" width="5.88671875" style="14" customWidth="1"/>
    <col min="7425" max="7425" width="29.6640625" style="14" customWidth="1"/>
    <col min="7426" max="7426" width="24.88671875" style="14" customWidth="1"/>
    <col min="7427" max="7427" width="18.44140625" style="14" customWidth="1"/>
    <col min="7428" max="7428" width="4.88671875" style="14" customWidth="1"/>
    <col min="7429" max="7429" width="6.109375" style="14" customWidth="1"/>
    <col min="7430" max="7430" width="7.6640625" style="14" customWidth="1"/>
    <col min="7431" max="7431" width="5.6640625" style="14" customWidth="1"/>
    <col min="7432" max="7432" width="5.33203125" style="14" customWidth="1"/>
    <col min="7433" max="7434" width="6.33203125" style="14" customWidth="1"/>
    <col min="7435" max="7435" width="10.88671875" style="14" customWidth="1"/>
    <col min="7436" max="7439" width="7.6640625" style="14" customWidth="1"/>
    <col min="7440" max="7440" width="4.33203125" style="14" customWidth="1"/>
    <col min="7441" max="7442" width="7.6640625" style="14" customWidth="1"/>
    <col min="7443" max="7443" width="4.109375" style="14" customWidth="1"/>
    <col min="7444" max="7444" width="7.6640625" style="14" customWidth="1"/>
    <col min="7445" max="7445" width="4.33203125" style="14" customWidth="1"/>
    <col min="7446" max="7446" width="18.6640625" style="14" customWidth="1"/>
    <col min="7447" max="7447" width="47.77734375" style="14" customWidth="1"/>
    <col min="7448" max="7448" width="9.44140625" style="14" customWidth="1"/>
    <col min="7449" max="7677" width="9" style="14"/>
    <col min="7678" max="7678" width="6.6640625" style="14" customWidth="1"/>
    <col min="7679" max="7679" width="5.109375" style="14" customWidth="1"/>
    <col min="7680" max="7680" width="5.88671875" style="14" customWidth="1"/>
    <col min="7681" max="7681" width="29.6640625" style="14" customWidth="1"/>
    <col min="7682" max="7682" width="24.88671875" style="14" customWidth="1"/>
    <col min="7683" max="7683" width="18.44140625" style="14" customWidth="1"/>
    <col min="7684" max="7684" width="4.88671875" style="14" customWidth="1"/>
    <col min="7685" max="7685" width="6.109375" style="14" customWidth="1"/>
    <col min="7686" max="7686" width="7.6640625" style="14" customWidth="1"/>
    <col min="7687" max="7687" width="5.6640625" style="14" customWidth="1"/>
    <col min="7688" max="7688" width="5.33203125" style="14" customWidth="1"/>
    <col min="7689" max="7690" width="6.33203125" style="14" customWidth="1"/>
    <col min="7691" max="7691" width="10.88671875" style="14" customWidth="1"/>
    <col min="7692" max="7695" width="7.6640625" style="14" customWidth="1"/>
    <col min="7696" max="7696" width="4.33203125" style="14" customWidth="1"/>
    <col min="7697" max="7698" width="7.6640625" style="14" customWidth="1"/>
    <col min="7699" max="7699" width="4.109375" style="14" customWidth="1"/>
    <col min="7700" max="7700" width="7.6640625" style="14" customWidth="1"/>
    <col min="7701" max="7701" width="4.33203125" style="14" customWidth="1"/>
    <col min="7702" max="7702" width="18.6640625" style="14" customWidth="1"/>
    <col min="7703" max="7703" width="47.77734375" style="14" customWidth="1"/>
    <col min="7704" max="7704" width="9.44140625" style="14" customWidth="1"/>
    <col min="7705" max="7933" width="9" style="14"/>
    <col min="7934" max="7934" width="6.6640625" style="14" customWidth="1"/>
    <col min="7935" max="7935" width="5.109375" style="14" customWidth="1"/>
    <col min="7936" max="7936" width="5.88671875" style="14" customWidth="1"/>
    <col min="7937" max="7937" width="29.6640625" style="14" customWidth="1"/>
    <col min="7938" max="7938" width="24.88671875" style="14" customWidth="1"/>
    <col min="7939" max="7939" width="18.44140625" style="14" customWidth="1"/>
    <col min="7940" max="7940" width="4.88671875" style="14" customWidth="1"/>
    <col min="7941" max="7941" width="6.109375" style="14" customWidth="1"/>
    <col min="7942" max="7942" width="7.6640625" style="14" customWidth="1"/>
    <col min="7943" max="7943" width="5.6640625" style="14" customWidth="1"/>
    <col min="7944" max="7944" width="5.33203125" style="14" customWidth="1"/>
    <col min="7945" max="7946" width="6.33203125" style="14" customWidth="1"/>
    <col min="7947" max="7947" width="10.88671875" style="14" customWidth="1"/>
    <col min="7948" max="7951" width="7.6640625" style="14" customWidth="1"/>
    <col min="7952" max="7952" width="4.33203125" style="14" customWidth="1"/>
    <col min="7953" max="7954" width="7.6640625" style="14" customWidth="1"/>
    <col min="7955" max="7955" width="4.109375" style="14" customWidth="1"/>
    <col min="7956" max="7956" width="7.6640625" style="14" customWidth="1"/>
    <col min="7957" max="7957" width="4.33203125" style="14" customWidth="1"/>
    <col min="7958" max="7958" width="18.6640625" style="14" customWidth="1"/>
    <col min="7959" max="7959" width="47.77734375" style="14" customWidth="1"/>
    <col min="7960" max="7960" width="9.44140625" style="14" customWidth="1"/>
    <col min="7961" max="8189" width="9" style="14"/>
    <col min="8190" max="8190" width="6.6640625" style="14" customWidth="1"/>
    <col min="8191" max="8191" width="5.109375" style="14" customWidth="1"/>
    <col min="8192" max="8192" width="5.88671875" style="14" customWidth="1"/>
    <col min="8193" max="8193" width="29.6640625" style="14" customWidth="1"/>
    <col min="8194" max="8194" width="24.88671875" style="14" customWidth="1"/>
    <col min="8195" max="8195" width="18.44140625" style="14" customWidth="1"/>
    <col min="8196" max="8196" width="4.88671875" style="14" customWidth="1"/>
    <col min="8197" max="8197" width="6.109375" style="14" customWidth="1"/>
    <col min="8198" max="8198" width="7.6640625" style="14" customWidth="1"/>
    <col min="8199" max="8199" width="5.6640625" style="14" customWidth="1"/>
    <col min="8200" max="8200" width="5.33203125" style="14" customWidth="1"/>
    <col min="8201" max="8202" width="6.33203125" style="14" customWidth="1"/>
    <col min="8203" max="8203" width="10.88671875" style="14" customWidth="1"/>
    <col min="8204" max="8207" width="7.6640625" style="14" customWidth="1"/>
    <col min="8208" max="8208" width="4.33203125" style="14" customWidth="1"/>
    <col min="8209" max="8210" width="7.6640625" style="14" customWidth="1"/>
    <col min="8211" max="8211" width="4.109375" style="14" customWidth="1"/>
    <col min="8212" max="8212" width="7.6640625" style="14" customWidth="1"/>
    <col min="8213" max="8213" width="4.33203125" style="14" customWidth="1"/>
    <col min="8214" max="8214" width="18.6640625" style="14" customWidth="1"/>
    <col min="8215" max="8215" width="47.77734375" style="14" customWidth="1"/>
    <col min="8216" max="8216" width="9.44140625" style="14" customWidth="1"/>
    <col min="8217" max="8445" width="9" style="14"/>
    <col min="8446" max="8446" width="6.6640625" style="14" customWidth="1"/>
    <col min="8447" max="8447" width="5.109375" style="14" customWidth="1"/>
    <col min="8448" max="8448" width="5.88671875" style="14" customWidth="1"/>
    <col min="8449" max="8449" width="29.6640625" style="14" customWidth="1"/>
    <col min="8450" max="8450" width="24.88671875" style="14" customWidth="1"/>
    <col min="8451" max="8451" width="18.44140625" style="14" customWidth="1"/>
    <col min="8452" max="8452" width="4.88671875" style="14" customWidth="1"/>
    <col min="8453" max="8453" width="6.109375" style="14" customWidth="1"/>
    <col min="8454" max="8454" width="7.6640625" style="14" customWidth="1"/>
    <col min="8455" max="8455" width="5.6640625" style="14" customWidth="1"/>
    <col min="8456" max="8456" width="5.33203125" style="14" customWidth="1"/>
    <col min="8457" max="8458" width="6.33203125" style="14" customWidth="1"/>
    <col min="8459" max="8459" width="10.88671875" style="14" customWidth="1"/>
    <col min="8460" max="8463" width="7.6640625" style="14" customWidth="1"/>
    <col min="8464" max="8464" width="4.33203125" style="14" customWidth="1"/>
    <col min="8465" max="8466" width="7.6640625" style="14" customWidth="1"/>
    <col min="8467" max="8467" width="4.109375" style="14" customWidth="1"/>
    <col min="8468" max="8468" width="7.6640625" style="14" customWidth="1"/>
    <col min="8469" max="8469" width="4.33203125" style="14" customWidth="1"/>
    <col min="8470" max="8470" width="18.6640625" style="14" customWidth="1"/>
    <col min="8471" max="8471" width="47.77734375" style="14" customWidth="1"/>
    <col min="8472" max="8472" width="9.44140625" style="14" customWidth="1"/>
    <col min="8473" max="8701" width="9" style="14"/>
    <col min="8702" max="8702" width="6.6640625" style="14" customWidth="1"/>
    <col min="8703" max="8703" width="5.109375" style="14" customWidth="1"/>
    <col min="8704" max="8704" width="5.88671875" style="14" customWidth="1"/>
    <col min="8705" max="8705" width="29.6640625" style="14" customWidth="1"/>
    <col min="8706" max="8706" width="24.88671875" style="14" customWidth="1"/>
    <col min="8707" max="8707" width="18.44140625" style="14" customWidth="1"/>
    <col min="8708" max="8708" width="4.88671875" style="14" customWidth="1"/>
    <col min="8709" max="8709" width="6.109375" style="14" customWidth="1"/>
    <col min="8710" max="8710" width="7.6640625" style="14" customWidth="1"/>
    <col min="8711" max="8711" width="5.6640625" style="14" customWidth="1"/>
    <col min="8712" max="8712" width="5.33203125" style="14" customWidth="1"/>
    <col min="8713" max="8714" width="6.33203125" style="14" customWidth="1"/>
    <col min="8715" max="8715" width="10.88671875" style="14" customWidth="1"/>
    <col min="8716" max="8719" width="7.6640625" style="14" customWidth="1"/>
    <col min="8720" max="8720" width="4.33203125" style="14" customWidth="1"/>
    <col min="8721" max="8722" width="7.6640625" style="14" customWidth="1"/>
    <col min="8723" max="8723" width="4.109375" style="14" customWidth="1"/>
    <col min="8724" max="8724" width="7.6640625" style="14" customWidth="1"/>
    <col min="8725" max="8725" width="4.33203125" style="14" customWidth="1"/>
    <col min="8726" max="8726" width="18.6640625" style="14" customWidth="1"/>
    <col min="8727" max="8727" width="47.77734375" style="14" customWidth="1"/>
    <col min="8728" max="8728" width="9.44140625" style="14" customWidth="1"/>
    <col min="8729" max="8957" width="9" style="14"/>
    <col min="8958" max="8958" width="6.6640625" style="14" customWidth="1"/>
    <col min="8959" max="8959" width="5.109375" style="14" customWidth="1"/>
    <col min="8960" max="8960" width="5.88671875" style="14" customWidth="1"/>
    <col min="8961" max="8961" width="29.6640625" style="14" customWidth="1"/>
    <col min="8962" max="8962" width="24.88671875" style="14" customWidth="1"/>
    <col min="8963" max="8963" width="18.44140625" style="14" customWidth="1"/>
    <col min="8964" max="8964" width="4.88671875" style="14" customWidth="1"/>
    <col min="8965" max="8965" width="6.109375" style="14" customWidth="1"/>
    <col min="8966" max="8966" width="7.6640625" style="14" customWidth="1"/>
    <col min="8967" max="8967" width="5.6640625" style="14" customWidth="1"/>
    <col min="8968" max="8968" width="5.33203125" style="14" customWidth="1"/>
    <col min="8969" max="8970" width="6.33203125" style="14" customWidth="1"/>
    <col min="8971" max="8971" width="10.88671875" style="14" customWidth="1"/>
    <col min="8972" max="8975" width="7.6640625" style="14" customWidth="1"/>
    <col min="8976" max="8976" width="4.33203125" style="14" customWidth="1"/>
    <col min="8977" max="8978" width="7.6640625" style="14" customWidth="1"/>
    <col min="8979" max="8979" width="4.109375" style="14" customWidth="1"/>
    <col min="8980" max="8980" width="7.6640625" style="14" customWidth="1"/>
    <col min="8981" max="8981" width="4.33203125" style="14" customWidth="1"/>
    <col min="8982" max="8982" width="18.6640625" style="14" customWidth="1"/>
    <col min="8983" max="8983" width="47.77734375" style="14" customWidth="1"/>
    <col min="8984" max="8984" width="9.44140625" style="14" customWidth="1"/>
    <col min="8985" max="9213" width="9" style="14"/>
    <col min="9214" max="9214" width="6.6640625" style="14" customWidth="1"/>
    <col min="9215" max="9215" width="5.109375" style="14" customWidth="1"/>
    <col min="9216" max="9216" width="5.88671875" style="14" customWidth="1"/>
    <col min="9217" max="9217" width="29.6640625" style="14" customWidth="1"/>
    <col min="9218" max="9218" width="24.88671875" style="14" customWidth="1"/>
    <col min="9219" max="9219" width="18.44140625" style="14" customWidth="1"/>
    <col min="9220" max="9220" width="4.88671875" style="14" customWidth="1"/>
    <col min="9221" max="9221" width="6.109375" style="14" customWidth="1"/>
    <col min="9222" max="9222" width="7.6640625" style="14" customWidth="1"/>
    <col min="9223" max="9223" width="5.6640625" style="14" customWidth="1"/>
    <col min="9224" max="9224" width="5.33203125" style="14" customWidth="1"/>
    <col min="9225" max="9226" width="6.33203125" style="14" customWidth="1"/>
    <col min="9227" max="9227" width="10.88671875" style="14" customWidth="1"/>
    <col min="9228" max="9231" width="7.6640625" style="14" customWidth="1"/>
    <col min="9232" max="9232" width="4.33203125" style="14" customWidth="1"/>
    <col min="9233" max="9234" width="7.6640625" style="14" customWidth="1"/>
    <col min="9235" max="9235" width="4.109375" style="14" customWidth="1"/>
    <col min="9236" max="9236" width="7.6640625" style="14" customWidth="1"/>
    <col min="9237" max="9237" width="4.33203125" style="14" customWidth="1"/>
    <col min="9238" max="9238" width="18.6640625" style="14" customWidth="1"/>
    <col min="9239" max="9239" width="47.77734375" style="14" customWidth="1"/>
    <col min="9240" max="9240" width="9.44140625" style="14" customWidth="1"/>
    <col min="9241" max="9469" width="9" style="14"/>
    <col min="9470" max="9470" width="6.6640625" style="14" customWidth="1"/>
    <col min="9471" max="9471" width="5.109375" style="14" customWidth="1"/>
    <col min="9472" max="9472" width="5.88671875" style="14" customWidth="1"/>
    <col min="9473" max="9473" width="29.6640625" style="14" customWidth="1"/>
    <col min="9474" max="9474" width="24.88671875" style="14" customWidth="1"/>
    <col min="9475" max="9475" width="18.44140625" style="14" customWidth="1"/>
    <col min="9476" max="9476" width="4.88671875" style="14" customWidth="1"/>
    <col min="9477" max="9477" width="6.109375" style="14" customWidth="1"/>
    <col min="9478" max="9478" width="7.6640625" style="14" customWidth="1"/>
    <col min="9479" max="9479" width="5.6640625" style="14" customWidth="1"/>
    <col min="9480" max="9480" width="5.33203125" style="14" customWidth="1"/>
    <col min="9481" max="9482" width="6.33203125" style="14" customWidth="1"/>
    <col min="9483" max="9483" width="10.88671875" style="14" customWidth="1"/>
    <col min="9484" max="9487" width="7.6640625" style="14" customWidth="1"/>
    <col min="9488" max="9488" width="4.33203125" style="14" customWidth="1"/>
    <col min="9489" max="9490" width="7.6640625" style="14" customWidth="1"/>
    <col min="9491" max="9491" width="4.109375" style="14" customWidth="1"/>
    <col min="9492" max="9492" width="7.6640625" style="14" customWidth="1"/>
    <col min="9493" max="9493" width="4.33203125" style="14" customWidth="1"/>
    <col min="9494" max="9494" width="18.6640625" style="14" customWidth="1"/>
    <col min="9495" max="9495" width="47.77734375" style="14" customWidth="1"/>
    <col min="9496" max="9496" width="9.44140625" style="14" customWidth="1"/>
    <col min="9497" max="9725" width="9" style="14"/>
    <col min="9726" max="9726" width="6.6640625" style="14" customWidth="1"/>
    <col min="9727" max="9727" width="5.109375" style="14" customWidth="1"/>
    <col min="9728" max="9728" width="5.88671875" style="14" customWidth="1"/>
    <col min="9729" max="9729" width="29.6640625" style="14" customWidth="1"/>
    <col min="9730" max="9730" width="24.88671875" style="14" customWidth="1"/>
    <col min="9731" max="9731" width="18.44140625" style="14" customWidth="1"/>
    <col min="9732" max="9732" width="4.88671875" style="14" customWidth="1"/>
    <col min="9733" max="9733" width="6.109375" style="14" customWidth="1"/>
    <col min="9734" max="9734" width="7.6640625" style="14" customWidth="1"/>
    <col min="9735" max="9735" width="5.6640625" style="14" customWidth="1"/>
    <col min="9736" max="9736" width="5.33203125" style="14" customWidth="1"/>
    <col min="9737" max="9738" width="6.33203125" style="14" customWidth="1"/>
    <col min="9739" max="9739" width="10.88671875" style="14" customWidth="1"/>
    <col min="9740" max="9743" width="7.6640625" style="14" customWidth="1"/>
    <col min="9744" max="9744" width="4.33203125" style="14" customWidth="1"/>
    <col min="9745" max="9746" width="7.6640625" style="14" customWidth="1"/>
    <col min="9747" max="9747" width="4.109375" style="14" customWidth="1"/>
    <col min="9748" max="9748" width="7.6640625" style="14" customWidth="1"/>
    <col min="9749" max="9749" width="4.33203125" style="14" customWidth="1"/>
    <col min="9750" max="9750" width="18.6640625" style="14" customWidth="1"/>
    <col min="9751" max="9751" width="47.77734375" style="14" customWidth="1"/>
    <col min="9752" max="9752" width="9.44140625" style="14" customWidth="1"/>
    <col min="9753" max="9981" width="9" style="14"/>
    <col min="9982" max="9982" width="6.6640625" style="14" customWidth="1"/>
    <col min="9983" max="9983" width="5.109375" style="14" customWidth="1"/>
    <col min="9984" max="9984" width="5.88671875" style="14" customWidth="1"/>
    <col min="9985" max="9985" width="29.6640625" style="14" customWidth="1"/>
    <col min="9986" max="9986" width="24.88671875" style="14" customWidth="1"/>
    <col min="9987" max="9987" width="18.44140625" style="14" customWidth="1"/>
    <col min="9988" max="9988" width="4.88671875" style="14" customWidth="1"/>
    <col min="9989" max="9989" width="6.109375" style="14" customWidth="1"/>
    <col min="9990" max="9990" width="7.6640625" style="14" customWidth="1"/>
    <col min="9991" max="9991" width="5.6640625" style="14" customWidth="1"/>
    <col min="9992" max="9992" width="5.33203125" style="14" customWidth="1"/>
    <col min="9993" max="9994" width="6.33203125" style="14" customWidth="1"/>
    <col min="9995" max="9995" width="10.88671875" style="14" customWidth="1"/>
    <col min="9996" max="9999" width="7.6640625" style="14" customWidth="1"/>
    <col min="10000" max="10000" width="4.33203125" style="14" customWidth="1"/>
    <col min="10001" max="10002" width="7.6640625" style="14" customWidth="1"/>
    <col min="10003" max="10003" width="4.109375" style="14" customWidth="1"/>
    <col min="10004" max="10004" width="7.6640625" style="14" customWidth="1"/>
    <col min="10005" max="10005" width="4.33203125" style="14" customWidth="1"/>
    <col min="10006" max="10006" width="18.6640625" style="14" customWidth="1"/>
    <col min="10007" max="10007" width="47.77734375" style="14" customWidth="1"/>
    <col min="10008" max="10008" width="9.44140625" style="14" customWidth="1"/>
    <col min="10009" max="10237" width="9" style="14"/>
    <col min="10238" max="10238" width="6.6640625" style="14" customWidth="1"/>
    <col min="10239" max="10239" width="5.109375" style="14" customWidth="1"/>
    <col min="10240" max="10240" width="5.88671875" style="14" customWidth="1"/>
    <col min="10241" max="10241" width="29.6640625" style="14" customWidth="1"/>
    <col min="10242" max="10242" width="24.88671875" style="14" customWidth="1"/>
    <col min="10243" max="10243" width="18.44140625" style="14" customWidth="1"/>
    <col min="10244" max="10244" width="4.88671875" style="14" customWidth="1"/>
    <col min="10245" max="10245" width="6.109375" style="14" customWidth="1"/>
    <col min="10246" max="10246" width="7.6640625" style="14" customWidth="1"/>
    <col min="10247" max="10247" width="5.6640625" style="14" customWidth="1"/>
    <col min="10248" max="10248" width="5.33203125" style="14" customWidth="1"/>
    <col min="10249" max="10250" width="6.33203125" style="14" customWidth="1"/>
    <col min="10251" max="10251" width="10.88671875" style="14" customWidth="1"/>
    <col min="10252" max="10255" width="7.6640625" style="14" customWidth="1"/>
    <col min="10256" max="10256" width="4.33203125" style="14" customWidth="1"/>
    <col min="10257" max="10258" width="7.6640625" style="14" customWidth="1"/>
    <col min="10259" max="10259" width="4.109375" style="14" customWidth="1"/>
    <col min="10260" max="10260" width="7.6640625" style="14" customWidth="1"/>
    <col min="10261" max="10261" width="4.33203125" style="14" customWidth="1"/>
    <col min="10262" max="10262" width="18.6640625" style="14" customWidth="1"/>
    <col min="10263" max="10263" width="47.77734375" style="14" customWidth="1"/>
    <col min="10264" max="10264" width="9.44140625" style="14" customWidth="1"/>
    <col min="10265" max="10493" width="9" style="14"/>
    <col min="10494" max="10494" width="6.6640625" style="14" customWidth="1"/>
    <col min="10495" max="10495" width="5.109375" style="14" customWidth="1"/>
    <col min="10496" max="10496" width="5.88671875" style="14" customWidth="1"/>
    <col min="10497" max="10497" width="29.6640625" style="14" customWidth="1"/>
    <col min="10498" max="10498" width="24.88671875" style="14" customWidth="1"/>
    <col min="10499" max="10499" width="18.44140625" style="14" customWidth="1"/>
    <col min="10500" max="10500" width="4.88671875" style="14" customWidth="1"/>
    <col min="10501" max="10501" width="6.109375" style="14" customWidth="1"/>
    <col min="10502" max="10502" width="7.6640625" style="14" customWidth="1"/>
    <col min="10503" max="10503" width="5.6640625" style="14" customWidth="1"/>
    <col min="10504" max="10504" width="5.33203125" style="14" customWidth="1"/>
    <col min="10505" max="10506" width="6.33203125" style="14" customWidth="1"/>
    <col min="10507" max="10507" width="10.88671875" style="14" customWidth="1"/>
    <col min="10508" max="10511" width="7.6640625" style="14" customWidth="1"/>
    <col min="10512" max="10512" width="4.33203125" style="14" customWidth="1"/>
    <col min="10513" max="10514" width="7.6640625" style="14" customWidth="1"/>
    <col min="10515" max="10515" width="4.109375" style="14" customWidth="1"/>
    <col min="10516" max="10516" width="7.6640625" style="14" customWidth="1"/>
    <col min="10517" max="10517" width="4.33203125" style="14" customWidth="1"/>
    <col min="10518" max="10518" width="18.6640625" style="14" customWidth="1"/>
    <col min="10519" max="10519" width="47.77734375" style="14" customWidth="1"/>
    <col min="10520" max="10520" width="9.44140625" style="14" customWidth="1"/>
    <col min="10521" max="10749" width="9" style="14"/>
    <col min="10750" max="10750" width="6.6640625" style="14" customWidth="1"/>
    <col min="10751" max="10751" width="5.109375" style="14" customWidth="1"/>
    <col min="10752" max="10752" width="5.88671875" style="14" customWidth="1"/>
    <col min="10753" max="10753" width="29.6640625" style="14" customWidth="1"/>
    <col min="10754" max="10754" width="24.88671875" style="14" customWidth="1"/>
    <col min="10755" max="10755" width="18.44140625" style="14" customWidth="1"/>
    <col min="10756" max="10756" width="4.88671875" style="14" customWidth="1"/>
    <col min="10757" max="10757" width="6.109375" style="14" customWidth="1"/>
    <col min="10758" max="10758" width="7.6640625" style="14" customWidth="1"/>
    <col min="10759" max="10759" width="5.6640625" style="14" customWidth="1"/>
    <col min="10760" max="10760" width="5.33203125" style="14" customWidth="1"/>
    <col min="10761" max="10762" width="6.33203125" style="14" customWidth="1"/>
    <col min="10763" max="10763" width="10.88671875" style="14" customWidth="1"/>
    <col min="10764" max="10767" width="7.6640625" style="14" customWidth="1"/>
    <col min="10768" max="10768" width="4.33203125" style="14" customWidth="1"/>
    <col min="10769" max="10770" width="7.6640625" style="14" customWidth="1"/>
    <col min="10771" max="10771" width="4.109375" style="14" customWidth="1"/>
    <col min="10772" max="10772" width="7.6640625" style="14" customWidth="1"/>
    <col min="10773" max="10773" width="4.33203125" style="14" customWidth="1"/>
    <col min="10774" max="10774" width="18.6640625" style="14" customWidth="1"/>
    <col min="10775" max="10775" width="47.77734375" style="14" customWidth="1"/>
    <col min="10776" max="10776" width="9.44140625" style="14" customWidth="1"/>
    <col min="10777" max="11005" width="9" style="14"/>
    <col min="11006" max="11006" width="6.6640625" style="14" customWidth="1"/>
    <col min="11007" max="11007" width="5.109375" style="14" customWidth="1"/>
    <col min="11008" max="11008" width="5.88671875" style="14" customWidth="1"/>
    <col min="11009" max="11009" width="29.6640625" style="14" customWidth="1"/>
    <col min="11010" max="11010" width="24.88671875" style="14" customWidth="1"/>
    <col min="11011" max="11011" width="18.44140625" style="14" customWidth="1"/>
    <col min="11012" max="11012" width="4.88671875" style="14" customWidth="1"/>
    <col min="11013" max="11013" width="6.109375" style="14" customWidth="1"/>
    <col min="11014" max="11014" width="7.6640625" style="14" customWidth="1"/>
    <col min="11015" max="11015" width="5.6640625" style="14" customWidth="1"/>
    <col min="11016" max="11016" width="5.33203125" style="14" customWidth="1"/>
    <col min="11017" max="11018" width="6.33203125" style="14" customWidth="1"/>
    <col min="11019" max="11019" width="10.88671875" style="14" customWidth="1"/>
    <col min="11020" max="11023" width="7.6640625" style="14" customWidth="1"/>
    <col min="11024" max="11024" width="4.33203125" style="14" customWidth="1"/>
    <col min="11025" max="11026" width="7.6640625" style="14" customWidth="1"/>
    <col min="11027" max="11027" width="4.109375" style="14" customWidth="1"/>
    <col min="11028" max="11028" width="7.6640625" style="14" customWidth="1"/>
    <col min="11029" max="11029" width="4.33203125" style="14" customWidth="1"/>
    <col min="11030" max="11030" width="18.6640625" style="14" customWidth="1"/>
    <col min="11031" max="11031" width="47.77734375" style="14" customWidth="1"/>
    <col min="11032" max="11032" width="9.44140625" style="14" customWidth="1"/>
    <col min="11033" max="11261" width="9" style="14"/>
    <col min="11262" max="11262" width="6.6640625" style="14" customWidth="1"/>
    <col min="11263" max="11263" width="5.109375" style="14" customWidth="1"/>
    <col min="11264" max="11264" width="5.88671875" style="14" customWidth="1"/>
    <col min="11265" max="11265" width="29.6640625" style="14" customWidth="1"/>
    <col min="11266" max="11266" width="24.88671875" style="14" customWidth="1"/>
    <col min="11267" max="11267" width="18.44140625" style="14" customWidth="1"/>
    <col min="11268" max="11268" width="4.88671875" style="14" customWidth="1"/>
    <col min="11269" max="11269" width="6.109375" style="14" customWidth="1"/>
    <col min="11270" max="11270" width="7.6640625" style="14" customWidth="1"/>
    <col min="11271" max="11271" width="5.6640625" style="14" customWidth="1"/>
    <col min="11272" max="11272" width="5.33203125" style="14" customWidth="1"/>
    <col min="11273" max="11274" width="6.33203125" style="14" customWidth="1"/>
    <col min="11275" max="11275" width="10.88671875" style="14" customWidth="1"/>
    <col min="11276" max="11279" width="7.6640625" style="14" customWidth="1"/>
    <col min="11280" max="11280" width="4.33203125" style="14" customWidth="1"/>
    <col min="11281" max="11282" width="7.6640625" style="14" customWidth="1"/>
    <col min="11283" max="11283" width="4.109375" style="14" customWidth="1"/>
    <col min="11284" max="11284" width="7.6640625" style="14" customWidth="1"/>
    <col min="11285" max="11285" width="4.33203125" style="14" customWidth="1"/>
    <col min="11286" max="11286" width="18.6640625" style="14" customWidth="1"/>
    <col min="11287" max="11287" width="47.77734375" style="14" customWidth="1"/>
    <col min="11288" max="11288" width="9.44140625" style="14" customWidth="1"/>
    <col min="11289" max="11517" width="9" style="14"/>
    <col min="11518" max="11518" width="6.6640625" style="14" customWidth="1"/>
    <col min="11519" max="11519" width="5.109375" style="14" customWidth="1"/>
    <col min="11520" max="11520" width="5.88671875" style="14" customWidth="1"/>
    <col min="11521" max="11521" width="29.6640625" style="14" customWidth="1"/>
    <col min="11522" max="11522" width="24.88671875" style="14" customWidth="1"/>
    <col min="11523" max="11523" width="18.44140625" style="14" customWidth="1"/>
    <col min="11524" max="11524" width="4.88671875" style="14" customWidth="1"/>
    <col min="11525" max="11525" width="6.109375" style="14" customWidth="1"/>
    <col min="11526" max="11526" width="7.6640625" style="14" customWidth="1"/>
    <col min="11527" max="11527" width="5.6640625" style="14" customWidth="1"/>
    <col min="11528" max="11528" width="5.33203125" style="14" customWidth="1"/>
    <col min="11529" max="11530" width="6.33203125" style="14" customWidth="1"/>
    <col min="11531" max="11531" width="10.88671875" style="14" customWidth="1"/>
    <col min="11532" max="11535" width="7.6640625" style="14" customWidth="1"/>
    <col min="11536" max="11536" width="4.33203125" style="14" customWidth="1"/>
    <col min="11537" max="11538" width="7.6640625" style="14" customWidth="1"/>
    <col min="11539" max="11539" width="4.109375" style="14" customWidth="1"/>
    <col min="11540" max="11540" width="7.6640625" style="14" customWidth="1"/>
    <col min="11541" max="11541" width="4.33203125" style="14" customWidth="1"/>
    <col min="11542" max="11542" width="18.6640625" style="14" customWidth="1"/>
    <col min="11543" max="11543" width="47.77734375" style="14" customWidth="1"/>
    <col min="11544" max="11544" width="9.44140625" style="14" customWidth="1"/>
    <col min="11545" max="11773" width="9" style="14"/>
    <col min="11774" max="11774" width="6.6640625" style="14" customWidth="1"/>
    <col min="11775" max="11775" width="5.109375" style="14" customWidth="1"/>
    <col min="11776" max="11776" width="5.88671875" style="14" customWidth="1"/>
    <col min="11777" max="11777" width="29.6640625" style="14" customWidth="1"/>
    <col min="11778" max="11778" width="24.88671875" style="14" customWidth="1"/>
    <col min="11779" max="11779" width="18.44140625" style="14" customWidth="1"/>
    <col min="11780" max="11780" width="4.88671875" style="14" customWidth="1"/>
    <col min="11781" max="11781" width="6.109375" style="14" customWidth="1"/>
    <col min="11782" max="11782" width="7.6640625" style="14" customWidth="1"/>
    <col min="11783" max="11783" width="5.6640625" style="14" customWidth="1"/>
    <col min="11784" max="11784" width="5.33203125" style="14" customWidth="1"/>
    <col min="11785" max="11786" width="6.33203125" style="14" customWidth="1"/>
    <col min="11787" max="11787" width="10.88671875" style="14" customWidth="1"/>
    <col min="11788" max="11791" width="7.6640625" style="14" customWidth="1"/>
    <col min="11792" max="11792" width="4.33203125" style="14" customWidth="1"/>
    <col min="11793" max="11794" width="7.6640625" style="14" customWidth="1"/>
    <col min="11795" max="11795" width="4.109375" style="14" customWidth="1"/>
    <col min="11796" max="11796" width="7.6640625" style="14" customWidth="1"/>
    <col min="11797" max="11797" width="4.33203125" style="14" customWidth="1"/>
    <col min="11798" max="11798" width="18.6640625" style="14" customWidth="1"/>
    <col min="11799" max="11799" width="47.77734375" style="14" customWidth="1"/>
    <col min="11800" max="11800" width="9.44140625" style="14" customWidth="1"/>
    <col min="11801" max="12029" width="9" style="14"/>
    <col min="12030" max="12030" width="6.6640625" style="14" customWidth="1"/>
    <col min="12031" max="12031" width="5.109375" style="14" customWidth="1"/>
    <col min="12032" max="12032" width="5.88671875" style="14" customWidth="1"/>
    <col min="12033" max="12033" width="29.6640625" style="14" customWidth="1"/>
    <col min="12034" max="12034" width="24.88671875" style="14" customWidth="1"/>
    <col min="12035" max="12035" width="18.44140625" style="14" customWidth="1"/>
    <col min="12036" max="12036" width="4.88671875" style="14" customWidth="1"/>
    <col min="12037" max="12037" width="6.109375" style="14" customWidth="1"/>
    <col min="12038" max="12038" width="7.6640625" style="14" customWidth="1"/>
    <col min="12039" max="12039" width="5.6640625" style="14" customWidth="1"/>
    <col min="12040" max="12040" width="5.33203125" style="14" customWidth="1"/>
    <col min="12041" max="12042" width="6.33203125" style="14" customWidth="1"/>
    <col min="12043" max="12043" width="10.88671875" style="14" customWidth="1"/>
    <col min="12044" max="12047" width="7.6640625" style="14" customWidth="1"/>
    <col min="12048" max="12048" width="4.33203125" style="14" customWidth="1"/>
    <col min="12049" max="12050" width="7.6640625" style="14" customWidth="1"/>
    <col min="12051" max="12051" width="4.109375" style="14" customWidth="1"/>
    <col min="12052" max="12052" width="7.6640625" style="14" customWidth="1"/>
    <col min="12053" max="12053" width="4.33203125" style="14" customWidth="1"/>
    <col min="12054" max="12054" width="18.6640625" style="14" customWidth="1"/>
    <col min="12055" max="12055" width="47.77734375" style="14" customWidth="1"/>
    <col min="12056" max="12056" width="9.44140625" style="14" customWidth="1"/>
    <col min="12057" max="12285" width="9" style="14"/>
    <col min="12286" max="12286" width="6.6640625" style="14" customWidth="1"/>
    <col min="12287" max="12287" width="5.109375" style="14" customWidth="1"/>
    <col min="12288" max="12288" width="5.88671875" style="14" customWidth="1"/>
    <col min="12289" max="12289" width="29.6640625" style="14" customWidth="1"/>
    <col min="12290" max="12290" width="24.88671875" style="14" customWidth="1"/>
    <col min="12291" max="12291" width="18.44140625" style="14" customWidth="1"/>
    <col min="12292" max="12292" width="4.88671875" style="14" customWidth="1"/>
    <col min="12293" max="12293" width="6.109375" style="14" customWidth="1"/>
    <col min="12294" max="12294" width="7.6640625" style="14" customWidth="1"/>
    <col min="12295" max="12295" width="5.6640625" style="14" customWidth="1"/>
    <col min="12296" max="12296" width="5.33203125" style="14" customWidth="1"/>
    <col min="12297" max="12298" width="6.33203125" style="14" customWidth="1"/>
    <col min="12299" max="12299" width="10.88671875" style="14" customWidth="1"/>
    <col min="12300" max="12303" width="7.6640625" style="14" customWidth="1"/>
    <col min="12304" max="12304" width="4.33203125" style="14" customWidth="1"/>
    <col min="12305" max="12306" width="7.6640625" style="14" customWidth="1"/>
    <col min="12307" max="12307" width="4.109375" style="14" customWidth="1"/>
    <col min="12308" max="12308" width="7.6640625" style="14" customWidth="1"/>
    <col min="12309" max="12309" width="4.33203125" style="14" customWidth="1"/>
    <col min="12310" max="12310" width="18.6640625" style="14" customWidth="1"/>
    <col min="12311" max="12311" width="47.77734375" style="14" customWidth="1"/>
    <col min="12312" max="12312" width="9.44140625" style="14" customWidth="1"/>
    <col min="12313" max="12541" width="9" style="14"/>
    <col min="12542" max="12542" width="6.6640625" style="14" customWidth="1"/>
    <col min="12543" max="12543" width="5.109375" style="14" customWidth="1"/>
    <col min="12544" max="12544" width="5.88671875" style="14" customWidth="1"/>
    <col min="12545" max="12545" width="29.6640625" style="14" customWidth="1"/>
    <col min="12546" max="12546" width="24.88671875" style="14" customWidth="1"/>
    <col min="12547" max="12547" width="18.44140625" style="14" customWidth="1"/>
    <col min="12548" max="12548" width="4.88671875" style="14" customWidth="1"/>
    <col min="12549" max="12549" width="6.109375" style="14" customWidth="1"/>
    <col min="12550" max="12550" width="7.6640625" style="14" customWidth="1"/>
    <col min="12551" max="12551" width="5.6640625" style="14" customWidth="1"/>
    <col min="12552" max="12552" width="5.33203125" style="14" customWidth="1"/>
    <col min="12553" max="12554" width="6.33203125" style="14" customWidth="1"/>
    <col min="12555" max="12555" width="10.88671875" style="14" customWidth="1"/>
    <col min="12556" max="12559" width="7.6640625" style="14" customWidth="1"/>
    <col min="12560" max="12560" width="4.33203125" style="14" customWidth="1"/>
    <col min="12561" max="12562" width="7.6640625" style="14" customWidth="1"/>
    <col min="12563" max="12563" width="4.109375" style="14" customWidth="1"/>
    <col min="12564" max="12564" width="7.6640625" style="14" customWidth="1"/>
    <col min="12565" max="12565" width="4.33203125" style="14" customWidth="1"/>
    <col min="12566" max="12566" width="18.6640625" style="14" customWidth="1"/>
    <col min="12567" max="12567" width="47.77734375" style="14" customWidth="1"/>
    <col min="12568" max="12568" width="9.44140625" style="14" customWidth="1"/>
    <col min="12569" max="12797" width="9" style="14"/>
    <col min="12798" max="12798" width="6.6640625" style="14" customWidth="1"/>
    <col min="12799" max="12799" width="5.109375" style="14" customWidth="1"/>
    <col min="12800" max="12800" width="5.88671875" style="14" customWidth="1"/>
    <col min="12801" max="12801" width="29.6640625" style="14" customWidth="1"/>
    <col min="12802" max="12802" width="24.88671875" style="14" customWidth="1"/>
    <col min="12803" max="12803" width="18.44140625" style="14" customWidth="1"/>
    <col min="12804" max="12804" width="4.88671875" style="14" customWidth="1"/>
    <col min="12805" max="12805" width="6.109375" style="14" customWidth="1"/>
    <col min="12806" max="12806" width="7.6640625" style="14" customWidth="1"/>
    <col min="12807" max="12807" width="5.6640625" style="14" customWidth="1"/>
    <col min="12808" max="12808" width="5.33203125" style="14" customWidth="1"/>
    <col min="12809" max="12810" width="6.33203125" style="14" customWidth="1"/>
    <col min="12811" max="12811" width="10.88671875" style="14" customWidth="1"/>
    <col min="12812" max="12815" width="7.6640625" style="14" customWidth="1"/>
    <col min="12816" max="12816" width="4.33203125" style="14" customWidth="1"/>
    <col min="12817" max="12818" width="7.6640625" style="14" customWidth="1"/>
    <col min="12819" max="12819" width="4.109375" style="14" customWidth="1"/>
    <col min="12820" max="12820" width="7.6640625" style="14" customWidth="1"/>
    <col min="12821" max="12821" width="4.33203125" style="14" customWidth="1"/>
    <col min="12822" max="12822" width="18.6640625" style="14" customWidth="1"/>
    <col min="12823" max="12823" width="47.77734375" style="14" customWidth="1"/>
    <col min="12824" max="12824" width="9.44140625" style="14" customWidth="1"/>
    <col min="12825" max="13053" width="9" style="14"/>
    <col min="13054" max="13054" width="6.6640625" style="14" customWidth="1"/>
    <col min="13055" max="13055" width="5.109375" style="14" customWidth="1"/>
    <col min="13056" max="13056" width="5.88671875" style="14" customWidth="1"/>
    <col min="13057" max="13057" width="29.6640625" style="14" customWidth="1"/>
    <col min="13058" max="13058" width="24.88671875" style="14" customWidth="1"/>
    <col min="13059" max="13059" width="18.44140625" style="14" customWidth="1"/>
    <col min="13060" max="13060" width="4.88671875" style="14" customWidth="1"/>
    <col min="13061" max="13061" width="6.109375" style="14" customWidth="1"/>
    <col min="13062" max="13062" width="7.6640625" style="14" customWidth="1"/>
    <col min="13063" max="13063" width="5.6640625" style="14" customWidth="1"/>
    <col min="13064" max="13064" width="5.33203125" style="14" customWidth="1"/>
    <col min="13065" max="13066" width="6.33203125" style="14" customWidth="1"/>
    <col min="13067" max="13067" width="10.88671875" style="14" customWidth="1"/>
    <col min="13068" max="13071" width="7.6640625" style="14" customWidth="1"/>
    <col min="13072" max="13072" width="4.33203125" style="14" customWidth="1"/>
    <col min="13073" max="13074" width="7.6640625" style="14" customWidth="1"/>
    <col min="13075" max="13075" width="4.109375" style="14" customWidth="1"/>
    <col min="13076" max="13076" width="7.6640625" style="14" customWidth="1"/>
    <col min="13077" max="13077" width="4.33203125" style="14" customWidth="1"/>
    <col min="13078" max="13078" width="18.6640625" style="14" customWidth="1"/>
    <col min="13079" max="13079" width="47.77734375" style="14" customWidth="1"/>
    <col min="13080" max="13080" width="9.44140625" style="14" customWidth="1"/>
    <col min="13081" max="13309" width="9" style="14"/>
    <col min="13310" max="13310" width="6.6640625" style="14" customWidth="1"/>
    <col min="13311" max="13311" width="5.109375" style="14" customWidth="1"/>
    <col min="13312" max="13312" width="5.88671875" style="14" customWidth="1"/>
    <col min="13313" max="13313" width="29.6640625" style="14" customWidth="1"/>
    <col min="13314" max="13314" width="24.88671875" style="14" customWidth="1"/>
    <col min="13315" max="13315" width="18.44140625" style="14" customWidth="1"/>
    <col min="13316" max="13316" width="4.88671875" style="14" customWidth="1"/>
    <col min="13317" max="13317" width="6.109375" style="14" customWidth="1"/>
    <col min="13318" max="13318" width="7.6640625" style="14" customWidth="1"/>
    <col min="13319" max="13319" width="5.6640625" style="14" customWidth="1"/>
    <col min="13320" max="13320" width="5.33203125" style="14" customWidth="1"/>
    <col min="13321" max="13322" width="6.33203125" style="14" customWidth="1"/>
    <col min="13323" max="13323" width="10.88671875" style="14" customWidth="1"/>
    <col min="13324" max="13327" width="7.6640625" style="14" customWidth="1"/>
    <col min="13328" max="13328" width="4.33203125" style="14" customWidth="1"/>
    <col min="13329" max="13330" width="7.6640625" style="14" customWidth="1"/>
    <col min="13331" max="13331" width="4.109375" style="14" customWidth="1"/>
    <col min="13332" max="13332" width="7.6640625" style="14" customWidth="1"/>
    <col min="13333" max="13333" width="4.33203125" style="14" customWidth="1"/>
    <col min="13334" max="13334" width="18.6640625" style="14" customWidth="1"/>
    <col min="13335" max="13335" width="47.77734375" style="14" customWidth="1"/>
    <col min="13336" max="13336" width="9.44140625" style="14" customWidth="1"/>
    <col min="13337" max="13565" width="9" style="14"/>
    <col min="13566" max="13566" width="6.6640625" style="14" customWidth="1"/>
    <col min="13567" max="13567" width="5.109375" style="14" customWidth="1"/>
    <col min="13568" max="13568" width="5.88671875" style="14" customWidth="1"/>
    <col min="13569" max="13569" width="29.6640625" style="14" customWidth="1"/>
    <col min="13570" max="13570" width="24.88671875" style="14" customWidth="1"/>
    <col min="13571" max="13571" width="18.44140625" style="14" customWidth="1"/>
    <col min="13572" max="13572" width="4.88671875" style="14" customWidth="1"/>
    <col min="13573" max="13573" width="6.109375" style="14" customWidth="1"/>
    <col min="13574" max="13574" width="7.6640625" style="14" customWidth="1"/>
    <col min="13575" max="13575" width="5.6640625" style="14" customWidth="1"/>
    <col min="13576" max="13576" width="5.33203125" style="14" customWidth="1"/>
    <col min="13577" max="13578" width="6.33203125" style="14" customWidth="1"/>
    <col min="13579" max="13579" width="10.88671875" style="14" customWidth="1"/>
    <col min="13580" max="13583" width="7.6640625" style="14" customWidth="1"/>
    <col min="13584" max="13584" width="4.33203125" style="14" customWidth="1"/>
    <col min="13585" max="13586" width="7.6640625" style="14" customWidth="1"/>
    <col min="13587" max="13587" width="4.109375" style="14" customWidth="1"/>
    <col min="13588" max="13588" width="7.6640625" style="14" customWidth="1"/>
    <col min="13589" max="13589" width="4.33203125" style="14" customWidth="1"/>
    <col min="13590" max="13590" width="18.6640625" style="14" customWidth="1"/>
    <col min="13591" max="13591" width="47.77734375" style="14" customWidth="1"/>
    <col min="13592" max="13592" width="9.44140625" style="14" customWidth="1"/>
    <col min="13593" max="13821" width="9" style="14"/>
    <col min="13822" max="13822" width="6.6640625" style="14" customWidth="1"/>
    <col min="13823" max="13823" width="5.109375" style="14" customWidth="1"/>
    <col min="13824" max="13824" width="5.88671875" style="14" customWidth="1"/>
    <col min="13825" max="13825" width="29.6640625" style="14" customWidth="1"/>
    <col min="13826" max="13826" width="24.88671875" style="14" customWidth="1"/>
    <col min="13827" max="13827" width="18.44140625" style="14" customWidth="1"/>
    <col min="13828" max="13828" width="4.88671875" style="14" customWidth="1"/>
    <col min="13829" max="13829" width="6.109375" style="14" customWidth="1"/>
    <col min="13830" max="13830" width="7.6640625" style="14" customWidth="1"/>
    <col min="13831" max="13831" width="5.6640625" style="14" customWidth="1"/>
    <col min="13832" max="13832" width="5.33203125" style="14" customWidth="1"/>
    <col min="13833" max="13834" width="6.33203125" style="14" customWidth="1"/>
    <col min="13835" max="13835" width="10.88671875" style="14" customWidth="1"/>
    <col min="13836" max="13839" width="7.6640625" style="14" customWidth="1"/>
    <col min="13840" max="13840" width="4.33203125" style="14" customWidth="1"/>
    <col min="13841" max="13842" width="7.6640625" style="14" customWidth="1"/>
    <col min="13843" max="13843" width="4.109375" style="14" customWidth="1"/>
    <col min="13844" max="13844" width="7.6640625" style="14" customWidth="1"/>
    <col min="13845" max="13845" width="4.33203125" style="14" customWidth="1"/>
    <col min="13846" max="13846" width="18.6640625" style="14" customWidth="1"/>
    <col min="13847" max="13847" width="47.77734375" style="14" customWidth="1"/>
    <col min="13848" max="13848" width="9.44140625" style="14" customWidth="1"/>
    <col min="13849" max="14077" width="9" style="14"/>
    <col min="14078" max="14078" width="6.6640625" style="14" customWidth="1"/>
    <col min="14079" max="14079" width="5.109375" style="14" customWidth="1"/>
    <col min="14080" max="14080" width="5.88671875" style="14" customWidth="1"/>
    <col min="14081" max="14081" width="29.6640625" style="14" customWidth="1"/>
    <col min="14082" max="14082" width="24.88671875" style="14" customWidth="1"/>
    <col min="14083" max="14083" width="18.44140625" style="14" customWidth="1"/>
    <col min="14084" max="14084" width="4.88671875" style="14" customWidth="1"/>
    <col min="14085" max="14085" width="6.109375" style="14" customWidth="1"/>
    <col min="14086" max="14086" width="7.6640625" style="14" customWidth="1"/>
    <col min="14087" max="14087" width="5.6640625" style="14" customWidth="1"/>
    <col min="14088" max="14088" width="5.33203125" style="14" customWidth="1"/>
    <col min="14089" max="14090" width="6.33203125" style="14" customWidth="1"/>
    <col min="14091" max="14091" width="10.88671875" style="14" customWidth="1"/>
    <col min="14092" max="14095" width="7.6640625" style="14" customWidth="1"/>
    <col min="14096" max="14096" width="4.33203125" style="14" customWidth="1"/>
    <col min="14097" max="14098" width="7.6640625" style="14" customWidth="1"/>
    <col min="14099" max="14099" width="4.109375" style="14" customWidth="1"/>
    <col min="14100" max="14100" width="7.6640625" style="14" customWidth="1"/>
    <col min="14101" max="14101" width="4.33203125" style="14" customWidth="1"/>
    <col min="14102" max="14102" width="18.6640625" style="14" customWidth="1"/>
    <col min="14103" max="14103" width="47.77734375" style="14" customWidth="1"/>
    <col min="14104" max="14104" width="9.44140625" style="14" customWidth="1"/>
    <col min="14105" max="14333" width="9" style="14"/>
    <col min="14334" max="14334" width="6.6640625" style="14" customWidth="1"/>
    <col min="14335" max="14335" width="5.109375" style="14" customWidth="1"/>
    <col min="14336" max="14336" width="5.88671875" style="14" customWidth="1"/>
    <col min="14337" max="14337" width="29.6640625" style="14" customWidth="1"/>
    <col min="14338" max="14338" width="24.88671875" style="14" customWidth="1"/>
    <col min="14339" max="14339" width="18.44140625" style="14" customWidth="1"/>
    <col min="14340" max="14340" width="4.88671875" style="14" customWidth="1"/>
    <col min="14341" max="14341" width="6.109375" style="14" customWidth="1"/>
    <col min="14342" max="14342" width="7.6640625" style="14" customWidth="1"/>
    <col min="14343" max="14343" width="5.6640625" style="14" customWidth="1"/>
    <col min="14344" max="14344" width="5.33203125" style="14" customWidth="1"/>
    <col min="14345" max="14346" width="6.33203125" style="14" customWidth="1"/>
    <col min="14347" max="14347" width="10.88671875" style="14" customWidth="1"/>
    <col min="14348" max="14351" width="7.6640625" style="14" customWidth="1"/>
    <col min="14352" max="14352" width="4.33203125" style="14" customWidth="1"/>
    <col min="14353" max="14354" width="7.6640625" style="14" customWidth="1"/>
    <col min="14355" max="14355" width="4.109375" style="14" customWidth="1"/>
    <col min="14356" max="14356" width="7.6640625" style="14" customWidth="1"/>
    <col min="14357" max="14357" width="4.33203125" style="14" customWidth="1"/>
    <col min="14358" max="14358" width="18.6640625" style="14" customWidth="1"/>
    <col min="14359" max="14359" width="47.77734375" style="14" customWidth="1"/>
    <col min="14360" max="14360" width="9.44140625" style="14" customWidth="1"/>
    <col min="14361" max="14589" width="9" style="14"/>
    <col min="14590" max="14590" width="6.6640625" style="14" customWidth="1"/>
    <col min="14591" max="14591" width="5.109375" style="14" customWidth="1"/>
    <col min="14592" max="14592" width="5.88671875" style="14" customWidth="1"/>
    <col min="14593" max="14593" width="29.6640625" style="14" customWidth="1"/>
    <col min="14594" max="14594" width="24.88671875" style="14" customWidth="1"/>
    <col min="14595" max="14595" width="18.44140625" style="14" customWidth="1"/>
    <col min="14596" max="14596" width="4.88671875" style="14" customWidth="1"/>
    <col min="14597" max="14597" width="6.109375" style="14" customWidth="1"/>
    <col min="14598" max="14598" width="7.6640625" style="14" customWidth="1"/>
    <col min="14599" max="14599" width="5.6640625" style="14" customWidth="1"/>
    <col min="14600" max="14600" width="5.33203125" style="14" customWidth="1"/>
    <col min="14601" max="14602" width="6.33203125" style="14" customWidth="1"/>
    <col min="14603" max="14603" width="10.88671875" style="14" customWidth="1"/>
    <col min="14604" max="14607" width="7.6640625" style="14" customWidth="1"/>
    <col min="14608" max="14608" width="4.33203125" style="14" customWidth="1"/>
    <col min="14609" max="14610" width="7.6640625" style="14" customWidth="1"/>
    <col min="14611" max="14611" width="4.109375" style="14" customWidth="1"/>
    <col min="14612" max="14612" width="7.6640625" style="14" customWidth="1"/>
    <col min="14613" max="14613" width="4.33203125" style="14" customWidth="1"/>
    <col min="14614" max="14614" width="18.6640625" style="14" customWidth="1"/>
    <col min="14615" max="14615" width="47.77734375" style="14" customWidth="1"/>
    <col min="14616" max="14616" width="9.44140625" style="14" customWidth="1"/>
    <col min="14617" max="14845" width="9" style="14"/>
    <col min="14846" max="14846" width="6.6640625" style="14" customWidth="1"/>
    <col min="14847" max="14847" width="5.109375" style="14" customWidth="1"/>
    <col min="14848" max="14848" width="5.88671875" style="14" customWidth="1"/>
    <col min="14849" max="14849" width="29.6640625" style="14" customWidth="1"/>
    <col min="14850" max="14850" width="24.88671875" style="14" customWidth="1"/>
    <col min="14851" max="14851" width="18.44140625" style="14" customWidth="1"/>
    <col min="14852" max="14852" width="4.88671875" style="14" customWidth="1"/>
    <col min="14853" max="14853" width="6.109375" style="14" customWidth="1"/>
    <col min="14854" max="14854" width="7.6640625" style="14" customWidth="1"/>
    <col min="14855" max="14855" width="5.6640625" style="14" customWidth="1"/>
    <col min="14856" max="14856" width="5.33203125" style="14" customWidth="1"/>
    <col min="14857" max="14858" width="6.33203125" style="14" customWidth="1"/>
    <col min="14859" max="14859" width="10.88671875" style="14" customWidth="1"/>
    <col min="14860" max="14863" width="7.6640625" style="14" customWidth="1"/>
    <col min="14864" max="14864" width="4.33203125" style="14" customWidth="1"/>
    <col min="14865" max="14866" width="7.6640625" style="14" customWidth="1"/>
    <col min="14867" max="14867" width="4.109375" style="14" customWidth="1"/>
    <col min="14868" max="14868" width="7.6640625" style="14" customWidth="1"/>
    <col min="14869" max="14869" width="4.33203125" style="14" customWidth="1"/>
    <col min="14870" max="14870" width="18.6640625" style="14" customWidth="1"/>
    <col min="14871" max="14871" width="47.77734375" style="14" customWidth="1"/>
    <col min="14872" max="14872" width="9.44140625" style="14" customWidth="1"/>
    <col min="14873" max="15101" width="9" style="14"/>
    <col min="15102" max="15102" width="6.6640625" style="14" customWidth="1"/>
    <col min="15103" max="15103" width="5.109375" style="14" customWidth="1"/>
    <col min="15104" max="15104" width="5.88671875" style="14" customWidth="1"/>
    <col min="15105" max="15105" width="29.6640625" style="14" customWidth="1"/>
    <col min="15106" max="15106" width="24.88671875" style="14" customWidth="1"/>
    <col min="15107" max="15107" width="18.44140625" style="14" customWidth="1"/>
    <col min="15108" max="15108" width="4.88671875" style="14" customWidth="1"/>
    <col min="15109" max="15109" width="6.109375" style="14" customWidth="1"/>
    <col min="15110" max="15110" width="7.6640625" style="14" customWidth="1"/>
    <col min="15111" max="15111" width="5.6640625" style="14" customWidth="1"/>
    <col min="15112" max="15112" width="5.33203125" style="14" customWidth="1"/>
    <col min="15113" max="15114" width="6.33203125" style="14" customWidth="1"/>
    <col min="15115" max="15115" width="10.88671875" style="14" customWidth="1"/>
    <col min="15116" max="15119" width="7.6640625" style="14" customWidth="1"/>
    <col min="15120" max="15120" width="4.33203125" style="14" customWidth="1"/>
    <col min="15121" max="15122" width="7.6640625" style="14" customWidth="1"/>
    <col min="15123" max="15123" width="4.109375" style="14" customWidth="1"/>
    <col min="15124" max="15124" width="7.6640625" style="14" customWidth="1"/>
    <col min="15125" max="15125" width="4.33203125" style="14" customWidth="1"/>
    <col min="15126" max="15126" width="18.6640625" style="14" customWidth="1"/>
    <col min="15127" max="15127" width="47.77734375" style="14" customWidth="1"/>
    <col min="15128" max="15128" width="9.44140625" style="14" customWidth="1"/>
    <col min="15129" max="15357" width="9" style="14"/>
    <col min="15358" max="15358" width="6.6640625" style="14" customWidth="1"/>
    <col min="15359" max="15359" width="5.109375" style="14" customWidth="1"/>
    <col min="15360" max="15360" width="5.88671875" style="14" customWidth="1"/>
    <col min="15361" max="15361" width="29.6640625" style="14" customWidth="1"/>
    <col min="15362" max="15362" width="24.88671875" style="14" customWidth="1"/>
    <col min="15363" max="15363" width="18.44140625" style="14" customWidth="1"/>
    <col min="15364" max="15364" width="4.88671875" style="14" customWidth="1"/>
    <col min="15365" max="15365" width="6.109375" style="14" customWidth="1"/>
    <col min="15366" max="15366" width="7.6640625" style="14" customWidth="1"/>
    <col min="15367" max="15367" width="5.6640625" style="14" customWidth="1"/>
    <col min="15368" max="15368" width="5.33203125" style="14" customWidth="1"/>
    <col min="15369" max="15370" width="6.33203125" style="14" customWidth="1"/>
    <col min="15371" max="15371" width="10.88671875" style="14" customWidth="1"/>
    <col min="15372" max="15375" width="7.6640625" style="14" customWidth="1"/>
    <col min="15376" max="15376" width="4.33203125" style="14" customWidth="1"/>
    <col min="15377" max="15378" width="7.6640625" style="14" customWidth="1"/>
    <col min="15379" max="15379" width="4.109375" style="14" customWidth="1"/>
    <col min="15380" max="15380" width="7.6640625" style="14" customWidth="1"/>
    <col min="15381" max="15381" width="4.33203125" style="14" customWidth="1"/>
    <col min="15382" max="15382" width="18.6640625" style="14" customWidth="1"/>
    <col min="15383" max="15383" width="47.77734375" style="14" customWidth="1"/>
    <col min="15384" max="15384" width="9.44140625" style="14" customWidth="1"/>
    <col min="15385" max="15613" width="9" style="14"/>
    <col min="15614" max="15614" width="6.6640625" style="14" customWidth="1"/>
    <col min="15615" max="15615" width="5.109375" style="14" customWidth="1"/>
    <col min="15616" max="15616" width="5.88671875" style="14" customWidth="1"/>
    <col min="15617" max="15617" width="29.6640625" style="14" customWidth="1"/>
    <col min="15618" max="15618" width="24.88671875" style="14" customWidth="1"/>
    <col min="15619" max="15619" width="18.44140625" style="14" customWidth="1"/>
    <col min="15620" max="15620" width="4.88671875" style="14" customWidth="1"/>
    <col min="15621" max="15621" width="6.109375" style="14" customWidth="1"/>
    <col min="15622" max="15622" width="7.6640625" style="14" customWidth="1"/>
    <col min="15623" max="15623" width="5.6640625" style="14" customWidth="1"/>
    <col min="15624" max="15624" width="5.33203125" style="14" customWidth="1"/>
    <col min="15625" max="15626" width="6.33203125" style="14" customWidth="1"/>
    <col min="15627" max="15627" width="10.88671875" style="14" customWidth="1"/>
    <col min="15628" max="15631" width="7.6640625" style="14" customWidth="1"/>
    <col min="15632" max="15632" width="4.33203125" style="14" customWidth="1"/>
    <col min="15633" max="15634" width="7.6640625" style="14" customWidth="1"/>
    <col min="15635" max="15635" width="4.109375" style="14" customWidth="1"/>
    <col min="15636" max="15636" width="7.6640625" style="14" customWidth="1"/>
    <col min="15637" max="15637" width="4.33203125" style="14" customWidth="1"/>
    <col min="15638" max="15638" width="18.6640625" style="14" customWidth="1"/>
    <col min="15639" max="15639" width="47.77734375" style="14" customWidth="1"/>
    <col min="15640" max="15640" width="9.44140625" style="14" customWidth="1"/>
    <col min="15641" max="15869" width="9" style="14"/>
    <col min="15870" max="15870" width="6.6640625" style="14" customWidth="1"/>
    <col min="15871" max="15871" width="5.109375" style="14" customWidth="1"/>
    <col min="15872" max="15872" width="5.88671875" style="14" customWidth="1"/>
    <col min="15873" max="15873" width="29.6640625" style="14" customWidth="1"/>
    <col min="15874" max="15874" width="24.88671875" style="14" customWidth="1"/>
    <col min="15875" max="15875" width="18.44140625" style="14" customWidth="1"/>
    <col min="15876" max="15876" width="4.88671875" style="14" customWidth="1"/>
    <col min="15877" max="15877" width="6.109375" style="14" customWidth="1"/>
    <col min="15878" max="15878" width="7.6640625" style="14" customWidth="1"/>
    <col min="15879" max="15879" width="5.6640625" style="14" customWidth="1"/>
    <col min="15880" max="15880" width="5.33203125" style="14" customWidth="1"/>
    <col min="15881" max="15882" width="6.33203125" style="14" customWidth="1"/>
    <col min="15883" max="15883" width="10.88671875" style="14" customWidth="1"/>
    <col min="15884" max="15887" width="7.6640625" style="14" customWidth="1"/>
    <col min="15888" max="15888" width="4.33203125" style="14" customWidth="1"/>
    <col min="15889" max="15890" width="7.6640625" style="14" customWidth="1"/>
    <col min="15891" max="15891" width="4.109375" style="14" customWidth="1"/>
    <col min="15892" max="15892" width="7.6640625" style="14" customWidth="1"/>
    <col min="15893" max="15893" width="4.33203125" style="14" customWidth="1"/>
    <col min="15894" max="15894" width="18.6640625" style="14" customWidth="1"/>
    <col min="15895" max="15895" width="47.77734375" style="14" customWidth="1"/>
    <col min="15896" max="15896" width="9.44140625" style="14" customWidth="1"/>
    <col min="15897" max="16125" width="9" style="14"/>
    <col min="16126" max="16126" width="6.6640625" style="14" customWidth="1"/>
    <col min="16127" max="16127" width="5.109375" style="14" customWidth="1"/>
    <col min="16128" max="16128" width="5.88671875" style="14" customWidth="1"/>
    <col min="16129" max="16129" width="29.6640625" style="14" customWidth="1"/>
    <col min="16130" max="16130" width="24.88671875" style="14" customWidth="1"/>
    <col min="16131" max="16131" width="18.44140625" style="14" customWidth="1"/>
    <col min="16132" max="16132" width="4.88671875" style="14" customWidth="1"/>
    <col min="16133" max="16133" width="6.109375" style="14" customWidth="1"/>
    <col min="16134" max="16134" width="7.6640625" style="14" customWidth="1"/>
    <col min="16135" max="16135" width="5.6640625" style="14" customWidth="1"/>
    <col min="16136" max="16136" width="5.33203125" style="14" customWidth="1"/>
    <col min="16137" max="16138" width="6.33203125" style="14" customWidth="1"/>
    <col min="16139" max="16139" width="10.88671875" style="14" customWidth="1"/>
    <col min="16140" max="16143" width="7.6640625" style="14" customWidth="1"/>
    <col min="16144" max="16144" width="4.33203125" style="14" customWidth="1"/>
    <col min="16145" max="16146" width="7.6640625" style="14" customWidth="1"/>
    <col min="16147" max="16147" width="4.109375" style="14" customWidth="1"/>
    <col min="16148" max="16148" width="7.6640625" style="14" customWidth="1"/>
    <col min="16149" max="16149" width="4.33203125" style="14" customWidth="1"/>
    <col min="16150" max="16150" width="18.6640625" style="14" customWidth="1"/>
    <col min="16151" max="16151" width="47.77734375" style="14" customWidth="1"/>
    <col min="16152" max="16152" width="9.44140625" style="14" customWidth="1"/>
    <col min="16153" max="16384" width="9" style="14"/>
  </cols>
  <sheetData>
    <row r="1" spans="1:32" ht="36" customHeight="1" x14ac:dyDescent="0.25">
      <c r="A1" s="15" t="s">
        <v>75</v>
      </c>
      <c r="B1" s="16" t="s">
        <v>76</v>
      </c>
      <c r="C1" s="16" t="s">
        <v>77</v>
      </c>
      <c r="D1" s="16" t="s">
        <v>78</v>
      </c>
      <c r="E1" s="16" t="s">
        <v>79</v>
      </c>
      <c r="F1" s="19" t="s">
        <v>80</v>
      </c>
      <c r="G1" s="19" t="s">
        <v>2553</v>
      </c>
      <c r="H1" s="16" t="s">
        <v>81</v>
      </c>
      <c r="I1" s="16" t="s">
        <v>82</v>
      </c>
      <c r="J1" s="16" t="s">
        <v>2408</v>
      </c>
      <c r="K1" s="16" t="s">
        <v>83</v>
      </c>
      <c r="L1" s="16" t="s">
        <v>84</v>
      </c>
      <c r="M1" s="16" t="s">
        <v>85</v>
      </c>
      <c r="N1" s="16" t="s">
        <v>86</v>
      </c>
      <c r="O1" s="16" t="s">
        <v>87</v>
      </c>
      <c r="P1" s="16" t="s">
        <v>88</v>
      </c>
      <c r="Q1" s="16" t="s">
        <v>1844</v>
      </c>
      <c r="R1" s="16" t="s">
        <v>2541</v>
      </c>
      <c r="S1" s="16" t="s">
        <v>89</v>
      </c>
      <c r="T1" s="16" t="s">
        <v>90</v>
      </c>
      <c r="U1" s="26" t="s">
        <v>2542</v>
      </c>
      <c r="V1" s="16" t="s">
        <v>91</v>
      </c>
      <c r="W1" s="16" t="s">
        <v>92</v>
      </c>
      <c r="X1" s="16" t="s">
        <v>93</v>
      </c>
      <c r="Y1" s="16" t="s">
        <v>94</v>
      </c>
      <c r="Z1" s="16" t="s">
        <v>95</v>
      </c>
      <c r="AA1" s="77" t="s">
        <v>96</v>
      </c>
      <c r="AB1" s="25" t="s">
        <v>97</v>
      </c>
    </row>
    <row r="2" spans="1:32" ht="23.1" customHeight="1" x14ac:dyDescent="0.25">
      <c r="A2" s="53" t="s">
        <v>104</v>
      </c>
      <c r="B2" s="25" t="s">
        <v>99</v>
      </c>
      <c r="C2" s="31">
        <v>21</v>
      </c>
      <c r="D2" s="25" t="s">
        <v>2559</v>
      </c>
      <c r="E2" s="25" t="s">
        <v>106</v>
      </c>
      <c r="F2" s="21" t="s">
        <v>106</v>
      </c>
      <c r="G2" s="21" t="str">
        <f>VLOOKUP(D2,[6]成飞半成品!$A:$B,2,0)</f>
        <v>管接头</v>
      </c>
      <c r="H2" s="78" t="s">
        <v>107</v>
      </c>
      <c r="I2" s="25">
        <v>20</v>
      </c>
      <c r="J2" s="25" t="s">
        <v>2409</v>
      </c>
      <c r="K2" s="25"/>
      <c r="L2" s="25">
        <v>1</v>
      </c>
      <c r="M2" s="31"/>
      <c r="N2" s="31">
        <v>31</v>
      </c>
      <c r="O2" s="77" t="s">
        <v>108</v>
      </c>
      <c r="P2" s="25"/>
      <c r="Q2" s="25">
        <v>1320</v>
      </c>
      <c r="R2" s="25">
        <v>120</v>
      </c>
      <c r="S2" s="25"/>
      <c r="T2" s="25"/>
      <c r="U2" s="25">
        <v>120</v>
      </c>
      <c r="V2" s="25"/>
      <c r="W2" s="25"/>
      <c r="X2" s="25"/>
      <c r="Y2" s="79">
        <v>22</v>
      </c>
      <c r="Z2" s="25" t="s">
        <v>58</v>
      </c>
      <c r="AA2" s="25"/>
      <c r="AB2" s="25"/>
    </row>
    <row r="3" spans="1:32" ht="23.1" customHeight="1" x14ac:dyDescent="0.25">
      <c r="A3" s="80" t="s">
        <v>98</v>
      </c>
      <c r="B3" s="73" t="s">
        <v>99</v>
      </c>
      <c r="C3" s="81">
        <v>22</v>
      </c>
      <c r="D3" s="73" t="s">
        <v>100</v>
      </c>
      <c r="E3" s="73" t="s">
        <v>101</v>
      </c>
      <c r="F3" s="71" t="s">
        <v>101</v>
      </c>
      <c r="G3" s="21" t="str">
        <f>VLOOKUP(D3,[6]成飞半成品!$A:$B,2,0)</f>
        <v>前梁一段</v>
      </c>
      <c r="H3" s="73" t="s">
        <v>102</v>
      </c>
      <c r="I3" s="73">
        <v>30</v>
      </c>
      <c r="J3" s="73"/>
      <c r="K3" s="73">
        <v>0.2</v>
      </c>
      <c r="L3" s="73">
        <v>0.2</v>
      </c>
      <c r="M3" s="81"/>
      <c r="N3" s="81">
        <v>31</v>
      </c>
      <c r="O3" s="82" t="s">
        <v>103</v>
      </c>
      <c r="P3" s="73"/>
      <c r="Q3" s="25">
        <v>6000</v>
      </c>
      <c r="R3" s="73"/>
      <c r="S3" s="73"/>
      <c r="T3" s="73"/>
      <c r="U3" s="73"/>
      <c r="V3" s="73"/>
      <c r="W3" s="73"/>
      <c r="X3" s="73"/>
      <c r="Y3" s="79">
        <v>20</v>
      </c>
      <c r="Z3" s="73" t="s">
        <v>58</v>
      </c>
      <c r="AA3" s="73"/>
      <c r="AB3" s="73"/>
      <c r="AC3" s="73"/>
      <c r="AD3" s="73">
        <v>1</v>
      </c>
      <c r="AE3" s="73"/>
      <c r="AF3" s="73"/>
    </row>
    <row r="4" spans="1:32" ht="23.1" customHeight="1" x14ac:dyDescent="0.25">
      <c r="A4" s="53" t="s">
        <v>109</v>
      </c>
      <c r="B4" s="25" t="s">
        <v>110</v>
      </c>
      <c r="C4" s="31">
        <v>22</v>
      </c>
      <c r="D4" s="25" t="s">
        <v>111</v>
      </c>
      <c r="E4" s="25" t="s">
        <v>101</v>
      </c>
      <c r="F4" s="21" t="s">
        <v>101</v>
      </c>
      <c r="G4" s="21" t="str">
        <f>VLOOKUP(D4,[6]成飞半成品!$A:$B,2,0)</f>
        <v>前梁一段</v>
      </c>
      <c r="H4" s="25" t="s">
        <v>102</v>
      </c>
      <c r="I4" s="25">
        <v>30</v>
      </c>
      <c r="J4" s="25" t="s">
        <v>2410</v>
      </c>
      <c r="K4" s="25">
        <v>0.15</v>
      </c>
      <c r="L4" s="25">
        <v>0</v>
      </c>
      <c r="M4" s="31"/>
      <c r="N4" s="31">
        <v>26</v>
      </c>
      <c r="O4" s="77" t="s">
        <v>103</v>
      </c>
      <c r="P4" s="25"/>
      <c r="Q4" s="25">
        <v>6000</v>
      </c>
      <c r="R4" s="25">
        <v>180</v>
      </c>
      <c r="S4" s="25"/>
      <c r="T4" s="25">
        <v>1</v>
      </c>
      <c r="U4" s="25">
        <v>180</v>
      </c>
      <c r="V4" s="31"/>
      <c r="W4" s="25">
        <v>1</v>
      </c>
      <c r="X4" s="25">
        <v>7</v>
      </c>
      <c r="Y4" s="79">
        <v>13</v>
      </c>
      <c r="Z4" s="25" t="s">
        <v>49</v>
      </c>
      <c r="AA4" s="25" t="s">
        <v>112</v>
      </c>
      <c r="AB4" s="25"/>
    </row>
    <row r="5" spans="1:32" ht="23.1" customHeight="1" x14ac:dyDescent="0.25">
      <c r="A5" s="53" t="s">
        <v>109</v>
      </c>
      <c r="B5" s="25" t="s">
        <v>113</v>
      </c>
      <c r="C5" s="31">
        <v>22</v>
      </c>
      <c r="D5" s="25" t="s">
        <v>111</v>
      </c>
      <c r="E5" s="25" t="s">
        <v>101</v>
      </c>
      <c r="F5" s="21" t="s">
        <v>101</v>
      </c>
      <c r="G5" s="21" t="str">
        <f>VLOOKUP(D5,[6]成飞半成品!$A:$B,2,0)</f>
        <v>前梁一段</v>
      </c>
      <c r="H5" s="25" t="s">
        <v>102</v>
      </c>
      <c r="I5" s="25">
        <v>30</v>
      </c>
      <c r="J5" s="25" t="s">
        <v>1873</v>
      </c>
      <c r="K5" s="25">
        <v>0.15</v>
      </c>
      <c r="L5" s="25">
        <v>0.2</v>
      </c>
      <c r="M5" s="31"/>
      <c r="N5" s="31">
        <v>26</v>
      </c>
      <c r="O5" s="77" t="s">
        <v>103</v>
      </c>
      <c r="P5" s="25"/>
      <c r="Q5" s="25">
        <v>6000</v>
      </c>
      <c r="R5" s="25">
        <v>180</v>
      </c>
      <c r="S5" s="25"/>
      <c r="T5" s="25"/>
      <c r="U5" s="25">
        <v>180</v>
      </c>
      <c r="V5" s="31"/>
      <c r="W5" s="25"/>
      <c r="X5" s="25"/>
      <c r="Y5" s="79">
        <v>20</v>
      </c>
      <c r="Z5" s="25" t="s">
        <v>49</v>
      </c>
      <c r="AA5" s="25"/>
      <c r="AB5" s="25"/>
    </row>
    <row r="6" spans="1:32" ht="23.1" customHeight="1" x14ac:dyDescent="0.25">
      <c r="A6" s="53" t="s">
        <v>114</v>
      </c>
      <c r="B6" s="25" t="s">
        <v>110</v>
      </c>
      <c r="C6" s="31">
        <v>22</v>
      </c>
      <c r="D6" s="25" t="s">
        <v>111</v>
      </c>
      <c r="E6" s="25" t="s">
        <v>101</v>
      </c>
      <c r="F6" s="21" t="s">
        <v>101</v>
      </c>
      <c r="G6" s="21" t="str">
        <f>VLOOKUP(D6,[6]成飞半成品!$A:$B,2,0)</f>
        <v>前梁一段</v>
      </c>
      <c r="H6" s="25" t="s">
        <v>102</v>
      </c>
      <c r="I6" s="25">
        <v>30</v>
      </c>
      <c r="J6" s="25" t="s">
        <v>2377</v>
      </c>
      <c r="K6" s="25">
        <v>0.15</v>
      </c>
      <c r="L6" s="25">
        <v>0.2</v>
      </c>
      <c r="M6" s="31"/>
      <c r="N6" s="31">
        <v>26</v>
      </c>
      <c r="O6" s="77" t="s">
        <v>103</v>
      </c>
      <c r="P6" s="25"/>
      <c r="Q6" s="25">
        <v>6000</v>
      </c>
      <c r="R6" s="25">
        <v>180</v>
      </c>
      <c r="S6" s="25"/>
      <c r="T6" s="25"/>
      <c r="U6" s="25">
        <v>180</v>
      </c>
      <c r="V6" s="31"/>
      <c r="W6" s="25"/>
      <c r="X6" s="25"/>
      <c r="Y6" s="79">
        <v>20</v>
      </c>
      <c r="Z6" s="25" t="s">
        <v>49</v>
      </c>
      <c r="AA6" s="25"/>
      <c r="AB6" s="25"/>
    </row>
    <row r="7" spans="1:32" ht="23.1" customHeight="1" x14ac:dyDescent="0.25">
      <c r="A7" s="53" t="s">
        <v>115</v>
      </c>
      <c r="B7" s="25" t="s">
        <v>110</v>
      </c>
      <c r="C7" s="31">
        <v>91</v>
      </c>
      <c r="D7" s="25" t="s">
        <v>1841</v>
      </c>
      <c r="E7" s="25" t="s">
        <v>117</v>
      </c>
      <c r="F7" s="21" t="s">
        <v>117</v>
      </c>
      <c r="G7" s="21" t="str">
        <f>VLOOKUP(D7,[6]成飞半成品!$A:$B,2,0)</f>
        <v>7820~8270侧上梁</v>
      </c>
      <c r="H7" s="25" t="s">
        <v>118</v>
      </c>
      <c r="I7" s="25">
        <v>40</v>
      </c>
      <c r="J7" s="25" t="s">
        <v>1881</v>
      </c>
      <c r="K7" s="25">
        <v>2</v>
      </c>
      <c r="L7" s="25">
        <v>2</v>
      </c>
      <c r="M7" s="31">
        <v>23</v>
      </c>
      <c r="N7" s="31">
        <v>19</v>
      </c>
      <c r="O7" s="77" t="s">
        <v>119</v>
      </c>
      <c r="P7" s="25"/>
      <c r="Q7" s="25">
        <v>450</v>
      </c>
      <c r="R7" s="25">
        <v>60</v>
      </c>
      <c r="S7" s="25"/>
      <c r="T7" s="25">
        <v>2</v>
      </c>
      <c r="U7" s="25">
        <v>120</v>
      </c>
      <c r="V7" s="25"/>
      <c r="W7" s="25"/>
      <c r="X7" s="25"/>
      <c r="Y7" s="79">
        <v>17</v>
      </c>
      <c r="Z7" s="25" t="s">
        <v>52</v>
      </c>
      <c r="AA7" s="25"/>
      <c r="AB7" s="25"/>
    </row>
    <row r="8" spans="1:32" ht="23.1" customHeight="1" x14ac:dyDescent="0.25">
      <c r="A8" s="53" t="s">
        <v>115</v>
      </c>
      <c r="B8" s="25" t="s">
        <v>110</v>
      </c>
      <c r="C8" s="31">
        <v>121</v>
      </c>
      <c r="D8" s="25" t="s">
        <v>2551</v>
      </c>
      <c r="E8" s="25" t="s">
        <v>120</v>
      </c>
      <c r="F8" s="21" t="e">
        <v>#N/A</v>
      </c>
      <c r="G8" s="21" t="str">
        <f>VLOOKUP(D8,[6]成飞半成品!$A:$B,2,0)</f>
        <v>工装</v>
      </c>
      <c r="H8" s="25" t="s">
        <v>102</v>
      </c>
      <c r="I8" s="25" t="s">
        <v>108</v>
      </c>
      <c r="J8" s="25"/>
      <c r="K8" s="25"/>
      <c r="L8" s="25">
        <v>1</v>
      </c>
      <c r="M8" s="31">
        <v>5</v>
      </c>
      <c r="N8" s="31">
        <v>5</v>
      </c>
      <c r="O8" s="77" t="s">
        <v>108</v>
      </c>
      <c r="P8" s="25"/>
      <c r="Q8" s="25"/>
      <c r="R8" s="25"/>
      <c r="S8" s="25"/>
      <c r="T8" s="25"/>
      <c r="U8" s="25"/>
      <c r="V8" s="25"/>
      <c r="W8" s="25"/>
      <c r="X8" s="25">
        <v>8</v>
      </c>
      <c r="Y8" s="79">
        <v>8</v>
      </c>
      <c r="Z8" s="25" t="s">
        <v>52</v>
      </c>
      <c r="AA8" s="25"/>
      <c r="AB8" s="25"/>
    </row>
    <row r="9" spans="1:32" ht="23.1" customHeight="1" x14ac:dyDescent="0.25">
      <c r="A9" s="53" t="s">
        <v>115</v>
      </c>
      <c r="B9" s="25" t="s">
        <v>110</v>
      </c>
      <c r="C9" s="31">
        <v>84</v>
      </c>
      <c r="D9" s="25" t="s">
        <v>2577</v>
      </c>
      <c r="E9" s="25" t="s">
        <v>122</v>
      </c>
      <c r="F9" s="21" t="s">
        <v>122</v>
      </c>
      <c r="G9" s="21" t="str">
        <f>VLOOKUP(D9,[6]成飞半成品!$A:$B,2,0)</f>
        <v>STA8510~9055左上大梁</v>
      </c>
      <c r="H9" s="25" t="s">
        <v>123</v>
      </c>
      <c r="I9" s="25">
        <v>40</v>
      </c>
      <c r="J9" s="25" t="s">
        <v>1843</v>
      </c>
      <c r="K9" s="25">
        <v>2</v>
      </c>
      <c r="L9" s="25">
        <v>3</v>
      </c>
      <c r="M9" s="31">
        <v>5</v>
      </c>
      <c r="N9" s="31"/>
      <c r="O9" s="77" t="s">
        <v>124</v>
      </c>
      <c r="P9" s="25"/>
      <c r="Q9" s="25">
        <v>480</v>
      </c>
      <c r="R9" s="25">
        <v>60</v>
      </c>
      <c r="S9" s="25"/>
      <c r="T9" s="25">
        <v>3</v>
      </c>
      <c r="U9" s="25">
        <v>120</v>
      </c>
      <c r="V9" s="25"/>
      <c r="W9" s="25"/>
      <c r="X9" s="25"/>
      <c r="Y9" s="79">
        <v>27</v>
      </c>
      <c r="Z9" s="25" t="s">
        <v>52</v>
      </c>
      <c r="AA9" s="25" t="s">
        <v>125</v>
      </c>
      <c r="AB9" s="25"/>
    </row>
    <row r="10" spans="1:32" ht="23.1" customHeight="1" x14ac:dyDescent="0.25">
      <c r="A10" s="53" t="s">
        <v>115</v>
      </c>
      <c r="B10" s="25" t="s">
        <v>110</v>
      </c>
      <c r="C10" s="31">
        <v>69</v>
      </c>
      <c r="D10" s="25" t="s">
        <v>2558</v>
      </c>
      <c r="E10" s="25" t="s">
        <v>127</v>
      </c>
      <c r="F10" s="21" t="s">
        <v>127</v>
      </c>
      <c r="G10" s="21" t="str">
        <f>VLOOKUP(D10,[6]成飞半成品!$A:$B,2,0)</f>
        <v>樑</v>
      </c>
      <c r="H10" s="25" t="s">
        <v>102</v>
      </c>
      <c r="I10" s="25">
        <v>50</v>
      </c>
      <c r="J10" s="25" t="s">
        <v>1835</v>
      </c>
      <c r="K10" s="25">
        <v>0.2</v>
      </c>
      <c r="L10" s="25">
        <v>0.2</v>
      </c>
      <c r="M10" s="31"/>
      <c r="N10" s="31">
        <v>37</v>
      </c>
      <c r="O10" s="77" t="s">
        <v>128</v>
      </c>
      <c r="P10" s="25"/>
      <c r="Q10" s="25">
        <v>6000</v>
      </c>
      <c r="R10" s="25">
        <v>120</v>
      </c>
      <c r="S10" s="25"/>
      <c r="T10" s="25"/>
      <c r="U10" s="25">
        <v>240</v>
      </c>
      <c r="V10" s="25"/>
      <c r="W10" s="25"/>
      <c r="X10" s="25"/>
      <c r="Y10" s="79">
        <v>20</v>
      </c>
      <c r="Z10" s="25" t="s">
        <v>52</v>
      </c>
      <c r="AA10" s="25"/>
      <c r="AB10" s="25"/>
    </row>
    <row r="11" spans="1:32" ht="23.1" customHeight="1" x14ac:dyDescent="0.25">
      <c r="A11" s="53" t="s">
        <v>115</v>
      </c>
      <c r="B11" s="25" t="s">
        <v>110</v>
      </c>
      <c r="C11" s="31">
        <v>24</v>
      </c>
      <c r="D11" s="25" t="s">
        <v>2551</v>
      </c>
      <c r="E11" s="25" t="s">
        <v>130</v>
      </c>
      <c r="F11" s="21" t="s">
        <v>2546</v>
      </c>
      <c r="G11" s="21" t="str">
        <f>VLOOKUP(D11,[6]成飞半成品!$A:$B,2,0)</f>
        <v>工装</v>
      </c>
      <c r="H11" s="25" t="s">
        <v>102</v>
      </c>
      <c r="I11" s="25">
        <v>70</v>
      </c>
      <c r="J11" s="25" t="s">
        <v>2411</v>
      </c>
      <c r="K11" s="25">
        <v>0.1</v>
      </c>
      <c r="L11" s="25">
        <v>0.4</v>
      </c>
      <c r="M11" s="31"/>
      <c r="N11" s="31">
        <v>5</v>
      </c>
      <c r="O11" s="77" t="s">
        <v>131</v>
      </c>
      <c r="P11" s="25"/>
      <c r="Q11" s="25">
        <v>2760</v>
      </c>
      <c r="R11" s="25">
        <v>120</v>
      </c>
      <c r="S11" s="25"/>
      <c r="T11" s="25"/>
      <c r="U11" s="25">
        <v>180</v>
      </c>
      <c r="V11" s="25"/>
      <c r="W11" s="25"/>
      <c r="X11" s="25"/>
      <c r="Y11" s="79">
        <v>18.399999999999999</v>
      </c>
      <c r="Z11" s="25" t="s">
        <v>52</v>
      </c>
      <c r="AA11" s="25"/>
      <c r="AB11" s="25"/>
    </row>
    <row r="12" spans="1:32" ht="23.1" customHeight="1" x14ac:dyDescent="0.25">
      <c r="A12" s="53" t="s">
        <v>115</v>
      </c>
      <c r="B12" s="25" t="s">
        <v>110</v>
      </c>
      <c r="C12" s="31">
        <v>78</v>
      </c>
      <c r="D12" s="25" t="s">
        <v>132</v>
      </c>
      <c r="E12" s="25" t="s">
        <v>133</v>
      </c>
      <c r="F12" s="21" t="s">
        <v>133</v>
      </c>
      <c r="G12" s="21" t="str">
        <f>VLOOKUP(D12,[6]成飞半成品!$A:$B,2,0)</f>
        <v>摇臂</v>
      </c>
      <c r="H12" s="25" t="s">
        <v>102</v>
      </c>
      <c r="I12" s="25">
        <v>65</v>
      </c>
      <c r="J12" s="25" t="s">
        <v>1879</v>
      </c>
      <c r="K12" s="25">
        <v>1</v>
      </c>
      <c r="L12" s="25">
        <v>0.2</v>
      </c>
      <c r="M12" s="31"/>
      <c r="N12" s="31">
        <v>5</v>
      </c>
      <c r="O12" s="77" t="s">
        <v>103</v>
      </c>
      <c r="P12" s="25"/>
      <c r="Q12" s="25">
        <v>660</v>
      </c>
      <c r="R12" s="25">
        <v>60</v>
      </c>
      <c r="S12" s="25"/>
      <c r="T12" s="25"/>
      <c r="U12" s="25">
        <v>120</v>
      </c>
      <c r="V12" s="25"/>
      <c r="W12" s="25"/>
      <c r="X12" s="25"/>
      <c r="Y12" s="79">
        <v>2.2000000000000002</v>
      </c>
      <c r="Z12" s="25" t="s">
        <v>45</v>
      </c>
      <c r="AA12" s="25" t="s">
        <v>134</v>
      </c>
      <c r="AB12" s="25"/>
    </row>
    <row r="13" spans="1:32" ht="23.1" customHeight="1" x14ac:dyDescent="0.25">
      <c r="A13" s="53" t="s">
        <v>115</v>
      </c>
      <c r="B13" s="25" t="s">
        <v>110</v>
      </c>
      <c r="C13" s="31">
        <v>16</v>
      </c>
      <c r="D13" s="25" t="s">
        <v>2551</v>
      </c>
      <c r="E13" s="25" t="s">
        <v>135</v>
      </c>
      <c r="F13" s="21" t="e">
        <v>#N/A</v>
      </c>
      <c r="G13" s="21" t="str">
        <f>VLOOKUP(D13,[6]成飞半成品!$A:$B,2,0)</f>
        <v>工装</v>
      </c>
      <c r="H13" s="25" t="s">
        <v>108</v>
      </c>
      <c r="I13" s="25" t="s">
        <v>108</v>
      </c>
      <c r="J13" s="25"/>
      <c r="K13" s="25" t="s">
        <v>108</v>
      </c>
      <c r="L13" s="25">
        <v>30</v>
      </c>
      <c r="M13" s="31">
        <v>26</v>
      </c>
      <c r="N13" s="31"/>
      <c r="O13" s="77" t="s">
        <v>108</v>
      </c>
      <c r="P13" s="25"/>
      <c r="Q13" s="25"/>
      <c r="R13" s="25"/>
      <c r="S13" s="25"/>
      <c r="T13" s="25"/>
      <c r="U13" s="25"/>
      <c r="V13" s="25"/>
      <c r="W13" s="25"/>
      <c r="X13" s="25">
        <v>2</v>
      </c>
      <c r="Y13" s="79">
        <v>2</v>
      </c>
      <c r="Z13" s="25" t="s">
        <v>63</v>
      </c>
      <c r="AA13" s="25" t="s">
        <v>136</v>
      </c>
      <c r="AB13" s="25"/>
    </row>
    <row r="14" spans="1:32" ht="23.1" customHeight="1" x14ac:dyDescent="0.25">
      <c r="A14" s="53" t="s">
        <v>115</v>
      </c>
      <c r="B14" s="25" t="s">
        <v>110</v>
      </c>
      <c r="C14" s="31">
        <v>22</v>
      </c>
      <c r="D14" s="25" t="s">
        <v>111</v>
      </c>
      <c r="E14" s="25" t="s">
        <v>101</v>
      </c>
      <c r="F14" s="21" t="s">
        <v>101</v>
      </c>
      <c r="G14" s="21" t="str">
        <f>VLOOKUP(D14,[6]成飞半成品!$A:$B,2,0)</f>
        <v>前梁一段</v>
      </c>
      <c r="H14" s="25" t="s">
        <v>102</v>
      </c>
      <c r="I14" s="25">
        <v>30</v>
      </c>
      <c r="J14" s="25" t="s">
        <v>1873</v>
      </c>
      <c r="K14" s="25">
        <v>0.15</v>
      </c>
      <c r="L14" s="25">
        <v>0.15</v>
      </c>
      <c r="M14" s="31"/>
      <c r="N14" s="31">
        <v>26</v>
      </c>
      <c r="O14" s="77" t="s">
        <v>103</v>
      </c>
      <c r="P14" s="25"/>
      <c r="Q14" s="25">
        <v>6000</v>
      </c>
      <c r="R14" s="25">
        <v>180</v>
      </c>
      <c r="S14" s="25"/>
      <c r="T14" s="25"/>
      <c r="U14" s="25">
        <v>180</v>
      </c>
      <c r="V14" s="31"/>
      <c r="W14" s="25"/>
      <c r="X14" s="25"/>
      <c r="Y14" s="79">
        <v>15</v>
      </c>
      <c r="Z14" s="25" t="s">
        <v>49</v>
      </c>
      <c r="AA14" s="25"/>
      <c r="AB14" s="25"/>
    </row>
    <row r="15" spans="1:32" ht="23.1" customHeight="1" x14ac:dyDescent="0.25">
      <c r="A15" s="53" t="s">
        <v>114</v>
      </c>
      <c r="B15" s="25" t="s">
        <v>137</v>
      </c>
      <c r="C15" s="31">
        <v>59</v>
      </c>
      <c r="D15" s="25" t="s">
        <v>138</v>
      </c>
      <c r="E15" s="25" t="s">
        <v>139</v>
      </c>
      <c r="F15" s="21" t="s">
        <v>139</v>
      </c>
      <c r="G15" s="21" t="str">
        <f>VLOOKUP(D15,[6]成飞半成品!$A:$B,2,0)</f>
        <v>支座</v>
      </c>
      <c r="H15" s="25" t="s">
        <v>102</v>
      </c>
      <c r="I15" s="25">
        <v>10</v>
      </c>
      <c r="J15" s="25" t="s">
        <v>1897</v>
      </c>
      <c r="K15" s="25">
        <v>2</v>
      </c>
      <c r="L15" s="25">
        <v>2</v>
      </c>
      <c r="M15" s="31">
        <v>28</v>
      </c>
      <c r="N15" s="31">
        <v>28</v>
      </c>
      <c r="O15" s="77" t="s">
        <v>140</v>
      </c>
      <c r="P15" s="25"/>
      <c r="Q15" s="25">
        <v>60</v>
      </c>
      <c r="R15" s="25"/>
      <c r="S15" s="25"/>
      <c r="T15" s="25"/>
      <c r="U15" s="25">
        <v>60</v>
      </c>
      <c r="V15" s="25"/>
      <c r="W15" s="25">
        <v>1</v>
      </c>
      <c r="X15" s="25"/>
      <c r="Y15" s="79">
        <v>3</v>
      </c>
      <c r="Z15" s="25" t="s">
        <v>42</v>
      </c>
      <c r="AA15" s="25"/>
      <c r="AB15" s="25"/>
    </row>
    <row r="16" spans="1:32" ht="23.1" customHeight="1" x14ac:dyDescent="0.25">
      <c r="A16" s="53" t="s">
        <v>114</v>
      </c>
      <c r="B16" s="25" t="s">
        <v>137</v>
      </c>
      <c r="C16" s="31">
        <v>59</v>
      </c>
      <c r="D16" s="25" t="s">
        <v>138</v>
      </c>
      <c r="E16" s="25" t="s">
        <v>139</v>
      </c>
      <c r="F16" s="21" t="s">
        <v>139</v>
      </c>
      <c r="G16" s="21" t="str">
        <f>VLOOKUP(D16,[6]成飞半成品!$A:$B,2,0)</f>
        <v>支座</v>
      </c>
      <c r="H16" s="25" t="s">
        <v>102</v>
      </c>
      <c r="I16" s="25">
        <v>15</v>
      </c>
      <c r="J16" s="25" t="s">
        <v>2412</v>
      </c>
      <c r="K16" s="25">
        <v>2</v>
      </c>
      <c r="L16" s="25">
        <v>2</v>
      </c>
      <c r="M16" s="31">
        <v>28</v>
      </c>
      <c r="N16" s="31">
        <v>28</v>
      </c>
      <c r="O16" s="77" t="s">
        <v>140</v>
      </c>
      <c r="P16" s="25"/>
      <c r="Q16" s="25">
        <v>20</v>
      </c>
      <c r="R16" s="25"/>
      <c r="S16" s="25"/>
      <c r="T16" s="25"/>
      <c r="U16" s="25">
        <v>60</v>
      </c>
      <c r="V16" s="25"/>
      <c r="W16" s="25">
        <v>1</v>
      </c>
      <c r="X16" s="25"/>
      <c r="Y16" s="79">
        <v>1.7</v>
      </c>
      <c r="Z16" s="25" t="s">
        <v>42</v>
      </c>
      <c r="AA16" s="25"/>
      <c r="AB16" s="25"/>
    </row>
    <row r="17" spans="1:28" ht="23.1" customHeight="1" x14ac:dyDescent="0.25">
      <c r="A17" s="53" t="s">
        <v>141</v>
      </c>
      <c r="B17" s="25" t="s">
        <v>137</v>
      </c>
      <c r="C17" s="31">
        <v>59</v>
      </c>
      <c r="D17" s="25" t="s">
        <v>138</v>
      </c>
      <c r="E17" s="25" t="s">
        <v>139</v>
      </c>
      <c r="F17" s="21" t="s">
        <v>139</v>
      </c>
      <c r="G17" s="21" t="str">
        <f>VLOOKUP(D17,[6]成飞半成品!$A:$B,2,0)</f>
        <v>支座</v>
      </c>
      <c r="H17" s="25" t="s">
        <v>102</v>
      </c>
      <c r="I17" s="25">
        <v>20</v>
      </c>
      <c r="J17" s="25" t="s">
        <v>1880</v>
      </c>
      <c r="K17" s="25">
        <v>2</v>
      </c>
      <c r="L17" s="25">
        <v>2</v>
      </c>
      <c r="M17" s="31">
        <v>28</v>
      </c>
      <c r="N17" s="31">
        <v>28</v>
      </c>
      <c r="O17" s="77" t="s">
        <v>140</v>
      </c>
      <c r="P17" s="25"/>
      <c r="Q17" s="25">
        <v>60</v>
      </c>
      <c r="R17" s="25"/>
      <c r="S17" s="25"/>
      <c r="T17" s="25"/>
      <c r="U17" s="25">
        <v>120</v>
      </c>
      <c r="V17" s="25"/>
      <c r="W17" s="25"/>
      <c r="X17" s="25"/>
      <c r="Y17" s="79">
        <v>2</v>
      </c>
      <c r="Z17" s="25" t="s">
        <v>42</v>
      </c>
      <c r="AA17" s="25"/>
      <c r="AB17" s="25"/>
    </row>
    <row r="18" spans="1:28" ht="23.1" customHeight="1" x14ac:dyDescent="0.25">
      <c r="A18" s="53" t="s">
        <v>114</v>
      </c>
      <c r="B18" s="25" t="s">
        <v>137</v>
      </c>
      <c r="C18" s="31">
        <v>59</v>
      </c>
      <c r="D18" s="25" t="s">
        <v>142</v>
      </c>
      <c r="E18" s="25" t="s">
        <v>133</v>
      </c>
      <c r="F18" s="21" t="s">
        <v>133</v>
      </c>
      <c r="G18" s="21" t="str">
        <f>VLOOKUP(D18,[6]成飞半成品!$A:$B,2,0)</f>
        <v>摇臂</v>
      </c>
      <c r="H18" s="25" t="s">
        <v>102</v>
      </c>
      <c r="I18" s="25">
        <v>20</v>
      </c>
      <c r="J18" s="25" t="s">
        <v>2413</v>
      </c>
      <c r="K18" s="25"/>
      <c r="L18" s="25">
        <v>1</v>
      </c>
      <c r="M18" s="31"/>
      <c r="N18" s="31">
        <v>31</v>
      </c>
      <c r="O18" s="77" t="s">
        <v>140</v>
      </c>
      <c r="P18" s="25"/>
      <c r="Q18" s="25">
        <v>160</v>
      </c>
      <c r="R18" s="25"/>
      <c r="S18" s="25"/>
      <c r="T18" s="25"/>
      <c r="U18" s="25">
        <v>120</v>
      </c>
      <c r="V18" s="25"/>
      <c r="W18" s="25"/>
      <c r="X18" s="25"/>
      <c r="Y18" s="79">
        <v>2.7</v>
      </c>
      <c r="Z18" s="25" t="s">
        <v>42</v>
      </c>
      <c r="AA18" s="25"/>
      <c r="AB18" s="25"/>
    </row>
    <row r="19" spans="1:28" ht="23.1" customHeight="1" x14ac:dyDescent="0.25">
      <c r="A19" s="53" t="s">
        <v>114</v>
      </c>
      <c r="B19" s="25" t="s">
        <v>113</v>
      </c>
      <c r="C19" s="31">
        <v>79</v>
      </c>
      <c r="D19" s="25" t="s">
        <v>132</v>
      </c>
      <c r="E19" s="25" t="s">
        <v>133</v>
      </c>
      <c r="F19" s="21" t="s">
        <v>133</v>
      </c>
      <c r="G19" s="21" t="str">
        <f>VLOOKUP(D19,[6]成飞半成品!$A:$B,2,0)</f>
        <v>摇臂</v>
      </c>
      <c r="H19" s="25" t="s">
        <v>102</v>
      </c>
      <c r="I19" s="25">
        <v>65</v>
      </c>
      <c r="J19" s="25" t="s">
        <v>2414</v>
      </c>
      <c r="K19" s="25">
        <v>1</v>
      </c>
      <c r="L19" s="25">
        <v>0.3</v>
      </c>
      <c r="M19" s="31"/>
      <c r="N19" s="31">
        <v>28</v>
      </c>
      <c r="O19" s="77" t="s">
        <v>103</v>
      </c>
      <c r="P19" s="25"/>
      <c r="Q19" s="25">
        <v>660</v>
      </c>
      <c r="R19" s="25">
        <v>60</v>
      </c>
      <c r="S19" s="25"/>
      <c r="T19" s="25"/>
      <c r="U19" s="25">
        <v>120</v>
      </c>
      <c r="V19" s="25"/>
      <c r="W19" s="25">
        <v>1</v>
      </c>
      <c r="X19" s="25">
        <v>14.7</v>
      </c>
      <c r="Y19" s="79">
        <v>20</v>
      </c>
      <c r="Z19" s="25" t="s">
        <v>19</v>
      </c>
      <c r="AA19" s="25" t="s">
        <v>143</v>
      </c>
      <c r="AB19" s="25"/>
    </row>
    <row r="20" spans="1:28" ht="23.1" customHeight="1" x14ac:dyDescent="0.25">
      <c r="A20" s="53" t="s">
        <v>114</v>
      </c>
      <c r="B20" s="25" t="s">
        <v>113</v>
      </c>
      <c r="C20" s="31">
        <v>24</v>
      </c>
      <c r="D20" s="25" t="s">
        <v>2551</v>
      </c>
      <c r="E20" s="25" t="s">
        <v>130</v>
      </c>
      <c r="F20" s="21" t="s">
        <v>2546</v>
      </c>
      <c r="G20" s="21" t="str">
        <f>VLOOKUP(D20,[6]成飞半成品!$A:$B,2,0)</f>
        <v>工装</v>
      </c>
      <c r="H20" s="25" t="s">
        <v>102</v>
      </c>
      <c r="I20" s="25">
        <v>70</v>
      </c>
      <c r="J20" s="25" t="s">
        <v>1878</v>
      </c>
      <c r="K20" s="25">
        <v>0.3</v>
      </c>
      <c r="L20" s="25">
        <v>0.4</v>
      </c>
      <c r="M20" s="31">
        <v>5</v>
      </c>
      <c r="N20" s="31">
        <v>5</v>
      </c>
      <c r="O20" s="77" t="s">
        <v>144</v>
      </c>
      <c r="P20" s="25"/>
      <c r="Q20" s="25">
        <v>2760</v>
      </c>
      <c r="R20" s="25">
        <v>120</v>
      </c>
      <c r="S20" s="25"/>
      <c r="T20" s="25">
        <v>1</v>
      </c>
      <c r="U20" s="25">
        <v>180</v>
      </c>
      <c r="V20" s="25"/>
      <c r="W20" s="25"/>
      <c r="X20" s="25"/>
      <c r="Y20" s="79">
        <v>20.399999999999999</v>
      </c>
      <c r="Z20" s="25" t="s">
        <v>3</v>
      </c>
      <c r="AA20" s="25" t="s">
        <v>145</v>
      </c>
      <c r="AB20" s="25"/>
    </row>
    <row r="21" spans="1:28" ht="23.1" customHeight="1" x14ac:dyDescent="0.25">
      <c r="A21" s="53" t="s">
        <v>114</v>
      </c>
      <c r="B21" s="25" t="s">
        <v>113</v>
      </c>
      <c r="C21" s="31">
        <v>91</v>
      </c>
      <c r="D21" s="25" t="s">
        <v>116</v>
      </c>
      <c r="E21" s="25" t="s">
        <v>117</v>
      </c>
      <c r="F21" s="21" t="s">
        <v>117</v>
      </c>
      <c r="G21" s="21" t="str">
        <f>VLOOKUP(D21,[6]成飞半成品!$A:$B,2,0)</f>
        <v>7820~8270侧上梁</v>
      </c>
      <c r="H21" s="25" t="s">
        <v>118</v>
      </c>
      <c r="I21" s="25">
        <v>40</v>
      </c>
      <c r="J21" s="25" t="s">
        <v>1872</v>
      </c>
      <c r="K21" s="25">
        <v>2</v>
      </c>
      <c r="L21" s="25">
        <v>2</v>
      </c>
      <c r="M21" s="31">
        <v>26</v>
      </c>
      <c r="N21" s="31">
        <v>23</v>
      </c>
      <c r="O21" s="77" t="s">
        <v>146</v>
      </c>
      <c r="P21" s="25"/>
      <c r="Q21" s="25">
        <v>450</v>
      </c>
      <c r="R21" s="25">
        <v>60</v>
      </c>
      <c r="S21" s="25"/>
      <c r="T21" s="25">
        <v>2</v>
      </c>
      <c r="U21" s="25">
        <v>120</v>
      </c>
      <c r="V21" s="25"/>
      <c r="W21" s="25"/>
      <c r="X21" s="25"/>
      <c r="Y21" s="79">
        <v>17</v>
      </c>
      <c r="Z21" s="25" t="s">
        <v>3</v>
      </c>
      <c r="AA21" s="25" t="s">
        <v>147</v>
      </c>
      <c r="AB21" s="25"/>
    </row>
    <row r="22" spans="1:28" ht="23.1" customHeight="1" x14ac:dyDescent="0.25">
      <c r="A22" s="53" t="s">
        <v>114</v>
      </c>
      <c r="B22" s="25" t="s">
        <v>113</v>
      </c>
      <c r="C22" s="31">
        <v>84</v>
      </c>
      <c r="D22" s="25" t="s">
        <v>2577</v>
      </c>
      <c r="E22" s="25" t="s">
        <v>122</v>
      </c>
      <c r="F22" s="21" t="s">
        <v>122</v>
      </c>
      <c r="G22" s="21" t="str">
        <f>VLOOKUP(D22,[6]成飞半成品!$A:$B,2,0)</f>
        <v>STA8510~9055左上大梁</v>
      </c>
      <c r="H22" s="25" t="s">
        <v>123</v>
      </c>
      <c r="I22" s="25">
        <v>50</v>
      </c>
      <c r="J22" s="25" t="s">
        <v>1884</v>
      </c>
      <c r="K22" s="25">
        <v>2</v>
      </c>
      <c r="L22" s="25">
        <v>2.8</v>
      </c>
      <c r="M22" s="31">
        <v>26</v>
      </c>
      <c r="N22" s="31">
        <v>5</v>
      </c>
      <c r="O22" s="77" t="s">
        <v>148</v>
      </c>
      <c r="P22" s="25"/>
      <c r="Q22" s="25">
        <v>360</v>
      </c>
      <c r="R22" s="25">
        <v>60</v>
      </c>
      <c r="S22" s="25"/>
      <c r="T22" s="25">
        <v>2</v>
      </c>
      <c r="U22" s="25">
        <v>120</v>
      </c>
      <c r="V22" s="25"/>
      <c r="W22" s="25"/>
      <c r="X22" s="25"/>
      <c r="Y22" s="79">
        <v>18.8</v>
      </c>
      <c r="Z22" s="25" t="s">
        <v>3</v>
      </c>
      <c r="AA22" s="25" t="s">
        <v>147</v>
      </c>
      <c r="AB22" s="25"/>
    </row>
    <row r="23" spans="1:28" ht="23.1" customHeight="1" x14ac:dyDescent="0.25">
      <c r="A23" s="53" t="s">
        <v>114</v>
      </c>
      <c r="B23" s="25" t="s">
        <v>113</v>
      </c>
      <c r="C23" s="31">
        <v>69</v>
      </c>
      <c r="D23" s="25" t="s">
        <v>2558</v>
      </c>
      <c r="E23" s="25" t="s">
        <v>127</v>
      </c>
      <c r="F23" s="21" t="s">
        <v>127</v>
      </c>
      <c r="G23" s="21" t="str">
        <f>VLOOKUP(D23,[6]成飞半成品!$A:$B,2,0)</f>
        <v>樑</v>
      </c>
      <c r="H23" s="25" t="s">
        <v>102</v>
      </c>
      <c r="I23" s="25">
        <v>45</v>
      </c>
      <c r="J23" s="25" t="s">
        <v>2416</v>
      </c>
      <c r="K23" s="25">
        <v>0.2</v>
      </c>
      <c r="L23" s="25">
        <v>0.1</v>
      </c>
      <c r="M23" s="31"/>
      <c r="N23" s="31">
        <v>28</v>
      </c>
      <c r="O23" s="77" t="s">
        <v>128</v>
      </c>
      <c r="P23" s="25"/>
      <c r="Q23" s="25">
        <v>4500</v>
      </c>
      <c r="R23" s="25">
        <v>120</v>
      </c>
      <c r="S23" s="25"/>
      <c r="T23" s="25"/>
      <c r="U23" s="25">
        <v>240</v>
      </c>
      <c r="V23" s="25"/>
      <c r="W23" s="25">
        <v>1</v>
      </c>
      <c r="X23" s="25"/>
      <c r="Y23" s="79">
        <v>11.5</v>
      </c>
      <c r="Z23" s="25" t="s">
        <v>3</v>
      </c>
      <c r="AA23" s="25"/>
      <c r="AB23" s="25"/>
    </row>
    <row r="24" spans="1:28" ht="23.1" customHeight="1" x14ac:dyDescent="0.25">
      <c r="A24" s="53" t="s">
        <v>114</v>
      </c>
      <c r="B24" s="25" t="s">
        <v>113</v>
      </c>
      <c r="C24" s="31">
        <v>69</v>
      </c>
      <c r="D24" s="25" t="s">
        <v>2558</v>
      </c>
      <c r="E24" s="25" t="s">
        <v>127</v>
      </c>
      <c r="F24" s="21" t="s">
        <v>127</v>
      </c>
      <c r="G24" s="21" t="str">
        <f>VLOOKUP(D24,[6]成飞半成品!$A:$B,2,0)</f>
        <v>樑</v>
      </c>
      <c r="H24" s="25" t="s">
        <v>102</v>
      </c>
      <c r="I24" s="25">
        <v>50</v>
      </c>
      <c r="J24" s="25" t="s">
        <v>1835</v>
      </c>
      <c r="K24" s="25"/>
      <c r="L24" s="25">
        <v>0.1</v>
      </c>
      <c r="M24" s="31"/>
      <c r="N24" s="31">
        <v>37</v>
      </c>
      <c r="O24" s="77" t="s">
        <v>128</v>
      </c>
      <c r="P24" s="25"/>
      <c r="Q24" s="25">
        <v>6000</v>
      </c>
      <c r="R24" s="25">
        <v>120</v>
      </c>
      <c r="S24" s="25"/>
      <c r="T24" s="25"/>
      <c r="U24" s="25">
        <v>240</v>
      </c>
      <c r="V24" s="25"/>
      <c r="W24" s="25"/>
      <c r="X24" s="25">
        <v>5</v>
      </c>
      <c r="Y24" s="79">
        <v>15</v>
      </c>
      <c r="Z24" s="25" t="s">
        <v>3</v>
      </c>
      <c r="AA24" s="25" t="s">
        <v>149</v>
      </c>
      <c r="AB24" s="25"/>
    </row>
    <row r="25" spans="1:28" ht="23.1" customHeight="1" x14ac:dyDescent="0.25">
      <c r="A25" s="53" t="s">
        <v>114</v>
      </c>
      <c r="B25" s="25" t="s">
        <v>113</v>
      </c>
      <c r="C25" s="31">
        <v>22</v>
      </c>
      <c r="D25" s="25" t="s">
        <v>111</v>
      </c>
      <c r="E25" s="25" t="s">
        <v>101</v>
      </c>
      <c r="F25" s="21" t="s">
        <v>101</v>
      </c>
      <c r="G25" s="21" t="str">
        <f>VLOOKUP(D25,[6]成飞半成品!$A:$B,2,0)</f>
        <v>前梁一段</v>
      </c>
      <c r="H25" s="25" t="s">
        <v>102</v>
      </c>
      <c r="I25" s="25">
        <v>30</v>
      </c>
      <c r="J25" s="25" t="s">
        <v>1877</v>
      </c>
      <c r="K25" s="25">
        <v>0.15</v>
      </c>
      <c r="L25" s="25">
        <v>0.15</v>
      </c>
      <c r="M25" s="31"/>
      <c r="N25" s="31">
        <v>26</v>
      </c>
      <c r="O25" s="77" t="s">
        <v>103</v>
      </c>
      <c r="P25" s="25"/>
      <c r="Q25" s="25">
        <v>6000</v>
      </c>
      <c r="R25" s="25">
        <v>180</v>
      </c>
      <c r="S25" s="25"/>
      <c r="T25" s="25"/>
      <c r="U25" s="25">
        <v>180</v>
      </c>
      <c r="V25" s="25"/>
      <c r="W25" s="25"/>
      <c r="X25" s="25"/>
      <c r="Y25" s="79">
        <v>15</v>
      </c>
      <c r="Z25" s="25" t="s">
        <v>58</v>
      </c>
      <c r="AA25" s="25"/>
      <c r="AB25" s="25"/>
    </row>
    <row r="26" spans="1:28" ht="23.1" customHeight="1" x14ac:dyDescent="0.25">
      <c r="A26" s="53" t="s">
        <v>150</v>
      </c>
      <c r="B26" s="25" t="s">
        <v>99</v>
      </c>
      <c r="C26" s="31">
        <v>78</v>
      </c>
      <c r="D26" s="25" t="s">
        <v>132</v>
      </c>
      <c r="E26" s="25" t="s">
        <v>133</v>
      </c>
      <c r="F26" s="21" t="s">
        <v>133</v>
      </c>
      <c r="G26" s="21" t="str">
        <f>VLOOKUP(D26,[6]成飞半成品!$A:$B,2,0)</f>
        <v>摇臂</v>
      </c>
      <c r="H26" s="25" t="s">
        <v>102</v>
      </c>
      <c r="I26" s="25">
        <v>65</v>
      </c>
      <c r="J26" s="25" t="s">
        <v>2375</v>
      </c>
      <c r="K26" s="25"/>
      <c r="L26" s="25">
        <v>0.3</v>
      </c>
      <c r="M26" s="31"/>
      <c r="N26" s="31">
        <v>5</v>
      </c>
      <c r="O26" s="77" t="s">
        <v>103</v>
      </c>
      <c r="P26" s="25"/>
      <c r="Q26" s="25">
        <v>660</v>
      </c>
      <c r="R26" s="25">
        <v>60</v>
      </c>
      <c r="S26" s="25"/>
      <c r="T26" s="25"/>
      <c r="U26" s="25">
        <v>120</v>
      </c>
      <c r="V26" s="25"/>
      <c r="W26" s="25"/>
      <c r="X26" s="25"/>
      <c r="Y26" s="79">
        <v>3.3</v>
      </c>
      <c r="Z26" s="25" t="s">
        <v>45</v>
      </c>
      <c r="AA26" s="25" t="s">
        <v>151</v>
      </c>
      <c r="AB26" s="25"/>
    </row>
    <row r="27" spans="1:28" ht="23.1" customHeight="1" x14ac:dyDescent="0.25">
      <c r="A27" s="53" t="s">
        <v>150</v>
      </c>
      <c r="B27" s="25" t="s">
        <v>99</v>
      </c>
      <c r="C27" s="31">
        <v>79</v>
      </c>
      <c r="D27" s="25" t="s">
        <v>152</v>
      </c>
      <c r="E27" s="25" t="s">
        <v>153</v>
      </c>
      <c r="F27" s="21" t="s">
        <v>1247</v>
      </c>
      <c r="G27" s="21" t="str">
        <f>VLOOKUP(D27,[6]成飞半成品!$A:$B,2,0)</f>
        <v>根肋前段</v>
      </c>
      <c r="H27" s="25" t="s">
        <v>154</v>
      </c>
      <c r="I27" s="25">
        <v>5</v>
      </c>
      <c r="J27" s="25" t="s">
        <v>1882</v>
      </c>
      <c r="K27" s="25"/>
      <c r="L27" s="25">
        <v>0.2</v>
      </c>
      <c r="M27" s="31">
        <v>5</v>
      </c>
      <c r="N27" s="31"/>
      <c r="O27" s="77" t="s">
        <v>155</v>
      </c>
      <c r="P27" s="25"/>
      <c r="Q27" s="25">
        <v>770</v>
      </c>
      <c r="R27" s="25">
        <v>120</v>
      </c>
      <c r="S27" s="25"/>
      <c r="T27" s="25"/>
      <c r="U27" s="25">
        <v>120</v>
      </c>
      <c r="V27" s="25"/>
      <c r="W27" s="25"/>
      <c r="X27" s="25"/>
      <c r="Y27" s="79">
        <v>2.6</v>
      </c>
      <c r="Z27" s="25" t="s">
        <v>45</v>
      </c>
      <c r="AA27" s="25" t="s">
        <v>156</v>
      </c>
      <c r="AB27" s="25"/>
    </row>
    <row r="28" spans="1:28" ht="23.1" customHeight="1" x14ac:dyDescent="0.25">
      <c r="A28" s="53" t="s">
        <v>150</v>
      </c>
      <c r="B28" s="25" t="s">
        <v>110</v>
      </c>
      <c r="C28" s="31">
        <v>24</v>
      </c>
      <c r="D28" s="25" t="s">
        <v>2551</v>
      </c>
      <c r="E28" s="25" t="s">
        <v>130</v>
      </c>
      <c r="F28" s="21" t="s">
        <v>2546</v>
      </c>
      <c r="G28" s="21" t="str">
        <f>VLOOKUP(D28,[6]成飞半成品!$A:$B,2,0)</f>
        <v>工装</v>
      </c>
      <c r="H28" s="25" t="s">
        <v>102</v>
      </c>
      <c r="I28" s="25">
        <v>70</v>
      </c>
      <c r="J28" s="25" t="s">
        <v>1874</v>
      </c>
      <c r="K28" s="25"/>
      <c r="L28" s="25">
        <v>0.5</v>
      </c>
      <c r="M28" s="31"/>
      <c r="N28" s="31">
        <v>5</v>
      </c>
      <c r="O28" s="77" t="s">
        <v>131</v>
      </c>
      <c r="P28" s="25"/>
      <c r="Q28" s="25">
        <v>2760</v>
      </c>
      <c r="R28" s="25">
        <v>120</v>
      </c>
      <c r="S28" s="25"/>
      <c r="T28" s="25"/>
      <c r="U28" s="25">
        <v>180</v>
      </c>
      <c r="V28" s="25"/>
      <c r="W28" s="25"/>
      <c r="X28" s="25"/>
      <c r="Y28" s="79">
        <v>23</v>
      </c>
      <c r="Z28" s="25" t="s">
        <v>51</v>
      </c>
      <c r="AA28" s="25"/>
      <c r="AB28" s="25"/>
    </row>
    <row r="29" spans="1:28" ht="23.1" customHeight="1" x14ac:dyDescent="0.25">
      <c r="A29" s="53" t="s">
        <v>150</v>
      </c>
      <c r="B29" s="25" t="s">
        <v>110</v>
      </c>
      <c r="C29" s="31">
        <v>121</v>
      </c>
      <c r="D29" s="25" t="s">
        <v>157</v>
      </c>
      <c r="E29" s="25" t="s">
        <v>158</v>
      </c>
      <c r="F29" s="21" t="s">
        <v>158</v>
      </c>
      <c r="G29" s="21" t="str">
        <f>VLOOKUP(D29,[6]成飞半成品!$A:$B,2,0)</f>
        <v>口框</v>
      </c>
      <c r="H29" s="25" t="s">
        <v>154</v>
      </c>
      <c r="I29" s="25">
        <v>20</v>
      </c>
      <c r="J29" s="25" t="s">
        <v>1883</v>
      </c>
      <c r="K29" s="25"/>
      <c r="L29" s="25"/>
      <c r="M29" s="31"/>
      <c r="N29" s="31"/>
      <c r="O29" s="77" t="s">
        <v>159</v>
      </c>
      <c r="P29" s="25"/>
      <c r="Q29" s="25">
        <v>420</v>
      </c>
      <c r="R29" s="25">
        <v>60</v>
      </c>
      <c r="S29" s="25"/>
      <c r="T29" s="25"/>
      <c r="U29" s="25">
        <v>120</v>
      </c>
      <c r="V29" s="25"/>
      <c r="W29" s="25"/>
      <c r="X29" s="25">
        <v>6.5</v>
      </c>
      <c r="Y29" s="79">
        <v>6.5</v>
      </c>
      <c r="Z29" s="25" t="s">
        <v>51</v>
      </c>
      <c r="AA29" s="25" t="s">
        <v>160</v>
      </c>
      <c r="AB29" s="25"/>
    </row>
    <row r="30" spans="1:28" ht="23.1" customHeight="1" x14ac:dyDescent="0.25">
      <c r="A30" s="53" t="s">
        <v>150</v>
      </c>
      <c r="B30" s="25" t="s">
        <v>110</v>
      </c>
      <c r="C30" s="31">
        <v>84</v>
      </c>
      <c r="D30" s="25" t="s">
        <v>2578</v>
      </c>
      <c r="E30" s="25" t="s">
        <v>122</v>
      </c>
      <c r="F30" s="21" t="s">
        <v>122</v>
      </c>
      <c r="G30" s="21" t="str">
        <f>VLOOKUP(D30,[6]成飞半成品!$A:$B,2,0)</f>
        <v>STA8510~9055右上大梁</v>
      </c>
      <c r="H30" s="25" t="s">
        <v>123</v>
      </c>
      <c r="I30" s="25">
        <v>50</v>
      </c>
      <c r="J30" s="25" t="s">
        <v>2417</v>
      </c>
      <c r="K30" s="25"/>
      <c r="L30" s="25">
        <v>2</v>
      </c>
      <c r="M30" s="31">
        <v>5</v>
      </c>
      <c r="N30" s="31">
        <v>5</v>
      </c>
      <c r="O30" s="77" t="s">
        <v>161</v>
      </c>
      <c r="P30" s="25"/>
      <c r="Q30" s="25">
        <v>360</v>
      </c>
      <c r="R30" s="25">
        <v>60</v>
      </c>
      <c r="S30" s="25"/>
      <c r="T30" s="25"/>
      <c r="U30" s="25">
        <v>120</v>
      </c>
      <c r="V30" s="25"/>
      <c r="W30" s="25"/>
      <c r="X30" s="25"/>
      <c r="Y30" s="79">
        <v>12</v>
      </c>
      <c r="Z30" s="25" t="s">
        <v>51</v>
      </c>
      <c r="AA30" s="25"/>
      <c r="AB30" s="25"/>
    </row>
    <row r="31" spans="1:28" ht="23.1" customHeight="1" x14ac:dyDescent="0.25">
      <c r="A31" s="53" t="s">
        <v>150</v>
      </c>
      <c r="B31" s="25" t="s">
        <v>110</v>
      </c>
      <c r="C31" s="31">
        <v>84</v>
      </c>
      <c r="D31" s="25" t="s">
        <v>162</v>
      </c>
      <c r="E31" s="25" t="s">
        <v>163</v>
      </c>
      <c r="F31" s="21" t="s">
        <v>163</v>
      </c>
      <c r="G31" s="21" t="str">
        <f>VLOOKUP(D31,[6]成飞半成品!$A:$B,2,0)</f>
        <v>排气下侧壁</v>
      </c>
      <c r="H31" s="25" t="s">
        <v>123</v>
      </c>
      <c r="I31" s="25">
        <v>35</v>
      </c>
      <c r="J31" s="25" t="s">
        <v>2418</v>
      </c>
      <c r="K31" s="25"/>
      <c r="L31" s="25">
        <v>1</v>
      </c>
      <c r="M31" s="31">
        <v>5</v>
      </c>
      <c r="N31" s="31">
        <v>5</v>
      </c>
      <c r="O31" s="77" t="s">
        <v>164</v>
      </c>
      <c r="P31" s="25"/>
      <c r="Q31" s="25">
        <v>260</v>
      </c>
      <c r="R31" s="25">
        <v>60</v>
      </c>
      <c r="S31" s="25"/>
      <c r="T31" s="25">
        <v>1</v>
      </c>
      <c r="U31" s="25">
        <v>90</v>
      </c>
      <c r="V31" s="25"/>
      <c r="W31" s="25">
        <v>1</v>
      </c>
      <c r="X31" s="25">
        <v>3</v>
      </c>
      <c r="Y31" s="79">
        <v>9.8000000000000007</v>
      </c>
      <c r="Z31" s="25" t="s">
        <v>51</v>
      </c>
      <c r="AA31" s="25" t="s">
        <v>165</v>
      </c>
      <c r="AB31" s="25"/>
    </row>
    <row r="32" spans="1:28" ht="23.1" customHeight="1" x14ac:dyDescent="0.25">
      <c r="A32" s="53" t="s">
        <v>150</v>
      </c>
      <c r="B32" s="25" t="s">
        <v>110</v>
      </c>
      <c r="C32" s="31">
        <v>119</v>
      </c>
      <c r="D32" s="25" t="s">
        <v>2551</v>
      </c>
      <c r="E32" s="25" t="s">
        <v>130</v>
      </c>
      <c r="F32" s="21" t="s">
        <v>2546</v>
      </c>
      <c r="G32" s="21" t="str">
        <f>VLOOKUP(D32,[6]成飞半成品!$A:$B,2,0)</f>
        <v>工装</v>
      </c>
      <c r="H32" s="25" t="s">
        <v>102</v>
      </c>
      <c r="I32" s="25">
        <v>70</v>
      </c>
      <c r="J32" s="25" t="s">
        <v>1874</v>
      </c>
      <c r="K32" s="25"/>
      <c r="L32" s="25"/>
      <c r="M32" s="31"/>
      <c r="N32" s="31"/>
      <c r="O32" s="77" t="s">
        <v>131</v>
      </c>
      <c r="P32" s="25"/>
      <c r="Q32" s="25">
        <v>2760</v>
      </c>
      <c r="R32" s="25">
        <v>120</v>
      </c>
      <c r="S32" s="25"/>
      <c r="T32" s="25"/>
      <c r="U32" s="25">
        <v>180</v>
      </c>
      <c r="V32" s="25"/>
      <c r="W32" s="25"/>
      <c r="X32" s="25">
        <v>6.5</v>
      </c>
      <c r="Y32" s="79">
        <v>6.5</v>
      </c>
      <c r="Z32" s="25" t="s">
        <v>51</v>
      </c>
      <c r="AA32" s="25" t="s">
        <v>166</v>
      </c>
      <c r="AB32" s="25"/>
    </row>
    <row r="33" spans="1:28" ht="23.1" customHeight="1" x14ac:dyDescent="0.25">
      <c r="A33" s="53" t="s">
        <v>150</v>
      </c>
      <c r="B33" s="25" t="s">
        <v>110</v>
      </c>
      <c r="C33" s="31">
        <v>69</v>
      </c>
      <c r="D33" s="25" t="s">
        <v>2558</v>
      </c>
      <c r="E33" s="25" t="s">
        <v>127</v>
      </c>
      <c r="F33" s="21" t="s">
        <v>127</v>
      </c>
      <c r="G33" s="21" t="str">
        <f>VLOOKUP(D33,[6]成飞半成品!$A:$B,2,0)</f>
        <v>樑</v>
      </c>
      <c r="H33" s="25" t="s">
        <v>102</v>
      </c>
      <c r="I33" s="25">
        <v>50</v>
      </c>
      <c r="J33" s="25" t="s">
        <v>1886</v>
      </c>
      <c r="K33" s="25"/>
      <c r="L33" s="25">
        <v>0.2</v>
      </c>
      <c r="M33" s="31"/>
      <c r="N33" s="31">
        <v>37</v>
      </c>
      <c r="O33" s="77" t="s">
        <v>128</v>
      </c>
      <c r="P33" s="25"/>
      <c r="Q33" s="25">
        <v>6000</v>
      </c>
      <c r="R33" s="25">
        <v>120</v>
      </c>
      <c r="S33" s="25"/>
      <c r="T33" s="25"/>
      <c r="U33" s="25">
        <v>240</v>
      </c>
      <c r="V33" s="25"/>
      <c r="W33" s="25"/>
      <c r="X33" s="25"/>
      <c r="Y33" s="79">
        <v>20</v>
      </c>
      <c r="Z33" s="25" t="s">
        <v>51</v>
      </c>
      <c r="AA33" s="25"/>
      <c r="AB33" s="25"/>
    </row>
    <row r="34" spans="1:28" ht="23.1" customHeight="1" x14ac:dyDescent="0.25">
      <c r="A34" s="53" t="s">
        <v>150</v>
      </c>
      <c r="B34" s="25" t="s">
        <v>110</v>
      </c>
      <c r="C34" s="31">
        <v>69</v>
      </c>
      <c r="D34" s="25" t="s">
        <v>2558</v>
      </c>
      <c r="E34" s="25" t="s">
        <v>127</v>
      </c>
      <c r="F34" s="21" t="s">
        <v>127</v>
      </c>
      <c r="G34" s="21" t="str">
        <f>VLOOKUP(D34,[6]成飞半成品!$A:$B,2,0)</f>
        <v>樑</v>
      </c>
      <c r="H34" s="25" t="s">
        <v>102</v>
      </c>
      <c r="I34" s="25">
        <v>50</v>
      </c>
      <c r="J34" s="25" t="s">
        <v>1886</v>
      </c>
      <c r="K34" s="25"/>
      <c r="L34" s="25"/>
      <c r="M34" s="31"/>
      <c r="N34" s="31">
        <v>5</v>
      </c>
      <c r="O34" s="77" t="s">
        <v>128</v>
      </c>
      <c r="P34" s="25"/>
      <c r="Q34" s="25">
        <v>6000</v>
      </c>
      <c r="R34" s="25">
        <v>120</v>
      </c>
      <c r="S34" s="25"/>
      <c r="T34" s="25"/>
      <c r="U34" s="25">
        <v>240</v>
      </c>
      <c r="V34" s="25"/>
      <c r="W34" s="25"/>
      <c r="X34" s="25">
        <v>5</v>
      </c>
      <c r="Y34" s="79">
        <v>5</v>
      </c>
      <c r="Z34" s="25" t="s">
        <v>51</v>
      </c>
      <c r="AA34" s="25" t="s">
        <v>167</v>
      </c>
      <c r="AB34" s="25"/>
    </row>
    <row r="35" spans="1:28" ht="23.1" customHeight="1" x14ac:dyDescent="0.25">
      <c r="A35" s="53" t="s">
        <v>150</v>
      </c>
      <c r="B35" s="25" t="s">
        <v>110</v>
      </c>
      <c r="C35" s="31">
        <v>91</v>
      </c>
      <c r="D35" s="25" t="s">
        <v>116</v>
      </c>
      <c r="E35" s="25" t="s">
        <v>117</v>
      </c>
      <c r="F35" s="21" t="s">
        <v>117</v>
      </c>
      <c r="G35" s="21" t="str">
        <f>VLOOKUP(D35,[6]成飞半成品!$A:$B,2,0)</f>
        <v>7820~8270侧上梁</v>
      </c>
      <c r="H35" s="25" t="s">
        <v>118</v>
      </c>
      <c r="I35" s="25">
        <v>40</v>
      </c>
      <c r="J35" s="25" t="s">
        <v>1872</v>
      </c>
      <c r="K35" s="25"/>
      <c r="L35" s="25">
        <v>1</v>
      </c>
      <c r="M35" s="31"/>
      <c r="N35" s="31">
        <v>5</v>
      </c>
      <c r="O35" s="77" t="s">
        <v>168</v>
      </c>
      <c r="P35" s="25"/>
      <c r="Q35" s="25">
        <v>450</v>
      </c>
      <c r="R35" s="25">
        <v>60</v>
      </c>
      <c r="S35" s="25"/>
      <c r="T35" s="25">
        <v>1</v>
      </c>
      <c r="U35" s="25">
        <v>120</v>
      </c>
      <c r="V35" s="25"/>
      <c r="W35" s="25"/>
      <c r="X35" s="25"/>
      <c r="Y35" s="79">
        <v>8.5</v>
      </c>
      <c r="Z35" s="25" t="s">
        <v>51</v>
      </c>
      <c r="AA35" s="25" t="s">
        <v>145</v>
      </c>
      <c r="AB35" s="25"/>
    </row>
    <row r="36" spans="1:28" ht="23.1" customHeight="1" x14ac:dyDescent="0.25">
      <c r="A36" s="53" t="s">
        <v>150</v>
      </c>
      <c r="B36" s="25" t="s">
        <v>110</v>
      </c>
      <c r="C36" s="31">
        <v>91</v>
      </c>
      <c r="D36" s="25" t="s">
        <v>169</v>
      </c>
      <c r="E36" s="25" t="s">
        <v>170</v>
      </c>
      <c r="F36" s="21" t="e">
        <v>#N/A</v>
      </c>
      <c r="G36" s="21" t="e">
        <f>VLOOKUP(D36,[6]成飞半成品!$A:$B,2,0)</f>
        <v>#N/A</v>
      </c>
      <c r="H36" s="25" t="s">
        <v>118</v>
      </c>
      <c r="I36" s="25">
        <v>25</v>
      </c>
      <c r="J36" s="25" t="s">
        <v>2419</v>
      </c>
      <c r="K36" s="25"/>
      <c r="L36" s="25">
        <v>2</v>
      </c>
      <c r="M36" s="31">
        <v>5</v>
      </c>
      <c r="N36" s="31">
        <v>5</v>
      </c>
      <c r="O36" s="77" t="s">
        <v>171</v>
      </c>
      <c r="P36" s="25"/>
      <c r="Q36" s="25">
        <v>630</v>
      </c>
      <c r="R36" s="25">
        <v>90</v>
      </c>
      <c r="S36" s="25"/>
      <c r="T36" s="25">
        <v>1</v>
      </c>
      <c r="U36" s="25">
        <v>180</v>
      </c>
      <c r="V36" s="25"/>
      <c r="W36" s="25">
        <v>1</v>
      </c>
      <c r="X36" s="25">
        <v>5</v>
      </c>
      <c r="Y36" s="79">
        <v>30.5</v>
      </c>
      <c r="Z36" s="25" t="s">
        <v>51</v>
      </c>
      <c r="AA36" s="25" t="s">
        <v>172</v>
      </c>
      <c r="AB36" s="25"/>
    </row>
    <row r="37" spans="1:28" ht="23.1" customHeight="1" x14ac:dyDescent="0.25">
      <c r="A37" s="53" t="s">
        <v>150</v>
      </c>
      <c r="B37" s="25" t="s">
        <v>110</v>
      </c>
      <c r="C37" s="31">
        <v>108</v>
      </c>
      <c r="D37" s="25" t="s">
        <v>173</v>
      </c>
      <c r="E37" s="25" t="s">
        <v>174</v>
      </c>
      <c r="F37" s="21" t="s">
        <v>1246</v>
      </c>
      <c r="G37" s="21" t="str">
        <f>VLOOKUP(D37,[6]成飞半成品!$A:$B,2,0)</f>
        <v>根肋后段</v>
      </c>
      <c r="H37" s="25" t="s">
        <v>154</v>
      </c>
      <c r="I37" s="25">
        <v>5</v>
      </c>
      <c r="J37" s="25" t="s">
        <v>1888</v>
      </c>
      <c r="K37" s="25"/>
      <c r="L37" s="25">
        <v>2</v>
      </c>
      <c r="M37" s="31">
        <v>5</v>
      </c>
      <c r="N37" s="31">
        <v>5</v>
      </c>
      <c r="O37" s="77" t="s">
        <v>175</v>
      </c>
      <c r="P37" s="25"/>
      <c r="Q37" s="25">
        <v>600</v>
      </c>
      <c r="R37" s="25">
        <v>120</v>
      </c>
      <c r="S37" s="25"/>
      <c r="T37" s="25">
        <v>2</v>
      </c>
      <c r="U37" s="25">
        <v>120</v>
      </c>
      <c r="V37" s="25"/>
      <c r="W37" s="25">
        <v>1</v>
      </c>
      <c r="X37" s="25"/>
      <c r="Y37" s="79">
        <v>26</v>
      </c>
      <c r="Z37" s="25" t="s">
        <v>13</v>
      </c>
      <c r="AA37" s="25" t="s">
        <v>176</v>
      </c>
      <c r="AB37" s="25"/>
    </row>
    <row r="38" spans="1:28" ht="23.1" customHeight="1" x14ac:dyDescent="0.25">
      <c r="A38" s="53" t="s">
        <v>150</v>
      </c>
      <c r="B38" s="25" t="s">
        <v>110</v>
      </c>
      <c r="C38" s="31">
        <v>107</v>
      </c>
      <c r="D38" s="25" t="s">
        <v>177</v>
      </c>
      <c r="E38" s="25" t="s">
        <v>133</v>
      </c>
      <c r="F38" s="21" t="s">
        <v>133</v>
      </c>
      <c r="G38" s="21" t="str">
        <f>VLOOKUP(D38,[6]成飞半成品!$A:$B,2,0)</f>
        <v>摇臂</v>
      </c>
      <c r="H38" s="25" t="s">
        <v>102</v>
      </c>
      <c r="I38" s="25">
        <v>95</v>
      </c>
      <c r="J38" s="25" t="s">
        <v>2374</v>
      </c>
      <c r="K38" s="25"/>
      <c r="L38" s="25">
        <v>0.5</v>
      </c>
      <c r="M38" s="31"/>
      <c r="N38" s="31">
        <v>5</v>
      </c>
      <c r="O38" s="77" t="s">
        <v>103</v>
      </c>
      <c r="P38" s="25"/>
      <c r="Q38" s="25">
        <v>700</v>
      </c>
      <c r="R38" s="25">
        <v>60</v>
      </c>
      <c r="S38" s="25"/>
      <c r="T38" s="25"/>
      <c r="U38" s="25">
        <v>120</v>
      </c>
      <c r="V38" s="25"/>
      <c r="W38" s="25"/>
      <c r="X38" s="25"/>
      <c r="Y38" s="79">
        <v>5.8</v>
      </c>
      <c r="Z38" s="25" t="s">
        <v>13</v>
      </c>
      <c r="AA38" s="25" t="s">
        <v>151</v>
      </c>
      <c r="AB38" s="25"/>
    </row>
    <row r="39" spans="1:28" ht="23.1" customHeight="1" x14ac:dyDescent="0.25">
      <c r="A39" s="53" t="s">
        <v>150</v>
      </c>
      <c r="B39" s="25" t="s">
        <v>110</v>
      </c>
      <c r="C39" s="31">
        <v>107</v>
      </c>
      <c r="D39" s="25" t="s">
        <v>177</v>
      </c>
      <c r="E39" s="25" t="s">
        <v>133</v>
      </c>
      <c r="F39" s="21" t="s">
        <v>133</v>
      </c>
      <c r="G39" s="21" t="str">
        <f>VLOOKUP(D39,[6]成飞半成品!$A:$B,2,0)</f>
        <v>摇臂</v>
      </c>
      <c r="H39" s="25" t="s">
        <v>102</v>
      </c>
      <c r="I39" s="25">
        <v>100</v>
      </c>
      <c r="J39" s="25" t="s">
        <v>1889</v>
      </c>
      <c r="K39" s="25"/>
      <c r="L39" s="25">
        <v>0.1</v>
      </c>
      <c r="M39" s="31"/>
      <c r="N39" s="31">
        <v>5</v>
      </c>
      <c r="O39" s="77" t="s">
        <v>103</v>
      </c>
      <c r="P39" s="25"/>
      <c r="Q39" s="25">
        <v>720</v>
      </c>
      <c r="R39" s="25">
        <v>60</v>
      </c>
      <c r="S39" s="25"/>
      <c r="T39" s="25">
        <v>1</v>
      </c>
      <c r="U39" s="25">
        <v>120</v>
      </c>
      <c r="V39" s="25"/>
      <c r="W39" s="25">
        <v>1</v>
      </c>
      <c r="X39" s="25"/>
      <c r="Y39" s="79">
        <v>4.2</v>
      </c>
      <c r="Z39" s="25" t="s">
        <v>13</v>
      </c>
      <c r="AA39" s="25" t="s">
        <v>178</v>
      </c>
      <c r="AB39" s="25"/>
    </row>
    <row r="40" spans="1:28" ht="23.1" customHeight="1" x14ac:dyDescent="0.25">
      <c r="A40" s="53" t="s">
        <v>179</v>
      </c>
      <c r="B40" s="25" t="s">
        <v>99</v>
      </c>
      <c r="C40" s="31">
        <v>79</v>
      </c>
      <c r="D40" s="25" t="s">
        <v>152</v>
      </c>
      <c r="E40" s="25" t="s">
        <v>153</v>
      </c>
      <c r="F40" s="21" t="s">
        <v>1247</v>
      </c>
      <c r="G40" s="21" t="str">
        <f>VLOOKUP(D40,[6]成飞半成品!$A:$B,2,0)</f>
        <v>根肋前段</v>
      </c>
      <c r="H40" s="25" t="s">
        <v>154</v>
      </c>
      <c r="I40" s="25">
        <v>5</v>
      </c>
      <c r="J40" s="25" t="s">
        <v>2376</v>
      </c>
      <c r="K40" s="25"/>
      <c r="L40" s="25">
        <v>1</v>
      </c>
      <c r="M40" s="31"/>
      <c r="N40" s="31">
        <v>31</v>
      </c>
      <c r="O40" s="77" t="s">
        <v>180</v>
      </c>
      <c r="P40" s="25"/>
      <c r="Q40" s="25">
        <v>770</v>
      </c>
      <c r="R40" s="25">
        <v>120</v>
      </c>
      <c r="S40" s="25"/>
      <c r="T40" s="25">
        <v>1</v>
      </c>
      <c r="U40" s="25">
        <v>120</v>
      </c>
      <c r="V40" s="25"/>
      <c r="W40" s="25"/>
      <c r="X40" s="25"/>
      <c r="Y40" s="79">
        <v>14.8</v>
      </c>
      <c r="Z40" s="25" t="s">
        <v>45</v>
      </c>
      <c r="AA40" s="25" t="s">
        <v>145</v>
      </c>
      <c r="AB40" s="25"/>
    </row>
    <row r="41" spans="1:28" ht="23.1" customHeight="1" x14ac:dyDescent="0.25">
      <c r="A41" s="53" t="s">
        <v>179</v>
      </c>
      <c r="B41" s="25" t="s">
        <v>99</v>
      </c>
      <c r="C41" s="31">
        <v>78</v>
      </c>
      <c r="D41" s="25" t="s">
        <v>132</v>
      </c>
      <c r="E41" s="25" t="s">
        <v>133</v>
      </c>
      <c r="F41" s="21" t="s">
        <v>133</v>
      </c>
      <c r="G41" s="21" t="str">
        <f>VLOOKUP(D41,[6]成飞半成品!$A:$B,2,0)</f>
        <v>摇臂</v>
      </c>
      <c r="H41" s="25" t="s">
        <v>102</v>
      </c>
      <c r="I41" s="25">
        <v>65</v>
      </c>
      <c r="J41" s="25" t="s">
        <v>2373</v>
      </c>
      <c r="K41" s="25"/>
      <c r="L41" s="25">
        <v>0.2</v>
      </c>
      <c r="M41" s="31"/>
      <c r="N41" s="31">
        <v>28</v>
      </c>
      <c r="O41" s="77" t="s">
        <v>103</v>
      </c>
      <c r="P41" s="25"/>
      <c r="Q41" s="25">
        <v>660</v>
      </c>
      <c r="R41" s="25">
        <v>60</v>
      </c>
      <c r="S41" s="25"/>
      <c r="T41" s="25"/>
      <c r="U41" s="25">
        <v>120</v>
      </c>
      <c r="V41" s="25"/>
      <c r="W41" s="25"/>
      <c r="X41" s="25"/>
      <c r="Y41" s="79">
        <v>2.2000000000000002</v>
      </c>
      <c r="Z41" s="25" t="s">
        <v>45</v>
      </c>
      <c r="AA41" s="25" t="s">
        <v>181</v>
      </c>
      <c r="AB41" s="25"/>
    </row>
    <row r="42" spans="1:28" ht="23.1" customHeight="1" x14ac:dyDescent="0.25">
      <c r="A42" s="53" t="s">
        <v>179</v>
      </c>
      <c r="B42" s="25" t="s">
        <v>110</v>
      </c>
      <c r="C42" s="31">
        <v>24</v>
      </c>
      <c r="D42" s="25" t="s">
        <v>2551</v>
      </c>
      <c r="E42" s="25" t="s">
        <v>130</v>
      </c>
      <c r="F42" s="21" t="s">
        <v>2547</v>
      </c>
      <c r="G42" s="21" t="str">
        <f>VLOOKUP(D42,[6]成飞半成品!$A:$B,2,0)</f>
        <v>工装</v>
      </c>
      <c r="H42" s="25" t="s">
        <v>102</v>
      </c>
      <c r="I42" s="25">
        <v>70</v>
      </c>
      <c r="J42" s="25" t="s">
        <v>2411</v>
      </c>
      <c r="K42" s="25"/>
      <c r="L42" s="25">
        <v>0.6</v>
      </c>
      <c r="M42" s="31"/>
      <c r="N42" s="31">
        <v>28</v>
      </c>
      <c r="O42" s="77" t="s">
        <v>131</v>
      </c>
      <c r="P42" s="25"/>
      <c r="Q42" s="25">
        <v>2760</v>
      </c>
      <c r="R42" s="25">
        <v>120</v>
      </c>
      <c r="S42" s="25"/>
      <c r="T42" s="25"/>
      <c r="U42" s="25">
        <v>180</v>
      </c>
      <c r="V42" s="25"/>
      <c r="W42" s="25">
        <v>1</v>
      </c>
      <c r="X42" s="25"/>
      <c r="Y42" s="79">
        <v>30.6</v>
      </c>
      <c r="Z42" s="25" t="s">
        <v>51</v>
      </c>
      <c r="AA42" s="25" t="s">
        <v>183</v>
      </c>
      <c r="AB42" s="25"/>
    </row>
    <row r="43" spans="1:28" ht="23.1" customHeight="1" x14ac:dyDescent="0.25">
      <c r="A43" s="53" t="s">
        <v>179</v>
      </c>
      <c r="B43" s="25" t="s">
        <v>110</v>
      </c>
      <c r="C43" s="31">
        <v>84</v>
      </c>
      <c r="D43" s="25" t="s">
        <v>162</v>
      </c>
      <c r="E43" s="25" t="s">
        <v>163</v>
      </c>
      <c r="F43" s="21" t="s">
        <v>163</v>
      </c>
      <c r="G43" s="21" t="str">
        <f>VLOOKUP(D43,[6]成飞半成品!$A:$B,2,0)</f>
        <v>排气下侧壁</v>
      </c>
      <c r="H43" s="25" t="s">
        <v>123</v>
      </c>
      <c r="I43" s="25">
        <v>35</v>
      </c>
      <c r="J43" s="25" t="s">
        <v>1885</v>
      </c>
      <c r="K43" s="25"/>
      <c r="L43" s="25">
        <v>3</v>
      </c>
      <c r="M43" s="31">
        <v>5</v>
      </c>
      <c r="N43" s="31">
        <v>31</v>
      </c>
      <c r="O43" s="77" t="s">
        <v>164</v>
      </c>
      <c r="P43" s="25"/>
      <c r="Q43" s="25">
        <v>260</v>
      </c>
      <c r="R43" s="25">
        <v>60</v>
      </c>
      <c r="S43" s="25"/>
      <c r="T43" s="25">
        <v>3</v>
      </c>
      <c r="U43" s="25">
        <v>90</v>
      </c>
      <c r="V43" s="25"/>
      <c r="W43" s="25"/>
      <c r="X43" s="25"/>
      <c r="Y43" s="79">
        <v>16</v>
      </c>
      <c r="Z43" s="25" t="s">
        <v>51</v>
      </c>
      <c r="AA43" s="25" t="s">
        <v>125</v>
      </c>
      <c r="AB43" s="25"/>
    </row>
    <row r="44" spans="1:28" ht="23.1" customHeight="1" x14ac:dyDescent="0.25">
      <c r="A44" s="53" t="s">
        <v>179</v>
      </c>
      <c r="B44" s="25" t="s">
        <v>110</v>
      </c>
      <c r="C44" s="31">
        <v>69</v>
      </c>
      <c r="D44" s="25" t="s">
        <v>2558</v>
      </c>
      <c r="E44" s="25" t="s">
        <v>127</v>
      </c>
      <c r="F44" s="21" t="s">
        <v>127</v>
      </c>
      <c r="G44" s="21" t="str">
        <f>VLOOKUP(D44,[6]成飞半成品!$A:$B,2,0)</f>
        <v>樑</v>
      </c>
      <c r="H44" s="25" t="s">
        <v>102</v>
      </c>
      <c r="I44" s="25">
        <v>50</v>
      </c>
      <c r="J44" s="25" t="s">
        <v>1835</v>
      </c>
      <c r="K44" s="25"/>
      <c r="L44" s="25">
        <v>0.3</v>
      </c>
      <c r="M44" s="31"/>
      <c r="N44" s="31">
        <v>37</v>
      </c>
      <c r="O44" s="77" t="s">
        <v>128</v>
      </c>
      <c r="P44" s="25"/>
      <c r="Q44" s="25">
        <v>6000</v>
      </c>
      <c r="R44" s="25">
        <v>120</v>
      </c>
      <c r="S44" s="25"/>
      <c r="T44" s="25"/>
      <c r="U44" s="25">
        <v>240</v>
      </c>
      <c r="V44" s="25"/>
      <c r="W44" s="25"/>
      <c r="X44" s="25"/>
      <c r="Y44" s="79">
        <v>30</v>
      </c>
      <c r="Z44" s="25" t="s">
        <v>51</v>
      </c>
      <c r="AA44" s="25"/>
      <c r="AB44" s="25"/>
    </row>
    <row r="45" spans="1:28" ht="23.1" customHeight="1" x14ac:dyDescent="0.25">
      <c r="A45" s="53" t="s">
        <v>179</v>
      </c>
      <c r="B45" s="25" t="s">
        <v>110</v>
      </c>
      <c r="C45" s="31">
        <v>91</v>
      </c>
      <c r="D45" s="25" t="s">
        <v>169</v>
      </c>
      <c r="E45" s="25" t="s">
        <v>170</v>
      </c>
      <c r="F45" s="21" t="e">
        <v>#N/A</v>
      </c>
      <c r="G45" s="21" t="e">
        <f>VLOOKUP(D45,[6]成飞半成品!$A:$B,2,0)</f>
        <v>#N/A</v>
      </c>
      <c r="H45" s="25" t="s">
        <v>118</v>
      </c>
      <c r="I45" s="25">
        <v>25</v>
      </c>
      <c r="J45" s="25" t="s">
        <v>1887</v>
      </c>
      <c r="K45" s="25"/>
      <c r="L45" s="25">
        <v>1.8</v>
      </c>
      <c r="M45" s="31">
        <v>5</v>
      </c>
      <c r="N45" s="31">
        <v>28</v>
      </c>
      <c r="O45" s="77" t="s">
        <v>184</v>
      </c>
      <c r="P45" s="25"/>
      <c r="Q45" s="25">
        <v>630</v>
      </c>
      <c r="R45" s="25">
        <v>90</v>
      </c>
      <c r="S45" s="25"/>
      <c r="T45" s="25"/>
      <c r="U45" s="25">
        <v>180</v>
      </c>
      <c r="V45" s="25"/>
      <c r="W45" s="25"/>
      <c r="X45" s="25"/>
      <c r="Y45" s="79">
        <v>18.899999999999999</v>
      </c>
      <c r="Z45" s="25" t="s">
        <v>51</v>
      </c>
      <c r="AA45" s="25"/>
      <c r="AB45" s="25"/>
    </row>
    <row r="46" spans="1:28" ht="23.1" customHeight="1" x14ac:dyDescent="0.25">
      <c r="A46" s="53" t="s">
        <v>179</v>
      </c>
      <c r="B46" s="25" t="s">
        <v>110</v>
      </c>
      <c r="C46" s="31">
        <v>107</v>
      </c>
      <c r="D46" s="25" t="s">
        <v>177</v>
      </c>
      <c r="E46" s="25" t="s">
        <v>133</v>
      </c>
      <c r="F46" s="21" t="s">
        <v>133</v>
      </c>
      <c r="G46" s="21" t="str">
        <f>VLOOKUP(D46,[6]成飞半成品!$A:$B,2,0)</f>
        <v>摇臂</v>
      </c>
      <c r="H46" s="25" t="s">
        <v>102</v>
      </c>
      <c r="I46" s="25">
        <v>100</v>
      </c>
      <c r="J46" s="25" t="s">
        <v>2420</v>
      </c>
      <c r="K46" s="25"/>
      <c r="L46" s="25">
        <v>0.9</v>
      </c>
      <c r="M46" s="31"/>
      <c r="N46" s="31">
        <v>5</v>
      </c>
      <c r="O46" s="77" t="s">
        <v>103</v>
      </c>
      <c r="P46" s="25"/>
      <c r="Q46" s="25">
        <v>720</v>
      </c>
      <c r="R46" s="25">
        <v>60</v>
      </c>
      <c r="S46" s="25"/>
      <c r="T46" s="25">
        <v>2</v>
      </c>
      <c r="U46" s="25">
        <v>120</v>
      </c>
      <c r="V46" s="25"/>
      <c r="W46" s="25"/>
      <c r="X46" s="25"/>
      <c r="Y46" s="79">
        <v>12.8</v>
      </c>
      <c r="Z46" s="25" t="s">
        <v>13</v>
      </c>
      <c r="AA46" s="25" t="s">
        <v>185</v>
      </c>
      <c r="AB46" s="25"/>
    </row>
    <row r="47" spans="1:28" ht="23.1" customHeight="1" x14ac:dyDescent="0.25">
      <c r="A47" s="53" t="s">
        <v>179</v>
      </c>
      <c r="B47" s="25" t="s">
        <v>110</v>
      </c>
      <c r="C47" s="31">
        <v>108</v>
      </c>
      <c r="D47" s="25" t="s">
        <v>173</v>
      </c>
      <c r="E47" s="25" t="s">
        <v>174</v>
      </c>
      <c r="F47" s="21" t="s">
        <v>1246</v>
      </c>
      <c r="G47" s="21" t="str">
        <f>VLOOKUP(D47,[6]成飞半成品!$A:$B,2,0)</f>
        <v>根肋后段</v>
      </c>
      <c r="H47" s="25" t="s">
        <v>154</v>
      </c>
      <c r="I47" s="25">
        <v>5</v>
      </c>
      <c r="J47" s="25" t="s">
        <v>1888</v>
      </c>
      <c r="K47" s="25"/>
      <c r="L47" s="25">
        <v>2</v>
      </c>
      <c r="M47" s="31">
        <v>5</v>
      </c>
      <c r="N47" s="31">
        <v>5</v>
      </c>
      <c r="O47" s="77" t="s">
        <v>186</v>
      </c>
      <c r="P47" s="25"/>
      <c r="Q47" s="25">
        <v>600</v>
      </c>
      <c r="R47" s="25">
        <v>120</v>
      </c>
      <c r="S47" s="25"/>
      <c r="T47" s="25"/>
      <c r="U47" s="25">
        <v>120</v>
      </c>
      <c r="V47" s="25"/>
      <c r="W47" s="25"/>
      <c r="X47" s="25"/>
      <c r="Y47" s="79">
        <v>20</v>
      </c>
      <c r="Z47" s="25" t="s">
        <v>13</v>
      </c>
      <c r="AA47" s="25" t="s">
        <v>187</v>
      </c>
      <c r="AB47" s="25"/>
    </row>
    <row r="48" spans="1:28" ht="23.1" customHeight="1" x14ac:dyDescent="0.25">
      <c r="A48" s="53" t="s">
        <v>188</v>
      </c>
      <c r="B48" s="25" t="s">
        <v>99</v>
      </c>
      <c r="C48" s="31">
        <v>107</v>
      </c>
      <c r="D48" s="25" t="s">
        <v>2551</v>
      </c>
      <c r="E48" s="25" t="s">
        <v>190</v>
      </c>
      <c r="F48" s="21" t="e">
        <v>#N/A</v>
      </c>
      <c r="G48" s="21" t="str">
        <f>VLOOKUP(D48,[6]成飞半成品!$A:$B,2,0)</f>
        <v>工装</v>
      </c>
      <c r="H48" s="25" t="s">
        <v>102</v>
      </c>
      <c r="I48" s="25">
        <v>30</v>
      </c>
      <c r="J48" s="25"/>
      <c r="K48" s="25"/>
      <c r="L48" s="25">
        <v>1</v>
      </c>
      <c r="M48" s="31">
        <v>37</v>
      </c>
      <c r="N48" s="31"/>
      <c r="O48" s="77" t="s">
        <v>191</v>
      </c>
      <c r="P48" s="25"/>
      <c r="Q48" s="25"/>
      <c r="R48" s="25"/>
      <c r="S48" s="25"/>
      <c r="T48" s="25"/>
      <c r="U48" s="25"/>
      <c r="V48" s="25"/>
      <c r="W48" s="25"/>
      <c r="X48" s="25">
        <v>2</v>
      </c>
      <c r="Y48" s="79">
        <v>2</v>
      </c>
      <c r="Z48" s="25" t="s">
        <v>45</v>
      </c>
      <c r="AA48" s="25" t="s">
        <v>192</v>
      </c>
      <c r="AB48" s="25" t="s">
        <v>193</v>
      </c>
    </row>
    <row r="49" spans="1:28" ht="23.1" customHeight="1" x14ac:dyDescent="0.25">
      <c r="A49" s="53" t="s">
        <v>188</v>
      </c>
      <c r="B49" s="25" t="s">
        <v>99</v>
      </c>
      <c r="C49" s="31">
        <v>107</v>
      </c>
      <c r="D49" s="25" t="s">
        <v>194</v>
      </c>
      <c r="E49" s="25" t="s">
        <v>133</v>
      </c>
      <c r="F49" s="21" t="s">
        <v>133</v>
      </c>
      <c r="G49" s="21" t="str">
        <f>VLOOKUP(D49,[6]成飞半成品!$A:$B,2,0)</f>
        <v>摇臂</v>
      </c>
      <c r="H49" s="25" t="s">
        <v>102</v>
      </c>
      <c r="I49" s="25">
        <v>105</v>
      </c>
      <c r="J49" s="25" t="s">
        <v>1890</v>
      </c>
      <c r="K49" s="25"/>
      <c r="L49" s="25">
        <v>0.3</v>
      </c>
      <c r="M49" s="31"/>
      <c r="N49" s="31"/>
      <c r="O49" s="77" t="s">
        <v>195</v>
      </c>
      <c r="P49" s="25"/>
      <c r="Q49" s="25">
        <v>150</v>
      </c>
      <c r="R49" s="25">
        <v>60</v>
      </c>
      <c r="S49" s="25"/>
      <c r="T49" s="25">
        <v>1</v>
      </c>
      <c r="U49" s="25">
        <v>120</v>
      </c>
      <c r="V49" s="25"/>
      <c r="W49" s="25">
        <v>1</v>
      </c>
      <c r="X49" s="25"/>
      <c r="Y49" s="79">
        <v>3.8</v>
      </c>
      <c r="Z49" s="25" t="s">
        <v>45</v>
      </c>
      <c r="AA49" s="25" t="s">
        <v>196</v>
      </c>
      <c r="AB49" s="25" t="s">
        <v>193</v>
      </c>
    </row>
    <row r="50" spans="1:28" ht="23.1" customHeight="1" x14ac:dyDescent="0.25">
      <c r="A50" s="53" t="s">
        <v>188</v>
      </c>
      <c r="B50" s="25" t="s">
        <v>99</v>
      </c>
      <c r="C50" s="31">
        <v>17</v>
      </c>
      <c r="D50" s="25" t="s">
        <v>197</v>
      </c>
      <c r="E50" s="25" t="s">
        <v>198</v>
      </c>
      <c r="F50" s="21" t="e">
        <v>#N/A</v>
      </c>
      <c r="G50" s="21" t="e">
        <f>VLOOKUP(D50,[6]成飞半成品!$A:$B,2,0)</f>
        <v>#N/A</v>
      </c>
      <c r="H50" s="25" t="s">
        <v>154</v>
      </c>
      <c r="I50" s="25">
        <v>25</v>
      </c>
      <c r="J50" s="25" t="s">
        <v>1849</v>
      </c>
      <c r="K50" s="25">
        <v>1</v>
      </c>
      <c r="L50" s="25">
        <v>2</v>
      </c>
      <c r="M50" s="31">
        <v>28</v>
      </c>
      <c r="N50" s="31">
        <v>28</v>
      </c>
      <c r="O50" s="77" t="s">
        <v>199</v>
      </c>
      <c r="P50" s="25"/>
      <c r="Q50" s="25">
        <v>560</v>
      </c>
      <c r="R50" s="25"/>
      <c r="S50" s="25"/>
      <c r="T50" s="25"/>
      <c r="U50" s="25">
        <v>60</v>
      </c>
      <c r="V50" s="25"/>
      <c r="W50" s="25"/>
      <c r="X50" s="25"/>
      <c r="Y50" s="79">
        <v>18.7</v>
      </c>
      <c r="Z50" s="25" t="s">
        <v>43</v>
      </c>
      <c r="AA50" s="25"/>
      <c r="AB50" s="25"/>
    </row>
    <row r="51" spans="1:28" ht="23.1" customHeight="1" x14ac:dyDescent="0.25">
      <c r="A51" s="53" t="s">
        <v>188</v>
      </c>
      <c r="B51" s="25" t="s">
        <v>99</v>
      </c>
      <c r="C51" s="31">
        <v>11</v>
      </c>
      <c r="D51" s="25" t="s">
        <v>200</v>
      </c>
      <c r="E51" s="25" t="s">
        <v>201</v>
      </c>
      <c r="F51" s="21" t="s">
        <v>317</v>
      </c>
      <c r="G51" s="21" t="str">
        <f>VLOOKUP(D51,[6]成飞半成品!$A:$B,2,0)</f>
        <v>角盒</v>
      </c>
      <c r="H51" s="25" t="s">
        <v>154</v>
      </c>
      <c r="I51" s="25">
        <v>30</v>
      </c>
      <c r="J51" s="25" t="s">
        <v>1891</v>
      </c>
      <c r="K51" s="25"/>
      <c r="L51" s="25">
        <v>20</v>
      </c>
      <c r="M51" s="31">
        <v>28</v>
      </c>
      <c r="N51" s="31">
        <v>31</v>
      </c>
      <c r="O51" s="77" t="s">
        <v>202</v>
      </c>
      <c r="P51" s="25"/>
      <c r="Q51" s="25">
        <v>25</v>
      </c>
      <c r="R51" s="25"/>
      <c r="S51" s="25"/>
      <c r="T51" s="25"/>
      <c r="U51" s="25">
        <v>60</v>
      </c>
      <c r="V51" s="25"/>
      <c r="W51" s="25">
        <v>1</v>
      </c>
      <c r="X51" s="25"/>
      <c r="Y51" s="79">
        <v>9.3000000000000007</v>
      </c>
      <c r="Z51" s="25" t="s">
        <v>38</v>
      </c>
      <c r="AA51" s="25" t="s">
        <v>92</v>
      </c>
      <c r="AB51" s="25"/>
    </row>
    <row r="52" spans="1:28" ht="23.1" customHeight="1" x14ac:dyDescent="0.25">
      <c r="A52" s="53" t="s">
        <v>188</v>
      </c>
      <c r="B52" s="25" t="s">
        <v>99</v>
      </c>
      <c r="C52" s="31">
        <v>11</v>
      </c>
      <c r="D52" s="25" t="s">
        <v>203</v>
      </c>
      <c r="E52" s="25" t="s">
        <v>204</v>
      </c>
      <c r="F52" s="21" t="s">
        <v>317</v>
      </c>
      <c r="G52" s="21" t="str">
        <f>VLOOKUP(D52,[6]成飞半成品!$A:$B,2,0)</f>
        <v>角盒</v>
      </c>
      <c r="H52" s="25" t="s">
        <v>154</v>
      </c>
      <c r="I52" s="25">
        <v>30</v>
      </c>
      <c r="J52" s="25" t="s">
        <v>2421</v>
      </c>
      <c r="K52" s="25"/>
      <c r="L52" s="25">
        <v>20</v>
      </c>
      <c r="M52" s="31">
        <v>31</v>
      </c>
      <c r="N52" s="31">
        <v>31</v>
      </c>
      <c r="O52" s="77" t="s">
        <v>202</v>
      </c>
      <c r="P52" s="25"/>
      <c r="Q52" s="25">
        <v>25</v>
      </c>
      <c r="R52" s="25"/>
      <c r="S52" s="25"/>
      <c r="T52" s="25"/>
      <c r="U52" s="25">
        <v>60</v>
      </c>
      <c r="V52" s="25"/>
      <c r="W52" s="25">
        <v>1</v>
      </c>
      <c r="X52" s="25"/>
      <c r="Y52" s="79">
        <v>9.3000000000000007</v>
      </c>
      <c r="Z52" s="25" t="s">
        <v>38</v>
      </c>
      <c r="AA52" s="25" t="s">
        <v>92</v>
      </c>
      <c r="AB52" s="25"/>
    </row>
    <row r="53" spans="1:28" ht="23.1" customHeight="1" x14ac:dyDescent="0.25">
      <c r="A53" s="53" t="s">
        <v>188</v>
      </c>
      <c r="B53" s="25" t="s">
        <v>99</v>
      </c>
      <c r="C53" s="31">
        <v>18</v>
      </c>
      <c r="D53" s="25" t="s">
        <v>205</v>
      </c>
      <c r="E53" s="25" t="s">
        <v>206</v>
      </c>
      <c r="F53" s="21" t="s">
        <v>206</v>
      </c>
      <c r="G53" s="21" t="str">
        <f>VLOOKUP(D53,[6]成飞半成品!$A:$B,2,0)</f>
        <v>卡环</v>
      </c>
      <c r="H53" s="25" t="s">
        <v>123</v>
      </c>
      <c r="I53" s="25">
        <v>20</v>
      </c>
      <c r="J53" s="25" t="s">
        <v>1880</v>
      </c>
      <c r="K53" s="25">
        <v>2</v>
      </c>
      <c r="L53" s="25">
        <v>2</v>
      </c>
      <c r="M53" s="31">
        <v>28</v>
      </c>
      <c r="N53" s="31">
        <v>28</v>
      </c>
      <c r="O53" s="77" t="s">
        <v>207</v>
      </c>
      <c r="P53" s="25"/>
      <c r="Q53" s="25">
        <v>120</v>
      </c>
      <c r="R53" s="25"/>
      <c r="S53" s="25"/>
      <c r="T53" s="25"/>
      <c r="U53" s="25">
        <v>90</v>
      </c>
      <c r="V53" s="25"/>
      <c r="W53" s="25"/>
      <c r="X53" s="25">
        <v>2</v>
      </c>
      <c r="Y53" s="79">
        <v>6</v>
      </c>
      <c r="Z53" s="25" t="s">
        <v>43</v>
      </c>
      <c r="AA53" s="25" t="s">
        <v>208</v>
      </c>
      <c r="AB53" s="25"/>
    </row>
    <row r="54" spans="1:28" ht="23.1" customHeight="1" x14ac:dyDescent="0.25">
      <c r="A54" s="53" t="s">
        <v>188</v>
      </c>
      <c r="B54" s="25" t="s">
        <v>99</v>
      </c>
      <c r="C54" s="31">
        <v>18</v>
      </c>
      <c r="D54" s="25" t="s">
        <v>205</v>
      </c>
      <c r="E54" s="25" t="s">
        <v>206</v>
      </c>
      <c r="F54" s="21" t="s">
        <v>206</v>
      </c>
      <c r="G54" s="21" t="str">
        <f>VLOOKUP(D54,[6]成飞半成品!$A:$B,2,0)</f>
        <v>卡环</v>
      </c>
      <c r="H54" s="25" t="s">
        <v>123</v>
      </c>
      <c r="I54" s="25">
        <v>25</v>
      </c>
      <c r="J54" s="25" t="s">
        <v>2422</v>
      </c>
      <c r="K54" s="25">
        <v>0.5</v>
      </c>
      <c r="L54" s="25">
        <v>0.5</v>
      </c>
      <c r="M54" s="31">
        <v>26</v>
      </c>
      <c r="N54" s="31"/>
      <c r="O54" s="77" t="s">
        <v>209</v>
      </c>
      <c r="P54" s="25"/>
      <c r="Q54" s="25">
        <v>720</v>
      </c>
      <c r="R54" s="25"/>
      <c r="S54" s="25"/>
      <c r="T54" s="25"/>
      <c r="U54" s="25">
        <v>90</v>
      </c>
      <c r="V54" s="25"/>
      <c r="W54" s="25">
        <v>1</v>
      </c>
      <c r="X54" s="25"/>
      <c r="Y54" s="79">
        <v>7.5</v>
      </c>
      <c r="Z54" s="25" t="s">
        <v>43</v>
      </c>
      <c r="AA54" s="25" t="s">
        <v>210</v>
      </c>
      <c r="AB54" s="25"/>
    </row>
    <row r="55" spans="1:28" ht="23.1" customHeight="1" x14ac:dyDescent="0.25">
      <c r="A55" s="53" t="s">
        <v>188</v>
      </c>
      <c r="B55" s="25" t="s">
        <v>99</v>
      </c>
      <c r="C55" s="31">
        <v>77</v>
      </c>
      <c r="D55" s="25" t="s">
        <v>211</v>
      </c>
      <c r="E55" s="25" t="s">
        <v>212</v>
      </c>
      <c r="F55" s="21" t="s">
        <v>212</v>
      </c>
      <c r="G55" s="21" t="str">
        <f>VLOOKUP(D55,[6]成飞半成品!$A:$B,2,0)</f>
        <v>压板</v>
      </c>
      <c r="H55" s="25" t="s">
        <v>123</v>
      </c>
      <c r="I55" s="25">
        <v>15</v>
      </c>
      <c r="J55" s="25" t="s">
        <v>1893</v>
      </c>
      <c r="K55" s="25">
        <v>8</v>
      </c>
      <c r="L55" s="25">
        <v>9</v>
      </c>
      <c r="M55" s="31">
        <v>31</v>
      </c>
      <c r="N55" s="31">
        <v>37</v>
      </c>
      <c r="O55" s="77" t="s">
        <v>213</v>
      </c>
      <c r="P55" s="25">
        <v>100</v>
      </c>
      <c r="Q55" s="25">
        <v>60</v>
      </c>
      <c r="R55" s="25"/>
      <c r="S55" s="25"/>
      <c r="T55" s="25"/>
      <c r="U55" s="25">
        <v>90</v>
      </c>
      <c r="V55" s="25"/>
      <c r="W55" s="25"/>
      <c r="X55" s="25"/>
      <c r="Y55" s="83">
        <v>15</v>
      </c>
      <c r="Z55" s="25" t="s">
        <v>15</v>
      </c>
      <c r="AA55" s="25"/>
      <c r="AB55" s="25"/>
    </row>
    <row r="56" spans="1:28" ht="23.1" customHeight="1" x14ac:dyDescent="0.25">
      <c r="A56" s="53" t="s">
        <v>188</v>
      </c>
      <c r="B56" s="25" t="s">
        <v>99</v>
      </c>
      <c r="C56" s="31">
        <v>58</v>
      </c>
      <c r="D56" s="25" t="s">
        <v>214</v>
      </c>
      <c r="E56" s="25" t="s">
        <v>215</v>
      </c>
      <c r="F56" s="21" t="s">
        <v>215</v>
      </c>
      <c r="G56" s="21" t="str">
        <f>VLOOKUP(D56,[6]成飞半成品!$A:$B,2,0)</f>
        <v>口盖</v>
      </c>
      <c r="H56" s="25" t="s">
        <v>118</v>
      </c>
      <c r="I56" s="25">
        <v>25</v>
      </c>
      <c r="J56" s="25" t="s">
        <v>2423</v>
      </c>
      <c r="K56" s="25">
        <v>4</v>
      </c>
      <c r="L56" s="25">
        <v>1</v>
      </c>
      <c r="M56" s="31">
        <v>19</v>
      </c>
      <c r="N56" s="31"/>
      <c r="O56" s="77" t="s">
        <v>216</v>
      </c>
      <c r="P56" s="25"/>
      <c r="Q56" s="25">
        <v>170</v>
      </c>
      <c r="R56" s="25"/>
      <c r="S56" s="25"/>
      <c r="T56" s="25"/>
      <c r="U56" s="25">
        <v>60</v>
      </c>
      <c r="V56" s="25"/>
      <c r="W56" s="25"/>
      <c r="X56" s="25"/>
      <c r="Y56" s="79">
        <v>2.8</v>
      </c>
      <c r="Z56" s="25" t="s">
        <v>15</v>
      </c>
      <c r="AA56" s="25"/>
      <c r="AB56" s="25"/>
    </row>
    <row r="57" spans="1:28" ht="23.1" customHeight="1" x14ac:dyDescent="0.25">
      <c r="A57" s="53" t="s">
        <v>188</v>
      </c>
      <c r="B57" s="25" t="s">
        <v>99</v>
      </c>
      <c r="C57" s="31">
        <v>15</v>
      </c>
      <c r="D57" s="25" t="s">
        <v>217</v>
      </c>
      <c r="E57" s="25" t="s">
        <v>218</v>
      </c>
      <c r="F57" s="21" t="s">
        <v>218</v>
      </c>
      <c r="G57" s="21" t="str">
        <f>VLOOKUP(D57,[6]成飞半成品!$A:$B,2,0)</f>
        <v>横梁</v>
      </c>
      <c r="H57" s="25" t="s">
        <v>107</v>
      </c>
      <c r="I57" s="25">
        <v>15</v>
      </c>
      <c r="J57" s="25" t="s">
        <v>1876</v>
      </c>
      <c r="K57" s="25">
        <v>3</v>
      </c>
      <c r="L57" s="25">
        <v>1</v>
      </c>
      <c r="M57" s="31">
        <v>28</v>
      </c>
      <c r="N57" s="31"/>
      <c r="O57" s="77" t="s">
        <v>219</v>
      </c>
      <c r="P57" s="25"/>
      <c r="Q57" s="25">
        <v>90</v>
      </c>
      <c r="R57" s="25"/>
      <c r="S57" s="25"/>
      <c r="T57" s="25"/>
      <c r="U57" s="25">
        <v>90</v>
      </c>
      <c r="V57" s="25"/>
      <c r="W57" s="25"/>
      <c r="X57" s="25">
        <v>1.5</v>
      </c>
      <c r="Y57" s="79">
        <v>3</v>
      </c>
      <c r="Z57" s="25" t="s">
        <v>31</v>
      </c>
      <c r="AA57" s="25" t="s">
        <v>220</v>
      </c>
      <c r="AB57" s="25"/>
    </row>
    <row r="58" spans="1:28" ht="23.1" customHeight="1" x14ac:dyDescent="0.25">
      <c r="A58" s="53" t="s">
        <v>188</v>
      </c>
      <c r="B58" s="25" t="s">
        <v>99</v>
      </c>
      <c r="C58" s="31">
        <v>15</v>
      </c>
      <c r="D58" s="25" t="s">
        <v>217</v>
      </c>
      <c r="E58" s="25" t="s">
        <v>218</v>
      </c>
      <c r="F58" s="21" t="s">
        <v>218</v>
      </c>
      <c r="G58" s="21" t="str">
        <f>VLOOKUP(D58,[6]成飞半成品!$A:$B,2,0)</f>
        <v>横梁</v>
      </c>
      <c r="H58" s="25" t="s">
        <v>107</v>
      </c>
      <c r="I58" s="25">
        <v>20</v>
      </c>
      <c r="J58" s="25" t="s">
        <v>1896</v>
      </c>
      <c r="K58" s="25">
        <v>1</v>
      </c>
      <c r="L58" s="25">
        <v>1</v>
      </c>
      <c r="M58" s="31">
        <v>28</v>
      </c>
      <c r="N58" s="31"/>
      <c r="O58" s="77" t="s">
        <v>221</v>
      </c>
      <c r="P58" s="25"/>
      <c r="Q58" s="25">
        <v>300</v>
      </c>
      <c r="R58" s="25"/>
      <c r="S58" s="25"/>
      <c r="T58" s="25"/>
      <c r="U58" s="25">
        <v>90</v>
      </c>
      <c r="V58" s="25"/>
      <c r="W58" s="25"/>
      <c r="X58" s="25"/>
      <c r="Y58" s="79">
        <v>5</v>
      </c>
      <c r="Z58" s="25" t="s">
        <v>31</v>
      </c>
      <c r="AA58" s="25"/>
      <c r="AB58" s="25"/>
    </row>
    <row r="59" spans="1:28" ht="23.1" customHeight="1" x14ac:dyDescent="0.25">
      <c r="A59" s="53" t="s">
        <v>188</v>
      </c>
      <c r="B59" s="25" t="s">
        <v>99</v>
      </c>
      <c r="C59" s="31">
        <v>16</v>
      </c>
      <c r="D59" s="25" t="s">
        <v>2551</v>
      </c>
      <c r="E59" s="25" t="s">
        <v>212</v>
      </c>
      <c r="F59" s="21">
        <v>0</v>
      </c>
      <c r="G59" s="21" t="str">
        <f>VLOOKUP(D59,[6]成飞半成品!$A:$B,2,0)</f>
        <v>工装</v>
      </c>
      <c r="H59" s="25" t="s">
        <v>191</v>
      </c>
      <c r="I59" s="25">
        <v>0</v>
      </c>
      <c r="J59" s="25"/>
      <c r="K59" s="25">
        <v>30</v>
      </c>
      <c r="L59" s="25">
        <v>30</v>
      </c>
      <c r="M59" s="31">
        <v>26</v>
      </c>
      <c r="N59" s="31"/>
      <c r="O59" s="77" t="s">
        <v>191</v>
      </c>
      <c r="P59" s="25"/>
      <c r="Q59" s="25"/>
      <c r="R59" s="25"/>
      <c r="S59" s="25"/>
      <c r="T59" s="25"/>
      <c r="U59" s="25"/>
      <c r="V59" s="25"/>
      <c r="W59" s="25"/>
      <c r="X59" s="25">
        <v>12</v>
      </c>
      <c r="Y59" s="79">
        <v>12</v>
      </c>
      <c r="Z59" s="25" t="s">
        <v>38</v>
      </c>
      <c r="AA59" s="25"/>
      <c r="AB59" s="25"/>
    </row>
    <row r="60" spans="1:28" ht="23.1" customHeight="1" x14ac:dyDescent="0.25">
      <c r="A60" s="53" t="s">
        <v>188</v>
      </c>
      <c r="B60" s="25" t="s">
        <v>99</v>
      </c>
      <c r="C60" s="31">
        <v>78</v>
      </c>
      <c r="D60" s="25" t="s">
        <v>152</v>
      </c>
      <c r="E60" s="25" t="s">
        <v>153</v>
      </c>
      <c r="F60" s="21" t="s">
        <v>1247</v>
      </c>
      <c r="G60" s="21" t="str">
        <f>VLOOKUP(D60,[6]成飞半成品!$A:$B,2,0)</f>
        <v>根肋前段</v>
      </c>
      <c r="H60" s="25" t="s">
        <v>154</v>
      </c>
      <c r="I60" s="25">
        <v>5</v>
      </c>
      <c r="J60" s="25" t="s">
        <v>1882</v>
      </c>
      <c r="K60" s="25">
        <v>1</v>
      </c>
      <c r="L60" s="25">
        <v>2</v>
      </c>
      <c r="M60" s="31">
        <v>28</v>
      </c>
      <c r="N60" s="31">
        <v>5</v>
      </c>
      <c r="O60" s="77" t="s">
        <v>222</v>
      </c>
      <c r="P60" s="25"/>
      <c r="Q60" s="25">
        <v>770</v>
      </c>
      <c r="R60" s="25">
        <v>120</v>
      </c>
      <c r="S60" s="25"/>
      <c r="T60" s="25">
        <v>2</v>
      </c>
      <c r="U60" s="25">
        <v>120</v>
      </c>
      <c r="V60" s="25"/>
      <c r="W60" s="25"/>
      <c r="X60" s="25"/>
      <c r="Y60" s="79">
        <v>29.7</v>
      </c>
      <c r="Z60" s="25" t="s">
        <v>19</v>
      </c>
      <c r="AA60" s="25" t="s">
        <v>147</v>
      </c>
      <c r="AB60" s="25"/>
    </row>
    <row r="61" spans="1:28" ht="23.1" customHeight="1" x14ac:dyDescent="0.25">
      <c r="A61" s="53" t="s">
        <v>188</v>
      </c>
      <c r="B61" s="25" t="s">
        <v>99</v>
      </c>
      <c r="C61" s="31">
        <v>59</v>
      </c>
      <c r="D61" s="25" t="s">
        <v>138</v>
      </c>
      <c r="E61" s="25" t="s">
        <v>139</v>
      </c>
      <c r="F61" s="21" t="s">
        <v>139</v>
      </c>
      <c r="G61" s="21" t="str">
        <f>VLOOKUP(D61,[6]成飞半成品!$A:$B,2,0)</f>
        <v>支座</v>
      </c>
      <c r="H61" s="25" t="s">
        <v>102</v>
      </c>
      <c r="I61" s="25">
        <v>25</v>
      </c>
      <c r="J61" s="25" t="s">
        <v>1850</v>
      </c>
      <c r="K61" s="25">
        <v>2</v>
      </c>
      <c r="L61" s="25">
        <v>1</v>
      </c>
      <c r="M61" s="31">
        <v>19</v>
      </c>
      <c r="N61" s="31"/>
      <c r="O61" s="77" t="s">
        <v>140</v>
      </c>
      <c r="P61" s="25"/>
      <c r="Q61" s="25">
        <v>30</v>
      </c>
      <c r="R61" s="25"/>
      <c r="S61" s="25"/>
      <c r="T61" s="25"/>
      <c r="U61" s="25">
        <v>60</v>
      </c>
      <c r="V61" s="25"/>
      <c r="W61" s="25">
        <v>1</v>
      </c>
      <c r="X61" s="25"/>
      <c r="Y61" s="79">
        <v>1.5</v>
      </c>
      <c r="Z61" s="25" t="s">
        <v>42</v>
      </c>
      <c r="AA61" s="25"/>
      <c r="AB61" s="25"/>
    </row>
    <row r="62" spans="1:28" ht="23.1" customHeight="1" x14ac:dyDescent="0.25">
      <c r="A62" s="53" t="s">
        <v>188</v>
      </c>
      <c r="B62" s="25" t="s">
        <v>99</v>
      </c>
      <c r="C62" s="31">
        <v>59</v>
      </c>
      <c r="D62" s="25" t="s">
        <v>138</v>
      </c>
      <c r="E62" s="25" t="s">
        <v>139</v>
      </c>
      <c r="F62" s="21" t="s">
        <v>139</v>
      </c>
      <c r="G62" s="21" t="str">
        <f>VLOOKUP(D62,[6]成飞半成品!$A:$B,2,0)</f>
        <v>支座</v>
      </c>
      <c r="H62" s="25" t="s">
        <v>102</v>
      </c>
      <c r="I62" s="25">
        <v>10</v>
      </c>
      <c r="J62" s="25" t="s">
        <v>1897</v>
      </c>
      <c r="K62" s="25"/>
      <c r="L62" s="25">
        <v>0.3</v>
      </c>
      <c r="M62" s="31"/>
      <c r="N62" s="31">
        <v>26</v>
      </c>
      <c r="O62" s="77" t="s">
        <v>140</v>
      </c>
      <c r="P62" s="25"/>
      <c r="Q62" s="25">
        <v>60</v>
      </c>
      <c r="R62" s="25"/>
      <c r="S62" s="25"/>
      <c r="T62" s="25"/>
      <c r="U62" s="25">
        <v>60</v>
      </c>
      <c r="V62" s="25"/>
      <c r="W62" s="25">
        <v>1</v>
      </c>
      <c r="X62" s="25"/>
      <c r="Y62" s="79">
        <v>1.3</v>
      </c>
      <c r="Z62" s="25" t="s">
        <v>42</v>
      </c>
      <c r="AA62" s="25"/>
      <c r="AB62" s="25"/>
    </row>
    <row r="63" spans="1:28" ht="23.1" customHeight="1" x14ac:dyDescent="0.25">
      <c r="A63" s="53" t="s">
        <v>188</v>
      </c>
      <c r="B63" s="25" t="s">
        <v>99</v>
      </c>
      <c r="C63" s="31">
        <v>91</v>
      </c>
      <c r="D63" s="25" t="s">
        <v>169</v>
      </c>
      <c r="E63" s="25" t="s">
        <v>170</v>
      </c>
      <c r="F63" s="21" t="e">
        <v>#N/A</v>
      </c>
      <c r="G63" s="21" t="e">
        <f>VLOOKUP(D63,[6]成飞半成品!$A:$B,2,0)</f>
        <v>#N/A</v>
      </c>
      <c r="H63" s="25" t="s">
        <v>118</v>
      </c>
      <c r="I63" s="25">
        <v>25</v>
      </c>
      <c r="J63" s="25" t="s">
        <v>2424</v>
      </c>
      <c r="K63" s="25">
        <v>1.5</v>
      </c>
      <c r="L63" s="25">
        <v>0.2</v>
      </c>
      <c r="M63" s="31">
        <v>28</v>
      </c>
      <c r="N63" s="31">
        <v>28</v>
      </c>
      <c r="O63" s="77" t="s">
        <v>223</v>
      </c>
      <c r="P63" s="25"/>
      <c r="Q63" s="25">
        <v>630</v>
      </c>
      <c r="R63" s="25">
        <v>90</v>
      </c>
      <c r="S63" s="25"/>
      <c r="T63" s="25">
        <v>1</v>
      </c>
      <c r="U63" s="25">
        <v>180</v>
      </c>
      <c r="V63" s="25"/>
      <c r="W63" s="25"/>
      <c r="X63" s="25">
        <v>3</v>
      </c>
      <c r="Y63" s="79">
        <v>6.6</v>
      </c>
      <c r="Z63" s="25" t="s">
        <v>3</v>
      </c>
      <c r="AA63" s="25" t="s">
        <v>224</v>
      </c>
      <c r="AB63" s="25"/>
    </row>
    <row r="64" spans="1:28" ht="23.1" customHeight="1" x14ac:dyDescent="0.25">
      <c r="A64" s="53" t="s">
        <v>188</v>
      </c>
      <c r="B64" s="25" t="s">
        <v>99</v>
      </c>
      <c r="C64" s="31">
        <v>84</v>
      </c>
      <c r="D64" s="25" t="s">
        <v>162</v>
      </c>
      <c r="E64" s="25" t="s">
        <v>163</v>
      </c>
      <c r="F64" s="21" t="s">
        <v>163</v>
      </c>
      <c r="G64" s="21" t="str">
        <f>VLOOKUP(D64,[6]成飞半成品!$A:$B,2,0)</f>
        <v>排气下侧壁</v>
      </c>
      <c r="H64" s="25" t="s">
        <v>123</v>
      </c>
      <c r="I64" s="25">
        <v>35</v>
      </c>
      <c r="J64" s="25" t="s">
        <v>1885</v>
      </c>
      <c r="K64" s="25">
        <v>2.5</v>
      </c>
      <c r="L64" s="25">
        <v>2</v>
      </c>
      <c r="M64" s="31">
        <v>28</v>
      </c>
      <c r="N64" s="31">
        <v>28</v>
      </c>
      <c r="O64" s="77" t="s">
        <v>164</v>
      </c>
      <c r="P64" s="25"/>
      <c r="Q64" s="25">
        <v>260</v>
      </c>
      <c r="R64" s="25">
        <v>60</v>
      </c>
      <c r="S64" s="25"/>
      <c r="T64" s="25">
        <v>2</v>
      </c>
      <c r="U64" s="25">
        <v>90</v>
      </c>
      <c r="V64" s="25"/>
      <c r="W64" s="25"/>
      <c r="X64" s="25"/>
      <c r="Y64" s="79">
        <v>10.7</v>
      </c>
      <c r="Z64" s="25" t="s">
        <v>3</v>
      </c>
      <c r="AA64" s="25" t="s">
        <v>147</v>
      </c>
      <c r="AB64" s="25"/>
    </row>
    <row r="65" spans="1:28" ht="23.1" customHeight="1" x14ac:dyDescent="0.25">
      <c r="A65" s="53" t="s">
        <v>188</v>
      </c>
      <c r="B65" s="25" t="s">
        <v>99</v>
      </c>
      <c r="C65" s="31">
        <v>24</v>
      </c>
      <c r="D65" s="25" t="s">
        <v>2551</v>
      </c>
      <c r="E65" s="25" t="s">
        <v>130</v>
      </c>
      <c r="F65" s="21" t="s">
        <v>2547</v>
      </c>
      <c r="G65" s="21" t="str">
        <f>VLOOKUP(D65,[6]成飞半成品!$A:$B,2,0)</f>
        <v>工装</v>
      </c>
      <c r="H65" s="25" t="s">
        <v>102</v>
      </c>
      <c r="I65" s="25">
        <v>70</v>
      </c>
      <c r="J65" s="25" t="s">
        <v>1878</v>
      </c>
      <c r="K65" s="25">
        <v>0.4</v>
      </c>
      <c r="L65" s="25">
        <v>0.4</v>
      </c>
      <c r="M65" s="31"/>
      <c r="N65" s="31">
        <v>28</v>
      </c>
      <c r="O65" s="77" t="s">
        <v>131</v>
      </c>
      <c r="P65" s="25"/>
      <c r="Q65" s="25">
        <v>2760</v>
      </c>
      <c r="R65" s="25">
        <v>120</v>
      </c>
      <c r="S65" s="25"/>
      <c r="T65" s="25"/>
      <c r="U65" s="25">
        <v>180</v>
      </c>
      <c r="V65" s="25"/>
      <c r="W65" s="25"/>
      <c r="X65" s="25">
        <v>4</v>
      </c>
      <c r="Y65" s="79">
        <v>22.4</v>
      </c>
      <c r="Z65" s="25" t="s">
        <v>3</v>
      </c>
      <c r="AA65" s="25" t="s">
        <v>225</v>
      </c>
      <c r="AB65" s="25"/>
    </row>
    <row r="66" spans="1:28" ht="23.1" customHeight="1" x14ac:dyDescent="0.25">
      <c r="A66" s="53" t="s">
        <v>188</v>
      </c>
      <c r="B66" s="25" t="s">
        <v>99</v>
      </c>
      <c r="C66" s="31">
        <v>69</v>
      </c>
      <c r="D66" s="25" t="s">
        <v>2558</v>
      </c>
      <c r="E66" s="25" t="s">
        <v>127</v>
      </c>
      <c r="F66" s="21" t="s">
        <v>127</v>
      </c>
      <c r="G66" s="21" t="str">
        <f>VLOOKUP(D66,[6]成飞半成品!$A:$B,2,0)</f>
        <v>樑</v>
      </c>
      <c r="H66" s="25" t="s">
        <v>102</v>
      </c>
      <c r="I66" s="25">
        <v>50</v>
      </c>
      <c r="J66" s="25" t="s">
        <v>1886</v>
      </c>
      <c r="K66" s="25">
        <v>0.2</v>
      </c>
      <c r="L66" s="25">
        <v>0.1</v>
      </c>
      <c r="M66" s="31"/>
      <c r="N66" s="31">
        <v>37</v>
      </c>
      <c r="O66" s="77" t="s">
        <v>128</v>
      </c>
      <c r="P66" s="25"/>
      <c r="Q66" s="25">
        <v>6000</v>
      </c>
      <c r="R66" s="25">
        <v>120</v>
      </c>
      <c r="S66" s="25"/>
      <c r="T66" s="25"/>
      <c r="U66" s="25">
        <v>240</v>
      </c>
      <c r="V66" s="25"/>
      <c r="W66" s="25"/>
      <c r="X66" s="25"/>
      <c r="Y66" s="79">
        <v>10</v>
      </c>
      <c r="Z66" s="25" t="s">
        <v>3</v>
      </c>
      <c r="AA66" s="25"/>
      <c r="AB66" s="25"/>
    </row>
    <row r="67" spans="1:28" ht="23.1" customHeight="1" x14ac:dyDescent="0.25">
      <c r="A67" s="53" t="s">
        <v>188</v>
      </c>
      <c r="B67" s="25" t="s">
        <v>99</v>
      </c>
      <c r="C67" s="31">
        <v>56</v>
      </c>
      <c r="D67" s="25" t="s">
        <v>226</v>
      </c>
      <c r="E67" s="25" t="s">
        <v>139</v>
      </c>
      <c r="F67" s="21" t="s">
        <v>139</v>
      </c>
      <c r="G67" s="21" t="str">
        <f>VLOOKUP(D67,[6]成飞半成品!$A:$B,2,0)</f>
        <v>支座</v>
      </c>
      <c r="H67" s="25" t="s">
        <v>154</v>
      </c>
      <c r="I67" s="25">
        <v>55</v>
      </c>
      <c r="J67" s="25" t="s">
        <v>1898</v>
      </c>
      <c r="K67" s="25"/>
      <c r="L67" s="25">
        <v>9</v>
      </c>
      <c r="M67" s="31">
        <v>28</v>
      </c>
      <c r="N67" s="31">
        <v>28</v>
      </c>
      <c r="O67" s="77" t="s">
        <v>227</v>
      </c>
      <c r="P67" s="25"/>
      <c r="Q67" s="25">
        <v>30</v>
      </c>
      <c r="R67" s="25"/>
      <c r="S67" s="25"/>
      <c r="T67" s="25"/>
      <c r="U67" s="25">
        <v>60</v>
      </c>
      <c r="V67" s="25"/>
      <c r="W67" s="25"/>
      <c r="X67" s="25"/>
      <c r="Y67" s="79">
        <v>4.5</v>
      </c>
      <c r="Z67" s="25" t="s">
        <v>44</v>
      </c>
      <c r="AA67" s="25"/>
      <c r="AB67" s="25"/>
    </row>
    <row r="68" spans="1:28" ht="23.1" customHeight="1" x14ac:dyDescent="0.25">
      <c r="A68" s="53" t="s">
        <v>188</v>
      </c>
      <c r="B68" s="25" t="s">
        <v>99</v>
      </c>
      <c r="C68" s="31">
        <v>55</v>
      </c>
      <c r="D68" s="25" t="s">
        <v>2552</v>
      </c>
      <c r="E68" s="25" t="s">
        <v>228</v>
      </c>
      <c r="F68" s="21" t="e">
        <v>#N/A</v>
      </c>
      <c r="G68" s="21" t="str">
        <f>VLOOKUP(D68,[6]成飞半成品!$A:$B,2,0)</f>
        <v>3D打印</v>
      </c>
      <c r="H68" s="25"/>
      <c r="I68" s="25"/>
      <c r="J68" s="25"/>
      <c r="K68" s="25">
        <v>1</v>
      </c>
      <c r="L68" s="25">
        <v>1</v>
      </c>
      <c r="M68" s="31"/>
      <c r="N68" s="31">
        <v>26</v>
      </c>
      <c r="O68" s="77" t="s">
        <v>108</v>
      </c>
      <c r="P68" s="25"/>
      <c r="Q68" s="25"/>
      <c r="R68" s="25"/>
      <c r="S68" s="25"/>
      <c r="T68" s="25"/>
      <c r="U68" s="25"/>
      <c r="V68" s="25"/>
      <c r="W68" s="25"/>
      <c r="X68" s="25">
        <v>15</v>
      </c>
      <c r="Y68" s="79">
        <v>15</v>
      </c>
      <c r="Z68" s="25" t="s">
        <v>44</v>
      </c>
      <c r="AA68" s="25"/>
      <c r="AB68" s="25" t="s">
        <v>193</v>
      </c>
    </row>
    <row r="69" spans="1:28" ht="23.1" customHeight="1" x14ac:dyDescent="0.25">
      <c r="A69" s="53" t="s">
        <v>188</v>
      </c>
      <c r="B69" s="25" t="s">
        <v>99</v>
      </c>
      <c r="C69" s="31">
        <v>9</v>
      </c>
      <c r="D69" s="25" t="s">
        <v>229</v>
      </c>
      <c r="E69" s="25" t="s">
        <v>230</v>
      </c>
      <c r="F69" s="21" t="s">
        <v>230</v>
      </c>
      <c r="G69" s="21" t="str">
        <f>VLOOKUP(D69,[6]成飞半成品!$A:$B,2,0)</f>
        <v>前起落架舱门结构支撑梁</v>
      </c>
      <c r="H69" s="25" t="s">
        <v>154</v>
      </c>
      <c r="I69" s="25">
        <v>20</v>
      </c>
      <c r="J69" s="25" t="s">
        <v>1908</v>
      </c>
      <c r="K69" s="25">
        <v>3</v>
      </c>
      <c r="L69" s="25">
        <v>3.5</v>
      </c>
      <c r="M69" s="31">
        <v>28</v>
      </c>
      <c r="N69" s="31">
        <v>26</v>
      </c>
      <c r="O69" s="77" t="s">
        <v>231</v>
      </c>
      <c r="P69" s="25"/>
      <c r="Q69" s="25">
        <v>190</v>
      </c>
      <c r="R69" s="25"/>
      <c r="S69" s="25"/>
      <c r="T69" s="25"/>
      <c r="U69" s="25">
        <v>60</v>
      </c>
      <c r="V69" s="25"/>
      <c r="W69" s="25"/>
      <c r="X69" s="25"/>
      <c r="Y69" s="79">
        <v>11.1</v>
      </c>
      <c r="Z69" s="25" t="s">
        <v>55</v>
      </c>
      <c r="AA69" s="25"/>
      <c r="AB69" s="25"/>
    </row>
    <row r="70" spans="1:28" ht="23.1" customHeight="1" x14ac:dyDescent="0.25">
      <c r="A70" s="53" t="s">
        <v>188</v>
      </c>
      <c r="B70" s="25" t="s">
        <v>99</v>
      </c>
      <c r="C70" s="31">
        <v>10</v>
      </c>
      <c r="D70" s="25" t="s">
        <v>232</v>
      </c>
      <c r="E70" s="25" t="s">
        <v>233</v>
      </c>
      <c r="F70" s="21" t="s">
        <v>233</v>
      </c>
      <c r="G70" s="21" t="str">
        <f>VLOOKUP(D70,[6]成飞半成品!$A:$B,2,0)</f>
        <v>左内侧接头</v>
      </c>
      <c r="H70" s="25" t="s">
        <v>102</v>
      </c>
      <c r="I70" s="25">
        <v>70</v>
      </c>
      <c r="J70" s="25" t="s">
        <v>2425</v>
      </c>
      <c r="K70" s="25">
        <v>0.7</v>
      </c>
      <c r="L70" s="25">
        <v>0.5</v>
      </c>
      <c r="M70" s="31">
        <v>23</v>
      </c>
      <c r="N70" s="31"/>
      <c r="O70" s="77" t="s">
        <v>234</v>
      </c>
      <c r="P70" s="25"/>
      <c r="Q70" s="25">
        <v>1320</v>
      </c>
      <c r="R70" s="25"/>
      <c r="S70" s="25"/>
      <c r="T70" s="25"/>
      <c r="U70" s="25">
        <v>120</v>
      </c>
      <c r="V70" s="25"/>
      <c r="W70" s="25">
        <v>1</v>
      </c>
      <c r="X70" s="25"/>
      <c r="Y70" s="79">
        <v>13</v>
      </c>
      <c r="Z70" s="25" t="s">
        <v>55</v>
      </c>
      <c r="AA70" s="25" t="s">
        <v>210</v>
      </c>
      <c r="AB70" s="25"/>
    </row>
    <row r="71" spans="1:28" ht="23.1" customHeight="1" x14ac:dyDescent="0.25">
      <c r="A71" s="53" t="s">
        <v>188</v>
      </c>
      <c r="B71" s="25" t="s">
        <v>99</v>
      </c>
      <c r="C71" s="31">
        <v>14</v>
      </c>
      <c r="D71" s="25" t="s">
        <v>235</v>
      </c>
      <c r="E71" s="25" t="s">
        <v>236</v>
      </c>
      <c r="F71" s="21" t="s">
        <v>236</v>
      </c>
      <c r="G71" s="21" t="str">
        <f>VLOOKUP(D71,[6]成飞半成品!$A:$B,2,0)</f>
        <v>右外侧接头</v>
      </c>
      <c r="H71" s="25" t="s">
        <v>154</v>
      </c>
      <c r="I71" s="25">
        <v>50</v>
      </c>
      <c r="J71" s="25" t="s">
        <v>1899</v>
      </c>
      <c r="K71" s="25">
        <v>0.5</v>
      </c>
      <c r="L71" s="25">
        <v>0.3</v>
      </c>
      <c r="M71" s="31"/>
      <c r="N71" s="31">
        <v>28</v>
      </c>
      <c r="O71" s="77" t="s">
        <v>159</v>
      </c>
      <c r="P71" s="25"/>
      <c r="Q71" s="25">
        <v>2640</v>
      </c>
      <c r="R71" s="25"/>
      <c r="S71" s="25"/>
      <c r="T71" s="25"/>
      <c r="U71" s="25">
        <v>90</v>
      </c>
      <c r="V71" s="25"/>
      <c r="W71" s="25"/>
      <c r="X71" s="25">
        <v>3</v>
      </c>
      <c r="Y71" s="79">
        <v>16.2</v>
      </c>
      <c r="Z71" s="25" t="s">
        <v>31</v>
      </c>
      <c r="AA71" s="25" t="s">
        <v>237</v>
      </c>
      <c r="AB71" s="25" t="s">
        <v>238</v>
      </c>
    </row>
    <row r="72" spans="1:28" ht="23.1" customHeight="1" x14ac:dyDescent="0.25">
      <c r="A72" s="53" t="s">
        <v>188</v>
      </c>
      <c r="B72" s="25" t="s">
        <v>99</v>
      </c>
      <c r="C72" s="31">
        <v>76</v>
      </c>
      <c r="D72" s="25" t="s">
        <v>239</v>
      </c>
      <c r="E72" s="25" t="s">
        <v>240</v>
      </c>
      <c r="F72" s="21" t="s">
        <v>240</v>
      </c>
      <c r="G72" s="21" t="str">
        <f>VLOOKUP(D72,[6]成飞半成品!$A:$B,2,0)</f>
        <v>角片</v>
      </c>
      <c r="H72" s="25" t="s">
        <v>154</v>
      </c>
      <c r="I72" s="25">
        <v>20</v>
      </c>
      <c r="J72" s="25" t="s">
        <v>1900</v>
      </c>
      <c r="K72" s="25">
        <v>1</v>
      </c>
      <c r="L72" s="25">
        <v>2</v>
      </c>
      <c r="M72" s="31">
        <v>28</v>
      </c>
      <c r="N72" s="31">
        <v>28</v>
      </c>
      <c r="O72" s="77" t="s">
        <v>155</v>
      </c>
      <c r="P72" s="25"/>
      <c r="Q72" s="25">
        <v>80</v>
      </c>
      <c r="R72" s="25"/>
      <c r="S72" s="25"/>
      <c r="T72" s="25"/>
      <c r="U72" s="25">
        <v>60</v>
      </c>
      <c r="V72" s="25"/>
      <c r="W72" s="25">
        <v>1</v>
      </c>
      <c r="X72" s="25"/>
      <c r="Y72" s="79">
        <v>3.7</v>
      </c>
      <c r="Z72" s="25" t="s">
        <v>46</v>
      </c>
      <c r="AA72" s="25" t="s">
        <v>241</v>
      </c>
      <c r="AB72" s="25"/>
    </row>
    <row r="73" spans="1:28" ht="23.1" customHeight="1" x14ac:dyDescent="0.25">
      <c r="A73" s="53" t="s">
        <v>188</v>
      </c>
      <c r="B73" s="25" t="s">
        <v>99</v>
      </c>
      <c r="C73" s="31">
        <v>76</v>
      </c>
      <c r="D73" s="25" t="s">
        <v>242</v>
      </c>
      <c r="E73" s="25" t="s">
        <v>243</v>
      </c>
      <c r="F73" s="21" t="s">
        <v>243</v>
      </c>
      <c r="G73" s="21" t="str">
        <f>VLOOKUP(D73,[6]成飞半成品!$A:$B,2,0)</f>
        <v>管接头</v>
      </c>
      <c r="H73" s="25" t="s">
        <v>123</v>
      </c>
      <c r="I73" s="25">
        <v>30</v>
      </c>
      <c r="J73" s="25" t="s">
        <v>1901</v>
      </c>
      <c r="K73" s="25">
        <v>3</v>
      </c>
      <c r="L73" s="25">
        <v>10</v>
      </c>
      <c r="M73" s="31">
        <v>9</v>
      </c>
      <c r="N73" s="31">
        <v>37</v>
      </c>
      <c r="O73" s="77" t="s">
        <v>131</v>
      </c>
      <c r="P73" s="25"/>
      <c r="Q73" s="25">
        <v>30</v>
      </c>
      <c r="R73" s="25"/>
      <c r="S73" s="25"/>
      <c r="T73" s="25"/>
      <c r="U73" s="25">
        <v>60</v>
      </c>
      <c r="V73" s="25"/>
      <c r="W73" s="25">
        <v>1</v>
      </c>
      <c r="X73" s="25"/>
      <c r="Y73" s="79">
        <v>6</v>
      </c>
      <c r="Z73" s="25" t="s">
        <v>46</v>
      </c>
      <c r="AA73" s="25" t="s">
        <v>244</v>
      </c>
      <c r="AB73" s="25"/>
    </row>
    <row r="74" spans="1:28" ht="23.1" customHeight="1" x14ac:dyDescent="0.25">
      <c r="A74" s="53" t="s">
        <v>188</v>
      </c>
      <c r="B74" s="25" t="s">
        <v>99</v>
      </c>
      <c r="C74" s="31">
        <v>13</v>
      </c>
      <c r="D74" s="25" t="s">
        <v>245</v>
      </c>
      <c r="E74" s="25" t="s">
        <v>246</v>
      </c>
      <c r="F74" s="21" t="s">
        <v>246</v>
      </c>
      <c r="G74" s="21" t="str">
        <f>VLOOKUP(D74,[6]成飞半成品!$A:$B,2,0)</f>
        <v>外侧轴承盖</v>
      </c>
      <c r="H74" s="25" t="s">
        <v>123</v>
      </c>
      <c r="I74" s="25">
        <v>40</v>
      </c>
      <c r="J74" s="25" t="s">
        <v>1902</v>
      </c>
      <c r="K74" s="25">
        <v>3</v>
      </c>
      <c r="L74" s="25">
        <v>4</v>
      </c>
      <c r="M74" s="31">
        <v>28</v>
      </c>
      <c r="N74" s="31">
        <v>26</v>
      </c>
      <c r="O74" s="77" t="s">
        <v>247</v>
      </c>
      <c r="P74" s="25"/>
      <c r="Q74" s="25">
        <v>230</v>
      </c>
      <c r="R74" s="25"/>
      <c r="S74" s="25"/>
      <c r="T74" s="25"/>
      <c r="U74" s="25">
        <v>120</v>
      </c>
      <c r="V74" s="25"/>
      <c r="W74" s="25"/>
      <c r="X74" s="25"/>
      <c r="Y74" s="79">
        <v>15.3</v>
      </c>
      <c r="Z74" s="25" t="s">
        <v>72</v>
      </c>
      <c r="AA74" s="25"/>
      <c r="AB74" s="25"/>
    </row>
    <row r="75" spans="1:28" ht="23.1" customHeight="1" x14ac:dyDescent="0.25">
      <c r="A75" s="53" t="s">
        <v>188</v>
      </c>
      <c r="B75" s="25" t="s">
        <v>99</v>
      </c>
      <c r="C75" s="31">
        <v>12</v>
      </c>
      <c r="D75" s="25" t="s">
        <v>248</v>
      </c>
      <c r="E75" s="25" t="s">
        <v>249</v>
      </c>
      <c r="F75" s="21" t="s">
        <v>249</v>
      </c>
      <c r="G75" s="21" t="str">
        <f>VLOOKUP(D75,[6]成飞半成品!$A:$B,2,0)</f>
        <v>10060下接头</v>
      </c>
      <c r="H75" s="25" t="s">
        <v>250</v>
      </c>
      <c r="I75" s="25">
        <v>15</v>
      </c>
      <c r="J75" s="25" t="s">
        <v>1903</v>
      </c>
      <c r="K75" s="25">
        <v>1</v>
      </c>
      <c r="L75" s="25">
        <v>1</v>
      </c>
      <c r="M75" s="31"/>
      <c r="N75" s="31">
        <v>31</v>
      </c>
      <c r="O75" s="77" t="s">
        <v>251</v>
      </c>
      <c r="P75" s="25"/>
      <c r="Q75" s="25">
        <v>600</v>
      </c>
      <c r="R75" s="25"/>
      <c r="S75" s="25"/>
      <c r="T75" s="25"/>
      <c r="U75" s="25">
        <v>120</v>
      </c>
      <c r="V75" s="25"/>
      <c r="W75" s="25"/>
      <c r="X75" s="25"/>
      <c r="Y75" s="79">
        <v>10</v>
      </c>
      <c r="Z75" s="25" t="s">
        <v>72</v>
      </c>
      <c r="AA75" s="25"/>
      <c r="AB75" s="25"/>
    </row>
    <row r="76" spans="1:28" ht="23.1" customHeight="1" x14ac:dyDescent="0.25">
      <c r="A76" s="53" t="s">
        <v>188</v>
      </c>
      <c r="B76" s="25" t="s">
        <v>99</v>
      </c>
      <c r="C76" s="31">
        <v>76</v>
      </c>
      <c r="D76" s="25" t="s">
        <v>239</v>
      </c>
      <c r="E76" s="25" t="s">
        <v>240</v>
      </c>
      <c r="F76" s="21" t="s">
        <v>240</v>
      </c>
      <c r="G76" s="21" t="str">
        <f>VLOOKUP(D76,[6]成飞半成品!$A:$B,2,0)</f>
        <v>角片</v>
      </c>
      <c r="H76" s="25" t="s">
        <v>154</v>
      </c>
      <c r="I76" s="25">
        <v>25</v>
      </c>
      <c r="J76" s="25" t="s">
        <v>1904</v>
      </c>
      <c r="K76" s="25">
        <v>1</v>
      </c>
      <c r="L76" s="25">
        <v>3</v>
      </c>
      <c r="M76" s="31">
        <v>28</v>
      </c>
      <c r="N76" s="31">
        <v>28</v>
      </c>
      <c r="O76" s="77" t="s">
        <v>155</v>
      </c>
      <c r="P76" s="25"/>
      <c r="Q76" s="25">
        <v>40</v>
      </c>
      <c r="R76" s="25"/>
      <c r="S76" s="25"/>
      <c r="T76" s="25"/>
      <c r="U76" s="25">
        <v>60</v>
      </c>
      <c r="V76" s="25"/>
      <c r="W76" s="25">
        <v>1</v>
      </c>
      <c r="X76" s="25"/>
      <c r="Y76" s="79">
        <v>3</v>
      </c>
      <c r="Z76" s="25" t="s">
        <v>46</v>
      </c>
      <c r="AA76" s="25" t="s">
        <v>241</v>
      </c>
      <c r="AB76" s="25"/>
    </row>
    <row r="77" spans="1:28" ht="23.1" customHeight="1" x14ac:dyDescent="0.25">
      <c r="A77" s="53" t="s">
        <v>188</v>
      </c>
      <c r="B77" s="25" t="s">
        <v>99</v>
      </c>
      <c r="C77" s="31">
        <v>12</v>
      </c>
      <c r="D77" s="25" t="s">
        <v>248</v>
      </c>
      <c r="E77" s="25" t="s">
        <v>249</v>
      </c>
      <c r="F77" s="21" t="s">
        <v>249</v>
      </c>
      <c r="G77" s="21" t="str">
        <f>VLOOKUP(D77,[6]成飞半成品!$A:$B,2,0)</f>
        <v>10060下接头</v>
      </c>
      <c r="H77" s="25" t="s">
        <v>250</v>
      </c>
      <c r="I77" s="25">
        <v>20</v>
      </c>
      <c r="J77" s="25" t="s">
        <v>1905</v>
      </c>
      <c r="K77" s="25"/>
      <c r="L77" s="25">
        <v>4</v>
      </c>
      <c r="M77" s="31">
        <v>28</v>
      </c>
      <c r="N77" s="31">
        <v>28</v>
      </c>
      <c r="O77" s="77" t="s">
        <v>252</v>
      </c>
      <c r="P77" s="25"/>
      <c r="Q77" s="25">
        <v>40</v>
      </c>
      <c r="R77" s="25">
        <v>60</v>
      </c>
      <c r="S77" s="25"/>
      <c r="T77" s="25"/>
      <c r="U77" s="25">
        <v>90</v>
      </c>
      <c r="V77" s="25"/>
      <c r="W77" s="25"/>
      <c r="X77" s="25"/>
      <c r="Y77" s="79">
        <v>2.7</v>
      </c>
      <c r="Z77" s="25" t="s">
        <v>72</v>
      </c>
      <c r="AA77" s="25" t="s">
        <v>253</v>
      </c>
      <c r="AB77" s="25"/>
    </row>
    <row r="78" spans="1:28" ht="23.1" customHeight="1" x14ac:dyDescent="0.25">
      <c r="A78" s="53" t="s">
        <v>188</v>
      </c>
      <c r="B78" s="25" t="s">
        <v>99</v>
      </c>
      <c r="C78" s="31">
        <v>23</v>
      </c>
      <c r="D78" s="25" t="s">
        <v>254</v>
      </c>
      <c r="E78" s="25" t="s">
        <v>255</v>
      </c>
      <c r="F78" s="21" t="s">
        <v>1016</v>
      </c>
      <c r="G78" s="21" t="str">
        <f>VLOOKUP(D78,[6]成飞半成品!$A:$B,2,0)</f>
        <v>9350-11140右侧上梁</v>
      </c>
      <c r="H78" s="31" t="s">
        <v>250</v>
      </c>
      <c r="I78" s="25">
        <v>37</v>
      </c>
      <c r="J78" s="25" t="s">
        <v>1906</v>
      </c>
      <c r="K78" s="25">
        <v>0.7</v>
      </c>
      <c r="L78" s="25">
        <v>0.2</v>
      </c>
      <c r="M78" s="31">
        <v>23</v>
      </c>
      <c r="N78" s="31"/>
      <c r="O78" s="77" t="s">
        <v>256</v>
      </c>
      <c r="P78" s="25">
        <v>660</v>
      </c>
      <c r="Q78" s="25"/>
      <c r="R78" s="25"/>
      <c r="S78" s="31">
        <v>90</v>
      </c>
      <c r="T78" s="31">
        <v>1</v>
      </c>
      <c r="U78" s="25"/>
      <c r="V78" s="25"/>
      <c r="W78" s="25"/>
      <c r="X78" s="25">
        <v>2</v>
      </c>
      <c r="Y78" s="83">
        <v>5.7</v>
      </c>
      <c r="Z78" s="25" t="s">
        <v>33</v>
      </c>
      <c r="AA78" s="25" t="s">
        <v>257</v>
      </c>
      <c r="AB78" s="25"/>
    </row>
    <row r="79" spans="1:28" ht="23.1" customHeight="1" x14ac:dyDescent="0.25">
      <c r="A79" s="53" t="s">
        <v>188</v>
      </c>
      <c r="B79" s="25" t="s">
        <v>99</v>
      </c>
      <c r="C79" s="31">
        <v>47</v>
      </c>
      <c r="D79" s="25" t="s">
        <v>294</v>
      </c>
      <c r="E79" s="25" t="s">
        <v>259</v>
      </c>
      <c r="F79" s="21" t="s">
        <v>284</v>
      </c>
      <c r="G79" s="21" t="str">
        <f>VLOOKUP(D79,[6]成飞半成品!$A:$B,2,0)</f>
        <v>梁（左件）</v>
      </c>
      <c r="H79" s="25" t="s">
        <v>154</v>
      </c>
      <c r="I79" s="25">
        <v>50</v>
      </c>
      <c r="J79" s="25" t="s">
        <v>2426</v>
      </c>
      <c r="K79" s="25">
        <v>1</v>
      </c>
      <c r="L79" s="25">
        <v>1</v>
      </c>
      <c r="M79" s="31"/>
      <c r="N79" s="31">
        <v>37</v>
      </c>
      <c r="O79" s="77" t="s">
        <v>260</v>
      </c>
      <c r="P79" s="25"/>
      <c r="Q79" s="25">
        <v>630</v>
      </c>
      <c r="R79" s="25">
        <v>120</v>
      </c>
      <c r="S79" s="25"/>
      <c r="T79" s="25">
        <v>1</v>
      </c>
      <c r="U79" s="25">
        <v>90</v>
      </c>
      <c r="V79" s="25"/>
      <c r="W79" s="25"/>
      <c r="X79" s="25"/>
      <c r="Y79" s="79">
        <v>12.5</v>
      </c>
      <c r="Z79" s="25" t="s">
        <v>33</v>
      </c>
      <c r="AA79" s="25" t="s">
        <v>145</v>
      </c>
      <c r="AB79" s="25"/>
    </row>
    <row r="80" spans="1:28" ht="23.1" customHeight="1" x14ac:dyDescent="0.25">
      <c r="A80" s="53" t="s">
        <v>188</v>
      </c>
      <c r="B80" s="25" t="s">
        <v>99</v>
      </c>
      <c r="C80" s="31">
        <v>78</v>
      </c>
      <c r="D80" s="25" t="s">
        <v>261</v>
      </c>
      <c r="E80" s="25" t="s">
        <v>133</v>
      </c>
      <c r="F80" s="21" t="s">
        <v>133</v>
      </c>
      <c r="G80" s="21" t="str">
        <f>VLOOKUP(D80,[6]成飞半成品!$A:$B,2,0)</f>
        <v>摇臂</v>
      </c>
      <c r="H80" s="25" t="s">
        <v>102</v>
      </c>
      <c r="I80" s="25">
        <v>65</v>
      </c>
      <c r="J80" s="25" t="s">
        <v>1879</v>
      </c>
      <c r="K80" s="25"/>
      <c r="L80" s="25">
        <v>0.4</v>
      </c>
      <c r="M80" s="31"/>
      <c r="N80" s="31">
        <v>28</v>
      </c>
      <c r="O80" s="77" t="s">
        <v>103</v>
      </c>
      <c r="P80" s="25"/>
      <c r="Q80" s="25">
        <v>660</v>
      </c>
      <c r="R80" s="25">
        <v>60</v>
      </c>
      <c r="S80" s="25"/>
      <c r="T80" s="25">
        <v>1</v>
      </c>
      <c r="U80" s="25">
        <v>120</v>
      </c>
      <c r="V80" s="25"/>
      <c r="W80" s="25"/>
      <c r="X80" s="25">
        <v>14.6</v>
      </c>
      <c r="Y80" s="79">
        <v>20</v>
      </c>
      <c r="Z80" s="25" t="s">
        <v>19</v>
      </c>
      <c r="AA80" s="25" t="s">
        <v>262</v>
      </c>
      <c r="AB80" s="25" t="s">
        <v>193</v>
      </c>
    </row>
    <row r="81" spans="1:28" ht="23.1" customHeight="1" x14ac:dyDescent="0.25">
      <c r="A81" s="53" t="s">
        <v>188</v>
      </c>
      <c r="B81" s="25" t="s">
        <v>137</v>
      </c>
      <c r="C81" s="31">
        <v>18</v>
      </c>
      <c r="D81" s="25" t="s">
        <v>229</v>
      </c>
      <c r="E81" s="25" t="s">
        <v>230</v>
      </c>
      <c r="F81" s="21" t="s">
        <v>230</v>
      </c>
      <c r="G81" s="21" t="str">
        <f>VLOOKUP(D81,[6]成飞半成品!$A:$B,2,0)</f>
        <v>前起落架舱门结构支撑梁</v>
      </c>
      <c r="H81" s="25" t="s">
        <v>154</v>
      </c>
      <c r="I81" s="25">
        <v>20</v>
      </c>
      <c r="J81" s="25" t="s">
        <v>1908</v>
      </c>
      <c r="K81" s="25">
        <v>3</v>
      </c>
      <c r="L81" s="25">
        <v>3.5</v>
      </c>
      <c r="M81" s="31">
        <v>26</v>
      </c>
      <c r="N81" s="31">
        <v>5</v>
      </c>
      <c r="O81" s="77" t="s">
        <v>263</v>
      </c>
      <c r="P81" s="25"/>
      <c r="Q81" s="25">
        <v>190</v>
      </c>
      <c r="R81" s="25"/>
      <c r="S81" s="25"/>
      <c r="T81" s="25"/>
      <c r="U81" s="25">
        <v>60</v>
      </c>
      <c r="V81" s="25"/>
      <c r="W81" s="25">
        <v>1</v>
      </c>
      <c r="X81" s="25"/>
      <c r="Y81" s="79">
        <v>12.1</v>
      </c>
      <c r="Z81" s="25" t="s">
        <v>23</v>
      </c>
      <c r="AA81" s="25" t="s">
        <v>264</v>
      </c>
      <c r="AB81" s="25"/>
    </row>
    <row r="82" spans="1:28" ht="23.1" customHeight="1" x14ac:dyDescent="0.25">
      <c r="A82" s="53" t="s">
        <v>188</v>
      </c>
      <c r="B82" s="25" t="s">
        <v>137</v>
      </c>
      <c r="C82" s="31">
        <v>18</v>
      </c>
      <c r="D82" s="25" t="s">
        <v>205</v>
      </c>
      <c r="E82" s="25" t="s">
        <v>206</v>
      </c>
      <c r="F82" s="21" t="s">
        <v>206</v>
      </c>
      <c r="G82" s="21" t="str">
        <f>VLOOKUP(D82,[6]成飞半成品!$A:$B,2,0)</f>
        <v>卡环</v>
      </c>
      <c r="H82" s="25" t="s">
        <v>123</v>
      </c>
      <c r="I82" s="25">
        <v>25</v>
      </c>
      <c r="J82" s="25" t="s">
        <v>1892</v>
      </c>
      <c r="K82" s="25">
        <v>1</v>
      </c>
      <c r="L82" s="25">
        <v>1.3</v>
      </c>
      <c r="M82" s="31">
        <v>26</v>
      </c>
      <c r="N82" s="31">
        <v>5</v>
      </c>
      <c r="O82" s="77" t="s">
        <v>265</v>
      </c>
      <c r="P82" s="25"/>
      <c r="Q82" s="25">
        <v>720</v>
      </c>
      <c r="R82" s="25"/>
      <c r="S82" s="25"/>
      <c r="T82" s="25"/>
      <c r="U82" s="25">
        <v>90</v>
      </c>
      <c r="V82" s="25"/>
      <c r="W82" s="25"/>
      <c r="X82" s="25"/>
      <c r="Y82" s="79">
        <v>15.6</v>
      </c>
      <c r="Z82" s="25" t="s">
        <v>14</v>
      </c>
      <c r="AA82" s="25"/>
      <c r="AB82" s="25"/>
    </row>
    <row r="83" spans="1:28" ht="23.1" customHeight="1" x14ac:dyDescent="0.25">
      <c r="A83" s="53" t="s">
        <v>188</v>
      </c>
      <c r="B83" s="25" t="s">
        <v>137</v>
      </c>
      <c r="C83" s="31">
        <v>69</v>
      </c>
      <c r="D83" s="25" t="s">
        <v>2558</v>
      </c>
      <c r="E83" s="25" t="s">
        <v>127</v>
      </c>
      <c r="F83" s="21" t="s">
        <v>127</v>
      </c>
      <c r="G83" s="21" t="str">
        <f>VLOOKUP(D83,[6]成飞半成品!$A:$B,2,0)</f>
        <v>樑</v>
      </c>
      <c r="H83" s="25" t="s">
        <v>102</v>
      </c>
      <c r="I83" s="25">
        <v>50</v>
      </c>
      <c r="J83" s="25" t="s">
        <v>1886</v>
      </c>
      <c r="K83" s="25">
        <v>0.1</v>
      </c>
      <c r="L83" s="25">
        <v>0.1</v>
      </c>
      <c r="M83" s="31">
        <v>37</v>
      </c>
      <c r="N83" s="31"/>
      <c r="O83" s="77" t="s">
        <v>128</v>
      </c>
      <c r="P83" s="25"/>
      <c r="Q83" s="25">
        <v>6000</v>
      </c>
      <c r="R83" s="25">
        <v>120</v>
      </c>
      <c r="S83" s="25"/>
      <c r="T83" s="25"/>
      <c r="U83" s="25">
        <v>240</v>
      </c>
      <c r="V83" s="25"/>
      <c r="W83" s="25"/>
      <c r="X83" s="25"/>
      <c r="Y83" s="79">
        <v>10</v>
      </c>
      <c r="Z83" s="25" t="s">
        <v>50</v>
      </c>
      <c r="AA83" s="25"/>
      <c r="AB83" s="25"/>
    </row>
    <row r="84" spans="1:28" ht="23.1" customHeight="1" x14ac:dyDescent="0.25">
      <c r="A84" s="53" t="s">
        <v>188</v>
      </c>
      <c r="B84" s="25" t="s">
        <v>137</v>
      </c>
      <c r="C84" s="31">
        <v>69</v>
      </c>
      <c r="D84" s="25" t="s">
        <v>266</v>
      </c>
      <c r="E84" s="25" t="s">
        <v>267</v>
      </c>
      <c r="F84" s="21" t="s">
        <v>267</v>
      </c>
      <c r="G84" s="21" t="str">
        <f>VLOOKUP(D84,[6]成飞半成品!$A:$B,2,0)</f>
        <v>后端框</v>
      </c>
      <c r="H84" s="31" t="s">
        <v>118</v>
      </c>
      <c r="I84" s="25">
        <v>50</v>
      </c>
      <c r="J84" s="25" t="s">
        <v>1909</v>
      </c>
      <c r="K84" s="25">
        <v>1</v>
      </c>
      <c r="L84" s="25"/>
      <c r="M84" s="31"/>
      <c r="N84" s="31">
        <v>37</v>
      </c>
      <c r="O84" s="77" t="s">
        <v>108</v>
      </c>
      <c r="P84" s="25"/>
      <c r="Q84" s="25">
        <v>240</v>
      </c>
      <c r="R84" s="25">
        <v>90</v>
      </c>
      <c r="S84" s="25"/>
      <c r="T84" s="25"/>
      <c r="U84" s="25">
        <v>180</v>
      </c>
      <c r="V84" s="25"/>
      <c r="W84" s="25"/>
      <c r="X84" s="25">
        <v>4</v>
      </c>
      <c r="Y84" s="79">
        <v>4</v>
      </c>
      <c r="Z84" s="25" t="s">
        <v>50</v>
      </c>
      <c r="AA84" s="25" t="s">
        <v>268</v>
      </c>
      <c r="AB84" s="25"/>
    </row>
    <row r="85" spans="1:28" ht="23.1" customHeight="1" x14ac:dyDescent="0.25">
      <c r="A85" s="53" t="s">
        <v>188</v>
      </c>
      <c r="B85" s="25" t="s">
        <v>137</v>
      </c>
      <c r="C85" s="31">
        <v>84</v>
      </c>
      <c r="D85" s="25" t="s">
        <v>162</v>
      </c>
      <c r="E85" s="25" t="s">
        <v>163</v>
      </c>
      <c r="F85" s="21" t="s">
        <v>163</v>
      </c>
      <c r="G85" s="21" t="str">
        <f>VLOOKUP(D85,[6]成飞半成品!$A:$B,2,0)</f>
        <v>排气下侧壁</v>
      </c>
      <c r="H85" s="25" t="s">
        <v>123</v>
      </c>
      <c r="I85" s="25">
        <v>30</v>
      </c>
      <c r="J85" s="25" t="s">
        <v>1910</v>
      </c>
      <c r="K85" s="25">
        <v>2.5</v>
      </c>
      <c r="L85" s="25">
        <v>2</v>
      </c>
      <c r="M85" s="31">
        <v>26</v>
      </c>
      <c r="N85" s="31">
        <v>23</v>
      </c>
      <c r="O85" s="77" t="s">
        <v>164</v>
      </c>
      <c r="P85" s="25"/>
      <c r="Q85" s="25">
        <v>120</v>
      </c>
      <c r="R85" s="25"/>
      <c r="S85" s="25"/>
      <c r="T85" s="25">
        <v>2</v>
      </c>
      <c r="U85" s="25">
        <v>90</v>
      </c>
      <c r="V85" s="25"/>
      <c r="W85" s="25"/>
      <c r="X85" s="25"/>
      <c r="Y85" s="79">
        <v>4</v>
      </c>
      <c r="Z85" s="25" t="s">
        <v>50</v>
      </c>
      <c r="AA85" s="25" t="s">
        <v>147</v>
      </c>
      <c r="AB85" s="25"/>
    </row>
    <row r="86" spans="1:28" ht="23.1" customHeight="1" x14ac:dyDescent="0.25">
      <c r="A86" s="53" t="s">
        <v>188</v>
      </c>
      <c r="B86" s="25" t="s">
        <v>137</v>
      </c>
      <c r="C86" s="31">
        <v>119</v>
      </c>
      <c r="D86" s="25" t="s">
        <v>157</v>
      </c>
      <c r="E86" s="25" t="s">
        <v>158</v>
      </c>
      <c r="F86" s="21" t="s">
        <v>158</v>
      </c>
      <c r="G86" s="21" t="str">
        <f>VLOOKUP(D86,[6]成飞半成品!$A:$B,2,0)</f>
        <v>口框</v>
      </c>
      <c r="H86" s="25" t="s">
        <v>154</v>
      </c>
      <c r="I86" s="25">
        <v>20</v>
      </c>
      <c r="J86" s="25" t="s">
        <v>1883</v>
      </c>
      <c r="K86" s="25">
        <v>1</v>
      </c>
      <c r="L86" s="25">
        <v>1</v>
      </c>
      <c r="M86" s="31"/>
      <c r="N86" s="31">
        <v>26</v>
      </c>
      <c r="O86" s="77" t="s">
        <v>159</v>
      </c>
      <c r="P86" s="25"/>
      <c r="Q86" s="25">
        <v>420</v>
      </c>
      <c r="R86" s="25">
        <v>60</v>
      </c>
      <c r="S86" s="25"/>
      <c r="T86" s="25">
        <v>1</v>
      </c>
      <c r="U86" s="25">
        <v>120</v>
      </c>
      <c r="V86" s="25"/>
      <c r="W86" s="25">
        <v>1</v>
      </c>
      <c r="X86" s="25"/>
      <c r="Y86" s="79">
        <v>10</v>
      </c>
      <c r="Z86" s="25" t="s">
        <v>50</v>
      </c>
      <c r="AA86" s="25" t="s">
        <v>269</v>
      </c>
      <c r="AB86" s="25"/>
    </row>
    <row r="87" spans="1:28" ht="23.1" customHeight="1" x14ac:dyDescent="0.25">
      <c r="A87" s="53" t="s">
        <v>188</v>
      </c>
      <c r="B87" s="25" t="s">
        <v>137</v>
      </c>
      <c r="C87" s="31">
        <v>119</v>
      </c>
      <c r="D87" s="25" t="s">
        <v>2551</v>
      </c>
      <c r="E87" s="25" t="s">
        <v>130</v>
      </c>
      <c r="F87" s="21" t="s">
        <v>2546</v>
      </c>
      <c r="G87" s="21" t="str">
        <f>VLOOKUP(D87,[6]成飞半成品!$A:$B,2,0)</f>
        <v>工装</v>
      </c>
      <c r="H87" s="25" t="s">
        <v>102</v>
      </c>
      <c r="I87" s="25"/>
      <c r="J87" s="25"/>
      <c r="K87" s="25"/>
      <c r="L87" s="25">
        <v>1</v>
      </c>
      <c r="M87" s="31"/>
      <c r="N87" s="31"/>
      <c r="O87" s="77" t="s">
        <v>131</v>
      </c>
      <c r="P87" s="25">
        <v>360</v>
      </c>
      <c r="Q87" s="25"/>
      <c r="R87" s="25"/>
      <c r="S87" s="25"/>
      <c r="T87" s="25"/>
      <c r="U87" s="25"/>
      <c r="V87" s="25"/>
      <c r="W87" s="25"/>
      <c r="X87" s="25">
        <v>6</v>
      </c>
      <c r="Y87" s="79">
        <v>6</v>
      </c>
      <c r="Z87" s="25" t="s">
        <v>50</v>
      </c>
      <c r="AA87" s="25" t="s">
        <v>270</v>
      </c>
      <c r="AB87" s="25"/>
    </row>
    <row r="88" spans="1:28" ht="23.1" customHeight="1" x14ac:dyDescent="0.25">
      <c r="A88" s="53" t="s">
        <v>188</v>
      </c>
      <c r="B88" s="25" t="s">
        <v>137</v>
      </c>
      <c r="C88" s="31">
        <v>17</v>
      </c>
      <c r="D88" s="25" t="s">
        <v>173</v>
      </c>
      <c r="E88" s="25" t="s">
        <v>272</v>
      </c>
      <c r="F88" s="21" t="s">
        <v>310</v>
      </c>
      <c r="G88" s="21" t="str">
        <f>VLOOKUP(D88,[6]成飞半成品!$A:$B,2,0)</f>
        <v>根肋后段</v>
      </c>
      <c r="H88" s="25" t="s">
        <v>1846</v>
      </c>
      <c r="I88" s="25">
        <v>40</v>
      </c>
      <c r="J88" s="25" t="s">
        <v>1911</v>
      </c>
      <c r="K88" s="25">
        <v>8</v>
      </c>
      <c r="L88" s="25">
        <v>9</v>
      </c>
      <c r="M88" s="31">
        <v>26</v>
      </c>
      <c r="N88" s="31">
        <v>5</v>
      </c>
      <c r="O88" s="77" t="s">
        <v>186</v>
      </c>
      <c r="P88" s="25"/>
      <c r="Q88" s="25">
        <v>30</v>
      </c>
      <c r="R88" s="25">
        <v>60</v>
      </c>
      <c r="S88" s="25"/>
      <c r="T88" s="25">
        <v>9</v>
      </c>
      <c r="U88" s="25">
        <v>60</v>
      </c>
      <c r="V88" s="25"/>
      <c r="W88" s="25"/>
      <c r="X88" s="25"/>
      <c r="Y88" s="79">
        <v>13.5</v>
      </c>
      <c r="Z88" s="25" t="s">
        <v>14</v>
      </c>
      <c r="AA88" s="25"/>
      <c r="AB88" s="25"/>
    </row>
    <row r="89" spans="1:28" ht="23.1" customHeight="1" x14ac:dyDescent="0.25">
      <c r="A89" s="53" t="s">
        <v>188</v>
      </c>
      <c r="B89" s="25" t="s">
        <v>137</v>
      </c>
      <c r="C89" s="31">
        <v>10</v>
      </c>
      <c r="D89" s="25" t="s">
        <v>232</v>
      </c>
      <c r="E89" s="25" t="s">
        <v>233</v>
      </c>
      <c r="F89" s="21" t="s">
        <v>233</v>
      </c>
      <c r="G89" s="21" t="str">
        <f>VLOOKUP(D89,[6]成飞半成品!$A:$B,2,0)</f>
        <v>左内侧接头</v>
      </c>
      <c r="H89" s="25" t="s">
        <v>102</v>
      </c>
      <c r="I89" s="25">
        <v>70</v>
      </c>
      <c r="J89" s="25" t="s">
        <v>1851</v>
      </c>
      <c r="K89" s="25">
        <v>0.4</v>
      </c>
      <c r="L89" s="25">
        <v>0.5</v>
      </c>
      <c r="M89" s="31">
        <v>23</v>
      </c>
      <c r="N89" s="31"/>
      <c r="O89" s="77" t="s">
        <v>234</v>
      </c>
      <c r="P89" s="25"/>
      <c r="Q89" s="25">
        <v>1320</v>
      </c>
      <c r="R89" s="25"/>
      <c r="S89" s="25"/>
      <c r="T89" s="25"/>
      <c r="U89" s="25">
        <v>120</v>
      </c>
      <c r="V89" s="25"/>
      <c r="W89" s="25"/>
      <c r="X89" s="25"/>
      <c r="Y89" s="79">
        <v>11</v>
      </c>
      <c r="Z89" s="25" t="s">
        <v>23</v>
      </c>
      <c r="AA89" s="25"/>
      <c r="AB89" s="25"/>
    </row>
    <row r="90" spans="1:28" ht="23.1" customHeight="1" x14ac:dyDescent="0.25">
      <c r="A90" s="53" t="s">
        <v>188</v>
      </c>
      <c r="B90" s="25" t="s">
        <v>137</v>
      </c>
      <c r="C90" s="31">
        <v>58</v>
      </c>
      <c r="D90" s="25" t="s">
        <v>214</v>
      </c>
      <c r="E90" s="25" t="s">
        <v>215</v>
      </c>
      <c r="F90" s="21" t="s">
        <v>215</v>
      </c>
      <c r="G90" s="21" t="str">
        <f>VLOOKUP(D90,[6]成飞半成品!$A:$B,2,0)</f>
        <v>口盖</v>
      </c>
      <c r="H90" s="25" t="s">
        <v>118</v>
      </c>
      <c r="I90" s="25">
        <v>25</v>
      </c>
      <c r="J90" s="25" t="s">
        <v>1894</v>
      </c>
      <c r="K90" s="25">
        <v>5</v>
      </c>
      <c r="L90" s="25">
        <v>5</v>
      </c>
      <c r="M90" s="31">
        <v>37</v>
      </c>
      <c r="N90" s="31">
        <v>37</v>
      </c>
      <c r="O90" s="77" t="s">
        <v>216</v>
      </c>
      <c r="P90" s="25"/>
      <c r="Q90" s="25">
        <v>170</v>
      </c>
      <c r="R90" s="25"/>
      <c r="S90" s="25"/>
      <c r="T90" s="25"/>
      <c r="U90" s="25">
        <v>60</v>
      </c>
      <c r="V90" s="25"/>
      <c r="W90" s="25"/>
      <c r="X90" s="25"/>
      <c r="Y90" s="79">
        <v>14.2</v>
      </c>
      <c r="Z90" s="25" t="s">
        <v>57</v>
      </c>
      <c r="AA90" s="25"/>
      <c r="AB90" s="25"/>
    </row>
    <row r="91" spans="1:28" ht="23.1" customHeight="1" x14ac:dyDescent="0.25">
      <c r="A91" s="53" t="s">
        <v>188</v>
      </c>
      <c r="B91" s="25" t="s">
        <v>99</v>
      </c>
      <c r="C91" s="31">
        <v>12</v>
      </c>
      <c r="D91" s="25" t="s">
        <v>248</v>
      </c>
      <c r="E91" s="25" t="s">
        <v>249</v>
      </c>
      <c r="F91" s="21" t="s">
        <v>249</v>
      </c>
      <c r="G91" s="21" t="str">
        <f>VLOOKUP(D91,[6]成飞半成品!$A:$B,2,0)</f>
        <v>10060下接头</v>
      </c>
      <c r="H91" s="25" t="s">
        <v>250</v>
      </c>
      <c r="I91" s="25">
        <v>23</v>
      </c>
      <c r="J91" s="25"/>
      <c r="K91" s="25"/>
      <c r="L91" s="25">
        <v>4</v>
      </c>
      <c r="M91" s="31">
        <v>28</v>
      </c>
      <c r="N91" s="31">
        <v>28</v>
      </c>
      <c r="O91" s="77" t="s">
        <v>252</v>
      </c>
      <c r="P91" s="25">
        <v>15</v>
      </c>
      <c r="Q91" s="25"/>
      <c r="R91" s="25"/>
      <c r="S91" s="25">
        <v>60</v>
      </c>
      <c r="T91" s="25"/>
      <c r="U91" s="25"/>
      <c r="V91" s="25"/>
      <c r="W91" s="25"/>
      <c r="X91" s="25"/>
      <c r="Y91" s="83">
        <v>1</v>
      </c>
      <c r="Z91" s="25" t="s">
        <v>72</v>
      </c>
      <c r="AA91" s="25" t="s">
        <v>253</v>
      </c>
      <c r="AB91" s="25"/>
    </row>
    <row r="92" spans="1:28" ht="23.1" customHeight="1" x14ac:dyDescent="0.25">
      <c r="A92" s="53" t="s">
        <v>188</v>
      </c>
      <c r="B92" s="25" t="s">
        <v>137</v>
      </c>
      <c r="C92" s="31">
        <v>59</v>
      </c>
      <c r="D92" s="25" t="s">
        <v>138</v>
      </c>
      <c r="E92" s="25" t="s">
        <v>139</v>
      </c>
      <c r="F92" s="21" t="s">
        <v>139</v>
      </c>
      <c r="G92" s="21" t="str">
        <f>VLOOKUP(D92,[6]成飞半成品!$A:$B,2,0)</f>
        <v>支座</v>
      </c>
      <c r="H92" s="25" t="s">
        <v>102</v>
      </c>
      <c r="I92" s="25">
        <v>15</v>
      </c>
      <c r="J92" s="25" t="s">
        <v>1852</v>
      </c>
      <c r="K92" s="25">
        <v>1</v>
      </c>
      <c r="L92" s="25">
        <v>0.7</v>
      </c>
      <c r="M92" s="31">
        <v>26</v>
      </c>
      <c r="N92" s="31">
        <v>5</v>
      </c>
      <c r="O92" s="77" t="s">
        <v>140</v>
      </c>
      <c r="P92" s="25"/>
      <c r="Q92" s="25">
        <v>20</v>
      </c>
      <c r="R92" s="25"/>
      <c r="S92" s="25"/>
      <c r="T92" s="25"/>
      <c r="U92" s="25">
        <v>60</v>
      </c>
      <c r="V92" s="25"/>
      <c r="W92" s="25">
        <v>1</v>
      </c>
      <c r="X92" s="25"/>
      <c r="Y92" s="79">
        <v>1.2</v>
      </c>
      <c r="Z92" s="25" t="s">
        <v>6</v>
      </c>
      <c r="AA92" s="25"/>
      <c r="AB92" s="25"/>
    </row>
    <row r="93" spans="1:28" ht="23.1" customHeight="1" x14ac:dyDescent="0.25">
      <c r="A93" s="53" t="s">
        <v>188</v>
      </c>
      <c r="B93" s="25" t="s">
        <v>113</v>
      </c>
      <c r="C93" s="31">
        <v>22</v>
      </c>
      <c r="D93" s="25" t="s">
        <v>111</v>
      </c>
      <c r="E93" s="25" t="s">
        <v>101</v>
      </c>
      <c r="F93" s="21" t="s">
        <v>101</v>
      </c>
      <c r="G93" s="21" t="str">
        <f>VLOOKUP(D93,[6]成飞半成品!$A:$B,2,0)</f>
        <v>前梁一段</v>
      </c>
      <c r="H93" s="25" t="s">
        <v>102</v>
      </c>
      <c r="I93" s="25">
        <v>30</v>
      </c>
      <c r="J93" s="25" t="s">
        <v>1873</v>
      </c>
      <c r="K93" s="25">
        <v>0.15</v>
      </c>
      <c r="L93" s="25">
        <v>0.15</v>
      </c>
      <c r="M93" s="31"/>
      <c r="N93" s="31">
        <v>26</v>
      </c>
      <c r="O93" s="77" t="s">
        <v>195</v>
      </c>
      <c r="P93" s="25"/>
      <c r="Q93" s="25">
        <v>6000</v>
      </c>
      <c r="R93" s="25">
        <v>180</v>
      </c>
      <c r="S93" s="25"/>
      <c r="T93" s="25"/>
      <c r="U93" s="25">
        <v>180</v>
      </c>
      <c r="V93" s="31"/>
      <c r="W93" s="25"/>
      <c r="X93" s="25"/>
      <c r="Y93" s="79">
        <v>15</v>
      </c>
      <c r="Z93" s="25" t="s">
        <v>49</v>
      </c>
      <c r="AA93" s="25"/>
      <c r="AB93" s="25"/>
    </row>
    <row r="94" spans="1:28" ht="23.1" customHeight="1" x14ac:dyDescent="0.25">
      <c r="A94" s="53" t="s">
        <v>188</v>
      </c>
      <c r="B94" s="25" t="s">
        <v>113</v>
      </c>
      <c r="C94" s="31">
        <v>56</v>
      </c>
      <c r="D94" s="25" t="s">
        <v>273</v>
      </c>
      <c r="E94" s="25" t="s">
        <v>274</v>
      </c>
      <c r="F94" s="21" t="s">
        <v>274</v>
      </c>
      <c r="G94" s="21" t="str">
        <f>VLOOKUP(D94,[6]成飞半成品!$A:$B,2,0)</f>
        <v>前起落架水平接头</v>
      </c>
      <c r="H94" s="25" t="s">
        <v>123</v>
      </c>
      <c r="I94" s="25">
        <v>25</v>
      </c>
      <c r="J94" s="25" t="s">
        <v>1981</v>
      </c>
      <c r="K94" s="25">
        <v>9</v>
      </c>
      <c r="L94" s="25">
        <v>8</v>
      </c>
      <c r="M94" s="31">
        <v>31</v>
      </c>
      <c r="N94" s="31">
        <v>26</v>
      </c>
      <c r="O94" s="77" t="s">
        <v>275</v>
      </c>
      <c r="P94" s="25"/>
      <c r="Q94" s="25">
        <v>45</v>
      </c>
      <c r="R94" s="25"/>
      <c r="S94" s="25"/>
      <c r="T94" s="25"/>
      <c r="U94" s="25">
        <v>60</v>
      </c>
      <c r="V94" s="25"/>
      <c r="W94" s="25"/>
      <c r="X94" s="25"/>
      <c r="Y94" s="79">
        <v>6</v>
      </c>
      <c r="Z94" s="25" t="s">
        <v>44</v>
      </c>
      <c r="AA94" s="25"/>
      <c r="AB94" s="25"/>
    </row>
    <row r="95" spans="1:28" ht="23.1" customHeight="1" x14ac:dyDescent="0.25">
      <c r="A95" s="53" t="s">
        <v>188</v>
      </c>
      <c r="B95" s="25" t="s">
        <v>113</v>
      </c>
      <c r="C95" s="31">
        <v>14</v>
      </c>
      <c r="D95" s="25" t="s">
        <v>276</v>
      </c>
      <c r="E95" s="25" t="s">
        <v>277</v>
      </c>
      <c r="F95" s="21" t="s">
        <v>277</v>
      </c>
      <c r="G95" s="21" t="str">
        <f>VLOOKUP(D95,[6]成飞半成品!$A:$B,2,0)</f>
        <v>左外侧接头</v>
      </c>
      <c r="H95" s="25" t="s">
        <v>154</v>
      </c>
      <c r="I95" s="25">
        <v>50</v>
      </c>
      <c r="J95" s="25" t="s">
        <v>1899</v>
      </c>
      <c r="K95" s="25">
        <v>0.5</v>
      </c>
      <c r="L95" s="25">
        <v>0.4</v>
      </c>
      <c r="M95" s="31"/>
      <c r="N95" s="31">
        <v>28</v>
      </c>
      <c r="O95" s="77" t="s">
        <v>159</v>
      </c>
      <c r="P95" s="25"/>
      <c r="Q95" s="25">
        <v>2640</v>
      </c>
      <c r="R95" s="25"/>
      <c r="S95" s="25"/>
      <c r="T95" s="25"/>
      <c r="U95" s="25">
        <v>90</v>
      </c>
      <c r="V95" s="25"/>
      <c r="W95" s="25"/>
      <c r="X95" s="25"/>
      <c r="Y95" s="79">
        <v>17.600000000000001</v>
      </c>
      <c r="Z95" s="25" t="s">
        <v>60</v>
      </c>
      <c r="AA95" s="25"/>
      <c r="AB95" s="25"/>
    </row>
    <row r="96" spans="1:28" ht="23.1" customHeight="1" x14ac:dyDescent="0.25">
      <c r="A96" s="53" t="s">
        <v>188</v>
      </c>
      <c r="B96" s="25" t="s">
        <v>137</v>
      </c>
      <c r="C96" s="31">
        <v>59</v>
      </c>
      <c r="D96" s="25" t="s">
        <v>138</v>
      </c>
      <c r="E96" s="25" t="s">
        <v>139</v>
      </c>
      <c r="F96" s="21" t="s">
        <v>139</v>
      </c>
      <c r="G96" s="21" t="str">
        <f>VLOOKUP(D96,[6]成飞半成品!$A:$B,2,0)</f>
        <v>支座</v>
      </c>
      <c r="H96" s="25" t="s">
        <v>102</v>
      </c>
      <c r="I96" s="25">
        <v>20</v>
      </c>
      <c r="J96" s="25" t="s">
        <v>1880</v>
      </c>
      <c r="K96" s="25">
        <v>1</v>
      </c>
      <c r="L96" s="25">
        <v>1</v>
      </c>
      <c r="M96" s="31">
        <v>26</v>
      </c>
      <c r="N96" s="31">
        <v>5</v>
      </c>
      <c r="O96" s="77" t="s">
        <v>140</v>
      </c>
      <c r="P96" s="25"/>
      <c r="Q96" s="25">
        <v>60</v>
      </c>
      <c r="R96" s="25"/>
      <c r="S96" s="25"/>
      <c r="T96" s="25"/>
      <c r="U96" s="25">
        <v>120</v>
      </c>
      <c r="V96" s="25"/>
      <c r="W96" s="25">
        <v>1</v>
      </c>
      <c r="X96" s="25"/>
      <c r="Y96" s="79">
        <v>3</v>
      </c>
      <c r="Z96" s="25" t="s">
        <v>6</v>
      </c>
      <c r="AA96" s="25"/>
      <c r="AB96" s="25"/>
    </row>
    <row r="97" spans="1:28" ht="23.1" customHeight="1" x14ac:dyDescent="0.25">
      <c r="A97" s="53" t="s">
        <v>188</v>
      </c>
      <c r="B97" s="25" t="s">
        <v>137</v>
      </c>
      <c r="C97" s="31">
        <v>59</v>
      </c>
      <c r="D97" s="25" t="s">
        <v>138</v>
      </c>
      <c r="E97" s="25" t="s">
        <v>139</v>
      </c>
      <c r="F97" s="21" t="s">
        <v>139</v>
      </c>
      <c r="G97" s="21" t="str">
        <f>VLOOKUP(D97,[6]成飞半成品!$A:$B,2,0)</f>
        <v>支座</v>
      </c>
      <c r="H97" s="25" t="s">
        <v>102</v>
      </c>
      <c r="I97" s="25">
        <v>10</v>
      </c>
      <c r="J97" s="25" t="s">
        <v>1897</v>
      </c>
      <c r="K97" s="25">
        <v>1</v>
      </c>
      <c r="L97" s="25">
        <v>1</v>
      </c>
      <c r="M97" s="31">
        <v>26</v>
      </c>
      <c r="N97" s="31">
        <v>5</v>
      </c>
      <c r="O97" s="77" t="s">
        <v>140</v>
      </c>
      <c r="P97" s="25"/>
      <c r="Q97" s="25">
        <v>60</v>
      </c>
      <c r="R97" s="25"/>
      <c r="S97" s="25"/>
      <c r="T97" s="25"/>
      <c r="U97" s="25">
        <v>60</v>
      </c>
      <c r="V97" s="25"/>
      <c r="W97" s="25">
        <v>1</v>
      </c>
      <c r="X97" s="25"/>
      <c r="Y97" s="79">
        <v>2</v>
      </c>
      <c r="Z97" s="25" t="s">
        <v>6</v>
      </c>
      <c r="AA97" s="25"/>
      <c r="AB97" s="25"/>
    </row>
    <row r="98" spans="1:28" ht="23.1" customHeight="1" x14ac:dyDescent="0.25">
      <c r="A98" s="53" t="s">
        <v>188</v>
      </c>
      <c r="B98" s="25" t="s">
        <v>137</v>
      </c>
      <c r="C98" s="31">
        <v>59</v>
      </c>
      <c r="D98" s="25" t="s">
        <v>138</v>
      </c>
      <c r="E98" s="25" t="s">
        <v>139</v>
      </c>
      <c r="F98" s="21" t="s">
        <v>139</v>
      </c>
      <c r="G98" s="21" t="str">
        <f>VLOOKUP(D98,[6]成飞半成品!$A:$B,2,0)</f>
        <v>支座</v>
      </c>
      <c r="H98" s="25" t="s">
        <v>102</v>
      </c>
      <c r="I98" s="25">
        <v>25</v>
      </c>
      <c r="J98" s="25" t="s">
        <v>1850</v>
      </c>
      <c r="K98" s="25">
        <v>1</v>
      </c>
      <c r="L98" s="25">
        <v>1</v>
      </c>
      <c r="M98" s="31">
        <v>26</v>
      </c>
      <c r="N98" s="31">
        <v>5</v>
      </c>
      <c r="O98" s="77" t="s">
        <v>140</v>
      </c>
      <c r="P98" s="25"/>
      <c r="Q98" s="25">
        <v>30</v>
      </c>
      <c r="R98" s="25"/>
      <c r="S98" s="25"/>
      <c r="T98" s="25"/>
      <c r="U98" s="25">
        <v>60</v>
      </c>
      <c r="V98" s="25"/>
      <c r="W98" s="25">
        <v>1</v>
      </c>
      <c r="X98" s="25"/>
      <c r="Y98" s="79">
        <v>1.5</v>
      </c>
      <c r="Z98" s="25" t="s">
        <v>6</v>
      </c>
      <c r="AA98" s="25"/>
      <c r="AB98" s="25"/>
    </row>
    <row r="99" spans="1:28" ht="23.1" customHeight="1" x14ac:dyDescent="0.25">
      <c r="A99" s="53" t="s">
        <v>188</v>
      </c>
      <c r="B99" s="25" t="s">
        <v>113</v>
      </c>
      <c r="C99" s="31">
        <v>59</v>
      </c>
      <c r="D99" s="25" t="s">
        <v>138</v>
      </c>
      <c r="E99" s="25" t="s">
        <v>139</v>
      </c>
      <c r="F99" s="21" t="s">
        <v>139</v>
      </c>
      <c r="G99" s="21" t="str">
        <f>VLOOKUP(D99,[6]成飞半成品!$A:$B,2,0)</f>
        <v>支座</v>
      </c>
      <c r="H99" s="25" t="s">
        <v>102</v>
      </c>
      <c r="I99" s="25">
        <v>30</v>
      </c>
      <c r="J99" s="25" t="s">
        <v>1912</v>
      </c>
      <c r="K99" s="25">
        <v>1</v>
      </c>
      <c r="L99" s="25">
        <v>1</v>
      </c>
      <c r="M99" s="31">
        <v>5</v>
      </c>
      <c r="N99" s="31">
        <v>5</v>
      </c>
      <c r="O99" s="77" t="s">
        <v>140</v>
      </c>
      <c r="P99" s="25"/>
      <c r="Q99" s="25">
        <v>70</v>
      </c>
      <c r="R99" s="25"/>
      <c r="S99" s="25"/>
      <c r="T99" s="25"/>
      <c r="U99" s="25">
        <v>120</v>
      </c>
      <c r="V99" s="25"/>
      <c r="W99" s="25">
        <v>1</v>
      </c>
      <c r="X99" s="25"/>
      <c r="Y99" s="79">
        <v>3.2</v>
      </c>
      <c r="Z99" s="65" t="s">
        <v>1847</v>
      </c>
      <c r="AA99" s="25" t="s">
        <v>278</v>
      </c>
      <c r="AB99" s="25"/>
    </row>
    <row r="100" spans="1:28" ht="23.1" customHeight="1" x14ac:dyDescent="0.25">
      <c r="A100" s="53" t="s">
        <v>188</v>
      </c>
      <c r="B100" s="25" t="s">
        <v>113</v>
      </c>
      <c r="C100" s="31">
        <v>59</v>
      </c>
      <c r="D100" s="25" t="s">
        <v>138</v>
      </c>
      <c r="E100" s="25" t="s">
        <v>139</v>
      </c>
      <c r="F100" s="21" t="s">
        <v>139</v>
      </c>
      <c r="G100" s="21" t="str">
        <f>VLOOKUP(D100,[6]成飞半成品!$A:$B,2,0)</f>
        <v>支座</v>
      </c>
      <c r="H100" s="25" t="s">
        <v>102</v>
      </c>
      <c r="I100" s="25">
        <v>40</v>
      </c>
      <c r="J100" s="25" t="s">
        <v>1913</v>
      </c>
      <c r="K100" s="25">
        <v>2</v>
      </c>
      <c r="L100" s="25">
        <v>1</v>
      </c>
      <c r="M100" s="31">
        <v>9</v>
      </c>
      <c r="N100" s="31">
        <v>9</v>
      </c>
      <c r="O100" s="77" t="s">
        <v>140</v>
      </c>
      <c r="P100" s="25"/>
      <c r="Q100" s="25">
        <v>90</v>
      </c>
      <c r="R100" s="25"/>
      <c r="S100" s="25"/>
      <c r="T100" s="25"/>
      <c r="U100" s="25">
        <v>120</v>
      </c>
      <c r="V100" s="25"/>
      <c r="W100" s="25"/>
      <c r="X100" s="25"/>
      <c r="Y100" s="79">
        <v>1.5</v>
      </c>
      <c r="Z100" s="65" t="s">
        <v>1847</v>
      </c>
      <c r="AA100" s="25" t="s">
        <v>279</v>
      </c>
      <c r="AB100" s="25"/>
    </row>
    <row r="101" spans="1:28" ht="23.1" customHeight="1" x14ac:dyDescent="0.25">
      <c r="A101" s="53" t="s">
        <v>188</v>
      </c>
      <c r="B101" s="25" t="s">
        <v>113</v>
      </c>
      <c r="C101" s="31">
        <v>15</v>
      </c>
      <c r="D101" s="25" t="s">
        <v>217</v>
      </c>
      <c r="E101" s="25" t="s">
        <v>218</v>
      </c>
      <c r="F101" s="21" t="s">
        <v>218</v>
      </c>
      <c r="G101" s="21" t="str">
        <f>VLOOKUP(D101,[6]成飞半成品!$A:$B,2,0)</f>
        <v>横梁</v>
      </c>
      <c r="H101" s="25" t="s">
        <v>107</v>
      </c>
      <c r="I101" s="25">
        <v>25</v>
      </c>
      <c r="J101" s="25" t="s">
        <v>1914</v>
      </c>
      <c r="K101" s="25">
        <v>1</v>
      </c>
      <c r="L101" s="25">
        <v>1</v>
      </c>
      <c r="M101" s="31"/>
      <c r="N101" s="31">
        <v>37</v>
      </c>
      <c r="O101" s="77" t="s">
        <v>221</v>
      </c>
      <c r="P101" s="25"/>
      <c r="Q101" s="25">
        <v>210</v>
      </c>
      <c r="R101" s="25"/>
      <c r="S101" s="25"/>
      <c r="T101" s="25"/>
      <c r="U101" s="25">
        <v>60</v>
      </c>
      <c r="V101" s="25"/>
      <c r="W101" s="25">
        <v>1</v>
      </c>
      <c r="X101" s="25"/>
      <c r="Y101" s="79">
        <v>4.5</v>
      </c>
      <c r="Z101" s="25" t="s">
        <v>60</v>
      </c>
      <c r="AA101" s="25" t="s">
        <v>92</v>
      </c>
      <c r="AB101" s="25"/>
    </row>
    <row r="102" spans="1:28" ht="23.1" customHeight="1" x14ac:dyDescent="0.25">
      <c r="A102" s="53" t="s">
        <v>188</v>
      </c>
      <c r="B102" s="25" t="s">
        <v>113</v>
      </c>
      <c r="C102" s="31">
        <v>15</v>
      </c>
      <c r="D102" s="25" t="s">
        <v>217</v>
      </c>
      <c r="E102" s="25" t="s">
        <v>218</v>
      </c>
      <c r="F102" s="21" t="s">
        <v>218</v>
      </c>
      <c r="G102" s="21" t="str">
        <f>VLOOKUP(D102,[6]成飞半成品!$A:$B,2,0)</f>
        <v>横梁</v>
      </c>
      <c r="H102" s="25" t="s">
        <v>107</v>
      </c>
      <c r="I102" s="25">
        <v>40</v>
      </c>
      <c r="J102" s="25" t="s">
        <v>2427</v>
      </c>
      <c r="K102" s="25">
        <v>4</v>
      </c>
      <c r="L102" s="25">
        <v>6</v>
      </c>
      <c r="M102" s="31">
        <v>5</v>
      </c>
      <c r="N102" s="31">
        <v>5</v>
      </c>
      <c r="O102" s="77" t="s">
        <v>219</v>
      </c>
      <c r="P102" s="25"/>
      <c r="Q102" s="25">
        <v>150</v>
      </c>
      <c r="R102" s="25"/>
      <c r="S102" s="25"/>
      <c r="T102" s="25"/>
      <c r="U102" s="25">
        <v>90</v>
      </c>
      <c r="V102" s="25"/>
      <c r="W102" s="25">
        <v>1</v>
      </c>
      <c r="X102" s="25"/>
      <c r="Y102" s="79">
        <v>16.5</v>
      </c>
      <c r="Z102" s="25" t="s">
        <v>60</v>
      </c>
      <c r="AA102" s="25" t="s">
        <v>92</v>
      </c>
      <c r="AB102" s="25"/>
    </row>
    <row r="103" spans="1:28" ht="23.1" customHeight="1" x14ac:dyDescent="0.25">
      <c r="A103" s="53" t="s">
        <v>188</v>
      </c>
      <c r="B103" s="25" t="s">
        <v>113</v>
      </c>
      <c r="C103" s="31">
        <v>76</v>
      </c>
      <c r="D103" s="25" t="s">
        <v>242</v>
      </c>
      <c r="E103" s="25" t="s">
        <v>243</v>
      </c>
      <c r="F103" s="21" t="s">
        <v>243</v>
      </c>
      <c r="G103" s="21" t="str">
        <f>VLOOKUP(D103,[6]成飞半成品!$A:$B,2,0)</f>
        <v>管接头</v>
      </c>
      <c r="H103" s="25" t="s">
        <v>123</v>
      </c>
      <c r="I103" s="25">
        <v>30</v>
      </c>
      <c r="J103" s="25" t="s">
        <v>1901</v>
      </c>
      <c r="K103" s="25">
        <v>10</v>
      </c>
      <c r="L103" s="25">
        <v>10</v>
      </c>
      <c r="M103" s="31">
        <v>26</v>
      </c>
      <c r="N103" s="31">
        <v>26</v>
      </c>
      <c r="O103" s="77" t="s">
        <v>131</v>
      </c>
      <c r="P103" s="25"/>
      <c r="Q103" s="25">
        <v>30</v>
      </c>
      <c r="R103" s="25"/>
      <c r="S103" s="25"/>
      <c r="T103" s="25"/>
      <c r="U103" s="25">
        <v>60</v>
      </c>
      <c r="V103" s="25"/>
      <c r="W103" s="25"/>
      <c r="X103" s="25"/>
      <c r="Y103" s="79">
        <v>5</v>
      </c>
      <c r="Z103" s="25" t="s">
        <v>12</v>
      </c>
      <c r="AA103" s="25"/>
      <c r="AB103" s="25"/>
    </row>
    <row r="104" spans="1:28" ht="23.1" customHeight="1" x14ac:dyDescent="0.25">
      <c r="A104" s="53" t="s">
        <v>188</v>
      </c>
      <c r="B104" s="25" t="s">
        <v>113</v>
      </c>
      <c r="C104" s="31">
        <v>76</v>
      </c>
      <c r="D104" s="25" t="s">
        <v>280</v>
      </c>
      <c r="E104" s="25" t="s">
        <v>281</v>
      </c>
      <c r="F104" s="21" t="s">
        <v>281</v>
      </c>
      <c r="G104" s="21" t="str">
        <f>VLOOKUP(D104,[6]成飞半成品!$A:$B,2,0)</f>
        <v>4#上垫片</v>
      </c>
      <c r="H104" s="25" t="s">
        <v>154</v>
      </c>
      <c r="I104" s="25">
        <v>10</v>
      </c>
      <c r="J104" s="25" t="s">
        <v>1916</v>
      </c>
      <c r="K104" s="25">
        <v>24</v>
      </c>
      <c r="L104" s="25">
        <v>24</v>
      </c>
      <c r="M104" s="31">
        <v>5</v>
      </c>
      <c r="N104" s="31">
        <v>5</v>
      </c>
      <c r="O104" s="77" t="s">
        <v>282</v>
      </c>
      <c r="P104" s="25"/>
      <c r="Q104" s="25">
        <v>30</v>
      </c>
      <c r="R104" s="25"/>
      <c r="S104" s="25"/>
      <c r="T104" s="25"/>
      <c r="U104" s="25">
        <v>60</v>
      </c>
      <c r="V104" s="25"/>
      <c r="W104" s="25">
        <v>1</v>
      </c>
      <c r="X104" s="25"/>
      <c r="Y104" s="79">
        <v>13</v>
      </c>
      <c r="Z104" s="25" t="s">
        <v>12</v>
      </c>
      <c r="AA104" s="25" t="s">
        <v>283</v>
      </c>
      <c r="AB104" s="25"/>
    </row>
    <row r="105" spans="1:28" ht="23.1" customHeight="1" x14ac:dyDescent="0.25">
      <c r="A105" s="53" t="s">
        <v>188</v>
      </c>
      <c r="B105" s="25" t="s">
        <v>113</v>
      </c>
      <c r="C105" s="31">
        <v>47</v>
      </c>
      <c r="D105" s="25" t="s">
        <v>294</v>
      </c>
      <c r="E105" s="25" t="s">
        <v>284</v>
      </c>
      <c r="F105" s="21" t="s">
        <v>284</v>
      </c>
      <c r="G105" s="21" t="str">
        <f>VLOOKUP(D105,[6]成飞半成品!$A:$B,2,0)</f>
        <v>梁（左件）</v>
      </c>
      <c r="H105" s="25" t="s">
        <v>154</v>
      </c>
      <c r="I105" s="25">
        <v>50</v>
      </c>
      <c r="J105" s="25" t="s">
        <v>1907</v>
      </c>
      <c r="K105" s="25">
        <v>0.7</v>
      </c>
      <c r="L105" s="25">
        <v>0.7</v>
      </c>
      <c r="M105" s="31"/>
      <c r="N105" s="31">
        <v>28</v>
      </c>
      <c r="O105" s="77" t="s">
        <v>285</v>
      </c>
      <c r="P105" s="25"/>
      <c r="Q105" s="25">
        <v>630</v>
      </c>
      <c r="R105" s="25">
        <v>120</v>
      </c>
      <c r="S105" s="25"/>
      <c r="T105" s="25">
        <v>1</v>
      </c>
      <c r="U105" s="25">
        <v>90</v>
      </c>
      <c r="V105" s="25"/>
      <c r="W105" s="25">
        <v>1</v>
      </c>
      <c r="X105" s="25"/>
      <c r="Y105" s="79">
        <v>10.9</v>
      </c>
      <c r="Z105" s="25" t="s">
        <v>22</v>
      </c>
      <c r="AA105" s="25" t="s">
        <v>286</v>
      </c>
      <c r="AB105" s="25"/>
    </row>
    <row r="106" spans="1:28" ht="23.1" customHeight="1" x14ac:dyDescent="0.25">
      <c r="A106" s="53" t="s">
        <v>188</v>
      </c>
      <c r="B106" s="25" t="s">
        <v>113</v>
      </c>
      <c r="C106" s="31">
        <v>47</v>
      </c>
      <c r="D106" s="25" t="s">
        <v>2551</v>
      </c>
      <c r="E106" s="25" t="s">
        <v>130</v>
      </c>
      <c r="F106" s="21" t="s">
        <v>2547</v>
      </c>
      <c r="G106" s="21" t="str">
        <f>VLOOKUP(D106,[6]成飞半成品!$A:$B,2,0)</f>
        <v>工装</v>
      </c>
      <c r="H106" s="25" t="s">
        <v>102</v>
      </c>
      <c r="I106" s="25">
        <v>90</v>
      </c>
      <c r="J106" s="25" t="s">
        <v>1917</v>
      </c>
      <c r="K106" s="25">
        <v>1</v>
      </c>
      <c r="L106" s="25">
        <v>1</v>
      </c>
      <c r="M106" s="31">
        <v>5</v>
      </c>
      <c r="N106" s="31"/>
      <c r="O106" s="77" t="s">
        <v>287</v>
      </c>
      <c r="P106" s="25"/>
      <c r="Q106" s="25">
        <v>300</v>
      </c>
      <c r="R106" s="25">
        <v>90</v>
      </c>
      <c r="S106" s="25"/>
      <c r="T106" s="25">
        <v>1</v>
      </c>
      <c r="U106" s="25">
        <v>120</v>
      </c>
      <c r="V106" s="25"/>
      <c r="W106" s="25">
        <v>1</v>
      </c>
      <c r="X106" s="25"/>
      <c r="Y106" s="79">
        <v>8.5</v>
      </c>
      <c r="Z106" s="25" t="s">
        <v>22</v>
      </c>
      <c r="AA106" s="25" t="s">
        <v>286</v>
      </c>
      <c r="AB106" s="25"/>
    </row>
    <row r="107" spans="1:28" ht="23.1" customHeight="1" x14ac:dyDescent="0.25">
      <c r="A107" s="53" t="s">
        <v>188</v>
      </c>
      <c r="B107" s="25" t="s">
        <v>113</v>
      </c>
      <c r="C107" s="31">
        <v>47</v>
      </c>
      <c r="D107" s="25" t="s">
        <v>2551</v>
      </c>
      <c r="E107" s="25" t="s">
        <v>130</v>
      </c>
      <c r="F107" s="21" t="s">
        <v>2547</v>
      </c>
      <c r="G107" s="21" t="str">
        <f>VLOOKUP(D107,[6]成飞半成品!$A:$B,2,0)</f>
        <v>工装</v>
      </c>
      <c r="H107" s="25" t="s">
        <v>102</v>
      </c>
      <c r="I107" s="25">
        <v>95</v>
      </c>
      <c r="J107" s="25" t="s">
        <v>1918</v>
      </c>
      <c r="K107" s="25">
        <v>1</v>
      </c>
      <c r="L107" s="25">
        <v>1</v>
      </c>
      <c r="M107" s="31">
        <v>23</v>
      </c>
      <c r="N107" s="31"/>
      <c r="O107" s="77" t="s">
        <v>287</v>
      </c>
      <c r="P107" s="25"/>
      <c r="Q107" s="25">
        <v>60</v>
      </c>
      <c r="R107" s="25">
        <v>90</v>
      </c>
      <c r="S107" s="25"/>
      <c r="T107" s="25">
        <v>1</v>
      </c>
      <c r="U107" s="25">
        <v>90</v>
      </c>
      <c r="V107" s="25"/>
      <c r="W107" s="25">
        <v>1</v>
      </c>
      <c r="X107" s="25"/>
      <c r="Y107" s="79">
        <v>4</v>
      </c>
      <c r="Z107" s="25" t="s">
        <v>22</v>
      </c>
      <c r="AA107" s="25" t="s">
        <v>286</v>
      </c>
      <c r="AB107" s="25"/>
    </row>
    <row r="108" spans="1:28" ht="23.1" customHeight="1" x14ac:dyDescent="0.25">
      <c r="A108" s="53" t="s">
        <v>188</v>
      </c>
      <c r="B108" s="25" t="s">
        <v>113</v>
      </c>
      <c r="C108" s="31">
        <v>23</v>
      </c>
      <c r="D108" s="25" t="s">
        <v>288</v>
      </c>
      <c r="E108" s="25" t="s">
        <v>255</v>
      </c>
      <c r="F108" s="21" t="s">
        <v>1532</v>
      </c>
      <c r="G108" s="21" t="str">
        <f>VLOOKUP(D108,[6]成飞半成品!$A:$B,2,0)</f>
        <v>9350-11140左侧上梁</v>
      </c>
      <c r="H108" s="25" t="s">
        <v>250</v>
      </c>
      <c r="I108" s="25">
        <v>45</v>
      </c>
      <c r="J108" s="25" t="s">
        <v>1919</v>
      </c>
      <c r="K108" s="25">
        <v>0.7</v>
      </c>
      <c r="L108" s="25">
        <v>1</v>
      </c>
      <c r="M108" s="31">
        <v>23</v>
      </c>
      <c r="N108" s="31"/>
      <c r="O108" s="77" t="s">
        <v>289</v>
      </c>
      <c r="P108" s="25"/>
      <c r="Q108" s="25">
        <v>660</v>
      </c>
      <c r="R108" s="25">
        <v>90</v>
      </c>
      <c r="S108" s="25"/>
      <c r="T108" s="25">
        <v>1</v>
      </c>
      <c r="U108" s="25">
        <v>120</v>
      </c>
      <c r="V108" s="25"/>
      <c r="W108" s="25"/>
      <c r="X108" s="25"/>
      <c r="Y108" s="79">
        <v>12.5</v>
      </c>
      <c r="Z108" s="25" t="s">
        <v>22</v>
      </c>
      <c r="AA108" s="25" t="s">
        <v>145</v>
      </c>
      <c r="AB108" s="25"/>
    </row>
    <row r="109" spans="1:28" ht="23.1" customHeight="1" x14ac:dyDescent="0.25">
      <c r="A109" s="53" t="s">
        <v>188</v>
      </c>
      <c r="B109" s="25" t="s">
        <v>113</v>
      </c>
      <c r="C109" s="31">
        <v>23</v>
      </c>
      <c r="D109" s="25" t="s">
        <v>2551</v>
      </c>
      <c r="E109" s="25" t="s">
        <v>130</v>
      </c>
      <c r="F109" s="21" t="s">
        <v>2546</v>
      </c>
      <c r="G109" s="21" t="str">
        <f>VLOOKUP(D109,[6]成飞半成品!$A:$B,2,0)</f>
        <v>工装</v>
      </c>
      <c r="H109" s="25" t="s">
        <v>102</v>
      </c>
      <c r="I109" s="25">
        <v>90</v>
      </c>
      <c r="J109" s="25" t="s">
        <v>1917</v>
      </c>
      <c r="K109" s="25">
        <v>0</v>
      </c>
      <c r="L109" s="25">
        <v>0</v>
      </c>
      <c r="M109" s="31">
        <v>23</v>
      </c>
      <c r="N109" s="31"/>
      <c r="O109" s="77" t="s">
        <v>287</v>
      </c>
      <c r="P109" s="25"/>
      <c r="Q109" s="25">
        <v>300</v>
      </c>
      <c r="R109" s="25">
        <v>90</v>
      </c>
      <c r="S109" s="25"/>
      <c r="T109" s="25">
        <v>1</v>
      </c>
      <c r="U109" s="25">
        <v>120</v>
      </c>
      <c r="V109" s="25"/>
      <c r="W109" s="25">
        <v>1</v>
      </c>
      <c r="X109" s="25"/>
      <c r="Y109" s="79">
        <v>3.5</v>
      </c>
      <c r="Z109" s="25" t="s">
        <v>22</v>
      </c>
      <c r="AA109" s="25" t="s">
        <v>290</v>
      </c>
      <c r="AB109" s="25"/>
    </row>
    <row r="110" spans="1:28" ht="23.1" customHeight="1" x14ac:dyDescent="0.25">
      <c r="A110" s="53" t="s">
        <v>188</v>
      </c>
      <c r="B110" s="25" t="s">
        <v>113</v>
      </c>
      <c r="C110" s="31">
        <v>108</v>
      </c>
      <c r="D110" s="25" t="s">
        <v>291</v>
      </c>
      <c r="E110" s="25" t="s">
        <v>174</v>
      </c>
      <c r="F110" s="21" t="s">
        <v>1246</v>
      </c>
      <c r="G110" s="21" t="str">
        <f>VLOOKUP(D110,[6]成飞半成品!$A:$B,2,0)</f>
        <v>根肋后段</v>
      </c>
      <c r="H110" s="25" t="s">
        <v>154</v>
      </c>
      <c r="I110" s="25">
        <v>5</v>
      </c>
      <c r="J110" s="25" t="s">
        <v>2428</v>
      </c>
      <c r="K110" s="25">
        <v>2</v>
      </c>
      <c r="L110" s="25">
        <v>3</v>
      </c>
      <c r="M110" s="31">
        <v>5</v>
      </c>
      <c r="N110" s="31">
        <v>5</v>
      </c>
      <c r="O110" s="77" t="s">
        <v>292</v>
      </c>
      <c r="P110" s="25"/>
      <c r="Q110" s="25">
        <v>600</v>
      </c>
      <c r="R110" s="25">
        <v>120</v>
      </c>
      <c r="S110" s="25"/>
      <c r="T110" s="25">
        <v>3</v>
      </c>
      <c r="U110" s="25">
        <v>120</v>
      </c>
      <c r="V110" s="25"/>
      <c r="W110" s="25">
        <v>1</v>
      </c>
      <c r="X110" s="25"/>
      <c r="Y110" s="79">
        <v>38</v>
      </c>
      <c r="Z110" s="25" t="s">
        <v>13</v>
      </c>
      <c r="AA110" s="25" t="s">
        <v>293</v>
      </c>
      <c r="AB110" s="25"/>
    </row>
    <row r="111" spans="1:28" ht="23.1" customHeight="1" x14ac:dyDescent="0.25">
      <c r="A111" s="53" t="s">
        <v>188</v>
      </c>
      <c r="B111" s="25" t="s">
        <v>113</v>
      </c>
      <c r="C111" s="31">
        <v>24</v>
      </c>
      <c r="D111" s="25" t="s">
        <v>294</v>
      </c>
      <c r="E111" s="25" t="s">
        <v>259</v>
      </c>
      <c r="F111" s="21" t="s">
        <v>284</v>
      </c>
      <c r="G111" s="21" t="str">
        <f>VLOOKUP(D111,[6]成飞半成品!$A:$B,2,0)</f>
        <v>梁（左件）</v>
      </c>
      <c r="H111" s="25" t="s">
        <v>118</v>
      </c>
      <c r="I111" s="25">
        <v>45</v>
      </c>
      <c r="J111" s="25" t="s">
        <v>1920</v>
      </c>
      <c r="K111" s="25">
        <v>8</v>
      </c>
      <c r="L111" s="25">
        <v>1</v>
      </c>
      <c r="M111" s="31"/>
      <c r="N111" s="31">
        <v>28</v>
      </c>
      <c r="O111" s="77" t="s">
        <v>295</v>
      </c>
      <c r="P111" s="25"/>
      <c r="Q111" s="25">
        <v>300</v>
      </c>
      <c r="R111" s="25">
        <v>120</v>
      </c>
      <c r="S111" s="25"/>
      <c r="T111" s="25">
        <v>1</v>
      </c>
      <c r="U111" s="25">
        <v>120</v>
      </c>
      <c r="V111" s="25"/>
      <c r="W111" s="25"/>
      <c r="X111" s="25">
        <v>3</v>
      </c>
      <c r="Y111" s="79">
        <v>10</v>
      </c>
      <c r="Z111" s="25" t="s">
        <v>69</v>
      </c>
      <c r="AA111" s="25" t="s">
        <v>296</v>
      </c>
      <c r="AB111" s="25"/>
    </row>
    <row r="112" spans="1:28" ht="23.1" customHeight="1" x14ac:dyDescent="0.25">
      <c r="A112" s="53" t="s">
        <v>188</v>
      </c>
      <c r="B112" s="25" t="s">
        <v>113</v>
      </c>
      <c r="C112" s="31">
        <v>69</v>
      </c>
      <c r="D112" s="25" t="s">
        <v>266</v>
      </c>
      <c r="E112" s="25" t="s">
        <v>267</v>
      </c>
      <c r="F112" s="21" t="s">
        <v>267</v>
      </c>
      <c r="G112" s="21" t="str">
        <f>VLOOKUP(D112,[6]成飞半成品!$A:$B,2,0)</f>
        <v>后端框</v>
      </c>
      <c r="H112" s="31" t="s">
        <v>118</v>
      </c>
      <c r="I112" s="25">
        <v>50</v>
      </c>
      <c r="J112" s="25" t="s">
        <v>1909</v>
      </c>
      <c r="K112" s="25">
        <v>1.3</v>
      </c>
      <c r="L112" s="25">
        <v>0</v>
      </c>
      <c r="M112" s="31"/>
      <c r="N112" s="31">
        <v>5</v>
      </c>
      <c r="O112" s="77" t="s">
        <v>108</v>
      </c>
      <c r="P112" s="25"/>
      <c r="Q112" s="25">
        <v>240</v>
      </c>
      <c r="R112" s="25">
        <v>90</v>
      </c>
      <c r="S112" s="25"/>
      <c r="T112" s="25">
        <v>1</v>
      </c>
      <c r="U112" s="25">
        <v>180</v>
      </c>
      <c r="V112" s="25"/>
      <c r="W112" s="25">
        <v>1</v>
      </c>
      <c r="X112" s="25">
        <v>10.4</v>
      </c>
      <c r="Y112" s="79">
        <v>14.9</v>
      </c>
      <c r="Z112" s="25" t="s">
        <v>69</v>
      </c>
      <c r="AA112" s="25" t="s">
        <v>297</v>
      </c>
      <c r="AB112" s="25"/>
    </row>
    <row r="113" spans="1:28" ht="23.1" customHeight="1" x14ac:dyDescent="0.25">
      <c r="A113" s="53" t="s">
        <v>188</v>
      </c>
      <c r="B113" s="25" t="s">
        <v>113</v>
      </c>
      <c r="C113" s="31">
        <v>91</v>
      </c>
      <c r="D113" s="25" t="s">
        <v>298</v>
      </c>
      <c r="E113" s="25" t="s">
        <v>299</v>
      </c>
      <c r="F113" s="21" t="s">
        <v>299</v>
      </c>
      <c r="G113" s="21" t="str">
        <f>VLOOKUP(D113,[6]成飞半成品!$A:$B,2,0)</f>
        <v>8635右隔框</v>
      </c>
      <c r="H113" s="25" t="s">
        <v>300</v>
      </c>
      <c r="I113" s="25">
        <v>30</v>
      </c>
      <c r="J113" s="25" t="s">
        <v>1921</v>
      </c>
      <c r="K113" s="25">
        <v>1</v>
      </c>
      <c r="L113" s="25">
        <v>0.6</v>
      </c>
      <c r="M113" s="31"/>
      <c r="N113" s="31">
        <v>28</v>
      </c>
      <c r="O113" s="77" t="s">
        <v>301</v>
      </c>
      <c r="P113" s="25"/>
      <c r="Q113" s="25">
        <v>960</v>
      </c>
      <c r="R113" s="25">
        <v>120</v>
      </c>
      <c r="S113" s="25"/>
      <c r="T113" s="25">
        <v>1</v>
      </c>
      <c r="U113" s="25">
        <v>180</v>
      </c>
      <c r="V113" s="25"/>
      <c r="W113" s="25">
        <v>1</v>
      </c>
      <c r="X113" s="25">
        <v>5</v>
      </c>
      <c r="Y113" s="79">
        <v>19.600000000000001</v>
      </c>
      <c r="Z113" s="25" t="s">
        <v>69</v>
      </c>
      <c r="AA113" s="25" t="s">
        <v>302</v>
      </c>
      <c r="AB113" s="25"/>
    </row>
    <row r="114" spans="1:28" ht="23.1" customHeight="1" x14ac:dyDescent="0.25">
      <c r="A114" s="53" t="s">
        <v>188</v>
      </c>
      <c r="B114" s="25" t="s">
        <v>113</v>
      </c>
      <c r="C114" s="31">
        <v>84</v>
      </c>
      <c r="D114" s="25" t="s">
        <v>162</v>
      </c>
      <c r="E114" s="25" t="s">
        <v>163</v>
      </c>
      <c r="F114" s="21" t="s">
        <v>163</v>
      </c>
      <c r="G114" s="21" t="str">
        <f>VLOOKUP(D114,[6]成飞半成品!$A:$B,2,0)</f>
        <v>排气下侧壁</v>
      </c>
      <c r="H114" s="25" t="s">
        <v>123</v>
      </c>
      <c r="I114" s="25">
        <v>35</v>
      </c>
      <c r="J114" s="25" t="s">
        <v>1885</v>
      </c>
      <c r="K114" s="25">
        <v>2.5</v>
      </c>
      <c r="L114" s="25">
        <v>1</v>
      </c>
      <c r="M114" s="31">
        <v>23</v>
      </c>
      <c r="N114" s="31"/>
      <c r="O114" s="77" t="s">
        <v>164</v>
      </c>
      <c r="P114" s="25"/>
      <c r="Q114" s="25">
        <v>260</v>
      </c>
      <c r="R114" s="25">
        <v>60</v>
      </c>
      <c r="S114" s="25"/>
      <c r="T114" s="25">
        <v>1</v>
      </c>
      <c r="U114" s="25">
        <v>90</v>
      </c>
      <c r="V114" s="25"/>
      <c r="W114" s="25"/>
      <c r="X114" s="25">
        <v>3</v>
      </c>
      <c r="Y114" s="79">
        <v>8.3000000000000007</v>
      </c>
      <c r="Z114" s="25" t="s">
        <v>69</v>
      </c>
      <c r="AA114" s="25" t="s">
        <v>303</v>
      </c>
      <c r="AB114" s="25"/>
    </row>
    <row r="115" spans="1:28" ht="23.1" customHeight="1" x14ac:dyDescent="0.25">
      <c r="A115" s="53" t="s">
        <v>188</v>
      </c>
      <c r="B115" s="25" t="s">
        <v>113</v>
      </c>
      <c r="C115" s="31">
        <v>119</v>
      </c>
      <c r="D115" s="25" t="s">
        <v>157</v>
      </c>
      <c r="E115" s="25" t="s">
        <v>158</v>
      </c>
      <c r="F115" s="21" t="s">
        <v>158</v>
      </c>
      <c r="G115" s="21" t="str">
        <f>VLOOKUP(D115,[6]成飞半成品!$A:$B,2,0)</f>
        <v>口框</v>
      </c>
      <c r="H115" s="25" t="s">
        <v>154</v>
      </c>
      <c r="I115" s="25">
        <v>20</v>
      </c>
      <c r="J115" s="25" t="s">
        <v>1883</v>
      </c>
      <c r="K115" s="25">
        <v>1</v>
      </c>
      <c r="L115" s="25">
        <v>1</v>
      </c>
      <c r="M115" s="31">
        <v>23</v>
      </c>
      <c r="N115" s="31"/>
      <c r="O115" s="77" t="s">
        <v>234</v>
      </c>
      <c r="P115" s="25"/>
      <c r="Q115" s="25">
        <v>420</v>
      </c>
      <c r="R115" s="25">
        <v>60</v>
      </c>
      <c r="S115" s="25"/>
      <c r="T115" s="25">
        <v>1</v>
      </c>
      <c r="U115" s="25">
        <v>120</v>
      </c>
      <c r="V115" s="25"/>
      <c r="W115" s="25"/>
      <c r="X115" s="25"/>
      <c r="Y115" s="79">
        <v>8</v>
      </c>
      <c r="Z115" s="25" t="s">
        <v>69</v>
      </c>
      <c r="AA115" s="25" t="s">
        <v>145</v>
      </c>
      <c r="AB115" s="25"/>
    </row>
    <row r="116" spans="1:28" ht="23.1" customHeight="1" x14ac:dyDescent="0.25">
      <c r="A116" s="53" t="s">
        <v>188</v>
      </c>
      <c r="B116" s="25" t="s">
        <v>113</v>
      </c>
      <c r="C116" s="31">
        <v>78</v>
      </c>
      <c r="D116" s="25" t="s">
        <v>261</v>
      </c>
      <c r="E116" s="25" t="s">
        <v>133</v>
      </c>
      <c r="F116" s="21" t="s">
        <v>133</v>
      </c>
      <c r="G116" s="21" t="str">
        <f>VLOOKUP(D116,[6]成飞半成品!$A:$B,2,0)</f>
        <v>摇臂</v>
      </c>
      <c r="H116" s="25" t="s">
        <v>102</v>
      </c>
      <c r="I116" s="25">
        <v>65</v>
      </c>
      <c r="J116" s="25" t="s">
        <v>1879</v>
      </c>
      <c r="K116" s="25">
        <v>0.5</v>
      </c>
      <c r="L116" s="25">
        <v>0.5</v>
      </c>
      <c r="M116" s="31"/>
      <c r="N116" s="31">
        <v>28</v>
      </c>
      <c r="O116" s="77" t="s">
        <v>103</v>
      </c>
      <c r="P116" s="25"/>
      <c r="Q116" s="25">
        <v>660</v>
      </c>
      <c r="R116" s="25">
        <v>60</v>
      </c>
      <c r="S116" s="25"/>
      <c r="T116" s="25"/>
      <c r="U116" s="25">
        <v>120</v>
      </c>
      <c r="V116" s="25"/>
      <c r="W116" s="25"/>
      <c r="X116" s="25">
        <v>14.5</v>
      </c>
      <c r="Y116" s="79">
        <v>20</v>
      </c>
      <c r="Z116" s="25" t="s">
        <v>5</v>
      </c>
      <c r="AA116" s="25" t="s">
        <v>304</v>
      </c>
      <c r="AB116" s="25" t="s">
        <v>193</v>
      </c>
    </row>
    <row r="117" spans="1:28" ht="23.1" customHeight="1" x14ac:dyDescent="0.25">
      <c r="A117" s="53" t="s">
        <v>188</v>
      </c>
      <c r="B117" s="25" t="s">
        <v>113</v>
      </c>
      <c r="C117" s="31">
        <v>107</v>
      </c>
      <c r="D117" s="25" t="s">
        <v>194</v>
      </c>
      <c r="E117" s="25" t="s">
        <v>133</v>
      </c>
      <c r="F117" s="21" t="s">
        <v>133</v>
      </c>
      <c r="G117" s="21" t="str">
        <f>VLOOKUP(D117,[6]成飞半成品!$A:$B,2,0)</f>
        <v>摇臂</v>
      </c>
      <c r="H117" s="25" t="s">
        <v>102</v>
      </c>
      <c r="I117" s="25">
        <v>105</v>
      </c>
      <c r="J117" s="25" t="s">
        <v>1890</v>
      </c>
      <c r="K117" s="25"/>
      <c r="L117" s="25">
        <v>0.5</v>
      </c>
      <c r="M117" s="31"/>
      <c r="N117" s="31">
        <v>19</v>
      </c>
      <c r="O117" s="77" t="s">
        <v>103</v>
      </c>
      <c r="P117" s="25"/>
      <c r="Q117" s="25">
        <v>150</v>
      </c>
      <c r="R117" s="25">
        <v>60</v>
      </c>
      <c r="S117" s="25"/>
      <c r="T117" s="25"/>
      <c r="U117" s="25">
        <v>120</v>
      </c>
      <c r="V117" s="25"/>
      <c r="W117" s="25"/>
      <c r="X117" s="25"/>
      <c r="Y117" s="79">
        <v>1.3</v>
      </c>
      <c r="Z117" s="25" t="s">
        <v>13</v>
      </c>
      <c r="AA117" s="25"/>
      <c r="AB117" s="25"/>
    </row>
    <row r="118" spans="1:28" ht="23.1" customHeight="1" x14ac:dyDescent="0.25">
      <c r="A118" s="53" t="s">
        <v>188</v>
      </c>
      <c r="B118" s="25" t="s">
        <v>113</v>
      </c>
      <c r="C118" s="31">
        <v>79</v>
      </c>
      <c r="D118" s="25" t="s">
        <v>152</v>
      </c>
      <c r="E118" s="25" t="s">
        <v>153</v>
      </c>
      <c r="F118" s="21" t="s">
        <v>1247</v>
      </c>
      <c r="G118" s="21" t="str">
        <f>VLOOKUP(D118,[6]成飞半成品!$A:$B,2,0)</f>
        <v>根肋前段</v>
      </c>
      <c r="H118" s="25" t="s">
        <v>154</v>
      </c>
      <c r="I118" s="25">
        <v>5</v>
      </c>
      <c r="J118" s="25" t="s">
        <v>1882</v>
      </c>
      <c r="K118" s="25">
        <v>1</v>
      </c>
      <c r="L118" s="25">
        <v>2</v>
      </c>
      <c r="M118" s="31">
        <v>5</v>
      </c>
      <c r="N118" s="31">
        <v>5</v>
      </c>
      <c r="O118" s="77" t="s">
        <v>305</v>
      </c>
      <c r="P118" s="25"/>
      <c r="Q118" s="25">
        <v>770</v>
      </c>
      <c r="R118" s="25">
        <v>120</v>
      </c>
      <c r="S118" s="25"/>
      <c r="T118" s="25">
        <v>2</v>
      </c>
      <c r="U118" s="25">
        <v>120</v>
      </c>
      <c r="V118" s="25"/>
      <c r="W118" s="25"/>
      <c r="X118" s="25"/>
      <c r="Y118" s="79">
        <v>29.7</v>
      </c>
      <c r="Z118" s="25" t="s">
        <v>5</v>
      </c>
      <c r="AA118" s="25" t="s">
        <v>147</v>
      </c>
      <c r="AB118" s="25"/>
    </row>
    <row r="119" spans="1:28" ht="23.1" customHeight="1" x14ac:dyDescent="0.25">
      <c r="A119" s="53" t="s">
        <v>188</v>
      </c>
      <c r="B119" s="25" t="s">
        <v>113</v>
      </c>
      <c r="C119" s="31">
        <v>16</v>
      </c>
      <c r="D119" s="25" t="s">
        <v>2551</v>
      </c>
      <c r="E119" s="25" t="s">
        <v>212</v>
      </c>
      <c r="F119" s="21" t="e">
        <v>#N/A</v>
      </c>
      <c r="G119" s="21" t="str">
        <f>VLOOKUP(D119,[6]成飞半成品!$A:$B,2,0)</f>
        <v>工装</v>
      </c>
      <c r="H119" s="25" t="s">
        <v>108</v>
      </c>
      <c r="I119" s="25">
        <v>0</v>
      </c>
      <c r="J119" s="25"/>
      <c r="K119" s="25">
        <v>30</v>
      </c>
      <c r="L119" s="25">
        <v>40</v>
      </c>
      <c r="M119" s="31">
        <v>26</v>
      </c>
      <c r="N119" s="31"/>
      <c r="O119" s="77" t="s">
        <v>108</v>
      </c>
      <c r="P119" s="25"/>
      <c r="Q119" s="25"/>
      <c r="R119" s="25"/>
      <c r="S119" s="25"/>
      <c r="T119" s="25"/>
      <c r="U119" s="25"/>
      <c r="V119" s="25"/>
      <c r="W119" s="25"/>
      <c r="X119" s="25">
        <v>2</v>
      </c>
      <c r="Y119" s="79">
        <v>2</v>
      </c>
      <c r="Z119" s="25" t="s">
        <v>63</v>
      </c>
      <c r="AA119" s="25" t="s">
        <v>136</v>
      </c>
      <c r="AB119" s="25"/>
    </row>
    <row r="120" spans="1:28" ht="23.1" customHeight="1" x14ac:dyDescent="0.25">
      <c r="A120" s="53" t="s">
        <v>188</v>
      </c>
      <c r="B120" s="25" t="s">
        <v>113</v>
      </c>
      <c r="C120" s="31">
        <v>56</v>
      </c>
      <c r="D120" s="25" t="s">
        <v>273</v>
      </c>
      <c r="E120" s="25" t="s">
        <v>274</v>
      </c>
      <c r="F120" s="21" t="s">
        <v>274</v>
      </c>
      <c r="G120" s="21" t="str">
        <f>VLOOKUP(D120,[6]成飞半成品!$A:$B,2,0)</f>
        <v>前起落架水平接头</v>
      </c>
      <c r="H120" s="31" t="s">
        <v>123</v>
      </c>
      <c r="I120" s="25">
        <v>10</v>
      </c>
      <c r="J120" s="25" t="s">
        <v>1916</v>
      </c>
      <c r="K120" s="25">
        <v>20</v>
      </c>
      <c r="L120" s="25">
        <v>20</v>
      </c>
      <c r="M120" s="31">
        <v>28</v>
      </c>
      <c r="N120" s="31">
        <v>28</v>
      </c>
      <c r="O120" s="77" t="s">
        <v>108</v>
      </c>
      <c r="P120" s="25"/>
      <c r="Q120" s="25">
        <v>25</v>
      </c>
      <c r="R120" s="25"/>
      <c r="S120" s="25"/>
      <c r="T120" s="25"/>
      <c r="U120" s="25">
        <v>60</v>
      </c>
      <c r="V120" s="25"/>
      <c r="W120" s="25"/>
      <c r="X120" s="25"/>
      <c r="Y120" s="79">
        <v>8.3000000000000007</v>
      </c>
      <c r="Z120" s="25" t="s">
        <v>18</v>
      </c>
      <c r="AA120" s="25"/>
      <c r="AB120" s="25"/>
    </row>
    <row r="121" spans="1:28" ht="23.1" customHeight="1" x14ac:dyDescent="0.25">
      <c r="A121" s="53" t="s">
        <v>188</v>
      </c>
      <c r="B121" s="25" t="s">
        <v>113</v>
      </c>
      <c r="C121" s="31">
        <v>18</v>
      </c>
      <c r="D121" s="25" t="s">
        <v>205</v>
      </c>
      <c r="E121" s="25" t="s">
        <v>206</v>
      </c>
      <c r="F121" s="21" t="s">
        <v>206</v>
      </c>
      <c r="G121" s="21" t="str">
        <f>VLOOKUP(D121,[6]成飞半成品!$A:$B,2,0)</f>
        <v>卡环</v>
      </c>
      <c r="H121" s="25" t="s">
        <v>154</v>
      </c>
      <c r="I121" s="25">
        <v>25</v>
      </c>
      <c r="J121" s="25" t="s">
        <v>1892</v>
      </c>
      <c r="K121" s="25">
        <v>1</v>
      </c>
      <c r="L121" s="25">
        <v>1.7</v>
      </c>
      <c r="M121" s="31">
        <v>5</v>
      </c>
      <c r="N121" s="31">
        <v>28</v>
      </c>
      <c r="O121" s="77" t="s">
        <v>306</v>
      </c>
      <c r="P121" s="25"/>
      <c r="Q121" s="25">
        <v>720</v>
      </c>
      <c r="R121" s="25"/>
      <c r="S121" s="25"/>
      <c r="T121" s="25"/>
      <c r="U121" s="25">
        <v>90</v>
      </c>
      <c r="V121" s="25"/>
      <c r="W121" s="25"/>
      <c r="X121" s="25"/>
      <c r="Y121" s="79">
        <v>20.399999999999999</v>
      </c>
      <c r="Z121" s="25" t="s">
        <v>16</v>
      </c>
      <c r="AA121" s="25"/>
      <c r="AB121" s="25"/>
    </row>
    <row r="122" spans="1:28" ht="23.1" customHeight="1" x14ac:dyDescent="0.25">
      <c r="A122" s="53" t="s">
        <v>188</v>
      </c>
      <c r="B122" s="25" t="s">
        <v>113</v>
      </c>
      <c r="C122" s="31">
        <v>9</v>
      </c>
      <c r="D122" s="25" t="s">
        <v>229</v>
      </c>
      <c r="E122" s="25" t="s">
        <v>230</v>
      </c>
      <c r="F122" s="21" t="s">
        <v>230</v>
      </c>
      <c r="G122" s="21" t="str">
        <f>VLOOKUP(D122,[6]成飞半成品!$A:$B,2,0)</f>
        <v>前起落架舱门结构支撑梁</v>
      </c>
      <c r="H122" s="25" t="s">
        <v>154</v>
      </c>
      <c r="I122" s="25">
        <v>20</v>
      </c>
      <c r="J122" s="25" t="s">
        <v>1908</v>
      </c>
      <c r="K122" s="25">
        <v>3</v>
      </c>
      <c r="L122" s="25">
        <v>4</v>
      </c>
      <c r="M122" s="31">
        <v>31</v>
      </c>
      <c r="N122" s="31">
        <v>31</v>
      </c>
      <c r="O122" s="77" t="s">
        <v>307</v>
      </c>
      <c r="P122" s="25"/>
      <c r="Q122" s="25">
        <v>190</v>
      </c>
      <c r="R122" s="25"/>
      <c r="S122" s="25"/>
      <c r="T122" s="25"/>
      <c r="U122" s="25">
        <v>60</v>
      </c>
      <c r="V122" s="25"/>
      <c r="W122" s="25"/>
      <c r="X122" s="25"/>
      <c r="Y122" s="79">
        <v>12.7</v>
      </c>
      <c r="Z122" s="25" t="s">
        <v>30</v>
      </c>
      <c r="AA122" s="25"/>
      <c r="AB122" s="25"/>
    </row>
    <row r="123" spans="1:28" ht="23.1" customHeight="1" x14ac:dyDescent="0.25">
      <c r="A123" s="53" t="s">
        <v>188</v>
      </c>
      <c r="B123" s="25" t="s">
        <v>113</v>
      </c>
      <c r="C123" s="31">
        <v>10</v>
      </c>
      <c r="D123" s="25" t="s">
        <v>308</v>
      </c>
      <c r="E123" s="25" t="s">
        <v>309</v>
      </c>
      <c r="F123" s="21" t="s">
        <v>309</v>
      </c>
      <c r="G123" s="21" t="str">
        <f>VLOOKUP(D123,[6]成飞半成品!$A:$B,2,0)</f>
        <v>右内侧接头</v>
      </c>
      <c r="H123" s="25" t="s">
        <v>102</v>
      </c>
      <c r="I123" s="25">
        <v>70</v>
      </c>
      <c r="J123" s="25" t="s">
        <v>1851</v>
      </c>
      <c r="K123" s="25">
        <v>0.6</v>
      </c>
      <c r="L123" s="25">
        <v>0.8</v>
      </c>
      <c r="M123" s="31"/>
      <c r="N123" s="31">
        <v>28</v>
      </c>
      <c r="O123" s="77" t="s">
        <v>234</v>
      </c>
      <c r="P123" s="25"/>
      <c r="Q123" s="25">
        <v>1320</v>
      </c>
      <c r="R123" s="25"/>
      <c r="S123" s="25"/>
      <c r="T123" s="25"/>
      <c r="U123" s="25">
        <v>120</v>
      </c>
      <c r="V123" s="25"/>
      <c r="W123" s="25"/>
      <c r="X123" s="25"/>
      <c r="Y123" s="79">
        <v>17.600000000000001</v>
      </c>
      <c r="Z123" s="25" t="s">
        <v>30</v>
      </c>
      <c r="AA123" s="25"/>
      <c r="AB123" s="25"/>
    </row>
    <row r="124" spans="1:28" ht="23.1" customHeight="1" x14ac:dyDescent="0.25">
      <c r="A124" s="53" t="s">
        <v>188</v>
      </c>
      <c r="B124" s="25" t="s">
        <v>113</v>
      </c>
      <c r="C124" s="31">
        <v>17</v>
      </c>
      <c r="D124" s="25" t="s">
        <v>173</v>
      </c>
      <c r="E124" s="25" t="s">
        <v>310</v>
      </c>
      <c r="F124" s="21" t="s">
        <v>310</v>
      </c>
      <c r="G124" s="21" t="str">
        <f>VLOOKUP(D124,[6]成飞半成品!$A:$B,2,0)</f>
        <v>根肋后段</v>
      </c>
      <c r="H124" s="25" t="s">
        <v>250</v>
      </c>
      <c r="I124" s="25">
        <v>40</v>
      </c>
      <c r="J124" s="25" t="s">
        <v>1911</v>
      </c>
      <c r="K124" s="25">
        <v>2</v>
      </c>
      <c r="L124" s="25">
        <v>2</v>
      </c>
      <c r="M124" s="31">
        <v>5</v>
      </c>
      <c r="N124" s="31">
        <v>5</v>
      </c>
      <c r="O124" s="77" t="s">
        <v>292</v>
      </c>
      <c r="P124" s="25"/>
      <c r="Q124" s="25">
        <v>30</v>
      </c>
      <c r="R124" s="25">
        <v>60</v>
      </c>
      <c r="S124" s="25"/>
      <c r="T124" s="25">
        <v>2</v>
      </c>
      <c r="U124" s="25">
        <v>60</v>
      </c>
      <c r="V124" s="25"/>
      <c r="W124" s="25"/>
      <c r="X124" s="25"/>
      <c r="Y124" s="79">
        <v>3</v>
      </c>
      <c r="Z124" s="25" t="s">
        <v>16</v>
      </c>
      <c r="AA124" s="25" t="s">
        <v>147</v>
      </c>
      <c r="AB124" s="25"/>
    </row>
    <row r="125" spans="1:28" ht="23.1" customHeight="1" x14ac:dyDescent="0.25">
      <c r="A125" s="53" t="s">
        <v>188</v>
      </c>
      <c r="B125" s="25" t="s">
        <v>113</v>
      </c>
      <c r="C125" s="31">
        <v>17</v>
      </c>
      <c r="D125" s="25" t="s">
        <v>2569</v>
      </c>
      <c r="E125" s="25" t="s">
        <v>312</v>
      </c>
      <c r="F125" s="21" t="s">
        <v>310</v>
      </c>
      <c r="G125" s="21" t="str">
        <f>VLOOKUP(D125,[6]成飞半成品!$A:$B,2,0)</f>
        <v>根肋后段</v>
      </c>
      <c r="H125" s="25" t="s">
        <v>300</v>
      </c>
      <c r="I125" s="25">
        <v>40</v>
      </c>
      <c r="J125" s="25" t="s">
        <v>1911</v>
      </c>
      <c r="K125" s="25">
        <v>6</v>
      </c>
      <c r="L125" s="25">
        <v>6</v>
      </c>
      <c r="M125" s="31">
        <v>5</v>
      </c>
      <c r="N125" s="31">
        <v>5</v>
      </c>
      <c r="O125" s="77" t="s">
        <v>292</v>
      </c>
      <c r="P125" s="25"/>
      <c r="Q125" s="25">
        <v>30</v>
      </c>
      <c r="R125" s="25">
        <v>60</v>
      </c>
      <c r="S125" s="25"/>
      <c r="T125" s="25">
        <v>6</v>
      </c>
      <c r="U125" s="25">
        <v>60</v>
      </c>
      <c r="V125" s="25"/>
      <c r="W125" s="25"/>
      <c r="X125" s="25"/>
      <c r="Y125" s="79">
        <v>9</v>
      </c>
      <c r="Z125" s="25" t="s">
        <v>16</v>
      </c>
      <c r="AA125" s="25" t="s">
        <v>313</v>
      </c>
      <c r="AB125" s="25"/>
    </row>
    <row r="126" spans="1:28" ht="23.1" customHeight="1" x14ac:dyDescent="0.25">
      <c r="A126" s="53" t="s">
        <v>188</v>
      </c>
      <c r="B126" s="25" t="s">
        <v>113</v>
      </c>
      <c r="C126" s="31">
        <v>17</v>
      </c>
      <c r="D126" s="25" t="s">
        <v>314</v>
      </c>
      <c r="E126" s="25" t="s">
        <v>315</v>
      </c>
      <c r="F126" s="21" t="s">
        <v>315</v>
      </c>
      <c r="G126" s="21" t="str">
        <f>VLOOKUP(D126,[6]成飞半成品!$A:$B,2,0)</f>
        <v>进气下侧壁</v>
      </c>
      <c r="H126" s="25" t="s">
        <v>250</v>
      </c>
      <c r="I126" s="25">
        <v>45</v>
      </c>
      <c r="J126" s="25" t="s">
        <v>1922</v>
      </c>
      <c r="K126" s="25">
        <v>2</v>
      </c>
      <c r="L126" s="25">
        <v>8</v>
      </c>
      <c r="M126" s="31">
        <v>5</v>
      </c>
      <c r="N126" s="31">
        <v>28</v>
      </c>
      <c r="O126" s="77" t="s">
        <v>216</v>
      </c>
      <c r="P126" s="25"/>
      <c r="Q126" s="25">
        <v>60</v>
      </c>
      <c r="R126" s="25"/>
      <c r="S126" s="25"/>
      <c r="T126" s="25"/>
      <c r="U126" s="25">
        <v>60</v>
      </c>
      <c r="V126" s="25"/>
      <c r="W126" s="25">
        <v>1</v>
      </c>
      <c r="X126" s="25"/>
      <c r="Y126" s="79">
        <v>9</v>
      </c>
      <c r="Z126" s="25" t="s">
        <v>16</v>
      </c>
      <c r="AA126" s="25" t="s">
        <v>92</v>
      </c>
      <c r="AB126" s="25"/>
    </row>
    <row r="127" spans="1:28" ht="23.1" customHeight="1" x14ac:dyDescent="0.25">
      <c r="A127" s="53" t="s">
        <v>188</v>
      </c>
      <c r="B127" s="25" t="s">
        <v>113</v>
      </c>
      <c r="C127" s="31">
        <v>12</v>
      </c>
      <c r="D127" s="25" t="s">
        <v>248</v>
      </c>
      <c r="E127" s="25" t="s">
        <v>249</v>
      </c>
      <c r="F127" s="21" t="s">
        <v>249</v>
      </c>
      <c r="G127" s="21" t="str">
        <f>VLOOKUP(D127,[6]成飞半成品!$A:$B,2,0)</f>
        <v>10060下接头</v>
      </c>
      <c r="H127" s="25" t="s">
        <v>250</v>
      </c>
      <c r="I127" s="25">
        <v>25</v>
      </c>
      <c r="J127" s="25" t="s">
        <v>1923</v>
      </c>
      <c r="K127" s="25">
        <v>0.8</v>
      </c>
      <c r="L127" s="25">
        <v>1</v>
      </c>
      <c r="M127" s="31"/>
      <c r="N127" s="31">
        <v>28</v>
      </c>
      <c r="O127" s="77" t="s">
        <v>316</v>
      </c>
      <c r="P127" s="25"/>
      <c r="Q127" s="25">
        <v>1080</v>
      </c>
      <c r="R127" s="25"/>
      <c r="S127" s="25"/>
      <c r="T127" s="25"/>
      <c r="U127" s="25">
        <v>120</v>
      </c>
      <c r="V127" s="25"/>
      <c r="W127" s="25">
        <v>1</v>
      </c>
      <c r="X127" s="25"/>
      <c r="Y127" s="79">
        <v>20</v>
      </c>
      <c r="Z127" s="25" t="s">
        <v>10</v>
      </c>
      <c r="AA127" s="25" t="s">
        <v>92</v>
      </c>
      <c r="AB127" s="25"/>
    </row>
    <row r="128" spans="1:28" ht="23.1" customHeight="1" x14ac:dyDescent="0.25">
      <c r="A128" s="53" t="s">
        <v>188</v>
      </c>
      <c r="B128" s="25" t="s">
        <v>113</v>
      </c>
      <c r="C128" s="31">
        <v>11</v>
      </c>
      <c r="D128" s="25" t="s">
        <v>200</v>
      </c>
      <c r="E128" s="25" t="s">
        <v>317</v>
      </c>
      <c r="F128" s="21" t="s">
        <v>317</v>
      </c>
      <c r="G128" s="21" t="str">
        <f>VLOOKUP(D128,[6]成飞半成品!$A:$B,2,0)</f>
        <v>角盒</v>
      </c>
      <c r="H128" s="25" t="s">
        <v>154</v>
      </c>
      <c r="I128" s="25">
        <v>35</v>
      </c>
      <c r="J128" s="25" t="s">
        <v>1855</v>
      </c>
      <c r="K128" s="25"/>
      <c r="L128" s="25">
        <v>5</v>
      </c>
      <c r="M128" s="31">
        <v>5</v>
      </c>
      <c r="N128" s="31">
        <v>5</v>
      </c>
      <c r="O128" s="77" t="s">
        <v>318</v>
      </c>
      <c r="P128" s="25"/>
      <c r="Q128" s="25">
        <v>60</v>
      </c>
      <c r="R128" s="25"/>
      <c r="S128" s="25"/>
      <c r="T128" s="25"/>
      <c r="U128" s="25">
        <v>60</v>
      </c>
      <c r="V128" s="25"/>
      <c r="W128" s="25"/>
      <c r="X128" s="25"/>
      <c r="Y128" s="79">
        <v>5</v>
      </c>
      <c r="Z128" s="25" t="s">
        <v>63</v>
      </c>
      <c r="AA128" s="25"/>
      <c r="AB128" s="25"/>
    </row>
    <row r="129" spans="1:28" ht="23.1" customHeight="1" x14ac:dyDescent="0.25">
      <c r="A129" s="53" t="s">
        <v>188</v>
      </c>
      <c r="B129" s="25" t="s">
        <v>113</v>
      </c>
      <c r="C129" s="31">
        <v>11</v>
      </c>
      <c r="D129" s="25" t="s">
        <v>203</v>
      </c>
      <c r="E129" s="25" t="s">
        <v>317</v>
      </c>
      <c r="F129" s="21" t="s">
        <v>317</v>
      </c>
      <c r="G129" s="21" t="str">
        <f>VLOOKUP(D129,[6]成飞半成品!$A:$B,2,0)</f>
        <v>角盒</v>
      </c>
      <c r="H129" s="25" t="s">
        <v>154</v>
      </c>
      <c r="I129" s="25">
        <v>35</v>
      </c>
      <c r="J129" s="25" t="s">
        <v>1924</v>
      </c>
      <c r="K129" s="25"/>
      <c r="L129" s="25">
        <v>4</v>
      </c>
      <c r="M129" s="31">
        <v>5</v>
      </c>
      <c r="N129" s="31">
        <v>9</v>
      </c>
      <c r="O129" s="77" t="s">
        <v>319</v>
      </c>
      <c r="P129" s="25"/>
      <c r="Q129" s="25">
        <v>60</v>
      </c>
      <c r="R129" s="25"/>
      <c r="S129" s="25"/>
      <c r="T129" s="25"/>
      <c r="U129" s="25">
        <v>60</v>
      </c>
      <c r="V129" s="25"/>
      <c r="W129" s="25"/>
      <c r="X129" s="25"/>
      <c r="Y129" s="79">
        <v>4</v>
      </c>
      <c r="Z129" s="25" t="s">
        <v>63</v>
      </c>
      <c r="AA129" s="25"/>
      <c r="AB129" s="25"/>
    </row>
    <row r="130" spans="1:28" ht="23.1" customHeight="1" x14ac:dyDescent="0.25">
      <c r="A130" s="53" t="s">
        <v>188</v>
      </c>
      <c r="B130" s="25" t="s">
        <v>113</v>
      </c>
      <c r="C130" s="31">
        <v>13</v>
      </c>
      <c r="D130" s="25" t="s">
        <v>245</v>
      </c>
      <c r="E130" s="25" t="s">
        <v>246</v>
      </c>
      <c r="F130" s="21" t="s">
        <v>246</v>
      </c>
      <c r="G130" s="21" t="str">
        <f>VLOOKUP(D130,[6]成飞半成品!$A:$B,2,0)</f>
        <v>外侧轴承盖</v>
      </c>
      <c r="H130" s="25" t="s">
        <v>123</v>
      </c>
      <c r="I130" s="25">
        <v>40</v>
      </c>
      <c r="J130" s="25" t="s">
        <v>2429</v>
      </c>
      <c r="K130" s="25">
        <v>3.5</v>
      </c>
      <c r="L130" s="25">
        <v>4</v>
      </c>
      <c r="M130" s="31">
        <v>26</v>
      </c>
      <c r="N130" s="31">
        <v>28</v>
      </c>
      <c r="O130" s="77" t="s">
        <v>247</v>
      </c>
      <c r="P130" s="25"/>
      <c r="Q130" s="25">
        <v>230</v>
      </c>
      <c r="R130" s="25"/>
      <c r="S130" s="25"/>
      <c r="T130" s="25"/>
      <c r="U130" s="25">
        <v>120</v>
      </c>
      <c r="V130" s="25"/>
      <c r="W130" s="25"/>
      <c r="X130" s="25"/>
      <c r="Y130" s="79">
        <v>15.3</v>
      </c>
      <c r="Z130" s="25" t="s">
        <v>10</v>
      </c>
      <c r="AA130" s="25"/>
      <c r="AB130" s="25"/>
    </row>
    <row r="131" spans="1:28" ht="23.1" customHeight="1" x14ac:dyDescent="0.25">
      <c r="A131" s="53" t="s">
        <v>188</v>
      </c>
      <c r="B131" s="25" t="s">
        <v>113</v>
      </c>
      <c r="C131" s="31">
        <v>58</v>
      </c>
      <c r="D131" s="25" t="s">
        <v>214</v>
      </c>
      <c r="E131" s="25" t="s">
        <v>215</v>
      </c>
      <c r="F131" s="21" t="s">
        <v>215</v>
      </c>
      <c r="G131" s="21" t="str">
        <f>VLOOKUP(D131,[6]成飞半成品!$A:$B,2,0)</f>
        <v>口盖</v>
      </c>
      <c r="H131" s="25" t="s">
        <v>118</v>
      </c>
      <c r="I131" s="25">
        <v>25</v>
      </c>
      <c r="J131" s="25" t="s">
        <v>1894</v>
      </c>
      <c r="K131" s="25">
        <v>3</v>
      </c>
      <c r="L131" s="25">
        <v>3</v>
      </c>
      <c r="M131" s="31">
        <v>23</v>
      </c>
      <c r="N131" s="31">
        <v>5</v>
      </c>
      <c r="O131" s="77" t="s">
        <v>320</v>
      </c>
      <c r="P131" s="25"/>
      <c r="Q131" s="25">
        <v>170</v>
      </c>
      <c r="R131" s="25"/>
      <c r="S131" s="25"/>
      <c r="T131" s="25"/>
      <c r="U131" s="25">
        <v>60</v>
      </c>
      <c r="V131" s="25"/>
      <c r="W131" s="25"/>
      <c r="X131" s="25"/>
      <c r="Y131" s="79">
        <v>8.5</v>
      </c>
      <c r="Z131" s="25" t="s">
        <v>7</v>
      </c>
      <c r="AA131" s="25"/>
      <c r="AB131" s="25"/>
    </row>
    <row r="132" spans="1:28" ht="23.1" customHeight="1" x14ac:dyDescent="0.25">
      <c r="A132" s="53" t="s">
        <v>188</v>
      </c>
      <c r="B132" s="25" t="s">
        <v>113</v>
      </c>
      <c r="C132" s="31">
        <v>21</v>
      </c>
      <c r="D132" s="25" t="s">
        <v>321</v>
      </c>
      <c r="E132" s="25" t="s">
        <v>322</v>
      </c>
      <c r="F132" s="21" t="s">
        <v>322</v>
      </c>
      <c r="G132" s="21" t="str">
        <f>VLOOKUP(D132,[6]成飞半成品!$A:$B,2,0)</f>
        <v>10860框</v>
      </c>
      <c r="H132" s="25" t="s">
        <v>323</v>
      </c>
      <c r="I132" s="25">
        <v>35</v>
      </c>
      <c r="J132" s="25" t="s">
        <v>1925</v>
      </c>
      <c r="K132" s="25">
        <v>1.5</v>
      </c>
      <c r="L132" s="25">
        <v>2</v>
      </c>
      <c r="M132" s="31">
        <v>26</v>
      </c>
      <c r="N132" s="31">
        <v>5</v>
      </c>
      <c r="O132" s="77" t="s">
        <v>324</v>
      </c>
      <c r="P132" s="25"/>
      <c r="Q132" s="25">
        <v>480</v>
      </c>
      <c r="R132" s="25">
        <v>120</v>
      </c>
      <c r="S132" s="25"/>
      <c r="T132" s="25">
        <v>2</v>
      </c>
      <c r="U132" s="25">
        <v>180</v>
      </c>
      <c r="V132" s="31"/>
      <c r="W132" s="25">
        <v>1</v>
      </c>
      <c r="X132" s="25"/>
      <c r="Y132" s="79">
        <v>23</v>
      </c>
      <c r="Z132" s="25" t="s">
        <v>49</v>
      </c>
      <c r="AA132" s="25" t="s">
        <v>325</v>
      </c>
      <c r="AB132" s="25"/>
    </row>
    <row r="133" spans="1:28" ht="23.1" customHeight="1" x14ac:dyDescent="0.25">
      <c r="A133" s="53" t="s">
        <v>188</v>
      </c>
      <c r="B133" s="25" t="s">
        <v>113</v>
      </c>
      <c r="C133" s="31">
        <v>77</v>
      </c>
      <c r="D133" s="25" t="s">
        <v>211</v>
      </c>
      <c r="E133" s="25" t="s">
        <v>212</v>
      </c>
      <c r="F133" s="21" t="s">
        <v>212</v>
      </c>
      <c r="G133" s="21" t="str">
        <f>VLOOKUP(D133,[6]成飞半成品!$A:$B,2,0)</f>
        <v>压板</v>
      </c>
      <c r="H133" s="25" t="s">
        <v>123</v>
      </c>
      <c r="I133" s="25">
        <v>15</v>
      </c>
      <c r="J133" s="25" t="s">
        <v>1893</v>
      </c>
      <c r="K133" s="25">
        <v>8</v>
      </c>
      <c r="L133" s="25">
        <v>9</v>
      </c>
      <c r="M133" s="31">
        <v>26</v>
      </c>
      <c r="N133" s="31">
        <v>23</v>
      </c>
      <c r="O133" s="77" t="s">
        <v>213</v>
      </c>
      <c r="P133" s="25">
        <v>100</v>
      </c>
      <c r="Q133" s="25">
        <v>60</v>
      </c>
      <c r="R133" s="25"/>
      <c r="S133" s="25"/>
      <c r="T133" s="25"/>
      <c r="U133" s="25">
        <v>90</v>
      </c>
      <c r="V133" s="25"/>
      <c r="W133" s="25"/>
      <c r="X133" s="25"/>
      <c r="Y133" s="83">
        <v>15</v>
      </c>
      <c r="Z133" s="25" t="s">
        <v>24</v>
      </c>
      <c r="AA133" s="25" t="s">
        <v>326</v>
      </c>
      <c r="AB133" s="25"/>
    </row>
    <row r="134" spans="1:28" ht="23.1" customHeight="1" x14ac:dyDescent="0.25">
      <c r="A134" s="53" t="s">
        <v>188</v>
      </c>
      <c r="B134" s="25" t="s">
        <v>113</v>
      </c>
      <c r="C134" s="31">
        <v>11</v>
      </c>
      <c r="D134" s="25" t="s">
        <v>200</v>
      </c>
      <c r="E134" s="25" t="s">
        <v>317</v>
      </c>
      <c r="F134" s="21" t="s">
        <v>317</v>
      </c>
      <c r="G134" s="21" t="str">
        <f>VLOOKUP(D134,[6]成飞半成品!$A:$B,2,0)</f>
        <v>角盒</v>
      </c>
      <c r="H134" s="25" t="s">
        <v>154</v>
      </c>
      <c r="I134" s="25">
        <v>35</v>
      </c>
      <c r="J134" s="25" t="s">
        <v>1924</v>
      </c>
      <c r="K134" s="25">
        <v>10</v>
      </c>
      <c r="L134" s="25">
        <v>15</v>
      </c>
      <c r="M134" s="31">
        <v>26</v>
      </c>
      <c r="N134" s="31">
        <v>5</v>
      </c>
      <c r="O134" s="77" t="s">
        <v>327</v>
      </c>
      <c r="P134" s="25"/>
      <c r="Q134" s="25">
        <v>60</v>
      </c>
      <c r="R134" s="25"/>
      <c r="S134" s="25"/>
      <c r="T134" s="25"/>
      <c r="U134" s="25">
        <v>60</v>
      </c>
      <c r="V134" s="25"/>
      <c r="W134" s="25"/>
      <c r="X134" s="25"/>
      <c r="Y134" s="79">
        <v>15</v>
      </c>
      <c r="Z134" s="25" t="s">
        <v>63</v>
      </c>
      <c r="AA134" s="25"/>
      <c r="AB134" s="25"/>
    </row>
    <row r="135" spans="1:28" ht="23.1" customHeight="1" x14ac:dyDescent="0.25">
      <c r="A135" s="53" t="s">
        <v>188</v>
      </c>
      <c r="B135" s="25" t="s">
        <v>113</v>
      </c>
      <c r="C135" s="31">
        <v>47</v>
      </c>
      <c r="D135" s="25" t="s">
        <v>2551</v>
      </c>
      <c r="E135" s="25" t="s">
        <v>130</v>
      </c>
      <c r="F135" s="21" t="s">
        <v>2546</v>
      </c>
      <c r="G135" s="21" t="str">
        <f>VLOOKUP(D135,[6]成飞半成品!$A:$B,2,0)</f>
        <v>工装</v>
      </c>
      <c r="H135" s="25" t="s">
        <v>102</v>
      </c>
      <c r="I135" s="25">
        <v>90</v>
      </c>
      <c r="J135" s="25" t="s">
        <v>1917</v>
      </c>
      <c r="K135" s="25">
        <v>1</v>
      </c>
      <c r="L135" s="25">
        <v>1</v>
      </c>
      <c r="M135" s="31"/>
      <c r="N135" s="31">
        <v>28</v>
      </c>
      <c r="O135" s="77" t="s">
        <v>287</v>
      </c>
      <c r="P135" s="25"/>
      <c r="Q135" s="25">
        <v>300</v>
      </c>
      <c r="R135" s="25">
        <v>90</v>
      </c>
      <c r="S135" s="25"/>
      <c r="T135" s="25">
        <v>1</v>
      </c>
      <c r="U135" s="25">
        <v>120</v>
      </c>
      <c r="V135" s="25"/>
      <c r="W135" s="25">
        <v>1</v>
      </c>
      <c r="X135" s="25"/>
      <c r="Y135" s="79">
        <v>8.5</v>
      </c>
      <c r="Z135" s="25" t="s">
        <v>33</v>
      </c>
      <c r="AA135" s="25" t="s">
        <v>328</v>
      </c>
      <c r="AB135" s="25"/>
    </row>
    <row r="136" spans="1:28" ht="23.1" customHeight="1" x14ac:dyDescent="0.25">
      <c r="A136" s="53" t="s">
        <v>329</v>
      </c>
      <c r="B136" s="25" t="s">
        <v>99</v>
      </c>
      <c r="C136" s="31">
        <v>77</v>
      </c>
      <c r="D136" s="25" t="s">
        <v>280</v>
      </c>
      <c r="E136" s="25" t="s">
        <v>281</v>
      </c>
      <c r="F136" s="21" t="s">
        <v>281</v>
      </c>
      <c r="G136" s="21" t="str">
        <f>VLOOKUP(D136,[6]成飞半成品!$A:$B,2,0)</f>
        <v>4#上垫片</v>
      </c>
      <c r="H136" s="25" t="s">
        <v>154</v>
      </c>
      <c r="I136" s="25">
        <v>15</v>
      </c>
      <c r="J136" s="25" t="s">
        <v>1926</v>
      </c>
      <c r="K136" s="25"/>
      <c r="L136" s="25">
        <v>6</v>
      </c>
      <c r="M136" s="31">
        <v>31</v>
      </c>
      <c r="N136" s="31">
        <v>37</v>
      </c>
      <c r="O136" s="77" t="s">
        <v>330</v>
      </c>
      <c r="P136" s="25"/>
      <c r="Q136" s="25">
        <v>90</v>
      </c>
      <c r="R136" s="25"/>
      <c r="S136" s="25"/>
      <c r="T136" s="25"/>
      <c r="U136" s="25">
        <v>90</v>
      </c>
      <c r="V136" s="25"/>
      <c r="W136" s="25">
        <v>1</v>
      </c>
      <c r="X136" s="25"/>
      <c r="Y136" s="79">
        <v>10.5</v>
      </c>
      <c r="Z136" s="25" t="s">
        <v>46</v>
      </c>
      <c r="AA136" s="25" t="s">
        <v>331</v>
      </c>
      <c r="AB136" s="25"/>
    </row>
    <row r="137" spans="1:28" ht="23.1" customHeight="1" x14ac:dyDescent="0.25">
      <c r="A137" s="53" t="s">
        <v>329</v>
      </c>
      <c r="B137" s="25" t="s">
        <v>99</v>
      </c>
      <c r="C137" s="31">
        <v>47</v>
      </c>
      <c r="D137" s="25" t="s">
        <v>332</v>
      </c>
      <c r="E137" s="25" t="s">
        <v>333</v>
      </c>
      <c r="F137" s="21" t="s">
        <v>2548</v>
      </c>
      <c r="G137" s="21" t="str">
        <f>VLOOKUP(D137,[6]成飞半成品!$A:$B,2,0)</f>
        <v>5550上框</v>
      </c>
      <c r="H137" s="25" t="s">
        <v>334</v>
      </c>
      <c r="I137" s="25">
        <v>10</v>
      </c>
      <c r="J137" s="25" t="s">
        <v>1916</v>
      </c>
      <c r="K137" s="25">
        <v>2</v>
      </c>
      <c r="L137" s="25">
        <v>2</v>
      </c>
      <c r="M137" s="31">
        <v>26</v>
      </c>
      <c r="N137" s="31">
        <v>23</v>
      </c>
      <c r="O137" s="77" t="s">
        <v>335</v>
      </c>
      <c r="P137" s="25"/>
      <c r="Q137" s="25">
        <v>120</v>
      </c>
      <c r="R137" s="25">
        <v>60</v>
      </c>
      <c r="S137" s="25"/>
      <c r="T137" s="25">
        <v>2</v>
      </c>
      <c r="U137" s="25">
        <v>120</v>
      </c>
      <c r="V137" s="25"/>
      <c r="W137" s="25">
        <v>1</v>
      </c>
      <c r="X137" s="25"/>
      <c r="Y137" s="79">
        <v>8</v>
      </c>
      <c r="Z137" s="25" t="s">
        <v>33</v>
      </c>
      <c r="AA137" s="25" t="s">
        <v>336</v>
      </c>
      <c r="AB137" s="25"/>
    </row>
    <row r="138" spans="1:28" ht="23.1" customHeight="1" x14ac:dyDescent="0.25">
      <c r="A138" s="53" t="s">
        <v>329</v>
      </c>
      <c r="B138" s="25" t="s">
        <v>99</v>
      </c>
      <c r="C138" s="31">
        <v>107</v>
      </c>
      <c r="D138" s="25" t="s">
        <v>194</v>
      </c>
      <c r="E138" s="25" t="s">
        <v>133</v>
      </c>
      <c r="F138" s="21" t="s">
        <v>133</v>
      </c>
      <c r="G138" s="21" t="str">
        <f>VLOOKUP(D138,[6]成飞半成品!$A:$B,2,0)</f>
        <v>摇臂</v>
      </c>
      <c r="H138" s="25" t="s">
        <v>102</v>
      </c>
      <c r="I138" s="25">
        <v>105</v>
      </c>
      <c r="J138" s="25" t="s">
        <v>1890</v>
      </c>
      <c r="K138" s="25"/>
      <c r="L138" s="25">
        <v>0.2</v>
      </c>
      <c r="M138" s="31"/>
      <c r="N138" s="31">
        <v>19</v>
      </c>
      <c r="O138" s="77" t="s">
        <v>103</v>
      </c>
      <c r="P138" s="25"/>
      <c r="Q138" s="25">
        <v>150</v>
      </c>
      <c r="R138" s="25">
        <v>60</v>
      </c>
      <c r="S138" s="25"/>
      <c r="T138" s="25"/>
      <c r="U138" s="25">
        <v>120</v>
      </c>
      <c r="V138" s="25"/>
      <c r="W138" s="25"/>
      <c r="X138" s="25"/>
      <c r="Y138" s="79">
        <v>0.5</v>
      </c>
      <c r="Z138" s="25" t="s">
        <v>45</v>
      </c>
      <c r="AA138" s="25" t="s">
        <v>151</v>
      </c>
      <c r="AB138" s="25"/>
    </row>
    <row r="139" spans="1:28" ht="23.1" customHeight="1" x14ac:dyDescent="0.25">
      <c r="A139" s="53" t="s">
        <v>329</v>
      </c>
      <c r="B139" s="25" t="s">
        <v>99</v>
      </c>
      <c r="C139" s="31">
        <v>107</v>
      </c>
      <c r="D139" s="25" t="s">
        <v>177</v>
      </c>
      <c r="E139" s="25" t="s">
        <v>133</v>
      </c>
      <c r="F139" s="21" t="s">
        <v>133</v>
      </c>
      <c r="G139" s="21" t="str">
        <f>VLOOKUP(D139,[6]成飞半成品!$A:$B,2,0)</f>
        <v>摇臂</v>
      </c>
      <c r="H139" s="25" t="s">
        <v>102</v>
      </c>
      <c r="I139" s="25">
        <v>105</v>
      </c>
      <c r="J139" s="25" t="s">
        <v>1890</v>
      </c>
      <c r="K139" s="25"/>
      <c r="L139" s="25">
        <v>0.4</v>
      </c>
      <c r="M139" s="31"/>
      <c r="N139" s="31">
        <v>5</v>
      </c>
      <c r="O139" s="77" t="s">
        <v>103</v>
      </c>
      <c r="P139" s="25"/>
      <c r="Q139" s="25">
        <v>150</v>
      </c>
      <c r="R139" s="25">
        <v>60</v>
      </c>
      <c r="S139" s="25"/>
      <c r="T139" s="25"/>
      <c r="U139" s="25">
        <v>120</v>
      </c>
      <c r="V139" s="25"/>
      <c r="W139" s="25"/>
      <c r="X139" s="25"/>
      <c r="Y139" s="79">
        <v>1</v>
      </c>
      <c r="Z139" s="25" t="s">
        <v>45</v>
      </c>
      <c r="AA139" s="25" t="s">
        <v>151</v>
      </c>
      <c r="AB139" s="25"/>
    </row>
    <row r="140" spans="1:28" ht="23.1" customHeight="1" x14ac:dyDescent="0.25">
      <c r="A140" s="53" t="s">
        <v>329</v>
      </c>
      <c r="B140" s="25" t="s">
        <v>110</v>
      </c>
      <c r="C140" s="31">
        <v>14</v>
      </c>
      <c r="D140" s="25" t="s">
        <v>337</v>
      </c>
      <c r="E140" s="25" t="s">
        <v>236</v>
      </c>
      <c r="F140" s="21" t="s">
        <v>236</v>
      </c>
      <c r="G140" s="21" t="str">
        <f>VLOOKUP(D140,[6]成飞半成品!$A:$B,2,0)</f>
        <v>右外侧接头</v>
      </c>
      <c r="H140" s="25" t="s">
        <v>154</v>
      </c>
      <c r="I140" s="25">
        <v>50</v>
      </c>
      <c r="J140" s="25" t="s">
        <v>1899</v>
      </c>
      <c r="K140" s="25">
        <v>0.5</v>
      </c>
      <c r="L140" s="25">
        <v>0.3</v>
      </c>
      <c r="M140" s="31"/>
      <c r="N140" s="31">
        <v>28</v>
      </c>
      <c r="O140" s="77" t="s">
        <v>338</v>
      </c>
      <c r="P140" s="25"/>
      <c r="Q140" s="25">
        <v>2640</v>
      </c>
      <c r="R140" s="25"/>
      <c r="S140" s="25"/>
      <c r="T140" s="25"/>
      <c r="U140" s="25">
        <v>90</v>
      </c>
      <c r="V140" s="25"/>
      <c r="W140" s="25"/>
      <c r="X140" s="25"/>
      <c r="Y140" s="79">
        <v>13.2</v>
      </c>
      <c r="Z140" s="25" t="s">
        <v>31</v>
      </c>
      <c r="AA140" s="25"/>
      <c r="AB140" s="25"/>
    </row>
    <row r="141" spans="1:28" ht="23.1" customHeight="1" x14ac:dyDescent="0.25">
      <c r="A141" s="53" t="s">
        <v>329</v>
      </c>
      <c r="B141" s="25" t="s">
        <v>110</v>
      </c>
      <c r="C141" s="31">
        <v>14</v>
      </c>
      <c r="D141" s="25" t="s">
        <v>276</v>
      </c>
      <c r="E141" s="25" t="s">
        <v>277</v>
      </c>
      <c r="F141" s="21" t="s">
        <v>277</v>
      </c>
      <c r="G141" s="21" t="str">
        <f>VLOOKUP(D141,[6]成飞半成品!$A:$B,2,0)</f>
        <v>左外侧接头</v>
      </c>
      <c r="H141" s="25" t="s">
        <v>154</v>
      </c>
      <c r="I141" s="25">
        <v>50</v>
      </c>
      <c r="J141" s="25" t="s">
        <v>1899</v>
      </c>
      <c r="K141" s="25">
        <v>0</v>
      </c>
      <c r="L141" s="25">
        <v>0.1</v>
      </c>
      <c r="M141" s="31"/>
      <c r="N141" s="31">
        <v>37</v>
      </c>
      <c r="O141" s="77" t="s">
        <v>339</v>
      </c>
      <c r="P141" s="25"/>
      <c r="Q141" s="25">
        <v>2640</v>
      </c>
      <c r="R141" s="25"/>
      <c r="S141" s="25"/>
      <c r="T141" s="25"/>
      <c r="U141" s="25">
        <v>90</v>
      </c>
      <c r="V141" s="25"/>
      <c r="W141" s="25"/>
      <c r="X141" s="25"/>
      <c r="Y141" s="79">
        <v>4.4000000000000004</v>
      </c>
      <c r="Z141" s="25" t="s">
        <v>31</v>
      </c>
      <c r="AA141" s="25"/>
      <c r="AB141" s="25"/>
    </row>
    <row r="142" spans="1:28" ht="23.1" customHeight="1" x14ac:dyDescent="0.25">
      <c r="A142" s="53" t="s">
        <v>329</v>
      </c>
      <c r="B142" s="25" t="s">
        <v>110</v>
      </c>
      <c r="C142" s="31">
        <v>13</v>
      </c>
      <c r="D142" s="25" t="s">
        <v>245</v>
      </c>
      <c r="E142" s="25" t="s">
        <v>246</v>
      </c>
      <c r="F142" s="21" t="s">
        <v>246</v>
      </c>
      <c r="G142" s="21" t="str">
        <f>VLOOKUP(D142,[6]成飞半成品!$A:$B,2,0)</f>
        <v>外侧轴承盖</v>
      </c>
      <c r="H142" s="25" t="s">
        <v>123</v>
      </c>
      <c r="I142" s="25">
        <v>40</v>
      </c>
      <c r="J142" s="25" t="s">
        <v>1902</v>
      </c>
      <c r="K142" s="25">
        <v>3.5</v>
      </c>
      <c r="L142" s="25">
        <v>4</v>
      </c>
      <c r="M142" s="31">
        <v>31</v>
      </c>
      <c r="N142" s="31">
        <v>5</v>
      </c>
      <c r="O142" s="77" t="s">
        <v>340</v>
      </c>
      <c r="P142" s="25"/>
      <c r="Q142" s="25">
        <v>230</v>
      </c>
      <c r="R142" s="25"/>
      <c r="S142" s="25"/>
      <c r="T142" s="25"/>
      <c r="U142" s="25">
        <v>120</v>
      </c>
      <c r="V142" s="25"/>
      <c r="W142" s="25"/>
      <c r="X142" s="25"/>
      <c r="Y142" s="79">
        <v>15.3</v>
      </c>
      <c r="Z142" s="25" t="s">
        <v>72</v>
      </c>
      <c r="AA142" s="25"/>
      <c r="AB142" s="25"/>
    </row>
    <row r="143" spans="1:28" ht="23.1" customHeight="1" x14ac:dyDescent="0.25">
      <c r="A143" s="53" t="s">
        <v>329</v>
      </c>
      <c r="B143" s="25" t="s">
        <v>110</v>
      </c>
      <c r="C143" s="31">
        <v>15</v>
      </c>
      <c r="D143" s="25" t="s">
        <v>217</v>
      </c>
      <c r="E143" s="25" t="s">
        <v>218</v>
      </c>
      <c r="F143" s="21" t="s">
        <v>218</v>
      </c>
      <c r="G143" s="21" t="str">
        <f>VLOOKUP(D143,[6]成飞半成品!$A:$B,2,0)</f>
        <v>横梁</v>
      </c>
      <c r="H143" s="25" t="s">
        <v>107</v>
      </c>
      <c r="I143" s="25">
        <v>40</v>
      </c>
      <c r="J143" s="25" t="s">
        <v>1853</v>
      </c>
      <c r="K143" s="25">
        <v>6</v>
      </c>
      <c r="L143" s="25">
        <v>4</v>
      </c>
      <c r="M143" s="31">
        <v>28</v>
      </c>
      <c r="N143" s="31">
        <v>28</v>
      </c>
      <c r="O143" s="77" t="s">
        <v>341</v>
      </c>
      <c r="P143" s="25"/>
      <c r="Q143" s="25">
        <v>150</v>
      </c>
      <c r="R143" s="25"/>
      <c r="S143" s="25"/>
      <c r="T143" s="25"/>
      <c r="U143" s="25">
        <v>90</v>
      </c>
      <c r="V143" s="25"/>
      <c r="W143" s="25"/>
      <c r="X143" s="25"/>
      <c r="Y143" s="79">
        <v>10</v>
      </c>
      <c r="Z143" s="25" t="s">
        <v>31</v>
      </c>
      <c r="AA143" s="25"/>
      <c r="AB143" s="25"/>
    </row>
    <row r="144" spans="1:28" ht="23.1" customHeight="1" x14ac:dyDescent="0.25">
      <c r="A144" s="53" t="s">
        <v>329</v>
      </c>
      <c r="B144" s="25" t="s">
        <v>110</v>
      </c>
      <c r="C144" s="31">
        <v>15</v>
      </c>
      <c r="D144" s="25" t="s">
        <v>217</v>
      </c>
      <c r="E144" s="25" t="s">
        <v>218</v>
      </c>
      <c r="F144" s="21" t="s">
        <v>218</v>
      </c>
      <c r="G144" s="21" t="str">
        <f>VLOOKUP(D144,[6]成飞半成品!$A:$B,2,0)</f>
        <v>横梁</v>
      </c>
      <c r="H144" s="25" t="s">
        <v>107</v>
      </c>
      <c r="I144" s="25">
        <v>45</v>
      </c>
      <c r="J144" s="25" t="s">
        <v>1927</v>
      </c>
      <c r="K144" s="25">
        <v>0</v>
      </c>
      <c r="L144" s="25">
        <v>0.3</v>
      </c>
      <c r="M144" s="31"/>
      <c r="N144" s="31">
        <v>26</v>
      </c>
      <c r="O144" s="77" t="s">
        <v>342</v>
      </c>
      <c r="P144" s="25"/>
      <c r="Q144" s="25">
        <v>420</v>
      </c>
      <c r="R144" s="25"/>
      <c r="S144" s="25"/>
      <c r="T144" s="25"/>
      <c r="U144" s="25">
        <v>90</v>
      </c>
      <c r="V144" s="25"/>
      <c r="W144" s="25"/>
      <c r="X144" s="25"/>
      <c r="Y144" s="79">
        <v>2.1</v>
      </c>
      <c r="Z144" s="25" t="s">
        <v>31</v>
      </c>
      <c r="AA144" s="25"/>
      <c r="AB144" s="25"/>
    </row>
    <row r="145" spans="1:28" ht="23.1" customHeight="1" x14ac:dyDescent="0.25">
      <c r="A145" s="53" t="s">
        <v>329</v>
      </c>
      <c r="B145" s="25" t="s">
        <v>110</v>
      </c>
      <c r="C145" s="31">
        <v>12</v>
      </c>
      <c r="D145" s="25" t="s">
        <v>343</v>
      </c>
      <c r="E145" s="25" t="s">
        <v>249</v>
      </c>
      <c r="F145" s="21" t="s">
        <v>249</v>
      </c>
      <c r="G145" s="21" t="str">
        <f>VLOOKUP(D145,[6]成飞半成品!$A:$B,2,0)</f>
        <v>10060下接头</v>
      </c>
      <c r="H145" s="25" t="s">
        <v>250</v>
      </c>
      <c r="I145" s="25">
        <v>25</v>
      </c>
      <c r="J145" s="25" t="s">
        <v>1923</v>
      </c>
      <c r="K145" s="25">
        <v>0.8</v>
      </c>
      <c r="L145" s="25">
        <v>1</v>
      </c>
      <c r="M145" s="31"/>
      <c r="N145" s="31">
        <v>26</v>
      </c>
      <c r="O145" s="77" t="s">
        <v>344</v>
      </c>
      <c r="P145" s="25"/>
      <c r="Q145" s="25">
        <v>1080</v>
      </c>
      <c r="R145" s="25"/>
      <c r="S145" s="25"/>
      <c r="T145" s="25"/>
      <c r="U145" s="25">
        <v>120</v>
      </c>
      <c r="V145" s="25"/>
      <c r="W145" s="25"/>
      <c r="X145" s="25"/>
      <c r="Y145" s="79">
        <v>18</v>
      </c>
      <c r="Z145" s="25" t="s">
        <v>72</v>
      </c>
      <c r="AA145" s="25"/>
      <c r="AB145" s="25"/>
    </row>
    <row r="146" spans="1:28" ht="23.1" customHeight="1" x14ac:dyDescent="0.25">
      <c r="A146" s="53" t="s">
        <v>329</v>
      </c>
      <c r="B146" s="25" t="s">
        <v>110</v>
      </c>
      <c r="C146" s="31">
        <v>9</v>
      </c>
      <c r="D146" s="25" t="s">
        <v>229</v>
      </c>
      <c r="E146" s="25" t="s">
        <v>230</v>
      </c>
      <c r="F146" s="21" t="s">
        <v>230</v>
      </c>
      <c r="G146" s="21" t="str">
        <f>VLOOKUP(D146,[6]成飞半成品!$A:$B,2,0)</f>
        <v>前起落架舱门结构支撑梁</v>
      </c>
      <c r="H146" s="25" t="s">
        <v>154</v>
      </c>
      <c r="I146" s="25">
        <v>20</v>
      </c>
      <c r="J146" s="25" t="s">
        <v>1908</v>
      </c>
      <c r="K146" s="25">
        <v>3</v>
      </c>
      <c r="L146" s="25">
        <v>4</v>
      </c>
      <c r="M146" s="31">
        <v>31</v>
      </c>
      <c r="N146" s="31">
        <v>31</v>
      </c>
      <c r="O146" s="77" t="s">
        <v>345</v>
      </c>
      <c r="P146" s="25"/>
      <c r="Q146" s="25">
        <v>190</v>
      </c>
      <c r="R146" s="25"/>
      <c r="S146" s="25"/>
      <c r="T146" s="25"/>
      <c r="U146" s="25">
        <v>60</v>
      </c>
      <c r="V146" s="25"/>
      <c r="W146" s="25"/>
      <c r="X146" s="25"/>
      <c r="Y146" s="79">
        <v>12.7</v>
      </c>
      <c r="Z146" s="25" t="s">
        <v>55</v>
      </c>
      <c r="AA146" s="25"/>
      <c r="AB146" s="25"/>
    </row>
    <row r="147" spans="1:28" ht="23.1" customHeight="1" x14ac:dyDescent="0.25">
      <c r="A147" s="53" t="s">
        <v>329</v>
      </c>
      <c r="B147" s="25" t="s">
        <v>110</v>
      </c>
      <c r="C147" s="31">
        <v>10</v>
      </c>
      <c r="D147" s="25" t="s">
        <v>232</v>
      </c>
      <c r="E147" s="25" t="s">
        <v>233</v>
      </c>
      <c r="F147" s="21" t="s">
        <v>233</v>
      </c>
      <c r="G147" s="21" t="str">
        <f>VLOOKUP(D147,[6]成飞半成品!$A:$B,2,0)</f>
        <v>左内侧接头</v>
      </c>
      <c r="H147" s="25" t="s">
        <v>102</v>
      </c>
      <c r="I147" s="25">
        <v>75</v>
      </c>
      <c r="J147" s="25" t="s">
        <v>1928</v>
      </c>
      <c r="K147" s="25">
        <v>1</v>
      </c>
      <c r="L147" s="25">
        <v>1</v>
      </c>
      <c r="M147" s="31">
        <v>19</v>
      </c>
      <c r="N147" s="31"/>
      <c r="O147" s="77" t="s">
        <v>234</v>
      </c>
      <c r="P147" s="25"/>
      <c r="Q147" s="25">
        <v>300</v>
      </c>
      <c r="R147" s="25"/>
      <c r="S147" s="25"/>
      <c r="T147" s="25"/>
      <c r="U147" s="25">
        <v>120</v>
      </c>
      <c r="V147" s="25"/>
      <c r="W147" s="25">
        <v>1</v>
      </c>
      <c r="X147" s="25">
        <v>3</v>
      </c>
      <c r="Y147" s="79">
        <v>10</v>
      </c>
      <c r="Z147" s="25" t="s">
        <v>55</v>
      </c>
      <c r="AA147" s="25" t="s">
        <v>346</v>
      </c>
      <c r="AB147" s="25"/>
    </row>
    <row r="148" spans="1:28" ht="23.1" customHeight="1" x14ac:dyDescent="0.25">
      <c r="A148" s="53" t="s">
        <v>329</v>
      </c>
      <c r="B148" s="25" t="s">
        <v>110</v>
      </c>
      <c r="C148" s="31">
        <v>10</v>
      </c>
      <c r="D148" s="25" t="s">
        <v>308</v>
      </c>
      <c r="E148" s="25" t="s">
        <v>309</v>
      </c>
      <c r="F148" s="21" t="s">
        <v>309</v>
      </c>
      <c r="G148" s="21" t="str">
        <f>VLOOKUP(D148,[6]成飞半成品!$A:$B,2,0)</f>
        <v>右内侧接头</v>
      </c>
      <c r="H148" s="25" t="s">
        <v>102</v>
      </c>
      <c r="I148" s="25">
        <v>70</v>
      </c>
      <c r="J148" s="25" t="s">
        <v>1851</v>
      </c>
      <c r="K148" s="25">
        <v>0.2</v>
      </c>
      <c r="L148" s="25">
        <v>0.2</v>
      </c>
      <c r="M148" s="31"/>
      <c r="N148" s="31">
        <v>28</v>
      </c>
      <c r="O148" s="77" t="s">
        <v>234</v>
      </c>
      <c r="P148" s="25"/>
      <c r="Q148" s="25">
        <v>1320</v>
      </c>
      <c r="R148" s="25"/>
      <c r="S148" s="25"/>
      <c r="T148" s="25"/>
      <c r="U148" s="25">
        <v>120</v>
      </c>
      <c r="V148" s="25"/>
      <c r="W148" s="25"/>
      <c r="X148" s="25"/>
      <c r="Y148" s="79">
        <v>4.4000000000000004</v>
      </c>
      <c r="Z148" s="25" t="s">
        <v>55</v>
      </c>
      <c r="AA148" s="25"/>
      <c r="AB148" s="25"/>
    </row>
    <row r="149" spans="1:28" ht="23.1" customHeight="1" x14ac:dyDescent="0.25">
      <c r="A149" s="53" t="s">
        <v>329</v>
      </c>
      <c r="B149" s="25" t="s">
        <v>110</v>
      </c>
      <c r="C149" s="31">
        <v>10</v>
      </c>
      <c r="D149" s="25" t="s">
        <v>308</v>
      </c>
      <c r="E149" s="25" t="s">
        <v>309</v>
      </c>
      <c r="F149" s="21" t="s">
        <v>309</v>
      </c>
      <c r="G149" s="21" t="str">
        <f>VLOOKUP(D149,[6]成飞半成品!$A:$B,2,0)</f>
        <v>右内侧接头</v>
      </c>
      <c r="H149" s="25" t="s">
        <v>102</v>
      </c>
      <c r="I149" s="25">
        <v>75</v>
      </c>
      <c r="J149" s="25" t="s">
        <v>2430</v>
      </c>
      <c r="K149" s="25">
        <v>1</v>
      </c>
      <c r="L149" s="25">
        <v>1</v>
      </c>
      <c r="M149" s="31">
        <v>19</v>
      </c>
      <c r="N149" s="31"/>
      <c r="O149" s="77" t="s">
        <v>234</v>
      </c>
      <c r="P149" s="25"/>
      <c r="Q149" s="25">
        <v>300</v>
      </c>
      <c r="R149" s="25"/>
      <c r="S149" s="25"/>
      <c r="T149" s="25"/>
      <c r="U149" s="25">
        <v>120</v>
      </c>
      <c r="V149" s="25"/>
      <c r="W149" s="25">
        <v>1</v>
      </c>
      <c r="X149" s="25">
        <v>2</v>
      </c>
      <c r="Y149" s="79">
        <v>9</v>
      </c>
      <c r="Z149" s="25" t="s">
        <v>55</v>
      </c>
      <c r="AA149" s="25" t="s">
        <v>347</v>
      </c>
      <c r="AB149" s="25"/>
    </row>
    <row r="150" spans="1:28" ht="23.1" customHeight="1" x14ac:dyDescent="0.25">
      <c r="A150" s="53" t="s">
        <v>329</v>
      </c>
      <c r="B150" s="25" t="s">
        <v>110</v>
      </c>
      <c r="C150" s="31">
        <v>18</v>
      </c>
      <c r="D150" s="25" t="s">
        <v>205</v>
      </c>
      <c r="E150" s="25" t="s">
        <v>206</v>
      </c>
      <c r="F150" s="21" t="s">
        <v>206</v>
      </c>
      <c r="G150" s="21" t="str">
        <f>VLOOKUP(D150,[6]成飞半成品!$A:$B,2,0)</f>
        <v>卡环</v>
      </c>
      <c r="H150" s="25" t="s">
        <v>123</v>
      </c>
      <c r="I150" s="25">
        <v>25</v>
      </c>
      <c r="J150" s="25" t="s">
        <v>1892</v>
      </c>
      <c r="K150" s="25">
        <v>1.5</v>
      </c>
      <c r="L150" s="25">
        <v>1.3</v>
      </c>
      <c r="M150" s="31">
        <v>28</v>
      </c>
      <c r="N150" s="31">
        <v>26</v>
      </c>
      <c r="O150" s="77" t="s">
        <v>348</v>
      </c>
      <c r="P150" s="25"/>
      <c r="Q150" s="25">
        <v>720</v>
      </c>
      <c r="R150" s="25"/>
      <c r="S150" s="25"/>
      <c r="T150" s="25"/>
      <c r="U150" s="25">
        <v>90</v>
      </c>
      <c r="V150" s="25"/>
      <c r="W150" s="25"/>
      <c r="X150" s="25"/>
      <c r="Y150" s="79">
        <v>15.6</v>
      </c>
      <c r="Z150" s="25" t="s">
        <v>55</v>
      </c>
      <c r="AA150" s="25"/>
      <c r="AB150" s="25"/>
    </row>
    <row r="151" spans="1:28" ht="23.1" customHeight="1" x14ac:dyDescent="0.25">
      <c r="A151" s="53" t="s">
        <v>329</v>
      </c>
      <c r="B151" s="25" t="s">
        <v>110</v>
      </c>
      <c r="C151" s="31">
        <v>76</v>
      </c>
      <c r="D151" s="25" t="s">
        <v>349</v>
      </c>
      <c r="E151" s="25" t="s">
        <v>350</v>
      </c>
      <c r="F151" s="21" t="s">
        <v>350</v>
      </c>
      <c r="G151" s="21" t="str">
        <f>VLOOKUP(D151,[6]成飞半成品!$A:$B,2,0)</f>
        <v>4#下垫片</v>
      </c>
      <c r="H151" s="25" t="s">
        <v>154</v>
      </c>
      <c r="I151" s="25">
        <v>10</v>
      </c>
      <c r="J151" s="25" t="s">
        <v>1916</v>
      </c>
      <c r="K151" s="25">
        <v>20</v>
      </c>
      <c r="L151" s="25">
        <v>20</v>
      </c>
      <c r="M151" s="31">
        <v>31</v>
      </c>
      <c r="N151" s="31">
        <v>31</v>
      </c>
      <c r="O151" s="77" t="s">
        <v>351</v>
      </c>
      <c r="P151" s="25"/>
      <c r="Q151" s="25">
        <v>30</v>
      </c>
      <c r="R151" s="25"/>
      <c r="S151" s="25"/>
      <c r="T151" s="25"/>
      <c r="U151" s="25">
        <v>60</v>
      </c>
      <c r="V151" s="25"/>
      <c r="W151" s="25">
        <v>1</v>
      </c>
      <c r="X151" s="25"/>
      <c r="Y151" s="79">
        <v>11</v>
      </c>
      <c r="Z151" s="25" t="s">
        <v>46</v>
      </c>
      <c r="AA151" s="25" t="s">
        <v>331</v>
      </c>
      <c r="AB151" s="25"/>
    </row>
    <row r="152" spans="1:28" ht="23.1" customHeight="1" x14ac:dyDescent="0.25">
      <c r="A152" s="53" t="s">
        <v>329</v>
      </c>
      <c r="B152" s="25" t="s">
        <v>110</v>
      </c>
      <c r="C152" s="31">
        <v>56</v>
      </c>
      <c r="D152" s="25" t="s">
        <v>273</v>
      </c>
      <c r="E152" s="25" t="s">
        <v>274</v>
      </c>
      <c r="F152" s="21" t="s">
        <v>274</v>
      </c>
      <c r="G152" s="21" t="str">
        <f>VLOOKUP(D152,[6]成飞半成品!$A:$B,2,0)</f>
        <v>前起落架水平接头</v>
      </c>
      <c r="H152" s="25" t="s">
        <v>123</v>
      </c>
      <c r="I152" s="25">
        <v>10</v>
      </c>
      <c r="J152" s="25" t="s">
        <v>1916</v>
      </c>
      <c r="K152" s="25">
        <v>20</v>
      </c>
      <c r="L152" s="25">
        <v>20</v>
      </c>
      <c r="M152" s="31">
        <v>28</v>
      </c>
      <c r="N152" s="31">
        <v>28</v>
      </c>
      <c r="O152" s="77" t="s">
        <v>231</v>
      </c>
      <c r="P152" s="25"/>
      <c r="Q152" s="25">
        <v>25</v>
      </c>
      <c r="R152" s="25"/>
      <c r="S152" s="25"/>
      <c r="T152" s="25"/>
      <c r="U152" s="25">
        <v>60</v>
      </c>
      <c r="V152" s="25"/>
      <c r="W152" s="25"/>
      <c r="X152" s="25"/>
      <c r="Y152" s="79">
        <v>8.3000000000000007</v>
      </c>
      <c r="Z152" s="25" t="s">
        <v>46</v>
      </c>
      <c r="AA152" s="25"/>
      <c r="AB152" s="25"/>
    </row>
    <row r="153" spans="1:28" ht="23.1" customHeight="1" x14ac:dyDescent="0.25">
      <c r="A153" s="53" t="s">
        <v>188</v>
      </c>
      <c r="B153" s="25" t="s">
        <v>113</v>
      </c>
      <c r="C153" s="31">
        <v>59</v>
      </c>
      <c r="D153" s="25" t="s">
        <v>138</v>
      </c>
      <c r="E153" s="25" t="s">
        <v>139</v>
      </c>
      <c r="F153" s="21" t="s">
        <v>139</v>
      </c>
      <c r="G153" s="21" t="str">
        <f>VLOOKUP(D153,[6]成飞半成品!$A:$B,2,0)</f>
        <v>支座</v>
      </c>
      <c r="H153" s="25" t="s">
        <v>102</v>
      </c>
      <c r="I153" s="25">
        <v>35</v>
      </c>
      <c r="J153" s="25" t="s">
        <v>2431</v>
      </c>
      <c r="K153" s="25">
        <v>1</v>
      </c>
      <c r="L153" s="25">
        <v>1</v>
      </c>
      <c r="M153" s="31">
        <v>5</v>
      </c>
      <c r="N153" s="31">
        <v>5</v>
      </c>
      <c r="O153" s="77" t="s">
        <v>140</v>
      </c>
      <c r="P153" s="25"/>
      <c r="Q153" s="25">
        <v>30</v>
      </c>
      <c r="R153" s="25"/>
      <c r="S153" s="25"/>
      <c r="T153" s="25"/>
      <c r="U153" s="25">
        <v>60</v>
      </c>
      <c r="V153" s="25"/>
      <c r="W153" s="25">
        <v>1</v>
      </c>
      <c r="X153" s="25"/>
      <c r="Y153" s="79">
        <v>1.5</v>
      </c>
      <c r="Z153" s="65" t="s">
        <v>1847</v>
      </c>
      <c r="AA153" s="25" t="s">
        <v>278</v>
      </c>
      <c r="AB153" s="25"/>
    </row>
    <row r="154" spans="1:28" ht="23.1" customHeight="1" x14ac:dyDescent="0.25">
      <c r="A154" s="53" t="s">
        <v>329</v>
      </c>
      <c r="B154" s="25" t="s">
        <v>110</v>
      </c>
      <c r="C154" s="31">
        <v>17</v>
      </c>
      <c r="D154" s="31" t="s">
        <v>352</v>
      </c>
      <c r="E154" s="25" t="s">
        <v>353</v>
      </c>
      <c r="F154" s="21" t="e">
        <v>#N/A</v>
      </c>
      <c r="G154" s="21" t="e">
        <f>VLOOKUP(D154,[6]成飞半成品!$A:$B,2,0)</f>
        <v>#N/A</v>
      </c>
      <c r="H154" s="25" t="s">
        <v>300</v>
      </c>
      <c r="I154" s="25" t="s">
        <v>354</v>
      </c>
      <c r="J154" s="25" t="s">
        <v>1930</v>
      </c>
      <c r="K154" s="25"/>
      <c r="L154" s="25">
        <v>1</v>
      </c>
      <c r="M154" s="31">
        <v>28</v>
      </c>
      <c r="N154" s="31">
        <v>28</v>
      </c>
      <c r="O154" s="77" t="s">
        <v>355</v>
      </c>
      <c r="P154" s="25"/>
      <c r="Q154" s="25">
        <v>40</v>
      </c>
      <c r="R154" s="25"/>
      <c r="S154" s="25"/>
      <c r="T154" s="25"/>
      <c r="U154" s="25">
        <v>60</v>
      </c>
      <c r="V154" s="25"/>
      <c r="W154" s="25">
        <v>1</v>
      </c>
      <c r="X154" s="25"/>
      <c r="Y154" s="79">
        <v>1.7</v>
      </c>
      <c r="Z154" s="25" t="s">
        <v>0</v>
      </c>
      <c r="AA154" s="25" t="s">
        <v>356</v>
      </c>
      <c r="AB154" s="25"/>
    </row>
    <row r="155" spans="1:28" ht="23.1" customHeight="1" x14ac:dyDescent="0.25">
      <c r="A155" s="53" t="s">
        <v>329</v>
      </c>
      <c r="B155" s="25" t="s">
        <v>110</v>
      </c>
      <c r="C155" s="31">
        <v>47</v>
      </c>
      <c r="D155" s="25" t="s">
        <v>294</v>
      </c>
      <c r="E155" s="25" t="s">
        <v>259</v>
      </c>
      <c r="F155" s="21" t="s">
        <v>284</v>
      </c>
      <c r="G155" s="21" t="str">
        <f>VLOOKUP(D155,[6]成飞半成品!$A:$B,2,0)</f>
        <v>梁（左件）</v>
      </c>
      <c r="H155" s="25" t="s">
        <v>154</v>
      </c>
      <c r="I155" s="25">
        <v>50</v>
      </c>
      <c r="J155" s="25" t="s">
        <v>1907</v>
      </c>
      <c r="K155" s="25">
        <v>1</v>
      </c>
      <c r="L155" s="25">
        <v>0.3</v>
      </c>
      <c r="M155" s="31"/>
      <c r="N155" s="31">
        <v>28</v>
      </c>
      <c r="O155" s="77" t="s">
        <v>285</v>
      </c>
      <c r="P155" s="25"/>
      <c r="Q155" s="25">
        <v>630</v>
      </c>
      <c r="R155" s="25">
        <v>120</v>
      </c>
      <c r="S155" s="25"/>
      <c r="T155" s="25"/>
      <c r="U155" s="25">
        <v>90</v>
      </c>
      <c r="V155" s="25"/>
      <c r="W155" s="25"/>
      <c r="X155" s="25"/>
      <c r="Y155" s="79">
        <v>3.2</v>
      </c>
      <c r="Z155" s="25" t="s">
        <v>33</v>
      </c>
      <c r="AA155" s="25"/>
      <c r="AB155" s="25"/>
    </row>
    <row r="156" spans="1:28" ht="23.1" customHeight="1" x14ac:dyDescent="0.25">
      <c r="A156" s="53" t="s">
        <v>329</v>
      </c>
      <c r="B156" s="25" t="s">
        <v>110</v>
      </c>
      <c r="C156" s="31">
        <v>23</v>
      </c>
      <c r="D156" s="25" t="s">
        <v>288</v>
      </c>
      <c r="E156" s="25" t="s">
        <v>255</v>
      </c>
      <c r="F156" s="21" t="s">
        <v>1532</v>
      </c>
      <c r="G156" s="21" t="str">
        <f>VLOOKUP(D156,[6]成飞半成品!$A:$B,2,0)</f>
        <v>9350-11140左侧上梁</v>
      </c>
      <c r="H156" s="25" t="s">
        <v>250</v>
      </c>
      <c r="I156" s="25">
        <v>45</v>
      </c>
      <c r="J156" s="25" t="s">
        <v>1919</v>
      </c>
      <c r="K156" s="25">
        <v>0.7</v>
      </c>
      <c r="L156" s="25">
        <v>0.8</v>
      </c>
      <c r="M156" s="31"/>
      <c r="N156" s="31">
        <v>26</v>
      </c>
      <c r="O156" s="77" t="s">
        <v>357</v>
      </c>
      <c r="P156" s="25"/>
      <c r="Q156" s="25">
        <v>660</v>
      </c>
      <c r="R156" s="25">
        <v>90</v>
      </c>
      <c r="S156" s="25"/>
      <c r="T156" s="25"/>
      <c r="U156" s="25">
        <v>120</v>
      </c>
      <c r="V156" s="25"/>
      <c r="W156" s="25"/>
      <c r="X156" s="25"/>
      <c r="Y156" s="79">
        <v>8.8000000000000007</v>
      </c>
      <c r="Z156" s="25" t="s">
        <v>33</v>
      </c>
      <c r="AA156" s="25"/>
      <c r="AB156" s="25"/>
    </row>
    <row r="157" spans="1:28" ht="23.1" customHeight="1" x14ac:dyDescent="0.25">
      <c r="A157" s="53" t="s">
        <v>329</v>
      </c>
      <c r="B157" s="25" t="s">
        <v>110</v>
      </c>
      <c r="C157" s="31">
        <v>23</v>
      </c>
      <c r="D157" s="25" t="s">
        <v>288</v>
      </c>
      <c r="E157" s="25" t="s">
        <v>255</v>
      </c>
      <c r="F157" s="21" t="s">
        <v>1532</v>
      </c>
      <c r="G157" s="21" t="str">
        <f>VLOOKUP(D157,[6]成飞半成品!$A:$B,2,0)</f>
        <v>9350-11140左侧上梁</v>
      </c>
      <c r="H157" s="25" t="s">
        <v>250</v>
      </c>
      <c r="I157" s="25">
        <v>45</v>
      </c>
      <c r="J157" s="25" t="s">
        <v>1919</v>
      </c>
      <c r="K157" s="25">
        <v>0.2</v>
      </c>
      <c r="L157" s="25">
        <v>0.2</v>
      </c>
      <c r="M157" s="31">
        <v>23</v>
      </c>
      <c r="N157" s="31"/>
      <c r="O157" s="77" t="s">
        <v>155</v>
      </c>
      <c r="P157" s="25"/>
      <c r="Q157" s="25">
        <v>660</v>
      </c>
      <c r="R157" s="25">
        <v>90</v>
      </c>
      <c r="S157" s="25"/>
      <c r="T157" s="25">
        <v>1</v>
      </c>
      <c r="U157" s="25">
        <v>120</v>
      </c>
      <c r="V157" s="25"/>
      <c r="W157" s="25"/>
      <c r="X157" s="25"/>
      <c r="Y157" s="79">
        <v>3.7</v>
      </c>
      <c r="Z157" s="25" t="s">
        <v>33</v>
      </c>
      <c r="AA157" s="25" t="s">
        <v>145</v>
      </c>
      <c r="AB157" s="25"/>
    </row>
    <row r="158" spans="1:28" ht="23.1" customHeight="1" x14ac:dyDescent="0.25">
      <c r="A158" s="53" t="s">
        <v>329</v>
      </c>
      <c r="B158" s="25" t="s">
        <v>110</v>
      </c>
      <c r="C158" s="31">
        <v>58</v>
      </c>
      <c r="D158" s="25" t="s">
        <v>214</v>
      </c>
      <c r="E158" s="25" t="s">
        <v>215</v>
      </c>
      <c r="F158" s="21" t="s">
        <v>215</v>
      </c>
      <c r="G158" s="21" t="str">
        <f>VLOOKUP(D158,[6]成飞半成品!$A:$B,2,0)</f>
        <v>口盖</v>
      </c>
      <c r="H158" s="25" t="s">
        <v>118</v>
      </c>
      <c r="I158" s="25">
        <v>25</v>
      </c>
      <c r="J158" s="25" t="s">
        <v>1894</v>
      </c>
      <c r="K158" s="25"/>
      <c r="L158" s="25">
        <v>6</v>
      </c>
      <c r="M158" s="31">
        <v>28</v>
      </c>
      <c r="N158" s="31">
        <v>37</v>
      </c>
      <c r="O158" s="77" t="s">
        <v>164</v>
      </c>
      <c r="P158" s="25"/>
      <c r="Q158" s="25">
        <v>170</v>
      </c>
      <c r="R158" s="25"/>
      <c r="S158" s="25"/>
      <c r="T158" s="25"/>
      <c r="U158" s="25">
        <v>60</v>
      </c>
      <c r="V158" s="25"/>
      <c r="W158" s="25"/>
      <c r="X158" s="25"/>
      <c r="Y158" s="79">
        <v>17</v>
      </c>
      <c r="Z158" s="25" t="s">
        <v>0</v>
      </c>
      <c r="AA158" s="25"/>
      <c r="AB158" s="25"/>
    </row>
    <row r="159" spans="1:28" ht="23.1" customHeight="1" x14ac:dyDescent="0.25">
      <c r="A159" s="53" t="s">
        <v>329</v>
      </c>
      <c r="B159" s="25" t="s">
        <v>110</v>
      </c>
      <c r="C159" s="31">
        <v>21</v>
      </c>
      <c r="D159" s="25" t="s">
        <v>321</v>
      </c>
      <c r="E159" s="25" t="s">
        <v>322</v>
      </c>
      <c r="F159" s="21" t="s">
        <v>322</v>
      </c>
      <c r="G159" s="21" t="str">
        <f>VLOOKUP(D159,[6]成飞半成品!$A:$B,2,0)</f>
        <v>10860框</v>
      </c>
      <c r="H159" s="25" t="s">
        <v>323</v>
      </c>
      <c r="I159" s="25">
        <v>35</v>
      </c>
      <c r="J159" s="25" t="s">
        <v>1925</v>
      </c>
      <c r="K159" s="25">
        <v>1.5</v>
      </c>
      <c r="L159" s="25">
        <v>2</v>
      </c>
      <c r="M159" s="31">
        <v>28</v>
      </c>
      <c r="N159" s="31">
        <v>26</v>
      </c>
      <c r="O159" s="77" t="s">
        <v>324</v>
      </c>
      <c r="P159" s="25"/>
      <c r="Q159" s="25">
        <v>480</v>
      </c>
      <c r="R159" s="25">
        <v>120</v>
      </c>
      <c r="S159" s="25"/>
      <c r="T159" s="25">
        <v>2</v>
      </c>
      <c r="U159" s="25">
        <v>180</v>
      </c>
      <c r="V159" s="25"/>
      <c r="W159" s="25">
        <v>1</v>
      </c>
      <c r="X159" s="25"/>
      <c r="Y159" s="79">
        <v>23</v>
      </c>
      <c r="Z159" s="25" t="s">
        <v>58</v>
      </c>
      <c r="AA159" s="25" t="s">
        <v>358</v>
      </c>
      <c r="AB159" s="25"/>
    </row>
    <row r="160" spans="1:28" ht="23.1" customHeight="1" x14ac:dyDescent="0.25">
      <c r="A160" s="53" t="s">
        <v>329</v>
      </c>
      <c r="B160" s="25" t="s">
        <v>110</v>
      </c>
      <c r="C160" s="31">
        <v>22</v>
      </c>
      <c r="D160" s="25" t="s">
        <v>111</v>
      </c>
      <c r="E160" s="25" t="s">
        <v>101</v>
      </c>
      <c r="F160" s="21" t="s">
        <v>101</v>
      </c>
      <c r="G160" s="21" t="str">
        <f>VLOOKUP(D160,[6]成飞半成品!$A:$B,2,0)</f>
        <v>前梁一段</v>
      </c>
      <c r="H160" s="25" t="s">
        <v>102</v>
      </c>
      <c r="I160" s="25">
        <v>30</v>
      </c>
      <c r="J160" s="25" t="s">
        <v>1877</v>
      </c>
      <c r="K160" s="25">
        <v>0.15</v>
      </c>
      <c r="L160" s="25">
        <v>0.15</v>
      </c>
      <c r="M160" s="31"/>
      <c r="N160" s="31">
        <v>26</v>
      </c>
      <c r="O160" s="77" t="s">
        <v>103</v>
      </c>
      <c r="P160" s="25"/>
      <c r="Q160" s="25">
        <v>6000</v>
      </c>
      <c r="R160" s="25">
        <v>180</v>
      </c>
      <c r="S160" s="25"/>
      <c r="T160" s="25"/>
      <c r="U160" s="25">
        <v>180</v>
      </c>
      <c r="V160" s="25"/>
      <c r="W160" s="25"/>
      <c r="X160" s="25"/>
      <c r="Y160" s="79">
        <v>15</v>
      </c>
      <c r="Z160" s="25" t="s">
        <v>58</v>
      </c>
      <c r="AA160" s="25"/>
      <c r="AB160" s="25"/>
    </row>
    <row r="161" spans="1:28" ht="23.1" customHeight="1" x14ac:dyDescent="0.25">
      <c r="A161" s="53" t="s">
        <v>329</v>
      </c>
      <c r="B161" s="25" t="s">
        <v>110</v>
      </c>
      <c r="C161" s="31">
        <v>108</v>
      </c>
      <c r="D161" s="25" t="s">
        <v>291</v>
      </c>
      <c r="E161" s="25" t="s">
        <v>174</v>
      </c>
      <c r="F161" s="21" t="s">
        <v>1246</v>
      </c>
      <c r="G161" s="21" t="str">
        <f>VLOOKUP(D161,[6]成飞半成品!$A:$B,2,0)</f>
        <v>根肋后段</v>
      </c>
      <c r="H161" s="25" t="s">
        <v>154</v>
      </c>
      <c r="I161" s="25">
        <v>5</v>
      </c>
      <c r="J161" s="25" t="s">
        <v>1888</v>
      </c>
      <c r="K161" s="25">
        <v>2</v>
      </c>
      <c r="L161" s="25">
        <v>1</v>
      </c>
      <c r="M161" s="31"/>
      <c r="N161" s="31">
        <v>26</v>
      </c>
      <c r="O161" s="77" t="s">
        <v>216</v>
      </c>
      <c r="P161" s="25"/>
      <c r="Q161" s="25">
        <v>600</v>
      </c>
      <c r="R161" s="25">
        <v>120</v>
      </c>
      <c r="S161" s="25"/>
      <c r="T161" s="25">
        <v>1</v>
      </c>
      <c r="U161" s="25">
        <v>120</v>
      </c>
      <c r="V161" s="25"/>
      <c r="W161" s="25"/>
      <c r="X161" s="25"/>
      <c r="Y161" s="79">
        <v>12</v>
      </c>
      <c r="Z161" s="25" t="s">
        <v>45</v>
      </c>
      <c r="AA161" s="25" t="s">
        <v>145</v>
      </c>
      <c r="AB161" s="25"/>
    </row>
    <row r="162" spans="1:28" ht="23.1" customHeight="1" x14ac:dyDescent="0.25">
      <c r="A162" s="53" t="s">
        <v>329</v>
      </c>
      <c r="B162" s="25" t="s">
        <v>110</v>
      </c>
      <c r="C162" s="31">
        <v>77</v>
      </c>
      <c r="D162" s="25" t="s">
        <v>211</v>
      </c>
      <c r="E162" s="25" t="s">
        <v>212</v>
      </c>
      <c r="F162" s="21" t="s">
        <v>212</v>
      </c>
      <c r="G162" s="21" t="str">
        <f>VLOOKUP(D162,[6]成飞半成品!$A:$B,2,0)</f>
        <v>压板</v>
      </c>
      <c r="H162" s="25" t="s">
        <v>1838</v>
      </c>
      <c r="I162" s="25">
        <v>15</v>
      </c>
      <c r="J162" s="25" t="s">
        <v>1893</v>
      </c>
      <c r="K162" s="25">
        <v>8</v>
      </c>
      <c r="L162" s="25">
        <v>9</v>
      </c>
      <c r="M162" s="31">
        <v>19</v>
      </c>
      <c r="N162" s="31">
        <v>37</v>
      </c>
      <c r="O162" s="77" t="s">
        <v>213</v>
      </c>
      <c r="P162" s="25">
        <v>100</v>
      </c>
      <c r="Q162" s="25">
        <v>60</v>
      </c>
      <c r="R162" s="25"/>
      <c r="S162" s="25"/>
      <c r="T162" s="25"/>
      <c r="U162" s="25">
        <v>90</v>
      </c>
      <c r="V162" s="25"/>
      <c r="W162" s="25"/>
      <c r="X162" s="25"/>
      <c r="Y162" s="83">
        <v>15</v>
      </c>
      <c r="Z162" s="25" t="s">
        <v>15</v>
      </c>
      <c r="AA162" s="25"/>
      <c r="AB162" s="25"/>
    </row>
    <row r="163" spans="1:28" ht="23.1" customHeight="1" x14ac:dyDescent="0.25">
      <c r="A163" s="53" t="s">
        <v>329</v>
      </c>
      <c r="B163" s="25" t="s">
        <v>110</v>
      </c>
      <c r="C163" s="31">
        <v>79</v>
      </c>
      <c r="D163" s="25" t="s">
        <v>152</v>
      </c>
      <c r="E163" s="25" t="s">
        <v>153</v>
      </c>
      <c r="F163" s="21" t="s">
        <v>1247</v>
      </c>
      <c r="G163" s="21" t="str">
        <f>VLOOKUP(D163,[6]成飞半成品!$A:$B,2,0)</f>
        <v>根肋前段</v>
      </c>
      <c r="H163" s="25" t="s">
        <v>154</v>
      </c>
      <c r="I163" s="25">
        <v>5</v>
      </c>
      <c r="J163" s="25" t="s">
        <v>1882</v>
      </c>
      <c r="K163" s="25">
        <v>1</v>
      </c>
      <c r="L163" s="25">
        <v>2</v>
      </c>
      <c r="M163" s="31">
        <v>28</v>
      </c>
      <c r="N163" s="31">
        <v>26</v>
      </c>
      <c r="O163" s="77" t="s">
        <v>359</v>
      </c>
      <c r="P163" s="25"/>
      <c r="Q163" s="25">
        <v>770</v>
      </c>
      <c r="R163" s="25">
        <v>120</v>
      </c>
      <c r="S163" s="25"/>
      <c r="T163" s="25">
        <v>2</v>
      </c>
      <c r="U163" s="25">
        <v>120</v>
      </c>
      <c r="V163" s="25"/>
      <c r="W163" s="25"/>
      <c r="X163" s="25"/>
      <c r="Y163" s="79">
        <v>29.7</v>
      </c>
      <c r="Z163" s="25" t="s">
        <v>19</v>
      </c>
      <c r="AA163" s="25" t="s">
        <v>147</v>
      </c>
      <c r="AB163" s="25"/>
    </row>
    <row r="164" spans="1:28" ht="23.1" customHeight="1" x14ac:dyDescent="0.25">
      <c r="A164" s="53" t="s">
        <v>329</v>
      </c>
      <c r="B164" s="25" t="s">
        <v>110</v>
      </c>
      <c r="C164" s="31">
        <v>78</v>
      </c>
      <c r="D164" s="25" t="s">
        <v>261</v>
      </c>
      <c r="E164" s="25" t="s">
        <v>133</v>
      </c>
      <c r="F164" s="21" t="s">
        <v>133</v>
      </c>
      <c r="G164" s="21" t="str">
        <f>VLOOKUP(D164,[6]成飞半成品!$A:$B,2,0)</f>
        <v>摇臂</v>
      </c>
      <c r="H164" s="25" t="s">
        <v>102</v>
      </c>
      <c r="I164" s="25">
        <v>65</v>
      </c>
      <c r="J164" s="25" t="s">
        <v>1879</v>
      </c>
      <c r="K164" s="25">
        <v>1</v>
      </c>
      <c r="L164" s="25">
        <v>0.1</v>
      </c>
      <c r="M164" s="31"/>
      <c r="N164" s="31">
        <v>28</v>
      </c>
      <c r="O164" s="77" t="s">
        <v>103</v>
      </c>
      <c r="P164" s="25"/>
      <c r="Q164" s="25">
        <v>660</v>
      </c>
      <c r="R164" s="25">
        <v>60</v>
      </c>
      <c r="S164" s="25"/>
      <c r="T164" s="25"/>
      <c r="U164" s="25">
        <v>120</v>
      </c>
      <c r="V164" s="25"/>
      <c r="W164" s="25"/>
      <c r="X164" s="25">
        <v>18.899999999999999</v>
      </c>
      <c r="Y164" s="79">
        <v>20</v>
      </c>
      <c r="Z164" s="25" t="s">
        <v>19</v>
      </c>
      <c r="AA164" s="25" t="s">
        <v>360</v>
      </c>
      <c r="AB164" s="25"/>
    </row>
    <row r="165" spans="1:28" ht="23.1" customHeight="1" x14ac:dyDescent="0.25">
      <c r="A165" s="53" t="s">
        <v>329</v>
      </c>
      <c r="B165" s="25" t="s">
        <v>110</v>
      </c>
      <c r="C165" s="31">
        <v>17</v>
      </c>
      <c r="D165" s="31" t="s">
        <v>352</v>
      </c>
      <c r="E165" s="25" t="s">
        <v>353</v>
      </c>
      <c r="F165" s="21" t="e">
        <v>#N/A</v>
      </c>
      <c r="G165" s="21" t="e">
        <f>VLOOKUP(D165,[6]成飞半成品!$A:$B,2,0)</f>
        <v>#N/A</v>
      </c>
      <c r="H165" s="25" t="s">
        <v>300</v>
      </c>
      <c r="I165" s="25" t="s">
        <v>361</v>
      </c>
      <c r="J165" s="25" t="s">
        <v>1916</v>
      </c>
      <c r="K165" s="25"/>
      <c r="L165" s="25">
        <v>1</v>
      </c>
      <c r="M165" s="31">
        <v>28</v>
      </c>
      <c r="N165" s="31">
        <v>28</v>
      </c>
      <c r="O165" s="77" t="s">
        <v>355</v>
      </c>
      <c r="P165" s="25"/>
      <c r="Q165" s="25">
        <v>40</v>
      </c>
      <c r="R165" s="25"/>
      <c r="S165" s="25"/>
      <c r="T165" s="25"/>
      <c r="U165" s="25">
        <v>60</v>
      </c>
      <c r="V165" s="25"/>
      <c r="W165" s="25"/>
      <c r="X165" s="25"/>
      <c r="Y165" s="79">
        <v>0.7</v>
      </c>
      <c r="Z165" s="25" t="s">
        <v>0</v>
      </c>
      <c r="AA165" s="25" t="s">
        <v>356</v>
      </c>
      <c r="AB165" s="25"/>
    </row>
    <row r="166" spans="1:28" ht="23.1" customHeight="1" x14ac:dyDescent="0.25">
      <c r="A166" s="53" t="s">
        <v>329</v>
      </c>
      <c r="B166" s="25" t="s">
        <v>110</v>
      </c>
      <c r="C166" s="31">
        <v>17</v>
      </c>
      <c r="D166" s="31" t="s">
        <v>352</v>
      </c>
      <c r="E166" s="25" t="s">
        <v>353</v>
      </c>
      <c r="F166" s="21" t="e">
        <v>#N/A</v>
      </c>
      <c r="G166" s="21" t="e">
        <f>VLOOKUP(D166,[6]成飞半成品!$A:$B,2,0)</f>
        <v>#N/A</v>
      </c>
      <c r="H166" s="25" t="s">
        <v>300</v>
      </c>
      <c r="I166" s="25" t="s">
        <v>362</v>
      </c>
      <c r="J166" s="25" t="s">
        <v>1931</v>
      </c>
      <c r="K166" s="25"/>
      <c r="L166" s="25">
        <v>1</v>
      </c>
      <c r="M166" s="31">
        <v>28</v>
      </c>
      <c r="N166" s="31">
        <v>28</v>
      </c>
      <c r="O166" s="77" t="s">
        <v>355</v>
      </c>
      <c r="P166" s="25"/>
      <c r="Q166" s="25">
        <v>90</v>
      </c>
      <c r="R166" s="25"/>
      <c r="S166" s="25"/>
      <c r="T166" s="25"/>
      <c r="U166" s="25">
        <v>60</v>
      </c>
      <c r="V166" s="25"/>
      <c r="W166" s="25">
        <v>1</v>
      </c>
      <c r="X166" s="25"/>
      <c r="Y166" s="79">
        <v>2.5</v>
      </c>
      <c r="Z166" s="25" t="s">
        <v>0</v>
      </c>
      <c r="AA166" s="25" t="s">
        <v>356</v>
      </c>
      <c r="AB166" s="25"/>
    </row>
    <row r="167" spans="1:28" ht="23.1" customHeight="1" x14ac:dyDescent="0.25">
      <c r="A167" s="53" t="s">
        <v>329</v>
      </c>
      <c r="B167" s="25" t="s">
        <v>110</v>
      </c>
      <c r="C167" s="31">
        <v>59</v>
      </c>
      <c r="D167" s="25" t="s">
        <v>138</v>
      </c>
      <c r="E167" s="25" t="s">
        <v>139</v>
      </c>
      <c r="F167" s="21" t="s">
        <v>139</v>
      </c>
      <c r="G167" s="21" t="str">
        <f>VLOOKUP(D167,[6]成飞半成品!$A:$B,2,0)</f>
        <v>支座</v>
      </c>
      <c r="H167" s="25" t="s">
        <v>102</v>
      </c>
      <c r="I167" s="25">
        <v>45</v>
      </c>
      <c r="J167" s="25" t="s">
        <v>1932</v>
      </c>
      <c r="K167" s="25">
        <v>2</v>
      </c>
      <c r="L167" s="25">
        <v>2</v>
      </c>
      <c r="M167" s="31">
        <v>19</v>
      </c>
      <c r="N167" s="31">
        <v>31</v>
      </c>
      <c r="O167" s="77" t="s">
        <v>140</v>
      </c>
      <c r="P167" s="25"/>
      <c r="Q167" s="25">
        <v>120</v>
      </c>
      <c r="R167" s="25"/>
      <c r="S167" s="25"/>
      <c r="T167" s="25"/>
      <c r="U167" s="25">
        <v>90</v>
      </c>
      <c r="V167" s="25"/>
      <c r="W167" s="25"/>
      <c r="X167" s="25"/>
      <c r="Y167" s="79">
        <v>4</v>
      </c>
      <c r="Z167" s="25" t="s">
        <v>42</v>
      </c>
      <c r="AA167" s="25" t="s">
        <v>363</v>
      </c>
      <c r="AB167" s="25"/>
    </row>
    <row r="168" spans="1:28" ht="23.1" customHeight="1" x14ac:dyDescent="0.25">
      <c r="A168" s="53" t="s">
        <v>329</v>
      </c>
      <c r="B168" s="25" t="s">
        <v>110</v>
      </c>
      <c r="C168" s="31">
        <v>16</v>
      </c>
      <c r="D168" s="25" t="s">
        <v>364</v>
      </c>
      <c r="E168" s="25" t="s">
        <v>365</v>
      </c>
      <c r="F168" s="21" t="s">
        <v>365</v>
      </c>
      <c r="G168" s="21" t="str">
        <f>VLOOKUP(D168,[6]成飞半成品!$A:$B,2,0)</f>
        <v>卡箍扣</v>
      </c>
      <c r="H168" s="25" t="s">
        <v>154</v>
      </c>
      <c r="I168" s="25">
        <v>10</v>
      </c>
      <c r="J168" s="25" t="s">
        <v>1916</v>
      </c>
      <c r="K168" s="25">
        <v>10</v>
      </c>
      <c r="L168" s="25">
        <v>43</v>
      </c>
      <c r="M168" s="31">
        <v>9</v>
      </c>
      <c r="N168" s="31">
        <v>31</v>
      </c>
      <c r="O168" s="77" t="s">
        <v>221</v>
      </c>
      <c r="P168" s="25"/>
      <c r="Q168" s="25">
        <v>15</v>
      </c>
      <c r="R168" s="25"/>
      <c r="S168" s="25"/>
      <c r="T168" s="25"/>
      <c r="U168" s="25">
        <v>60</v>
      </c>
      <c r="V168" s="25"/>
      <c r="W168" s="25">
        <v>1</v>
      </c>
      <c r="X168" s="25"/>
      <c r="Y168" s="79">
        <v>11.8</v>
      </c>
      <c r="Z168" s="25" t="s">
        <v>38</v>
      </c>
      <c r="AA168" s="25" t="s">
        <v>264</v>
      </c>
      <c r="AB168" s="25"/>
    </row>
    <row r="169" spans="1:28" ht="23.1" customHeight="1" x14ac:dyDescent="0.25">
      <c r="A169" s="53" t="s">
        <v>329</v>
      </c>
      <c r="B169" s="25" t="s">
        <v>110</v>
      </c>
      <c r="C169" s="31">
        <v>16</v>
      </c>
      <c r="D169" s="25" t="s">
        <v>364</v>
      </c>
      <c r="E169" s="25" t="s">
        <v>365</v>
      </c>
      <c r="F169" s="21" t="s">
        <v>365</v>
      </c>
      <c r="G169" s="21" t="str">
        <f>VLOOKUP(D169,[6]成飞半成品!$A:$B,2,0)</f>
        <v>卡箍扣</v>
      </c>
      <c r="H169" s="25" t="s">
        <v>154</v>
      </c>
      <c r="I169" s="25">
        <v>15</v>
      </c>
      <c r="J169" s="25" t="s">
        <v>1931</v>
      </c>
      <c r="K169" s="25">
        <v>20</v>
      </c>
      <c r="L169" s="25">
        <v>17</v>
      </c>
      <c r="M169" s="31">
        <v>31</v>
      </c>
      <c r="N169" s="31">
        <v>28</v>
      </c>
      <c r="O169" s="77" t="s">
        <v>221</v>
      </c>
      <c r="P169" s="25"/>
      <c r="Q169" s="25">
        <v>20</v>
      </c>
      <c r="R169" s="25"/>
      <c r="S169" s="25"/>
      <c r="T169" s="25"/>
      <c r="U169" s="25">
        <v>90</v>
      </c>
      <c r="V169" s="25"/>
      <c r="W169" s="25">
        <v>1</v>
      </c>
      <c r="X169" s="25"/>
      <c r="Y169" s="79">
        <v>7.2</v>
      </c>
      <c r="Z169" s="25" t="s">
        <v>38</v>
      </c>
      <c r="AA169" s="25" t="s">
        <v>264</v>
      </c>
      <c r="AB169" s="25"/>
    </row>
    <row r="170" spans="1:28" ht="23.1" customHeight="1" x14ac:dyDescent="0.25">
      <c r="A170" s="53" t="s">
        <v>329</v>
      </c>
      <c r="B170" s="25" t="s">
        <v>110</v>
      </c>
      <c r="C170" s="31">
        <v>11</v>
      </c>
      <c r="D170" s="25" t="s">
        <v>203</v>
      </c>
      <c r="E170" s="25" t="s">
        <v>317</v>
      </c>
      <c r="F170" s="21" t="s">
        <v>317</v>
      </c>
      <c r="G170" s="21" t="str">
        <f>VLOOKUP(D170,[6]成飞半成品!$A:$B,2,0)</f>
        <v>角盒</v>
      </c>
      <c r="H170" s="25" t="s">
        <v>154</v>
      </c>
      <c r="I170" s="25">
        <v>35</v>
      </c>
      <c r="J170" s="25" t="s">
        <v>1924</v>
      </c>
      <c r="K170" s="25">
        <v>10</v>
      </c>
      <c r="L170" s="25">
        <v>16</v>
      </c>
      <c r="M170" s="31">
        <v>9</v>
      </c>
      <c r="N170" s="31">
        <v>19</v>
      </c>
      <c r="O170" s="77" t="s">
        <v>366</v>
      </c>
      <c r="P170" s="25"/>
      <c r="Q170" s="25">
        <v>60</v>
      </c>
      <c r="R170" s="25"/>
      <c r="S170" s="25"/>
      <c r="T170" s="25"/>
      <c r="U170" s="25">
        <v>60</v>
      </c>
      <c r="V170" s="25"/>
      <c r="W170" s="25"/>
      <c r="X170" s="25"/>
      <c r="Y170" s="79">
        <v>16</v>
      </c>
      <c r="Z170" s="25" t="s">
        <v>38</v>
      </c>
      <c r="AA170" s="25"/>
      <c r="AB170" s="25"/>
    </row>
    <row r="171" spans="1:28" ht="23.1" customHeight="1" x14ac:dyDescent="0.25">
      <c r="A171" s="53" t="s">
        <v>329</v>
      </c>
      <c r="B171" s="25" t="s">
        <v>110</v>
      </c>
      <c r="C171" s="31">
        <v>17</v>
      </c>
      <c r="D171" s="25" t="s">
        <v>273</v>
      </c>
      <c r="E171" s="25" t="s">
        <v>368</v>
      </c>
      <c r="F171" s="21" t="s">
        <v>368</v>
      </c>
      <c r="G171" s="21" t="str">
        <f>VLOOKUP(D171,[6]成飞半成品!$A:$B,2,0)</f>
        <v>前起落架水平接头</v>
      </c>
      <c r="H171" s="25" t="s">
        <v>154</v>
      </c>
      <c r="I171" s="25">
        <v>47</v>
      </c>
      <c r="J171" s="25"/>
      <c r="K171" s="25">
        <v>2</v>
      </c>
      <c r="L171" s="25">
        <v>5</v>
      </c>
      <c r="M171" s="31">
        <v>28</v>
      </c>
      <c r="N171" s="31">
        <v>28</v>
      </c>
      <c r="O171" s="77" t="s">
        <v>369</v>
      </c>
      <c r="P171" s="25">
        <v>30</v>
      </c>
      <c r="Q171" s="25"/>
      <c r="R171" s="25"/>
      <c r="S171" s="25"/>
      <c r="T171" s="25"/>
      <c r="U171" s="25"/>
      <c r="V171" s="25">
        <v>60</v>
      </c>
      <c r="W171" s="25">
        <v>1</v>
      </c>
      <c r="X171" s="25"/>
      <c r="Y171" s="83">
        <v>3.5</v>
      </c>
      <c r="Z171" s="25" t="s">
        <v>0</v>
      </c>
      <c r="AA171" s="25" t="s">
        <v>210</v>
      </c>
      <c r="AB171" s="25"/>
    </row>
    <row r="172" spans="1:28" ht="23.1" customHeight="1" x14ac:dyDescent="0.25">
      <c r="A172" s="53" t="s">
        <v>329</v>
      </c>
      <c r="B172" s="25" t="s">
        <v>110</v>
      </c>
      <c r="C172" s="31">
        <v>58</v>
      </c>
      <c r="D172" s="25" t="s">
        <v>214</v>
      </c>
      <c r="E172" s="25" t="s">
        <v>215</v>
      </c>
      <c r="F172" s="21" t="s">
        <v>215</v>
      </c>
      <c r="G172" s="21" t="str">
        <f>VLOOKUP(D172,[6]成飞半成品!$A:$B,2,0)</f>
        <v>口盖</v>
      </c>
      <c r="H172" s="25" t="s">
        <v>118</v>
      </c>
      <c r="I172" s="25">
        <v>25</v>
      </c>
      <c r="J172" s="25" t="s">
        <v>1894</v>
      </c>
      <c r="K172" s="25">
        <v>1</v>
      </c>
      <c r="L172" s="25">
        <v>1</v>
      </c>
      <c r="M172" s="31"/>
      <c r="N172" s="31">
        <v>28</v>
      </c>
      <c r="O172" s="77" t="s">
        <v>216</v>
      </c>
      <c r="P172" s="25"/>
      <c r="Q172" s="25">
        <v>170</v>
      </c>
      <c r="R172" s="25"/>
      <c r="S172" s="25"/>
      <c r="T172" s="25"/>
      <c r="U172" s="25">
        <v>60</v>
      </c>
      <c r="V172" s="25"/>
      <c r="W172" s="25"/>
      <c r="X172" s="25">
        <v>2</v>
      </c>
      <c r="Y172" s="79">
        <v>4.8</v>
      </c>
      <c r="Z172" s="25" t="s">
        <v>7</v>
      </c>
      <c r="AA172" s="25" t="s">
        <v>370</v>
      </c>
      <c r="AB172" s="25" t="s">
        <v>238</v>
      </c>
    </row>
    <row r="173" spans="1:28" ht="23.1" customHeight="1" x14ac:dyDescent="0.25">
      <c r="A173" s="53" t="s">
        <v>329</v>
      </c>
      <c r="B173" s="25" t="s">
        <v>110</v>
      </c>
      <c r="C173" s="31">
        <v>24</v>
      </c>
      <c r="D173" s="25" t="s">
        <v>294</v>
      </c>
      <c r="E173" s="25" t="s">
        <v>259</v>
      </c>
      <c r="F173" s="21" t="s">
        <v>284</v>
      </c>
      <c r="G173" s="21" t="str">
        <f>VLOOKUP(D173,[6]成飞半成品!$A:$B,2,0)</f>
        <v>梁（左件）</v>
      </c>
      <c r="H173" s="25" t="s">
        <v>118</v>
      </c>
      <c r="I173" s="25">
        <v>45</v>
      </c>
      <c r="J173" s="25" t="s">
        <v>1920</v>
      </c>
      <c r="K173" s="25">
        <v>0.5</v>
      </c>
      <c r="L173" s="25">
        <v>3.4</v>
      </c>
      <c r="M173" s="31">
        <v>28</v>
      </c>
      <c r="N173" s="31">
        <v>26</v>
      </c>
      <c r="O173" s="77" t="s">
        <v>371</v>
      </c>
      <c r="P173" s="25"/>
      <c r="Q173" s="25">
        <v>300</v>
      </c>
      <c r="R173" s="25">
        <v>120</v>
      </c>
      <c r="S173" s="25"/>
      <c r="T173" s="25">
        <v>4</v>
      </c>
      <c r="U173" s="25">
        <v>120</v>
      </c>
      <c r="V173" s="25"/>
      <c r="W173" s="25"/>
      <c r="X173" s="25"/>
      <c r="Y173" s="79">
        <v>25</v>
      </c>
      <c r="Z173" s="25" t="s">
        <v>3</v>
      </c>
      <c r="AA173" s="25" t="s">
        <v>372</v>
      </c>
      <c r="AB173" s="25"/>
    </row>
    <row r="174" spans="1:28" ht="23.1" customHeight="1" x14ac:dyDescent="0.25">
      <c r="A174" s="53" t="s">
        <v>329</v>
      </c>
      <c r="B174" s="25" t="s">
        <v>110</v>
      </c>
      <c r="C174" s="31">
        <v>69</v>
      </c>
      <c r="D174" s="25" t="s">
        <v>169</v>
      </c>
      <c r="E174" s="25" t="s">
        <v>170</v>
      </c>
      <c r="F174" s="21" t="e">
        <v>#N/A</v>
      </c>
      <c r="G174" s="21" t="e">
        <f>VLOOKUP(D174,[6]成飞半成品!$A:$B,2,0)</f>
        <v>#N/A</v>
      </c>
      <c r="H174" s="25" t="s">
        <v>118</v>
      </c>
      <c r="I174" s="25">
        <v>25</v>
      </c>
      <c r="J174" s="25" t="s">
        <v>1887</v>
      </c>
      <c r="K174" s="25"/>
      <c r="L174" s="25">
        <v>1</v>
      </c>
      <c r="M174" s="31"/>
      <c r="N174" s="31">
        <v>28</v>
      </c>
      <c r="O174" s="77" t="s">
        <v>301</v>
      </c>
      <c r="P174" s="25"/>
      <c r="Q174" s="25">
        <v>630</v>
      </c>
      <c r="R174" s="25">
        <v>90</v>
      </c>
      <c r="S174" s="25"/>
      <c r="T174" s="25"/>
      <c r="U174" s="25">
        <v>180</v>
      </c>
      <c r="V174" s="25"/>
      <c r="W174" s="25">
        <v>1</v>
      </c>
      <c r="X174" s="25">
        <v>1</v>
      </c>
      <c r="Y174" s="79">
        <v>14.5</v>
      </c>
      <c r="Z174" s="25" t="s">
        <v>3</v>
      </c>
      <c r="AA174" s="25" t="s">
        <v>373</v>
      </c>
      <c r="AB174" s="25"/>
    </row>
    <row r="175" spans="1:28" ht="23.1" customHeight="1" x14ac:dyDescent="0.25">
      <c r="A175" s="53" t="s">
        <v>329</v>
      </c>
      <c r="B175" s="25" t="s">
        <v>110</v>
      </c>
      <c r="C175" s="31">
        <v>91</v>
      </c>
      <c r="D175" s="25" t="s">
        <v>298</v>
      </c>
      <c r="E175" s="25" t="s">
        <v>299</v>
      </c>
      <c r="F175" s="21" t="s">
        <v>299</v>
      </c>
      <c r="G175" s="21" t="str">
        <f>VLOOKUP(D175,[6]成飞半成品!$A:$B,2,0)</f>
        <v>8635右隔框</v>
      </c>
      <c r="H175" s="31" t="s">
        <v>300</v>
      </c>
      <c r="I175" s="25">
        <v>30</v>
      </c>
      <c r="J175" s="25" t="s">
        <v>1921</v>
      </c>
      <c r="K175" s="25">
        <v>1.5</v>
      </c>
      <c r="L175" s="25">
        <v>0.4</v>
      </c>
      <c r="M175" s="31">
        <v>28</v>
      </c>
      <c r="N175" s="31"/>
      <c r="O175" s="77" t="s">
        <v>301</v>
      </c>
      <c r="P175" s="25"/>
      <c r="Q175" s="25">
        <v>960</v>
      </c>
      <c r="R175" s="25">
        <v>120</v>
      </c>
      <c r="S175" s="25"/>
      <c r="T175" s="25"/>
      <c r="U175" s="25">
        <v>180</v>
      </c>
      <c r="V175" s="25"/>
      <c r="W175" s="25"/>
      <c r="X175" s="25"/>
      <c r="Y175" s="79">
        <v>6.4</v>
      </c>
      <c r="Z175" s="25" t="s">
        <v>3</v>
      </c>
      <c r="AA175" s="25"/>
      <c r="AB175" s="25"/>
    </row>
    <row r="176" spans="1:28" ht="23.1" customHeight="1" x14ac:dyDescent="0.25">
      <c r="A176" s="53" t="s">
        <v>329</v>
      </c>
      <c r="B176" s="25" t="s">
        <v>110</v>
      </c>
      <c r="C176" s="31">
        <v>91</v>
      </c>
      <c r="D176" s="25" t="s">
        <v>298</v>
      </c>
      <c r="E176" s="25" t="s">
        <v>299</v>
      </c>
      <c r="F176" s="21" t="s">
        <v>299</v>
      </c>
      <c r="G176" s="21" t="str">
        <f>VLOOKUP(D176,[6]成飞半成品!$A:$B,2,0)</f>
        <v>8635右隔框</v>
      </c>
      <c r="H176" s="31" t="s">
        <v>300</v>
      </c>
      <c r="I176" s="25">
        <v>32</v>
      </c>
      <c r="J176" s="25"/>
      <c r="K176" s="25"/>
      <c r="L176" s="25">
        <v>1</v>
      </c>
      <c r="M176" s="31">
        <v>28</v>
      </c>
      <c r="N176" s="31"/>
      <c r="O176" s="77" t="s">
        <v>301</v>
      </c>
      <c r="P176" s="25">
        <v>150</v>
      </c>
      <c r="Q176" s="25"/>
      <c r="R176" s="25"/>
      <c r="S176" s="25">
        <v>120</v>
      </c>
      <c r="T176" s="25">
        <v>1</v>
      </c>
      <c r="U176" s="25"/>
      <c r="V176" s="25"/>
      <c r="W176" s="25"/>
      <c r="X176" s="25"/>
      <c r="Y176" s="83">
        <v>4.5</v>
      </c>
      <c r="Z176" s="25" t="s">
        <v>3</v>
      </c>
      <c r="AA176" s="25"/>
      <c r="AB176" s="25"/>
    </row>
    <row r="177" spans="1:28" ht="23.1" customHeight="1" x14ac:dyDescent="0.25">
      <c r="A177" s="53" t="s">
        <v>329</v>
      </c>
      <c r="B177" s="25" t="s">
        <v>110</v>
      </c>
      <c r="C177" s="31">
        <v>84</v>
      </c>
      <c r="D177" s="31" t="s">
        <v>142</v>
      </c>
      <c r="E177" s="25" t="s">
        <v>133</v>
      </c>
      <c r="F177" s="21" t="s">
        <v>133</v>
      </c>
      <c r="G177" s="21" t="str">
        <f>VLOOKUP(D177,[6]成飞半成品!$A:$B,2,0)</f>
        <v>摇臂</v>
      </c>
      <c r="H177" s="31" t="s">
        <v>102</v>
      </c>
      <c r="I177" s="31">
        <v>25</v>
      </c>
      <c r="J177" s="37" t="s">
        <v>1933</v>
      </c>
      <c r="K177" s="31">
        <v>2</v>
      </c>
      <c r="L177" s="31">
        <v>2</v>
      </c>
      <c r="M177" s="37">
        <v>28</v>
      </c>
      <c r="N177" s="31">
        <v>28</v>
      </c>
      <c r="O177" s="77" t="s">
        <v>140</v>
      </c>
      <c r="P177" s="25"/>
      <c r="Q177" s="31">
        <v>70</v>
      </c>
      <c r="R177" s="31">
        <v>60</v>
      </c>
      <c r="S177" s="31"/>
      <c r="T177" s="31"/>
      <c r="U177" s="31">
        <v>90</v>
      </c>
      <c r="V177" s="31"/>
      <c r="W177" s="37">
        <v>1</v>
      </c>
      <c r="X177" s="37">
        <v>4</v>
      </c>
      <c r="Y177" s="79">
        <v>7.8</v>
      </c>
      <c r="Z177" s="31" t="s">
        <v>3</v>
      </c>
      <c r="AA177" s="37" t="s">
        <v>374</v>
      </c>
      <c r="AB177" s="37"/>
    </row>
    <row r="178" spans="1:28" ht="23.1" customHeight="1" x14ac:dyDescent="0.25">
      <c r="A178" s="53" t="s">
        <v>329</v>
      </c>
      <c r="B178" s="31" t="s">
        <v>110</v>
      </c>
      <c r="C178" s="31">
        <v>119</v>
      </c>
      <c r="D178" s="31" t="s">
        <v>254</v>
      </c>
      <c r="E178" s="25" t="s">
        <v>255</v>
      </c>
      <c r="F178" s="21" t="s">
        <v>1016</v>
      </c>
      <c r="G178" s="21" t="str">
        <f>VLOOKUP(D178,[6]成飞半成品!$A:$B,2,0)</f>
        <v>9350-11140右侧上梁</v>
      </c>
      <c r="H178" s="31" t="s">
        <v>375</v>
      </c>
      <c r="I178" s="31">
        <v>35</v>
      </c>
      <c r="J178" s="31" t="s">
        <v>1934</v>
      </c>
      <c r="K178" s="31">
        <v>5</v>
      </c>
      <c r="L178" s="31">
        <v>4</v>
      </c>
      <c r="M178" s="31">
        <v>28</v>
      </c>
      <c r="N178" s="31">
        <v>28</v>
      </c>
      <c r="O178" s="77" t="s">
        <v>376</v>
      </c>
      <c r="P178" s="31"/>
      <c r="Q178" s="34">
        <v>120</v>
      </c>
      <c r="R178" s="31">
        <v>90</v>
      </c>
      <c r="S178" s="31"/>
      <c r="T178" s="31">
        <v>4</v>
      </c>
      <c r="U178" s="31">
        <v>180</v>
      </c>
      <c r="V178" s="31"/>
      <c r="W178" s="31">
        <v>1</v>
      </c>
      <c r="X178" s="37"/>
      <c r="Y178" s="79">
        <v>17</v>
      </c>
      <c r="Z178" s="31" t="s">
        <v>3</v>
      </c>
      <c r="AA178" s="37" t="s">
        <v>377</v>
      </c>
      <c r="AB178" s="37"/>
    </row>
    <row r="179" spans="1:28" ht="23.1" customHeight="1" x14ac:dyDescent="0.25">
      <c r="A179" s="53" t="s">
        <v>329</v>
      </c>
      <c r="B179" s="31" t="s">
        <v>110</v>
      </c>
      <c r="C179" s="31">
        <v>59</v>
      </c>
      <c r="D179" s="31" t="s">
        <v>138</v>
      </c>
      <c r="E179" s="25" t="s">
        <v>139</v>
      </c>
      <c r="F179" s="21" t="s">
        <v>139</v>
      </c>
      <c r="G179" s="21" t="str">
        <f>VLOOKUP(D179,[6]成飞半成品!$A:$B,2,0)</f>
        <v>支座</v>
      </c>
      <c r="H179" s="31" t="s">
        <v>102</v>
      </c>
      <c r="I179" s="31">
        <v>40</v>
      </c>
      <c r="J179" s="31" t="s">
        <v>1913</v>
      </c>
      <c r="K179" s="31">
        <v>2</v>
      </c>
      <c r="L179" s="31">
        <v>1</v>
      </c>
      <c r="M179" s="31">
        <v>19</v>
      </c>
      <c r="N179" s="31">
        <v>31</v>
      </c>
      <c r="O179" s="77" t="s">
        <v>140</v>
      </c>
      <c r="P179" s="31"/>
      <c r="Q179" s="34">
        <v>90</v>
      </c>
      <c r="R179" s="31"/>
      <c r="S179" s="31"/>
      <c r="T179" s="31"/>
      <c r="U179" s="31">
        <v>120</v>
      </c>
      <c r="V179" s="31"/>
      <c r="W179" s="31">
        <v>1</v>
      </c>
      <c r="X179" s="37"/>
      <c r="Y179" s="79">
        <v>3.5</v>
      </c>
      <c r="Z179" s="31" t="s">
        <v>42</v>
      </c>
      <c r="AA179" s="37" t="s">
        <v>363</v>
      </c>
      <c r="AB179" s="37"/>
    </row>
    <row r="180" spans="1:28" ht="23.1" customHeight="1" x14ac:dyDescent="0.25">
      <c r="A180" s="53" t="s">
        <v>329</v>
      </c>
      <c r="B180" s="31" t="s">
        <v>137</v>
      </c>
      <c r="C180" s="31">
        <v>59</v>
      </c>
      <c r="D180" s="31" t="s">
        <v>138</v>
      </c>
      <c r="E180" s="25" t="s">
        <v>139</v>
      </c>
      <c r="F180" s="21" t="s">
        <v>139</v>
      </c>
      <c r="G180" s="21" t="str">
        <f>VLOOKUP(D180,[6]成飞半成品!$A:$B,2,0)</f>
        <v>支座</v>
      </c>
      <c r="H180" s="31" t="s">
        <v>102</v>
      </c>
      <c r="I180" s="31">
        <v>10</v>
      </c>
      <c r="J180" s="31" t="s">
        <v>1897</v>
      </c>
      <c r="K180" s="31">
        <v>1</v>
      </c>
      <c r="L180" s="31">
        <v>1</v>
      </c>
      <c r="M180" s="31">
        <v>37</v>
      </c>
      <c r="N180" s="31"/>
      <c r="O180" s="77" t="s">
        <v>140</v>
      </c>
      <c r="P180" s="31"/>
      <c r="Q180" s="34">
        <v>60</v>
      </c>
      <c r="R180" s="31"/>
      <c r="S180" s="31"/>
      <c r="T180" s="31"/>
      <c r="U180" s="31">
        <v>60</v>
      </c>
      <c r="V180" s="31"/>
      <c r="W180" s="31">
        <v>1</v>
      </c>
      <c r="X180" s="37"/>
      <c r="Y180" s="79">
        <v>2</v>
      </c>
      <c r="Z180" s="31" t="s">
        <v>6</v>
      </c>
      <c r="AA180" s="37"/>
      <c r="AB180" s="37"/>
    </row>
    <row r="181" spans="1:28" ht="23.1" customHeight="1" x14ac:dyDescent="0.25">
      <c r="A181" s="53" t="s">
        <v>329</v>
      </c>
      <c r="B181" s="31" t="s">
        <v>137</v>
      </c>
      <c r="C181" s="31">
        <v>58</v>
      </c>
      <c r="D181" s="85" t="s">
        <v>2551</v>
      </c>
      <c r="E181" s="25" t="s">
        <v>379</v>
      </c>
      <c r="F181" s="21" t="e">
        <v>#N/A</v>
      </c>
      <c r="G181" s="21" t="str">
        <f>VLOOKUP(D181,[6]成飞半成品!$A:$B,2,0)</f>
        <v>工装</v>
      </c>
      <c r="H181" s="31" t="s">
        <v>108</v>
      </c>
      <c r="I181" s="31">
        <v>10</v>
      </c>
      <c r="J181" s="31"/>
      <c r="K181" s="31">
        <v>1</v>
      </c>
      <c r="L181" s="31">
        <v>1</v>
      </c>
      <c r="M181" s="31"/>
      <c r="N181" s="31">
        <v>37</v>
      </c>
      <c r="O181" s="77" t="s">
        <v>108</v>
      </c>
      <c r="P181" s="31">
        <v>300</v>
      </c>
      <c r="Q181" s="34"/>
      <c r="R181" s="31"/>
      <c r="S181" s="31"/>
      <c r="T181" s="31"/>
      <c r="U181" s="31"/>
      <c r="V181" s="31"/>
      <c r="W181" s="31"/>
      <c r="X181" s="37"/>
      <c r="Y181" s="83">
        <v>5</v>
      </c>
      <c r="Z181" s="31" t="s">
        <v>57</v>
      </c>
      <c r="AA181" s="37" t="s">
        <v>380</v>
      </c>
      <c r="AB181" s="37"/>
    </row>
    <row r="182" spans="1:28" ht="23.1" customHeight="1" x14ac:dyDescent="0.25">
      <c r="A182" s="53" t="s">
        <v>329</v>
      </c>
      <c r="B182" s="31" t="s">
        <v>137</v>
      </c>
      <c r="C182" s="31">
        <v>58</v>
      </c>
      <c r="D182" s="85" t="s">
        <v>2551</v>
      </c>
      <c r="E182" s="25" t="s">
        <v>382</v>
      </c>
      <c r="F182" s="21" t="e">
        <v>#N/A</v>
      </c>
      <c r="G182" s="21" t="str">
        <f>VLOOKUP(D182,[6]成飞半成品!$A:$B,2,0)</f>
        <v>工装</v>
      </c>
      <c r="H182" s="31" t="s">
        <v>108</v>
      </c>
      <c r="I182" s="31">
        <v>10</v>
      </c>
      <c r="J182" s="31"/>
      <c r="K182" s="31">
        <v>1</v>
      </c>
      <c r="L182" s="31">
        <v>1</v>
      </c>
      <c r="M182" s="31"/>
      <c r="N182" s="31">
        <v>37</v>
      </c>
      <c r="O182" s="77" t="s">
        <v>108</v>
      </c>
      <c r="P182" s="31">
        <v>360</v>
      </c>
      <c r="Q182" s="34"/>
      <c r="R182" s="31"/>
      <c r="S182" s="31"/>
      <c r="T182" s="31"/>
      <c r="U182" s="31"/>
      <c r="V182" s="31"/>
      <c r="W182" s="31"/>
      <c r="X182" s="37"/>
      <c r="Y182" s="83">
        <v>6</v>
      </c>
      <c r="Z182" s="31" t="s">
        <v>57</v>
      </c>
      <c r="AA182" s="37"/>
      <c r="AB182" s="37"/>
    </row>
    <row r="183" spans="1:28" ht="23.1" customHeight="1" x14ac:dyDescent="0.25">
      <c r="A183" s="53" t="s">
        <v>329</v>
      </c>
      <c r="B183" s="31" t="s">
        <v>137</v>
      </c>
      <c r="C183" s="31">
        <v>9</v>
      </c>
      <c r="D183" s="31" t="s">
        <v>229</v>
      </c>
      <c r="E183" s="25" t="s">
        <v>230</v>
      </c>
      <c r="F183" s="21" t="s">
        <v>230</v>
      </c>
      <c r="G183" s="21" t="str">
        <f>VLOOKUP(D183,[6]成飞半成品!$A:$B,2,0)</f>
        <v>前起落架舱门结构支撑梁</v>
      </c>
      <c r="H183" s="31" t="s">
        <v>154</v>
      </c>
      <c r="I183" s="31">
        <v>20</v>
      </c>
      <c r="J183" s="31" t="s">
        <v>1908</v>
      </c>
      <c r="K183" s="31">
        <v>1</v>
      </c>
      <c r="L183" s="31">
        <v>1</v>
      </c>
      <c r="M183" s="31">
        <v>26</v>
      </c>
      <c r="N183" s="31"/>
      <c r="O183" s="77" t="s">
        <v>307</v>
      </c>
      <c r="P183" s="31"/>
      <c r="Q183" s="34">
        <v>190</v>
      </c>
      <c r="R183" s="31"/>
      <c r="S183" s="31"/>
      <c r="T183" s="31"/>
      <c r="U183" s="31">
        <v>60</v>
      </c>
      <c r="V183" s="31"/>
      <c r="W183" s="31"/>
      <c r="X183" s="37"/>
      <c r="Y183" s="79">
        <v>3.2</v>
      </c>
      <c r="Z183" s="31" t="s">
        <v>23</v>
      </c>
      <c r="AA183" s="37"/>
      <c r="AB183" s="37"/>
    </row>
    <row r="184" spans="1:28" ht="23.1" customHeight="1" x14ac:dyDescent="0.25">
      <c r="A184" s="53" t="s">
        <v>329</v>
      </c>
      <c r="B184" s="31" t="s">
        <v>137</v>
      </c>
      <c r="C184" s="31">
        <v>9</v>
      </c>
      <c r="D184" s="31" t="s">
        <v>229</v>
      </c>
      <c r="E184" s="25" t="s">
        <v>230</v>
      </c>
      <c r="F184" s="21" t="s">
        <v>230</v>
      </c>
      <c r="G184" s="21" t="str">
        <f>VLOOKUP(D184,[6]成飞半成品!$A:$B,2,0)</f>
        <v>前起落架舱门结构支撑梁</v>
      </c>
      <c r="H184" s="31" t="s">
        <v>154</v>
      </c>
      <c r="I184" s="31">
        <v>25</v>
      </c>
      <c r="J184" s="31" t="s">
        <v>1894</v>
      </c>
      <c r="K184" s="31">
        <v>2</v>
      </c>
      <c r="L184" s="31">
        <v>2</v>
      </c>
      <c r="M184" s="31">
        <v>26</v>
      </c>
      <c r="N184" s="31">
        <v>28</v>
      </c>
      <c r="O184" s="77" t="s">
        <v>275</v>
      </c>
      <c r="P184" s="31"/>
      <c r="Q184" s="34">
        <v>140</v>
      </c>
      <c r="R184" s="31"/>
      <c r="S184" s="31"/>
      <c r="T184" s="31"/>
      <c r="U184" s="31">
        <v>60</v>
      </c>
      <c r="V184" s="31"/>
      <c r="W184" s="31">
        <v>1</v>
      </c>
      <c r="X184" s="37">
        <v>2</v>
      </c>
      <c r="Y184" s="79">
        <v>7.7</v>
      </c>
      <c r="Z184" s="31" t="s">
        <v>23</v>
      </c>
      <c r="AA184" s="37" t="s">
        <v>383</v>
      </c>
      <c r="AB184" s="25" t="s">
        <v>238</v>
      </c>
    </row>
    <row r="185" spans="1:28" ht="23.1" customHeight="1" x14ac:dyDescent="0.25">
      <c r="A185" s="53" t="s">
        <v>329</v>
      </c>
      <c r="B185" s="31" t="s">
        <v>137</v>
      </c>
      <c r="C185" s="31">
        <v>58</v>
      </c>
      <c r="D185" s="31" t="s">
        <v>214</v>
      </c>
      <c r="E185" s="25" t="s">
        <v>215</v>
      </c>
      <c r="F185" s="21" t="s">
        <v>215</v>
      </c>
      <c r="G185" s="21" t="str">
        <f>VLOOKUP(D185,[6]成飞半成品!$A:$B,2,0)</f>
        <v>口盖</v>
      </c>
      <c r="H185" s="31" t="s">
        <v>118</v>
      </c>
      <c r="I185" s="31">
        <v>25</v>
      </c>
      <c r="J185" s="31" t="s">
        <v>1894</v>
      </c>
      <c r="K185" s="31">
        <v>1</v>
      </c>
      <c r="L185" s="31">
        <v>1</v>
      </c>
      <c r="M185" s="31">
        <v>37</v>
      </c>
      <c r="N185" s="31"/>
      <c r="O185" s="77" t="s">
        <v>164</v>
      </c>
      <c r="P185" s="31"/>
      <c r="Q185" s="34">
        <v>170</v>
      </c>
      <c r="R185" s="31"/>
      <c r="S185" s="31"/>
      <c r="T185" s="31"/>
      <c r="U185" s="31">
        <v>60</v>
      </c>
      <c r="V185" s="31"/>
      <c r="W185" s="31"/>
      <c r="X185" s="37"/>
      <c r="Y185" s="79">
        <v>2.8</v>
      </c>
      <c r="Z185" s="31" t="s">
        <v>57</v>
      </c>
      <c r="AA185" s="37"/>
      <c r="AB185" s="37"/>
    </row>
    <row r="186" spans="1:28" ht="23.1" customHeight="1" x14ac:dyDescent="0.25">
      <c r="A186" s="53" t="s">
        <v>329</v>
      </c>
      <c r="B186" s="31" t="s">
        <v>137</v>
      </c>
      <c r="C186" s="31">
        <v>17</v>
      </c>
      <c r="D186" s="31" t="s">
        <v>352</v>
      </c>
      <c r="E186" s="25" t="s">
        <v>353</v>
      </c>
      <c r="F186" s="21" t="e">
        <v>#N/A</v>
      </c>
      <c r="G186" s="21" t="e">
        <f>VLOOKUP(D186,[6]成飞半成品!$A:$B,2,0)</f>
        <v>#N/A</v>
      </c>
      <c r="H186" s="31" t="s">
        <v>300</v>
      </c>
      <c r="I186" s="31">
        <v>5</v>
      </c>
      <c r="J186" s="31" t="s">
        <v>1930</v>
      </c>
      <c r="K186" s="31">
        <v>8</v>
      </c>
      <c r="L186" s="31">
        <v>9</v>
      </c>
      <c r="M186" s="31">
        <v>26</v>
      </c>
      <c r="N186" s="31">
        <v>26</v>
      </c>
      <c r="O186" s="77" t="s">
        <v>384</v>
      </c>
      <c r="P186" s="31"/>
      <c r="Q186" s="34">
        <v>40</v>
      </c>
      <c r="R186" s="31"/>
      <c r="S186" s="31"/>
      <c r="T186" s="31"/>
      <c r="U186" s="31">
        <v>60</v>
      </c>
      <c r="V186" s="31"/>
      <c r="W186" s="31"/>
      <c r="X186" s="37"/>
      <c r="Y186" s="79">
        <v>6</v>
      </c>
      <c r="Z186" s="31" t="s">
        <v>14</v>
      </c>
      <c r="AA186" s="37"/>
      <c r="AB186" s="37"/>
    </row>
    <row r="187" spans="1:28" ht="23.1" customHeight="1" x14ac:dyDescent="0.25">
      <c r="A187" s="53" t="s">
        <v>329</v>
      </c>
      <c r="B187" s="31" t="s">
        <v>137</v>
      </c>
      <c r="C187" s="31">
        <v>11</v>
      </c>
      <c r="D187" s="31" t="s">
        <v>200</v>
      </c>
      <c r="E187" s="25" t="s">
        <v>317</v>
      </c>
      <c r="F187" s="21" t="s">
        <v>317</v>
      </c>
      <c r="G187" s="21" t="str">
        <f>VLOOKUP(D187,[6]成飞半成品!$A:$B,2,0)</f>
        <v>角盒</v>
      </c>
      <c r="H187" s="31" t="s">
        <v>154</v>
      </c>
      <c r="I187" s="31">
        <v>40</v>
      </c>
      <c r="J187" s="31" t="s">
        <v>1857</v>
      </c>
      <c r="K187" s="31">
        <v>3</v>
      </c>
      <c r="L187" s="31">
        <v>2</v>
      </c>
      <c r="M187" s="31">
        <v>26</v>
      </c>
      <c r="N187" s="31">
        <v>5</v>
      </c>
      <c r="O187" s="77" t="s">
        <v>219</v>
      </c>
      <c r="P187" s="31"/>
      <c r="Q187" s="34">
        <v>260</v>
      </c>
      <c r="R187" s="31"/>
      <c r="S187" s="31"/>
      <c r="T187" s="31"/>
      <c r="U187" s="31">
        <v>90</v>
      </c>
      <c r="V187" s="31"/>
      <c r="W187" s="31">
        <v>1</v>
      </c>
      <c r="X187" s="37"/>
      <c r="Y187" s="79">
        <v>10.199999999999999</v>
      </c>
      <c r="Z187" s="31" t="s">
        <v>71</v>
      </c>
      <c r="AA187" s="37" t="s">
        <v>385</v>
      </c>
      <c r="AB187" s="37"/>
    </row>
    <row r="188" spans="1:28" ht="23.1" customHeight="1" x14ac:dyDescent="0.25">
      <c r="A188" s="53" t="s">
        <v>329</v>
      </c>
      <c r="B188" s="31" t="s">
        <v>137</v>
      </c>
      <c r="C188" s="31">
        <v>16</v>
      </c>
      <c r="D188" s="31" t="s">
        <v>364</v>
      </c>
      <c r="E188" s="25" t="s">
        <v>365</v>
      </c>
      <c r="F188" s="21" t="s">
        <v>365</v>
      </c>
      <c r="G188" s="21" t="str">
        <f>VLOOKUP(D188,[6]成飞半成品!$A:$B,2,0)</f>
        <v>卡箍扣</v>
      </c>
      <c r="H188" s="31" t="s">
        <v>154</v>
      </c>
      <c r="I188" s="31">
        <v>15</v>
      </c>
      <c r="J188" s="31" t="s">
        <v>1931</v>
      </c>
      <c r="K188" s="31">
        <v>25</v>
      </c>
      <c r="L188" s="31">
        <v>26</v>
      </c>
      <c r="M188" s="31">
        <v>37</v>
      </c>
      <c r="N188" s="31">
        <v>37</v>
      </c>
      <c r="O188" s="77" t="s">
        <v>221</v>
      </c>
      <c r="P188" s="31"/>
      <c r="Q188" s="34">
        <v>20</v>
      </c>
      <c r="R188" s="31"/>
      <c r="S188" s="31"/>
      <c r="T188" s="31"/>
      <c r="U188" s="31">
        <v>90</v>
      </c>
      <c r="V188" s="31"/>
      <c r="W188" s="31"/>
      <c r="X188" s="37"/>
      <c r="Y188" s="79">
        <v>8.6999999999999993</v>
      </c>
      <c r="Z188" s="31" t="s">
        <v>71</v>
      </c>
      <c r="AA188" s="37"/>
      <c r="AB188" s="37"/>
    </row>
    <row r="189" spans="1:28" ht="23.1" customHeight="1" x14ac:dyDescent="0.25">
      <c r="A189" s="53" t="s">
        <v>329</v>
      </c>
      <c r="B189" s="31" t="s">
        <v>137</v>
      </c>
      <c r="C189" s="31">
        <v>16</v>
      </c>
      <c r="D189" s="31" t="s">
        <v>364</v>
      </c>
      <c r="E189" s="25" t="s">
        <v>365</v>
      </c>
      <c r="F189" s="21" t="s">
        <v>365</v>
      </c>
      <c r="G189" s="21" t="str">
        <f>VLOOKUP(D189,[6]成飞半成品!$A:$B,2,0)</f>
        <v>卡箍扣</v>
      </c>
      <c r="H189" s="31" t="s">
        <v>154</v>
      </c>
      <c r="I189" s="31">
        <v>20</v>
      </c>
      <c r="J189" s="31" t="s">
        <v>1936</v>
      </c>
      <c r="K189" s="31">
        <v>10</v>
      </c>
      <c r="L189" s="31">
        <v>35</v>
      </c>
      <c r="M189" s="31">
        <v>37</v>
      </c>
      <c r="N189" s="31">
        <v>26</v>
      </c>
      <c r="O189" s="77" t="s">
        <v>221</v>
      </c>
      <c r="P189" s="31"/>
      <c r="Q189" s="34">
        <v>20</v>
      </c>
      <c r="R189" s="31"/>
      <c r="S189" s="31"/>
      <c r="T189" s="31"/>
      <c r="U189" s="31">
        <v>60</v>
      </c>
      <c r="V189" s="31"/>
      <c r="W189" s="31">
        <v>1</v>
      </c>
      <c r="X189" s="37"/>
      <c r="Y189" s="79">
        <v>12.7</v>
      </c>
      <c r="Z189" s="31" t="s">
        <v>71</v>
      </c>
      <c r="AA189" s="37" t="s">
        <v>386</v>
      </c>
      <c r="AB189" s="37"/>
    </row>
    <row r="190" spans="1:28" ht="23.1" customHeight="1" x14ac:dyDescent="0.25">
      <c r="A190" s="53" t="s">
        <v>329</v>
      </c>
      <c r="B190" s="31" t="s">
        <v>137</v>
      </c>
      <c r="C190" s="31">
        <v>18</v>
      </c>
      <c r="D190" s="31" t="s">
        <v>205</v>
      </c>
      <c r="E190" s="25" t="s">
        <v>206</v>
      </c>
      <c r="F190" s="21" t="s">
        <v>206</v>
      </c>
      <c r="G190" s="21" t="str">
        <f>VLOOKUP(D190,[6]成飞半成品!$A:$B,2,0)</f>
        <v>卡环</v>
      </c>
      <c r="H190" s="31" t="s">
        <v>123</v>
      </c>
      <c r="I190" s="31">
        <v>25</v>
      </c>
      <c r="J190" s="31" t="s">
        <v>1892</v>
      </c>
      <c r="K190" s="31">
        <v>1</v>
      </c>
      <c r="L190" s="31">
        <v>1.2</v>
      </c>
      <c r="M190" s="31">
        <v>26</v>
      </c>
      <c r="N190" s="31">
        <v>26</v>
      </c>
      <c r="O190" s="77" t="s">
        <v>387</v>
      </c>
      <c r="P190" s="31"/>
      <c r="Q190" s="34">
        <v>720</v>
      </c>
      <c r="R190" s="31"/>
      <c r="S190" s="31"/>
      <c r="T190" s="31"/>
      <c r="U190" s="31">
        <v>90</v>
      </c>
      <c r="V190" s="31"/>
      <c r="W190" s="31"/>
      <c r="X190" s="37"/>
      <c r="Y190" s="79">
        <v>14.4</v>
      </c>
      <c r="Z190" s="31" t="s">
        <v>14</v>
      </c>
      <c r="AA190" s="37"/>
      <c r="AB190" s="37"/>
    </row>
    <row r="191" spans="1:28" ht="23.1" customHeight="1" x14ac:dyDescent="0.25">
      <c r="A191" s="53" t="s">
        <v>329</v>
      </c>
      <c r="B191" s="31" t="s">
        <v>137</v>
      </c>
      <c r="C191" s="31">
        <v>10</v>
      </c>
      <c r="D191" s="31" t="s">
        <v>388</v>
      </c>
      <c r="E191" s="25" t="s">
        <v>389</v>
      </c>
      <c r="F191" s="21" t="s">
        <v>389</v>
      </c>
      <c r="G191" s="21" t="str">
        <f>VLOOKUP(D191,[6]成飞半成品!$A:$B,2,0)</f>
        <v>11968下口盖</v>
      </c>
      <c r="H191" s="31" t="s">
        <v>300</v>
      </c>
      <c r="I191" s="31">
        <v>8</v>
      </c>
      <c r="J191" s="31"/>
      <c r="K191" s="31">
        <v>15</v>
      </c>
      <c r="L191" s="31">
        <v>20</v>
      </c>
      <c r="M191" s="31">
        <v>37</v>
      </c>
      <c r="N191" s="31">
        <v>23</v>
      </c>
      <c r="O191" s="77" t="s">
        <v>390</v>
      </c>
      <c r="P191" s="31">
        <v>40</v>
      </c>
      <c r="Q191" s="34"/>
      <c r="R191" s="31"/>
      <c r="S191" s="31"/>
      <c r="T191" s="31"/>
      <c r="U191" s="31"/>
      <c r="V191" s="31">
        <v>60</v>
      </c>
      <c r="W191" s="31">
        <v>1</v>
      </c>
      <c r="X191" s="37"/>
      <c r="Y191" s="83">
        <v>14.3</v>
      </c>
      <c r="Z191" s="31" t="s">
        <v>23</v>
      </c>
      <c r="AA191" s="37" t="s">
        <v>264</v>
      </c>
      <c r="AB191" s="37"/>
    </row>
    <row r="192" spans="1:28" ht="23.1" customHeight="1" x14ac:dyDescent="0.25">
      <c r="A192" s="53" t="s">
        <v>329</v>
      </c>
      <c r="B192" s="25" t="s">
        <v>137</v>
      </c>
      <c r="C192" s="31">
        <v>24</v>
      </c>
      <c r="D192" s="31" t="s">
        <v>294</v>
      </c>
      <c r="E192" s="25" t="s">
        <v>259</v>
      </c>
      <c r="F192" s="21" t="s">
        <v>284</v>
      </c>
      <c r="G192" s="21" t="str">
        <f>VLOOKUP(D192,[6]成飞半成品!$A:$B,2,0)</f>
        <v>梁（左件）</v>
      </c>
      <c r="H192" s="31" t="s">
        <v>118</v>
      </c>
      <c r="I192" s="31">
        <v>45</v>
      </c>
      <c r="J192" s="37" t="s">
        <v>1920</v>
      </c>
      <c r="K192" s="31">
        <v>4</v>
      </c>
      <c r="L192" s="31">
        <v>3.6</v>
      </c>
      <c r="M192" s="37">
        <v>37</v>
      </c>
      <c r="N192" s="31">
        <v>26</v>
      </c>
      <c r="O192" s="77" t="s">
        <v>391</v>
      </c>
      <c r="P192" s="25"/>
      <c r="Q192" s="31">
        <v>300</v>
      </c>
      <c r="R192" s="31">
        <v>120</v>
      </c>
      <c r="S192" s="31"/>
      <c r="T192" s="31">
        <v>3</v>
      </c>
      <c r="U192" s="31">
        <v>120</v>
      </c>
      <c r="V192" s="31"/>
      <c r="W192" s="37"/>
      <c r="X192" s="37"/>
      <c r="Y192" s="79">
        <v>24</v>
      </c>
      <c r="Z192" s="31" t="s">
        <v>52</v>
      </c>
      <c r="AA192" s="37" t="s">
        <v>125</v>
      </c>
      <c r="AB192" s="37"/>
    </row>
    <row r="193" spans="1:28" ht="23.1" customHeight="1" x14ac:dyDescent="0.25">
      <c r="A193" s="53" t="s">
        <v>329</v>
      </c>
      <c r="B193" s="25" t="s">
        <v>137</v>
      </c>
      <c r="C193" s="31">
        <v>24</v>
      </c>
      <c r="D193" s="31" t="s">
        <v>294</v>
      </c>
      <c r="E193" s="25" t="s">
        <v>259</v>
      </c>
      <c r="F193" s="21" t="s">
        <v>979</v>
      </c>
      <c r="G193" s="21" t="str">
        <f>VLOOKUP(D193,[6]成飞半成品!$A:$B,2,0)</f>
        <v>梁（左件）</v>
      </c>
      <c r="H193" s="31" t="s">
        <v>118</v>
      </c>
      <c r="I193" s="31">
        <v>45</v>
      </c>
      <c r="J193" s="37" t="s">
        <v>1920</v>
      </c>
      <c r="K193" s="31"/>
      <c r="L193" s="31">
        <v>0.4</v>
      </c>
      <c r="M193" s="37"/>
      <c r="N193" s="31">
        <v>5</v>
      </c>
      <c r="O193" s="77" t="s">
        <v>393</v>
      </c>
      <c r="P193" s="25"/>
      <c r="Q193" s="31">
        <v>300</v>
      </c>
      <c r="R193" s="31">
        <v>120</v>
      </c>
      <c r="S193" s="31"/>
      <c r="T193" s="31">
        <v>1</v>
      </c>
      <c r="U193" s="31">
        <v>120</v>
      </c>
      <c r="V193" s="31"/>
      <c r="W193" s="37">
        <v>1</v>
      </c>
      <c r="X193" s="37"/>
      <c r="Y193" s="79">
        <v>6</v>
      </c>
      <c r="Z193" s="31" t="s">
        <v>52</v>
      </c>
      <c r="AA193" s="37" t="s">
        <v>394</v>
      </c>
      <c r="AB193" s="37"/>
    </row>
    <row r="194" spans="1:28" ht="23.1" customHeight="1" x14ac:dyDescent="0.25">
      <c r="A194" s="53" t="s">
        <v>329</v>
      </c>
      <c r="B194" s="25" t="s">
        <v>137</v>
      </c>
      <c r="C194" s="31">
        <v>69</v>
      </c>
      <c r="D194" s="31" t="s">
        <v>395</v>
      </c>
      <c r="E194" s="25" t="s">
        <v>396</v>
      </c>
      <c r="F194" s="21" t="e">
        <v>#N/A</v>
      </c>
      <c r="G194" s="21" t="e">
        <f>VLOOKUP(D194,[6]成飞半成品!$A:$B,2,0)</f>
        <v>#N/A</v>
      </c>
      <c r="H194" s="31" t="s">
        <v>300</v>
      </c>
      <c r="I194" s="31">
        <v>25</v>
      </c>
      <c r="J194" s="37" t="s">
        <v>1937</v>
      </c>
      <c r="K194" s="31">
        <v>2</v>
      </c>
      <c r="L194" s="31">
        <v>2</v>
      </c>
      <c r="M194" s="37">
        <v>26</v>
      </c>
      <c r="N194" s="31">
        <v>37</v>
      </c>
      <c r="O194" s="77" t="s">
        <v>397</v>
      </c>
      <c r="P194" s="25"/>
      <c r="Q194" s="31">
        <v>370</v>
      </c>
      <c r="R194" s="31">
        <v>90</v>
      </c>
      <c r="S194" s="31"/>
      <c r="T194" s="31">
        <v>1</v>
      </c>
      <c r="U194" s="31">
        <v>60</v>
      </c>
      <c r="V194" s="31"/>
      <c r="W194" s="37">
        <v>1</v>
      </c>
      <c r="X194" s="37">
        <v>4</v>
      </c>
      <c r="Y194" s="79">
        <v>18.8</v>
      </c>
      <c r="Z194" s="31" t="s">
        <v>52</v>
      </c>
      <c r="AA194" s="37" t="s">
        <v>398</v>
      </c>
      <c r="AB194" s="37"/>
    </row>
    <row r="195" spans="1:28" ht="23.1" customHeight="1" x14ac:dyDescent="0.25">
      <c r="A195" s="53" t="s">
        <v>329</v>
      </c>
      <c r="B195" s="25" t="s">
        <v>137</v>
      </c>
      <c r="C195" s="31">
        <v>91</v>
      </c>
      <c r="D195" s="31" t="s">
        <v>298</v>
      </c>
      <c r="E195" s="25" t="s">
        <v>299</v>
      </c>
      <c r="F195" s="21" t="s">
        <v>299</v>
      </c>
      <c r="G195" s="21" t="str">
        <f>VLOOKUP(D195,[6]成飞半成品!$A:$B,2,0)</f>
        <v>8635右隔框</v>
      </c>
      <c r="H195" s="31" t="s">
        <v>300</v>
      </c>
      <c r="I195" s="31">
        <v>30</v>
      </c>
      <c r="J195" s="37" t="s">
        <v>1921</v>
      </c>
      <c r="K195" s="31">
        <v>1</v>
      </c>
      <c r="L195" s="31">
        <v>0.8</v>
      </c>
      <c r="M195" s="37"/>
      <c r="N195" s="31">
        <v>23</v>
      </c>
      <c r="O195" s="77" t="s">
        <v>399</v>
      </c>
      <c r="P195" s="25"/>
      <c r="Q195" s="31">
        <v>960</v>
      </c>
      <c r="R195" s="31">
        <v>120</v>
      </c>
      <c r="S195" s="31"/>
      <c r="T195" s="31">
        <v>1</v>
      </c>
      <c r="U195" s="31">
        <v>180</v>
      </c>
      <c r="V195" s="31"/>
      <c r="W195" s="37"/>
      <c r="X195" s="37"/>
      <c r="Y195" s="79">
        <v>14.8</v>
      </c>
      <c r="Z195" s="31" t="s">
        <v>52</v>
      </c>
      <c r="AA195" s="37" t="s">
        <v>400</v>
      </c>
      <c r="AB195" s="37"/>
    </row>
    <row r="196" spans="1:28" ht="23.1" customHeight="1" x14ac:dyDescent="0.25">
      <c r="A196" s="53" t="s">
        <v>329</v>
      </c>
      <c r="B196" s="31" t="s">
        <v>137</v>
      </c>
      <c r="C196" s="31">
        <v>84</v>
      </c>
      <c r="D196" s="31" t="s">
        <v>401</v>
      </c>
      <c r="E196" s="25" t="s">
        <v>402</v>
      </c>
      <c r="F196" s="21" t="s">
        <v>2549</v>
      </c>
      <c r="G196" s="21" t="str">
        <f>VLOOKUP(D196,[6]成飞半成品!$A:$B,2,0)</f>
        <v>1号护板维型肋右件</v>
      </c>
      <c r="H196" s="31" t="s">
        <v>154</v>
      </c>
      <c r="I196" s="31">
        <v>25</v>
      </c>
      <c r="J196" s="31" t="s">
        <v>1938</v>
      </c>
      <c r="K196" s="31">
        <v>11</v>
      </c>
      <c r="L196" s="31">
        <v>8</v>
      </c>
      <c r="M196" s="31">
        <v>26</v>
      </c>
      <c r="N196" s="31">
        <v>5</v>
      </c>
      <c r="O196" s="77" t="s">
        <v>247</v>
      </c>
      <c r="P196" s="31"/>
      <c r="Q196" s="34">
        <v>60</v>
      </c>
      <c r="R196" s="31">
        <v>60</v>
      </c>
      <c r="S196" s="31"/>
      <c r="T196" s="31">
        <v>1</v>
      </c>
      <c r="U196" s="31">
        <v>120</v>
      </c>
      <c r="V196" s="31"/>
      <c r="W196" s="31">
        <v>1</v>
      </c>
      <c r="X196" s="37">
        <v>4</v>
      </c>
      <c r="Y196" s="79">
        <v>15</v>
      </c>
      <c r="Z196" s="31" t="s">
        <v>52</v>
      </c>
      <c r="AA196" s="37" t="s">
        <v>403</v>
      </c>
      <c r="AB196" s="37"/>
    </row>
    <row r="197" spans="1:28" ht="23.1" customHeight="1" x14ac:dyDescent="0.25">
      <c r="A197" s="53" t="s">
        <v>329</v>
      </c>
      <c r="B197" s="31" t="s">
        <v>137</v>
      </c>
      <c r="C197" s="31">
        <v>119</v>
      </c>
      <c r="D197" s="31" t="s">
        <v>254</v>
      </c>
      <c r="E197" s="25" t="s">
        <v>255</v>
      </c>
      <c r="F197" s="21" t="s">
        <v>1016</v>
      </c>
      <c r="G197" s="21" t="str">
        <f>VLOOKUP(D197,[6]成飞半成品!$A:$B,2,0)</f>
        <v>9350-11140右侧上梁</v>
      </c>
      <c r="H197" s="31" t="s">
        <v>375</v>
      </c>
      <c r="I197" s="31">
        <v>35</v>
      </c>
      <c r="J197" s="31" t="s">
        <v>1934</v>
      </c>
      <c r="K197" s="31">
        <v>2</v>
      </c>
      <c r="L197" s="31">
        <v>1</v>
      </c>
      <c r="M197" s="31"/>
      <c r="N197" s="31">
        <v>26</v>
      </c>
      <c r="O197" s="77" t="s">
        <v>256</v>
      </c>
      <c r="P197" s="31"/>
      <c r="Q197" s="34">
        <v>120</v>
      </c>
      <c r="R197" s="31">
        <v>90</v>
      </c>
      <c r="S197" s="31"/>
      <c r="T197" s="31"/>
      <c r="U197" s="31">
        <v>180</v>
      </c>
      <c r="V197" s="31"/>
      <c r="W197" s="31"/>
      <c r="X197" s="37"/>
      <c r="Y197" s="79">
        <v>2</v>
      </c>
      <c r="Z197" s="31" t="s">
        <v>52</v>
      </c>
      <c r="AA197" s="37"/>
      <c r="AB197" s="37"/>
    </row>
    <row r="198" spans="1:28" ht="23.1" customHeight="1" x14ac:dyDescent="0.25">
      <c r="A198" s="53" t="s">
        <v>329</v>
      </c>
      <c r="B198" s="31" t="s">
        <v>137</v>
      </c>
      <c r="C198" s="31">
        <v>59</v>
      </c>
      <c r="D198" s="31" t="s">
        <v>138</v>
      </c>
      <c r="E198" s="25" t="s">
        <v>139</v>
      </c>
      <c r="F198" s="21" t="s">
        <v>139</v>
      </c>
      <c r="G198" s="21" t="str">
        <f>VLOOKUP(D198,[6]成飞半成品!$A:$B,2,0)</f>
        <v>支座</v>
      </c>
      <c r="H198" s="31" t="s">
        <v>102</v>
      </c>
      <c r="I198" s="31">
        <v>15</v>
      </c>
      <c r="J198" s="31" t="s">
        <v>1852</v>
      </c>
      <c r="K198" s="31">
        <v>1</v>
      </c>
      <c r="L198" s="31">
        <v>1</v>
      </c>
      <c r="M198" s="31">
        <v>26</v>
      </c>
      <c r="N198" s="31"/>
      <c r="O198" s="77" t="s">
        <v>140</v>
      </c>
      <c r="P198" s="31"/>
      <c r="Q198" s="34">
        <v>20</v>
      </c>
      <c r="R198" s="31"/>
      <c r="S198" s="31"/>
      <c r="T198" s="31"/>
      <c r="U198" s="31">
        <v>60</v>
      </c>
      <c r="V198" s="31"/>
      <c r="W198" s="31">
        <v>1</v>
      </c>
      <c r="X198" s="37"/>
      <c r="Y198" s="79">
        <v>1.3</v>
      </c>
      <c r="Z198" s="31" t="s">
        <v>6</v>
      </c>
      <c r="AA198" s="37"/>
      <c r="AB198" s="37"/>
    </row>
    <row r="199" spans="1:28" ht="23.1" customHeight="1" x14ac:dyDescent="0.25">
      <c r="A199" s="53" t="s">
        <v>329</v>
      </c>
      <c r="B199" s="31" t="s">
        <v>137</v>
      </c>
      <c r="C199" s="31">
        <v>59</v>
      </c>
      <c r="D199" s="31" t="s">
        <v>138</v>
      </c>
      <c r="E199" s="25" t="s">
        <v>139</v>
      </c>
      <c r="F199" s="21" t="s">
        <v>139</v>
      </c>
      <c r="G199" s="21" t="str">
        <f>VLOOKUP(D199,[6]成飞半成品!$A:$B,2,0)</f>
        <v>支座</v>
      </c>
      <c r="H199" s="31" t="s">
        <v>102</v>
      </c>
      <c r="I199" s="31">
        <v>20</v>
      </c>
      <c r="J199" s="31" t="s">
        <v>1880</v>
      </c>
      <c r="K199" s="31">
        <v>1</v>
      </c>
      <c r="L199" s="31">
        <v>1</v>
      </c>
      <c r="M199" s="31"/>
      <c r="N199" s="31">
        <v>5</v>
      </c>
      <c r="O199" s="77" t="s">
        <v>140</v>
      </c>
      <c r="P199" s="31"/>
      <c r="Q199" s="34">
        <v>60</v>
      </c>
      <c r="R199" s="31"/>
      <c r="S199" s="31"/>
      <c r="T199" s="31"/>
      <c r="U199" s="31">
        <v>120</v>
      </c>
      <c r="V199" s="31"/>
      <c r="W199" s="31">
        <v>1</v>
      </c>
      <c r="X199" s="37"/>
      <c r="Y199" s="79">
        <v>3</v>
      </c>
      <c r="Z199" s="31" t="s">
        <v>6</v>
      </c>
      <c r="AA199" s="37"/>
      <c r="AB199" s="37"/>
    </row>
    <row r="200" spans="1:28" ht="23.1" customHeight="1" x14ac:dyDescent="0.25">
      <c r="A200" s="53" t="s">
        <v>329</v>
      </c>
      <c r="B200" s="31" t="s">
        <v>137</v>
      </c>
      <c r="C200" s="31">
        <v>59</v>
      </c>
      <c r="D200" s="31" t="s">
        <v>138</v>
      </c>
      <c r="E200" s="25" t="s">
        <v>139</v>
      </c>
      <c r="F200" s="21" t="s">
        <v>139</v>
      </c>
      <c r="G200" s="21" t="str">
        <f>VLOOKUP(D200,[6]成飞半成品!$A:$B,2,0)</f>
        <v>支座</v>
      </c>
      <c r="H200" s="31" t="s">
        <v>102</v>
      </c>
      <c r="I200" s="31">
        <v>25</v>
      </c>
      <c r="J200" s="31" t="s">
        <v>1850</v>
      </c>
      <c r="K200" s="31">
        <v>1</v>
      </c>
      <c r="L200" s="31">
        <v>1</v>
      </c>
      <c r="M200" s="31"/>
      <c r="N200" s="31">
        <v>5</v>
      </c>
      <c r="O200" s="77" t="s">
        <v>140</v>
      </c>
      <c r="P200" s="31"/>
      <c r="Q200" s="34">
        <v>30</v>
      </c>
      <c r="R200" s="31"/>
      <c r="S200" s="31"/>
      <c r="T200" s="31"/>
      <c r="U200" s="31">
        <v>60</v>
      </c>
      <c r="V200" s="31"/>
      <c r="W200" s="31">
        <v>1</v>
      </c>
      <c r="X200" s="37">
        <v>4</v>
      </c>
      <c r="Y200" s="79">
        <v>5.5</v>
      </c>
      <c r="Z200" s="31" t="s">
        <v>6</v>
      </c>
      <c r="AA200" s="37"/>
      <c r="AB200" s="37"/>
    </row>
    <row r="201" spans="1:28" ht="23.1" customHeight="1" x14ac:dyDescent="0.25">
      <c r="A201" s="53" t="s">
        <v>329</v>
      </c>
      <c r="B201" s="31" t="s">
        <v>137</v>
      </c>
      <c r="C201" s="31">
        <v>119</v>
      </c>
      <c r="D201" s="31" t="s">
        <v>404</v>
      </c>
      <c r="E201" s="25" t="s">
        <v>405</v>
      </c>
      <c r="F201" s="21" t="s">
        <v>405</v>
      </c>
      <c r="G201" s="21" t="str">
        <f>VLOOKUP(D201,[6]成飞半成品!$A:$B,2,0)</f>
        <v>11140框右下半框</v>
      </c>
      <c r="H201" s="31" t="s">
        <v>118</v>
      </c>
      <c r="I201" s="31">
        <v>40</v>
      </c>
      <c r="J201" s="31" t="s">
        <v>1939</v>
      </c>
      <c r="K201" s="31">
        <v>1</v>
      </c>
      <c r="L201" s="31">
        <v>1</v>
      </c>
      <c r="M201" s="31"/>
      <c r="N201" s="31">
        <v>37</v>
      </c>
      <c r="O201" s="77" t="s">
        <v>247</v>
      </c>
      <c r="P201" s="31"/>
      <c r="Q201" s="34">
        <v>150</v>
      </c>
      <c r="R201" s="31">
        <v>75</v>
      </c>
      <c r="S201" s="31"/>
      <c r="T201" s="31"/>
      <c r="U201" s="31">
        <v>150</v>
      </c>
      <c r="V201" s="31"/>
      <c r="W201" s="31">
        <v>1</v>
      </c>
      <c r="X201" s="37">
        <v>4</v>
      </c>
      <c r="Y201" s="79">
        <v>9</v>
      </c>
      <c r="Z201" s="31" t="s">
        <v>52</v>
      </c>
      <c r="AA201" s="37" t="s">
        <v>406</v>
      </c>
      <c r="AB201" s="37"/>
    </row>
    <row r="202" spans="1:28" ht="23.1" customHeight="1" x14ac:dyDescent="0.25">
      <c r="A202" s="53" t="s">
        <v>329</v>
      </c>
      <c r="B202" s="31" t="s">
        <v>113</v>
      </c>
      <c r="C202" s="31">
        <v>77</v>
      </c>
      <c r="D202" s="31" t="s">
        <v>280</v>
      </c>
      <c r="E202" s="25" t="s">
        <v>281</v>
      </c>
      <c r="F202" s="21" t="s">
        <v>281</v>
      </c>
      <c r="G202" s="21" t="str">
        <f>VLOOKUP(D202,[6]成飞半成品!$A:$B,2,0)</f>
        <v>4#上垫片</v>
      </c>
      <c r="H202" s="31" t="s">
        <v>154</v>
      </c>
      <c r="I202" s="31">
        <v>15</v>
      </c>
      <c r="J202" s="31" t="s">
        <v>1856</v>
      </c>
      <c r="K202" s="31">
        <v>4</v>
      </c>
      <c r="L202" s="31">
        <v>4</v>
      </c>
      <c r="M202" s="31">
        <v>31</v>
      </c>
      <c r="N202" s="31">
        <v>31</v>
      </c>
      <c r="O202" s="77" t="s">
        <v>351</v>
      </c>
      <c r="P202" s="31"/>
      <c r="Q202" s="34">
        <v>90</v>
      </c>
      <c r="R202" s="31"/>
      <c r="S202" s="31"/>
      <c r="T202" s="31"/>
      <c r="U202" s="31">
        <v>90</v>
      </c>
      <c r="V202" s="31"/>
      <c r="W202" s="31"/>
      <c r="X202" s="37"/>
      <c r="Y202" s="79">
        <v>6</v>
      </c>
      <c r="Z202" s="31" t="s">
        <v>12</v>
      </c>
      <c r="AA202" s="37"/>
      <c r="AB202" s="37"/>
    </row>
    <row r="203" spans="1:28" ht="23.1" customHeight="1" x14ac:dyDescent="0.25">
      <c r="A203" s="53" t="s">
        <v>329</v>
      </c>
      <c r="B203" s="31" t="s">
        <v>113</v>
      </c>
      <c r="C203" s="31">
        <v>22</v>
      </c>
      <c r="D203" s="31" t="s">
        <v>111</v>
      </c>
      <c r="E203" s="25" t="s">
        <v>101</v>
      </c>
      <c r="F203" s="21" t="s">
        <v>101</v>
      </c>
      <c r="G203" s="21" t="str">
        <f>VLOOKUP(D203,[6]成飞半成品!$A:$B,2,0)</f>
        <v>前梁一段</v>
      </c>
      <c r="H203" s="31" t="s">
        <v>102</v>
      </c>
      <c r="I203" s="31">
        <v>35</v>
      </c>
      <c r="J203" s="31" t="s">
        <v>1940</v>
      </c>
      <c r="K203" s="31">
        <v>0.7</v>
      </c>
      <c r="L203" s="31">
        <v>0.5</v>
      </c>
      <c r="M203" s="31"/>
      <c r="N203" s="31">
        <v>37</v>
      </c>
      <c r="O203" s="77" t="s">
        <v>103</v>
      </c>
      <c r="P203" s="31"/>
      <c r="Q203" s="34">
        <v>2100</v>
      </c>
      <c r="R203" s="31">
        <v>180</v>
      </c>
      <c r="S203" s="31"/>
      <c r="T203" s="31">
        <v>1</v>
      </c>
      <c r="U203" s="31">
        <v>180</v>
      </c>
      <c r="V203" s="31"/>
      <c r="W203" s="31">
        <v>1</v>
      </c>
      <c r="X203" s="37"/>
      <c r="Y203" s="79">
        <v>23.5</v>
      </c>
      <c r="Z203" s="31" t="s">
        <v>49</v>
      </c>
      <c r="AA203" s="37" t="s">
        <v>407</v>
      </c>
      <c r="AB203" s="37"/>
    </row>
    <row r="204" spans="1:28" ht="23.1" customHeight="1" x14ac:dyDescent="0.25">
      <c r="A204" s="53" t="s">
        <v>329</v>
      </c>
      <c r="B204" s="31" t="s">
        <v>113</v>
      </c>
      <c r="C204" s="31">
        <v>9</v>
      </c>
      <c r="D204" s="31" t="s">
        <v>229</v>
      </c>
      <c r="E204" s="25" t="s">
        <v>230</v>
      </c>
      <c r="F204" s="21" t="s">
        <v>230</v>
      </c>
      <c r="G204" s="21" t="str">
        <f>VLOOKUP(D204,[6]成飞半成品!$A:$B,2,0)</f>
        <v>前起落架舱门结构支撑梁</v>
      </c>
      <c r="H204" s="31" t="s">
        <v>154</v>
      </c>
      <c r="I204" s="31">
        <v>25</v>
      </c>
      <c r="J204" s="31" t="s">
        <v>1894</v>
      </c>
      <c r="K204" s="31">
        <v>4</v>
      </c>
      <c r="L204" s="31">
        <v>5</v>
      </c>
      <c r="M204" s="31">
        <v>28</v>
      </c>
      <c r="N204" s="31">
        <v>28</v>
      </c>
      <c r="O204" s="77" t="s">
        <v>275</v>
      </c>
      <c r="P204" s="31"/>
      <c r="Q204" s="34">
        <v>140</v>
      </c>
      <c r="R204" s="31"/>
      <c r="S204" s="31"/>
      <c r="T204" s="31"/>
      <c r="U204" s="31">
        <v>60</v>
      </c>
      <c r="V204" s="31"/>
      <c r="W204" s="31"/>
      <c r="X204" s="37"/>
      <c r="Y204" s="79">
        <v>11.7</v>
      </c>
      <c r="Z204" s="31" t="s">
        <v>30</v>
      </c>
      <c r="AA204" s="37"/>
      <c r="AB204" s="37"/>
    </row>
    <row r="205" spans="1:28" ht="23.1" customHeight="1" x14ac:dyDescent="0.25">
      <c r="A205" s="53" t="s">
        <v>329</v>
      </c>
      <c r="B205" s="31" t="s">
        <v>113</v>
      </c>
      <c r="C205" s="31">
        <v>10</v>
      </c>
      <c r="D205" s="31" t="s">
        <v>388</v>
      </c>
      <c r="E205" s="25" t="s">
        <v>389</v>
      </c>
      <c r="F205" s="21" t="s">
        <v>389</v>
      </c>
      <c r="G205" s="21" t="str">
        <f>VLOOKUP(D205,[6]成飞半成品!$A:$B,2,0)</f>
        <v>11968下口盖</v>
      </c>
      <c r="H205" s="31" t="s">
        <v>300</v>
      </c>
      <c r="I205" s="31">
        <v>10</v>
      </c>
      <c r="J205" s="31" t="s">
        <v>1941</v>
      </c>
      <c r="K205" s="31">
        <v>5</v>
      </c>
      <c r="L205" s="31">
        <v>10</v>
      </c>
      <c r="M205" s="31">
        <v>23</v>
      </c>
      <c r="N205" s="31">
        <v>19</v>
      </c>
      <c r="O205" s="77" t="s">
        <v>282</v>
      </c>
      <c r="P205" s="31"/>
      <c r="Q205" s="34">
        <v>60</v>
      </c>
      <c r="R205" s="31"/>
      <c r="S205" s="31"/>
      <c r="T205" s="31"/>
      <c r="U205" s="31">
        <v>120</v>
      </c>
      <c r="V205" s="31"/>
      <c r="W205" s="31"/>
      <c r="X205" s="37"/>
      <c r="Y205" s="79">
        <v>10</v>
      </c>
      <c r="Z205" s="31" t="s">
        <v>30</v>
      </c>
      <c r="AA205" s="37"/>
      <c r="AB205" s="37"/>
    </row>
    <row r="206" spans="1:28" ht="23.1" customHeight="1" x14ac:dyDescent="0.25">
      <c r="A206" s="53" t="s">
        <v>329</v>
      </c>
      <c r="B206" s="31" t="s">
        <v>113</v>
      </c>
      <c r="C206" s="31">
        <v>57</v>
      </c>
      <c r="D206" s="31" t="s">
        <v>408</v>
      </c>
      <c r="E206" s="25" t="s">
        <v>409</v>
      </c>
      <c r="F206" s="21" t="s">
        <v>409</v>
      </c>
      <c r="G206" s="21" t="str">
        <f>VLOOKUP(D206,[6]成飞半成品!$A:$B,2,0)</f>
        <v>接头</v>
      </c>
      <c r="H206" s="31" t="s">
        <v>107</v>
      </c>
      <c r="I206" s="31">
        <v>10</v>
      </c>
      <c r="J206" s="31" t="s">
        <v>1942</v>
      </c>
      <c r="K206" s="31"/>
      <c r="L206" s="31">
        <v>15</v>
      </c>
      <c r="M206" s="31">
        <v>28</v>
      </c>
      <c r="N206" s="31">
        <v>28</v>
      </c>
      <c r="O206" s="77" t="s">
        <v>410</v>
      </c>
      <c r="P206" s="31"/>
      <c r="Q206" s="34">
        <v>30</v>
      </c>
      <c r="R206" s="31"/>
      <c r="S206" s="31"/>
      <c r="T206" s="31"/>
      <c r="U206" s="31">
        <v>60</v>
      </c>
      <c r="V206" s="31"/>
      <c r="W206" s="31"/>
      <c r="X206" s="37"/>
      <c r="Y206" s="79">
        <v>7.5</v>
      </c>
      <c r="Z206" s="65" t="s">
        <v>1847</v>
      </c>
      <c r="AA206" s="37"/>
      <c r="AB206" s="37"/>
    </row>
    <row r="207" spans="1:28" ht="23.1" customHeight="1" x14ac:dyDescent="0.25">
      <c r="A207" s="53" t="s">
        <v>329</v>
      </c>
      <c r="B207" s="31" t="s">
        <v>137</v>
      </c>
      <c r="C207" s="31">
        <v>119</v>
      </c>
      <c r="D207" s="31" t="s">
        <v>404</v>
      </c>
      <c r="E207" s="25" t="s">
        <v>405</v>
      </c>
      <c r="F207" s="21" t="s">
        <v>405</v>
      </c>
      <c r="G207" s="21" t="str">
        <f>VLOOKUP(D207,[6]成飞半成品!$A:$B,2,0)</f>
        <v>11140框右下半框</v>
      </c>
      <c r="H207" s="31" t="s">
        <v>118</v>
      </c>
      <c r="I207" s="31">
        <v>45</v>
      </c>
      <c r="J207" s="31" t="s">
        <v>1943</v>
      </c>
      <c r="K207" s="31">
        <v>1</v>
      </c>
      <c r="L207" s="31">
        <v>1</v>
      </c>
      <c r="M207" s="31"/>
      <c r="N207" s="31">
        <v>37</v>
      </c>
      <c r="O207" s="77" t="s">
        <v>247</v>
      </c>
      <c r="P207" s="31"/>
      <c r="Q207" s="34">
        <v>60</v>
      </c>
      <c r="R207" s="31">
        <v>75</v>
      </c>
      <c r="S207" s="31"/>
      <c r="T207" s="31"/>
      <c r="U207" s="31">
        <v>150</v>
      </c>
      <c r="V207" s="31"/>
      <c r="W207" s="31">
        <v>1</v>
      </c>
      <c r="X207" s="37">
        <v>4</v>
      </c>
      <c r="Y207" s="79">
        <v>7.5</v>
      </c>
      <c r="Z207" s="31" t="s">
        <v>52</v>
      </c>
      <c r="AA207" s="37" t="s">
        <v>406</v>
      </c>
      <c r="AB207" s="37"/>
    </row>
    <row r="208" spans="1:28" ht="23.1" customHeight="1" x14ac:dyDescent="0.25">
      <c r="A208" s="53" t="s">
        <v>329</v>
      </c>
      <c r="B208" s="31" t="s">
        <v>137</v>
      </c>
      <c r="C208" s="31">
        <v>119</v>
      </c>
      <c r="D208" s="31" t="s">
        <v>404</v>
      </c>
      <c r="E208" s="25" t="s">
        <v>405</v>
      </c>
      <c r="F208" s="21" t="s">
        <v>405</v>
      </c>
      <c r="G208" s="21" t="str">
        <f>VLOOKUP(D208,[6]成飞半成品!$A:$B,2,0)</f>
        <v>11140框右下半框</v>
      </c>
      <c r="H208" s="31" t="s">
        <v>118</v>
      </c>
      <c r="I208" s="31">
        <v>50</v>
      </c>
      <c r="J208" s="31" t="s">
        <v>1944</v>
      </c>
      <c r="K208" s="31">
        <v>1</v>
      </c>
      <c r="L208" s="31">
        <v>1</v>
      </c>
      <c r="M208" s="31"/>
      <c r="N208" s="31">
        <v>37</v>
      </c>
      <c r="O208" s="77" t="s">
        <v>247</v>
      </c>
      <c r="P208" s="31"/>
      <c r="Q208" s="34">
        <v>120</v>
      </c>
      <c r="R208" s="31">
        <v>75</v>
      </c>
      <c r="S208" s="31"/>
      <c r="T208" s="31"/>
      <c r="U208" s="31">
        <v>150</v>
      </c>
      <c r="V208" s="31"/>
      <c r="W208" s="31">
        <v>1</v>
      </c>
      <c r="X208" s="37">
        <v>4</v>
      </c>
      <c r="Y208" s="79">
        <v>8.5</v>
      </c>
      <c r="Z208" s="31" t="s">
        <v>52</v>
      </c>
      <c r="AA208" s="37" t="s">
        <v>406</v>
      </c>
      <c r="AB208" s="37"/>
    </row>
    <row r="209" spans="1:28" ht="23.1" customHeight="1" x14ac:dyDescent="0.25">
      <c r="A209" s="53" t="s">
        <v>329</v>
      </c>
      <c r="B209" s="31" t="s">
        <v>113</v>
      </c>
      <c r="C209" s="31">
        <v>59</v>
      </c>
      <c r="D209" s="31" t="s">
        <v>138</v>
      </c>
      <c r="E209" s="25" t="s">
        <v>139</v>
      </c>
      <c r="F209" s="21" t="s">
        <v>139</v>
      </c>
      <c r="G209" s="21" t="str">
        <f>VLOOKUP(D209,[6]成飞半成品!$A:$B,2,0)</f>
        <v>支座</v>
      </c>
      <c r="H209" s="31" t="s">
        <v>102</v>
      </c>
      <c r="I209" s="31">
        <v>30</v>
      </c>
      <c r="J209" s="31" t="s">
        <v>1912</v>
      </c>
      <c r="K209" s="31">
        <v>1</v>
      </c>
      <c r="L209" s="31">
        <v>1</v>
      </c>
      <c r="M209" s="31">
        <v>5</v>
      </c>
      <c r="N209" s="31">
        <v>31</v>
      </c>
      <c r="O209" s="77" t="s">
        <v>140</v>
      </c>
      <c r="P209" s="31"/>
      <c r="Q209" s="34">
        <v>70</v>
      </c>
      <c r="R209" s="31"/>
      <c r="S209" s="31"/>
      <c r="T209" s="31"/>
      <c r="U209" s="31">
        <v>120</v>
      </c>
      <c r="V209" s="31"/>
      <c r="W209" s="31">
        <v>1</v>
      </c>
      <c r="X209" s="37"/>
      <c r="Y209" s="79">
        <v>3.2</v>
      </c>
      <c r="Z209" s="65" t="s">
        <v>1847</v>
      </c>
      <c r="AA209" s="37" t="s">
        <v>411</v>
      </c>
      <c r="AB209" s="37"/>
    </row>
    <row r="210" spans="1:28" ht="23.1" customHeight="1" x14ac:dyDescent="0.25">
      <c r="A210" s="53" t="s">
        <v>329</v>
      </c>
      <c r="B210" s="31" t="s">
        <v>113</v>
      </c>
      <c r="C210" s="31">
        <v>15</v>
      </c>
      <c r="D210" s="31" t="s">
        <v>217</v>
      </c>
      <c r="E210" s="25" t="s">
        <v>218</v>
      </c>
      <c r="F210" s="21" t="s">
        <v>218</v>
      </c>
      <c r="G210" s="21" t="str">
        <f>VLOOKUP(D210,[6]成飞半成品!$A:$B,2,0)</f>
        <v>横梁</v>
      </c>
      <c r="H210" s="31" t="s">
        <v>107</v>
      </c>
      <c r="I210" s="31">
        <v>45</v>
      </c>
      <c r="J210" s="31" t="s">
        <v>1927</v>
      </c>
      <c r="K210" s="31">
        <v>1.5</v>
      </c>
      <c r="L210" s="31">
        <v>3.5</v>
      </c>
      <c r="M210" s="31">
        <v>26</v>
      </c>
      <c r="N210" s="31">
        <v>19</v>
      </c>
      <c r="O210" s="77" t="s">
        <v>219</v>
      </c>
      <c r="P210" s="31"/>
      <c r="Q210" s="34">
        <v>420</v>
      </c>
      <c r="R210" s="31"/>
      <c r="S210" s="31"/>
      <c r="T210" s="31"/>
      <c r="U210" s="31">
        <v>90</v>
      </c>
      <c r="V210" s="31"/>
      <c r="W210" s="31"/>
      <c r="X210" s="37"/>
      <c r="Y210" s="79">
        <v>24.5</v>
      </c>
      <c r="Z210" s="31" t="s">
        <v>60</v>
      </c>
      <c r="AA210" s="37"/>
      <c r="AB210" s="37"/>
    </row>
    <row r="211" spans="1:28" ht="23.1" customHeight="1" x14ac:dyDescent="0.25">
      <c r="A211" s="53" t="s">
        <v>329</v>
      </c>
      <c r="B211" s="31" t="s">
        <v>113</v>
      </c>
      <c r="C211" s="31">
        <v>76</v>
      </c>
      <c r="D211" s="31" t="s">
        <v>280</v>
      </c>
      <c r="E211" s="25" t="s">
        <v>281</v>
      </c>
      <c r="F211" s="21" t="s">
        <v>281</v>
      </c>
      <c r="G211" s="21" t="str">
        <f>VLOOKUP(D211,[6]成飞半成品!$A:$B,2,0)</f>
        <v>4#上垫片</v>
      </c>
      <c r="H211" s="31" t="s">
        <v>154</v>
      </c>
      <c r="I211" s="31">
        <v>15</v>
      </c>
      <c r="J211" s="31" t="s">
        <v>1926</v>
      </c>
      <c r="K211" s="31">
        <v>7</v>
      </c>
      <c r="L211" s="31">
        <v>7</v>
      </c>
      <c r="M211" s="31">
        <v>5</v>
      </c>
      <c r="N211" s="31">
        <v>31</v>
      </c>
      <c r="O211" s="77" t="s">
        <v>412</v>
      </c>
      <c r="P211" s="31"/>
      <c r="Q211" s="34">
        <v>90</v>
      </c>
      <c r="R211" s="31"/>
      <c r="S211" s="31"/>
      <c r="T211" s="31"/>
      <c r="U211" s="31">
        <v>90</v>
      </c>
      <c r="V211" s="31"/>
      <c r="W211" s="31"/>
      <c r="X211" s="37"/>
      <c r="Y211" s="79">
        <v>10.5</v>
      </c>
      <c r="Z211" s="31" t="s">
        <v>12</v>
      </c>
      <c r="AA211" s="37"/>
      <c r="AB211" s="37"/>
    </row>
    <row r="212" spans="1:28" ht="23.1" customHeight="1" x14ac:dyDescent="0.25">
      <c r="A212" s="53" t="s">
        <v>329</v>
      </c>
      <c r="B212" s="25" t="s">
        <v>113</v>
      </c>
      <c r="C212" s="31">
        <v>21</v>
      </c>
      <c r="D212" s="31" t="s">
        <v>321</v>
      </c>
      <c r="E212" s="25" t="s">
        <v>322</v>
      </c>
      <c r="F212" s="21" t="s">
        <v>322</v>
      </c>
      <c r="G212" s="21" t="str">
        <f>VLOOKUP(D212,[6]成飞半成品!$A:$B,2,0)</f>
        <v>10860框</v>
      </c>
      <c r="H212" s="31" t="s">
        <v>323</v>
      </c>
      <c r="I212" s="31">
        <v>5</v>
      </c>
      <c r="J212" s="37" t="s">
        <v>1945</v>
      </c>
      <c r="K212" s="31">
        <v>2</v>
      </c>
      <c r="L212" s="31">
        <v>2</v>
      </c>
      <c r="M212" s="31">
        <v>5</v>
      </c>
      <c r="N212" s="31">
        <v>5</v>
      </c>
      <c r="O212" s="77" t="s">
        <v>413</v>
      </c>
      <c r="P212" s="25"/>
      <c r="Q212" s="31">
        <v>540</v>
      </c>
      <c r="R212" s="31">
        <v>120</v>
      </c>
      <c r="S212" s="31"/>
      <c r="T212" s="31">
        <v>2</v>
      </c>
      <c r="U212" s="31">
        <v>180</v>
      </c>
      <c r="V212" s="31"/>
      <c r="W212" s="37">
        <v>1</v>
      </c>
      <c r="X212" s="37"/>
      <c r="Y212" s="79">
        <v>25</v>
      </c>
      <c r="Z212" s="31" t="s">
        <v>49</v>
      </c>
      <c r="AA212" s="37" t="s">
        <v>325</v>
      </c>
      <c r="AB212" s="37"/>
    </row>
    <row r="213" spans="1:28" ht="23.1" customHeight="1" x14ac:dyDescent="0.25">
      <c r="A213" s="53" t="s">
        <v>329</v>
      </c>
      <c r="B213" s="25" t="s">
        <v>113</v>
      </c>
      <c r="C213" s="31">
        <v>14</v>
      </c>
      <c r="D213" s="31" t="s">
        <v>276</v>
      </c>
      <c r="E213" s="25" t="s">
        <v>277</v>
      </c>
      <c r="F213" s="21" t="s">
        <v>277</v>
      </c>
      <c r="G213" s="21" t="str">
        <f>VLOOKUP(D213,[6]成飞半成品!$A:$B,2,0)</f>
        <v>左外侧接头</v>
      </c>
      <c r="H213" s="31" t="s">
        <v>154</v>
      </c>
      <c r="I213" s="31">
        <v>50</v>
      </c>
      <c r="J213" s="37" t="s">
        <v>1899</v>
      </c>
      <c r="K213" s="31">
        <v>0.4</v>
      </c>
      <c r="L213" s="31">
        <v>0.4</v>
      </c>
      <c r="M213" s="31"/>
      <c r="N213" s="31">
        <v>37</v>
      </c>
      <c r="O213" s="77" t="s">
        <v>234</v>
      </c>
      <c r="P213" s="25"/>
      <c r="Q213" s="31">
        <v>2640</v>
      </c>
      <c r="R213" s="31"/>
      <c r="S213" s="31"/>
      <c r="T213" s="31"/>
      <c r="U213" s="31">
        <v>90</v>
      </c>
      <c r="V213" s="31"/>
      <c r="W213" s="37"/>
      <c r="X213" s="37"/>
      <c r="Y213" s="79">
        <v>17.600000000000001</v>
      </c>
      <c r="Z213" s="31" t="s">
        <v>60</v>
      </c>
      <c r="AA213" s="37"/>
      <c r="AB213" s="37"/>
    </row>
    <row r="214" spans="1:28" ht="23.1" customHeight="1" x14ac:dyDescent="0.25">
      <c r="A214" s="53" t="s">
        <v>329</v>
      </c>
      <c r="B214" s="25" t="s">
        <v>113</v>
      </c>
      <c r="C214" s="31">
        <v>107</v>
      </c>
      <c r="D214" s="31" t="s">
        <v>177</v>
      </c>
      <c r="E214" s="25" t="s">
        <v>133</v>
      </c>
      <c r="F214" s="21" t="s">
        <v>133</v>
      </c>
      <c r="G214" s="21" t="str">
        <f>VLOOKUP(D214,[6]成飞半成品!$A:$B,2,0)</f>
        <v>摇臂</v>
      </c>
      <c r="H214" s="31" t="s">
        <v>102</v>
      </c>
      <c r="I214" s="31">
        <v>105</v>
      </c>
      <c r="J214" s="37" t="s">
        <v>1890</v>
      </c>
      <c r="K214" s="31">
        <v>0.6</v>
      </c>
      <c r="L214" s="31">
        <v>0.6</v>
      </c>
      <c r="M214" s="31"/>
      <c r="N214" s="31">
        <v>5</v>
      </c>
      <c r="O214" s="77" t="s">
        <v>103</v>
      </c>
      <c r="P214" s="25"/>
      <c r="Q214" s="31">
        <v>150</v>
      </c>
      <c r="R214" s="31">
        <v>60</v>
      </c>
      <c r="S214" s="31"/>
      <c r="T214" s="31"/>
      <c r="U214" s="31">
        <v>120</v>
      </c>
      <c r="V214" s="31"/>
      <c r="W214" s="37"/>
      <c r="X214" s="37"/>
      <c r="Y214" s="79">
        <v>1.5</v>
      </c>
      <c r="Z214" s="31" t="s">
        <v>13</v>
      </c>
      <c r="AA214" s="37" t="s">
        <v>414</v>
      </c>
      <c r="AB214" s="37" t="s">
        <v>193</v>
      </c>
    </row>
    <row r="215" spans="1:28" ht="23.1" customHeight="1" x14ac:dyDescent="0.25">
      <c r="A215" s="53" t="s">
        <v>329</v>
      </c>
      <c r="B215" s="25" t="s">
        <v>113</v>
      </c>
      <c r="C215" s="31">
        <v>55</v>
      </c>
      <c r="D215" s="31" t="s">
        <v>415</v>
      </c>
      <c r="E215" s="25" t="s">
        <v>416</v>
      </c>
      <c r="F215" s="21" t="s">
        <v>416</v>
      </c>
      <c r="G215" s="21" t="str">
        <f>VLOOKUP(D215,[6]成飞半成品!$A:$B,2,0)</f>
        <v>三通管接头</v>
      </c>
      <c r="H215" s="31" t="s">
        <v>154</v>
      </c>
      <c r="I215" s="31">
        <v>15</v>
      </c>
      <c r="J215" s="37" t="s">
        <v>1946</v>
      </c>
      <c r="K215" s="31">
        <v>14</v>
      </c>
      <c r="L215" s="31">
        <v>18</v>
      </c>
      <c r="M215" s="31" t="s">
        <v>417</v>
      </c>
      <c r="N215" s="31">
        <v>5</v>
      </c>
      <c r="O215" s="77" t="s">
        <v>418</v>
      </c>
      <c r="P215" s="25"/>
      <c r="Q215" s="31">
        <v>45</v>
      </c>
      <c r="R215" s="31"/>
      <c r="S215" s="31"/>
      <c r="T215" s="31"/>
      <c r="U215" s="31">
        <v>60</v>
      </c>
      <c r="V215" s="31"/>
      <c r="W215" s="37"/>
      <c r="X215" s="37"/>
      <c r="Y215" s="79">
        <v>13.5</v>
      </c>
      <c r="Z215" s="31" t="s">
        <v>18</v>
      </c>
      <c r="AA215" s="37"/>
      <c r="AB215" s="37"/>
    </row>
    <row r="216" spans="1:28" ht="23.1" customHeight="1" x14ac:dyDescent="0.25">
      <c r="A216" s="53" t="s">
        <v>329</v>
      </c>
      <c r="B216" s="25" t="s">
        <v>113</v>
      </c>
      <c r="C216" s="31">
        <v>56</v>
      </c>
      <c r="D216" s="31" t="s">
        <v>273</v>
      </c>
      <c r="E216" s="25" t="s">
        <v>274</v>
      </c>
      <c r="F216" s="21" t="s">
        <v>274</v>
      </c>
      <c r="G216" s="21" t="str">
        <f>VLOOKUP(D216,[6]成飞半成品!$A:$B,2,0)</f>
        <v>前起落架水平接头</v>
      </c>
      <c r="H216" s="31" t="s">
        <v>123</v>
      </c>
      <c r="I216" s="31">
        <v>15</v>
      </c>
      <c r="J216" s="37" t="s">
        <v>1947</v>
      </c>
      <c r="K216" s="31">
        <v>8</v>
      </c>
      <c r="L216" s="31">
        <v>12</v>
      </c>
      <c r="M216" s="31">
        <v>37</v>
      </c>
      <c r="N216" s="31">
        <v>37</v>
      </c>
      <c r="O216" s="77" t="s">
        <v>231</v>
      </c>
      <c r="P216" s="25"/>
      <c r="Q216" s="31">
        <v>60</v>
      </c>
      <c r="R216" s="31"/>
      <c r="S216" s="31"/>
      <c r="T216" s="31"/>
      <c r="U216" s="31">
        <v>60</v>
      </c>
      <c r="V216" s="31"/>
      <c r="W216" s="37"/>
      <c r="X216" s="37"/>
      <c r="Y216" s="79">
        <v>12</v>
      </c>
      <c r="Z216" s="31" t="s">
        <v>18</v>
      </c>
      <c r="AA216" s="37"/>
      <c r="AB216" s="37"/>
    </row>
    <row r="217" spans="1:28" ht="23.1" customHeight="1" x14ac:dyDescent="0.25">
      <c r="A217" s="53" t="s">
        <v>329</v>
      </c>
      <c r="B217" s="25" t="s">
        <v>113</v>
      </c>
      <c r="C217" s="31">
        <v>79</v>
      </c>
      <c r="D217" s="31" t="s">
        <v>152</v>
      </c>
      <c r="E217" s="25" t="s">
        <v>153</v>
      </c>
      <c r="F217" s="21" t="s">
        <v>1247</v>
      </c>
      <c r="G217" s="21" t="str">
        <f>VLOOKUP(D217,[6]成飞半成品!$A:$B,2,0)</f>
        <v>根肋前段</v>
      </c>
      <c r="H217" s="31" t="s">
        <v>154</v>
      </c>
      <c r="I217" s="31">
        <v>5</v>
      </c>
      <c r="J217" s="37" t="s">
        <v>1882</v>
      </c>
      <c r="K217" s="31">
        <v>1</v>
      </c>
      <c r="L217" s="31">
        <v>1</v>
      </c>
      <c r="M217" s="31"/>
      <c r="N217" s="31">
        <v>26</v>
      </c>
      <c r="O217" s="77" t="s">
        <v>419</v>
      </c>
      <c r="P217" s="25"/>
      <c r="Q217" s="31">
        <v>770</v>
      </c>
      <c r="R217" s="31">
        <v>120</v>
      </c>
      <c r="S217" s="31"/>
      <c r="T217" s="31">
        <v>1</v>
      </c>
      <c r="U217" s="31">
        <v>120</v>
      </c>
      <c r="V217" s="31"/>
      <c r="W217" s="37"/>
      <c r="X217" s="37"/>
      <c r="Y217" s="79">
        <v>14.8</v>
      </c>
      <c r="Z217" s="31" t="s">
        <v>5</v>
      </c>
      <c r="AA217" s="37" t="s">
        <v>145</v>
      </c>
      <c r="AB217" s="37"/>
    </row>
    <row r="218" spans="1:28" ht="23.1" customHeight="1" x14ac:dyDescent="0.25">
      <c r="A218" s="53" t="s">
        <v>329</v>
      </c>
      <c r="B218" s="25" t="s">
        <v>113</v>
      </c>
      <c r="C218" s="31">
        <v>79</v>
      </c>
      <c r="D218" s="31" t="s">
        <v>420</v>
      </c>
      <c r="E218" s="25" t="s">
        <v>153</v>
      </c>
      <c r="F218" s="21" t="s">
        <v>1247</v>
      </c>
      <c r="G218" s="21" t="str">
        <f>VLOOKUP(D218,[6]成飞半成品!$A:$B,2,0)</f>
        <v>根肋前段</v>
      </c>
      <c r="H218" s="31" t="s">
        <v>154</v>
      </c>
      <c r="I218" s="31">
        <v>20</v>
      </c>
      <c r="J218" s="37" t="s">
        <v>1860</v>
      </c>
      <c r="K218" s="31">
        <v>0.5</v>
      </c>
      <c r="L218" s="31">
        <v>0.8</v>
      </c>
      <c r="M218" s="31"/>
      <c r="N218" s="31">
        <v>28</v>
      </c>
      <c r="O218" s="77" t="s">
        <v>421</v>
      </c>
      <c r="P218" s="25"/>
      <c r="Q218" s="31">
        <v>660</v>
      </c>
      <c r="R218" s="31">
        <v>90</v>
      </c>
      <c r="S218" s="31"/>
      <c r="T218" s="31">
        <v>1</v>
      </c>
      <c r="U218" s="31">
        <v>120</v>
      </c>
      <c r="V218" s="31"/>
      <c r="W218" s="37">
        <v>1</v>
      </c>
      <c r="X218" s="37"/>
      <c r="Y218" s="79">
        <v>12.3</v>
      </c>
      <c r="Z218" s="31" t="s">
        <v>5</v>
      </c>
      <c r="AA218" s="37" t="s">
        <v>422</v>
      </c>
      <c r="AB218" s="37"/>
    </row>
    <row r="219" spans="1:28" ht="23.1" customHeight="1" x14ac:dyDescent="0.25">
      <c r="A219" s="53" t="s">
        <v>329</v>
      </c>
      <c r="B219" s="25" t="s">
        <v>113</v>
      </c>
      <c r="C219" s="31">
        <v>58</v>
      </c>
      <c r="D219" s="31" t="s">
        <v>423</v>
      </c>
      <c r="E219" s="25" t="s">
        <v>424</v>
      </c>
      <c r="F219" s="21" t="s">
        <v>424</v>
      </c>
      <c r="G219" s="21" t="str">
        <f>VLOOKUP(D219,[6]成飞半成品!$A:$B,2,0)</f>
        <v>后梁四段</v>
      </c>
      <c r="H219" s="31" t="s">
        <v>107</v>
      </c>
      <c r="I219" s="31">
        <v>5</v>
      </c>
      <c r="J219" s="37" t="s">
        <v>1930</v>
      </c>
      <c r="K219" s="31">
        <v>4</v>
      </c>
      <c r="L219" s="31">
        <v>4</v>
      </c>
      <c r="M219" s="31">
        <v>5</v>
      </c>
      <c r="N219" s="31">
        <v>5</v>
      </c>
      <c r="O219" s="77" t="s">
        <v>295</v>
      </c>
      <c r="P219" s="25"/>
      <c r="Q219" s="31">
        <v>60</v>
      </c>
      <c r="R219" s="31"/>
      <c r="S219" s="31"/>
      <c r="T219" s="31"/>
      <c r="U219" s="31">
        <v>60</v>
      </c>
      <c r="V219" s="31"/>
      <c r="W219" s="37"/>
      <c r="X219" s="37"/>
      <c r="Y219" s="79">
        <v>4</v>
      </c>
      <c r="Z219" s="31" t="s">
        <v>7</v>
      </c>
      <c r="AA219" s="37"/>
      <c r="AB219" s="37"/>
    </row>
    <row r="220" spans="1:28" ht="23.1" customHeight="1" x14ac:dyDescent="0.25">
      <c r="A220" s="53" t="s">
        <v>329</v>
      </c>
      <c r="B220" s="25" t="s">
        <v>113</v>
      </c>
      <c r="C220" s="31">
        <v>58</v>
      </c>
      <c r="D220" s="31" t="s">
        <v>423</v>
      </c>
      <c r="E220" s="25" t="s">
        <v>424</v>
      </c>
      <c r="F220" s="21" t="s">
        <v>424</v>
      </c>
      <c r="G220" s="21" t="str">
        <f>VLOOKUP(D220,[6]成飞半成品!$A:$B,2,0)</f>
        <v>后梁四段</v>
      </c>
      <c r="H220" s="31" t="s">
        <v>107</v>
      </c>
      <c r="I220" s="31">
        <v>10</v>
      </c>
      <c r="J220" s="37" t="s">
        <v>1949</v>
      </c>
      <c r="K220" s="31">
        <v>4</v>
      </c>
      <c r="L220" s="31">
        <v>4</v>
      </c>
      <c r="M220" s="31">
        <v>5</v>
      </c>
      <c r="N220" s="31">
        <v>31</v>
      </c>
      <c r="O220" s="77" t="s">
        <v>295</v>
      </c>
      <c r="P220" s="25"/>
      <c r="Q220" s="31">
        <v>60</v>
      </c>
      <c r="R220" s="31"/>
      <c r="S220" s="31"/>
      <c r="T220" s="31"/>
      <c r="U220" s="31">
        <v>100</v>
      </c>
      <c r="V220" s="31"/>
      <c r="W220" s="37"/>
      <c r="X220" s="37"/>
      <c r="Y220" s="79">
        <v>4</v>
      </c>
      <c r="Z220" s="31" t="s">
        <v>7</v>
      </c>
      <c r="AA220" s="37"/>
      <c r="AB220" s="37"/>
    </row>
    <row r="221" spans="1:28" ht="23.1" customHeight="1" x14ac:dyDescent="0.25">
      <c r="A221" s="53" t="s">
        <v>329</v>
      </c>
      <c r="B221" s="25" t="s">
        <v>113</v>
      </c>
      <c r="C221" s="31">
        <v>12</v>
      </c>
      <c r="D221" s="31" t="s">
        <v>248</v>
      </c>
      <c r="E221" s="25" t="s">
        <v>249</v>
      </c>
      <c r="F221" s="21" t="s">
        <v>249</v>
      </c>
      <c r="G221" s="21" t="str">
        <f>VLOOKUP(D221,[6]成飞半成品!$A:$B,2,0)</f>
        <v>10060下接头</v>
      </c>
      <c r="H221" s="31" t="s">
        <v>250</v>
      </c>
      <c r="I221" s="31">
        <v>25</v>
      </c>
      <c r="J221" s="37" t="s">
        <v>1923</v>
      </c>
      <c r="K221" s="31">
        <v>0.8</v>
      </c>
      <c r="L221" s="31">
        <v>1</v>
      </c>
      <c r="M221" s="31"/>
      <c r="N221" s="31">
        <v>28</v>
      </c>
      <c r="O221" s="77" t="s">
        <v>282</v>
      </c>
      <c r="P221" s="25"/>
      <c r="Q221" s="31">
        <v>1080</v>
      </c>
      <c r="R221" s="31"/>
      <c r="S221" s="31"/>
      <c r="T221" s="31"/>
      <c r="U221" s="31">
        <v>120</v>
      </c>
      <c r="V221" s="31"/>
      <c r="W221" s="37"/>
      <c r="X221" s="37"/>
      <c r="Y221" s="79">
        <v>18</v>
      </c>
      <c r="Z221" s="31" t="s">
        <v>10</v>
      </c>
      <c r="AA221" s="37"/>
      <c r="AB221" s="37"/>
    </row>
    <row r="222" spans="1:28" ht="23.1" customHeight="1" x14ac:dyDescent="0.25">
      <c r="A222" s="53" t="s">
        <v>329</v>
      </c>
      <c r="B222" s="25" t="s">
        <v>113</v>
      </c>
      <c r="C222" s="31">
        <v>108</v>
      </c>
      <c r="D222" s="31" t="s">
        <v>173</v>
      </c>
      <c r="E222" s="25" t="s">
        <v>174</v>
      </c>
      <c r="F222" s="21" t="s">
        <v>1246</v>
      </c>
      <c r="G222" s="21" t="str">
        <f>VLOOKUP(D222,[6]成飞半成品!$A:$B,2,0)</f>
        <v>根肋后段</v>
      </c>
      <c r="H222" s="31" t="s">
        <v>154</v>
      </c>
      <c r="I222" s="31">
        <v>20</v>
      </c>
      <c r="J222" s="37" t="s">
        <v>1950</v>
      </c>
      <c r="K222" s="31">
        <v>1.5</v>
      </c>
      <c r="L222" s="31">
        <v>1</v>
      </c>
      <c r="M222" s="31"/>
      <c r="N222" s="31">
        <v>28</v>
      </c>
      <c r="O222" s="77" t="s">
        <v>425</v>
      </c>
      <c r="P222" s="25"/>
      <c r="Q222" s="31">
        <v>510</v>
      </c>
      <c r="R222" s="31">
        <v>90</v>
      </c>
      <c r="S222" s="31"/>
      <c r="T222" s="31">
        <v>1</v>
      </c>
      <c r="U222" s="31">
        <v>120</v>
      </c>
      <c r="V222" s="31"/>
      <c r="W222" s="37">
        <v>1</v>
      </c>
      <c r="X222" s="37"/>
      <c r="Y222" s="79">
        <v>12</v>
      </c>
      <c r="Z222" s="31" t="s">
        <v>13</v>
      </c>
      <c r="AA222" s="37" t="s">
        <v>426</v>
      </c>
      <c r="AB222" s="37"/>
    </row>
    <row r="223" spans="1:28" ht="23.1" customHeight="1" x14ac:dyDescent="0.25">
      <c r="A223" s="53" t="s">
        <v>329</v>
      </c>
      <c r="B223" s="25" t="s">
        <v>113</v>
      </c>
      <c r="C223" s="31">
        <v>24</v>
      </c>
      <c r="D223" s="31" t="s">
        <v>294</v>
      </c>
      <c r="E223" s="25" t="s">
        <v>259</v>
      </c>
      <c r="F223" s="21" t="s">
        <v>979</v>
      </c>
      <c r="G223" s="21" t="str">
        <f>VLOOKUP(D223,[6]成飞半成品!$A:$B,2,0)</f>
        <v>梁（左件）</v>
      </c>
      <c r="H223" s="31" t="s">
        <v>118</v>
      </c>
      <c r="I223" s="31">
        <v>45</v>
      </c>
      <c r="J223" s="37" t="s">
        <v>1920</v>
      </c>
      <c r="K223" s="31">
        <v>4</v>
      </c>
      <c r="L223" s="31">
        <v>3.6</v>
      </c>
      <c r="M223" s="31">
        <v>5</v>
      </c>
      <c r="N223" s="31">
        <v>28</v>
      </c>
      <c r="O223" s="77" t="s">
        <v>427</v>
      </c>
      <c r="P223" s="25"/>
      <c r="Q223" s="31">
        <v>300</v>
      </c>
      <c r="R223" s="31">
        <v>120</v>
      </c>
      <c r="S223" s="31"/>
      <c r="T223" s="31">
        <v>3</v>
      </c>
      <c r="U223" s="31">
        <v>120</v>
      </c>
      <c r="V223" s="31"/>
      <c r="W223" s="37"/>
      <c r="X223" s="37">
        <v>3</v>
      </c>
      <c r="Y223" s="79">
        <v>27</v>
      </c>
      <c r="Z223" s="31" t="s">
        <v>69</v>
      </c>
      <c r="AA223" s="37" t="s">
        <v>428</v>
      </c>
      <c r="AB223" s="37"/>
    </row>
    <row r="224" spans="1:28" ht="23.1" customHeight="1" x14ac:dyDescent="0.25">
      <c r="A224" s="53" t="s">
        <v>329</v>
      </c>
      <c r="B224" s="25" t="s">
        <v>113</v>
      </c>
      <c r="C224" s="31">
        <v>69</v>
      </c>
      <c r="D224" s="31" t="s">
        <v>266</v>
      </c>
      <c r="E224" s="25" t="s">
        <v>267</v>
      </c>
      <c r="F224" s="21" t="s">
        <v>267</v>
      </c>
      <c r="G224" s="21" t="str">
        <f>VLOOKUP(D224,[6]成飞半成品!$A:$B,2,0)</f>
        <v>后端框</v>
      </c>
      <c r="H224" s="31" t="s">
        <v>118</v>
      </c>
      <c r="I224" s="31">
        <v>50</v>
      </c>
      <c r="J224" s="37" t="s">
        <v>1909</v>
      </c>
      <c r="K224" s="31">
        <v>2</v>
      </c>
      <c r="L224" s="31">
        <v>1</v>
      </c>
      <c r="M224" s="31"/>
      <c r="N224" s="31">
        <v>28</v>
      </c>
      <c r="O224" s="77" t="s">
        <v>429</v>
      </c>
      <c r="P224" s="25"/>
      <c r="Q224" s="31">
        <v>240</v>
      </c>
      <c r="R224" s="31">
        <v>90</v>
      </c>
      <c r="S224" s="31"/>
      <c r="T224" s="31">
        <v>1</v>
      </c>
      <c r="U224" s="31">
        <v>180</v>
      </c>
      <c r="V224" s="31"/>
      <c r="W224" s="37"/>
      <c r="X224" s="37">
        <v>3</v>
      </c>
      <c r="Y224" s="79">
        <v>8.5</v>
      </c>
      <c r="Z224" s="31" t="s">
        <v>69</v>
      </c>
      <c r="AA224" s="37" t="s">
        <v>430</v>
      </c>
      <c r="AB224" s="37"/>
    </row>
    <row r="225" spans="1:28" ht="23.1" customHeight="1" x14ac:dyDescent="0.25">
      <c r="A225" s="53" t="s">
        <v>329</v>
      </c>
      <c r="B225" s="25" t="s">
        <v>113</v>
      </c>
      <c r="C225" s="31">
        <v>91</v>
      </c>
      <c r="D225" s="31" t="s">
        <v>298</v>
      </c>
      <c r="E225" s="25" t="s">
        <v>299</v>
      </c>
      <c r="F225" s="21" t="s">
        <v>299</v>
      </c>
      <c r="G225" s="21" t="str">
        <f>VLOOKUP(D225,[6]成飞半成品!$A:$B,2,0)</f>
        <v>8635右隔框</v>
      </c>
      <c r="H225" s="31" t="s">
        <v>300</v>
      </c>
      <c r="I225" s="31">
        <v>32</v>
      </c>
      <c r="J225" s="37"/>
      <c r="K225" s="31">
        <v>1</v>
      </c>
      <c r="L225" s="31">
        <v>1</v>
      </c>
      <c r="M225" s="31">
        <v>23</v>
      </c>
      <c r="N225" s="31">
        <v>23</v>
      </c>
      <c r="O225" s="77" t="s">
        <v>399</v>
      </c>
      <c r="P225" s="25">
        <v>150</v>
      </c>
      <c r="Q225" s="31"/>
      <c r="R225" s="31"/>
      <c r="S225" s="25">
        <v>120</v>
      </c>
      <c r="T225" s="31">
        <v>1</v>
      </c>
      <c r="U225" s="31"/>
      <c r="V225" s="31"/>
      <c r="W225" s="37"/>
      <c r="X225" s="37"/>
      <c r="Y225" s="83">
        <v>4.5</v>
      </c>
      <c r="Z225" s="31" t="s">
        <v>69</v>
      </c>
      <c r="AA225" s="37" t="s">
        <v>145</v>
      </c>
      <c r="AB225" s="37"/>
    </row>
    <row r="226" spans="1:28" ht="23.1" customHeight="1" x14ac:dyDescent="0.25">
      <c r="A226" s="53" t="s">
        <v>329</v>
      </c>
      <c r="B226" s="25" t="s">
        <v>113</v>
      </c>
      <c r="C226" s="31">
        <v>91</v>
      </c>
      <c r="D226" s="31" t="s">
        <v>298</v>
      </c>
      <c r="E226" s="25" t="s">
        <v>299</v>
      </c>
      <c r="F226" s="21" t="s">
        <v>299</v>
      </c>
      <c r="G226" s="21" t="str">
        <f>VLOOKUP(D226,[6]成飞半成品!$A:$B,2,0)</f>
        <v>8635右隔框</v>
      </c>
      <c r="H226" s="31" t="s">
        <v>300</v>
      </c>
      <c r="I226" s="31">
        <v>30</v>
      </c>
      <c r="J226" s="37" t="s">
        <v>1921</v>
      </c>
      <c r="K226" s="31">
        <v>0.6</v>
      </c>
      <c r="L226" s="31">
        <v>0.9</v>
      </c>
      <c r="M226" s="31">
        <v>23</v>
      </c>
      <c r="N226" s="31">
        <v>28</v>
      </c>
      <c r="O226" s="77" t="s">
        <v>431</v>
      </c>
      <c r="P226" s="25"/>
      <c r="Q226" s="31">
        <v>960</v>
      </c>
      <c r="R226" s="31">
        <v>120</v>
      </c>
      <c r="S226" s="31"/>
      <c r="T226" s="31">
        <v>1</v>
      </c>
      <c r="U226" s="31">
        <v>180</v>
      </c>
      <c r="V226" s="31"/>
      <c r="W226" s="37"/>
      <c r="X226" s="37"/>
      <c r="Y226" s="79">
        <v>16.399999999999999</v>
      </c>
      <c r="Z226" s="31" t="s">
        <v>69</v>
      </c>
      <c r="AA226" s="37" t="s">
        <v>145</v>
      </c>
      <c r="AB226" s="37"/>
    </row>
    <row r="227" spans="1:28" ht="23.1" customHeight="1" x14ac:dyDescent="0.25">
      <c r="A227" s="53" t="s">
        <v>329</v>
      </c>
      <c r="B227" s="31" t="s">
        <v>113</v>
      </c>
      <c r="C227" s="31">
        <v>84</v>
      </c>
      <c r="D227" s="31" t="s">
        <v>401</v>
      </c>
      <c r="E227" s="25" t="s">
        <v>402</v>
      </c>
      <c r="F227" s="21" t="s">
        <v>2549</v>
      </c>
      <c r="G227" s="21" t="str">
        <f>VLOOKUP(D227,[6]成飞半成品!$A:$B,2,0)</f>
        <v>1号护板维型肋右件</v>
      </c>
      <c r="H227" s="31" t="s">
        <v>154</v>
      </c>
      <c r="I227" s="31">
        <v>25</v>
      </c>
      <c r="J227" s="31" t="s">
        <v>1938</v>
      </c>
      <c r="K227" s="31">
        <v>12</v>
      </c>
      <c r="L227" s="31">
        <v>12</v>
      </c>
      <c r="M227" s="31">
        <v>5</v>
      </c>
      <c r="N227" s="31">
        <v>28</v>
      </c>
      <c r="O227" s="77" t="s">
        <v>247</v>
      </c>
      <c r="P227" s="31"/>
      <c r="Q227" s="34">
        <v>60</v>
      </c>
      <c r="R227" s="31">
        <v>60</v>
      </c>
      <c r="S227" s="31"/>
      <c r="T227" s="31">
        <v>12</v>
      </c>
      <c r="U227" s="31">
        <v>120</v>
      </c>
      <c r="V227" s="31"/>
      <c r="W227" s="31"/>
      <c r="X227" s="37"/>
      <c r="Y227" s="79">
        <v>24</v>
      </c>
      <c r="Z227" s="31" t="s">
        <v>69</v>
      </c>
      <c r="AA227" s="37" t="s">
        <v>432</v>
      </c>
      <c r="AB227" s="37"/>
    </row>
    <row r="228" spans="1:28" ht="23.1" customHeight="1" x14ac:dyDescent="0.25">
      <c r="A228" s="53" t="s">
        <v>329</v>
      </c>
      <c r="B228" s="31" t="s">
        <v>113</v>
      </c>
      <c r="C228" s="31">
        <v>59</v>
      </c>
      <c r="D228" s="31" t="s">
        <v>138</v>
      </c>
      <c r="E228" s="25" t="s">
        <v>139</v>
      </c>
      <c r="F228" s="21" t="s">
        <v>139</v>
      </c>
      <c r="G228" s="21" t="str">
        <f>VLOOKUP(D228,[6]成飞半成品!$A:$B,2,0)</f>
        <v>支座</v>
      </c>
      <c r="H228" s="31" t="s">
        <v>102</v>
      </c>
      <c r="I228" s="31">
        <v>35</v>
      </c>
      <c r="J228" s="31" t="s">
        <v>1929</v>
      </c>
      <c r="K228" s="31">
        <v>1</v>
      </c>
      <c r="L228" s="31">
        <v>1</v>
      </c>
      <c r="M228" s="31">
        <v>5</v>
      </c>
      <c r="N228" s="31">
        <v>31</v>
      </c>
      <c r="O228" s="77" t="s">
        <v>140</v>
      </c>
      <c r="P228" s="31"/>
      <c r="Q228" s="34">
        <v>30</v>
      </c>
      <c r="R228" s="31"/>
      <c r="S228" s="31"/>
      <c r="T228" s="31"/>
      <c r="U228" s="31">
        <v>60</v>
      </c>
      <c r="V228" s="31"/>
      <c r="W228" s="31">
        <v>1</v>
      </c>
      <c r="X228" s="37"/>
      <c r="Y228" s="79">
        <v>1.5</v>
      </c>
      <c r="Z228" s="65" t="s">
        <v>1847</v>
      </c>
      <c r="AA228" s="37" t="s">
        <v>411</v>
      </c>
      <c r="AB228" s="37"/>
    </row>
    <row r="229" spans="1:28" ht="23.1" customHeight="1" x14ac:dyDescent="0.25">
      <c r="A229" s="53" t="s">
        <v>329</v>
      </c>
      <c r="B229" s="31" t="s">
        <v>113</v>
      </c>
      <c r="C229" s="31">
        <v>59</v>
      </c>
      <c r="D229" s="31" t="s">
        <v>138</v>
      </c>
      <c r="E229" s="25" t="s">
        <v>139</v>
      </c>
      <c r="F229" s="21" t="s">
        <v>139</v>
      </c>
      <c r="G229" s="21" t="str">
        <f>VLOOKUP(D229,[6]成飞半成品!$A:$B,2,0)</f>
        <v>支座</v>
      </c>
      <c r="H229" s="31" t="s">
        <v>102</v>
      </c>
      <c r="I229" s="31">
        <v>40</v>
      </c>
      <c r="J229" s="31" t="s">
        <v>1913</v>
      </c>
      <c r="K229" s="31">
        <v>1</v>
      </c>
      <c r="L229" s="31">
        <v>1</v>
      </c>
      <c r="M229" s="31">
        <v>5</v>
      </c>
      <c r="N229" s="31">
        <v>31</v>
      </c>
      <c r="O229" s="77" t="s">
        <v>140</v>
      </c>
      <c r="P229" s="31"/>
      <c r="Q229" s="34">
        <v>90</v>
      </c>
      <c r="R229" s="31"/>
      <c r="S229" s="31"/>
      <c r="T229" s="31"/>
      <c r="U229" s="31">
        <v>120</v>
      </c>
      <c r="V229" s="31"/>
      <c r="W229" s="31">
        <v>1</v>
      </c>
      <c r="X229" s="37"/>
      <c r="Y229" s="79">
        <v>3.5</v>
      </c>
      <c r="Z229" s="65" t="s">
        <v>1847</v>
      </c>
      <c r="AA229" s="37" t="s">
        <v>411</v>
      </c>
      <c r="AB229" s="37"/>
    </row>
    <row r="230" spans="1:28" ht="23.1" customHeight="1" x14ac:dyDescent="0.25">
      <c r="A230" s="53" t="s">
        <v>329</v>
      </c>
      <c r="B230" s="31" t="s">
        <v>113</v>
      </c>
      <c r="C230" s="31">
        <v>59</v>
      </c>
      <c r="D230" s="31" t="s">
        <v>138</v>
      </c>
      <c r="E230" s="25" t="s">
        <v>139</v>
      </c>
      <c r="F230" s="21" t="s">
        <v>139</v>
      </c>
      <c r="G230" s="21" t="str">
        <f>VLOOKUP(D230,[6]成飞半成品!$A:$B,2,0)</f>
        <v>支座</v>
      </c>
      <c r="H230" s="31" t="s">
        <v>102</v>
      </c>
      <c r="I230" s="31">
        <v>45</v>
      </c>
      <c r="J230" s="31" t="s">
        <v>1932</v>
      </c>
      <c r="K230" s="31">
        <v>1</v>
      </c>
      <c r="L230" s="31">
        <v>1</v>
      </c>
      <c r="M230" s="31">
        <v>5</v>
      </c>
      <c r="N230" s="31">
        <v>31</v>
      </c>
      <c r="O230" s="77" t="s">
        <v>140</v>
      </c>
      <c r="P230" s="31"/>
      <c r="Q230" s="34">
        <v>120</v>
      </c>
      <c r="R230" s="31"/>
      <c r="S230" s="31"/>
      <c r="T230" s="31"/>
      <c r="U230" s="31">
        <v>90</v>
      </c>
      <c r="V230" s="31"/>
      <c r="W230" s="31">
        <v>1</v>
      </c>
      <c r="X230" s="37"/>
      <c r="Y230" s="79">
        <v>3.5</v>
      </c>
      <c r="Z230" s="65" t="s">
        <v>1847</v>
      </c>
      <c r="AA230" s="37" t="s">
        <v>411</v>
      </c>
      <c r="AB230" s="37"/>
    </row>
    <row r="231" spans="1:28" ht="23.1" customHeight="1" x14ac:dyDescent="0.25">
      <c r="A231" s="53" t="s">
        <v>329</v>
      </c>
      <c r="B231" s="31" t="s">
        <v>113</v>
      </c>
      <c r="C231" s="31">
        <v>119</v>
      </c>
      <c r="D231" s="31" t="s">
        <v>404</v>
      </c>
      <c r="E231" s="25" t="s">
        <v>405</v>
      </c>
      <c r="F231" s="21" t="s">
        <v>405</v>
      </c>
      <c r="G231" s="21" t="str">
        <f>VLOOKUP(D231,[6]成飞半成品!$A:$B,2,0)</f>
        <v>11140框右下半框</v>
      </c>
      <c r="H231" s="31" t="s">
        <v>118</v>
      </c>
      <c r="I231" s="31">
        <v>40</v>
      </c>
      <c r="J231" s="31" t="s">
        <v>1939</v>
      </c>
      <c r="K231" s="31">
        <v>3</v>
      </c>
      <c r="L231" s="31">
        <v>3</v>
      </c>
      <c r="M231" s="31">
        <v>23</v>
      </c>
      <c r="N231" s="31">
        <v>28</v>
      </c>
      <c r="O231" s="77" t="s">
        <v>433</v>
      </c>
      <c r="P231" s="31"/>
      <c r="Q231" s="34">
        <v>150</v>
      </c>
      <c r="R231" s="31">
        <v>75</v>
      </c>
      <c r="S231" s="31"/>
      <c r="T231" s="31">
        <v>3</v>
      </c>
      <c r="U231" s="31">
        <v>150</v>
      </c>
      <c r="V231" s="31"/>
      <c r="W231" s="31"/>
      <c r="X231" s="37"/>
      <c r="Y231" s="79">
        <v>11.3</v>
      </c>
      <c r="Z231" s="31" t="s">
        <v>69</v>
      </c>
      <c r="AA231" s="37" t="s">
        <v>434</v>
      </c>
      <c r="AB231" s="37"/>
    </row>
    <row r="232" spans="1:28" ht="23.1" customHeight="1" x14ac:dyDescent="0.25">
      <c r="A232" s="53" t="s">
        <v>329</v>
      </c>
      <c r="B232" s="31" t="s">
        <v>113</v>
      </c>
      <c r="C232" s="31">
        <v>78</v>
      </c>
      <c r="D232" s="31" t="s">
        <v>261</v>
      </c>
      <c r="E232" s="25" t="s">
        <v>133</v>
      </c>
      <c r="F232" s="21" t="s">
        <v>133</v>
      </c>
      <c r="G232" s="21" t="str">
        <f>VLOOKUP(D232,[6]成飞半成品!$A:$B,2,0)</f>
        <v>摇臂</v>
      </c>
      <c r="H232" s="31" t="s">
        <v>102</v>
      </c>
      <c r="I232" s="31">
        <v>70</v>
      </c>
      <c r="J232" s="31" t="s">
        <v>1951</v>
      </c>
      <c r="K232" s="31">
        <v>1</v>
      </c>
      <c r="L232" s="31">
        <v>0.8</v>
      </c>
      <c r="M232" s="31"/>
      <c r="N232" s="31">
        <v>28</v>
      </c>
      <c r="O232" s="77" t="s">
        <v>103</v>
      </c>
      <c r="P232" s="31"/>
      <c r="Q232" s="34">
        <v>540</v>
      </c>
      <c r="R232" s="31">
        <v>60</v>
      </c>
      <c r="S232" s="31"/>
      <c r="T232" s="31">
        <v>1</v>
      </c>
      <c r="U232" s="31">
        <v>120</v>
      </c>
      <c r="V232" s="31"/>
      <c r="W232" s="31">
        <v>1</v>
      </c>
      <c r="X232" s="37">
        <v>9.8000000000000007</v>
      </c>
      <c r="Y232" s="79">
        <v>20</v>
      </c>
      <c r="Z232" s="31" t="s">
        <v>5</v>
      </c>
      <c r="AA232" s="37" t="s">
        <v>435</v>
      </c>
      <c r="AB232" s="37" t="s">
        <v>193</v>
      </c>
    </row>
    <row r="233" spans="1:28" ht="23.1" customHeight="1" x14ac:dyDescent="0.25">
      <c r="A233" s="53" t="s">
        <v>329</v>
      </c>
      <c r="B233" s="31" t="s">
        <v>113</v>
      </c>
      <c r="C233" s="31">
        <v>16</v>
      </c>
      <c r="D233" s="31" t="s">
        <v>364</v>
      </c>
      <c r="E233" s="25" t="s">
        <v>365</v>
      </c>
      <c r="F233" s="21" t="s">
        <v>365</v>
      </c>
      <c r="G233" s="21" t="str">
        <f>VLOOKUP(D233,[6]成飞半成品!$A:$B,2,0)</f>
        <v>卡箍扣</v>
      </c>
      <c r="H233" s="31" t="s">
        <v>154</v>
      </c>
      <c r="I233" s="31">
        <v>20</v>
      </c>
      <c r="J233" s="31" t="s">
        <v>1936</v>
      </c>
      <c r="K233" s="31">
        <v>33</v>
      </c>
      <c r="L233" s="31">
        <v>5</v>
      </c>
      <c r="M233" s="31">
        <v>23</v>
      </c>
      <c r="N233" s="31">
        <v>23</v>
      </c>
      <c r="O233" s="77" t="s">
        <v>221</v>
      </c>
      <c r="P233" s="31"/>
      <c r="Q233" s="34">
        <v>20</v>
      </c>
      <c r="R233" s="31"/>
      <c r="S233" s="31"/>
      <c r="T233" s="31"/>
      <c r="U233" s="31">
        <v>60</v>
      </c>
      <c r="V233" s="31"/>
      <c r="W233" s="31"/>
      <c r="X233" s="37"/>
      <c r="Y233" s="79">
        <v>1.7</v>
      </c>
      <c r="Z233" s="31" t="s">
        <v>63</v>
      </c>
      <c r="AA233" s="37"/>
      <c r="AB233" s="37"/>
    </row>
    <row r="234" spans="1:28" ht="23.1" customHeight="1" x14ac:dyDescent="0.25">
      <c r="A234" s="53" t="s">
        <v>329</v>
      </c>
      <c r="B234" s="25" t="s">
        <v>113</v>
      </c>
      <c r="C234" s="31">
        <v>16</v>
      </c>
      <c r="D234" s="31" t="s">
        <v>436</v>
      </c>
      <c r="E234" s="25" t="s">
        <v>437</v>
      </c>
      <c r="F234" s="21" t="s">
        <v>437</v>
      </c>
      <c r="G234" s="21" t="str">
        <f>VLOOKUP(D234,[6]成飞半成品!$A:$B,2,0)</f>
        <v>外副作动器整流罩支撑件上段</v>
      </c>
      <c r="H234" s="31" t="s">
        <v>154</v>
      </c>
      <c r="I234" s="31">
        <v>10</v>
      </c>
      <c r="J234" s="37" t="s">
        <v>1952</v>
      </c>
      <c r="K234" s="31">
        <v>2</v>
      </c>
      <c r="L234" s="31">
        <v>2</v>
      </c>
      <c r="M234" s="31">
        <v>5</v>
      </c>
      <c r="N234" s="31">
        <v>23</v>
      </c>
      <c r="O234" s="77" t="s">
        <v>438</v>
      </c>
      <c r="P234" s="25"/>
      <c r="Q234" s="31">
        <v>60</v>
      </c>
      <c r="R234" s="31"/>
      <c r="S234" s="31"/>
      <c r="T234" s="31"/>
      <c r="U234" s="31">
        <v>60</v>
      </c>
      <c r="V234" s="31"/>
      <c r="W234" s="37"/>
      <c r="X234" s="37"/>
      <c r="Y234" s="79">
        <v>2</v>
      </c>
      <c r="Z234" s="31" t="s">
        <v>63</v>
      </c>
      <c r="AA234" s="37"/>
      <c r="AB234" s="37"/>
    </row>
    <row r="235" spans="1:28" ht="23.1" customHeight="1" x14ac:dyDescent="0.25">
      <c r="A235" s="53" t="s">
        <v>329</v>
      </c>
      <c r="B235" s="25" t="s">
        <v>113</v>
      </c>
      <c r="C235" s="31">
        <v>11</v>
      </c>
      <c r="D235" s="31" t="s">
        <v>203</v>
      </c>
      <c r="E235" s="25" t="s">
        <v>317</v>
      </c>
      <c r="F235" s="21" t="s">
        <v>317</v>
      </c>
      <c r="G235" s="21" t="str">
        <f>VLOOKUP(D235,[6]成飞半成品!$A:$B,2,0)</f>
        <v>角盒</v>
      </c>
      <c r="H235" s="31" t="s">
        <v>154</v>
      </c>
      <c r="I235" s="31">
        <v>40</v>
      </c>
      <c r="J235" s="37" t="s">
        <v>1935</v>
      </c>
      <c r="K235" s="31">
        <v>3</v>
      </c>
      <c r="L235" s="31">
        <v>4</v>
      </c>
      <c r="M235" s="31">
        <v>5</v>
      </c>
      <c r="N235" s="31">
        <v>23</v>
      </c>
      <c r="O235" s="77" t="s">
        <v>439</v>
      </c>
      <c r="P235" s="25"/>
      <c r="Q235" s="31">
        <v>260</v>
      </c>
      <c r="R235" s="31"/>
      <c r="S235" s="31"/>
      <c r="T235" s="31"/>
      <c r="U235" s="31">
        <v>90</v>
      </c>
      <c r="V235" s="31"/>
      <c r="W235" s="37"/>
      <c r="X235" s="37"/>
      <c r="Y235" s="79">
        <v>17.3</v>
      </c>
      <c r="Z235" s="31" t="s">
        <v>63</v>
      </c>
      <c r="AA235" s="37"/>
      <c r="AB235" s="37"/>
    </row>
    <row r="236" spans="1:28" ht="23.1" customHeight="1" x14ac:dyDescent="0.25">
      <c r="A236" s="53" t="s">
        <v>329</v>
      </c>
      <c r="B236" s="25" t="s">
        <v>113</v>
      </c>
      <c r="C236" s="31">
        <v>18</v>
      </c>
      <c r="D236" s="31" t="s">
        <v>205</v>
      </c>
      <c r="E236" s="25" t="s">
        <v>206</v>
      </c>
      <c r="F236" s="21" t="s">
        <v>206</v>
      </c>
      <c r="G236" s="21" t="str">
        <f>VLOOKUP(D236,[6]成飞半成品!$A:$B,2,0)</f>
        <v>卡环</v>
      </c>
      <c r="H236" s="31" t="s">
        <v>123</v>
      </c>
      <c r="I236" s="31">
        <v>30</v>
      </c>
      <c r="J236" s="37" t="s">
        <v>1953</v>
      </c>
      <c r="K236" s="31">
        <v>3</v>
      </c>
      <c r="L236" s="31">
        <v>3</v>
      </c>
      <c r="M236" s="31">
        <v>28</v>
      </c>
      <c r="N236" s="31">
        <v>28</v>
      </c>
      <c r="O236" s="77" t="s">
        <v>440</v>
      </c>
      <c r="P236" s="25"/>
      <c r="Q236" s="31">
        <v>180</v>
      </c>
      <c r="R236" s="31"/>
      <c r="S236" s="31"/>
      <c r="T236" s="31"/>
      <c r="U236" s="31">
        <v>120</v>
      </c>
      <c r="V236" s="31"/>
      <c r="W236" s="37">
        <v>1</v>
      </c>
      <c r="X236" s="37"/>
      <c r="Y236" s="79">
        <v>11</v>
      </c>
      <c r="Z236" s="31" t="s">
        <v>16</v>
      </c>
      <c r="AA236" s="37" t="s">
        <v>92</v>
      </c>
      <c r="AB236" s="37"/>
    </row>
    <row r="237" spans="1:28" ht="23.1" customHeight="1" x14ac:dyDescent="0.25">
      <c r="A237" s="53" t="s">
        <v>329</v>
      </c>
      <c r="B237" s="25" t="s">
        <v>113</v>
      </c>
      <c r="C237" s="31">
        <v>13</v>
      </c>
      <c r="D237" s="31" t="s">
        <v>245</v>
      </c>
      <c r="E237" s="25" t="s">
        <v>246</v>
      </c>
      <c r="F237" s="21" t="s">
        <v>246</v>
      </c>
      <c r="G237" s="21" t="str">
        <f>VLOOKUP(D237,[6]成飞半成品!$A:$B,2,0)</f>
        <v>外侧轴承盖</v>
      </c>
      <c r="H237" s="31" t="s">
        <v>123</v>
      </c>
      <c r="I237" s="31">
        <v>40</v>
      </c>
      <c r="J237" s="37" t="s">
        <v>1902</v>
      </c>
      <c r="K237" s="31">
        <v>2</v>
      </c>
      <c r="L237" s="31">
        <v>2</v>
      </c>
      <c r="M237" s="31">
        <v>5</v>
      </c>
      <c r="N237" s="31">
        <v>5</v>
      </c>
      <c r="O237" s="77" t="s">
        <v>247</v>
      </c>
      <c r="P237" s="25"/>
      <c r="Q237" s="31">
        <v>230</v>
      </c>
      <c r="R237" s="31"/>
      <c r="S237" s="31"/>
      <c r="T237" s="31"/>
      <c r="U237" s="31">
        <v>120</v>
      </c>
      <c r="V237" s="31"/>
      <c r="W237" s="37"/>
      <c r="X237" s="37"/>
      <c r="Y237" s="79">
        <v>7.7</v>
      </c>
      <c r="Z237" s="31" t="s">
        <v>10</v>
      </c>
      <c r="AA237" s="37"/>
      <c r="AB237" s="37"/>
    </row>
    <row r="238" spans="1:28" ht="23.1" customHeight="1" x14ac:dyDescent="0.25">
      <c r="A238" s="53" t="s">
        <v>329</v>
      </c>
      <c r="B238" s="25" t="s">
        <v>113</v>
      </c>
      <c r="C238" s="31">
        <v>13</v>
      </c>
      <c r="D238" s="31" t="s">
        <v>245</v>
      </c>
      <c r="E238" s="25" t="s">
        <v>246</v>
      </c>
      <c r="F238" s="21" t="s">
        <v>246</v>
      </c>
      <c r="G238" s="21" t="str">
        <f>VLOOKUP(D238,[6]成飞半成品!$A:$B,2,0)</f>
        <v>外侧轴承盖</v>
      </c>
      <c r="H238" s="31" t="s">
        <v>123</v>
      </c>
      <c r="I238" s="31">
        <v>45</v>
      </c>
      <c r="J238" s="37" t="s">
        <v>1954</v>
      </c>
      <c r="K238" s="31">
        <v>1</v>
      </c>
      <c r="L238" s="31">
        <v>2</v>
      </c>
      <c r="M238" s="31">
        <v>5</v>
      </c>
      <c r="N238" s="31">
        <v>31</v>
      </c>
      <c r="O238" s="77" t="s">
        <v>247</v>
      </c>
      <c r="P238" s="25"/>
      <c r="Q238" s="31">
        <v>250</v>
      </c>
      <c r="R238" s="31"/>
      <c r="S238" s="31"/>
      <c r="T238" s="31"/>
      <c r="U238" s="31">
        <v>90</v>
      </c>
      <c r="V238" s="31"/>
      <c r="W238" s="37">
        <v>1</v>
      </c>
      <c r="X238" s="37"/>
      <c r="Y238" s="79">
        <v>9.8000000000000007</v>
      </c>
      <c r="Z238" s="31" t="s">
        <v>10</v>
      </c>
      <c r="AA238" s="37" t="s">
        <v>92</v>
      </c>
      <c r="AB238" s="37"/>
    </row>
    <row r="239" spans="1:28" ht="23.1" customHeight="1" x14ac:dyDescent="0.25">
      <c r="A239" s="53" t="s">
        <v>329</v>
      </c>
      <c r="B239" s="25" t="s">
        <v>113</v>
      </c>
      <c r="C239" s="31">
        <v>77</v>
      </c>
      <c r="D239" s="31" t="s">
        <v>211</v>
      </c>
      <c r="E239" s="25" t="s">
        <v>212</v>
      </c>
      <c r="F239" s="21" t="s">
        <v>212</v>
      </c>
      <c r="G239" s="21" t="str">
        <f>VLOOKUP(D239,[6]成飞半成品!$A:$B,2,0)</f>
        <v>压板</v>
      </c>
      <c r="H239" s="31" t="s">
        <v>123</v>
      </c>
      <c r="I239" s="31">
        <v>15</v>
      </c>
      <c r="J239" s="37" t="s">
        <v>1893</v>
      </c>
      <c r="K239" s="31">
        <v>8</v>
      </c>
      <c r="L239" s="31">
        <v>9</v>
      </c>
      <c r="M239" s="31">
        <v>37</v>
      </c>
      <c r="N239" s="31">
        <v>31</v>
      </c>
      <c r="O239" s="77" t="s">
        <v>213</v>
      </c>
      <c r="P239" s="25">
        <v>100</v>
      </c>
      <c r="Q239" s="31">
        <v>60</v>
      </c>
      <c r="R239" s="31"/>
      <c r="S239" s="31"/>
      <c r="T239" s="31"/>
      <c r="U239" s="31">
        <v>90</v>
      </c>
      <c r="V239" s="31"/>
      <c r="W239" s="37"/>
      <c r="X239" s="37"/>
      <c r="Y239" s="83">
        <v>15</v>
      </c>
      <c r="Z239" s="31" t="s">
        <v>24</v>
      </c>
      <c r="AA239" s="37" t="s">
        <v>326</v>
      </c>
      <c r="AB239" s="37"/>
    </row>
    <row r="240" spans="1:28" ht="23.1" customHeight="1" x14ac:dyDescent="0.25">
      <c r="A240" s="53" t="s">
        <v>329</v>
      </c>
      <c r="B240" s="25" t="s">
        <v>113</v>
      </c>
      <c r="C240" s="31">
        <v>16</v>
      </c>
      <c r="D240" s="31" t="s">
        <v>441</v>
      </c>
      <c r="E240" s="25" t="s">
        <v>437</v>
      </c>
      <c r="F240" s="21" t="s">
        <v>437</v>
      </c>
      <c r="G240" s="21" t="str">
        <f>VLOOKUP(D240,[6]成飞半成品!$A:$B,2,0)</f>
        <v>外副作动器整流罩支撑件上段</v>
      </c>
      <c r="H240" s="31" t="s">
        <v>154</v>
      </c>
      <c r="I240" s="31">
        <v>10</v>
      </c>
      <c r="J240" s="37" t="s">
        <v>1952</v>
      </c>
      <c r="K240" s="31"/>
      <c r="L240" s="31">
        <v>2</v>
      </c>
      <c r="M240" s="31">
        <v>5</v>
      </c>
      <c r="N240" s="31">
        <v>23</v>
      </c>
      <c r="O240" s="77" t="s">
        <v>438</v>
      </c>
      <c r="P240" s="25"/>
      <c r="Q240" s="31">
        <v>60</v>
      </c>
      <c r="R240" s="31"/>
      <c r="S240" s="31"/>
      <c r="T240" s="31"/>
      <c r="U240" s="31">
        <v>60</v>
      </c>
      <c r="V240" s="31"/>
      <c r="W240" s="37"/>
      <c r="X240" s="37"/>
      <c r="Y240" s="79">
        <v>2</v>
      </c>
      <c r="Z240" s="31" t="s">
        <v>63</v>
      </c>
      <c r="AA240" s="37"/>
      <c r="AB240" s="37"/>
    </row>
    <row r="241" spans="1:28" ht="23.1" customHeight="1" x14ac:dyDescent="0.25">
      <c r="A241" s="53" t="s">
        <v>329</v>
      </c>
      <c r="B241" s="25" t="s">
        <v>113</v>
      </c>
      <c r="C241" s="31">
        <v>16</v>
      </c>
      <c r="D241" s="31" t="s">
        <v>441</v>
      </c>
      <c r="E241" s="25" t="s">
        <v>437</v>
      </c>
      <c r="F241" s="21" t="s">
        <v>437</v>
      </c>
      <c r="G241" s="21" t="str">
        <f>VLOOKUP(D241,[6]成飞半成品!$A:$B,2,0)</f>
        <v>外副作动器整流罩支撑件上段</v>
      </c>
      <c r="H241" s="31" t="s">
        <v>154</v>
      </c>
      <c r="I241" s="31">
        <v>20</v>
      </c>
      <c r="J241" s="37" t="s">
        <v>1955</v>
      </c>
      <c r="K241" s="31"/>
      <c r="L241" s="31">
        <v>1</v>
      </c>
      <c r="M241" s="31"/>
      <c r="N241" s="31">
        <v>28</v>
      </c>
      <c r="O241" s="77" t="s">
        <v>159</v>
      </c>
      <c r="P241" s="25"/>
      <c r="Q241" s="31">
        <v>150</v>
      </c>
      <c r="R241" s="31"/>
      <c r="S241" s="31"/>
      <c r="T241" s="31"/>
      <c r="U241" s="31">
        <v>90</v>
      </c>
      <c r="V241" s="31"/>
      <c r="W241" s="37"/>
      <c r="X241" s="37"/>
      <c r="Y241" s="79">
        <v>2.5</v>
      </c>
      <c r="Z241" s="31" t="s">
        <v>63</v>
      </c>
      <c r="AA241" s="37"/>
      <c r="AB241" s="37"/>
    </row>
    <row r="242" spans="1:28" ht="23.1" customHeight="1" x14ac:dyDescent="0.25">
      <c r="A242" s="53" t="s">
        <v>329</v>
      </c>
      <c r="B242" s="25" t="s">
        <v>113</v>
      </c>
      <c r="C242" s="31">
        <v>17</v>
      </c>
      <c r="D242" s="31" t="s">
        <v>205</v>
      </c>
      <c r="E242" s="25" t="s">
        <v>206</v>
      </c>
      <c r="F242" s="21" t="s">
        <v>206</v>
      </c>
      <c r="G242" s="21" t="str">
        <f>VLOOKUP(D242,[6]成飞半成品!$A:$B,2,0)</f>
        <v>卡环</v>
      </c>
      <c r="H242" s="31" t="s">
        <v>123</v>
      </c>
      <c r="I242" s="31">
        <v>30</v>
      </c>
      <c r="J242" s="37" t="s">
        <v>1953</v>
      </c>
      <c r="K242" s="31">
        <v>3</v>
      </c>
      <c r="L242" s="31">
        <v>3</v>
      </c>
      <c r="M242" s="31">
        <v>28</v>
      </c>
      <c r="N242" s="31">
        <v>28</v>
      </c>
      <c r="O242" s="77" t="s">
        <v>348</v>
      </c>
      <c r="P242" s="25"/>
      <c r="Q242" s="31">
        <v>180</v>
      </c>
      <c r="R242" s="31"/>
      <c r="S242" s="31"/>
      <c r="T242" s="31"/>
      <c r="U242" s="31">
        <v>120</v>
      </c>
      <c r="V242" s="31"/>
      <c r="W242" s="37"/>
      <c r="X242" s="37"/>
      <c r="Y242" s="79">
        <v>9</v>
      </c>
      <c r="Z242" s="31" t="s">
        <v>16</v>
      </c>
      <c r="AA242" s="37"/>
      <c r="AB242" s="37"/>
    </row>
    <row r="243" spans="1:28" ht="23.1" customHeight="1" x14ac:dyDescent="0.25">
      <c r="A243" s="53" t="s">
        <v>329</v>
      </c>
      <c r="B243" s="25" t="s">
        <v>113</v>
      </c>
      <c r="C243" s="31">
        <v>47</v>
      </c>
      <c r="D243" s="31" t="s">
        <v>332</v>
      </c>
      <c r="E243" s="25" t="s">
        <v>333</v>
      </c>
      <c r="F243" s="21" t="s">
        <v>2548</v>
      </c>
      <c r="G243" s="21" t="str">
        <f>VLOOKUP(D243,[6]成飞半成品!$A:$B,2,0)</f>
        <v>5550上框</v>
      </c>
      <c r="H243" s="31" t="s">
        <v>107</v>
      </c>
      <c r="I243" s="31">
        <v>15</v>
      </c>
      <c r="J243" s="37" t="s">
        <v>1956</v>
      </c>
      <c r="K243" s="31">
        <v>3</v>
      </c>
      <c r="L243" s="31">
        <v>3</v>
      </c>
      <c r="M243" s="31">
        <v>23</v>
      </c>
      <c r="N243" s="31">
        <v>5</v>
      </c>
      <c r="O243" s="77" t="s">
        <v>442</v>
      </c>
      <c r="P243" s="25"/>
      <c r="Q243" s="31">
        <v>300</v>
      </c>
      <c r="R243" s="31">
        <v>60</v>
      </c>
      <c r="S243" s="31"/>
      <c r="T243" s="31">
        <v>3</v>
      </c>
      <c r="U243" s="31">
        <v>120</v>
      </c>
      <c r="V243" s="31"/>
      <c r="W243" s="37"/>
      <c r="X243" s="37"/>
      <c r="Y243" s="79">
        <v>18</v>
      </c>
      <c r="Z243" s="31" t="s">
        <v>22</v>
      </c>
      <c r="AA243" s="37" t="s">
        <v>125</v>
      </c>
      <c r="AB243" s="37"/>
    </row>
    <row r="244" spans="1:28" ht="23.1" customHeight="1" x14ac:dyDescent="0.25">
      <c r="A244" s="53" t="s">
        <v>329</v>
      </c>
      <c r="B244" s="25" t="s">
        <v>113</v>
      </c>
      <c r="C244" s="31">
        <v>47</v>
      </c>
      <c r="D244" s="31" t="s">
        <v>332</v>
      </c>
      <c r="E244" s="25" t="s">
        <v>333</v>
      </c>
      <c r="F244" s="21" t="s">
        <v>2548</v>
      </c>
      <c r="G244" s="21" t="str">
        <f>VLOOKUP(D244,[6]成飞半成品!$A:$B,2,0)</f>
        <v>5550上框</v>
      </c>
      <c r="H244" s="31" t="s">
        <v>107</v>
      </c>
      <c r="I244" s="31">
        <v>10</v>
      </c>
      <c r="J244" s="37" t="s">
        <v>1916</v>
      </c>
      <c r="K244" s="31">
        <v>3</v>
      </c>
      <c r="L244" s="31">
        <v>3</v>
      </c>
      <c r="M244" s="31">
        <v>23</v>
      </c>
      <c r="N244" s="31">
        <v>23</v>
      </c>
      <c r="O244" s="77" t="s">
        <v>443</v>
      </c>
      <c r="P244" s="25"/>
      <c r="Q244" s="31">
        <v>120</v>
      </c>
      <c r="R244" s="31">
        <v>60</v>
      </c>
      <c r="S244" s="31"/>
      <c r="T244" s="31">
        <v>3</v>
      </c>
      <c r="U244" s="31">
        <v>120</v>
      </c>
      <c r="V244" s="31"/>
      <c r="W244" s="37"/>
      <c r="X244" s="37"/>
      <c r="Y244" s="79">
        <v>9</v>
      </c>
      <c r="Z244" s="31" t="s">
        <v>22</v>
      </c>
      <c r="AA244" s="37" t="s">
        <v>125</v>
      </c>
      <c r="AB244" s="37"/>
    </row>
    <row r="245" spans="1:28" ht="23.1" customHeight="1" x14ac:dyDescent="0.25">
      <c r="A245" s="53" t="s">
        <v>329</v>
      </c>
      <c r="B245" s="25" t="s">
        <v>113</v>
      </c>
      <c r="C245" s="31">
        <v>23</v>
      </c>
      <c r="D245" s="31" t="s">
        <v>288</v>
      </c>
      <c r="E245" s="25" t="s">
        <v>255</v>
      </c>
      <c r="F245" s="21" t="s">
        <v>1532</v>
      </c>
      <c r="G245" s="21" t="str">
        <f>VLOOKUP(D245,[6]成飞半成品!$A:$B,2,0)</f>
        <v>9350-11140左侧上梁</v>
      </c>
      <c r="H245" s="31" t="s">
        <v>250</v>
      </c>
      <c r="I245" s="31">
        <v>45</v>
      </c>
      <c r="J245" s="37" t="s">
        <v>1919</v>
      </c>
      <c r="K245" s="31">
        <v>0.8</v>
      </c>
      <c r="L245" s="31">
        <v>1.2</v>
      </c>
      <c r="M245" s="31">
        <v>23</v>
      </c>
      <c r="N245" s="31">
        <v>28</v>
      </c>
      <c r="O245" s="77" t="s">
        <v>444</v>
      </c>
      <c r="P245" s="25"/>
      <c r="Q245" s="31">
        <v>660</v>
      </c>
      <c r="R245" s="31">
        <v>90</v>
      </c>
      <c r="S245" s="31"/>
      <c r="T245" s="31">
        <v>1</v>
      </c>
      <c r="U245" s="31">
        <v>120</v>
      </c>
      <c r="V245" s="31"/>
      <c r="W245" s="37"/>
      <c r="X245" s="37"/>
      <c r="Y245" s="79">
        <v>14.7</v>
      </c>
      <c r="Z245" s="31" t="s">
        <v>22</v>
      </c>
      <c r="AA245" s="37" t="s">
        <v>145</v>
      </c>
      <c r="AB245" s="37"/>
    </row>
    <row r="246" spans="1:28" ht="23.1" customHeight="1" x14ac:dyDescent="0.25">
      <c r="A246" s="53" t="s">
        <v>329</v>
      </c>
      <c r="B246" s="25" t="s">
        <v>113</v>
      </c>
      <c r="C246" s="31">
        <v>23</v>
      </c>
      <c r="D246" s="31" t="s">
        <v>332</v>
      </c>
      <c r="E246" s="25" t="s">
        <v>333</v>
      </c>
      <c r="F246" s="21" t="s">
        <v>2548</v>
      </c>
      <c r="G246" s="21" t="str">
        <f>VLOOKUP(D246,[6]成飞半成品!$A:$B,2,0)</f>
        <v>5550上框</v>
      </c>
      <c r="H246" s="31" t="s">
        <v>107</v>
      </c>
      <c r="I246" s="31">
        <v>15</v>
      </c>
      <c r="J246" s="37" t="s">
        <v>1956</v>
      </c>
      <c r="K246" s="31">
        <v>2</v>
      </c>
      <c r="L246" s="31">
        <v>2</v>
      </c>
      <c r="M246" s="31">
        <v>5</v>
      </c>
      <c r="N246" s="31">
        <v>5</v>
      </c>
      <c r="O246" s="77" t="s">
        <v>445</v>
      </c>
      <c r="P246" s="25"/>
      <c r="Q246" s="31">
        <v>300</v>
      </c>
      <c r="R246" s="31">
        <v>60</v>
      </c>
      <c r="S246" s="31"/>
      <c r="T246" s="31">
        <v>2</v>
      </c>
      <c r="U246" s="31">
        <v>120</v>
      </c>
      <c r="V246" s="31"/>
      <c r="W246" s="37">
        <v>1</v>
      </c>
      <c r="X246" s="37"/>
      <c r="Y246" s="79">
        <v>14</v>
      </c>
      <c r="Z246" s="31" t="s">
        <v>22</v>
      </c>
      <c r="AA246" s="37" t="s">
        <v>446</v>
      </c>
      <c r="AB246" s="37"/>
    </row>
    <row r="247" spans="1:28" ht="23.1" customHeight="1" x14ac:dyDescent="0.25">
      <c r="A247" s="53" t="s">
        <v>329</v>
      </c>
      <c r="B247" s="25" t="s">
        <v>113</v>
      </c>
      <c r="C247" s="31">
        <v>58</v>
      </c>
      <c r="D247" s="31" t="s">
        <v>423</v>
      </c>
      <c r="E247" s="25" t="s">
        <v>424</v>
      </c>
      <c r="F247" s="21" t="s">
        <v>424</v>
      </c>
      <c r="G247" s="21" t="str">
        <f>VLOOKUP(D247,[6]成飞半成品!$A:$B,2,0)</f>
        <v>后梁四段</v>
      </c>
      <c r="H247" s="31" t="s">
        <v>107</v>
      </c>
      <c r="I247" s="31">
        <v>10</v>
      </c>
      <c r="J247" s="37" t="s">
        <v>1949</v>
      </c>
      <c r="K247" s="31">
        <v>1</v>
      </c>
      <c r="L247" s="31">
        <v>1</v>
      </c>
      <c r="M247" s="31"/>
      <c r="N247" s="31">
        <v>28</v>
      </c>
      <c r="O247" s="77" t="s">
        <v>295</v>
      </c>
      <c r="P247" s="25"/>
      <c r="Q247" s="31">
        <v>60</v>
      </c>
      <c r="R247" s="31"/>
      <c r="S247" s="31"/>
      <c r="T247" s="31"/>
      <c r="U247" s="31">
        <v>100</v>
      </c>
      <c r="V247" s="31"/>
      <c r="W247" s="37"/>
      <c r="X247" s="37">
        <v>2</v>
      </c>
      <c r="Y247" s="79">
        <v>3</v>
      </c>
      <c r="Z247" s="31" t="s">
        <v>7</v>
      </c>
      <c r="AA247" s="37" t="s">
        <v>447</v>
      </c>
      <c r="AB247" s="37"/>
    </row>
    <row r="248" spans="1:28" ht="23.1" customHeight="1" x14ac:dyDescent="0.25">
      <c r="A248" s="53" t="s">
        <v>329</v>
      </c>
      <c r="B248" s="25" t="s">
        <v>113</v>
      </c>
      <c r="C248" s="31">
        <v>16</v>
      </c>
      <c r="D248" s="31" t="s">
        <v>441</v>
      </c>
      <c r="E248" s="25" t="s">
        <v>437</v>
      </c>
      <c r="F248" s="21" t="s">
        <v>437</v>
      </c>
      <c r="G248" s="21" t="str">
        <f>VLOOKUP(D248,[6]成飞半成品!$A:$B,2,0)</f>
        <v>外副作动器整流罩支撑件上段</v>
      </c>
      <c r="H248" s="31" t="s">
        <v>154</v>
      </c>
      <c r="I248" s="31">
        <v>20</v>
      </c>
      <c r="J248" s="37" t="s">
        <v>1955</v>
      </c>
      <c r="K248" s="31"/>
      <c r="L248" s="31"/>
      <c r="M248" s="31">
        <v>9</v>
      </c>
      <c r="N248" s="31"/>
      <c r="O248" s="77" t="s">
        <v>159</v>
      </c>
      <c r="P248" s="25"/>
      <c r="Q248" s="31">
        <v>150</v>
      </c>
      <c r="R248" s="31"/>
      <c r="S248" s="31"/>
      <c r="T248" s="31"/>
      <c r="U248" s="31">
        <v>90</v>
      </c>
      <c r="V248" s="31"/>
      <c r="W248" s="37"/>
      <c r="X248" s="37">
        <v>2</v>
      </c>
      <c r="Y248" s="79">
        <v>2</v>
      </c>
      <c r="Z248" s="31" t="s">
        <v>63</v>
      </c>
      <c r="AA248" s="37" t="s">
        <v>448</v>
      </c>
      <c r="AB248" s="25" t="s">
        <v>238</v>
      </c>
    </row>
    <row r="249" spans="1:28" ht="23.1" customHeight="1" x14ac:dyDescent="0.25">
      <c r="A249" s="53" t="s">
        <v>329</v>
      </c>
      <c r="B249" s="25" t="s">
        <v>113</v>
      </c>
      <c r="C249" s="31">
        <v>16</v>
      </c>
      <c r="D249" s="31" t="s">
        <v>449</v>
      </c>
      <c r="E249" s="25" t="s">
        <v>317</v>
      </c>
      <c r="F249" s="21" t="s">
        <v>317</v>
      </c>
      <c r="G249" s="21" t="str">
        <f>VLOOKUP(D249,[6]成飞半成品!$A:$B,2,0)</f>
        <v>角盒</v>
      </c>
      <c r="H249" s="31" t="s">
        <v>154</v>
      </c>
      <c r="I249" s="31">
        <v>5</v>
      </c>
      <c r="J249" s="37" t="s">
        <v>1957</v>
      </c>
      <c r="K249" s="31"/>
      <c r="L249" s="31"/>
      <c r="M249" s="31">
        <v>9</v>
      </c>
      <c r="N249" s="31"/>
      <c r="O249" s="77" t="s">
        <v>159</v>
      </c>
      <c r="P249" s="25"/>
      <c r="Q249" s="31">
        <v>90</v>
      </c>
      <c r="R249" s="31"/>
      <c r="S249" s="31"/>
      <c r="T249" s="31"/>
      <c r="U249" s="31">
        <v>60</v>
      </c>
      <c r="V249" s="31"/>
      <c r="W249" s="37"/>
      <c r="X249" s="37">
        <v>3</v>
      </c>
      <c r="Y249" s="79">
        <v>3</v>
      </c>
      <c r="Z249" s="31" t="s">
        <v>63</v>
      </c>
      <c r="AA249" s="37" t="s">
        <v>450</v>
      </c>
      <c r="AB249" s="25" t="s">
        <v>238</v>
      </c>
    </row>
    <row r="250" spans="1:28" ht="23.1" customHeight="1" x14ac:dyDescent="0.25">
      <c r="A250" s="53" t="s">
        <v>329</v>
      </c>
      <c r="B250" s="31" t="s">
        <v>113</v>
      </c>
      <c r="C250" s="31">
        <v>10</v>
      </c>
      <c r="D250" s="25" t="s">
        <v>2551</v>
      </c>
      <c r="E250" s="25" t="s">
        <v>108</v>
      </c>
      <c r="F250" s="21" t="e">
        <v>#N/A</v>
      </c>
      <c r="G250" s="21" t="str">
        <f>VLOOKUP(D250,[6]成飞半成品!$A:$B,2,0)</f>
        <v>工装</v>
      </c>
      <c r="H250" s="31" t="s">
        <v>108</v>
      </c>
      <c r="I250" s="31" t="s">
        <v>108</v>
      </c>
      <c r="J250" s="37"/>
      <c r="K250" s="31" t="s">
        <v>108</v>
      </c>
      <c r="L250" s="31">
        <v>0</v>
      </c>
      <c r="M250" s="31" t="s">
        <v>108</v>
      </c>
      <c r="N250" s="31" t="s">
        <v>108</v>
      </c>
      <c r="O250" s="77" t="s">
        <v>108</v>
      </c>
      <c r="P250" s="34"/>
      <c r="Q250" s="31"/>
      <c r="R250" s="31"/>
      <c r="S250" s="31"/>
      <c r="T250" s="31"/>
      <c r="U250" s="31"/>
      <c r="V250" s="31"/>
      <c r="W250" s="37"/>
      <c r="X250" s="37">
        <v>4</v>
      </c>
      <c r="Y250" s="79">
        <v>4</v>
      </c>
      <c r="Z250" s="31" t="s">
        <v>30</v>
      </c>
      <c r="AA250" s="37" t="s">
        <v>451</v>
      </c>
      <c r="AB250" s="25" t="s">
        <v>238</v>
      </c>
    </row>
    <row r="251" spans="1:28" ht="23.1" customHeight="1" x14ac:dyDescent="0.25">
      <c r="A251" s="53" t="s">
        <v>452</v>
      </c>
      <c r="B251" s="25" t="s">
        <v>99</v>
      </c>
      <c r="C251" s="31">
        <v>16</v>
      </c>
      <c r="D251" s="31" t="s">
        <v>441</v>
      </c>
      <c r="E251" s="25" t="s">
        <v>453</v>
      </c>
      <c r="F251" s="21" t="s">
        <v>437</v>
      </c>
      <c r="G251" s="21" t="str">
        <f>VLOOKUP(D251,[6]成飞半成品!$A:$B,2,0)</f>
        <v>外副作动器整流罩支撑件上段</v>
      </c>
      <c r="H251" s="31" t="s">
        <v>154</v>
      </c>
      <c r="I251" s="31">
        <v>20</v>
      </c>
      <c r="J251" s="37" t="s">
        <v>1955</v>
      </c>
      <c r="K251" s="31">
        <v>1</v>
      </c>
      <c r="L251" s="31">
        <v>1</v>
      </c>
      <c r="M251" s="31">
        <v>31</v>
      </c>
      <c r="N251" s="31">
        <v>31</v>
      </c>
      <c r="O251" s="77" t="s">
        <v>234</v>
      </c>
      <c r="P251" s="25"/>
      <c r="Q251" s="31">
        <v>150</v>
      </c>
      <c r="R251" s="31"/>
      <c r="S251" s="31"/>
      <c r="T251" s="31"/>
      <c r="U251" s="31">
        <v>90</v>
      </c>
      <c r="V251" s="31"/>
      <c r="W251" s="37"/>
      <c r="X251" s="37"/>
      <c r="Y251" s="79">
        <v>2.5</v>
      </c>
      <c r="Z251" s="31" t="s">
        <v>38</v>
      </c>
      <c r="AA251" s="37"/>
      <c r="AB251" s="37"/>
    </row>
    <row r="252" spans="1:28" ht="23.1" customHeight="1" x14ac:dyDescent="0.25">
      <c r="A252" s="53" t="s">
        <v>452</v>
      </c>
      <c r="B252" s="25" t="s">
        <v>99</v>
      </c>
      <c r="C252" s="31">
        <v>16</v>
      </c>
      <c r="D252" s="31" t="s">
        <v>436</v>
      </c>
      <c r="E252" s="25" t="s">
        <v>454</v>
      </c>
      <c r="F252" s="21" t="s">
        <v>437</v>
      </c>
      <c r="G252" s="21" t="str">
        <f>VLOOKUP(D252,[6]成飞半成品!$A:$B,2,0)</f>
        <v>外副作动器整流罩支撑件上段</v>
      </c>
      <c r="H252" s="31" t="s">
        <v>154</v>
      </c>
      <c r="I252" s="31">
        <v>20</v>
      </c>
      <c r="J252" s="37" t="s">
        <v>1955</v>
      </c>
      <c r="K252" s="31"/>
      <c r="L252" s="31">
        <v>2</v>
      </c>
      <c r="M252" s="31">
        <v>28</v>
      </c>
      <c r="N252" s="31">
        <v>28</v>
      </c>
      <c r="O252" s="77" t="s">
        <v>438</v>
      </c>
      <c r="P252" s="25"/>
      <c r="Q252" s="31">
        <v>150</v>
      </c>
      <c r="R252" s="31"/>
      <c r="S252" s="31"/>
      <c r="T252" s="31"/>
      <c r="U252" s="31">
        <v>90</v>
      </c>
      <c r="V252" s="31"/>
      <c r="W252" s="37">
        <v>1</v>
      </c>
      <c r="X252" s="37"/>
      <c r="Y252" s="79">
        <v>6.5</v>
      </c>
      <c r="Z252" s="31" t="s">
        <v>38</v>
      </c>
      <c r="AA252" s="37" t="s">
        <v>92</v>
      </c>
      <c r="AB252" s="37"/>
    </row>
    <row r="253" spans="1:28" ht="23.1" customHeight="1" x14ac:dyDescent="0.25">
      <c r="A253" s="53" t="s">
        <v>452</v>
      </c>
      <c r="B253" s="25" t="s">
        <v>99</v>
      </c>
      <c r="C253" s="31">
        <v>59</v>
      </c>
      <c r="D253" s="31" t="s">
        <v>408</v>
      </c>
      <c r="E253" s="25" t="s">
        <v>409</v>
      </c>
      <c r="F253" s="21" t="s">
        <v>409</v>
      </c>
      <c r="G253" s="21" t="str">
        <f>VLOOKUP(D253,[6]成飞半成品!$A:$B,2,0)</f>
        <v>接头</v>
      </c>
      <c r="H253" s="31" t="s">
        <v>107</v>
      </c>
      <c r="I253" s="31">
        <v>5</v>
      </c>
      <c r="J253" s="37" t="s">
        <v>1958</v>
      </c>
      <c r="K253" s="31"/>
      <c r="L253" s="31"/>
      <c r="M253" s="31"/>
      <c r="N253" s="31">
        <v>28</v>
      </c>
      <c r="O253" s="77" t="s">
        <v>410</v>
      </c>
      <c r="P253" s="25"/>
      <c r="Q253" s="31">
        <v>60</v>
      </c>
      <c r="R253" s="31"/>
      <c r="S253" s="31"/>
      <c r="T253" s="31"/>
      <c r="U253" s="31">
        <v>60</v>
      </c>
      <c r="V253" s="31"/>
      <c r="W253" s="37">
        <v>1</v>
      </c>
      <c r="X253" s="37">
        <v>2</v>
      </c>
      <c r="Y253" s="79">
        <v>3</v>
      </c>
      <c r="Z253" s="31" t="s">
        <v>42</v>
      </c>
      <c r="AA253" s="37" t="s">
        <v>455</v>
      </c>
      <c r="AB253" s="25" t="s">
        <v>238</v>
      </c>
    </row>
    <row r="254" spans="1:28" ht="23.1" customHeight="1" x14ac:dyDescent="0.25">
      <c r="A254" s="53" t="s">
        <v>452</v>
      </c>
      <c r="B254" s="25" t="s">
        <v>99</v>
      </c>
      <c r="C254" s="31">
        <v>55</v>
      </c>
      <c r="D254" s="31" t="s">
        <v>415</v>
      </c>
      <c r="E254" s="25" t="s">
        <v>416</v>
      </c>
      <c r="F254" s="21" t="s">
        <v>416</v>
      </c>
      <c r="G254" s="21" t="str">
        <f>VLOOKUP(D254,[6]成飞半成品!$A:$B,2,0)</f>
        <v>三通管接头</v>
      </c>
      <c r="H254" s="31" t="s">
        <v>154</v>
      </c>
      <c r="I254" s="31">
        <v>15</v>
      </c>
      <c r="J254" s="37" t="s">
        <v>1946</v>
      </c>
      <c r="K254" s="31"/>
      <c r="L254" s="31">
        <v>20</v>
      </c>
      <c r="M254" s="31">
        <v>5</v>
      </c>
      <c r="N254" s="31">
        <v>5</v>
      </c>
      <c r="O254" s="77" t="s">
        <v>456</v>
      </c>
      <c r="P254" s="25"/>
      <c r="Q254" s="31">
        <v>45</v>
      </c>
      <c r="R254" s="31"/>
      <c r="S254" s="31"/>
      <c r="T254" s="31"/>
      <c r="U254" s="31">
        <v>60</v>
      </c>
      <c r="V254" s="31"/>
      <c r="W254" s="37"/>
      <c r="X254" s="37"/>
      <c r="Y254" s="79">
        <v>15</v>
      </c>
      <c r="Z254" s="31" t="s">
        <v>44</v>
      </c>
      <c r="AA254" s="37"/>
      <c r="AB254" s="37"/>
    </row>
    <row r="255" spans="1:28" ht="23.1" customHeight="1" x14ac:dyDescent="0.25">
      <c r="A255" s="53" t="s">
        <v>452</v>
      </c>
      <c r="B255" s="25" t="s">
        <v>99</v>
      </c>
      <c r="C255" s="31">
        <v>47</v>
      </c>
      <c r="D255" s="25" t="s">
        <v>2551</v>
      </c>
      <c r="E255" s="25" t="s">
        <v>130</v>
      </c>
      <c r="F255" s="21" t="s">
        <v>2546</v>
      </c>
      <c r="G255" s="21" t="str">
        <f>VLOOKUP(D255,[6]成飞半成品!$A:$B,2,0)</f>
        <v>工装</v>
      </c>
      <c r="H255" s="31" t="s">
        <v>102</v>
      </c>
      <c r="I255" s="31">
        <v>90</v>
      </c>
      <c r="J255" s="37" t="s">
        <v>1917</v>
      </c>
      <c r="K255" s="31">
        <v>1</v>
      </c>
      <c r="L255" s="31">
        <v>1</v>
      </c>
      <c r="M255" s="31">
        <v>28</v>
      </c>
      <c r="N255" s="31">
        <v>28</v>
      </c>
      <c r="O255" s="77" t="s">
        <v>131</v>
      </c>
      <c r="P255" s="25"/>
      <c r="Q255" s="31">
        <v>300</v>
      </c>
      <c r="R255" s="31">
        <v>90</v>
      </c>
      <c r="S255" s="31"/>
      <c r="T255" s="31">
        <v>1</v>
      </c>
      <c r="U255" s="31">
        <v>120</v>
      </c>
      <c r="V255" s="31"/>
      <c r="W255" s="37">
        <v>1</v>
      </c>
      <c r="X255" s="37"/>
      <c r="Y255" s="79">
        <v>8.5</v>
      </c>
      <c r="Z255" s="31" t="s">
        <v>33</v>
      </c>
      <c r="AA255" s="37" t="s">
        <v>328</v>
      </c>
      <c r="AB255" s="37"/>
    </row>
    <row r="256" spans="1:28" ht="23.1" customHeight="1" x14ac:dyDescent="0.25">
      <c r="A256" s="53" t="s">
        <v>452</v>
      </c>
      <c r="B256" s="25" t="s">
        <v>99</v>
      </c>
      <c r="C256" s="31">
        <v>47</v>
      </c>
      <c r="D256" s="25" t="s">
        <v>2551</v>
      </c>
      <c r="E256" s="25" t="s">
        <v>130</v>
      </c>
      <c r="F256" s="21" t="s">
        <v>2546</v>
      </c>
      <c r="G256" s="21" t="str">
        <f>VLOOKUP(D256,[6]成飞半成品!$A:$B,2,0)</f>
        <v>工装</v>
      </c>
      <c r="H256" s="31" t="s">
        <v>102</v>
      </c>
      <c r="I256" s="31">
        <v>95</v>
      </c>
      <c r="J256" s="37" t="s">
        <v>1918</v>
      </c>
      <c r="K256" s="31">
        <v>1</v>
      </c>
      <c r="L256" s="31">
        <v>1</v>
      </c>
      <c r="M256" s="37"/>
      <c r="N256" s="31">
        <v>28</v>
      </c>
      <c r="O256" s="77" t="s">
        <v>131</v>
      </c>
      <c r="P256" s="25"/>
      <c r="Q256" s="31">
        <v>60</v>
      </c>
      <c r="R256" s="31">
        <v>90</v>
      </c>
      <c r="S256" s="31"/>
      <c r="T256" s="31">
        <v>1</v>
      </c>
      <c r="U256" s="31">
        <v>90</v>
      </c>
      <c r="V256" s="31"/>
      <c r="W256" s="37">
        <v>1</v>
      </c>
      <c r="X256" s="37"/>
      <c r="Y256" s="79">
        <v>4</v>
      </c>
      <c r="Z256" s="31" t="s">
        <v>33</v>
      </c>
      <c r="AA256" s="37" t="s">
        <v>328</v>
      </c>
      <c r="AB256" s="37"/>
    </row>
    <row r="257" spans="1:28" ht="23.1" customHeight="1" x14ac:dyDescent="0.25">
      <c r="A257" s="53" t="s">
        <v>452</v>
      </c>
      <c r="B257" s="25" t="s">
        <v>99</v>
      </c>
      <c r="C257" s="31">
        <v>47</v>
      </c>
      <c r="D257" s="25" t="s">
        <v>2551</v>
      </c>
      <c r="E257" s="25" t="s">
        <v>130</v>
      </c>
      <c r="F257" s="21" t="s">
        <v>2547</v>
      </c>
      <c r="G257" s="21" t="str">
        <f>VLOOKUP(D257,[6]成飞半成品!$A:$B,2,0)</f>
        <v>工装</v>
      </c>
      <c r="H257" s="31" t="s">
        <v>102</v>
      </c>
      <c r="I257" s="31">
        <v>90</v>
      </c>
      <c r="J257" s="37" t="s">
        <v>1917</v>
      </c>
      <c r="K257" s="31">
        <v>1</v>
      </c>
      <c r="L257" s="31">
        <v>1</v>
      </c>
      <c r="M257" s="37"/>
      <c r="N257" s="31">
        <v>28</v>
      </c>
      <c r="O257" s="77" t="s">
        <v>131</v>
      </c>
      <c r="P257" s="25"/>
      <c r="Q257" s="31">
        <v>300</v>
      </c>
      <c r="R257" s="31">
        <v>90</v>
      </c>
      <c r="S257" s="31"/>
      <c r="T257" s="31">
        <v>1</v>
      </c>
      <c r="U257" s="31">
        <v>120</v>
      </c>
      <c r="V257" s="31"/>
      <c r="W257" s="37">
        <v>1</v>
      </c>
      <c r="X257" s="37"/>
      <c r="Y257" s="79">
        <v>8.5</v>
      </c>
      <c r="Z257" s="31" t="s">
        <v>33</v>
      </c>
      <c r="AA257" s="37" t="s">
        <v>328</v>
      </c>
      <c r="AB257" s="37"/>
    </row>
    <row r="258" spans="1:28" ht="23.1" customHeight="1" x14ac:dyDescent="0.25">
      <c r="A258" s="53" t="s">
        <v>452</v>
      </c>
      <c r="B258" s="25" t="s">
        <v>99</v>
      </c>
      <c r="C258" s="31">
        <v>47</v>
      </c>
      <c r="D258" s="25" t="s">
        <v>2551</v>
      </c>
      <c r="E258" s="25" t="s">
        <v>130</v>
      </c>
      <c r="F258" s="21" t="s">
        <v>2547</v>
      </c>
      <c r="G258" s="21" t="str">
        <f>VLOOKUP(D258,[6]成飞半成品!$A:$B,2,0)</f>
        <v>工装</v>
      </c>
      <c r="H258" s="31" t="s">
        <v>102</v>
      </c>
      <c r="I258" s="31">
        <v>95</v>
      </c>
      <c r="J258" s="37" t="s">
        <v>1918</v>
      </c>
      <c r="K258" s="31">
        <v>1</v>
      </c>
      <c r="L258" s="31">
        <v>1</v>
      </c>
      <c r="M258" s="37"/>
      <c r="N258" s="31">
        <v>28</v>
      </c>
      <c r="O258" s="77" t="s">
        <v>131</v>
      </c>
      <c r="P258" s="25"/>
      <c r="Q258" s="31">
        <v>60</v>
      </c>
      <c r="R258" s="31">
        <v>90</v>
      </c>
      <c r="S258" s="31"/>
      <c r="T258" s="31">
        <v>1</v>
      </c>
      <c r="U258" s="31">
        <v>90</v>
      </c>
      <c r="V258" s="31"/>
      <c r="W258" s="37">
        <v>1</v>
      </c>
      <c r="X258" s="37"/>
      <c r="Y258" s="79">
        <v>4</v>
      </c>
      <c r="Z258" s="31" t="s">
        <v>33</v>
      </c>
      <c r="AA258" s="37" t="s">
        <v>328</v>
      </c>
      <c r="AB258" s="37"/>
    </row>
    <row r="259" spans="1:28" ht="23.1" customHeight="1" x14ac:dyDescent="0.25">
      <c r="A259" s="53" t="s">
        <v>452</v>
      </c>
      <c r="B259" s="25" t="s">
        <v>99</v>
      </c>
      <c r="C259" s="31">
        <v>47</v>
      </c>
      <c r="D259" s="31" t="s">
        <v>332</v>
      </c>
      <c r="E259" s="25" t="s">
        <v>333</v>
      </c>
      <c r="F259" s="21" t="s">
        <v>2548</v>
      </c>
      <c r="G259" s="21" t="str">
        <f>VLOOKUP(D259,[6]成飞半成品!$A:$B,2,0)</f>
        <v>5550上框</v>
      </c>
      <c r="H259" s="31" t="s">
        <v>107</v>
      </c>
      <c r="I259" s="31">
        <v>20</v>
      </c>
      <c r="J259" s="37" t="s">
        <v>1959</v>
      </c>
      <c r="K259" s="31"/>
      <c r="L259" s="31">
        <v>0.35</v>
      </c>
      <c r="M259" s="37"/>
      <c r="N259" s="31">
        <v>5</v>
      </c>
      <c r="O259" s="77" t="s">
        <v>457</v>
      </c>
      <c r="P259" s="25"/>
      <c r="Q259" s="31">
        <v>720</v>
      </c>
      <c r="R259" s="31">
        <v>90</v>
      </c>
      <c r="S259" s="31"/>
      <c r="T259" s="31">
        <v>1</v>
      </c>
      <c r="U259" s="31">
        <v>120</v>
      </c>
      <c r="V259" s="31"/>
      <c r="W259" s="37">
        <v>1</v>
      </c>
      <c r="X259" s="37">
        <v>2</v>
      </c>
      <c r="Y259" s="79">
        <v>9.6999999999999993</v>
      </c>
      <c r="Z259" s="31" t="s">
        <v>33</v>
      </c>
      <c r="AA259" s="37" t="s">
        <v>458</v>
      </c>
      <c r="AB259" s="37"/>
    </row>
    <row r="260" spans="1:28" ht="23.1" customHeight="1" x14ac:dyDescent="0.25">
      <c r="A260" s="53" t="s">
        <v>452</v>
      </c>
      <c r="B260" s="25" t="s">
        <v>110</v>
      </c>
      <c r="C260" s="31">
        <v>15</v>
      </c>
      <c r="D260" s="31" t="s">
        <v>217</v>
      </c>
      <c r="E260" s="25" t="s">
        <v>218</v>
      </c>
      <c r="F260" s="21" t="s">
        <v>218</v>
      </c>
      <c r="G260" s="21" t="str">
        <f>VLOOKUP(D260,[6]成飞半成品!$A:$B,2,0)</f>
        <v>横梁</v>
      </c>
      <c r="H260" s="31" t="s">
        <v>107</v>
      </c>
      <c r="I260" s="31">
        <v>45</v>
      </c>
      <c r="J260" s="37" t="s">
        <v>1927</v>
      </c>
      <c r="K260" s="31">
        <v>1.5</v>
      </c>
      <c r="L260" s="31">
        <v>3.2</v>
      </c>
      <c r="M260" s="37">
        <v>19</v>
      </c>
      <c r="N260" s="31">
        <v>5</v>
      </c>
      <c r="O260" s="77" t="s">
        <v>219</v>
      </c>
      <c r="P260" s="25"/>
      <c r="Q260" s="31">
        <v>420</v>
      </c>
      <c r="R260" s="31"/>
      <c r="S260" s="31"/>
      <c r="T260" s="31"/>
      <c r="U260" s="31">
        <v>90</v>
      </c>
      <c r="V260" s="31"/>
      <c r="W260" s="37"/>
      <c r="X260" s="37"/>
      <c r="Y260" s="79">
        <v>22.4</v>
      </c>
      <c r="Z260" s="31" t="s">
        <v>31</v>
      </c>
      <c r="AA260" s="37"/>
      <c r="AB260" s="37"/>
    </row>
    <row r="261" spans="1:28" ht="23.1" customHeight="1" x14ac:dyDescent="0.25">
      <c r="A261" s="53" t="s">
        <v>452</v>
      </c>
      <c r="B261" s="25" t="s">
        <v>110</v>
      </c>
      <c r="C261" s="31">
        <v>76</v>
      </c>
      <c r="D261" s="31" t="s">
        <v>280</v>
      </c>
      <c r="E261" s="25" t="s">
        <v>281</v>
      </c>
      <c r="F261" s="21" t="s">
        <v>281</v>
      </c>
      <c r="G261" s="21" t="str">
        <f>VLOOKUP(D261,[6]成飞半成品!$A:$B,2,0)</f>
        <v>4#上垫片</v>
      </c>
      <c r="H261" s="31" t="s">
        <v>154</v>
      </c>
      <c r="I261" s="31">
        <v>15</v>
      </c>
      <c r="J261" s="37" t="s">
        <v>1926</v>
      </c>
      <c r="K261" s="31">
        <v>7</v>
      </c>
      <c r="L261" s="31">
        <v>7</v>
      </c>
      <c r="M261" s="37">
        <v>31</v>
      </c>
      <c r="N261" s="31">
        <v>31</v>
      </c>
      <c r="O261" s="77" t="s">
        <v>351</v>
      </c>
      <c r="P261" s="25"/>
      <c r="Q261" s="31">
        <v>90</v>
      </c>
      <c r="R261" s="31"/>
      <c r="S261" s="31"/>
      <c r="T261" s="31"/>
      <c r="U261" s="31">
        <v>90</v>
      </c>
      <c r="V261" s="31"/>
      <c r="W261" s="37"/>
      <c r="X261" s="37"/>
      <c r="Y261" s="79">
        <v>10.5</v>
      </c>
      <c r="Z261" s="31" t="s">
        <v>46</v>
      </c>
      <c r="AA261" s="37"/>
      <c r="AB261" s="37"/>
    </row>
    <row r="262" spans="1:28" ht="23.1" customHeight="1" x14ac:dyDescent="0.25">
      <c r="A262" s="53" t="s">
        <v>452</v>
      </c>
      <c r="B262" s="25" t="s">
        <v>110</v>
      </c>
      <c r="C262" s="31">
        <v>57</v>
      </c>
      <c r="D262" s="31" t="s">
        <v>459</v>
      </c>
      <c r="E262" s="25" t="s">
        <v>460</v>
      </c>
      <c r="F262" s="21" t="e">
        <v>#N/A</v>
      </c>
      <c r="G262" s="21" t="e">
        <f>VLOOKUP(D262,[6]成飞半成品!$A:$B,2,0)</f>
        <v>#N/A</v>
      </c>
      <c r="H262" s="31" t="s">
        <v>123</v>
      </c>
      <c r="I262" s="31">
        <v>20</v>
      </c>
      <c r="J262" s="37" t="s">
        <v>1960</v>
      </c>
      <c r="K262" s="31">
        <v>4</v>
      </c>
      <c r="L262" s="31">
        <v>2</v>
      </c>
      <c r="M262" s="37">
        <v>28</v>
      </c>
      <c r="N262" s="31">
        <v>26</v>
      </c>
      <c r="O262" s="77" t="s">
        <v>247</v>
      </c>
      <c r="P262" s="25"/>
      <c r="Q262" s="31">
        <v>120</v>
      </c>
      <c r="R262" s="31"/>
      <c r="S262" s="31"/>
      <c r="T262" s="31"/>
      <c r="U262" s="31">
        <v>60</v>
      </c>
      <c r="V262" s="31"/>
      <c r="W262" s="37">
        <v>1</v>
      </c>
      <c r="X262" s="37">
        <v>3</v>
      </c>
      <c r="Y262" s="79">
        <v>8</v>
      </c>
      <c r="Z262" s="31" t="s">
        <v>0</v>
      </c>
      <c r="AA262" s="37" t="s">
        <v>461</v>
      </c>
      <c r="AB262" s="25" t="s">
        <v>238</v>
      </c>
    </row>
    <row r="263" spans="1:28" ht="23.1" customHeight="1" x14ac:dyDescent="0.25">
      <c r="A263" s="53" t="s">
        <v>452</v>
      </c>
      <c r="B263" s="25" t="s">
        <v>110</v>
      </c>
      <c r="C263" s="31">
        <v>77</v>
      </c>
      <c r="D263" s="31" t="s">
        <v>349</v>
      </c>
      <c r="E263" s="25" t="s">
        <v>350</v>
      </c>
      <c r="F263" s="21" t="s">
        <v>350</v>
      </c>
      <c r="G263" s="21" t="str">
        <f>VLOOKUP(D263,[6]成飞半成品!$A:$B,2,0)</f>
        <v>4#下垫片</v>
      </c>
      <c r="H263" s="31" t="s">
        <v>154</v>
      </c>
      <c r="I263" s="31">
        <v>15</v>
      </c>
      <c r="J263" s="37" t="s">
        <v>1926</v>
      </c>
      <c r="K263" s="31"/>
      <c r="L263" s="31">
        <v>3</v>
      </c>
      <c r="M263" s="37">
        <v>31</v>
      </c>
      <c r="N263" s="31">
        <v>26</v>
      </c>
      <c r="O263" s="77" t="s">
        <v>330</v>
      </c>
      <c r="P263" s="25"/>
      <c r="Q263" s="31">
        <v>90</v>
      </c>
      <c r="R263" s="31"/>
      <c r="S263" s="31"/>
      <c r="T263" s="31"/>
      <c r="U263" s="31">
        <v>90</v>
      </c>
      <c r="V263" s="31"/>
      <c r="W263" s="37">
        <v>1</v>
      </c>
      <c r="X263" s="37"/>
      <c r="Y263" s="79">
        <v>6</v>
      </c>
      <c r="Z263" s="31" t="s">
        <v>46</v>
      </c>
      <c r="AA263" s="37" t="s">
        <v>331</v>
      </c>
      <c r="AB263" s="37"/>
    </row>
    <row r="264" spans="1:28" ht="23.1" customHeight="1" x14ac:dyDescent="0.25">
      <c r="A264" s="53" t="s">
        <v>452</v>
      </c>
      <c r="B264" s="25" t="s">
        <v>110</v>
      </c>
      <c r="C264" s="31">
        <v>14</v>
      </c>
      <c r="D264" s="31" t="s">
        <v>276</v>
      </c>
      <c r="E264" s="25" t="s">
        <v>277</v>
      </c>
      <c r="F264" s="21" t="s">
        <v>277</v>
      </c>
      <c r="G264" s="21" t="str">
        <f>VLOOKUP(D264,[6]成飞半成品!$A:$B,2,0)</f>
        <v>左外侧接头</v>
      </c>
      <c r="H264" s="31" t="s">
        <v>154</v>
      </c>
      <c r="I264" s="31">
        <v>50</v>
      </c>
      <c r="J264" s="37" t="s">
        <v>1899</v>
      </c>
      <c r="K264" s="31">
        <v>0.4</v>
      </c>
      <c r="L264" s="31">
        <v>0.4</v>
      </c>
      <c r="M264" s="37"/>
      <c r="N264" s="31">
        <v>37</v>
      </c>
      <c r="O264" s="77" t="s">
        <v>234</v>
      </c>
      <c r="P264" s="25"/>
      <c r="Q264" s="31">
        <v>2640</v>
      </c>
      <c r="R264" s="31"/>
      <c r="S264" s="31"/>
      <c r="T264" s="31"/>
      <c r="U264" s="31">
        <v>90</v>
      </c>
      <c r="V264" s="31"/>
      <c r="W264" s="37"/>
      <c r="X264" s="37"/>
      <c r="Y264" s="79">
        <v>17.600000000000001</v>
      </c>
      <c r="Z264" s="31" t="s">
        <v>31</v>
      </c>
      <c r="AA264" s="37"/>
      <c r="AB264" s="37"/>
    </row>
    <row r="265" spans="1:28" ht="23.1" customHeight="1" x14ac:dyDescent="0.25">
      <c r="A265" s="53" t="s">
        <v>452</v>
      </c>
      <c r="B265" s="25" t="s">
        <v>110</v>
      </c>
      <c r="C265" s="31">
        <v>13</v>
      </c>
      <c r="D265" s="31" t="s">
        <v>245</v>
      </c>
      <c r="E265" s="25" t="s">
        <v>246</v>
      </c>
      <c r="F265" s="21" t="s">
        <v>246</v>
      </c>
      <c r="G265" s="21" t="str">
        <f>VLOOKUP(D265,[6]成飞半成品!$A:$B,2,0)</f>
        <v>外侧轴承盖</v>
      </c>
      <c r="H265" s="31" t="s">
        <v>123</v>
      </c>
      <c r="I265" s="31">
        <v>45</v>
      </c>
      <c r="J265" s="37" t="s">
        <v>1954</v>
      </c>
      <c r="K265" s="31">
        <v>3</v>
      </c>
      <c r="L265" s="31">
        <v>3</v>
      </c>
      <c r="M265" s="37">
        <v>28</v>
      </c>
      <c r="N265" s="31">
        <v>26</v>
      </c>
      <c r="O265" s="77" t="s">
        <v>247</v>
      </c>
      <c r="P265" s="25"/>
      <c r="Q265" s="31">
        <v>250</v>
      </c>
      <c r="R265" s="31"/>
      <c r="S265" s="31"/>
      <c r="T265" s="31"/>
      <c r="U265" s="31">
        <v>90</v>
      </c>
      <c r="V265" s="31"/>
      <c r="W265" s="37"/>
      <c r="X265" s="37"/>
      <c r="Y265" s="79">
        <v>12.5</v>
      </c>
      <c r="Z265" s="31" t="s">
        <v>72</v>
      </c>
      <c r="AA265" s="37"/>
      <c r="AB265" s="37"/>
    </row>
    <row r="266" spans="1:28" ht="23.1" customHeight="1" x14ac:dyDescent="0.25">
      <c r="A266" s="53" t="s">
        <v>452</v>
      </c>
      <c r="B266" s="25" t="s">
        <v>110</v>
      </c>
      <c r="C266" s="31">
        <v>77</v>
      </c>
      <c r="D266" s="31" t="s">
        <v>211</v>
      </c>
      <c r="E266" s="25" t="s">
        <v>212</v>
      </c>
      <c r="F266" s="21" t="s">
        <v>212</v>
      </c>
      <c r="G266" s="21" t="str">
        <f>VLOOKUP(D266,[6]成飞半成品!$A:$B,2,0)</f>
        <v>压板</v>
      </c>
      <c r="H266" s="31" t="s">
        <v>123</v>
      </c>
      <c r="I266" s="31">
        <v>15</v>
      </c>
      <c r="J266" s="37" t="s">
        <v>1893</v>
      </c>
      <c r="K266" s="31">
        <v>8</v>
      </c>
      <c r="L266" s="31">
        <v>9</v>
      </c>
      <c r="M266" s="37">
        <v>31</v>
      </c>
      <c r="N266" s="31">
        <v>37</v>
      </c>
      <c r="O266" s="77" t="s">
        <v>213</v>
      </c>
      <c r="P266" s="25">
        <v>100</v>
      </c>
      <c r="Q266" s="31">
        <v>60</v>
      </c>
      <c r="R266" s="31"/>
      <c r="S266" s="31"/>
      <c r="T266" s="31"/>
      <c r="U266" s="31">
        <v>90</v>
      </c>
      <c r="V266" s="31"/>
      <c r="W266" s="37"/>
      <c r="X266" s="37"/>
      <c r="Y266" s="83">
        <v>15</v>
      </c>
      <c r="Z266" s="31" t="s">
        <v>15</v>
      </c>
      <c r="AA266" s="37"/>
      <c r="AB266" s="37"/>
    </row>
    <row r="267" spans="1:28" ht="23.1" customHeight="1" x14ac:dyDescent="0.25">
      <c r="A267" s="53" t="s">
        <v>452</v>
      </c>
      <c r="B267" s="25" t="s">
        <v>110</v>
      </c>
      <c r="C267" s="31">
        <v>58</v>
      </c>
      <c r="D267" s="31" t="s">
        <v>423</v>
      </c>
      <c r="E267" s="25" t="s">
        <v>424</v>
      </c>
      <c r="F267" s="21" t="s">
        <v>424</v>
      </c>
      <c r="G267" s="21" t="str">
        <f>VLOOKUP(D267,[6]成飞半成品!$A:$B,2,0)</f>
        <v>后梁四段</v>
      </c>
      <c r="H267" s="31" t="s">
        <v>107</v>
      </c>
      <c r="I267" s="31">
        <v>15</v>
      </c>
      <c r="J267" s="37" t="s">
        <v>1961</v>
      </c>
      <c r="K267" s="31">
        <v>1.5</v>
      </c>
      <c r="L267" s="31">
        <v>4</v>
      </c>
      <c r="M267" s="37">
        <v>31</v>
      </c>
      <c r="N267" s="31">
        <v>28</v>
      </c>
      <c r="O267" s="77" t="s">
        <v>295</v>
      </c>
      <c r="P267" s="25"/>
      <c r="Q267" s="31">
        <v>150</v>
      </c>
      <c r="R267" s="31"/>
      <c r="S267" s="31"/>
      <c r="T267" s="31"/>
      <c r="U267" s="31">
        <v>100</v>
      </c>
      <c r="V267" s="31"/>
      <c r="W267" s="37">
        <v>1</v>
      </c>
      <c r="X267" s="37">
        <v>2</v>
      </c>
      <c r="Y267" s="79">
        <v>13.7</v>
      </c>
      <c r="Z267" s="31" t="s">
        <v>0</v>
      </c>
      <c r="AA267" s="37" t="s">
        <v>462</v>
      </c>
      <c r="AB267" s="25" t="s">
        <v>238</v>
      </c>
    </row>
    <row r="268" spans="1:28" ht="23.1" customHeight="1" x14ac:dyDescent="0.25">
      <c r="A268" s="53" t="s">
        <v>452</v>
      </c>
      <c r="B268" s="25" t="s">
        <v>110</v>
      </c>
      <c r="C268" s="31">
        <v>12</v>
      </c>
      <c r="D268" s="31" t="s">
        <v>248</v>
      </c>
      <c r="E268" s="25" t="s">
        <v>249</v>
      </c>
      <c r="F268" s="21" t="s">
        <v>249</v>
      </c>
      <c r="G268" s="21" t="str">
        <f>VLOOKUP(D268,[6]成飞半成品!$A:$B,2,0)</f>
        <v>10060下接头</v>
      </c>
      <c r="H268" s="31" t="s">
        <v>250</v>
      </c>
      <c r="I268" s="31">
        <v>25</v>
      </c>
      <c r="J268" s="37" t="s">
        <v>1854</v>
      </c>
      <c r="K268" s="31">
        <v>0.8</v>
      </c>
      <c r="L268" s="31">
        <v>0.4</v>
      </c>
      <c r="M268" s="37"/>
      <c r="N268" s="31">
        <v>5</v>
      </c>
      <c r="O268" s="77" t="s">
        <v>463</v>
      </c>
      <c r="P268" s="25"/>
      <c r="Q268" s="31">
        <v>1080</v>
      </c>
      <c r="R268" s="31"/>
      <c r="S268" s="31"/>
      <c r="T268" s="31"/>
      <c r="U268" s="31">
        <v>120</v>
      </c>
      <c r="V268" s="31"/>
      <c r="W268" s="37"/>
      <c r="X268" s="37"/>
      <c r="Y268" s="79">
        <v>7.2</v>
      </c>
      <c r="Z268" s="31" t="s">
        <v>72</v>
      </c>
      <c r="AA268" s="37"/>
      <c r="AB268" s="37"/>
    </row>
    <row r="269" spans="1:28" ht="23.1" customHeight="1" x14ac:dyDescent="0.25">
      <c r="A269" s="53" t="s">
        <v>452</v>
      </c>
      <c r="B269" s="25" t="s">
        <v>110</v>
      </c>
      <c r="C269" s="31">
        <v>9</v>
      </c>
      <c r="D269" s="31" t="s">
        <v>229</v>
      </c>
      <c r="E269" s="25" t="s">
        <v>230</v>
      </c>
      <c r="F269" s="21" t="s">
        <v>230</v>
      </c>
      <c r="G269" s="21" t="str">
        <f>VLOOKUP(D269,[6]成飞半成品!$A:$B,2,0)</f>
        <v>前起落架舱门结构支撑梁</v>
      </c>
      <c r="H269" s="31" t="s">
        <v>154</v>
      </c>
      <c r="I269" s="31">
        <v>25</v>
      </c>
      <c r="J269" s="37" t="s">
        <v>1894</v>
      </c>
      <c r="K269" s="31">
        <v>4</v>
      </c>
      <c r="L269" s="31">
        <v>6</v>
      </c>
      <c r="M269" s="37">
        <v>28</v>
      </c>
      <c r="N269" s="31">
        <v>28</v>
      </c>
      <c r="O269" s="77" t="s">
        <v>464</v>
      </c>
      <c r="P269" s="25"/>
      <c r="Q269" s="31">
        <v>140</v>
      </c>
      <c r="R269" s="31"/>
      <c r="S269" s="31"/>
      <c r="T269" s="31"/>
      <c r="U269" s="31">
        <v>60</v>
      </c>
      <c r="V269" s="31"/>
      <c r="W269" s="37"/>
      <c r="X269" s="37"/>
      <c r="Y269" s="79">
        <v>14</v>
      </c>
      <c r="Z269" s="31" t="s">
        <v>55</v>
      </c>
      <c r="AA269" s="37"/>
      <c r="AB269" s="37"/>
    </row>
    <row r="270" spans="1:28" ht="23.1" customHeight="1" x14ac:dyDescent="0.25">
      <c r="A270" s="53" t="s">
        <v>452</v>
      </c>
      <c r="B270" s="25" t="s">
        <v>110</v>
      </c>
      <c r="C270" s="31">
        <v>10</v>
      </c>
      <c r="D270" s="31" t="s">
        <v>388</v>
      </c>
      <c r="E270" s="25" t="s">
        <v>389</v>
      </c>
      <c r="F270" s="21" t="s">
        <v>389</v>
      </c>
      <c r="G270" s="21" t="str">
        <f>VLOOKUP(D270,[6]成飞半成品!$A:$B,2,0)</f>
        <v>11968下口盖</v>
      </c>
      <c r="H270" s="31" t="s">
        <v>300</v>
      </c>
      <c r="I270" s="31">
        <v>10</v>
      </c>
      <c r="J270" s="37" t="s">
        <v>1941</v>
      </c>
      <c r="K270" s="31">
        <v>10</v>
      </c>
      <c r="L270" s="31">
        <v>10</v>
      </c>
      <c r="M270" s="37">
        <v>28</v>
      </c>
      <c r="N270" s="31">
        <v>28</v>
      </c>
      <c r="O270" s="77" t="s">
        <v>463</v>
      </c>
      <c r="P270" s="25"/>
      <c r="Q270" s="31">
        <v>60</v>
      </c>
      <c r="R270" s="31"/>
      <c r="S270" s="31"/>
      <c r="T270" s="31"/>
      <c r="U270" s="31">
        <v>120</v>
      </c>
      <c r="V270" s="31"/>
      <c r="W270" s="37"/>
      <c r="X270" s="37"/>
      <c r="Y270" s="79">
        <v>10</v>
      </c>
      <c r="Z270" s="31" t="s">
        <v>55</v>
      </c>
      <c r="AA270" s="37"/>
      <c r="AB270" s="37"/>
    </row>
    <row r="271" spans="1:28" ht="23.1" customHeight="1" x14ac:dyDescent="0.25">
      <c r="A271" s="53" t="s">
        <v>452</v>
      </c>
      <c r="B271" s="25" t="s">
        <v>110</v>
      </c>
      <c r="C271" s="31">
        <v>78</v>
      </c>
      <c r="D271" s="31" t="s">
        <v>261</v>
      </c>
      <c r="E271" s="25" t="s">
        <v>133</v>
      </c>
      <c r="F271" s="21" t="s">
        <v>133</v>
      </c>
      <c r="G271" s="21" t="str">
        <f>VLOOKUP(D271,[6]成飞半成品!$A:$B,2,0)</f>
        <v>摇臂</v>
      </c>
      <c r="H271" s="31" t="s">
        <v>102</v>
      </c>
      <c r="I271" s="31">
        <v>70</v>
      </c>
      <c r="J271" s="37" t="s">
        <v>1951</v>
      </c>
      <c r="K271" s="31">
        <v>1</v>
      </c>
      <c r="L271" s="31">
        <v>0.2</v>
      </c>
      <c r="M271" s="37">
        <v>28</v>
      </c>
      <c r="N271" s="31"/>
      <c r="O271" s="77" t="s">
        <v>103</v>
      </c>
      <c r="P271" s="25"/>
      <c r="Q271" s="31">
        <v>540</v>
      </c>
      <c r="R271" s="31">
        <v>60</v>
      </c>
      <c r="S271" s="31"/>
      <c r="T271" s="31"/>
      <c r="U271" s="31">
        <v>120</v>
      </c>
      <c r="V271" s="31"/>
      <c r="W271" s="37"/>
      <c r="X271" s="37"/>
      <c r="Y271" s="79">
        <v>1.8</v>
      </c>
      <c r="Z271" s="31" t="s">
        <v>19</v>
      </c>
      <c r="AA271" s="37"/>
      <c r="AB271" s="37"/>
    </row>
    <row r="272" spans="1:28" ht="23.1" customHeight="1" x14ac:dyDescent="0.25">
      <c r="A272" s="53" t="s">
        <v>452</v>
      </c>
      <c r="B272" s="25" t="s">
        <v>110</v>
      </c>
      <c r="C272" s="31">
        <v>78</v>
      </c>
      <c r="D272" s="31" t="s">
        <v>261</v>
      </c>
      <c r="E272" s="25" t="s">
        <v>133</v>
      </c>
      <c r="F272" s="21" t="s">
        <v>133</v>
      </c>
      <c r="G272" s="21" t="str">
        <f>VLOOKUP(D272,[6]成飞半成品!$A:$B,2,0)</f>
        <v>摇臂</v>
      </c>
      <c r="H272" s="31" t="s">
        <v>102</v>
      </c>
      <c r="I272" s="31">
        <v>70</v>
      </c>
      <c r="J272" s="37" t="s">
        <v>1951</v>
      </c>
      <c r="K272" s="31"/>
      <c r="L272" s="31">
        <v>0.5</v>
      </c>
      <c r="M272" s="37"/>
      <c r="N272" s="31">
        <v>5</v>
      </c>
      <c r="O272" s="77" t="s">
        <v>103</v>
      </c>
      <c r="P272" s="25"/>
      <c r="Q272" s="31">
        <v>540</v>
      </c>
      <c r="R272" s="31">
        <v>60</v>
      </c>
      <c r="S272" s="31"/>
      <c r="T272" s="31">
        <v>1</v>
      </c>
      <c r="U272" s="31">
        <v>120</v>
      </c>
      <c r="V272" s="31"/>
      <c r="W272" s="37">
        <v>1</v>
      </c>
      <c r="X272" s="37">
        <v>10.7</v>
      </c>
      <c r="Y272" s="79">
        <v>18.2</v>
      </c>
      <c r="Z272" s="31" t="s">
        <v>19</v>
      </c>
      <c r="AA272" s="37" t="s">
        <v>465</v>
      </c>
      <c r="AB272" s="37"/>
    </row>
    <row r="273" spans="1:28" ht="23.1" customHeight="1" x14ac:dyDescent="0.25">
      <c r="A273" s="53" t="s">
        <v>452</v>
      </c>
      <c r="B273" s="25" t="s">
        <v>110</v>
      </c>
      <c r="C273" s="31">
        <v>59</v>
      </c>
      <c r="D273" s="31" t="s">
        <v>408</v>
      </c>
      <c r="E273" s="25" t="s">
        <v>409</v>
      </c>
      <c r="F273" s="21" t="s">
        <v>409</v>
      </c>
      <c r="G273" s="21" t="str">
        <f>VLOOKUP(D273,[6]成飞半成品!$A:$B,2,0)</f>
        <v>接头</v>
      </c>
      <c r="H273" s="31" t="s">
        <v>107</v>
      </c>
      <c r="I273" s="31">
        <v>5</v>
      </c>
      <c r="J273" s="37" t="s">
        <v>1958</v>
      </c>
      <c r="K273" s="31"/>
      <c r="L273" s="31">
        <v>9</v>
      </c>
      <c r="M273" s="37">
        <v>28</v>
      </c>
      <c r="N273" s="31">
        <v>28</v>
      </c>
      <c r="O273" s="77" t="s">
        <v>410</v>
      </c>
      <c r="P273" s="25"/>
      <c r="Q273" s="31">
        <v>60</v>
      </c>
      <c r="R273" s="31"/>
      <c r="S273" s="31"/>
      <c r="T273" s="31"/>
      <c r="U273" s="31">
        <v>60</v>
      </c>
      <c r="V273" s="31"/>
      <c r="W273" s="37">
        <v>1</v>
      </c>
      <c r="X273" s="37"/>
      <c r="Y273" s="79">
        <v>10</v>
      </c>
      <c r="Z273" s="31" t="s">
        <v>42</v>
      </c>
      <c r="AA273" s="37" t="s">
        <v>466</v>
      </c>
      <c r="AB273" s="37"/>
    </row>
    <row r="274" spans="1:28" ht="23.1" customHeight="1" x14ac:dyDescent="0.25">
      <c r="A274" s="53" t="s">
        <v>452</v>
      </c>
      <c r="B274" s="25" t="s">
        <v>110</v>
      </c>
      <c r="C274" s="31">
        <v>59</v>
      </c>
      <c r="D274" s="31" t="s">
        <v>408</v>
      </c>
      <c r="E274" s="25" t="s">
        <v>409</v>
      </c>
      <c r="F274" s="21" t="s">
        <v>409</v>
      </c>
      <c r="G274" s="21" t="str">
        <f>VLOOKUP(D274,[6]成飞半成品!$A:$B,2,0)</f>
        <v>接头</v>
      </c>
      <c r="H274" s="31" t="s">
        <v>107</v>
      </c>
      <c r="I274" s="31">
        <v>5</v>
      </c>
      <c r="J274" s="37" t="s">
        <v>1958</v>
      </c>
      <c r="K274" s="31"/>
      <c r="L274" s="31">
        <v>10</v>
      </c>
      <c r="M274" s="37">
        <v>28</v>
      </c>
      <c r="N274" s="31">
        <v>28</v>
      </c>
      <c r="O274" s="77" t="s">
        <v>410</v>
      </c>
      <c r="P274" s="25"/>
      <c r="Q274" s="31">
        <v>60</v>
      </c>
      <c r="R274" s="31"/>
      <c r="S274" s="31"/>
      <c r="T274" s="31"/>
      <c r="U274" s="31">
        <v>60</v>
      </c>
      <c r="V274" s="31"/>
      <c r="W274" s="37">
        <v>1</v>
      </c>
      <c r="X274" s="37"/>
      <c r="Y274" s="79">
        <v>11</v>
      </c>
      <c r="Z274" s="31" t="s">
        <v>42</v>
      </c>
      <c r="AA274" s="37" t="s">
        <v>466</v>
      </c>
      <c r="AB274" s="37"/>
    </row>
    <row r="275" spans="1:28" ht="23.1" customHeight="1" x14ac:dyDescent="0.25">
      <c r="A275" s="53" t="s">
        <v>452</v>
      </c>
      <c r="B275" s="25" t="s">
        <v>110</v>
      </c>
      <c r="C275" s="31">
        <v>59</v>
      </c>
      <c r="D275" s="85" t="s">
        <v>2551</v>
      </c>
      <c r="E275" s="25" t="s">
        <v>382</v>
      </c>
      <c r="F275" s="21" t="e">
        <v>#N/A</v>
      </c>
      <c r="G275" s="21" t="str">
        <f>VLOOKUP(D275,[6]成飞半成品!$A:$B,2,0)</f>
        <v>工装</v>
      </c>
      <c r="H275" s="31" t="s">
        <v>102</v>
      </c>
      <c r="I275" s="31">
        <v>15</v>
      </c>
      <c r="J275" s="37"/>
      <c r="K275" s="31"/>
      <c r="L275" s="31"/>
      <c r="M275" s="37"/>
      <c r="N275" s="31"/>
      <c r="O275" s="77" t="s">
        <v>108</v>
      </c>
      <c r="P275" s="25"/>
      <c r="Q275" s="31"/>
      <c r="R275" s="31"/>
      <c r="S275" s="31"/>
      <c r="T275" s="31"/>
      <c r="U275" s="31"/>
      <c r="V275" s="31"/>
      <c r="W275" s="37"/>
      <c r="X275" s="37">
        <v>2</v>
      </c>
      <c r="Y275" s="79">
        <v>2</v>
      </c>
      <c r="Z275" s="31" t="s">
        <v>42</v>
      </c>
      <c r="AA275" s="37"/>
      <c r="AB275" s="37"/>
    </row>
    <row r="276" spans="1:28" ht="23.1" customHeight="1" x14ac:dyDescent="0.25">
      <c r="A276" s="53" t="s">
        <v>452</v>
      </c>
      <c r="B276" s="25" t="s">
        <v>110</v>
      </c>
      <c r="C276" s="31">
        <v>79</v>
      </c>
      <c r="D276" s="31" t="s">
        <v>420</v>
      </c>
      <c r="E276" s="25" t="s">
        <v>153</v>
      </c>
      <c r="F276" s="21" t="s">
        <v>1247</v>
      </c>
      <c r="G276" s="21" t="str">
        <f>VLOOKUP(D276,[6]成飞半成品!$A:$B,2,0)</f>
        <v>根肋前段</v>
      </c>
      <c r="H276" s="31" t="s">
        <v>154</v>
      </c>
      <c r="I276" s="31">
        <v>20</v>
      </c>
      <c r="J276" s="37" t="s">
        <v>1948</v>
      </c>
      <c r="K276" s="31">
        <v>1</v>
      </c>
      <c r="L276" s="31">
        <v>1.3</v>
      </c>
      <c r="M276" s="37">
        <v>28</v>
      </c>
      <c r="N276" s="31">
        <v>26</v>
      </c>
      <c r="O276" s="77" t="s">
        <v>468</v>
      </c>
      <c r="P276" s="25"/>
      <c r="Q276" s="31">
        <v>660</v>
      </c>
      <c r="R276" s="31">
        <v>90</v>
      </c>
      <c r="S276" s="31"/>
      <c r="T276" s="31">
        <v>2</v>
      </c>
      <c r="U276" s="31">
        <v>120</v>
      </c>
      <c r="V276" s="31"/>
      <c r="W276" s="37"/>
      <c r="X276" s="37"/>
      <c r="Y276" s="79">
        <v>17.3</v>
      </c>
      <c r="Z276" s="31" t="s">
        <v>19</v>
      </c>
      <c r="AA276" s="37" t="s">
        <v>147</v>
      </c>
      <c r="AB276" s="37"/>
    </row>
    <row r="277" spans="1:28" ht="23.1" customHeight="1" x14ac:dyDescent="0.25">
      <c r="A277" s="53" t="s">
        <v>452</v>
      </c>
      <c r="B277" s="25" t="s">
        <v>110</v>
      </c>
      <c r="C277" s="31">
        <v>21</v>
      </c>
      <c r="D277" s="31" t="s">
        <v>321</v>
      </c>
      <c r="E277" s="25" t="s">
        <v>322</v>
      </c>
      <c r="F277" s="21" t="s">
        <v>322</v>
      </c>
      <c r="G277" s="21" t="str">
        <f>VLOOKUP(D277,[6]成飞半成品!$A:$B,2,0)</f>
        <v>10860框</v>
      </c>
      <c r="H277" s="31" t="s">
        <v>323</v>
      </c>
      <c r="I277" s="31">
        <v>5</v>
      </c>
      <c r="J277" s="37" t="s">
        <v>1945</v>
      </c>
      <c r="K277" s="31">
        <v>2</v>
      </c>
      <c r="L277" s="31">
        <v>2</v>
      </c>
      <c r="M277" s="37">
        <v>28</v>
      </c>
      <c r="N277" s="31">
        <v>37</v>
      </c>
      <c r="O277" s="77" t="s">
        <v>469</v>
      </c>
      <c r="P277" s="25"/>
      <c r="Q277" s="31">
        <v>540</v>
      </c>
      <c r="R277" s="31">
        <v>120</v>
      </c>
      <c r="S277" s="31"/>
      <c r="T277" s="31">
        <v>2</v>
      </c>
      <c r="U277" s="31">
        <v>180</v>
      </c>
      <c r="V277" s="31"/>
      <c r="W277" s="37"/>
      <c r="X277" s="37"/>
      <c r="Y277" s="79">
        <v>22</v>
      </c>
      <c r="Z277" s="31" t="s">
        <v>58</v>
      </c>
      <c r="AA277" s="37" t="s">
        <v>147</v>
      </c>
      <c r="AB277" s="37"/>
    </row>
    <row r="278" spans="1:28" ht="23.1" customHeight="1" x14ac:dyDescent="0.25">
      <c r="A278" s="53" t="s">
        <v>452</v>
      </c>
      <c r="B278" s="25" t="s">
        <v>110</v>
      </c>
      <c r="C278" s="31">
        <v>22</v>
      </c>
      <c r="D278" s="31" t="s">
        <v>111</v>
      </c>
      <c r="E278" s="25" t="s">
        <v>101</v>
      </c>
      <c r="F278" s="21" t="s">
        <v>101</v>
      </c>
      <c r="G278" s="21" t="str">
        <f>VLOOKUP(D278,[6]成飞半成品!$A:$B,2,0)</f>
        <v>前梁一段</v>
      </c>
      <c r="H278" s="31" t="s">
        <v>102</v>
      </c>
      <c r="I278" s="31">
        <v>35</v>
      </c>
      <c r="J278" s="37" t="s">
        <v>1940</v>
      </c>
      <c r="K278" s="31">
        <v>0.3</v>
      </c>
      <c r="L278" s="31">
        <v>0.5</v>
      </c>
      <c r="M278" s="37"/>
      <c r="N278" s="31">
        <v>37</v>
      </c>
      <c r="O278" s="77" t="s">
        <v>103</v>
      </c>
      <c r="P278" s="25"/>
      <c r="Q278" s="31">
        <v>2100</v>
      </c>
      <c r="R278" s="31">
        <v>180</v>
      </c>
      <c r="S278" s="31"/>
      <c r="T278" s="31"/>
      <c r="U278" s="31">
        <v>180</v>
      </c>
      <c r="V278" s="31"/>
      <c r="W278" s="37"/>
      <c r="X278" s="37"/>
      <c r="Y278" s="79">
        <v>17.5</v>
      </c>
      <c r="Z278" s="31" t="s">
        <v>58</v>
      </c>
      <c r="AA278" s="37"/>
      <c r="AB278" s="37"/>
    </row>
    <row r="279" spans="1:28" ht="23.1" customHeight="1" x14ac:dyDescent="0.25">
      <c r="A279" s="53" t="s">
        <v>452</v>
      </c>
      <c r="B279" s="25" t="s">
        <v>110</v>
      </c>
      <c r="C279" s="31">
        <v>108</v>
      </c>
      <c r="D279" s="31" t="s">
        <v>173</v>
      </c>
      <c r="E279" s="25" t="s">
        <v>174</v>
      </c>
      <c r="F279" s="21" t="s">
        <v>1246</v>
      </c>
      <c r="G279" s="21" t="str">
        <f>VLOOKUP(D279,[6]成飞半成品!$A:$B,2,0)</f>
        <v>根肋后段</v>
      </c>
      <c r="H279" s="31" t="s">
        <v>154</v>
      </c>
      <c r="I279" s="31">
        <v>20</v>
      </c>
      <c r="J279" s="37" t="s">
        <v>1950</v>
      </c>
      <c r="K279" s="31">
        <v>1.5</v>
      </c>
      <c r="L279" s="31">
        <v>1</v>
      </c>
      <c r="M279" s="37">
        <v>26</v>
      </c>
      <c r="N279" s="31"/>
      <c r="O279" s="77" t="s">
        <v>470</v>
      </c>
      <c r="P279" s="25"/>
      <c r="Q279" s="31">
        <v>510</v>
      </c>
      <c r="R279" s="31">
        <v>90</v>
      </c>
      <c r="S279" s="31"/>
      <c r="T279" s="31">
        <v>1</v>
      </c>
      <c r="U279" s="31">
        <v>120</v>
      </c>
      <c r="V279" s="31"/>
      <c r="W279" s="37"/>
      <c r="X279" s="37"/>
      <c r="Y279" s="79">
        <v>10</v>
      </c>
      <c r="Z279" s="31" t="s">
        <v>45</v>
      </c>
      <c r="AA279" s="37" t="s">
        <v>145</v>
      </c>
      <c r="AB279" s="37"/>
    </row>
    <row r="280" spans="1:28" ht="23.1" customHeight="1" x14ac:dyDescent="0.25">
      <c r="A280" s="53" t="s">
        <v>452</v>
      </c>
      <c r="B280" s="25" t="s">
        <v>110</v>
      </c>
      <c r="C280" s="31">
        <v>11</v>
      </c>
      <c r="D280" s="31" t="s">
        <v>200</v>
      </c>
      <c r="E280" s="25" t="s">
        <v>317</v>
      </c>
      <c r="F280" s="21" t="s">
        <v>317</v>
      </c>
      <c r="G280" s="21" t="str">
        <f>VLOOKUP(D280,[6]成飞半成品!$A:$B,2,0)</f>
        <v>角盒</v>
      </c>
      <c r="H280" s="31" t="s">
        <v>154</v>
      </c>
      <c r="I280" s="31">
        <v>40</v>
      </c>
      <c r="J280" s="37" t="s">
        <v>1935</v>
      </c>
      <c r="K280" s="31">
        <v>3</v>
      </c>
      <c r="L280" s="31">
        <v>4</v>
      </c>
      <c r="M280" s="37">
        <v>28</v>
      </c>
      <c r="N280" s="31">
        <v>31</v>
      </c>
      <c r="O280" s="77" t="s">
        <v>471</v>
      </c>
      <c r="P280" s="25"/>
      <c r="Q280" s="31">
        <v>260</v>
      </c>
      <c r="R280" s="31"/>
      <c r="S280" s="31"/>
      <c r="T280" s="31"/>
      <c r="U280" s="31">
        <v>90</v>
      </c>
      <c r="V280" s="31"/>
      <c r="W280" s="37"/>
      <c r="X280" s="37"/>
      <c r="Y280" s="79">
        <v>17.3</v>
      </c>
      <c r="Z280" s="31" t="s">
        <v>38</v>
      </c>
      <c r="AA280" s="37"/>
      <c r="AB280" s="37"/>
    </row>
    <row r="281" spans="1:28" ht="23.1" customHeight="1" x14ac:dyDescent="0.25">
      <c r="A281" s="53" t="s">
        <v>452</v>
      </c>
      <c r="B281" s="25" t="s">
        <v>110</v>
      </c>
      <c r="C281" s="31">
        <v>17</v>
      </c>
      <c r="D281" s="31" t="s">
        <v>352</v>
      </c>
      <c r="E281" s="25" t="s">
        <v>353</v>
      </c>
      <c r="F281" s="21" t="e">
        <v>#N/A</v>
      </c>
      <c r="G281" s="21" t="e">
        <f>VLOOKUP(D281,[6]成飞半成品!$A:$B,2,0)</f>
        <v>#N/A</v>
      </c>
      <c r="H281" s="31" t="s">
        <v>300</v>
      </c>
      <c r="I281" s="31">
        <v>20</v>
      </c>
      <c r="J281" s="37" t="s">
        <v>2432</v>
      </c>
      <c r="K281" s="31"/>
      <c r="L281" s="31">
        <v>8</v>
      </c>
      <c r="M281" s="37">
        <v>28</v>
      </c>
      <c r="N281" s="31">
        <v>26</v>
      </c>
      <c r="O281" s="77" t="s">
        <v>472</v>
      </c>
      <c r="P281" s="25"/>
      <c r="Q281" s="31">
        <v>60</v>
      </c>
      <c r="R281" s="31"/>
      <c r="S281" s="31"/>
      <c r="T281" s="31">
        <v>1</v>
      </c>
      <c r="U281" s="31">
        <v>60</v>
      </c>
      <c r="V281" s="31"/>
      <c r="W281" s="37"/>
      <c r="X281" s="37">
        <v>2</v>
      </c>
      <c r="Y281" s="79">
        <v>10</v>
      </c>
      <c r="Z281" s="31" t="s">
        <v>43</v>
      </c>
      <c r="AA281" s="37" t="s">
        <v>473</v>
      </c>
      <c r="AB281" s="25" t="s">
        <v>238</v>
      </c>
    </row>
    <row r="282" spans="1:28" ht="23.1" customHeight="1" x14ac:dyDescent="0.25">
      <c r="A282" s="53" t="s">
        <v>452</v>
      </c>
      <c r="B282" s="25" t="s">
        <v>110</v>
      </c>
      <c r="C282" s="31">
        <v>18</v>
      </c>
      <c r="D282" s="31" t="s">
        <v>205</v>
      </c>
      <c r="E282" s="25" t="s">
        <v>206</v>
      </c>
      <c r="F282" s="21" t="s">
        <v>206</v>
      </c>
      <c r="G282" s="21" t="str">
        <f>VLOOKUP(D282,[6]成飞半成品!$A:$B,2,0)</f>
        <v>卡环</v>
      </c>
      <c r="H282" s="31" t="s">
        <v>123</v>
      </c>
      <c r="I282" s="31">
        <v>35</v>
      </c>
      <c r="J282" s="37" t="s">
        <v>1963</v>
      </c>
      <c r="K282" s="31"/>
      <c r="L282" s="31">
        <v>3</v>
      </c>
      <c r="M282" s="37">
        <v>28</v>
      </c>
      <c r="N282" s="31">
        <v>26</v>
      </c>
      <c r="O282" s="77" t="s">
        <v>474</v>
      </c>
      <c r="P282" s="25"/>
      <c r="Q282" s="31">
        <v>360</v>
      </c>
      <c r="R282" s="31"/>
      <c r="S282" s="31"/>
      <c r="T282" s="31">
        <v>1</v>
      </c>
      <c r="U282" s="31">
        <v>90</v>
      </c>
      <c r="V282" s="31"/>
      <c r="W282" s="37"/>
      <c r="X282" s="37"/>
      <c r="Y282" s="79">
        <v>18</v>
      </c>
      <c r="Z282" s="31" t="s">
        <v>43</v>
      </c>
      <c r="AA282" s="37" t="s">
        <v>210</v>
      </c>
      <c r="AB282" s="37"/>
    </row>
    <row r="283" spans="1:28" ht="23.1" customHeight="1" x14ac:dyDescent="0.25">
      <c r="A283" s="53" t="s">
        <v>452</v>
      </c>
      <c r="B283" s="25" t="s">
        <v>110</v>
      </c>
      <c r="C283" s="31">
        <v>56</v>
      </c>
      <c r="D283" s="31" t="s">
        <v>273</v>
      </c>
      <c r="E283" s="25" t="s">
        <v>274</v>
      </c>
      <c r="F283" s="21" t="s">
        <v>274</v>
      </c>
      <c r="G283" s="21" t="str">
        <f>VLOOKUP(D283,[6]成飞半成品!$A:$B,2,0)</f>
        <v>前起落架水平接头</v>
      </c>
      <c r="H283" s="31" t="s">
        <v>123</v>
      </c>
      <c r="I283" s="31">
        <v>15</v>
      </c>
      <c r="J283" s="37" t="s">
        <v>1859</v>
      </c>
      <c r="K283" s="31">
        <v>8</v>
      </c>
      <c r="L283" s="31">
        <v>16</v>
      </c>
      <c r="M283" s="37">
        <v>19</v>
      </c>
      <c r="N283" s="31">
        <v>37</v>
      </c>
      <c r="O283" s="77" t="s">
        <v>263</v>
      </c>
      <c r="P283" s="25"/>
      <c r="Q283" s="31">
        <v>60</v>
      </c>
      <c r="R283" s="31"/>
      <c r="S283" s="31"/>
      <c r="T283" s="31"/>
      <c r="U283" s="31">
        <v>60</v>
      </c>
      <c r="V283" s="31"/>
      <c r="W283" s="37"/>
      <c r="X283" s="37"/>
      <c r="Y283" s="79">
        <v>16</v>
      </c>
      <c r="Z283" s="31" t="s">
        <v>44</v>
      </c>
      <c r="AA283" s="37"/>
      <c r="AB283" s="37"/>
    </row>
    <row r="284" spans="1:28" ht="23.1" customHeight="1" x14ac:dyDescent="0.25">
      <c r="A284" s="53" t="s">
        <v>452</v>
      </c>
      <c r="B284" s="25" t="s">
        <v>110</v>
      </c>
      <c r="C284" s="31">
        <v>23</v>
      </c>
      <c r="D284" s="31" t="s">
        <v>288</v>
      </c>
      <c r="E284" s="25" t="s">
        <v>255</v>
      </c>
      <c r="F284" s="21" t="s">
        <v>1532</v>
      </c>
      <c r="G284" s="21" t="str">
        <f>VLOOKUP(D284,[6]成飞半成品!$A:$B,2,0)</f>
        <v>9350-11140左侧上梁</v>
      </c>
      <c r="H284" s="31" t="s">
        <v>250</v>
      </c>
      <c r="I284" s="31">
        <v>45</v>
      </c>
      <c r="J284" s="37" t="s">
        <v>1919</v>
      </c>
      <c r="K284" s="31">
        <v>0.8</v>
      </c>
      <c r="L284" s="31">
        <v>0.6</v>
      </c>
      <c r="M284" s="37"/>
      <c r="N284" s="31">
        <v>28</v>
      </c>
      <c r="O284" s="77" t="s">
        <v>475</v>
      </c>
      <c r="P284" s="25"/>
      <c r="Q284" s="31">
        <v>660</v>
      </c>
      <c r="R284" s="31">
        <v>90</v>
      </c>
      <c r="S284" s="31"/>
      <c r="T284" s="31"/>
      <c r="U284" s="31">
        <v>120</v>
      </c>
      <c r="V284" s="31"/>
      <c r="W284" s="37"/>
      <c r="X284" s="37"/>
      <c r="Y284" s="79">
        <v>6.6</v>
      </c>
      <c r="Z284" s="31" t="s">
        <v>33</v>
      </c>
      <c r="AA284" s="37"/>
      <c r="AB284" s="37"/>
    </row>
    <row r="285" spans="1:28" ht="23.1" customHeight="1" x14ac:dyDescent="0.25">
      <c r="A285" s="53" t="s">
        <v>452</v>
      </c>
      <c r="B285" s="25" t="s">
        <v>110</v>
      </c>
      <c r="C285" s="31">
        <v>23</v>
      </c>
      <c r="D285" s="31" t="s">
        <v>288</v>
      </c>
      <c r="E285" s="25" t="s">
        <v>255</v>
      </c>
      <c r="F285" s="21" t="s">
        <v>1532</v>
      </c>
      <c r="G285" s="21" t="str">
        <f>VLOOKUP(D285,[6]成飞半成品!$A:$B,2,0)</f>
        <v>9350-11140左侧上梁</v>
      </c>
      <c r="H285" s="31" t="s">
        <v>250</v>
      </c>
      <c r="I285" s="31">
        <v>45</v>
      </c>
      <c r="J285" s="37" t="s">
        <v>1919</v>
      </c>
      <c r="K285" s="31"/>
      <c r="L285" s="31">
        <v>0.6</v>
      </c>
      <c r="M285" s="37"/>
      <c r="N285" s="31">
        <v>5</v>
      </c>
      <c r="O285" s="77" t="s">
        <v>476</v>
      </c>
      <c r="P285" s="25"/>
      <c r="Q285" s="31">
        <v>660</v>
      </c>
      <c r="R285" s="31">
        <v>90</v>
      </c>
      <c r="S285" s="31"/>
      <c r="T285" s="31">
        <v>1</v>
      </c>
      <c r="U285" s="31">
        <v>120</v>
      </c>
      <c r="V285" s="31"/>
      <c r="W285" s="37"/>
      <c r="X285" s="37"/>
      <c r="Y285" s="79">
        <v>8.1</v>
      </c>
      <c r="Z285" s="31" t="s">
        <v>33</v>
      </c>
      <c r="AA285" s="37" t="s">
        <v>145</v>
      </c>
      <c r="AB285" s="37"/>
    </row>
    <row r="286" spans="1:28" ht="23.1" customHeight="1" x14ac:dyDescent="0.25">
      <c r="A286" s="53" t="s">
        <v>452</v>
      </c>
      <c r="B286" s="25" t="s">
        <v>110</v>
      </c>
      <c r="C286" s="31">
        <v>107</v>
      </c>
      <c r="D286" s="31" t="s">
        <v>232</v>
      </c>
      <c r="E286" s="25" t="s">
        <v>233</v>
      </c>
      <c r="F286" s="21" t="s">
        <v>233</v>
      </c>
      <c r="G286" s="21" t="str">
        <f>VLOOKUP(D286,[6]成飞半成品!$A:$B,2,0)</f>
        <v>左内侧接头</v>
      </c>
      <c r="H286" s="31" t="s">
        <v>102</v>
      </c>
      <c r="I286" s="31">
        <v>80</v>
      </c>
      <c r="J286" s="37" t="s">
        <v>1964</v>
      </c>
      <c r="K286" s="31"/>
      <c r="L286" s="31">
        <v>1</v>
      </c>
      <c r="M286" s="37"/>
      <c r="N286" s="31">
        <v>26</v>
      </c>
      <c r="O286" s="77" t="s">
        <v>159</v>
      </c>
      <c r="P286" s="25"/>
      <c r="Q286" s="31">
        <v>360</v>
      </c>
      <c r="R286" s="31"/>
      <c r="S286" s="31"/>
      <c r="T286" s="31"/>
      <c r="U286" s="31">
        <v>120</v>
      </c>
      <c r="V286" s="31"/>
      <c r="W286" s="37">
        <v>1</v>
      </c>
      <c r="X286" s="37">
        <v>2</v>
      </c>
      <c r="Y286" s="79">
        <v>10</v>
      </c>
      <c r="Z286" s="31" t="s">
        <v>45</v>
      </c>
      <c r="AA286" s="37" t="s">
        <v>477</v>
      </c>
      <c r="AB286" s="25" t="s">
        <v>238</v>
      </c>
    </row>
    <row r="287" spans="1:28" ht="23.1" customHeight="1" x14ac:dyDescent="0.25">
      <c r="A287" s="53" t="s">
        <v>452</v>
      </c>
      <c r="B287" s="25" t="s">
        <v>110</v>
      </c>
      <c r="C287" s="31">
        <v>84</v>
      </c>
      <c r="D287" s="31" t="s">
        <v>478</v>
      </c>
      <c r="E287" s="25" t="s">
        <v>479</v>
      </c>
      <c r="F287" s="21" t="s">
        <v>2550</v>
      </c>
      <c r="G287" s="21" t="str">
        <f>VLOOKUP(D287,[6]成飞半成品!$A:$B,2,0)</f>
        <v>1号护板维型肋左件</v>
      </c>
      <c r="H287" s="31" t="s">
        <v>154</v>
      </c>
      <c r="I287" s="31">
        <v>25</v>
      </c>
      <c r="J287" s="37" t="s">
        <v>1938</v>
      </c>
      <c r="K287" s="31">
        <v>10</v>
      </c>
      <c r="L287" s="31">
        <v>3</v>
      </c>
      <c r="M287" s="37">
        <v>28</v>
      </c>
      <c r="N287" s="31">
        <v>28</v>
      </c>
      <c r="O287" s="77" t="s">
        <v>247</v>
      </c>
      <c r="P287" s="25"/>
      <c r="Q287" s="31">
        <v>60</v>
      </c>
      <c r="R287" s="31">
        <v>60</v>
      </c>
      <c r="S287" s="31"/>
      <c r="T287" s="31"/>
      <c r="U287" s="31">
        <v>120</v>
      </c>
      <c r="V287" s="31"/>
      <c r="W287" s="37"/>
      <c r="X287" s="37"/>
      <c r="Y287" s="79">
        <v>3</v>
      </c>
      <c r="Z287" s="31" t="s">
        <v>3</v>
      </c>
      <c r="AA287" s="37"/>
      <c r="AB287" s="37"/>
    </row>
    <row r="288" spans="1:28" ht="23.1" customHeight="1" x14ac:dyDescent="0.25">
      <c r="A288" s="53" t="s">
        <v>452</v>
      </c>
      <c r="B288" s="31" t="s">
        <v>110</v>
      </c>
      <c r="C288" s="31">
        <v>84</v>
      </c>
      <c r="D288" s="31" t="s">
        <v>401</v>
      </c>
      <c r="E288" s="25" t="s">
        <v>402</v>
      </c>
      <c r="F288" s="21" t="s">
        <v>2549</v>
      </c>
      <c r="G288" s="21" t="str">
        <f>VLOOKUP(D288,[6]成飞半成品!$A:$B,2,0)</f>
        <v>1号护板维型肋右件</v>
      </c>
      <c r="H288" s="31" t="s">
        <v>154</v>
      </c>
      <c r="I288" s="31">
        <v>25</v>
      </c>
      <c r="J288" s="31" t="s">
        <v>1938</v>
      </c>
      <c r="K288" s="31"/>
      <c r="L288" s="31">
        <v>6</v>
      </c>
      <c r="M288" s="31">
        <v>28</v>
      </c>
      <c r="N288" s="31">
        <v>37</v>
      </c>
      <c r="O288" s="77" t="s">
        <v>247</v>
      </c>
      <c r="P288" s="31"/>
      <c r="Q288" s="34">
        <v>60</v>
      </c>
      <c r="R288" s="31">
        <v>60</v>
      </c>
      <c r="S288" s="31"/>
      <c r="T288" s="31"/>
      <c r="U288" s="31">
        <v>120</v>
      </c>
      <c r="V288" s="31"/>
      <c r="W288" s="31">
        <v>1</v>
      </c>
      <c r="X288" s="37"/>
      <c r="Y288" s="79">
        <v>8</v>
      </c>
      <c r="Z288" s="31" t="s">
        <v>3</v>
      </c>
      <c r="AA288" s="37" t="s">
        <v>480</v>
      </c>
      <c r="AB288" s="37"/>
    </row>
    <row r="289" spans="1:28" ht="23.1" customHeight="1" x14ac:dyDescent="0.25">
      <c r="A289" s="53" t="s">
        <v>329</v>
      </c>
      <c r="B289" s="31" t="s">
        <v>113</v>
      </c>
      <c r="C289" s="31">
        <v>119</v>
      </c>
      <c r="D289" s="31" t="s">
        <v>404</v>
      </c>
      <c r="E289" s="25" t="s">
        <v>405</v>
      </c>
      <c r="F289" s="21" t="s">
        <v>405</v>
      </c>
      <c r="G289" s="21" t="str">
        <f>VLOOKUP(D289,[6]成飞半成品!$A:$B,2,0)</f>
        <v>11140框右下半框</v>
      </c>
      <c r="H289" s="31" t="s">
        <v>118</v>
      </c>
      <c r="I289" s="31">
        <v>45</v>
      </c>
      <c r="J289" s="31" t="s">
        <v>1943</v>
      </c>
      <c r="K289" s="31">
        <v>3</v>
      </c>
      <c r="L289" s="31">
        <v>3</v>
      </c>
      <c r="M289" s="31">
        <v>23</v>
      </c>
      <c r="N289" s="31">
        <v>28</v>
      </c>
      <c r="O289" s="77" t="s">
        <v>433</v>
      </c>
      <c r="P289" s="31"/>
      <c r="Q289" s="34">
        <v>60</v>
      </c>
      <c r="R289" s="31">
        <v>75</v>
      </c>
      <c r="S289" s="31"/>
      <c r="T289" s="31">
        <v>3</v>
      </c>
      <c r="U289" s="31">
        <v>150</v>
      </c>
      <c r="V289" s="31"/>
      <c r="W289" s="31"/>
      <c r="X289" s="37"/>
      <c r="Y289" s="79">
        <v>6.8</v>
      </c>
      <c r="Z289" s="31" t="s">
        <v>69</v>
      </c>
      <c r="AA289" s="37" t="s">
        <v>434</v>
      </c>
      <c r="AB289" s="37"/>
    </row>
    <row r="290" spans="1:28" ht="23.1" customHeight="1" x14ac:dyDescent="0.25">
      <c r="A290" s="53" t="s">
        <v>329</v>
      </c>
      <c r="B290" s="31" t="s">
        <v>113</v>
      </c>
      <c r="C290" s="31">
        <v>119</v>
      </c>
      <c r="D290" s="31" t="s">
        <v>404</v>
      </c>
      <c r="E290" s="25" t="s">
        <v>405</v>
      </c>
      <c r="F290" s="21" t="s">
        <v>405</v>
      </c>
      <c r="G290" s="21" t="str">
        <f>VLOOKUP(D290,[6]成飞半成品!$A:$B,2,0)</f>
        <v>11140框右下半框</v>
      </c>
      <c r="H290" s="31" t="s">
        <v>118</v>
      </c>
      <c r="I290" s="31">
        <v>50</v>
      </c>
      <c r="J290" s="31" t="s">
        <v>1944</v>
      </c>
      <c r="K290" s="31">
        <v>3</v>
      </c>
      <c r="L290" s="31">
        <v>3</v>
      </c>
      <c r="M290" s="31">
        <v>23</v>
      </c>
      <c r="N290" s="31">
        <v>28</v>
      </c>
      <c r="O290" s="77" t="s">
        <v>433</v>
      </c>
      <c r="P290" s="31"/>
      <c r="Q290" s="34">
        <v>120</v>
      </c>
      <c r="R290" s="31">
        <v>75</v>
      </c>
      <c r="S290" s="31"/>
      <c r="T290" s="31">
        <v>3</v>
      </c>
      <c r="U290" s="31">
        <v>150</v>
      </c>
      <c r="V290" s="31"/>
      <c r="W290" s="31"/>
      <c r="X290" s="37"/>
      <c r="Y290" s="79">
        <v>9.8000000000000007</v>
      </c>
      <c r="Z290" s="31" t="s">
        <v>69</v>
      </c>
      <c r="AA290" s="37" t="s">
        <v>434</v>
      </c>
      <c r="AB290" s="37"/>
    </row>
    <row r="291" spans="1:28" ht="23.1" customHeight="1" x14ac:dyDescent="0.25">
      <c r="A291" s="53" t="s">
        <v>452</v>
      </c>
      <c r="B291" s="31" t="s">
        <v>110</v>
      </c>
      <c r="C291" s="31">
        <v>119</v>
      </c>
      <c r="D291" s="31" t="s">
        <v>481</v>
      </c>
      <c r="E291" s="25" t="s">
        <v>482</v>
      </c>
      <c r="F291" s="21" t="s">
        <v>482</v>
      </c>
      <c r="G291" s="21" t="str">
        <f>VLOOKUP(D291,[6]成飞半成品!$A:$B,2,0)</f>
        <v>11140框左下半框</v>
      </c>
      <c r="H291" s="31" t="s">
        <v>118</v>
      </c>
      <c r="I291" s="31">
        <v>40</v>
      </c>
      <c r="J291" s="31" t="s">
        <v>1939</v>
      </c>
      <c r="K291" s="31">
        <v>3</v>
      </c>
      <c r="L291" s="31">
        <v>3</v>
      </c>
      <c r="M291" s="31">
        <v>28</v>
      </c>
      <c r="N291" s="31">
        <v>28</v>
      </c>
      <c r="O291" s="77" t="s">
        <v>319</v>
      </c>
      <c r="P291" s="31"/>
      <c r="Q291" s="34">
        <v>150</v>
      </c>
      <c r="R291" s="31">
        <v>75</v>
      </c>
      <c r="S291" s="31"/>
      <c r="T291" s="31"/>
      <c r="U291" s="31">
        <v>150</v>
      </c>
      <c r="V291" s="31"/>
      <c r="W291" s="31">
        <v>1</v>
      </c>
      <c r="X291" s="37">
        <v>2</v>
      </c>
      <c r="Y291" s="79">
        <v>12</v>
      </c>
      <c r="Z291" s="31" t="s">
        <v>3</v>
      </c>
      <c r="AA291" s="37" t="s">
        <v>483</v>
      </c>
      <c r="AB291" s="37"/>
    </row>
    <row r="292" spans="1:28" ht="23.1" customHeight="1" x14ac:dyDescent="0.25">
      <c r="A292" s="53" t="s">
        <v>452</v>
      </c>
      <c r="B292" s="31" t="s">
        <v>110</v>
      </c>
      <c r="C292" s="31">
        <v>119</v>
      </c>
      <c r="D292" s="31" t="s">
        <v>481</v>
      </c>
      <c r="E292" s="25" t="s">
        <v>482</v>
      </c>
      <c r="F292" s="21" t="s">
        <v>482</v>
      </c>
      <c r="G292" s="21" t="str">
        <f>VLOOKUP(D292,[6]成飞半成品!$A:$B,2,0)</f>
        <v>11140框左下半框</v>
      </c>
      <c r="H292" s="31" t="s">
        <v>118</v>
      </c>
      <c r="I292" s="31">
        <v>45</v>
      </c>
      <c r="J292" s="31" t="s">
        <v>1858</v>
      </c>
      <c r="K292" s="31">
        <v>3</v>
      </c>
      <c r="L292" s="31">
        <v>3</v>
      </c>
      <c r="M292" s="31">
        <v>28</v>
      </c>
      <c r="N292" s="31">
        <v>28</v>
      </c>
      <c r="O292" s="77" t="s">
        <v>319</v>
      </c>
      <c r="P292" s="31"/>
      <c r="Q292" s="34">
        <v>60</v>
      </c>
      <c r="R292" s="31">
        <v>75</v>
      </c>
      <c r="S292" s="31"/>
      <c r="T292" s="31"/>
      <c r="U292" s="31">
        <v>150</v>
      </c>
      <c r="V292" s="31"/>
      <c r="W292" s="31">
        <v>1</v>
      </c>
      <c r="X292" s="37"/>
      <c r="Y292" s="79">
        <v>5.5</v>
      </c>
      <c r="Z292" s="31" t="s">
        <v>3</v>
      </c>
      <c r="AA292" s="37" t="s">
        <v>483</v>
      </c>
      <c r="AB292" s="37"/>
    </row>
    <row r="293" spans="1:28" ht="23.1" customHeight="1" x14ac:dyDescent="0.25">
      <c r="A293" s="53" t="s">
        <v>452</v>
      </c>
      <c r="B293" s="31" t="s">
        <v>110</v>
      </c>
      <c r="C293" s="31">
        <v>119</v>
      </c>
      <c r="D293" s="31" t="s">
        <v>481</v>
      </c>
      <c r="E293" s="25" t="s">
        <v>482</v>
      </c>
      <c r="F293" s="21" t="s">
        <v>482</v>
      </c>
      <c r="G293" s="21" t="str">
        <f>VLOOKUP(D293,[6]成飞半成品!$A:$B,2,0)</f>
        <v>11140框左下半框</v>
      </c>
      <c r="H293" s="31" t="s">
        <v>118</v>
      </c>
      <c r="I293" s="31">
        <v>50</v>
      </c>
      <c r="J293" s="31" t="s">
        <v>1944</v>
      </c>
      <c r="K293" s="31">
        <v>3</v>
      </c>
      <c r="L293" s="31">
        <v>3</v>
      </c>
      <c r="M293" s="31">
        <v>28</v>
      </c>
      <c r="N293" s="31">
        <v>28</v>
      </c>
      <c r="O293" s="77" t="s">
        <v>319</v>
      </c>
      <c r="P293" s="31"/>
      <c r="Q293" s="34">
        <v>110</v>
      </c>
      <c r="R293" s="31">
        <v>75</v>
      </c>
      <c r="S293" s="31"/>
      <c r="T293" s="31"/>
      <c r="U293" s="31">
        <v>150</v>
      </c>
      <c r="V293" s="31"/>
      <c r="W293" s="31">
        <v>1</v>
      </c>
      <c r="X293" s="37"/>
      <c r="Y293" s="79">
        <v>8</v>
      </c>
      <c r="Z293" s="31" t="s">
        <v>3</v>
      </c>
      <c r="AA293" s="37" t="s">
        <v>483</v>
      </c>
      <c r="AB293" s="37"/>
    </row>
    <row r="294" spans="1:28" ht="23.1" customHeight="1" x14ac:dyDescent="0.25">
      <c r="A294" s="53" t="s">
        <v>452</v>
      </c>
      <c r="B294" s="31" t="s">
        <v>110</v>
      </c>
      <c r="C294" s="31">
        <v>91</v>
      </c>
      <c r="D294" s="31" t="s">
        <v>298</v>
      </c>
      <c r="E294" s="25" t="s">
        <v>299</v>
      </c>
      <c r="F294" s="21" t="s">
        <v>299</v>
      </c>
      <c r="G294" s="21" t="str">
        <f>VLOOKUP(D294,[6]成飞半成品!$A:$B,2,0)</f>
        <v>8635右隔框</v>
      </c>
      <c r="H294" s="31" t="s">
        <v>300</v>
      </c>
      <c r="I294" s="31">
        <v>30</v>
      </c>
      <c r="J294" s="31" t="s">
        <v>1921</v>
      </c>
      <c r="K294" s="31">
        <v>0.4</v>
      </c>
      <c r="L294" s="31">
        <v>0.3</v>
      </c>
      <c r="M294" s="31">
        <v>28</v>
      </c>
      <c r="N294" s="31">
        <v>28</v>
      </c>
      <c r="O294" s="77" t="s">
        <v>419</v>
      </c>
      <c r="P294" s="31"/>
      <c r="Q294" s="34">
        <v>960</v>
      </c>
      <c r="R294" s="31">
        <v>120</v>
      </c>
      <c r="S294" s="31"/>
      <c r="T294" s="31"/>
      <c r="U294" s="31">
        <v>180</v>
      </c>
      <c r="V294" s="31"/>
      <c r="W294" s="31"/>
      <c r="X294" s="37"/>
      <c r="Y294" s="79">
        <v>4.8</v>
      </c>
      <c r="Z294" s="31" t="s">
        <v>3</v>
      </c>
      <c r="AA294" s="37"/>
      <c r="AB294" s="37"/>
    </row>
    <row r="295" spans="1:28" ht="23.1" customHeight="1" x14ac:dyDescent="0.25">
      <c r="A295" s="53" t="s">
        <v>452</v>
      </c>
      <c r="B295" s="31" t="s">
        <v>110</v>
      </c>
      <c r="C295" s="31">
        <v>91</v>
      </c>
      <c r="D295" s="31" t="s">
        <v>484</v>
      </c>
      <c r="E295" s="25" t="s">
        <v>485</v>
      </c>
      <c r="F295" s="21" t="s">
        <v>485</v>
      </c>
      <c r="G295" s="21" t="str">
        <f>VLOOKUP(D295,[6]成飞半成品!$A:$B,2,0)</f>
        <v>8635左隔框</v>
      </c>
      <c r="H295" s="31" t="s">
        <v>300</v>
      </c>
      <c r="I295" s="31">
        <v>30</v>
      </c>
      <c r="J295" s="31" t="s">
        <v>1921</v>
      </c>
      <c r="K295" s="31"/>
      <c r="L295" s="31">
        <v>0.3</v>
      </c>
      <c r="M295" s="31"/>
      <c r="N295" s="31">
        <v>5</v>
      </c>
      <c r="O295" s="77" t="s">
        <v>399</v>
      </c>
      <c r="P295" s="31"/>
      <c r="Q295" s="34">
        <v>960</v>
      </c>
      <c r="R295" s="31">
        <v>120</v>
      </c>
      <c r="S295" s="31"/>
      <c r="T295" s="31"/>
      <c r="U295" s="31">
        <v>180</v>
      </c>
      <c r="V295" s="31"/>
      <c r="W295" s="31"/>
      <c r="X295" s="37">
        <v>5</v>
      </c>
      <c r="Y295" s="79">
        <v>9.8000000000000007</v>
      </c>
      <c r="Z295" s="31" t="s">
        <v>3</v>
      </c>
      <c r="AA295" s="37" t="s">
        <v>486</v>
      </c>
      <c r="AB295" s="37"/>
    </row>
    <row r="296" spans="1:28" ht="23.1" customHeight="1" x14ac:dyDescent="0.25">
      <c r="A296" s="53" t="s">
        <v>452</v>
      </c>
      <c r="B296" s="31" t="s">
        <v>110</v>
      </c>
      <c r="C296" s="31">
        <v>69</v>
      </c>
      <c r="D296" s="31" t="s">
        <v>266</v>
      </c>
      <c r="E296" s="25" t="s">
        <v>267</v>
      </c>
      <c r="F296" s="21" t="s">
        <v>267</v>
      </c>
      <c r="G296" s="21" t="str">
        <f>VLOOKUP(D296,[6]成飞半成品!$A:$B,2,0)</f>
        <v>后端框</v>
      </c>
      <c r="H296" s="31" t="s">
        <v>118</v>
      </c>
      <c r="I296" s="31">
        <v>50</v>
      </c>
      <c r="J296" s="31" t="s">
        <v>1909</v>
      </c>
      <c r="K296" s="31">
        <v>3</v>
      </c>
      <c r="L296" s="31">
        <v>4</v>
      </c>
      <c r="M296" s="31">
        <v>28</v>
      </c>
      <c r="N296" s="31">
        <v>37</v>
      </c>
      <c r="O296" s="77" t="s">
        <v>429</v>
      </c>
      <c r="P296" s="31"/>
      <c r="Q296" s="34">
        <v>240</v>
      </c>
      <c r="R296" s="31">
        <v>90</v>
      </c>
      <c r="S296" s="31"/>
      <c r="T296" s="31">
        <v>4</v>
      </c>
      <c r="U296" s="31">
        <v>180</v>
      </c>
      <c r="V296" s="31"/>
      <c r="W296" s="31"/>
      <c r="X296" s="37"/>
      <c r="Y296" s="79">
        <v>22</v>
      </c>
      <c r="Z296" s="31" t="s">
        <v>3</v>
      </c>
      <c r="AA296" s="37" t="s">
        <v>372</v>
      </c>
      <c r="AB296" s="37"/>
    </row>
    <row r="297" spans="1:28" ht="23.1" customHeight="1" x14ac:dyDescent="0.25">
      <c r="A297" s="53" t="s">
        <v>452</v>
      </c>
      <c r="B297" s="25" t="s">
        <v>110</v>
      </c>
      <c r="C297" s="31">
        <v>24</v>
      </c>
      <c r="D297" s="31" t="s">
        <v>294</v>
      </c>
      <c r="E297" s="25" t="s">
        <v>259</v>
      </c>
      <c r="F297" s="21" t="s">
        <v>979</v>
      </c>
      <c r="G297" s="21" t="str">
        <f>VLOOKUP(D297,[6]成飞半成品!$A:$B,2,0)</f>
        <v>梁（左件）</v>
      </c>
      <c r="H297" s="31" t="s">
        <v>118</v>
      </c>
      <c r="I297" s="31">
        <v>50</v>
      </c>
      <c r="J297" s="37" t="s">
        <v>1965</v>
      </c>
      <c r="K297" s="31">
        <v>0.4</v>
      </c>
      <c r="L297" s="31">
        <v>0.3</v>
      </c>
      <c r="M297" s="37">
        <v>23</v>
      </c>
      <c r="N297" s="31"/>
      <c r="O297" s="77" t="s">
        <v>487</v>
      </c>
      <c r="P297" s="25"/>
      <c r="Q297" s="31">
        <v>1960</v>
      </c>
      <c r="R297" s="31">
        <v>120</v>
      </c>
      <c r="S297" s="31"/>
      <c r="T297" s="31"/>
      <c r="U297" s="31">
        <v>180</v>
      </c>
      <c r="V297" s="31"/>
      <c r="W297" s="37">
        <v>1</v>
      </c>
      <c r="X297" s="37"/>
      <c r="Y297" s="79">
        <v>12.8</v>
      </c>
      <c r="Z297" s="31" t="s">
        <v>3</v>
      </c>
      <c r="AA297" s="37" t="s">
        <v>488</v>
      </c>
      <c r="AB297" s="37"/>
    </row>
    <row r="298" spans="1:28" ht="23.1" customHeight="1" x14ac:dyDescent="0.25">
      <c r="A298" s="53" t="s">
        <v>452</v>
      </c>
      <c r="B298" s="25" t="s">
        <v>137</v>
      </c>
      <c r="C298" s="31">
        <v>59</v>
      </c>
      <c r="D298" s="31" t="s">
        <v>408</v>
      </c>
      <c r="E298" s="25" t="s">
        <v>409</v>
      </c>
      <c r="F298" s="21" t="s">
        <v>409</v>
      </c>
      <c r="G298" s="21" t="str">
        <f>VLOOKUP(D298,[6]成飞半成品!$A:$B,2,0)</f>
        <v>接头</v>
      </c>
      <c r="H298" s="31" t="s">
        <v>107</v>
      </c>
      <c r="I298" s="31">
        <v>5</v>
      </c>
      <c r="J298" s="37" t="s">
        <v>1958</v>
      </c>
      <c r="K298" s="31">
        <v>8</v>
      </c>
      <c r="L298" s="31">
        <v>17</v>
      </c>
      <c r="M298" s="37">
        <v>26</v>
      </c>
      <c r="N298" s="31">
        <v>26</v>
      </c>
      <c r="O298" s="77" t="s">
        <v>393</v>
      </c>
      <c r="P298" s="25"/>
      <c r="Q298" s="31">
        <v>60</v>
      </c>
      <c r="R298" s="31"/>
      <c r="S298" s="31"/>
      <c r="T298" s="31"/>
      <c r="U298" s="31">
        <v>60</v>
      </c>
      <c r="V298" s="31"/>
      <c r="W298" s="37"/>
      <c r="X298" s="37"/>
      <c r="Y298" s="79">
        <v>17</v>
      </c>
      <c r="Z298" s="31" t="s">
        <v>6</v>
      </c>
      <c r="AA298" s="37" t="s">
        <v>489</v>
      </c>
      <c r="AB298" s="37"/>
    </row>
    <row r="299" spans="1:28" ht="23.1" customHeight="1" x14ac:dyDescent="0.25">
      <c r="A299" s="53" t="s">
        <v>452</v>
      </c>
      <c r="B299" s="25" t="s">
        <v>137</v>
      </c>
      <c r="C299" s="31">
        <v>58</v>
      </c>
      <c r="D299" s="31" t="s">
        <v>423</v>
      </c>
      <c r="E299" s="25" t="s">
        <v>424</v>
      </c>
      <c r="F299" s="21" t="s">
        <v>424</v>
      </c>
      <c r="G299" s="21" t="str">
        <f>VLOOKUP(D299,[6]成飞半成品!$A:$B,2,0)</f>
        <v>后梁四段</v>
      </c>
      <c r="H299" s="31" t="s">
        <v>107</v>
      </c>
      <c r="I299" s="31">
        <v>5</v>
      </c>
      <c r="J299" s="37" t="s">
        <v>1930</v>
      </c>
      <c r="K299" s="31">
        <v>7</v>
      </c>
      <c r="L299" s="31">
        <v>7</v>
      </c>
      <c r="M299" s="37">
        <v>37</v>
      </c>
      <c r="N299" s="31">
        <v>37</v>
      </c>
      <c r="O299" s="77" t="s">
        <v>490</v>
      </c>
      <c r="P299" s="25"/>
      <c r="Q299" s="31">
        <v>60</v>
      </c>
      <c r="R299" s="31"/>
      <c r="S299" s="31"/>
      <c r="T299" s="31"/>
      <c r="U299" s="31">
        <v>60</v>
      </c>
      <c r="V299" s="31"/>
      <c r="W299" s="37"/>
      <c r="X299" s="37"/>
      <c r="Y299" s="79">
        <v>7</v>
      </c>
      <c r="Z299" s="31" t="s">
        <v>57</v>
      </c>
      <c r="AA299" s="37"/>
      <c r="AB299" s="37"/>
    </row>
    <row r="300" spans="1:28" ht="23.1" customHeight="1" x14ac:dyDescent="0.25">
      <c r="A300" s="53" t="s">
        <v>452</v>
      </c>
      <c r="B300" s="25" t="s">
        <v>137</v>
      </c>
      <c r="C300" s="31">
        <v>58</v>
      </c>
      <c r="D300" s="31" t="s">
        <v>423</v>
      </c>
      <c r="E300" s="25" t="s">
        <v>424</v>
      </c>
      <c r="F300" s="21" t="s">
        <v>424</v>
      </c>
      <c r="G300" s="21" t="str">
        <f>VLOOKUP(D300,[6]成飞半成品!$A:$B,2,0)</f>
        <v>后梁四段</v>
      </c>
      <c r="H300" s="31" t="s">
        <v>107</v>
      </c>
      <c r="I300" s="31">
        <v>10</v>
      </c>
      <c r="J300" s="37" t="s">
        <v>1949</v>
      </c>
      <c r="K300" s="31">
        <v>2</v>
      </c>
      <c r="L300" s="31">
        <v>7</v>
      </c>
      <c r="M300" s="37">
        <v>37</v>
      </c>
      <c r="N300" s="31">
        <v>37</v>
      </c>
      <c r="O300" s="77" t="s">
        <v>490</v>
      </c>
      <c r="P300" s="25"/>
      <c r="Q300" s="31">
        <v>60</v>
      </c>
      <c r="R300" s="31"/>
      <c r="S300" s="31"/>
      <c r="T300" s="31"/>
      <c r="U300" s="31">
        <v>100</v>
      </c>
      <c r="V300" s="31"/>
      <c r="W300" s="37">
        <v>1</v>
      </c>
      <c r="X300" s="37"/>
      <c r="Y300" s="79">
        <v>8.6999999999999993</v>
      </c>
      <c r="Z300" s="31" t="s">
        <v>57</v>
      </c>
      <c r="AA300" s="37"/>
      <c r="AB300" s="37"/>
    </row>
    <row r="301" spans="1:28" ht="23.1" customHeight="1" x14ac:dyDescent="0.25">
      <c r="A301" s="53" t="s">
        <v>452</v>
      </c>
      <c r="B301" s="25" t="s">
        <v>137</v>
      </c>
      <c r="C301" s="31">
        <v>57</v>
      </c>
      <c r="D301" s="31" t="s">
        <v>459</v>
      </c>
      <c r="E301" s="25" t="s">
        <v>460</v>
      </c>
      <c r="F301" s="21" t="e">
        <v>#N/A</v>
      </c>
      <c r="G301" s="21" t="e">
        <f>VLOOKUP(D301,[6]成飞半成品!$A:$B,2,0)</f>
        <v>#N/A</v>
      </c>
      <c r="H301" s="31" t="s">
        <v>123</v>
      </c>
      <c r="I301" s="31">
        <v>20</v>
      </c>
      <c r="J301" s="37" t="s">
        <v>1960</v>
      </c>
      <c r="K301" s="31">
        <v>4</v>
      </c>
      <c r="L301" s="31">
        <v>5</v>
      </c>
      <c r="M301" s="37">
        <v>26</v>
      </c>
      <c r="N301" s="31">
        <v>26</v>
      </c>
      <c r="O301" s="77" t="s">
        <v>491</v>
      </c>
      <c r="P301" s="25"/>
      <c r="Q301" s="31">
        <v>120</v>
      </c>
      <c r="R301" s="31"/>
      <c r="S301" s="31"/>
      <c r="T301" s="31"/>
      <c r="U301" s="31">
        <v>60</v>
      </c>
      <c r="V301" s="31"/>
      <c r="W301" s="37">
        <v>1</v>
      </c>
      <c r="X301" s="37">
        <v>2</v>
      </c>
      <c r="Y301" s="79">
        <v>13</v>
      </c>
      <c r="Z301" s="31" t="s">
        <v>57</v>
      </c>
      <c r="AA301" s="14" t="s">
        <v>492</v>
      </c>
      <c r="AB301" s="37"/>
    </row>
    <row r="302" spans="1:28" ht="23.1" customHeight="1" x14ac:dyDescent="0.25">
      <c r="A302" s="53" t="s">
        <v>452</v>
      </c>
      <c r="B302" s="25" t="s">
        <v>137</v>
      </c>
      <c r="C302" s="31">
        <v>24</v>
      </c>
      <c r="D302" s="31" t="s">
        <v>294</v>
      </c>
      <c r="E302" s="25" t="s">
        <v>259</v>
      </c>
      <c r="F302" s="21" t="s">
        <v>979</v>
      </c>
      <c r="G302" s="21" t="str">
        <f>VLOOKUP(D302,[6]成飞半成品!$A:$B,2,0)</f>
        <v>梁（左件）</v>
      </c>
      <c r="H302" s="31" t="s">
        <v>118</v>
      </c>
      <c r="I302" s="31">
        <v>50</v>
      </c>
      <c r="J302" s="37" t="s">
        <v>1965</v>
      </c>
      <c r="K302" s="31">
        <v>0.4</v>
      </c>
      <c r="L302" s="31">
        <v>0.4</v>
      </c>
      <c r="M302" s="37"/>
      <c r="N302" s="31">
        <v>23</v>
      </c>
      <c r="O302" s="77" t="s">
        <v>487</v>
      </c>
      <c r="P302" s="25"/>
      <c r="Q302" s="31">
        <v>1960</v>
      </c>
      <c r="R302" s="31">
        <v>120</v>
      </c>
      <c r="S302" s="31"/>
      <c r="T302" s="31"/>
      <c r="U302" s="31">
        <v>180</v>
      </c>
      <c r="V302" s="31"/>
      <c r="W302" s="37"/>
      <c r="X302" s="37"/>
      <c r="Y302" s="79">
        <v>13.1</v>
      </c>
      <c r="Z302" s="31" t="s">
        <v>52</v>
      </c>
      <c r="AA302" s="37" t="s">
        <v>493</v>
      </c>
      <c r="AB302" s="37"/>
    </row>
    <row r="303" spans="1:28" ht="23.1" customHeight="1" x14ac:dyDescent="0.25">
      <c r="A303" s="53" t="s">
        <v>452</v>
      </c>
      <c r="B303" s="25" t="s">
        <v>137</v>
      </c>
      <c r="C303" s="31">
        <v>69</v>
      </c>
      <c r="D303" s="31" t="s">
        <v>266</v>
      </c>
      <c r="E303" s="25" t="s">
        <v>267</v>
      </c>
      <c r="F303" s="21" t="s">
        <v>267</v>
      </c>
      <c r="G303" s="21" t="str">
        <f>VLOOKUP(D303,[6]成飞半成品!$A:$B,2,0)</f>
        <v>后端框</v>
      </c>
      <c r="H303" s="31" t="s">
        <v>118</v>
      </c>
      <c r="I303" s="31">
        <v>50</v>
      </c>
      <c r="J303" s="37" t="s">
        <v>1909</v>
      </c>
      <c r="K303" s="31">
        <v>1</v>
      </c>
      <c r="L303" s="31">
        <v>3</v>
      </c>
      <c r="M303" s="37">
        <v>5</v>
      </c>
      <c r="N303" s="31">
        <v>5</v>
      </c>
      <c r="O303" s="77" t="s">
        <v>429</v>
      </c>
      <c r="P303" s="25"/>
      <c r="Q303" s="31">
        <v>240</v>
      </c>
      <c r="R303" s="31">
        <v>90</v>
      </c>
      <c r="S303" s="31"/>
      <c r="T303" s="31">
        <v>1</v>
      </c>
      <c r="U303" s="31">
        <v>180</v>
      </c>
      <c r="V303" s="31"/>
      <c r="W303" s="37">
        <v>1</v>
      </c>
      <c r="X303" s="37"/>
      <c r="Y303" s="79">
        <v>16.5</v>
      </c>
      <c r="Z303" s="31" t="s">
        <v>52</v>
      </c>
      <c r="AA303" s="37" t="s">
        <v>494</v>
      </c>
      <c r="AB303" s="37"/>
    </row>
    <row r="304" spans="1:28" ht="23.1" customHeight="1" x14ac:dyDescent="0.25">
      <c r="A304" s="53" t="s">
        <v>452</v>
      </c>
      <c r="B304" s="25" t="s">
        <v>137</v>
      </c>
      <c r="C304" s="31">
        <v>69</v>
      </c>
      <c r="D304" s="31" t="s">
        <v>495</v>
      </c>
      <c r="E304" s="25" t="s">
        <v>267</v>
      </c>
      <c r="F304" s="21" t="s">
        <v>267</v>
      </c>
      <c r="G304" s="21" t="str">
        <f>VLOOKUP(D304,[6]成飞半成品!$A:$B,2,0)</f>
        <v>后端框</v>
      </c>
      <c r="H304" s="31" t="s">
        <v>118</v>
      </c>
      <c r="I304" s="31">
        <v>50</v>
      </c>
      <c r="J304" s="37" t="s">
        <v>1909</v>
      </c>
      <c r="K304" s="31">
        <v>2</v>
      </c>
      <c r="L304" s="31">
        <v>1</v>
      </c>
      <c r="M304" s="37"/>
      <c r="N304" s="31">
        <v>37</v>
      </c>
      <c r="O304" s="77" t="s">
        <v>429</v>
      </c>
      <c r="P304" s="25"/>
      <c r="Q304" s="31">
        <v>240</v>
      </c>
      <c r="R304" s="31">
        <v>90</v>
      </c>
      <c r="S304" s="31"/>
      <c r="T304" s="31"/>
      <c r="U304" s="31">
        <v>180</v>
      </c>
      <c r="V304" s="31"/>
      <c r="W304" s="37"/>
      <c r="X304" s="37"/>
      <c r="Y304" s="79">
        <v>4</v>
      </c>
      <c r="Z304" s="31" t="s">
        <v>52</v>
      </c>
      <c r="AA304" s="37"/>
      <c r="AB304" s="37"/>
    </row>
    <row r="305" spans="1:28" ht="23.1" customHeight="1" x14ac:dyDescent="0.25">
      <c r="A305" s="53" t="s">
        <v>452</v>
      </c>
      <c r="B305" s="25" t="s">
        <v>137</v>
      </c>
      <c r="C305" s="31">
        <v>91</v>
      </c>
      <c r="D305" s="31" t="s">
        <v>484</v>
      </c>
      <c r="E305" s="25" t="s">
        <v>485</v>
      </c>
      <c r="F305" s="21" t="s">
        <v>485</v>
      </c>
      <c r="G305" s="21" t="str">
        <f>VLOOKUP(D305,[6]成飞半成品!$A:$B,2,0)</f>
        <v>8635左隔框</v>
      </c>
      <c r="H305" s="31" t="s">
        <v>300</v>
      </c>
      <c r="I305" s="31">
        <v>30</v>
      </c>
      <c r="J305" s="37" t="s">
        <v>1921</v>
      </c>
      <c r="K305" s="31"/>
      <c r="L305" s="31">
        <v>0.7</v>
      </c>
      <c r="M305" s="37"/>
      <c r="N305" s="31">
        <v>5</v>
      </c>
      <c r="O305" s="77" t="s">
        <v>399</v>
      </c>
      <c r="P305" s="25"/>
      <c r="Q305" s="31">
        <v>960</v>
      </c>
      <c r="R305" s="31">
        <v>120</v>
      </c>
      <c r="S305" s="31"/>
      <c r="T305" s="31"/>
      <c r="U305" s="31">
        <v>180</v>
      </c>
      <c r="V305" s="31"/>
      <c r="W305" s="37"/>
      <c r="X305" s="37"/>
      <c r="Y305" s="79">
        <v>11.2</v>
      </c>
      <c r="Z305" s="31" t="s">
        <v>52</v>
      </c>
      <c r="AA305" s="37"/>
      <c r="AB305" s="37"/>
    </row>
    <row r="306" spans="1:28" ht="23.1" customHeight="1" x14ac:dyDescent="0.25">
      <c r="A306" s="53" t="s">
        <v>452</v>
      </c>
      <c r="B306" s="25" t="s">
        <v>137</v>
      </c>
      <c r="C306" s="31">
        <v>91</v>
      </c>
      <c r="D306" s="31" t="s">
        <v>484</v>
      </c>
      <c r="E306" s="25" t="s">
        <v>485</v>
      </c>
      <c r="F306" s="21" t="s">
        <v>485</v>
      </c>
      <c r="G306" s="21" t="str">
        <f>VLOOKUP(D306,[6]成飞半成品!$A:$B,2,0)</f>
        <v>8635左隔框</v>
      </c>
      <c r="H306" s="31" t="s">
        <v>300</v>
      </c>
      <c r="I306" s="31">
        <v>32</v>
      </c>
      <c r="J306" s="37"/>
      <c r="K306" s="31">
        <v>1</v>
      </c>
      <c r="L306" s="31">
        <v>1</v>
      </c>
      <c r="M306" s="37"/>
      <c r="N306" s="31">
        <v>5</v>
      </c>
      <c r="O306" s="77" t="s">
        <v>399</v>
      </c>
      <c r="P306" s="25">
        <v>150</v>
      </c>
      <c r="Q306" s="31"/>
      <c r="R306" s="31"/>
      <c r="S306" s="25">
        <v>120</v>
      </c>
      <c r="T306" s="31">
        <v>1</v>
      </c>
      <c r="U306" s="31"/>
      <c r="V306" s="31">
        <v>180</v>
      </c>
      <c r="W306" s="37">
        <v>1</v>
      </c>
      <c r="X306" s="37"/>
      <c r="Y306" s="83">
        <v>7.5</v>
      </c>
      <c r="Z306" s="31" t="s">
        <v>52</v>
      </c>
      <c r="AA306" s="37" t="s">
        <v>269</v>
      </c>
      <c r="AB306" s="37"/>
    </row>
    <row r="307" spans="1:28" ht="23.1" customHeight="1" x14ac:dyDescent="0.25">
      <c r="A307" s="53" t="s">
        <v>452</v>
      </c>
      <c r="B307" s="31" t="s">
        <v>137</v>
      </c>
      <c r="C307" s="31">
        <v>84</v>
      </c>
      <c r="D307" s="31" t="s">
        <v>478</v>
      </c>
      <c r="E307" s="25" t="s">
        <v>479</v>
      </c>
      <c r="F307" s="21" t="s">
        <v>2550</v>
      </c>
      <c r="G307" s="21" t="str">
        <f>VLOOKUP(D307,[6]成飞半成品!$A:$B,2,0)</f>
        <v>1号护板维型肋左件</v>
      </c>
      <c r="H307" s="31" t="s">
        <v>154</v>
      </c>
      <c r="I307" s="31">
        <v>25</v>
      </c>
      <c r="J307" s="31" t="s">
        <v>1938</v>
      </c>
      <c r="K307" s="31">
        <v>10</v>
      </c>
      <c r="L307" s="31">
        <v>10</v>
      </c>
      <c r="M307" s="31">
        <v>37</v>
      </c>
      <c r="N307" s="31">
        <v>37</v>
      </c>
      <c r="O307" s="77" t="s">
        <v>247</v>
      </c>
      <c r="P307" s="31"/>
      <c r="Q307" s="34">
        <v>60</v>
      </c>
      <c r="R307" s="31">
        <v>60</v>
      </c>
      <c r="S307" s="31"/>
      <c r="T307" s="31">
        <v>10</v>
      </c>
      <c r="U307" s="31">
        <v>120</v>
      </c>
      <c r="V307" s="31"/>
      <c r="W307" s="31"/>
      <c r="X307" s="37"/>
      <c r="Y307" s="79">
        <v>20</v>
      </c>
      <c r="Z307" s="31" t="s">
        <v>52</v>
      </c>
      <c r="AA307" s="37" t="s">
        <v>496</v>
      </c>
      <c r="AB307" s="37"/>
    </row>
    <row r="308" spans="1:28" ht="23.1" customHeight="1" x14ac:dyDescent="0.25">
      <c r="A308" s="53" t="s">
        <v>452</v>
      </c>
      <c r="B308" s="31" t="s">
        <v>110</v>
      </c>
      <c r="C308" s="31">
        <v>91</v>
      </c>
      <c r="D308" s="31" t="s">
        <v>298</v>
      </c>
      <c r="E308" s="25" t="s">
        <v>299</v>
      </c>
      <c r="F308" s="21" t="s">
        <v>299</v>
      </c>
      <c r="G308" s="21" t="str">
        <f>VLOOKUP(D308,[6]成飞半成品!$A:$B,2,0)</f>
        <v>8635右隔框</v>
      </c>
      <c r="H308" s="31" t="s">
        <v>300</v>
      </c>
      <c r="I308" s="31">
        <v>32</v>
      </c>
      <c r="J308" s="31"/>
      <c r="K308" s="31">
        <v>1</v>
      </c>
      <c r="L308" s="31">
        <v>1</v>
      </c>
      <c r="M308" s="31">
        <v>28</v>
      </c>
      <c r="N308" s="31">
        <v>28</v>
      </c>
      <c r="O308" s="77" t="s">
        <v>419</v>
      </c>
      <c r="P308" s="25">
        <v>150</v>
      </c>
      <c r="Q308" s="34"/>
      <c r="R308" s="31"/>
      <c r="S308" s="25">
        <v>120</v>
      </c>
      <c r="T308" s="31">
        <v>1</v>
      </c>
      <c r="U308" s="31"/>
      <c r="V308" s="31"/>
      <c r="W308" s="31"/>
      <c r="X308" s="37"/>
      <c r="Y308" s="83">
        <v>4.5</v>
      </c>
      <c r="Z308" s="31" t="s">
        <v>3</v>
      </c>
      <c r="AA308" s="37"/>
      <c r="AB308" s="37"/>
    </row>
    <row r="309" spans="1:28" ht="23.1" customHeight="1" x14ac:dyDescent="0.25">
      <c r="A309" s="53" t="s">
        <v>452</v>
      </c>
      <c r="B309" s="31" t="s">
        <v>137</v>
      </c>
      <c r="C309" s="31">
        <v>119</v>
      </c>
      <c r="D309" s="31" t="s">
        <v>481</v>
      </c>
      <c r="E309" s="25" t="s">
        <v>482</v>
      </c>
      <c r="F309" s="21" t="s">
        <v>482</v>
      </c>
      <c r="G309" s="21" t="str">
        <f>VLOOKUP(D309,[6]成飞半成品!$A:$B,2,0)</f>
        <v>11140框左下半框</v>
      </c>
      <c r="H309" s="31" t="s">
        <v>118</v>
      </c>
      <c r="I309" s="31">
        <v>40</v>
      </c>
      <c r="J309" s="31" t="s">
        <v>1939</v>
      </c>
      <c r="K309" s="31">
        <v>2</v>
      </c>
      <c r="L309" s="31">
        <v>2</v>
      </c>
      <c r="M309" s="31"/>
      <c r="N309" s="31">
        <v>37</v>
      </c>
      <c r="O309" s="77" t="s">
        <v>497</v>
      </c>
      <c r="P309" s="31"/>
      <c r="Q309" s="34">
        <v>150</v>
      </c>
      <c r="R309" s="31">
        <v>75</v>
      </c>
      <c r="S309" s="31"/>
      <c r="T309" s="31">
        <v>2</v>
      </c>
      <c r="U309" s="31">
        <v>150</v>
      </c>
      <c r="V309" s="31"/>
      <c r="W309" s="31"/>
      <c r="X309" s="37"/>
      <c r="Y309" s="79">
        <v>7.5</v>
      </c>
      <c r="Z309" s="31" t="s">
        <v>52</v>
      </c>
      <c r="AA309" s="37" t="s">
        <v>313</v>
      </c>
      <c r="AB309" s="37"/>
    </row>
    <row r="310" spans="1:28" ht="23.1" customHeight="1" x14ac:dyDescent="0.25">
      <c r="A310" s="53" t="s">
        <v>452</v>
      </c>
      <c r="B310" s="31" t="s">
        <v>137</v>
      </c>
      <c r="C310" s="31">
        <v>10</v>
      </c>
      <c r="D310" s="31" t="s">
        <v>500</v>
      </c>
      <c r="E310" s="25" t="s">
        <v>389</v>
      </c>
      <c r="F310" s="21" t="s">
        <v>389</v>
      </c>
      <c r="G310" s="21" t="str">
        <f>VLOOKUP(D310,[6]成飞半成品!$A:$B,2,0)</f>
        <v>11968下口盖</v>
      </c>
      <c r="H310" s="31" t="s">
        <v>300</v>
      </c>
      <c r="I310" s="31">
        <v>10</v>
      </c>
      <c r="J310" s="31" t="s">
        <v>1941</v>
      </c>
      <c r="K310" s="31">
        <v>20</v>
      </c>
      <c r="L310" s="31">
        <v>20</v>
      </c>
      <c r="M310" s="31">
        <v>37</v>
      </c>
      <c r="N310" s="31">
        <v>37</v>
      </c>
      <c r="O310" s="77" t="s">
        <v>501</v>
      </c>
      <c r="P310" s="31"/>
      <c r="Q310" s="34">
        <v>60</v>
      </c>
      <c r="R310" s="31"/>
      <c r="S310" s="31"/>
      <c r="T310" s="31"/>
      <c r="U310" s="31">
        <v>120</v>
      </c>
      <c r="V310" s="31"/>
      <c r="W310" s="31">
        <v>1</v>
      </c>
      <c r="X310" s="37"/>
      <c r="Y310" s="79">
        <v>22</v>
      </c>
      <c r="Z310" s="31" t="s">
        <v>23</v>
      </c>
      <c r="AA310" s="37" t="s">
        <v>92</v>
      </c>
      <c r="AB310" s="37"/>
    </row>
    <row r="311" spans="1:28" ht="23.1" customHeight="1" x14ac:dyDescent="0.25">
      <c r="A311" s="53" t="s">
        <v>452</v>
      </c>
      <c r="B311" s="31" t="s">
        <v>137</v>
      </c>
      <c r="C311" s="31">
        <v>10</v>
      </c>
      <c r="D311" s="31" t="s">
        <v>388</v>
      </c>
      <c r="E311" s="25" t="s">
        <v>389</v>
      </c>
      <c r="F311" s="21" t="s">
        <v>389</v>
      </c>
      <c r="G311" s="21" t="str">
        <f>VLOOKUP(D311,[6]成飞半成品!$A:$B,2,0)</f>
        <v>11968下口盖</v>
      </c>
      <c r="H311" s="31" t="s">
        <v>300</v>
      </c>
      <c r="I311" s="31">
        <v>8</v>
      </c>
      <c r="J311" s="31"/>
      <c r="K311" s="31"/>
      <c r="L311" s="31">
        <v>4</v>
      </c>
      <c r="M311" s="31">
        <v>37</v>
      </c>
      <c r="N311" s="31">
        <v>37</v>
      </c>
      <c r="O311" s="77" t="s">
        <v>351</v>
      </c>
      <c r="P311" s="31">
        <v>40</v>
      </c>
      <c r="Q311" s="34"/>
      <c r="R311" s="31"/>
      <c r="S311" s="31"/>
      <c r="T311" s="31"/>
      <c r="U311" s="31"/>
      <c r="V311" s="31"/>
      <c r="W311" s="31"/>
      <c r="X311" s="37"/>
      <c r="Y311" s="83">
        <v>2.7</v>
      </c>
      <c r="Z311" s="31" t="s">
        <v>23</v>
      </c>
      <c r="AA311" s="37"/>
      <c r="AB311" s="37"/>
    </row>
    <row r="312" spans="1:28" ht="23.1" customHeight="1" x14ac:dyDescent="0.25">
      <c r="A312" s="53" t="s">
        <v>452</v>
      </c>
      <c r="B312" s="31" t="s">
        <v>137</v>
      </c>
      <c r="C312" s="31">
        <v>119</v>
      </c>
      <c r="D312" s="31" t="s">
        <v>481</v>
      </c>
      <c r="E312" s="25" t="s">
        <v>482</v>
      </c>
      <c r="F312" s="21" t="s">
        <v>482</v>
      </c>
      <c r="G312" s="21" t="str">
        <f>VLOOKUP(D312,[6]成飞半成品!$A:$B,2,0)</f>
        <v>11140框左下半框</v>
      </c>
      <c r="H312" s="31" t="s">
        <v>118</v>
      </c>
      <c r="I312" s="31">
        <v>45</v>
      </c>
      <c r="J312" s="31" t="s">
        <v>1943</v>
      </c>
      <c r="K312" s="31">
        <v>2</v>
      </c>
      <c r="L312" s="31">
        <v>2</v>
      </c>
      <c r="M312" s="31"/>
      <c r="N312" s="31">
        <v>37</v>
      </c>
      <c r="O312" s="77" t="s">
        <v>497</v>
      </c>
      <c r="P312" s="31"/>
      <c r="Q312" s="34">
        <v>60</v>
      </c>
      <c r="R312" s="31">
        <v>75</v>
      </c>
      <c r="S312" s="31"/>
      <c r="T312" s="31">
        <v>2</v>
      </c>
      <c r="U312" s="31">
        <v>150</v>
      </c>
      <c r="V312" s="31"/>
      <c r="W312" s="31"/>
      <c r="X312" s="37"/>
      <c r="Y312" s="79">
        <v>4.5</v>
      </c>
      <c r="Z312" s="31" t="s">
        <v>52</v>
      </c>
      <c r="AA312" s="37" t="s">
        <v>313</v>
      </c>
      <c r="AB312" s="37"/>
    </row>
    <row r="313" spans="1:28" ht="23.1" customHeight="1" x14ac:dyDescent="0.25">
      <c r="A313" s="53" t="s">
        <v>452</v>
      </c>
      <c r="B313" s="31" t="s">
        <v>137</v>
      </c>
      <c r="C313" s="31">
        <v>119</v>
      </c>
      <c r="D313" s="31" t="s">
        <v>481</v>
      </c>
      <c r="E313" s="25" t="s">
        <v>482</v>
      </c>
      <c r="F313" s="21" t="s">
        <v>482</v>
      </c>
      <c r="G313" s="21" t="str">
        <f>VLOOKUP(D313,[6]成飞半成品!$A:$B,2,0)</f>
        <v>11140框左下半框</v>
      </c>
      <c r="H313" s="31" t="s">
        <v>118</v>
      </c>
      <c r="I313" s="31">
        <v>50</v>
      </c>
      <c r="J313" s="31" t="s">
        <v>1944</v>
      </c>
      <c r="K313" s="31">
        <v>2</v>
      </c>
      <c r="L313" s="31">
        <v>2</v>
      </c>
      <c r="M313" s="31"/>
      <c r="N313" s="31">
        <v>37</v>
      </c>
      <c r="O313" s="77" t="s">
        <v>497</v>
      </c>
      <c r="P313" s="31"/>
      <c r="Q313" s="34">
        <v>110</v>
      </c>
      <c r="R313" s="31">
        <v>75</v>
      </c>
      <c r="S313" s="31"/>
      <c r="T313" s="31">
        <v>2</v>
      </c>
      <c r="U313" s="31">
        <v>150</v>
      </c>
      <c r="V313" s="31"/>
      <c r="W313" s="31"/>
      <c r="X313" s="37"/>
      <c r="Y313" s="79">
        <v>6.2</v>
      </c>
      <c r="Z313" s="31" t="s">
        <v>52</v>
      </c>
      <c r="AA313" s="37" t="s">
        <v>313</v>
      </c>
      <c r="AB313" s="37"/>
    </row>
    <row r="314" spans="1:28" ht="23.1" customHeight="1" x14ac:dyDescent="0.25">
      <c r="A314" s="53" t="s">
        <v>452</v>
      </c>
      <c r="B314" s="31" t="s">
        <v>137</v>
      </c>
      <c r="C314" s="31">
        <v>16</v>
      </c>
      <c r="D314" s="25" t="s">
        <v>2551</v>
      </c>
      <c r="E314" s="25" t="s">
        <v>503</v>
      </c>
      <c r="F314" s="21" t="e">
        <v>#N/A</v>
      </c>
      <c r="G314" s="21" t="str">
        <f>VLOOKUP(D314,[6]成飞半成品!$A:$B,2,0)</f>
        <v>工装</v>
      </c>
      <c r="H314" s="31" t="s">
        <v>102</v>
      </c>
      <c r="I314" s="31">
        <v>5</v>
      </c>
      <c r="J314" s="31"/>
      <c r="K314" s="31">
        <v>1</v>
      </c>
      <c r="L314" s="31">
        <v>1</v>
      </c>
      <c r="M314" s="31">
        <v>26</v>
      </c>
      <c r="N314" s="31">
        <v>37</v>
      </c>
      <c r="O314" s="77" t="s">
        <v>108</v>
      </c>
      <c r="P314" s="31"/>
      <c r="Q314" s="34"/>
      <c r="R314" s="31"/>
      <c r="S314" s="31"/>
      <c r="T314" s="31"/>
      <c r="U314" s="31"/>
      <c r="V314" s="31"/>
      <c r="W314" s="31"/>
      <c r="X314" s="37">
        <v>4</v>
      </c>
      <c r="Y314" s="79">
        <v>4</v>
      </c>
      <c r="Z314" s="31" t="s">
        <v>71</v>
      </c>
      <c r="AA314" s="37" t="s">
        <v>504</v>
      </c>
      <c r="AB314" s="37" t="s">
        <v>193</v>
      </c>
    </row>
    <row r="315" spans="1:28" ht="23.1" customHeight="1" x14ac:dyDescent="0.25">
      <c r="A315" s="53" t="s">
        <v>452</v>
      </c>
      <c r="B315" s="25" t="s">
        <v>137</v>
      </c>
      <c r="C315" s="31">
        <v>9</v>
      </c>
      <c r="D315" s="31" t="s">
        <v>229</v>
      </c>
      <c r="E315" s="25" t="s">
        <v>230</v>
      </c>
      <c r="F315" s="21" t="s">
        <v>230</v>
      </c>
      <c r="G315" s="21" t="str">
        <f>VLOOKUP(D315,[6]成飞半成品!$A:$B,2,0)</f>
        <v>前起落架舱门结构支撑梁</v>
      </c>
      <c r="H315" s="31" t="s">
        <v>154</v>
      </c>
      <c r="I315" s="31">
        <v>25</v>
      </c>
      <c r="J315" s="37" t="s">
        <v>1894</v>
      </c>
      <c r="K315" s="31">
        <v>4</v>
      </c>
      <c r="L315" s="31">
        <v>5</v>
      </c>
      <c r="M315" s="37">
        <v>26</v>
      </c>
      <c r="N315" s="31">
        <v>5</v>
      </c>
      <c r="O315" s="77" t="s">
        <v>231</v>
      </c>
      <c r="P315" s="25"/>
      <c r="Q315" s="31">
        <v>140</v>
      </c>
      <c r="R315" s="31"/>
      <c r="S315" s="31"/>
      <c r="T315" s="31"/>
      <c r="U315" s="31">
        <v>60</v>
      </c>
      <c r="V315" s="31"/>
      <c r="W315" s="37"/>
      <c r="X315" s="37"/>
      <c r="Y315" s="79">
        <v>11.7</v>
      </c>
      <c r="Z315" s="31" t="s">
        <v>23</v>
      </c>
      <c r="AA315" s="37"/>
      <c r="AB315" s="37"/>
    </row>
    <row r="316" spans="1:28" ht="23.1" customHeight="1" x14ac:dyDescent="0.25">
      <c r="A316" s="53" t="s">
        <v>452</v>
      </c>
      <c r="B316" s="25" t="s">
        <v>137</v>
      </c>
      <c r="C316" s="31">
        <v>17</v>
      </c>
      <c r="D316" s="31" t="s">
        <v>352</v>
      </c>
      <c r="E316" s="25" t="s">
        <v>353</v>
      </c>
      <c r="F316" s="21" t="e">
        <v>#N/A</v>
      </c>
      <c r="G316" s="21" t="e">
        <f>VLOOKUP(D316,[6]成飞半成品!$A:$B,2,0)</f>
        <v>#N/A</v>
      </c>
      <c r="H316" s="31" t="s">
        <v>300</v>
      </c>
      <c r="I316" s="31">
        <v>20</v>
      </c>
      <c r="J316" s="37" t="s">
        <v>1962</v>
      </c>
      <c r="K316" s="31">
        <v>1</v>
      </c>
      <c r="L316" s="31">
        <v>2</v>
      </c>
      <c r="M316" s="37">
        <v>26</v>
      </c>
      <c r="N316" s="31">
        <v>26</v>
      </c>
      <c r="O316" s="77" t="s">
        <v>505</v>
      </c>
      <c r="P316" s="25"/>
      <c r="Q316" s="31">
        <v>60</v>
      </c>
      <c r="R316" s="31"/>
      <c r="S316" s="31"/>
      <c r="T316" s="31"/>
      <c r="U316" s="31">
        <v>60</v>
      </c>
      <c r="V316" s="31"/>
      <c r="W316" s="37"/>
      <c r="X316" s="37"/>
      <c r="Y316" s="79">
        <v>2</v>
      </c>
      <c r="Z316" s="31" t="s">
        <v>14</v>
      </c>
      <c r="AA316" s="37"/>
      <c r="AB316" s="37"/>
    </row>
    <row r="317" spans="1:28" ht="23.1" customHeight="1" x14ac:dyDescent="0.25">
      <c r="A317" s="53" t="s">
        <v>452</v>
      </c>
      <c r="B317" s="25" t="s">
        <v>137</v>
      </c>
      <c r="C317" s="31">
        <v>17</v>
      </c>
      <c r="D317" s="31" t="s">
        <v>352</v>
      </c>
      <c r="E317" s="25" t="s">
        <v>353</v>
      </c>
      <c r="F317" s="21" t="e">
        <v>#N/A</v>
      </c>
      <c r="G317" s="21" t="e">
        <f>VLOOKUP(D317,[6]成飞半成品!$A:$B,2,0)</f>
        <v>#N/A</v>
      </c>
      <c r="H317" s="31" t="s">
        <v>300</v>
      </c>
      <c r="I317" s="31">
        <v>25</v>
      </c>
      <c r="J317" s="37" t="s">
        <v>1967</v>
      </c>
      <c r="K317" s="31">
        <v>2</v>
      </c>
      <c r="L317" s="31">
        <v>3</v>
      </c>
      <c r="M317" s="37">
        <v>26</v>
      </c>
      <c r="N317" s="31">
        <v>5</v>
      </c>
      <c r="O317" s="77" t="s">
        <v>355</v>
      </c>
      <c r="P317" s="25"/>
      <c r="Q317" s="31">
        <v>290</v>
      </c>
      <c r="R317" s="31"/>
      <c r="S317" s="31"/>
      <c r="T317" s="31"/>
      <c r="U317" s="31">
        <v>90</v>
      </c>
      <c r="V317" s="31"/>
      <c r="W317" s="37"/>
      <c r="X317" s="37"/>
      <c r="Y317" s="79">
        <v>14.5</v>
      </c>
      <c r="Z317" s="31" t="s">
        <v>14</v>
      </c>
      <c r="AA317" s="37"/>
      <c r="AB317" s="37"/>
    </row>
    <row r="318" spans="1:28" ht="23.1" customHeight="1" x14ac:dyDescent="0.25">
      <c r="A318" s="53" t="s">
        <v>452</v>
      </c>
      <c r="B318" s="25" t="s">
        <v>137</v>
      </c>
      <c r="C318" s="31">
        <v>11</v>
      </c>
      <c r="D318" s="31" t="s">
        <v>203</v>
      </c>
      <c r="E318" s="25" t="s">
        <v>317</v>
      </c>
      <c r="F318" s="21" t="s">
        <v>317</v>
      </c>
      <c r="G318" s="21" t="str">
        <f>VLOOKUP(D318,[6]成飞半成品!$A:$B,2,0)</f>
        <v>角盒</v>
      </c>
      <c r="H318" s="31" t="s">
        <v>154</v>
      </c>
      <c r="I318" s="31">
        <v>40</v>
      </c>
      <c r="J318" s="37" t="s">
        <v>1935</v>
      </c>
      <c r="K318" s="31">
        <v>3</v>
      </c>
      <c r="L318" s="31">
        <v>4.5</v>
      </c>
      <c r="M318" s="37">
        <v>26</v>
      </c>
      <c r="N318" s="31">
        <v>23</v>
      </c>
      <c r="O318" s="77" t="s">
        <v>506</v>
      </c>
      <c r="P318" s="25"/>
      <c r="Q318" s="31">
        <v>260</v>
      </c>
      <c r="R318" s="31"/>
      <c r="S318" s="31"/>
      <c r="T318" s="31"/>
      <c r="U318" s="31">
        <v>90</v>
      </c>
      <c r="V318" s="31"/>
      <c r="W318" s="37"/>
      <c r="X318" s="37"/>
      <c r="Y318" s="79">
        <v>19.5</v>
      </c>
      <c r="Z318" s="31" t="s">
        <v>71</v>
      </c>
      <c r="AA318" s="37"/>
      <c r="AB318" s="37"/>
    </row>
    <row r="319" spans="1:28" ht="23.1" customHeight="1" x14ac:dyDescent="0.25">
      <c r="A319" s="53" t="s">
        <v>452</v>
      </c>
      <c r="B319" s="25" t="s">
        <v>137</v>
      </c>
      <c r="C319" s="31">
        <v>18</v>
      </c>
      <c r="D319" s="31" t="s">
        <v>205</v>
      </c>
      <c r="E319" s="25" t="s">
        <v>206</v>
      </c>
      <c r="F319" s="21" t="s">
        <v>206</v>
      </c>
      <c r="G319" s="21" t="str">
        <f>VLOOKUP(D319,[6]成飞半成品!$A:$B,2,0)</f>
        <v>卡环</v>
      </c>
      <c r="H319" s="31" t="s">
        <v>123</v>
      </c>
      <c r="I319" s="31">
        <v>35</v>
      </c>
      <c r="J319" s="37" t="s">
        <v>1963</v>
      </c>
      <c r="K319" s="31">
        <v>2</v>
      </c>
      <c r="L319" s="31">
        <v>3</v>
      </c>
      <c r="M319" s="37">
        <v>26</v>
      </c>
      <c r="N319" s="31">
        <v>26</v>
      </c>
      <c r="O319" s="77" t="s">
        <v>507</v>
      </c>
      <c r="P319" s="25"/>
      <c r="Q319" s="31">
        <v>360</v>
      </c>
      <c r="R319" s="31"/>
      <c r="S319" s="31"/>
      <c r="T319" s="31"/>
      <c r="U319" s="31">
        <v>90</v>
      </c>
      <c r="V319" s="31"/>
      <c r="W319" s="37"/>
      <c r="X319" s="37"/>
      <c r="Y319" s="79">
        <v>18</v>
      </c>
      <c r="Z319" s="31" t="s">
        <v>14</v>
      </c>
      <c r="AA319" s="37"/>
      <c r="AB319" s="37"/>
    </row>
    <row r="320" spans="1:28" ht="23.1" customHeight="1" x14ac:dyDescent="0.25">
      <c r="A320" s="53" t="s">
        <v>452</v>
      </c>
      <c r="B320" s="25" t="s">
        <v>113</v>
      </c>
      <c r="C320" s="31">
        <v>76</v>
      </c>
      <c r="D320" s="31" t="s">
        <v>349</v>
      </c>
      <c r="E320" s="25" t="s">
        <v>350</v>
      </c>
      <c r="F320" s="21" t="s">
        <v>350</v>
      </c>
      <c r="G320" s="21" t="str">
        <f>VLOOKUP(D320,[6]成飞半成品!$A:$B,2,0)</f>
        <v>4#下垫片</v>
      </c>
      <c r="H320" s="31" t="s">
        <v>154</v>
      </c>
      <c r="I320" s="31">
        <v>15</v>
      </c>
      <c r="J320" s="37" t="s">
        <v>1926</v>
      </c>
      <c r="K320" s="31">
        <v>3</v>
      </c>
      <c r="L320" s="31">
        <v>3</v>
      </c>
      <c r="M320" s="37">
        <v>5</v>
      </c>
      <c r="N320" s="31">
        <v>37</v>
      </c>
      <c r="O320" s="77" t="s">
        <v>412</v>
      </c>
      <c r="P320" s="25"/>
      <c r="Q320" s="31">
        <v>90</v>
      </c>
      <c r="R320" s="31"/>
      <c r="S320" s="31"/>
      <c r="T320" s="31"/>
      <c r="U320" s="31">
        <v>90</v>
      </c>
      <c r="V320" s="31"/>
      <c r="W320" s="37"/>
      <c r="X320" s="37"/>
      <c r="Y320" s="79">
        <v>4.5</v>
      </c>
      <c r="Z320" s="31" t="s">
        <v>12</v>
      </c>
      <c r="AA320" s="37"/>
      <c r="AB320" s="37"/>
    </row>
    <row r="321" spans="1:28" ht="23.1" customHeight="1" x14ac:dyDescent="0.25">
      <c r="A321" s="53" t="s">
        <v>452</v>
      </c>
      <c r="B321" s="25" t="s">
        <v>113</v>
      </c>
      <c r="C321" s="31">
        <v>58</v>
      </c>
      <c r="D321" s="31" t="s">
        <v>423</v>
      </c>
      <c r="E321" s="25" t="s">
        <v>424</v>
      </c>
      <c r="F321" s="21" t="s">
        <v>424</v>
      </c>
      <c r="G321" s="21" t="str">
        <f>VLOOKUP(D321,[6]成飞半成品!$A:$B,2,0)</f>
        <v>后梁四段</v>
      </c>
      <c r="H321" s="31" t="s">
        <v>107</v>
      </c>
      <c r="I321" s="31">
        <v>15</v>
      </c>
      <c r="J321" s="37" t="s">
        <v>1961</v>
      </c>
      <c r="K321" s="31">
        <v>2</v>
      </c>
      <c r="L321" s="31">
        <v>6</v>
      </c>
      <c r="M321" s="37">
        <v>5</v>
      </c>
      <c r="N321" s="31">
        <v>23</v>
      </c>
      <c r="O321" s="77" t="s">
        <v>508</v>
      </c>
      <c r="P321" s="25"/>
      <c r="Q321" s="31">
        <v>150</v>
      </c>
      <c r="R321" s="31"/>
      <c r="S321" s="31"/>
      <c r="T321" s="31"/>
      <c r="U321" s="31">
        <v>100</v>
      </c>
      <c r="V321" s="31"/>
      <c r="W321" s="37"/>
      <c r="X321" s="37"/>
      <c r="Y321" s="79">
        <v>15</v>
      </c>
      <c r="Z321" s="31" t="s">
        <v>7</v>
      </c>
      <c r="AA321" s="37"/>
      <c r="AB321" s="37"/>
    </row>
    <row r="322" spans="1:28" ht="23.1" customHeight="1" x14ac:dyDescent="0.25">
      <c r="A322" s="53" t="s">
        <v>452</v>
      </c>
      <c r="B322" s="25" t="s">
        <v>113</v>
      </c>
      <c r="C322" s="31">
        <v>57</v>
      </c>
      <c r="D322" s="31" t="s">
        <v>459</v>
      </c>
      <c r="E322" s="25" t="s">
        <v>460</v>
      </c>
      <c r="F322" s="21" t="e">
        <v>#N/A</v>
      </c>
      <c r="G322" s="21" t="e">
        <f>VLOOKUP(D322,[6]成飞半成品!$A:$B,2,0)</f>
        <v>#N/A</v>
      </c>
      <c r="H322" s="31" t="s">
        <v>123</v>
      </c>
      <c r="I322" s="31">
        <v>20</v>
      </c>
      <c r="J322" s="37" t="s">
        <v>1960</v>
      </c>
      <c r="K322" s="31">
        <v>4</v>
      </c>
      <c r="L322" s="31">
        <v>5</v>
      </c>
      <c r="M322" s="37">
        <v>23</v>
      </c>
      <c r="N322" s="31">
        <v>23</v>
      </c>
      <c r="O322" s="77" t="s">
        <v>509</v>
      </c>
      <c r="P322" s="25"/>
      <c r="Q322" s="31">
        <v>120</v>
      </c>
      <c r="R322" s="31"/>
      <c r="S322" s="31"/>
      <c r="T322" s="31"/>
      <c r="U322" s="31">
        <v>60</v>
      </c>
      <c r="V322" s="31"/>
      <c r="W322" s="37"/>
      <c r="X322" s="37"/>
      <c r="Y322" s="79">
        <v>10</v>
      </c>
      <c r="Z322" s="31" t="s">
        <v>7</v>
      </c>
      <c r="AA322" s="37"/>
      <c r="AB322" s="37"/>
    </row>
    <row r="323" spans="1:28" ht="23.1" customHeight="1" x14ac:dyDescent="0.25">
      <c r="A323" s="53" t="s">
        <v>452</v>
      </c>
      <c r="B323" s="25" t="s">
        <v>113</v>
      </c>
      <c r="C323" s="31">
        <v>76</v>
      </c>
      <c r="D323" s="31" t="s">
        <v>349</v>
      </c>
      <c r="E323" s="25" t="s">
        <v>350</v>
      </c>
      <c r="F323" s="21" t="s">
        <v>350</v>
      </c>
      <c r="G323" s="21" t="str">
        <f>VLOOKUP(D323,[6]成飞半成品!$A:$B,2,0)</f>
        <v>4#下垫片</v>
      </c>
      <c r="H323" s="31" t="s">
        <v>154</v>
      </c>
      <c r="I323" s="31">
        <v>15</v>
      </c>
      <c r="J323" s="37" t="s">
        <v>1926</v>
      </c>
      <c r="K323" s="31">
        <v>7</v>
      </c>
      <c r="L323" s="31">
        <v>7</v>
      </c>
      <c r="M323" s="37">
        <v>26</v>
      </c>
      <c r="N323" s="31">
        <v>5</v>
      </c>
      <c r="O323" s="77" t="s">
        <v>330</v>
      </c>
      <c r="P323" s="25"/>
      <c r="Q323" s="31">
        <v>90</v>
      </c>
      <c r="R323" s="31"/>
      <c r="S323" s="31"/>
      <c r="T323" s="31"/>
      <c r="U323" s="31">
        <v>90</v>
      </c>
      <c r="V323" s="31"/>
      <c r="W323" s="37"/>
      <c r="X323" s="37"/>
      <c r="Y323" s="79">
        <v>10.5</v>
      </c>
      <c r="Z323" s="31" t="s">
        <v>12</v>
      </c>
      <c r="AA323" s="37"/>
      <c r="AB323" s="37"/>
    </row>
    <row r="324" spans="1:28" ht="23.1" customHeight="1" x14ac:dyDescent="0.25">
      <c r="A324" s="53" t="s">
        <v>452</v>
      </c>
      <c r="B324" s="25" t="s">
        <v>113</v>
      </c>
      <c r="C324" s="31">
        <v>14</v>
      </c>
      <c r="D324" s="31" t="s">
        <v>276</v>
      </c>
      <c r="E324" s="25" t="s">
        <v>277</v>
      </c>
      <c r="F324" s="21" t="s">
        <v>277</v>
      </c>
      <c r="G324" s="21" t="str">
        <f>VLOOKUP(D324,[6]成飞半成品!$A:$B,2,0)</f>
        <v>左外侧接头</v>
      </c>
      <c r="H324" s="31" t="s">
        <v>154</v>
      </c>
      <c r="I324" s="31">
        <v>50</v>
      </c>
      <c r="J324" s="37" t="s">
        <v>1899</v>
      </c>
      <c r="K324" s="31">
        <v>0.2</v>
      </c>
      <c r="L324" s="31">
        <v>0.1</v>
      </c>
      <c r="M324" s="37"/>
      <c r="N324" s="31">
        <v>37</v>
      </c>
      <c r="O324" s="77" t="s">
        <v>234</v>
      </c>
      <c r="P324" s="25"/>
      <c r="Q324" s="31">
        <v>2640</v>
      </c>
      <c r="R324" s="31"/>
      <c r="S324" s="31"/>
      <c r="T324" s="31"/>
      <c r="U324" s="31">
        <v>90</v>
      </c>
      <c r="V324" s="31"/>
      <c r="W324" s="37"/>
      <c r="X324" s="37"/>
      <c r="Y324" s="79">
        <v>4.4000000000000004</v>
      </c>
      <c r="Z324" s="31" t="s">
        <v>60</v>
      </c>
      <c r="AA324" s="37"/>
      <c r="AB324" s="37"/>
    </row>
    <row r="325" spans="1:28" ht="23.1" customHeight="1" x14ac:dyDescent="0.25">
      <c r="A325" s="53" t="s">
        <v>452</v>
      </c>
      <c r="B325" s="25" t="s">
        <v>113</v>
      </c>
      <c r="C325" s="31">
        <v>14</v>
      </c>
      <c r="D325" s="31" t="s">
        <v>235</v>
      </c>
      <c r="E325" s="25" t="s">
        <v>236</v>
      </c>
      <c r="F325" s="21" t="s">
        <v>236</v>
      </c>
      <c r="G325" s="21" t="str">
        <f>VLOOKUP(D325,[6]成飞半成品!$A:$B,2,0)</f>
        <v>右外侧接头</v>
      </c>
      <c r="H325" s="31" t="s">
        <v>154</v>
      </c>
      <c r="I325" s="31">
        <v>60</v>
      </c>
      <c r="J325" s="37" t="s">
        <v>1968</v>
      </c>
      <c r="K325" s="31">
        <v>1</v>
      </c>
      <c r="L325" s="31">
        <v>1</v>
      </c>
      <c r="M325" s="37"/>
      <c r="N325" s="31">
        <v>37</v>
      </c>
      <c r="O325" s="77" t="s">
        <v>159</v>
      </c>
      <c r="P325" s="25"/>
      <c r="Q325" s="31">
        <v>660</v>
      </c>
      <c r="R325" s="31"/>
      <c r="S325" s="31"/>
      <c r="T325" s="31"/>
      <c r="U325" s="31">
        <v>90</v>
      </c>
      <c r="V325" s="31"/>
      <c r="W325" s="37">
        <v>1</v>
      </c>
      <c r="X325" s="37"/>
      <c r="Y325" s="79">
        <v>12.5</v>
      </c>
      <c r="Z325" s="31" t="s">
        <v>60</v>
      </c>
      <c r="AA325" s="37" t="s">
        <v>92</v>
      </c>
      <c r="AB325" s="37"/>
    </row>
    <row r="326" spans="1:28" ht="23.1" customHeight="1" x14ac:dyDescent="0.25">
      <c r="A326" s="53" t="s">
        <v>452</v>
      </c>
      <c r="B326" s="25" t="s">
        <v>113</v>
      </c>
      <c r="C326" s="31">
        <v>14</v>
      </c>
      <c r="D326" s="31" t="s">
        <v>276</v>
      </c>
      <c r="E326" s="25" t="s">
        <v>277</v>
      </c>
      <c r="F326" s="21" t="s">
        <v>277</v>
      </c>
      <c r="G326" s="21" t="str">
        <f>VLOOKUP(D326,[6]成飞半成品!$A:$B,2,0)</f>
        <v>左外侧接头</v>
      </c>
      <c r="H326" s="31" t="s">
        <v>154</v>
      </c>
      <c r="I326" s="31">
        <v>60</v>
      </c>
      <c r="J326" s="37" t="s">
        <v>1968</v>
      </c>
      <c r="K326" s="31">
        <v>1</v>
      </c>
      <c r="L326" s="31">
        <v>1</v>
      </c>
      <c r="M326" s="37"/>
      <c r="N326" s="31">
        <v>5</v>
      </c>
      <c r="O326" s="77" t="s">
        <v>234</v>
      </c>
      <c r="P326" s="25"/>
      <c r="Q326" s="31">
        <v>660</v>
      </c>
      <c r="R326" s="31"/>
      <c r="S326" s="31"/>
      <c r="T326" s="31"/>
      <c r="U326" s="31">
        <v>90</v>
      </c>
      <c r="V326" s="31"/>
      <c r="W326" s="37">
        <v>1</v>
      </c>
      <c r="X326" s="37"/>
      <c r="Y326" s="79">
        <v>12.5</v>
      </c>
      <c r="Z326" s="31" t="s">
        <v>60</v>
      </c>
      <c r="AA326" s="37" t="s">
        <v>92</v>
      </c>
      <c r="AB326" s="37"/>
    </row>
    <row r="327" spans="1:28" ht="23.1" customHeight="1" x14ac:dyDescent="0.25">
      <c r="A327" s="53" t="s">
        <v>452</v>
      </c>
      <c r="B327" s="25" t="s">
        <v>113</v>
      </c>
      <c r="C327" s="31">
        <v>15</v>
      </c>
      <c r="D327" s="31" t="s">
        <v>217</v>
      </c>
      <c r="E327" s="25" t="s">
        <v>218</v>
      </c>
      <c r="F327" s="21" t="s">
        <v>218</v>
      </c>
      <c r="G327" s="21" t="str">
        <f>VLOOKUP(D327,[6]成飞半成品!$A:$B,2,0)</f>
        <v>横梁</v>
      </c>
      <c r="H327" s="31" t="s">
        <v>107</v>
      </c>
      <c r="I327" s="31">
        <v>45</v>
      </c>
      <c r="J327" s="37" t="s">
        <v>1927</v>
      </c>
      <c r="K327" s="31">
        <v>2</v>
      </c>
      <c r="L327" s="31">
        <v>3</v>
      </c>
      <c r="M327" s="37">
        <v>5</v>
      </c>
      <c r="N327" s="31">
        <v>5</v>
      </c>
      <c r="O327" s="77" t="s">
        <v>219</v>
      </c>
      <c r="P327" s="25"/>
      <c r="Q327" s="31">
        <v>420</v>
      </c>
      <c r="R327" s="31"/>
      <c r="S327" s="31"/>
      <c r="T327" s="31"/>
      <c r="U327" s="31">
        <v>90</v>
      </c>
      <c r="V327" s="31"/>
      <c r="W327" s="37"/>
      <c r="X327" s="37"/>
      <c r="Y327" s="79">
        <v>21</v>
      </c>
      <c r="Z327" s="31" t="s">
        <v>60</v>
      </c>
      <c r="AA327" s="37"/>
      <c r="AB327" s="37"/>
    </row>
    <row r="328" spans="1:28" ht="23.1" customHeight="1" x14ac:dyDescent="0.25">
      <c r="A328" s="53" t="s">
        <v>452</v>
      </c>
      <c r="B328" s="25" t="s">
        <v>113</v>
      </c>
      <c r="C328" s="31">
        <v>21</v>
      </c>
      <c r="D328" s="31" t="s">
        <v>321</v>
      </c>
      <c r="E328" s="25" t="s">
        <v>322</v>
      </c>
      <c r="F328" s="21" t="s">
        <v>322</v>
      </c>
      <c r="G328" s="21" t="str">
        <f>VLOOKUP(D328,[6]成飞半成品!$A:$B,2,0)</f>
        <v>10860框</v>
      </c>
      <c r="H328" s="31" t="s">
        <v>323</v>
      </c>
      <c r="I328" s="31">
        <v>5</v>
      </c>
      <c r="J328" s="37" t="s">
        <v>1945</v>
      </c>
      <c r="K328" s="31">
        <v>2</v>
      </c>
      <c r="L328" s="31">
        <v>2</v>
      </c>
      <c r="M328" s="37">
        <v>5</v>
      </c>
      <c r="N328" s="31">
        <v>5</v>
      </c>
      <c r="O328" s="77" t="s">
        <v>510</v>
      </c>
      <c r="P328" s="25"/>
      <c r="Q328" s="31">
        <v>540</v>
      </c>
      <c r="R328" s="31">
        <v>120</v>
      </c>
      <c r="S328" s="31"/>
      <c r="T328" s="31">
        <v>2</v>
      </c>
      <c r="U328" s="31">
        <v>180</v>
      </c>
      <c r="V328" s="31"/>
      <c r="W328" s="37"/>
      <c r="X328" s="37"/>
      <c r="Y328" s="79">
        <v>22</v>
      </c>
      <c r="Z328" s="31" t="s">
        <v>49</v>
      </c>
      <c r="AA328" s="37" t="s">
        <v>147</v>
      </c>
      <c r="AB328" s="37"/>
    </row>
    <row r="329" spans="1:28" ht="23.1" customHeight="1" x14ac:dyDescent="0.25">
      <c r="A329" s="53" t="s">
        <v>452</v>
      </c>
      <c r="B329" s="25" t="s">
        <v>113</v>
      </c>
      <c r="C329" s="31">
        <v>22</v>
      </c>
      <c r="D329" s="31" t="s">
        <v>111</v>
      </c>
      <c r="E329" s="25" t="s">
        <v>101</v>
      </c>
      <c r="F329" s="21" t="s">
        <v>101</v>
      </c>
      <c r="G329" s="21" t="str">
        <f>VLOOKUP(D329,[6]成飞半成品!$A:$B,2,0)</f>
        <v>前梁一段</v>
      </c>
      <c r="H329" s="31" t="s">
        <v>102</v>
      </c>
      <c r="I329" s="31">
        <v>40</v>
      </c>
      <c r="J329" s="37" t="s">
        <v>1969</v>
      </c>
      <c r="K329" s="31">
        <v>1</v>
      </c>
      <c r="L329" s="31">
        <v>1</v>
      </c>
      <c r="M329" s="37"/>
      <c r="N329" s="31">
        <v>37</v>
      </c>
      <c r="O329" s="77" t="s">
        <v>103</v>
      </c>
      <c r="P329" s="25"/>
      <c r="Q329" s="31">
        <v>960</v>
      </c>
      <c r="R329" s="31">
        <v>180</v>
      </c>
      <c r="S329" s="31"/>
      <c r="T329" s="31">
        <v>1</v>
      </c>
      <c r="U329" s="31">
        <v>180</v>
      </c>
      <c r="V329" s="31"/>
      <c r="W329" s="37">
        <v>1</v>
      </c>
      <c r="X329" s="37"/>
      <c r="Y329" s="79">
        <v>22</v>
      </c>
      <c r="Z329" s="31" t="s">
        <v>49</v>
      </c>
      <c r="AA329" s="37" t="s">
        <v>407</v>
      </c>
      <c r="AB329" s="37"/>
    </row>
    <row r="330" spans="1:28" ht="23.1" customHeight="1" x14ac:dyDescent="0.25">
      <c r="A330" s="53" t="s">
        <v>452</v>
      </c>
      <c r="B330" s="25" t="s">
        <v>113</v>
      </c>
      <c r="C330" s="31">
        <v>59</v>
      </c>
      <c r="D330" s="31" t="s">
        <v>408</v>
      </c>
      <c r="E330" s="25" t="s">
        <v>409</v>
      </c>
      <c r="F330" s="21" t="s">
        <v>409</v>
      </c>
      <c r="G330" s="21" t="str">
        <f>VLOOKUP(D330,[6]成飞半成品!$A:$B,2,0)</f>
        <v>接头</v>
      </c>
      <c r="H330" s="31" t="s">
        <v>107</v>
      </c>
      <c r="I330" s="31">
        <v>10</v>
      </c>
      <c r="J330" s="37" t="s">
        <v>1942</v>
      </c>
      <c r="K330" s="31"/>
      <c r="L330" s="31">
        <v>16</v>
      </c>
      <c r="M330" s="37">
        <v>28</v>
      </c>
      <c r="N330" s="31">
        <v>28</v>
      </c>
      <c r="O330" s="77" t="s">
        <v>393</v>
      </c>
      <c r="P330" s="25"/>
      <c r="Q330" s="31">
        <v>30</v>
      </c>
      <c r="R330" s="31"/>
      <c r="S330" s="31"/>
      <c r="T330" s="31"/>
      <c r="U330" s="31">
        <v>60</v>
      </c>
      <c r="V330" s="31"/>
      <c r="W330" s="37"/>
      <c r="X330" s="37"/>
      <c r="Y330" s="79">
        <v>8</v>
      </c>
      <c r="Z330" s="65" t="s">
        <v>1847</v>
      </c>
      <c r="AA330" s="37"/>
      <c r="AB330" s="37"/>
    </row>
    <row r="331" spans="1:28" ht="23.1" customHeight="1" x14ac:dyDescent="0.25">
      <c r="A331" s="53" t="s">
        <v>452</v>
      </c>
      <c r="B331" s="25" t="s">
        <v>113</v>
      </c>
      <c r="C331" s="31">
        <v>59</v>
      </c>
      <c r="D331" s="31" t="s">
        <v>408</v>
      </c>
      <c r="E331" s="25" t="s">
        <v>511</v>
      </c>
      <c r="F331" s="21" t="s">
        <v>409</v>
      </c>
      <c r="G331" s="21" t="str">
        <f>VLOOKUP(D331,[6]成飞半成品!$A:$B,2,0)</f>
        <v>接头</v>
      </c>
      <c r="H331" s="31" t="s">
        <v>108</v>
      </c>
      <c r="I331" s="31">
        <v>10</v>
      </c>
      <c r="J331" s="37"/>
      <c r="K331" s="31">
        <v>1</v>
      </c>
      <c r="L331" s="31">
        <v>1</v>
      </c>
      <c r="M331" s="37"/>
      <c r="N331" s="31"/>
      <c r="O331" s="77" t="s">
        <v>108</v>
      </c>
      <c r="P331" s="25">
        <v>60</v>
      </c>
      <c r="Q331" s="31"/>
      <c r="R331" s="31"/>
      <c r="S331" s="31"/>
      <c r="T331" s="31"/>
      <c r="U331" s="31"/>
      <c r="V331" s="31"/>
      <c r="W331" s="37"/>
      <c r="X331" s="37">
        <v>2</v>
      </c>
      <c r="Y331" s="83">
        <v>3</v>
      </c>
      <c r="Z331" s="65" t="s">
        <v>1847</v>
      </c>
      <c r="AA331" s="37" t="s">
        <v>512</v>
      </c>
      <c r="AB331" s="25" t="s">
        <v>238</v>
      </c>
    </row>
    <row r="332" spans="1:28" ht="23.1" customHeight="1" x14ac:dyDescent="0.25">
      <c r="A332" s="53" t="s">
        <v>452</v>
      </c>
      <c r="B332" s="25" t="s">
        <v>113</v>
      </c>
      <c r="C332" s="31">
        <v>9</v>
      </c>
      <c r="D332" s="31" t="s">
        <v>229</v>
      </c>
      <c r="E332" s="25" t="s">
        <v>230</v>
      </c>
      <c r="F332" s="21" t="s">
        <v>230</v>
      </c>
      <c r="G332" s="21" t="str">
        <f>VLOOKUP(D332,[6]成飞半成品!$A:$B,2,0)</f>
        <v>前起落架舱门结构支撑梁</v>
      </c>
      <c r="H332" s="31" t="s">
        <v>154</v>
      </c>
      <c r="I332" s="31">
        <v>25</v>
      </c>
      <c r="J332" s="37" t="s">
        <v>1894</v>
      </c>
      <c r="K332" s="31">
        <v>4</v>
      </c>
      <c r="L332" s="31">
        <v>6</v>
      </c>
      <c r="M332" s="37">
        <v>5</v>
      </c>
      <c r="N332" s="31">
        <v>26</v>
      </c>
      <c r="O332" s="77" t="s">
        <v>263</v>
      </c>
      <c r="P332" s="25"/>
      <c r="Q332" s="31">
        <v>140</v>
      </c>
      <c r="R332" s="31"/>
      <c r="S332" s="31"/>
      <c r="T332" s="31"/>
      <c r="U332" s="31">
        <v>60</v>
      </c>
      <c r="V332" s="31"/>
      <c r="W332" s="37"/>
      <c r="X332" s="37"/>
      <c r="Y332" s="79">
        <v>14</v>
      </c>
      <c r="Z332" s="31" t="s">
        <v>30</v>
      </c>
      <c r="AA332" s="37"/>
      <c r="AB332" s="37"/>
    </row>
    <row r="333" spans="1:28" ht="23.1" customHeight="1" x14ac:dyDescent="0.25">
      <c r="A333" s="53" t="s">
        <v>452</v>
      </c>
      <c r="B333" s="25" t="s">
        <v>113</v>
      </c>
      <c r="C333" s="31">
        <v>10</v>
      </c>
      <c r="D333" s="31" t="s">
        <v>513</v>
      </c>
      <c r="E333" s="25" t="s">
        <v>389</v>
      </c>
      <c r="F333" s="21" t="s">
        <v>389</v>
      </c>
      <c r="G333" s="21" t="str">
        <f>VLOOKUP(D333,[6]成飞半成品!$A:$B,2,0)</f>
        <v>11968下口盖</v>
      </c>
      <c r="H333" s="31" t="s">
        <v>118</v>
      </c>
      <c r="I333" s="31">
        <v>8</v>
      </c>
      <c r="J333" s="37"/>
      <c r="K333" s="31">
        <v>20</v>
      </c>
      <c r="L333" s="31">
        <v>30</v>
      </c>
      <c r="M333" s="37">
        <v>37</v>
      </c>
      <c r="N333" s="31">
        <v>37</v>
      </c>
      <c r="O333" s="77" t="s">
        <v>514</v>
      </c>
      <c r="P333" s="25">
        <v>40</v>
      </c>
      <c r="Q333" s="31"/>
      <c r="R333" s="31"/>
      <c r="S333" s="31"/>
      <c r="T333" s="31"/>
      <c r="U333" s="31"/>
      <c r="V333" s="31"/>
      <c r="W333" s="37"/>
      <c r="X333" s="37"/>
      <c r="Y333" s="83">
        <v>20</v>
      </c>
      <c r="Z333" s="31" t="s">
        <v>30</v>
      </c>
      <c r="AA333" s="37"/>
      <c r="AB333" s="37"/>
    </row>
    <row r="334" spans="1:28" ht="23.1" customHeight="1" x14ac:dyDescent="0.25">
      <c r="A334" s="53" t="s">
        <v>452</v>
      </c>
      <c r="B334" s="25" t="s">
        <v>113</v>
      </c>
      <c r="C334" s="31">
        <v>10</v>
      </c>
      <c r="D334" s="31" t="s">
        <v>388</v>
      </c>
      <c r="E334" s="25" t="s">
        <v>389</v>
      </c>
      <c r="F334" s="21" t="s">
        <v>389</v>
      </c>
      <c r="G334" s="21" t="str">
        <f>VLOOKUP(D334,[6]成飞半成品!$A:$B,2,0)</f>
        <v>11968下口盖</v>
      </c>
      <c r="H334" s="31" t="s">
        <v>300</v>
      </c>
      <c r="I334" s="31">
        <v>8</v>
      </c>
      <c r="J334" s="37"/>
      <c r="K334" s="31"/>
      <c r="L334" s="31">
        <v>6</v>
      </c>
      <c r="M334" s="37">
        <v>37</v>
      </c>
      <c r="N334" s="31">
        <v>37</v>
      </c>
      <c r="O334" s="77" t="s">
        <v>351</v>
      </c>
      <c r="P334" s="25">
        <v>40</v>
      </c>
      <c r="Q334" s="31"/>
      <c r="R334" s="31"/>
      <c r="S334" s="31"/>
      <c r="T334" s="31"/>
      <c r="U334" s="31"/>
      <c r="V334" s="31"/>
      <c r="W334" s="37"/>
      <c r="X334" s="37"/>
      <c r="Y334" s="83">
        <v>4</v>
      </c>
      <c r="Z334" s="31" t="s">
        <v>30</v>
      </c>
      <c r="AA334" s="37"/>
      <c r="AB334" s="37"/>
    </row>
    <row r="335" spans="1:28" ht="23.1" customHeight="1" x14ac:dyDescent="0.25">
      <c r="A335" s="53" t="s">
        <v>452</v>
      </c>
      <c r="B335" s="25" t="s">
        <v>113</v>
      </c>
      <c r="C335" s="31">
        <v>24</v>
      </c>
      <c r="D335" s="31" t="s">
        <v>294</v>
      </c>
      <c r="E335" s="25" t="s">
        <v>259</v>
      </c>
      <c r="F335" s="21" t="s">
        <v>979</v>
      </c>
      <c r="G335" s="21" t="str">
        <f>VLOOKUP(D335,[6]成飞半成品!$A:$B,2,0)</f>
        <v>梁（左件）</v>
      </c>
      <c r="H335" s="31" t="s">
        <v>118</v>
      </c>
      <c r="I335" s="31">
        <v>50</v>
      </c>
      <c r="J335" s="37" t="s">
        <v>1965</v>
      </c>
      <c r="K335" s="31">
        <v>0.2</v>
      </c>
      <c r="L335" s="31">
        <v>0.3</v>
      </c>
      <c r="M335" s="37"/>
      <c r="N335" s="31">
        <v>0.3</v>
      </c>
      <c r="O335" s="77" t="s">
        <v>515</v>
      </c>
      <c r="P335" s="25"/>
      <c r="Q335" s="31">
        <v>1960</v>
      </c>
      <c r="R335" s="31">
        <v>120</v>
      </c>
      <c r="S335" s="31"/>
      <c r="T335" s="31">
        <v>1</v>
      </c>
      <c r="U335" s="31">
        <v>180</v>
      </c>
      <c r="V335" s="31"/>
      <c r="W335" s="37"/>
      <c r="X335" s="37"/>
      <c r="Y335" s="79">
        <v>11.8</v>
      </c>
      <c r="Z335" s="31" t="s">
        <v>69</v>
      </c>
      <c r="AA335" s="37" t="s">
        <v>145</v>
      </c>
      <c r="AB335" s="37"/>
    </row>
    <row r="336" spans="1:28" ht="23.1" customHeight="1" x14ac:dyDescent="0.25">
      <c r="A336" s="53" t="s">
        <v>452</v>
      </c>
      <c r="B336" s="25" t="s">
        <v>113</v>
      </c>
      <c r="C336" s="31">
        <v>69</v>
      </c>
      <c r="D336" s="31" t="s">
        <v>495</v>
      </c>
      <c r="E336" s="25" t="s">
        <v>267</v>
      </c>
      <c r="F336" s="21" t="s">
        <v>267</v>
      </c>
      <c r="G336" s="21" t="str">
        <f>VLOOKUP(D336,[6]成飞半成品!$A:$B,2,0)</f>
        <v>后端框</v>
      </c>
      <c r="H336" s="31" t="s">
        <v>118</v>
      </c>
      <c r="I336" s="31">
        <v>50</v>
      </c>
      <c r="J336" s="37" t="s">
        <v>1909</v>
      </c>
      <c r="K336" s="31">
        <v>3</v>
      </c>
      <c r="L336" s="31">
        <v>3</v>
      </c>
      <c r="M336" s="37">
        <v>5</v>
      </c>
      <c r="N336" s="31">
        <v>5</v>
      </c>
      <c r="O336" s="77" t="s">
        <v>429</v>
      </c>
      <c r="P336" s="25"/>
      <c r="Q336" s="31">
        <v>240</v>
      </c>
      <c r="R336" s="31">
        <v>90</v>
      </c>
      <c r="S336" s="31"/>
      <c r="T336" s="31">
        <v>3</v>
      </c>
      <c r="U336" s="31">
        <v>180</v>
      </c>
      <c r="V336" s="31"/>
      <c r="W336" s="37"/>
      <c r="X336" s="37">
        <v>3</v>
      </c>
      <c r="Y336" s="79">
        <v>19.5</v>
      </c>
      <c r="Z336" s="31" t="s">
        <v>69</v>
      </c>
      <c r="AA336" s="37" t="s">
        <v>428</v>
      </c>
      <c r="AB336" s="37"/>
    </row>
    <row r="337" spans="1:28" ht="23.1" customHeight="1" x14ac:dyDescent="0.25">
      <c r="A337" s="53" t="s">
        <v>452</v>
      </c>
      <c r="B337" s="25" t="s">
        <v>113</v>
      </c>
      <c r="C337" s="31">
        <v>91</v>
      </c>
      <c r="D337" s="31" t="s">
        <v>484</v>
      </c>
      <c r="E337" s="25" t="s">
        <v>485</v>
      </c>
      <c r="F337" s="21" t="s">
        <v>485</v>
      </c>
      <c r="G337" s="21" t="str">
        <f>VLOOKUP(D337,[6]成飞半成品!$A:$B,2,0)</f>
        <v>8635左隔框</v>
      </c>
      <c r="H337" s="31" t="s">
        <v>300</v>
      </c>
      <c r="I337" s="31">
        <v>30</v>
      </c>
      <c r="J337" s="37" t="s">
        <v>1921</v>
      </c>
      <c r="K337" s="31">
        <v>1</v>
      </c>
      <c r="L337" s="31">
        <v>0.9</v>
      </c>
      <c r="M337" s="37"/>
      <c r="N337" s="31">
        <v>28</v>
      </c>
      <c r="O337" s="77" t="s">
        <v>222</v>
      </c>
      <c r="P337" s="25"/>
      <c r="Q337" s="31">
        <v>960</v>
      </c>
      <c r="R337" s="31">
        <v>120</v>
      </c>
      <c r="S337" s="31"/>
      <c r="T337" s="31">
        <v>1</v>
      </c>
      <c r="U337" s="31">
        <v>180</v>
      </c>
      <c r="V337" s="31"/>
      <c r="W337" s="37"/>
      <c r="X337" s="37"/>
      <c r="Y337" s="79">
        <v>16.399999999999999</v>
      </c>
      <c r="Z337" s="31" t="s">
        <v>69</v>
      </c>
      <c r="AA337" s="37" t="s">
        <v>145</v>
      </c>
      <c r="AB337" s="37"/>
    </row>
    <row r="338" spans="1:28" ht="23.1" customHeight="1" x14ac:dyDescent="0.25">
      <c r="A338" s="53" t="s">
        <v>452</v>
      </c>
      <c r="B338" s="25" t="s">
        <v>113</v>
      </c>
      <c r="C338" s="31">
        <v>84</v>
      </c>
      <c r="D338" s="31" t="s">
        <v>478</v>
      </c>
      <c r="E338" s="25" t="s">
        <v>479</v>
      </c>
      <c r="F338" s="21" t="s">
        <v>2550</v>
      </c>
      <c r="G338" s="21" t="str">
        <f>VLOOKUP(D338,[6]成飞半成品!$A:$B,2,0)</f>
        <v>1号护板维型肋左件</v>
      </c>
      <c r="H338" s="31" t="s">
        <v>154</v>
      </c>
      <c r="I338" s="31">
        <v>25</v>
      </c>
      <c r="J338" s="37" t="s">
        <v>1938</v>
      </c>
      <c r="K338" s="31">
        <v>7</v>
      </c>
      <c r="L338" s="31">
        <v>7</v>
      </c>
      <c r="M338" s="37">
        <v>5</v>
      </c>
      <c r="N338" s="31">
        <v>5</v>
      </c>
      <c r="O338" s="77" t="s">
        <v>247</v>
      </c>
      <c r="P338" s="25"/>
      <c r="Q338" s="31">
        <v>60</v>
      </c>
      <c r="R338" s="31">
        <v>60</v>
      </c>
      <c r="S338" s="31"/>
      <c r="T338" s="31">
        <v>7</v>
      </c>
      <c r="U338" s="31">
        <v>120</v>
      </c>
      <c r="V338" s="31"/>
      <c r="W338" s="37"/>
      <c r="X338" s="37">
        <v>3</v>
      </c>
      <c r="Y338" s="79">
        <v>17</v>
      </c>
      <c r="Z338" s="31" t="s">
        <v>69</v>
      </c>
      <c r="AA338" s="37" t="s">
        <v>516</v>
      </c>
      <c r="AB338" s="37"/>
    </row>
    <row r="339" spans="1:28" ht="23.1" customHeight="1" x14ac:dyDescent="0.25">
      <c r="A339" s="53" t="s">
        <v>452</v>
      </c>
      <c r="B339" s="25" t="s">
        <v>113</v>
      </c>
      <c r="C339" s="31">
        <v>84</v>
      </c>
      <c r="D339" s="31" t="s">
        <v>517</v>
      </c>
      <c r="E339" s="25" t="s">
        <v>518</v>
      </c>
      <c r="F339" s="21" t="s">
        <v>518</v>
      </c>
      <c r="G339" s="21" t="str">
        <f>VLOOKUP(D339,[6]成飞半成品!$A:$B,2,0)</f>
        <v>带板</v>
      </c>
      <c r="H339" s="31" t="s">
        <v>250</v>
      </c>
      <c r="I339" s="31">
        <v>25</v>
      </c>
      <c r="J339" s="37" t="s">
        <v>1970</v>
      </c>
      <c r="K339" s="31">
        <v>1</v>
      </c>
      <c r="L339" s="31">
        <v>1</v>
      </c>
      <c r="M339" s="37">
        <v>23</v>
      </c>
      <c r="N339" s="31"/>
      <c r="O339" s="77" t="s">
        <v>519</v>
      </c>
      <c r="P339" s="25"/>
      <c r="Q339" s="31">
        <v>40</v>
      </c>
      <c r="R339" s="31"/>
      <c r="S339" s="31"/>
      <c r="T339" s="31">
        <v>1</v>
      </c>
      <c r="U339" s="31">
        <v>90</v>
      </c>
      <c r="V339" s="31"/>
      <c r="W339" s="37">
        <v>1</v>
      </c>
      <c r="X339" s="37"/>
      <c r="Y339" s="79">
        <v>2.2000000000000002</v>
      </c>
      <c r="Z339" s="31" t="s">
        <v>69</v>
      </c>
      <c r="AA339" s="37" t="s">
        <v>328</v>
      </c>
      <c r="AB339" s="37"/>
    </row>
    <row r="340" spans="1:28" ht="23.1" customHeight="1" x14ac:dyDescent="0.25">
      <c r="A340" s="53" t="s">
        <v>452</v>
      </c>
      <c r="B340" s="25" t="s">
        <v>113</v>
      </c>
      <c r="C340" s="31">
        <v>119</v>
      </c>
      <c r="D340" s="31" t="s">
        <v>498</v>
      </c>
      <c r="E340" s="25" t="s">
        <v>499</v>
      </c>
      <c r="F340" s="21" t="s">
        <v>499</v>
      </c>
      <c r="G340" s="21" t="str">
        <f>VLOOKUP(D340,[6]成飞半成品!$A:$B,2,0)</f>
        <v>10540中框</v>
      </c>
      <c r="H340" s="31" t="s">
        <v>300</v>
      </c>
      <c r="I340" s="31">
        <v>70</v>
      </c>
      <c r="J340" s="37" t="s">
        <v>1966</v>
      </c>
      <c r="K340" s="31">
        <v>4</v>
      </c>
      <c r="L340" s="31">
        <v>4</v>
      </c>
      <c r="M340" s="37">
        <v>5</v>
      </c>
      <c r="N340" s="31">
        <v>5</v>
      </c>
      <c r="O340" s="77" t="s">
        <v>520</v>
      </c>
      <c r="P340" s="25"/>
      <c r="Q340" s="31">
        <v>30</v>
      </c>
      <c r="R340" s="31">
        <v>90</v>
      </c>
      <c r="S340" s="31"/>
      <c r="T340" s="31">
        <v>4</v>
      </c>
      <c r="U340" s="31">
        <v>180</v>
      </c>
      <c r="V340" s="31"/>
      <c r="W340" s="37">
        <v>1</v>
      </c>
      <c r="X340" s="37"/>
      <c r="Y340" s="79">
        <v>11</v>
      </c>
      <c r="Z340" s="31" t="s">
        <v>69</v>
      </c>
      <c r="AA340" s="37" t="s">
        <v>521</v>
      </c>
      <c r="AB340" s="37"/>
    </row>
    <row r="341" spans="1:28" ht="23.1" customHeight="1" x14ac:dyDescent="0.25">
      <c r="A341" s="53" t="s">
        <v>452</v>
      </c>
      <c r="B341" s="25" t="s">
        <v>113</v>
      </c>
      <c r="C341" s="31">
        <v>23</v>
      </c>
      <c r="D341" s="31" t="s">
        <v>288</v>
      </c>
      <c r="E341" s="25" t="s">
        <v>255</v>
      </c>
      <c r="F341" s="21" t="s">
        <v>1532</v>
      </c>
      <c r="G341" s="21" t="str">
        <f>VLOOKUP(D341,[6]成飞半成品!$A:$B,2,0)</f>
        <v>9350-11140左侧上梁</v>
      </c>
      <c r="H341" s="31" t="s">
        <v>250</v>
      </c>
      <c r="I341" s="31">
        <v>45</v>
      </c>
      <c r="J341" s="37" t="s">
        <v>1919</v>
      </c>
      <c r="K341" s="31">
        <v>0.4</v>
      </c>
      <c r="L341" s="31">
        <v>0.4</v>
      </c>
      <c r="M341" s="37">
        <v>5</v>
      </c>
      <c r="N341" s="31">
        <v>5</v>
      </c>
      <c r="O341" s="77" t="s">
        <v>476</v>
      </c>
      <c r="P341" s="25"/>
      <c r="Q341" s="31">
        <v>660</v>
      </c>
      <c r="R341" s="31">
        <v>90</v>
      </c>
      <c r="S341" s="31"/>
      <c r="T341" s="31"/>
      <c r="U341" s="31">
        <v>120</v>
      </c>
      <c r="V341" s="31"/>
      <c r="W341" s="37"/>
      <c r="X341" s="37">
        <v>3</v>
      </c>
      <c r="Y341" s="79">
        <v>7.4</v>
      </c>
      <c r="Z341" s="31" t="s">
        <v>22</v>
      </c>
      <c r="AA341" s="37" t="s">
        <v>522</v>
      </c>
      <c r="AB341" s="37"/>
    </row>
    <row r="342" spans="1:28" ht="23.1" customHeight="1" x14ac:dyDescent="0.25">
      <c r="A342" s="53" t="s">
        <v>452</v>
      </c>
      <c r="B342" s="25" t="s">
        <v>113</v>
      </c>
      <c r="C342" s="31">
        <v>23</v>
      </c>
      <c r="D342" s="31" t="s">
        <v>254</v>
      </c>
      <c r="E342" s="25" t="s">
        <v>255</v>
      </c>
      <c r="F342" s="21" t="s">
        <v>1016</v>
      </c>
      <c r="G342" s="21" t="str">
        <f>VLOOKUP(D342,[6]成飞半成品!$A:$B,2,0)</f>
        <v>9350-11140右侧上梁</v>
      </c>
      <c r="H342" s="31" t="s">
        <v>375</v>
      </c>
      <c r="I342" s="31">
        <v>37</v>
      </c>
      <c r="J342" s="37"/>
      <c r="K342" s="31">
        <v>0.5</v>
      </c>
      <c r="L342" s="31">
        <v>0.55000000000000004</v>
      </c>
      <c r="M342" s="37"/>
      <c r="N342" s="31">
        <v>31</v>
      </c>
      <c r="O342" s="77" t="s">
        <v>155</v>
      </c>
      <c r="P342" s="25">
        <v>660</v>
      </c>
      <c r="Q342" s="31"/>
      <c r="R342" s="31"/>
      <c r="S342" s="31">
        <v>90</v>
      </c>
      <c r="T342" s="31">
        <v>1</v>
      </c>
      <c r="U342" s="31"/>
      <c r="V342" s="31">
        <v>60</v>
      </c>
      <c r="W342" s="37">
        <v>1</v>
      </c>
      <c r="X342" s="37">
        <v>3</v>
      </c>
      <c r="Y342" s="83">
        <v>11.6</v>
      </c>
      <c r="Z342" s="31" t="s">
        <v>22</v>
      </c>
      <c r="AA342" s="37" t="s">
        <v>523</v>
      </c>
      <c r="AB342" s="37"/>
    </row>
    <row r="343" spans="1:28" ht="23.1" customHeight="1" x14ac:dyDescent="0.25">
      <c r="A343" s="53" t="s">
        <v>452</v>
      </c>
      <c r="B343" s="25" t="s">
        <v>113</v>
      </c>
      <c r="C343" s="31">
        <v>47</v>
      </c>
      <c r="D343" s="31" t="s">
        <v>332</v>
      </c>
      <c r="E343" s="25" t="s">
        <v>333</v>
      </c>
      <c r="F343" s="21" t="s">
        <v>2548</v>
      </c>
      <c r="G343" s="21" t="str">
        <f>VLOOKUP(D343,[6]成飞半成品!$A:$B,2,0)</f>
        <v>5550上框</v>
      </c>
      <c r="H343" s="31" t="s">
        <v>334</v>
      </c>
      <c r="I343" s="31">
        <v>20</v>
      </c>
      <c r="J343" s="37" t="s">
        <v>1959</v>
      </c>
      <c r="K343" s="31">
        <v>1.2</v>
      </c>
      <c r="L343" s="31">
        <v>1.35</v>
      </c>
      <c r="M343" s="37">
        <v>5</v>
      </c>
      <c r="N343" s="31">
        <v>23</v>
      </c>
      <c r="O343" s="77" t="s">
        <v>335</v>
      </c>
      <c r="P343" s="25"/>
      <c r="Q343" s="31">
        <v>720</v>
      </c>
      <c r="R343" s="31">
        <v>90</v>
      </c>
      <c r="S343" s="31"/>
      <c r="T343" s="31">
        <v>1</v>
      </c>
      <c r="U343" s="31">
        <v>120</v>
      </c>
      <c r="V343" s="31"/>
      <c r="W343" s="37"/>
      <c r="X343" s="37"/>
      <c r="Y343" s="79">
        <v>17.7</v>
      </c>
      <c r="Z343" s="31" t="s">
        <v>22</v>
      </c>
      <c r="AA343" s="37" t="s">
        <v>145</v>
      </c>
      <c r="AB343" s="37"/>
    </row>
    <row r="344" spans="1:28" ht="23.1" customHeight="1" x14ac:dyDescent="0.25">
      <c r="A344" s="53" t="s">
        <v>452</v>
      </c>
      <c r="B344" s="25" t="s">
        <v>113</v>
      </c>
      <c r="C344" s="31">
        <v>79</v>
      </c>
      <c r="D344" s="31" t="s">
        <v>152</v>
      </c>
      <c r="E344" s="25" t="s">
        <v>153</v>
      </c>
      <c r="F344" s="21" t="s">
        <v>1247</v>
      </c>
      <c r="G344" s="21" t="str">
        <f>VLOOKUP(D344,[6]成飞半成品!$A:$B,2,0)</f>
        <v>根肋前段</v>
      </c>
      <c r="H344" s="31" t="s">
        <v>154</v>
      </c>
      <c r="I344" s="31">
        <v>20</v>
      </c>
      <c r="J344" s="37" t="s">
        <v>1948</v>
      </c>
      <c r="K344" s="31"/>
      <c r="L344" s="31">
        <v>0.3</v>
      </c>
      <c r="M344" s="37">
        <v>5</v>
      </c>
      <c r="N344" s="31"/>
      <c r="O344" s="77" t="s">
        <v>470</v>
      </c>
      <c r="P344" s="25"/>
      <c r="Q344" s="31">
        <v>660</v>
      </c>
      <c r="R344" s="31">
        <v>90</v>
      </c>
      <c r="S344" s="31"/>
      <c r="T344" s="31">
        <v>1</v>
      </c>
      <c r="U344" s="31">
        <v>120</v>
      </c>
      <c r="V344" s="31"/>
      <c r="W344" s="37">
        <v>1</v>
      </c>
      <c r="X344" s="37">
        <v>2</v>
      </c>
      <c r="Y344" s="79">
        <v>8.8000000000000007</v>
      </c>
      <c r="Z344" s="31" t="s">
        <v>5</v>
      </c>
      <c r="AA344" s="37" t="s">
        <v>524</v>
      </c>
      <c r="AB344" s="25" t="s">
        <v>238</v>
      </c>
    </row>
    <row r="345" spans="1:28" ht="23.1" customHeight="1" x14ac:dyDescent="0.25">
      <c r="A345" s="53" t="s">
        <v>452</v>
      </c>
      <c r="B345" s="25" t="s">
        <v>113</v>
      </c>
      <c r="C345" s="31">
        <v>107</v>
      </c>
      <c r="D345" s="31" t="s">
        <v>308</v>
      </c>
      <c r="E345" s="25" t="s">
        <v>309</v>
      </c>
      <c r="F345" s="21" t="s">
        <v>309</v>
      </c>
      <c r="G345" s="21" t="str">
        <f>VLOOKUP(D345,[6]成飞半成品!$A:$B,2,0)</f>
        <v>右内侧接头</v>
      </c>
      <c r="H345" s="31" t="s">
        <v>102</v>
      </c>
      <c r="I345" s="31">
        <v>80</v>
      </c>
      <c r="J345" s="37" t="s">
        <v>1964</v>
      </c>
      <c r="K345" s="31"/>
      <c r="L345" s="31">
        <v>1</v>
      </c>
      <c r="M345" s="37">
        <v>26</v>
      </c>
      <c r="N345" s="31">
        <v>26</v>
      </c>
      <c r="O345" s="77" t="s">
        <v>234</v>
      </c>
      <c r="P345" s="25"/>
      <c r="Q345" s="31">
        <v>360</v>
      </c>
      <c r="R345" s="31"/>
      <c r="S345" s="31"/>
      <c r="T345" s="31">
        <v>1</v>
      </c>
      <c r="U345" s="31">
        <v>120</v>
      </c>
      <c r="V345" s="31"/>
      <c r="W345" s="37">
        <v>1</v>
      </c>
      <c r="X345" s="37"/>
      <c r="Y345" s="79">
        <v>8</v>
      </c>
      <c r="Z345" s="31" t="s">
        <v>13</v>
      </c>
      <c r="AA345" s="37" t="s">
        <v>525</v>
      </c>
      <c r="AB345" s="37"/>
    </row>
    <row r="346" spans="1:28" ht="23.1" customHeight="1" x14ac:dyDescent="0.25">
      <c r="A346" s="53" t="s">
        <v>452</v>
      </c>
      <c r="B346" s="25" t="s">
        <v>113</v>
      </c>
      <c r="C346" s="31">
        <v>18</v>
      </c>
      <c r="D346" s="31" t="s">
        <v>205</v>
      </c>
      <c r="E346" s="25" t="s">
        <v>206</v>
      </c>
      <c r="F346" s="21" t="s">
        <v>206</v>
      </c>
      <c r="G346" s="21" t="str">
        <f>VLOOKUP(D346,[6]成飞半成品!$A:$B,2,0)</f>
        <v>卡环</v>
      </c>
      <c r="H346" s="31" t="s">
        <v>123</v>
      </c>
      <c r="I346" s="31">
        <v>40</v>
      </c>
      <c r="J346" s="37" t="s">
        <v>1971</v>
      </c>
      <c r="K346" s="31">
        <v>1</v>
      </c>
      <c r="L346" s="31">
        <v>3</v>
      </c>
      <c r="M346" s="37">
        <v>5</v>
      </c>
      <c r="N346" s="31"/>
      <c r="O346" s="77" t="s">
        <v>474</v>
      </c>
      <c r="P346" s="25"/>
      <c r="Q346" s="31">
        <v>360</v>
      </c>
      <c r="R346" s="31"/>
      <c r="S346" s="31"/>
      <c r="T346" s="31"/>
      <c r="U346" s="31">
        <v>120</v>
      </c>
      <c r="V346" s="31"/>
      <c r="W346" s="37"/>
      <c r="X346" s="37"/>
      <c r="Y346" s="79">
        <v>18</v>
      </c>
      <c r="Z346" s="31" t="s">
        <v>16</v>
      </c>
      <c r="AA346" s="37"/>
      <c r="AB346" s="37"/>
    </row>
    <row r="347" spans="1:28" ht="23.1" customHeight="1" x14ac:dyDescent="0.25">
      <c r="A347" s="53" t="s">
        <v>452</v>
      </c>
      <c r="B347" s="25" t="s">
        <v>113</v>
      </c>
      <c r="C347" s="31">
        <v>11</v>
      </c>
      <c r="D347" s="31" t="s">
        <v>203</v>
      </c>
      <c r="E347" s="25" t="s">
        <v>317</v>
      </c>
      <c r="F347" s="21" t="s">
        <v>317</v>
      </c>
      <c r="G347" s="21" t="str">
        <f>VLOOKUP(D347,[6]成飞半成品!$A:$B,2,0)</f>
        <v>角盒</v>
      </c>
      <c r="H347" s="31" t="s">
        <v>154</v>
      </c>
      <c r="I347" s="31">
        <v>40</v>
      </c>
      <c r="J347" s="37" t="s">
        <v>1935</v>
      </c>
      <c r="K347" s="31">
        <v>3</v>
      </c>
      <c r="L347" s="31">
        <v>0.5</v>
      </c>
      <c r="M347" s="37"/>
      <c r="N347" s="31">
        <v>23</v>
      </c>
      <c r="O347" s="77" t="s">
        <v>168</v>
      </c>
      <c r="P347" s="34"/>
      <c r="Q347" s="31">
        <v>260</v>
      </c>
      <c r="R347" s="31"/>
      <c r="S347" s="31"/>
      <c r="T347" s="31"/>
      <c r="U347" s="31">
        <v>90</v>
      </c>
      <c r="V347" s="31"/>
      <c r="W347" s="37"/>
      <c r="X347" s="37"/>
      <c r="Y347" s="79">
        <v>2.2000000000000002</v>
      </c>
      <c r="Z347" s="31" t="s">
        <v>63</v>
      </c>
      <c r="AA347" s="37"/>
      <c r="AB347" s="37"/>
    </row>
    <row r="348" spans="1:28" ht="23.1" customHeight="1" x14ac:dyDescent="0.25">
      <c r="A348" s="53" t="s">
        <v>452</v>
      </c>
      <c r="B348" s="25" t="s">
        <v>113</v>
      </c>
      <c r="C348" s="31">
        <v>11</v>
      </c>
      <c r="D348" s="31" t="s">
        <v>200</v>
      </c>
      <c r="E348" s="25" t="s">
        <v>317</v>
      </c>
      <c r="F348" s="21" t="s">
        <v>317</v>
      </c>
      <c r="G348" s="21" t="str">
        <f>VLOOKUP(D348,[6]成飞半成品!$A:$B,2,0)</f>
        <v>角盒</v>
      </c>
      <c r="H348" s="31" t="s">
        <v>154</v>
      </c>
      <c r="I348" s="31">
        <v>40</v>
      </c>
      <c r="J348" s="31" t="s">
        <v>1935</v>
      </c>
      <c r="K348" s="37"/>
      <c r="L348" s="31">
        <v>4</v>
      </c>
      <c r="M348" s="31">
        <v>5</v>
      </c>
      <c r="N348" s="31">
        <v>26</v>
      </c>
      <c r="O348" s="77" t="s">
        <v>526</v>
      </c>
      <c r="P348" s="34"/>
      <c r="Q348" s="31">
        <v>260</v>
      </c>
      <c r="R348" s="31"/>
      <c r="S348" s="31"/>
      <c r="T348" s="31"/>
      <c r="U348" s="31">
        <v>90</v>
      </c>
      <c r="V348" s="31"/>
      <c r="W348" s="37"/>
      <c r="X348" s="37"/>
      <c r="Y348" s="79">
        <v>17.3</v>
      </c>
      <c r="Z348" s="31" t="s">
        <v>63</v>
      </c>
      <c r="AA348" s="37"/>
      <c r="AB348" s="37"/>
    </row>
    <row r="349" spans="1:28" ht="23.1" customHeight="1" x14ac:dyDescent="0.25">
      <c r="A349" s="53" t="s">
        <v>452</v>
      </c>
      <c r="B349" s="25" t="s">
        <v>113</v>
      </c>
      <c r="C349" s="31">
        <v>16</v>
      </c>
      <c r="D349" s="31" t="s">
        <v>449</v>
      </c>
      <c r="E349" s="25" t="s">
        <v>317</v>
      </c>
      <c r="F349" s="21" t="s">
        <v>317</v>
      </c>
      <c r="G349" s="21" t="str">
        <f>VLOOKUP(D349,[6]成飞半成品!$A:$B,2,0)</f>
        <v>角盒</v>
      </c>
      <c r="H349" s="31" t="s">
        <v>154</v>
      </c>
      <c r="I349" s="31">
        <v>5</v>
      </c>
      <c r="J349" s="37" t="s">
        <v>1957</v>
      </c>
      <c r="K349" s="31">
        <v>2</v>
      </c>
      <c r="L349" s="31">
        <v>2</v>
      </c>
      <c r="M349" s="37"/>
      <c r="N349" s="31">
        <v>23</v>
      </c>
      <c r="O349" s="77" t="s">
        <v>438</v>
      </c>
      <c r="P349" s="34"/>
      <c r="Q349" s="31">
        <v>90</v>
      </c>
      <c r="R349" s="31"/>
      <c r="S349" s="31"/>
      <c r="T349" s="31"/>
      <c r="U349" s="31">
        <v>60</v>
      </c>
      <c r="V349" s="31"/>
      <c r="W349" s="37"/>
      <c r="X349" s="37"/>
      <c r="Y349" s="79">
        <v>3</v>
      </c>
      <c r="Z349" s="31" t="s">
        <v>63</v>
      </c>
      <c r="AA349" s="37"/>
      <c r="AB349" s="37"/>
    </row>
    <row r="350" spans="1:28" ht="23.1" customHeight="1" x14ac:dyDescent="0.25">
      <c r="A350" s="53" t="s">
        <v>452</v>
      </c>
      <c r="B350" s="25" t="s">
        <v>113</v>
      </c>
      <c r="C350" s="31">
        <v>16</v>
      </c>
      <c r="D350" s="31" t="s">
        <v>449</v>
      </c>
      <c r="E350" s="25" t="s">
        <v>317</v>
      </c>
      <c r="F350" s="21" t="s">
        <v>317</v>
      </c>
      <c r="G350" s="21" t="str">
        <f>VLOOKUP(D350,[6]成飞半成品!$A:$B,2,0)</f>
        <v>角盒</v>
      </c>
      <c r="H350" s="31" t="s">
        <v>154</v>
      </c>
      <c r="I350" s="31">
        <v>15</v>
      </c>
      <c r="J350" s="37" t="s">
        <v>1972</v>
      </c>
      <c r="K350" s="31">
        <v>2</v>
      </c>
      <c r="L350" s="31">
        <v>1.7</v>
      </c>
      <c r="M350" s="31">
        <v>26</v>
      </c>
      <c r="N350" s="31">
        <v>26</v>
      </c>
      <c r="O350" s="77" t="s">
        <v>438</v>
      </c>
      <c r="P350" s="34"/>
      <c r="Q350" s="31">
        <v>240</v>
      </c>
      <c r="R350" s="31"/>
      <c r="S350" s="31"/>
      <c r="T350" s="31"/>
      <c r="U350" s="31">
        <v>90</v>
      </c>
      <c r="V350" s="31"/>
      <c r="W350" s="37"/>
      <c r="X350" s="37"/>
      <c r="Y350" s="79">
        <v>6.8</v>
      </c>
      <c r="Z350" s="31" t="s">
        <v>63</v>
      </c>
      <c r="AA350" s="37"/>
      <c r="AB350" s="37"/>
    </row>
    <row r="351" spans="1:28" ht="23.1" customHeight="1" x14ac:dyDescent="0.25">
      <c r="A351" s="53" t="s">
        <v>452</v>
      </c>
      <c r="B351" s="25" t="s">
        <v>113</v>
      </c>
      <c r="C351" s="31">
        <v>17</v>
      </c>
      <c r="D351" s="31" t="s">
        <v>352</v>
      </c>
      <c r="E351" s="25" t="s">
        <v>353</v>
      </c>
      <c r="F351" s="21" t="e">
        <v>#N/A</v>
      </c>
      <c r="G351" s="21" t="e">
        <f>VLOOKUP(D351,[6]成飞半成品!$A:$B,2,0)</f>
        <v>#N/A</v>
      </c>
      <c r="H351" s="31" t="s">
        <v>300</v>
      </c>
      <c r="I351" s="31">
        <v>25</v>
      </c>
      <c r="J351" s="37" t="s">
        <v>1967</v>
      </c>
      <c r="K351" s="31">
        <v>3</v>
      </c>
      <c r="L351" s="31">
        <v>3</v>
      </c>
      <c r="M351" s="31">
        <v>5</v>
      </c>
      <c r="N351" s="31">
        <v>5</v>
      </c>
      <c r="O351" s="77" t="s">
        <v>527</v>
      </c>
      <c r="P351" s="34"/>
      <c r="Q351" s="31">
        <v>290</v>
      </c>
      <c r="R351" s="31"/>
      <c r="S351" s="31"/>
      <c r="T351" s="31"/>
      <c r="U351" s="31">
        <v>90</v>
      </c>
      <c r="V351" s="31"/>
      <c r="W351" s="37"/>
      <c r="X351" s="37"/>
      <c r="Y351" s="79">
        <v>14.5</v>
      </c>
      <c r="Z351" s="31" t="s">
        <v>16</v>
      </c>
      <c r="AA351" s="37"/>
      <c r="AB351" s="37"/>
    </row>
    <row r="352" spans="1:28" ht="23.1" customHeight="1" x14ac:dyDescent="0.25">
      <c r="A352" s="53" t="s">
        <v>452</v>
      </c>
      <c r="B352" s="25" t="s">
        <v>113</v>
      </c>
      <c r="C352" s="31">
        <v>79</v>
      </c>
      <c r="D352" s="31" t="s">
        <v>420</v>
      </c>
      <c r="E352" s="25" t="s">
        <v>153</v>
      </c>
      <c r="F352" s="21" t="s">
        <v>1247</v>
      </c>
      <c r="G352" s="21" t="str">
        <f>VLOOKUP(D352,[6]成飞半成品!$A:$B,2,0)</f>
        <v>根肋前段</v>
      </c>
      <c r="H352" s="31" t="s">
        <v>154</v>
      </c>
      <c r="I352" s="31">
        <v>20</v>
      </c>
      <c r="J352" s="37" t="s">
        <v>1948</v>
      </c>
      <c r="K352" s="31">
        <v>1.5</v>
      </c>
      <c r="L352" s="31">
        <v>1.9</v>
      </c>
      <c r="M352" s="31">
        <v>26</v>
      </c>
      <c r="N352" s="31">
        <v>5</v>
      </c>
      <c r="O352" s="77" t="s">
        <v>528</v>
      </c>
      <c r="P352" s="34"/>
      <c r="Q352" s="31">
        <v>660</v>
      </c>
      <c r="R352" s="31">
        <v>90</v>
      </c>
      <c r="S352" s="31"/>
      <c r="T352" s="31">
        <v>1</v>
      </c>
      <c r="U352" s="31">
        <v>120</v>
      </c>
      <c r="V352" s="31"/>
      <c r="W352" s="37"/>
      <c r="X352" s="37"/>
      <c r="Y352" s="79">
        <v>22.4</v>
      </c>
      <c r="Z352" s="31" t="s">
        <v>5</v>
      </c>
      <c r="AA352" s="37" t="s">
        <v>145</v>
      </c>
      <c r="AB352" s="37"/>
    </row>
    <row r="353" spans="1:28" ht="23.1" customHeight="1" x14ac:dyDescent="0.25">
      <c r="A353" s="53" t="s">
        <v>452</v>
      </c>
      <c r="B353" s="25" t="s">
        <v>113</v>
      </c>
      <c r="C353" s="31">
        <v>77</v>
      </c>
      <c r="D353" s="31" t="s">
        <v>211</v>
      </c>
      <c r="E353" s="25" t="s">
        <v>212</v>
      </c>
      <c r="F353" s="21" t="s">
        <v>212</v>
      </c>
      <c r="G353" s="21" t="str">
        <f>VLOOKUP(D353,[6]成飞半成品!$A:$B,2,0)</f>
        <v>压板</v>
      </c>
      <c r="H353" s="31" t="s">
        <v>123</v>
      </c>
      <c r="I353" s="31">
        <v>15</v>
      </c>
      <c r="J353" s="37" t="s">
        <v>1893</v>
      </c>
      <c r="K353" s="31">
        <v>8</v>
      </c>
      <c r="L353" s="31">
        <v>9</v>
      </c>
      <c r="M353" s="37"/>
      <c r="N353" s="31">
        <v>23</v>
      </c>
      <c r="O353" s="77" t="s">
        <v>213</v>
      </c>
      <c r="P353" s="25">
        <v>100</v>
      </c>
      <c r="Q353" s="31">
        <v>60</v>
      </c>
      <c r="R353" s="31"/>
      <c r="S353" s="31"/>
      <c r="T353" s="31"/>
      <c r="U353" s="31">
        <v>90</v>
      </c>
      <c r="V353" s="31"/>
      <c r="W353" s="37"/>
      <c r="X353" s="37"/>
      <c r="Y353" s="83">
        <v>15</v>
      </c>
      <c r="Z353" s="31" t="s">
        <v>24</v>
      </c>
      <c r="AA353" s="37" t="s">
        <v>529</v>
      </c>
      <c r="AB353" s="37"/>
    </row>
    <row r="354" spans="1:28" ht="23.1" customHeight="1" x14ac:dyDescent="0.25">
      <c r="A354" s="53" t="s">
        <v>452</v>
      </c>
      <c r="B354" s="25" t="s">
        <v>113</v>
      </c>
      <c r="C354" s="31">
        <v>55</v>
      </c>
      <c r="D354" s="31" t="s">
        <v>415</v>
      </c>
      <c r="E354" s="25" t="s">
        <v>416</v>
      </c>
      <c r="F354" s="21" t="s">
        <v>416</v>
      </c>
      <c r="G354" s="21" t="str">
        <f>VLOOKUP(D354,[6]成飞半成品!$A:$B,2,0)</f>
        <v>三通管接头</v>
      </c>
      <c r="H354" s="31" t="s">
        <v>154</v>
      </c>
      <c r="I354" s="31">
        <v>15</v>
      </c>
      <c r="J354" s="37" t="s">
        <v>1946</v>
      </c>
      <c r="K354" s="31">
        <v>18</v>
      </c>
      <c r="L354" s="31">
        <v>20</v>
      </c>
      <c r="M354" s="31">
        <v>5</v>
      </c>
      <c r="N354" s="31">
        <v>5</v>
      </c>
      <c r="O354" s="77" t="s">
        <v>530</v>
      </c>
      <c r="P354" s="34"/>
      <c r="Q354" s="31">
        <v>45</v>
      </c>
      <c r="R354" s="31"/>
      <c r="S354" s="31"/>
      <c r="T354" s="31"/>
      <c r="U354" s="31">
        <v>60</v>
      </c>
      <c r="V354" s="31"/>
      <c r="W354" s="37"/>
      <c r="X354" s="37"/>
      <c r="Y354" s="79">
        <v>15</v>
      </c>
      <c r="Z354" s="31" t="s">
        <v>18</v>
      </c>
      <c r="AA354" s="37"/>
      <c r="AB354" s="37"/>
    </row>
    <row r="355" spans="1:28" ht="23.1" customHeight="1" x14ac:dyDescent="0.25">
      <c r="A355" s="53" t="s">
        <v>452</v>
      </c>
      <c r="B355" s="25" t="s">
        <v>113</v>
      </c>
      <c r="C355" s="31">
        <v>56</v>
      </c>
      <c r="D355" s="31" t="s">
        <v>273</v>
      </c>
      <c r="E355" s="25" t="s">
        <v>274</v>
      </c>
      <c r="F355" s="21" t="s">
        <v>274</v>
      </c>
      <c r="G355" s="21" t="str">
        <f>VLOOKUP(D355,[6]成飞半成品!$A:$B,2,0)</f>
        <v>前起落架水平接头</v>
      </c>
      <c r="H355" s="31" t="s">
        <v>123</v>
      </c>
      <c r="I355" s="31">
        <v>15</v>
      </c>
      <c r="J355" s="37" t="s">
        <v>1947</v>
      </c>
      <c r="K355" s="31">
        <v>10</v>
      </c>
      <c r="L355" s="31">
        <v>12</v>
      </c>
      <c r="M355" s="31">
        <v>37</v>
      </c>
      <c r="N355" s="31">
        <v>37</v>
      </c>
      <c r="O355" s="77" t="s">
        <v>307</v>
      </c>
      <c r="P355" s="34"/>
      <c r="Q355" s="31">
        <v>60</v>
      </c>
      <c r="R355" s="31"/>
      <c r="S355" s="31"/>
      <c r="T355" s="31"/>
      <c r="U355" s="31">
        <v>60</v>
      </c>
      <c r="V355" s="31"/>
      <c r="W355" s="37"/>
      <c r="X355" s="37"/>
      <c r="Y355" s="79">
        <v>12</v>
      </c>
      <c r="Z355" s="31" t="s">
        <v>18</v>
      </c>
      <c r="AA355" s="37"/>
      <c r="AB355" s="37"/>
    </row>
    <row r="356" spans="1:28" ht="23.1" customHeight="1" x14ac:dyDescent="0.25">
      <c r="A356" s="53" t="s">
        <v>452</v>
      </c>
      <c r="B356" s="25" t="s">
        <v>113</v>
      </c>
      <c r="C356" s="31">
        <v>107</v>
      </c>
      <c r="D356" s="31" t="s">
        <v>232</v>
      </c>
      <c r="E356" s="25" t="s">
        <v>233</v>
      </c>
      <c r="F356" s="21" t="s">
        <v>233</v>
      </c>
      <c r="G356" s="21" t="str">
        <f>VLOOKUP(D356,[6]成飞半成品!$A:$B,2,0)</f>
        <v>左内侧接头</v>
      </c>
      <c r="H356" s="31" t="s">
        <v>102</v>
      </c>
      <c r="I356" s="31">
        <v>80</v>
      </c>
      <c r="J356" s="37" t="s">
        <v>1964</v>
      </c>
      <c r="K356" s="31">
        <v>1.5</v>
      </c>
      <c r="L356" s="31">
        <v>1</v>
      </c>
      <c r="M356" s="37"/>
      <c r="N356" s="31">
        <v>23</v>
      </c>
      <c r="O356" s="77" t="s">
        <v>234</v>
      </c>
      <c r="P356" s="34"/>
      <c r="Q356" s="31">
        <v>360</v>
      </c>
      <c r="R356" s="31"/>
      <c r="S356" s="31"/>
      <c r="T356" s="31">
        <v>1</v>
      </c>
      <c r="U356" s="31">
        <v>120</v>
      </c>
      <c r="V356" s="31"/>
      <c r="W356" s="37"/>
      <c r="X356" s="37"/>
      <c r="Y356" s="79">
        <v>6</v>
      </c>
      <c r="Z356" s="31" t="s">
        <v>13</v>
      </c>
      <c r="AA356" s="37" t="s">
        <v>531</v>
      </c>
      <c r="AB356" s="37"/>
    </row>
    <row r="357" spans="1:28" ht="23.1" customHeight="1" x14ac:dyDescent="0.25">
      <c r="A357" s="53" t="s">
        <v>452</v>
      </c>
      <c r="B357" s="25" t="s">
        <v>113</v>
      </c>
      <c r="C357" s="31">
        <v>108</v>
      </c>
      <c r="D357" s="31" t="s">
        <v>173</v>
      </c>
      <c r="E357" s="25" t="s">
        <v>174</v>
      </c>
      <c r="F357" s="21" t="s">
        <v>1246</v>
      </c>
      <c r="G357" s="21" t="str">
        <f>VLOOKUP(D357,[6]成飞半成品!$A:$B,2,0)</f>
        <v>根肋后段</v>
      </c>
      <c r="H357" s="31" t="s">
        <v>154</v>
      </c>
      <c r="I357" s="31">
        <v>20</v>
      </c>
      <c r="J357" s="37" t="s">
        <v>1950</v>
      </c>
      <c r="K357" s="31">
        <v>1.5</v>
      </c>
      <c r="L357" s="31">
        <v>2</v>
      </c>
      <c r="M357" s="31">
        <v>5</v>
      </c>
      <c r="N357" s="31">
        <v>23</v>
      </c>
      <c r="O357" s="77" t="s">
        <v>532</v>
      </c>
      <c r="P357" s="34"/>
      <c r="Q357" s="31">
        <v>510</v>
      </c>
      <c r="R357" s="31">
        <v>90</v>
      </c>
      <c r="S357" s="31"/>
      <c r="T357" s="31">
        <v>2</v>
      </c>
      <c r="U357" s="31">
        <v>120</v>
      </c>
      <c r="V357" s="31"/>
      <c r="W357" s="37"/>
      <c r="X357" s="37"/>
      <c r="Y357" s="79">
        <v>20</v>
      </c>
      <c r="Z357" s="31" t="s">
        <v>13</v>
      </c>
      <c r="AA357" s="37" t="s">
        <v>533</v>
      </c>
      <c r="AB357" s="37"/>
    </row>
    <row r="358" spans="1:28" ht="23.1" customHeight="1" x14ac:dyDescent="0.25">
      <c r="A358" s="53" t="s">
        <v>452</v>
      </c>
      <c r="B358" s="25" t="s">
        <v>113</v>
      </c>
      <c r="C358" s="31">
        <v>78</v>
      </c>
      <c r="D358" s="31" t="s">
        <v>132</v>
      </c>
      <c r="E358" s="25" t="s">
        <v>133</v>
      </c>
      <c r="F358" s="21" t="s">
        <v>133</v>
      </c>
      <c r="G358" s="21" t="str">
        <f>VLOOKUP(D358,[6]成飞半成品!$A:$B,2,0)</f>
        <v>摇臂</v>
      </c>
      <c r="H358" s="31" t="s">
        <v>102</v>
      </c>
      <c r="I358" s="31">
        <v>70</v>
      </c>
      <c r="J358" s="37" t="s">
        <v>1951</v>
      </c>
      <c r="K358" s="31">
        <v>0.6</v>
      </c>
      <c r="L358" s="31">
        <v>0.5</v>
      </c>
      <c r="M358" s="37"/>
      <c r="N358" s="31">
        <v>5</v>
      </c>
      <c r="O358" s="77" t="s">
        <v>103</v>
      </c>
      <c r="P358" s="34"/>
      <c r="Q358" s="31">
        <v>540</v>
      </c>
      <c r="R358" s="31">
        <v>60</v>
      </c>
      <c r="S358" s="31"/>
      <c r="T358" s="31"/>
      <c r="U358" s="31">
        <v>120</v>
      </c>
      <c r="V358" s="31"/>
      <c r="W358" s="37"/>
      <c r="X358" s="37">
        <v>15.5</v>
      </c>
      <c r="Y358" s="79">
        <v>20</v>
      </c>
      <c r="Z358" s="31" t="s">
        <v>5</v>
      </c>
      <c r="AA358" s="37" t="s">
        <v>534</v>
      </c>
      <c r="AB358" s="37" t="s">
        <v>193</v>
      </c>
    </row>
    <row r="359" spans="1:28" ht="23.1" customHeight="1" x14ac:dyDescent="0.25">
      <c r="A359" s="53" t="s">
        <v>452</v>
      </c>
      <c r="B359" s="25" t="s">
        <v>113</v>
      </c>
      <c r="C359" s="31">
        <v>13</v>
      </c>
      <c r="D359" s="31" t="s">
        <v>245</v>
      </c>
      <c r="E359" s="25" t="s">
        <v>246</v>
      </c>
      <c r="F359" s="21" t="s">
        <v>246</v>
      </c>
      <c r="G359" s="21" t="str">
        <f>VLOOKUP(D359,[6]成飞半成品!$A:$B,2,0)</f>
        <v>外侧轴承盖</v>
      </c>
      <c r="H359" s="31" t="s">
        <v>123</v>
      </c>
      <c r="I359" s="31">
        <v>45</v>
      </c>
      <c r="J359" s="37" t="s">
        <v>1954</v>
      </c>
      <c r="K359" s="31">
        <v>3</v>
      </c>
      <c r="L359" s="31">
        <v>4</v>
      </c>
      <c r="M359" s="31">
        <v>26</v>
      </c>
      <c r="N359" s="31">
        <v>28</v>
      </c>
      <c r="O359" s="77" t="s">
        <v>247</v>
      </c>
      <c r="P359" s="34"/>
      <c r="Q359" s="31">
        <v>250</v>
      </c>
      <c r="R359" s="31"/>
      <c r="S359" s="31"/>
      <c r="T359" s="31"/>
      <c r="U359" s="31">
        <v>90</v>
      </c>
      <c r="V359" s="31"/>
      <c r="W359" s="37"/>
      <c r="X359" s="37"/>
      <c r="Y359" s="79">
        <v>16.7</v>
      </c>
      <c r="Z359" s="31" t="s">
        <v>10</v>
      </c>
      <c r="AA359" s="37"/>
      <c r="AB359" s="37"/>
    </row>
    <row r="360" spans="1:28" ht="23.1" customHeight="1" x14ac:dyDescent="0.25">
      <c r="A360" s="53" t="s">
        <v>452</v>
      </c>
      <c r="B360" s="25" t="s">
        <v>113</v>
      </c>
      <c r="C360" s="31">
        <v>12</v>
      </c>
      <c r="D360" s="31" t="s">
        <v>248</v>
      </c>
      <c r="E360" s="25" t="s">
        <v>249</v>
      </c>
      <c r="F360" s="21" t="s">
        <v>249</v>
      </c>
      <c r="G360" s="21" t="str">
        <f>VLOOKUP(D360,[6]成飞半成品!$A:$B,2,0)</f>
        <v>10060下接头</v>
      </c>
      <c r="H360" s="31" t="s">
        <v>250</v>
      </c>
      <c r="I360" s="31">
        <v>25</v>
      </c>
      <c r="J360" s="37" t="s">
        <v>1923</v>
      </c>
      <c r="K360" s="31">
        <v>0.8</v>
      </c>
      <c r="L360" s="31">
        <v>1</v>
      </c>
      <c r="M360" s="31">
        <v>5</v>
      </c>
      <c r="N360" s="31">
        <v>28</v>
      </c>
      <c r="O360" s="77" t="s">
        <v>535</v>
      </c>
      <c r="P360" s="34"/>
      <c r="Q360" s="31">
        <v>1080</v>
      </c>
      <c r="R360" s="31"/>
      <c r="S360" s="31"/>
      <c r="T360" s="31"/>
      <c r="U360" s="31">
        <v>120</v>
      </c>
      <c r="V360" s="31"/>
      <c r="W360" s="37"/>
      <c r="X360" s="37"/>
      <c r="Y360" s="79">
        <v>18</v>
      </c>
      <c r="Z360" s="31" t="s">
        <v>10</v>
      </c>
      <c r="AA360" s="37"/>
      <c r="AB360" s="37"/>
    </row>
    <row r="361" spans="1:28" ht="23.1" customHeight="1" x14ac:dyDescent="0.25">
      <c r="A361" s="53" t="s">
        <v>452</v>
      </c>
      <c r="B361" s="25" t="s">
        <v>113</v>
      </c>
      <c r="C361" s="31">
        <v>9</v>
      </c>
      <c r="D361" s="31" t="s">
        <v>500</v>
      </c>
      <c r="E361" s="25" t="s">
        <v>389</v>
      </c>
      <c r="F361" s="21" t="s">
        <v>389</v>
      </c>
      <c r="G361" s="21" t="str">
        <f>VLOOKUP(D361,[6]成飞半成品!$A:$B,2,0)</f>
        <v>11968下口盖</v>
      </c>
      <c r="H361" s="31" t="s">
        <v>300</v>
      </c>
      <c r="I361" s="31">
        <v>5</v>
      </c>
      <c r="J361" s="31" t="s">
        <v>1973</v>
      </c>
      <c r="K361" s="37"/>
      <c r="L361" s="31">
        <v>60</v>
      </c>
      <c r="M361" s="31">
        <v>37</v>
      </c>
      <c r="N361" s="31">
        <v>37</v>
      </c>
      <c r="O361" s="77" t="s">
        <v>536</v>
      </c>
      <c r="P361" s="34"/>
      <c r="Q361" s="31">
        <v>20</v>
      </c>
      <c r="R361" s="31"/>
      <c r="S361" s="31"/>
      <c r="T361" s="31"/>
      <c r="U361" s="31"/>
      <c r="V361" s="31"/>
      <c r="W361" s="37"/>
      <c r="X361" s="37"/>
      <c r="Y361" s="79">
        <v>20</v>
      </c>
      <c r="Z361" s="31" t="s">
        <v>30</v>
      </c>
      <c r="AA361" s="37" t="s">
        <v>537</v>
      </c>
      <c r="AB361" s="37"/>
    </row>
    <row r="362" spans="1:28" ht="23.1" customHeight="1" x14ac:dyDescent="0.25">
      <c r="A362" s="53" t="s">
        <v>452</v>
      </c>
      <c r="B362" s="25" t="s">
        <v>113</v>
      </c>
      <c r="C362" s="31">
        <v>9</v>
      </c>
      <c r="D362" s="31" t="s">
        <v>388</v>
      </c>
      <c r="E362" s="25" t="s">
        <v>389</v>
      </c>
      <c r="F362" s="21" t="s">
        <v>389</v>
      </c>
      <c r="G362" s="21" t="str">
        <f>VLOOKUP(D362,[6]成飞半成品!$A:$B,2,0)</f>
        <v>11968下口盖</v>
      </c>
      <c r="H362" s="31" t="s">
        <v>118</v>
      </c>
      <c r="I362" s="31">
        <v>5</v>
      </c>
      <c r="J362" s="31" t="s">
        <v>1973</v>
      </c>
      <c r="K362" s="31"/>
      <c r="L362" s="31"/>
      <c r="M362" s="37"/>
      <c r="N362" s="37"/>
      <c r="O362" s="77" t="s">
        <v>536</v>
      </c>
      <c r="P362" s="34"/>
      <c r="Q362" s="31">
        <v>20</v>
      </c>
      <c r="R362" s="31"/>
      <c r="S362" s="31"/>
      <c r="T362" s="31"/>
      <c r="U362" s="31"/>
      <c r="V362" s="31"/>
      <c r="W362" s="37"/>
      <c r="X362" s="37"/>
      <c r="Y362" s="79">
        <v>0</v>
      </c>
      <c r="Z362" s="31" t="s">
        <v>30</v>
      </c>
      <c r="AA362" s="37" t="s">
        <v>537</v>
      </c>
      <c r="AB362" s="37"/>
    </row>
    <row r="363" spans="1:28" ht="23.1" customHeight="1" x14ac:dyDescent="0.25">
      <c r="A363" s="53" t="s">
        <v>452</v>
      </c>
      <c r="B363" s="25" t="s">
        <v>113</v>
      </c>
      <c r="C363" s="31">
        <v>9</v>
      </c>
      <c r="D363" s="31" t="s">
        <v>513</v>
      </c>
      <c r="E363" s="25" t="s">
        <v>389</v>
      </c>
      <c r="F363" s="21" t="s">
        <v>389</v>
      </c>
      <c r="G363" s="21" t="str">
        <f>VLOOKUP(D363,[6]成飞半成品!$A:$B,2,0)</f>
        <v>11968下口盖</v>
      </c>
      <c r="H363" s="31" t="s">
        <v>118</v>
      </c>
      <c r="I363" s="31">
        <v>5</v>
      </c>
      <c r="J363" s="31" t="s">
        <v>1973</v>
      </c>
      <c r="K363" s="37"/>
      <c r="L363" s="37"/>
      <c r="M363" s="31">
        <v>37</v>
      </c>
      <c r="N363" s="31">
        <v>37</v>
      </c>
      <c r="O363" s="77" t="s">
        <v>536</v>
      </c>
      <c r="P363" s="34"/>
      <c r="Q363" s="31">
        <v>20</v>
      </c>
      <c r="R363" s="31"/>
      <c r="S363" s="31"/>
      <c r="T363" s="31"/>
      <c r="U363" s="31"/>
      <c r="V363" s="31"/>
      <c r="W363" s="37"/>
      <c r="X363" s="37"/>
      <c r="Y363" s="79">
        <v>0</v>
      </c>
      <c r="Z363" s="31" t="s">
        <v>30</v>
      </c>
      <c r="AA363" s="37" t="s">
        <v>537</v>
      </c>
      <c r="AB363" s="37"/>
    </row>
    <row r="364" spans="1:28" ht="23.1" customHeight="1" x14ac:dyDescent="0.25">
      <c r="A364" s="53" t="s">
        <v>452</v>
      </c>
      <c r="B364" s="25" t="s">
        <v>113</v>
      </c>
      <c r="C364" s="31">
        <v>10</v>
      </c>
      <c r="D364" s="25" t="s">
        <v>2551</v>
      </c>
      <c r="E364" s="25" t="s">
        <v>108</v>
      </c>
      <c r="F364" s="21" t="e">
        <v>#N/A</v>
      </c>
      <c r="G364" s="21" t="str">
        <f>VLOOKUP(D364,[6]成飞半成品!$A:$B,2,0)</f>
        <v>工装</v>
      </c>
      <c r="H364" s="31" t="s">
        <v>108</v>
      </c>
      <c r="I364" s="31" t="s">
        <v>108</v>
      </c>
      <c r="J364" s="31"/>
      <c r="K364" s="37"/>
      <c r="L364" s="37"/>
      <c r="M364" s="31" t="s">
        <v>108</v>
      </c>
      <c r="N364" s="31" t="s">
        <v>108</v>
      </c>
      <c r="O364" s="77" t="s">
        <v>108</v>
      </c>
      <c r="P364" s="34"/>
      <c r="Q364" s="31"/>
      <c r="R364" s="31"/>
      <c r="S364" s="31"/>
      <c r="T364" s="31"/>
      <c r="U364" s="31"/>
      <c r="V364" s="31"/>
      <c r="W364" s="37"/>
      <c r="X364" s="37">
        <v>2</v>
      </c>
      <c r="Y364" s="79">
        <v>2</v>
      </c>
      <c r="Z364" s="31" t="s">
        <v>30</v>
      </c>
      <c r="AA364" s="37" t="s">
        <v>538</v>
      </c>
      <c r="AB364" s="25" t="s">
        <v>238</v>
      </c>
    </row>
    <row r="365" spans="1:28" ht="23.1" customHeight="1" x14ac:dyDescent="0.25">
      <c r="A365" s="53" t="s">
        <v>539</v>
      </c>
      <c r="B365" s="31" t="s">
        <v>99</v>
      </c>
      <c r="C365" s="31">
        <v>17</v>
      </c>
      <c r="D365" s="31" t="s">
        <v>352</v>
      </c>
      <c r="E365" s="25" t="s">
        <v>353</v>
      </c>
      <c r="F365" s="21" t="e">
        <v>#N/A</v>
      </c>
      <c r="G365" s="21" t="e">
        <f>VLOOKUP(D365,[6]成飞半成品!$A:$B,2,0)</f>
        <v>#N/A</v>
      </c>
      <c r="H365" s="31" t="s">
        <v>300</v>
      </c>
      <c r="I365" s="31">
        <v>25</v>
      </c>
      <c r="J365" s="37" t="s">
        <v>1967</v>
      </c>
      <c r="K365" s="31">
        <v>2</v>
      </c>
      <c r="L365" s="31">
        <v>2</v>
      </c>
      <c r="M365" s="31">
        <v>5</v>
      </c>
      <c r="N365" s="31">
        <v>5</v>
      </c>
      <c r="O365" s="77" t="s">
        <v>509</v>
      </c>
      <c r="P365" s="34"/>
      <c r="Q365" s="31">
        <v>290</v>
      </c>
      <c r="R365" s="31"/>
      <c r="S365" s="31"/>
      <c r="T365" s="31"/>
      <c r="U365" s="31">
        <v>90</v>
      </c>
      <c r="V365" s="31"/>
      <c r="W365" s="37"/>
      <c r="X365" s="37"/>
      <c r="Y365" s="79">
        <v>9.6999999999999993</v>
      </c>
      <c r="Z365" s="31" t="s">
        <v>16</v>
      </c>
      <c r="AA365" s="37"/>
      <c r="AB365" s="37"/>
    </row>
    <row r="366" spans="1:28" ht="23.1" customHeight="1" x14ac:dyDescent="0.25">
      <c r="A366" s="53" t="s">
        <v>539</v>
      </c>
      <c r="B366" s="31" t="s">
        <v>99</v>
      </c>
      <c r="C366" s="31">
        <v>17</v>
      </c>
      <c r="D366" s="31" t="s">
        <v>352</v>
      </c>
      <c r="E366" s="25" t="s">
        <v>353</v>
      </c>
      <c r="F366" s="21" t="e">
        <v>#N/A</v>
      </c>
      <c r="G366" s="21" t="e">
        <f>VLOOKUP(D366,[6]成飞半成品!$A:$B,2,0)</f>
        <v>#N/A</v>
      </c>
      <c r="H366" s="31" t="s">
        <v>300</v>
      </c>
      <c r="I366" s="31">
        <v>25</v>
      </c>
      <c r="J366" s="37" t="s">
        <v>1967</v>
      </c>
      <c r="K366" s="31"/>
      <c r="L366" s="31">
        <v>2</v>
      </c>
      <c r="M366" s="31">
        <v>28</v>
      </c>
      <c r="N366" s="31">
        <v>28</v>
      </c>
      <c r="O366" s="77" t="s">
        <v>540</v>
      </c>
      <c r="P366" s="34"/>
      <c r="Q366" s="31">
        <v>290</v>
      </c>
      <c r="R366" s="31"/>
      <c r="S366" s="31"/>
      <c r="T366" s="31"/>
      <c r="U366" s="31">
        <v>90</v>
      </c>
      <c r="V366" s="31"/>
      <c r="W366" s="37"/>
      <c r="X366" s="37"/>
      <c r="Y366" s="79">
        <v>9.6999999999999993</v>
      </c>
      <c r="Z366" s="31" t="s">
        <v>43</v>
      </c>
      <c r="AA366" s="37"/>
      <c r="AB366" s="37"/>
    </row>
    <row r="367" spans="1:28" ht="23.1" customHeight="1" x14ac:dyDescent="0.25">
      <c r="A367" s="53" t="s">
        <v>539</v>
      </c>
      <c r="B367" s="31" t="s">
        <v>110</v>
      </c>
      <c r="C367" s="31">
        <v>77</v>
      </c>
      <c r="D367" s="31" t="s">
        <v>541</v>
      </c>
      <c r="E367" s="25" t="s">
        <v>542</v>
      </c>
      <c r="F367" s="21" t="s">
        <v>542</v>
      </c>
      <c r="G367" s="21" t="str">
        <f>VLOOKUP(D367,[6]成飞半成品!$A:$B,2,0)</f>
        <v>3#下垫片</v>
      </c>
      <c r="H367" s="31" t="s">
        <v>154</v>
      </c>
      <c r="I367" s="31">
        <v>10</v>
      </c>
      <c r="J367" s="31" t="s">
        <v>1916</v>
      </c>
      <c r="K367" s="37"/>
      <c r="L367" s="31">
        <v>21</v>
      </c>
      <c r="M367" s="31">
        <v>31</v>
      </c>
      <c r="N367" s="31">
        <v>31</v>
      </c>
      <c r="O367" s="77" t="s">
        <v>251</v>
      </c>
      <c r="P367" s="31"/>
      <c r="Q367" s="31">
        <v>30</v>
      </c>
      <c r="R367" s="31"/>
      <c r="S367" s="31"/>
      <c r="T367" s="31"/>
      <c r="U367" s="31">
        <v>60</v>
      </c>
      <c r="V367" s="31"/>
      <c r="W367" s="37">
        <v>1</v>
      </c>
      <c r="X367" s="37"/>
      <c r="Y367" s="79">
        <v>11.5</v>
      </c>
      <c r="Z367" s="31" t="s">
        <v>46</v>
      </c>
      <c r="AA367" s="37" t="s">
        <v>331</v>
      </c>
      <c r="AB367" s="37"/>
    </row>
    <row r="368" spans="1:28" ht="23.1" customHeight="1" x14ac:dyDescent="0.25">
      <c r="A368" s="53" t="s">
        <v>539</v>
      </c>
      <c r="B368" s="31" t="s">
        <v>110</v>
      </c>
      <c r="C368" s="31">
        <v>76</v>
      </c>
      <c r="D368" s="31" t="s">
        <v>543</v>
      </c>
      <c r="E368" s="25" t="s">
        <v>544</v>
      </c>
      <c r="F368" s="21" t="s">
        <v>544</v>
      </c>
      <c r="G368" s="21" t="str">
        <f>VLOOKUP(D368,[6]成飞半成品!$A:$B,2,0)</f>
        <v>3#上垫片</v>
      </c>
      <c r="H368" s="31" t="s">
        <v>154</v>
      </c>
      <c r="I368" s="31">
        <v>10</v>
      </c>
      <c r="J368" s="31" t="s">
        <v>1916</v>
      </c>
      <c r="K368" s="37"/>
      <c r="L368" s="31">
        <v>20</v>
      </c>
      <c r="M368" s="31">
        <v>9</v>
      </c>
      <c r="N368" s="31">
        <v>9</v>
      </c>
      <c r="O368" s="77" t="s">
        <v>463</v>
      </c>
      <c r="P368" s="31"/>
      <c r="Q368" s="31">
        <v>30</v>
      </c>
      <c r="R368" s="31"/>
      <c r="S368" s="31"/>
      <c r="T368" s="31"/>
      <c r="U368" s="31">
        <v>60</v>
      </c>
      <c r="V368" s="31"/>
      <c r="W368" s="37">
        <v>1</v>
      </c>
      <c r="X368" s="37"/>
      <c r="Y368" s="79">
        <v>11</v>
      </c>
      <c r="Z368" s="31" t="s">
        <v>46</v>
      </c>
      <c r="AA368" s="37" t="s">
        <v>331</v>
      </c>
      <c r="AB368" s="37"/>
    </row>
    <row r="369" spans="1:28" ht="23.1" customHeight="1" x14ac:dyDescent="0.25">
      <c r="A369" s="53" t="s">
        <v>539</v>
      </c>
      <c r="B369" s="31" t="s">
        <v>137</v>
      </c>
      <c r="C369" s="31">
        <v>58</v>
      </c>
      <c r="D369" s="31" t="s">
        <v>423</v>
      </c>
      <c r="E369" s="25" t="s">
        <v>424</v>
      </c>
      <c r="F369" s="21" t="s">
        <v>424</v>
      </c>
      <c r="G369" s="21" t="str">
        <f>VLOOKUP(D369,[6]成飞半成品!$A:$B,2,0)</f>
        <v>后梁四段</v>
      </c>
      <c r="H369" s="31" t="s">
        <v>107</v>
      </c>
      <c r="I369" s="31">
        <v>15</v>
      </c>
      <c r="J369" s="37" t="s">
        <v>1961</v>
      </c>
      <c r="K369" s="31">
        <v>1</v>
      </c>
      <c r="L369" s="31">
        <v>1</v>
      </c>
      <c r="M369" s="37"/>
      <c r="N369" s="31">
        <v>37</v>
      </c>
      <c r="O369" s="77" t="s">
        <v>545</v>
      </c>
      <c r="P369" s="31"/>
      <c r="Q369" s="31">
        <v>150</v>
      </c>
      <c r="R369" s="31"/>
      <c r="S369" s="31"/>
      <c r="T369" s="31"/>
      <c r="U369" s="31">
        <v>100</v>
      </c>
      <c r="V369" s="31"/>
      <c r="W369" s="37"/>
      <c r="X369" s="37"/>
      <c r="Y369" s="79">
        <v>2.5</v>
      </c>
      <c r="Z369" s="31" t="s">
        <v>57</v>
      </c>
      <c r="AA369" s="37"/>
      <c r="AB369" s="37"/>
    </row>
    <row r="370" spans="1:28" ht="23.1" customHeight="1" x14ac:dyDescent="0.25">
      <c r="A370" s="53" t="s">
        <v>539</v>
      </c>
      <c r="B370" s="31" t="s">
        <v>137</v>
      </c>
      <c r="C370" s="31">
        <v>58</v>
      </c>
      <c r="D370" s="31" t="s">
        <v>423</v>
      </c>
      <c r="E370" s="25" t="s">
        <v>424</v>
      </c>
      <c r="F370" s="21" t="s">
        <v>424</v>
      </c>
      <c r="G370" s="21" t="str">
        <f>VLOOKUP(D370,[6]成飞半成品!$A:$B,2,0)</f>
        <v>后梁四段</v>
      </c>
      <c r="H370" s="31" t="s">
        <v>107</v>
      </c>
      <c r="I370" s="31">
        <v>20</v>
      </c>
      <c r="J370" s="37" t="s">
        <v>1974</v>
      </c>
      <c r="K370" s="31">
        <v>1</v>
      </c>
      <c r="L370" s="31">
        <v>1</v>
      </c>
      <c r="M370" s="37"/>
      <c r="N370" s="31">
        <v>23</v>
      </c>
      <c r="O370" s="77" t="s">
        <v>545</v>
      </c>
      <c r="P370" s="34"/>
      <c r="Q370" s="31">
        <v>90</v>
      </c>
      <c r="R370" s="31"/>
      <c r="S370" s="31"/>
      <c r="T370" s="31"/>
      <c r="U370" s="31">
        <v>100</v>
      </c>
      <c r="V370" s="31"/>
      <c r="W370" s="37">
        <v>1</v>
      </c>
      <c r="X370" s="37">
        <v>2</v>
      </c>
      <c r="Y370" s="79">
        <v>5.2</v>
      </c>
      <c r="Z370" s="31" t="s">
        <v>57</v>
      </c>
      <c r="AA370" s="37" t="s">
        <v>546</v>
      </c>
      <c r="AB370" s="25" t="s">
        <v>238</v>
      </c>
    </row>
    <row r="371" spans="1:28" ht="23.1" customHeight="1" x14ac:dyDescent="0.25">
      <c r="A371" s="53" t="s">
        <v>539</v>
      </c>
      <c r="B371" s="31" t="s">
        <v>137</v>
      </c>
      <c r="C371" s="31">
        <v>59</v>
      </c>
      <c r="D371" s="31" t="s">
        <v>408</v>
      </c>
      <c r="E371" s="25" t="s">
        <v>409</v>
      </c>
      <c r="F371" s="21" t="s">
        <v>409</v>
      </c>
      <c r="G371" s="21" t="str">
        <f>VLOOKUP(D371,[6]成飞半成品!$A:$B,2,0)</f>
        <v>接头</v>
      </c>
      <c r="H371" s="31" t="s">
        <v>107</v>
      </c>
      <c r="I371" s="31">
        <v>10</v>
      </c>
      <c r="J371" s="31" t="s">
        <v>1942</v>
      </c>
      <c r="K371" s="37"/>
      <c r="L371" s="31">
        <v>4</v>
      </c>
      <c r="M371" s="31">
        <v>5</v>
      </c>
      <c r="N371" s="31">
        <v>5</v>
      </c>
      <c r="O371" s="77" t="s">
        <v>393</v>
      </c>
      <c r="P371" s="31">
        <v>90</v>
      </c>
      <c r="Q371" s="31">
        <v>30</v>
      </c>
      <c r="R371" s="31"/>
      <c r="S371" s="31"/>
      <c r="T371" s="31"/>
      <c r="U371" s="31">
        <v>60</v>
      </c>
      <c r="V371" s="31"/>
      <c r="W371" s="37"/>
      <c r="X371" s="37">
        <v>4</v>
      </c>
      <c r="Y371" s="79">
        <v>6</v>
      </c>
      <c r="Z371" s="31" t="s">
        <v>6</v>
      </c>
      <c r="AA371" s="37"/>
      <c r="AB371" s="37"/>
    </row>
    <row r="372" spans="1:28" ht="23.1" customHeight="1" x14ac:dyDescent="0.25">
      <c r="A372" s="53" t="s">
        <v>539</v>
      </c>
      <c r="B372" s="31" t="s">
        <v>137</v>
      </c>
      <c r="C372" s="31">
        <v>10</v>
      </c>
      <c r="D372" s="31" t="s">
        <v>388</v>
      </c>
      <c r="E372" s="25" t="s">
        <v>389</v>
      </c>
      <c r="F372" s="21" t="s">
        <v>389</v>
      </c>
      <c r="G372" s="21" t="str">
        <f>VLOOKUP(D372,[6]成飞半成品!$A:$B,2,0)</f>
        <v>11968下口盖</v>
      </c>
      <c r="H372" s="31" t="s">
        <v>300</v>
      </c>
      <c r="I372" s="31">
        <v>10</v>
      </c>
      <c r="J372" s="31" t="s">
        <v>1941</v>
      </c>
      <c r="K372" s="37"/>
      <c r="L372" s="31">
        <v>3</v>
      </c>
      <c r="M372" s="31">
        <v>26</v>
      </c>
      <c r="N372" s="31">
        <v>28</v>
      </c>
      <c r="O372" s="77" t="s">
        <v>351</v>
      </c>
      <c r="P372" s="34"/>
      <c r="Q372" s="31">
        <v>60</v>
      </c>
      <c r="R372" s="31"/>
      <c r="S372" s="31"/>
      <c r="T372" s="31"/>
      <c r="U372" s="31">
        <v>120</v>
      </c>
      <c r="V372" s="31"/>
      <c r="W372" s="37">
        <v>1</v>
      </c>
      <c r="X372" s="37"/>
      <c r="Y372" s="79">
        <v>5</v>
      </c>
      <c r="Z372" s="31" t="s">
        <v>23</v>
      </c>
      <c r="AA372" s="37" t="s">
        <v>547</v>
      </c>
      <c r="AB372" s="37"/>
    </row>
    <row r="373" spans="1:28" ht="23.1" customHeight="1" x14ac:dyDescent="0.25">
      <c r="A373" s="53" t="s">
        <v>539</v>
      </c>
      <c r="B373" s="31" t="s">
        <v>137</v>
      </c>
      <c r="C373" s="31">
        <v>57</v>
      </c>
      <c r="D373" s="31" t="s">
        <v>459</v>
      </c>
      <c r="E373" s="25" t="s">
        <v>460</v>
      </c>
      <c r="F373" s="21" t="e">
        <v>#N/A</v>
      </c>
      <c r="G373" s="21" t="e">
        <f>VLOOKUP(D373,[6]成飞半成品!$A:$B,2,0)</f>
        <v>#N/A</v>
      </c>
      <c r="H373" s="31" t="s">
        <v>123</v>
      </c>
      <c r="I373" s="31">
        <v>20</v>
      </c>
      <c r="J373" s="37" t="s">
        <v>1960</v>
      </c>
      <c r="K373" s="31">
        <v>3</v>
      </c>
      <c r="L373" s="31">
        <v>3</v>
      </c>
      <c r="M373" s="37"/>
      <c r="N373" s="31">
        <v>23</v>
      </c>
      <c r="O373" s="77" t="s">
        <v>548</v>
      </c>
      <c r="P373" s="31"/>
      <c r="Q373" s="31">
        <v>120</v>
      </c>
      <c r="R373" s="31"/>
      <c r="S373" s="31"/>
      <c r="T373" s="31"/>
      <c r="U373" s="31">
        <v>60</v>
      </c>
      <c r="V373" s="31"/>
      <c r="W373" s="37"/>
      <c r="X373" s="37"/>
      <c r="Y373" s="79">
        <v>6</v>
      </c>
      <c r="Z373" s="31" t="s">
        <v>57</v>
      </c>
      <c r="AA373" s="84"/>
      <c r="AB373" s="37"/>
    </row>
    <row r="374" spans="1:28" ht="23.1" customHeight="1" x14ac:dyDescent="0.25">
      <c r="A374" s="53" t="s">
        <v>539</v>
      </c>
      <c r="B374" s="31" t="s">
        <v>137</v>
      </c>
      <c r="C374" s="31">
        <v>9</v>
      </c>
      <c r="D374" s="31" t="s">
        <v>229</v>
      </c>
      <c r="E374" s="25" t="s">
        <v>230</v>
      </c>
      <c r="F374" s="21" t="s">
        <v>230</v>
      </c>
      <c r="G374" s="21" t="str">
        <f>VLOOKUP(D374,[6]成飞半成品!$A:$B,2,0)</f>
        <v>前起落架舱门结构支撑梁</v>
      </c>
      <c r="H374" s="31" t="s">
        <v>154</v>
      </c>
      <c r="I374" s="31">
        <v>25</v>
      </c>
      <c r="J374" s="31" t="s">
        <v>1894</v>
      </c>
      <c r="K374" s="37"/>
      <c r="L374" s="31">
        <v>2</v>
      </c>
      <c r="M374" s="37"/>
      <c r="N374" s="31">
        <v>23</v>
      </c>
      <c r="O374" s="77" t="s">
        <v>307</v>
      </c>
      <c r="P374" s="34"/>
      <c r="Q374" s="31">
        <v>140</v>
      </c>
      <c r="R374" s="31"/>
      <c r="S374" s="31"/>
      <c r="T374" s="31"/>
      <c r="U374" s="31">
        <v>60</v>
      </c>
      <c r="V374" s="31"/>
      <c r="W374" s="37"/>
      <c r="X374" s="37"/>
      <c r="Y374" s="79">
        <v>4.7</v>
      </c>
      <c r="Z374" s="31" t="s">
        <v>23</v>
      </c>
      <c r="AA374" s="37"/>
      <c r="AB374" s="37"/>
    </row>
    <row r="375" spans="1:28" ht="23.1" customHeight="1" x14ac:dyDescent="0.25">
      <c r="A375" s="53" t="s">
        <v>539</v>
      </c>
      <c r="B375" s="31" t="s">
        <v>137</v>
      </c>
      <c r="C375" s="31">
        <v>17</v>
      </c>
      <c r="D375" s="31" t="s">
        <v>352</v>
      </c>
      <c r="E375" s="25" t="s">
        <v>353</v>
      </c>
      <c r="F375" s="21" t="e">
        <v>#N/A</v>
      </c>
      <c r="G375" s="21" t="e">
        <f>VLOOKUP(D375,[6]成飞半成品!$A:$B,2,0)</f>
        <v>#N/A</v>
      </c>
      <c r="H375" s="31" t="s">
        <v>300</v>
      </c>
      <c r="I375" s="31">
        <v>25</v>
      </c>
      <c r="J375" s="31" t="s">
        <v>1967</v>
      </c>
      <c r="K375" s="37"/>
      <c r="L375" s="31">
        <v>2</v>
      </c>
      <c r="M375" s="31">
        <v>5</v>
      </c>
      <c r="N375" s="31">
        <v>5</v>
      </c>
      <c r="O375" s="77" t="s">
        <v>549</v>
      </c>
      <c r="P375" s="34"/>
      <c r="Q375" s="31">
        <v>290</v>
      </c>
      <c r="R375" s="31"/>
      <c r="S375" s="31"/>
      <c r="T375" s="31"/>
      <c r="U375" s="31">
        <v>90</v>
      </c>
      <c r="V375" s="31"/>
      <c r="W375" s="37"/>
      <c r="X375" s="37"/>
      <c r="Y375" s="79">
        <v>9.6999999999999993</v>
      </c>
      <c r="Z375" s="31" t="s">
        <v>14</v>
      </c>
      <c r="AA375" s="37"/>
      <c r="AB375" s="37"/>
    </row>
    <row r="376" spans="1:28" ht="23.1" customHeight="1" x14ac:dyDescent="0.25">
      <c r="A376" s="53" t="s">
        <v>539</v>
      </c>
      <c r="B376" s="31" t="s">
        <v>137</v>
      </c>
      <c r="C376" s="31">
        <v>16</v>
      </c>
      <c r="D376" s="31" t="s">
        <v>449</v>
      </c>
      <c r="E376" s="25" t="s">
        <v>317</v>
      </c>
      <c r="F376" s="21" t="s">
        <v>317</v>
      </c>
      <c r="G376" s="21" t="str">
        <f>VLOOKUP(D376,[6]成飞半成品!$A:$B,2,0)</f>
        <v>角盒</v>
      </c>
      <c r="H376" s="31" t="s">
        <v>154</v>
      </c>
      <c r="I376" s="31">
        <v>15</v>
      </c>
      <c r="J376" s="31" t="s">
        <v>1972</v>
      </c>
      <c r="K376" s="37"/>
      <c r="L376" s="31">
        <v>1</v>
      </c>
      <c r="M376" s="37"/>
      <c r="N376" s="31">
        <v>26</v>
      </c>
      <c r="O376" s="77" t="s">
        <v>234</v>
      </c>
      <c r="P376" s="34"/>
      <c r="Q376" s="31">
        <v>240</v>
      </c>
      <c r="R376" s="31"/>
      <c r="S376" s="31"/>
      <c r="T376" s="31"/>
      <c r="U376" s="31">
        <v>90</v>
      </c>
      <c r="V376" s="31"/>
      <c r="W376" s="37"/>
      <c r="X376" s="37"/>
      <c r="Y376" s="79">
        <v>4</v>
      </c>
      <c r="Z376" s="31" t="s">
        <v>71</v>
      </c>
      <c r="AA376" s="37"/>
      <c r="AB376" s="37"/>
    </row>
    <row r="377" spans="1:28" ht="23.1" customHeight="1" x14ac:dyDescent="0.25">
      <c r="A377" s="53" t="s">
        <v>539</v>
      </c>
      <c r="B377" s="31" t="s">
        <v>137</v>
      </c>
      <c r="C377" s="31">
        <v>11</v>
      </c>
      <c r="D377" s="31" t="s">
        <v>200</v>
      </c>
      <c r="E377" s="25" t="s">
        <v>317</v>
      </c>
      <c r="F377" s="21" t="s">
        <v>317</v>
      </c>
      <c r="G377" s="21" t="str">
        <f>VLOOKUP(D377,[6]成飞半成品!$A:$B,2,0)</f>
        <v>角盒</v>
      </c>
      <c r="H377" s="31" t="s">
        <v>154</v>
      </c>
      <c r="I377" s="31">
        <v>40</v>
      </c>
      <c r="J377" s="31" t="s">
        <v>1935</v>
      </c>
      <c r="K377" s="37"/>
      <c r="L377" s="31">
        <v>2</v>
      </c>
      <c r="M377" s="31">
        <v>26</v>
      </c>
      <c r="N377" s="31">
        <v>22</v>
      </c>
      <c r="O377" s="77" t="s">
        <v>497</v>
      </c>
      <c r="P377" s="34"/>
      <c r="Q377" s="31">
        <v>260</v>
      </c>
      <c r="R377" s="31"/>
      <c r="S377" s="31"/>
      <c r="T377" s="31"/>
      <c r="U377" s="31">
        <v>90</v>
      </c>
      <c r="V377" s="31"/>
      <c r="W377" s="37"/>
      <c r="X377" s="37"/>
      <c r="Y377" s="79">
        <v>8.6999999999999993</v>
      </c>
      <c r="Z377" s="31" t="s">
        <v>71</v>
      </c>
      <c r="AA377" s="37"/>
      <c r="AB377" s="37"/>
    </row>
    <row r="378" spans="1:28" ht="23.1" customHeight="1" x14ac:dyDescent="0.25">
      <c r="A378" s="53" t="s">
        <v>539</v>
      </c>
      <c r="B378" s="31" t="s">
        <v>137</v>
      </c>
      <c r="C378" s="31">
        <v>18</v>
      </c>
      <c r="D378" s="31" t="s">
        <v>205</v>
      </c>
      <c r="E378" s="25" t="s">
        <v>206</v>
      </c>
      <c r="F378" s="21" t="s">
        <v>206</v>
      </c>
      <c r="G378" s="21" t="str">
        <f>VLOOKUP(D378,[6]成飞半成品!$A:$B,2,0)</f>
        <v>卡环</v>
      </c>
      <c r="H378" s="31" t="s">
        <v>123</v>
      </c>
      <c r="I378" s="31">
        <v>40</v>
      </c>
      <c r="J378" s="31" t="s">
        <v>1971</v>
      </c>
      <c r="K378" s="37"/>
      <c r="L378" s="31">
        <v>2</v>
      </c>
      <c r="M378" s="31">
        <v>5</v>
      </c>
      <c r="N378" s="31">
        <v>5</v>
      </c>
      <c r="O378" s="77" t="s">
        <v>550</v>
      </c>
      <c r="P378" s="34"/>
      <c r="Q378" s="31">
        <v>360</v>
      </c>
      <c r="R378" s="31"/>
      <c r="S378" s="31"/>
      <c r="T378" s="31"/>
      <c r="U378" s="31">
        <v>120</v>
      </c>
      <c r="V378" s="31"/>
      <c r="W378" s="37"/>
      <c r="X378" s="37"/>
      <c r="Y378" s="79">
        <v>12</v>
      </c>
      <c r="Z378" s="31" t="s">
        <v>14</v>
      </c>
      <c r="AA378" s="37" t="s">
        <v>551</v>
      </c>
      <c r="AB378" s="37"/>
    </row>
    <row r="379" spans="1:28" ht="23.1" customHeight="1" x14ac:dyDescent="0.25">
      <c r="A379" s="53" t="s">
        <v>539</v>
      </c>
      <c r="B379" s="31" t="s">
        <v>113</v>
      </c>
      <c r="C379" s="31">
        <v>76</v>
      </c>
      <c r="D379" s="31" t="s">
        <v>349</v>
      </c>
      <c r="E379" s="25" t="s">
        <v>350</v>
      </c>
      <c r="F379" s="21" t="s">
        <v>350</v>
      </c>
      <c r="G379" s="21" t="str">
        <f>VLOOKUP(D379,[6]成飞半成品!$A:$B,2,0)</f>
        <v>4#下垫片</v>
      </c>
      <c r="H379" s="31" t="s">
        <v>154</v>
      </c>
      <c r="I379" s="31">
        <v>15</v>
      </c>
      <c r="J379" s="37" t="s">
        <v>1926</v>
      </c>
      <c r="K379" s="31">
        <v>7</v>
      </c>
      <c r="L379" s="31">
        <v>7</v>
      </c>
      <c r="M379" s="31">
        <v>5</v>
      </c>
      <c r="N379" s="31">
        <v>37</v>
      </c>
      <c r="O379" s="77" t="s">
        <v>351</v>
      </c>
      <c r="P379" s="34"/>
      <c r="Q379" s="31">
        <v>90</v>
      </c>
      <c r="R379" s="31"/>
      <c r="S379" s="31"/>
      <c r="T379" s="31"/>
      <c r="U379" s="31">
        <v>90</v>
      </c>
      <c r="V379" s="31"/>
      <c r="W379" s="37"/>
      <c r="X379" s="37"/>
      <c r="Y379" s="79">
        <v>10.5</v>
      </c>
      <c r="Z379" s="31" t="s">
        <v>12</v>
      </c>
      <c r="AA379" s="37"/>
      <c r="AB379" s="37"/>
    </row>
    <row r="380" spans="1:28" ht="23.1" customHeight="1" x14ac:dyDescent="0.25">
      <c r="A380" s="53" t="s">
        <v>539</v>
      </c>
      <c r="B380" s="31" t="s">
        <v>113</v>
      </c>
      <c r="C380" s="31">
        <v>10</v>
      </c>
      <c r="D380" s="31" t="s">
        <v>500</v>
      </c>
      <c r="E380" s="25" t="s">
        <v>389</v>
      </c>
      <c r="F380" s="21" t="s">
        <v>389</v>
      </c>
      <c r="G380" s="21" t="str">
        <f>VLOOKUP(D380,[6]成飞半成品!$A:$B,2,0)</f>
        <v>11968下口盖</v>
      </c>
      <c r="H380" s="31" t="s">
        <v>300</v>
      </c>
      <c r="I380" s="31">
        <v>10</v>
      </c>
      <c r="J380" s="31" t="s">
        <v>1941</v>
      </c>
      <c r="K380" s="37"/>
      <c r="L380" s="31">
        <v>8</v>
      </c>
      <c r="M380" s="31">
        <v>5</v>
      </c>
      <c r="N380" s="31">
        <v>28</v>
      </c>
      <c r="O380" s="77" t="s">
        <v>282</v>
      </c>
      <c r="P380" s="31"/>
      <c r="Q380" s="31">
        <v>60</v>
      </c>
      <c r="R380" s="31"/>
      <c r="S380" s="31"/>
      <c r="T380" s="31"/>
      <c r="U380" s="31">
        <v>120</v>
      </c>
      <c r="V380" s="31"/>
      <c r="W380" s="37"/>
      <c r="X380" s="37"/>
      <c r="Y380" s="79">
        <v>8</v>
      </c>
      <c r="Z380" s="31" t="s">
        <v>30</v>
      </c>
      <c r="AA380" s="37"/>
      <c r="AB380" s="37"/>
    </row>
    <row r="381" spans="1:28" ht="23.1" customHeight="1" x14ac:dyDescent="0.25">
      <c r="A381" s="53" t="s">
        <v>539</v>
      </c>
      <c r="B381" s="31" t="s">
        <v>113</v>
      </c>
      <c r="C381" s="31">
        <v>10</v>
      </c>
      <c r="D381" s="31" t="s">
        <v>388</v>
      </c>
      <c r="E381" s="25" t="s">
        <v>389</v>
      </c>
      <c r="F381" s="21" t="s">
        <v>389</v>
      </c>
      <c r="G381" s="21" t="str">
        <f>VLOOKUP(D381,[6]成飞半成品!$A:$B,2,0)</f>
        <v>11968下口盖</v>
      </c>
      <c r="H381" s="31" t="s">
        <v>300</v>
      </c>
      <c r="I381" s="31">
        <v>10</v>
      </c>
      <c r="J381" s="31" t="s">
        <v>1941</v>
      </c>
      <c r="K381" s="37"/>
      <c r="L381" s="31">
        <v>7</v>
      </c>
      <c r="M381" s="31">
        <v>5</v>
      </c>
      <c r="N381" s="31">
        <v>5</v>
      </c>
      <c r="O381" s="77" t="s">
        <v>351</v>
      </c>
      <c r="P381" s="34"/>
      <c r="Q381" s="31">
        <v>60</v>
      </c>
      <c r="R381" s="31"/>
      <c r="S381" s="31"/>
      <c r="T381" s="31"/>
      <c r="U381" s="31">
        <v>120</v>
      </c>
      <c r="V381" s="31"/>
      <c r="W381" s="37"/>
      <c r="X381" s="37"/>
      <c r="Y381" s="79">
        <v>7</v>
      </c>
      <c r="Z381" s="31" t="s">
        <v>30</v>
      </c>
      <c r="AA381" s="37"/>
      <c r="AB381" s="37"/>
    </row>
    <row r="382" spans="1:28" ht="23.1" customHeight="1" x14ac:dyDescent="0.25">
      <c r="A382" s="53" t="s">
        <v>539</v>
      </c>
      <c r="B382" s="31" t="s">
        <v>113</v>
      </c>
      <c r="C382" s="31">
        <v>9</v>
      </c>
      <c r="D382" s="31" t="s">
        <v>229</v>
      </c>
      <c r="E382" s="25" t="s">
        <v>230</v>
      </c>
      <c r="F382" s="21" t="s">
        <v>230</v>
      </c>
      <c r="G382" s="21" t="str">
        <f>VLOOKUP(D382,[6]成飞半成品!$A:$B,2,0)</f>
        <v>前起落架舱门结构支撑梁</v>
      </c>
      <c r="H382" s="31" t="s">
        <v>154</v>
      </c>
      <c r="I382" s="31">
        <v>25</v>
      </c>
      <c r="J382" s="31" t="s">
        <v>1894</v>
      </c>
      <c r="K382" s="37"/>
      <c r="L382" s="31">
        <v>5</v>
      </c>
      <c r="M382" s="31">
        <v>23</v>
      </c>
      <c r="N382" s="31">
        <v>28</v>
      </c>
      <c r="O382" s="77" t="s">
        <v>307</v>
      </c>
      <c r="P382" s="31"/>
      <c r="Q382" s="31">
        <v>140</v>
      </c>
      <c r="R382" s="31"/>
      <c r="S382" s="31"/>
      <c r="T382" s="31"/>
      <c r="U382" s="31">
        <v>60</v>
      </c>
      <c r="V382" s="31"/>
      <c r="W382" s="37"/>
      <c r="X382" s="37"/>
      <c r="Y382" s="79">
        <v>11.7</v>
      </c>
      <c r="Z382" s="31" t="s">
        <v>30</v>
      </c>
      <c r="AA382" s="37"/>
      <c r="AB382" s="37"/>
    </row>
    <row r="383" spans="1:28" ht="23.1" customHeight="1" x14ac:dyDescent="0.25">
      <c r="A383" s="53" t="s">
        <v>539</v>
      </c>
      <c r="B383" s="31" t="s">
        <v>113</v>
      </c>
      <c r="C383" s="31">
        <v>59</v>
      </c>
      <c r="D383" s="31" t="s">
        <v>552</v>
      </c>
      <c r="E383" s="25" t="s">
        <v>553</v>
      </c>
      <c r="F383" s="21" t="s">
        <v>553</v>
      </c>
      <c r="G383" s="21" t="str">
        <f>VLOOKUP(D383,[6]成飞半成品!$A:$B,2,0)</f>
        <v>前肋</v>
      </c>
      <c r="H383" s="31" t="s">
        <v>154</v>
      </c>
      <c r="I383" s="31">
        <v>10</v>
      </c>
      <c r="J383" s="37" t="s">
        <v>1916</v>
      </c>
      <c r="K383" s="31">
        <v>1</v>
      </c>
      <c r="L383" s="31">
        <v>1</v>
      </c>
      <c r="M383" s="31">
        <v>5</v>
      </c>
      <c r="N383" s="31">
        <v>31</v>
      </c>
      <c r="O383" s="77" t="s">
        <v>554</v>
      </c>
      <c r="P383" s="34"/>
      <c r="Q383" s="31">
        <v>60</v>
      </c>
      <c r="R383" s="31"/>
      <c r="S383" s="31"/>
      <c r="T383" s="31"/>
      <c r="U383" s="31">
        <v>60</v>
      </c>
      <c r="V383" s="31"/>
      <c r="W383" s="37">
        <v>1</v>
      </c>
      <c r="X383" s="37">
        <v>2</v>
      </c>
      <c r="Y383" s="79">
        <v>4</v>
      </c>
      <c r="Z383" s="65" t="s">
        <v>1847</v>
      </c>
      <c r="AA383" s="37" t="s">
        <v>555</v>
      </c>
      <c r="AB383" s="25" t="s">
        <v>238</v>
      </c>
    </row>
    <row r="384" spans="1:28" ht="23.1" customHeight="1" x14ac:dyDescent="0.25">
      <c r="A384" s="53" t="s">
        <v>539</v>
      </c>
      <c r="B384" s="31" t="s">
        <v>113</v>
      </c>
      <c r="C384" s="31">
        <v>12</v>
      </c>
      <c r="D384" s="31" t="s">
        <v>248</v>
      </c>
      <c r="E384" s="25" t="s">
        <v>249</v>
      </c>
      <c r="F384" s="21" t="s">
        <v>249</v>
      </c>
      <c r="G384" s="21" t="str">
        <f>VLOOKUP(D384,[6]成飞半成品!$A:$B,2,0)</f>
        <v>10060下接头</v>
      </c>
      <c r="H384" s="31" t="s">
        <v>250</v>
      </c>
      <c r="I384" s="31">
        <v>25</v>
      </c>
      <c r="J384" s="37" t="s">
        <v>1923</v>
      </c>
      <c r="K384" s="31">
        <v>0.6</v>
      </c>
      <c r="L384" s="31">
        <v>0.6</v>
      </c>
      <c r="M384" s="37"/>
      <c r="N384" s="31">
        <v>28</v>
      </c>
      <c r="O384" s="77" t="s">
        <v>556</v>
      </c>
      <c r="P384" s="34"/>
      <c r="Q384" s="31">
        <v>1080</v>
      </c>
      <c r="R384" s="31"/>
      <c r="S384" s="31"/>
      <c r="T384" s="31"/>
      <c r="U384" s="31">
        <v>120</v>
      </c>
      <c r="V384" s="31"/>
      <c r="W384" s="37"/>
      <c r="X384" s="37"/>
      <c r="Y384" s="79">
        <v>10.8</v>
      </c>
      <c r="Z384" s="31" t="s">
        <v>10</v>
      </c>
      <c r="AA384" s="37" t="s">
        <v>557</v>
      </c>
      <c r="AB384" s="37"/>
    </row>
    <row r="385" spans="1:28" ht="23.1" customHeight="1" x14ac:dyDescent="0.25">
      <c r="A385" s="53" t="s">
        <v>539</v>
      </c>
      <c r="B385" s="31" t="s">
        <v>113</v>
      </c>
      <c r="C385" s="31">
        <v>108</v>
      </c>
      <c r="D385" s="31" t="s">
        <v>173</v>
      </c>
      <c r="E385" s="25" t="s">
        <v>174</v>
      </c>
      <c r="F385" s="21" t="s">
        <v>1246</v>
      </c>
      <c r="G385" s="21" t="str">
        <f>VLOOKUP(D385,[6]成飞半成品!$A:$B,2,0)</f>
        <v>根肋后段</v>
      </c>
      <c r="H385" s="31" t="s">
        <v>154</v>
      </c>
      <c r="I385" s="31">
        <v>20</v>
      </c>
      <c r="J385" s="31" t="s">
        <v>1950</v>
      </c>
      <c r="K385" s="37"/>
      <c r="L385" s="31">
        <v>2</v>
      </c>
      <c r="M385" s="37"/>
      <c r="N385" s="31">
        <v>23</v>
      </c>
      <c r="O385" s="77" t="s">
        <v>558</v>
      </c>
      <c r="P385" s="34"/>
      <c r="Q385" s="31">
        <v>510</v>
      </c>
      <c r="R385" s="31">
        <v>90</v>
      </c>
      <c r="S385" s="31"/>
      <c r="T385" s="31">
        <v>2</v>
      </c>
      <c r="U385" s="31">
        <v>120</v>
      </c>
      <c r="V385" s="31"/>
      <c r="W385" s="37"/>
      <c r="X385" s="37"/>
      <c r="Y385" s="79">
        <v>20</v>
      </c>
      <c r="Z385" s="31" t="s">
        <v>13</v>
      </c>
      <c r="AA385" s="37" t="s">
        <v>533</v>
      </c>
      <c r="AB385" s="37"/>
    </row>
    <row r="386" spans="1:28" ht="23.1" customHeight="1" x14ac:dyDescent="0.25">
      <c r="A386" s="53" t="s">
        <v>539</v>
      </c>
      <c r="B386" s="31" t="s">
        <v>113</v>
      </c>
      <c r="C386" s="31">
        <v>107</v>
      </c>
      <c r="D386" s="31" t="s">
        <v>308</v>
      </c>
      <c r="E386" s="25" t="s">
        <v>309</v>
      </c>
      <c r="F386" s="21" t="s">
        <v>309</v>
      </c>
      <c r="G386" s="21" t="str">
        <f>VLOOKUP(D386,[6]成飞半成品!$A:$B,2,0)</f>
        <v>右内侧接头</v>
      </c>
      <c r="H386" s="31" t="s">
        <v>102</v>
      </c>
      <c r="I386" s="31">
        <v>80</v>
      </c>
      <c r="J386" s="31" t="s">
        <v>1964</v>
      </c>
      <c r="K386" s="37"/>
      <c r="L386" s="31">
        <v>1</v>
      </c>
      <c r="M386" s="37"/>
      <c r="N386" s="31">
        <v>23</v>
      </c>
      <c r="O386" s="77" t="s">
        <v>159</v>
      </c>
      <c r="P386" s="34"/>
      <c r="Q386" s="31">
        <v>360</v>
      </c>
      <c r="R386" s="31"/>
      <c r="S386" s="31"/>
      <c r="T386" s="31">
        <v>1</v>
      </c>
      <c r="U386" s="31">
        <v>120</v>
      </c>
      <c r="V386" s="31"/>
      <c r="W386" s="37"/>
      <c r="X386" s="37">
        <v>2</v>
      </c>
      <c r="Y386" s="79">
        <v>8</v>
      </c>
      <c r="Z386" s="31" t="s">
        <v>13</v>
      </c>
      <c r="AA386" s="37" t="s">
        <v>559</v>
      </c>
      <c r="AB386" s="37"/>
    </row>
    <row r="387" spans="1:28" ht="23.1" customHeight="1" x14ac:dyDescent="0.25">
      <c r="A387" s="53" t="s">
        <v>539</v>
      </c>
      <c r="B387" s="31" t="s">
        <v>113</v>
      </c>
      <c r="C387" s="31">
        <v>56</v>
      </c>
      <c r="D387" s="31" t="s">
        <v>273</v>
      </c>
      <c r="E387" s="25" t="s">
        <v>274</v>
      </c>
      <c r="F387" s="21" t="s">
        <v>274</v>
      </c>
      <c r="G387" s="21" t="str">
        <f>VLOOKUP(D387,[6]成飞半成品!$A:$B,2,0)</f>
        <v>前起落架水平接头</v>
      </c>
      <c r="H387" s="31" t="s">
        <v>123</v>
      </c>
      <c r="I387" s="31">
        <v>20</v>
      </c>
      <c r="J387" s="31" t="s">
        <v>1936</v>
      </c>
      <c r="K387" s="37"/>
      <c r="L387" s="31">
        <v>20</v>
      </c>
      <c r="M387" s="31">
        <v>23</v>
      </c>
      <c r="N387" s="31">
        <v>23</v>
      </c>
      <c r="O387" s="77" t="s">
        <v>307</v>
      </c>
      <c r="P387" s="34"/>
      <c r="Q387" s="31">
        <v>30</v>
      </c>
      <c r="R387" s="31"/>
      <c r="S387" s="31"/>
      <c r="T387" s="31"/>
      <c r="U387" s="31">
        <v>60</v>
      </c>
      <c r="V387" s="31"/>
      <c r="W387" s="37"/>
      <c r="X387" s="37"/>
      <c r="Y387" s="79">
        <v>10</v>
      </c>
      <c r="Z387" s="31" t="s">
        <v>18</v>
      </c>
      <c r="AA387" s="37"/>
      <c r="AB387" s="37"/>
    </row>
    <row r="388" spans="1:28" ht="23.1" customHeight="1" x14ac:dyDescent="0.25">
      <c r="A388" s="53" t="s">
        <v>539</v>
      </c>
      <c r="B388" s="31" t="s">
        <v>113</v>
      </c>
      <c r="C388" s="31">
        <v>55</v>
      </c>
      <c r="D388" s="31" t="s">
        <v>273</v>
      </c>
      <c r="E388" s="25" t="s">
        <v>274</v>
      </c>
      <c r="F388" s="21" t="s">
        <v>274</v>
      </c>
      <c r="G388" s="21" t="str">
        <f>VLOOKUP(D388,[6]成飞半成品!$A:$B,2,0)</f>
        <v>前起落架水平接头</v>
      </c>
      <c r="H388" s="31" t="s">
        <v>123</v>
      </c>
      <c r="I388" s="31">
        <v>20</v>
      </c>
      <c r="J388" s="31" t="s">
        <v>1936</v>
      </c>
      <c r="K388" s="37"/>
      <c r="L388" s="31">
        <v>20</v>
      </c>
      <c r="M388" s="31">
        <v>23</v>
      </c>
      <c r="N388" s="31">
        <v>23</v>
      </c>
      <c r="O388" s="77" t="s">
        <v>231</v>
      </c>
      <c r="P388" s="34"/>
      <c r="Q388" s="31">
        <v>30</v>
      </c>
      <c r="R388" s="31"/>
      <c r="S388" s="31"/>
      <c r="T388" s="31"/>
      <c r="U388" s="31">
        <v>60</v>
      </c>
      <c r="V388" s="31"/>
      <c r="W388" s="37"/>
      <c r="X388" s="37"/>
      <c r="Y388" s="79">
        <v>10</v>
      </c>
      <c r="Z388" s="31" t="s">
        <v>18</v>
      </c>
      <c r="AA388" s="37"/>
      <c r="AB388" s="37"/>
    </row>
    <row r="389" spans="1:28" ht="23.1" customHeight="1" x14ac:dyDescent="0.25">
      <c r="A389" s="53" t="s">
        <v>539</v>
      </c>
      <c r="B389" s="31" t="s">
        <v>113</v>
      </c>
      <c r="C389" s="31">
        <v>79</v>
      </c>
      <c r="D389" s="31" t="s">
        <v>152</v>
      </c>
      <c r="E389" s="25" t="s">
        <v>153</v>
      </c>
      <c r="F389" s="21" t="s">
        <v>1247</v>
      </c>
      <c r="G389" s="21" t="str">
        <f>VLOOKUP(D389,[6]成飞半成品!$A:$B,2,0)</f>
        <v>根肋前段</v>
      </c>
      <c r="H389" s="31" t="s">
        <v>154</v>
      </c>
      <c r="I389" s="31">
        <v>20</v>
      </c>
      <c r="J389" s="31" t="s">
        <v>1948</v>
      </c>
      <c r="K389" s="37"/>
      <c r="L389" s="31">
        <v>1.7</v>
      </c>
      <c r="M389" s="31">
        <v>5</v>
      </c>
      <c r="N389" s="31">
        <v>5</v>
      </c>
      <c r="O389" s="77" t="s">
        <v>560</v>
      </c>
      <c r="P389" s="34"/>
      <c r="Q389" s="31">
        <v>660</v>
      </c>
      <c r="R389" s="31">
        <v>90</v>
      </c>
      <c r="S389" s="31"/>
      <c r="T389" s="31"/>
      <c r="U389" s="31">
        <v>120</v>
      </c>
      <c r="V389" s="31"/>
      <c r="W389" s="37"/>
      <c r="X389" s="37"/>
      <c r="Y389" s="79">
        <v>18.7</v>
      </c>
      <c r="Z389" s="31" t="s">
        <v>5</v>
      </c>
      <c r="AA389" s="37"/>
      <c r="AB389" s="37"/>
    </row>
    <row r="390" spans="1:28" ht="23.1" customHeight="1" x14ac:dyDescent="0.25">
      <c r="A390" s="53" t="s">
        <v>539</v>
      </c>
      <c r="B390" s="31" t="s">
        <v>113</v>
      </c>
      <c r="C390" s="31">
        <v>77</v>
      </c>
      <c r="D390" s="31" t="s">
        <v>211</v>
      </c>
      <c r="E390" s="25" t="s">
        <v>212</v>
      </c>
      <c r="F390" s="21" t="s">
        <v>212</v>
      </c>
      <c r="G390" s="21" t="str">
        <f>VLOOKUP(D390,[6]成飞半成品!$A:$B,2,0)</f>
        <v>压板</v>
      </c>
      <c r="H390" s="31" t="s">
        <v>123</v>
      </c>
      <c r="I390" s="31">
        <v>15</v>
      </c>
      <c r="J390" s="31" t="s">
        <v>1893</v>
      </c>
      <c r="K390" s="37"/>
      <c r="L390" s="31">
        <v>5</v>
      </c>
      <c r="M390" s="37"/>
      <c r="N390" s="31">
        <v>23</v>
      </c>
      <c r="O390" s="77" t="s">
        <v>213</v>
      </c>
      <c r="P390" s="25">
        <v>100</v>
      </c>
      <c r="Q390" s="31">
        <v>60</v>
      </c>
      <c r="R390" s="31"/>
      <c r="S390" s="31"/>
      <c r="T390" s="31"/>
      <c r="U390" s="31">
        <v>90</v>
      </c>
      <c r="V390" s="31"/>
      <c r="W390" s="37"/>
      <c r="X390" s="37"/>
      <c r="Y390" s="83">
        <v>8.3000000000000007</v>
      </c>
      <c r="Z390" s="31" t="s">
        <v>24</v>
      </c>
      <c r="AA390" s="37" t="s">
        <v>561</v>
      </c>
      <c r="AB390" s="37"/>
    </row>
    <row r="391" spans="1:28" ht="23.1" customHeight="1" x14ac:dyDescent="0.25">
      <c r="A391" s="53" t="s">
        <v>539</v>
      </c>
      <c r="B391" s="31" t="s">
        <v>113</v>
      </c>
      <c r="C391" s="31">
        <v>57</v>
      </c>
      <c r="D391" s="31" t="s">
        <v>459</v>
      </c>
      <c r="E391" s="25" t="s">
        <v>460</v>
      </c>
      <c r="F391" s="21" t="e">
        <v>#N/A</v>
      </c>
      <c r="G391" s="21" t="e">
        <f>VLOOKUP(D391,[6]成飞半成品!$A:$B,2,0)</f>
        <v>#N/A</v>
      </c>
      <c r="H391" s="31" t="s">
        <v>123</v>
      </c>
      <c r="I391" s="31">
        <v>20</v>
      </c>
      <c r="J391" s="37" t="s">
        <v>1960</v>
      </c>
      <c r="K391" s="31">
        <v>5</v>
      </c>
      <c r="L391" s="31">
        <v>5</v>
      </c>
      <c r="M391" s="31">
        <v>5</v>
      </c>
      <c r="N391" s="31">
        <v>31</v>
      </c>
      <c r="O391" s="77" t="s">
        <v>506</v>
      </c>
      <c r="P391" s="34"/>
      <c r="Q391" s="31">
        <v>120</v>
      </c>
      <c r="R391" s="31"/>
      <c r="S391" s="31"/>
      <c r="T391" s="31"/>
      <c r="U391" s="31">
        <v>60</v>
      </c>
      <c r="V391" s="31"/>
      <c r="W391" s="37"/>
      <c r="X391" s="37"/>
      <c r="Y391" s="79">
        <v>10</v>
      </c>
      <c r="Z391" s="31" t="s">
        <v>7</v>
      </c>
      <c r="AA391" s="37"/>
      <c r="AB391" s="37"/>
    </row>
    <row r="392" spans="1:28" ht="23.1" customHeight="1" x14ac:dyDescent="0.25">
      <c r="A392" s="53" t="s">
        <v>539</v>
      </c>
      <c r="B392" s="31" t="s">
        <v>113</v>
      </c>
      <c r="C392" s="31">
        <v>58</v>
      </c>
      <c r="D392" s="31" t="s">
        <v>423</v>
      </c>
      <c r="E392" s="25" t="s">
        <v>424</v>
      </c>
      <c r="F392" s="21" t="s">
        <v>424</v>
      </c>
      <c r="G392" s="21" t="str">
        <f>VLOOKUP(D392,[6]成飞半成品!$A:$B,2,0)</f>
        <v>后梁四段</v>
      </c>
      <c r="H392" s="31" t="s">
        <v>107</v>
      </c>
      <c r="I392" s="31">
        <v>20</v>
      </c>
      <c r="J392" s="37" t="s">
        <v>1974</v>
      </c>
      <c r="K392" s="31">
        <v>9</v>
      </c>
      <c r="L392" s="31">
        <v>9</v>
      </c>
      <c r="M392" s="31">
        <v>23</v>
      </c>
      <c r="N392" s="31">
        <v>28</v>
      </c>
      <c r="O392" s="77" t="s">
        <v>562</v>
      </c>
      <c r="P392" s="34"/>
      <c r="Q392" s="31">
        <v>90</v>
      </c>
      <c r="R392" s="31"/>
      <c r="S392" s="31"/>
      <c r="T392" s="31"/>
      <c r="U392" s="31">
        <v>100</v>
      </c>
      <c r="V392" s="31"/>
      <c r="W392" s="37"/>
      <c r="X392" s="37"/>
      <c r="Y392" s="79">
        <v>13.5</v>
      </c>
      <c r="Z392" s="31" t="s">
        <v>7</v>
      </c>
      <c r="AA392" s="37"/>
      <c r="AB392" s="37"/>
    </row>
    <row r="393" spans="1:28" ht="23.1" customHeight="1" x14ac:dyDescent="0.25">
      <c r="A393" s="53" t="s">
        <v>539</v>
      </c>
      <c r="B393" s="31" t="s">
        <v>113</v>
      </c>
      <c r="C393" s="31">
        <v>13</v>
      </c>
      <c r="D393" s="31" t="s">
        <v>245</v>
      </c>
      <c r="E393" s="25" t="s">
        <v>246</v>
      </c>
      <c r="F393" s="21" t="s">
        <v>246</v>
      </c>
      <c r="G393" s="21" t="str">
        <f>VLOOKUP(D393,[6]成飞半成品!$A:$B,2,0)</f>
        <v>外侧轴承盖</v>
      </c>
      <c r="H393" s="31" t="s">
        <v>123</v>
      </c>
      <c r="I393" s="31">
        <v>45</v>
      </c>
      <c r="J393" s="37" t="s">
        <v>1954</v>
      </c>
      <c r="K393" s="31">
        <v>3</v>
      </c>
      <c r="L393" s="31">
        <v>3</v>
      </c>
      <c r="M393" s="31">
        <v>28</v>
      </c>
      <c r="N393" s="31">
        <v>28</v>
      </c>
      <c r="O393" s="77" t="s">
        <v>247</v>
      </c>
      <c r="P393" s="34"/>
      <c r="Q393" s="31">
        <v>250</v>
      </c>
      <c r="R393" s="31"/>
      <c r="S393" s="31"/>
      <c r="T393" s="31"/>
      <c r="U393" s="31">
        <v>90</v>
      </c>
      <c r="V393" s="31"/>
      <c r="W393" s="37"/>
      <c r="X393" s="37"/>
      <c r="Y393" s="79">
        <v>12.5</v>
      </c>
      <c r="Z393" s="31" t="s">
        <v>7</v>
      </c>
      <c r="AA393" s="37"/>
      <c r="AB393" s="37"/>
    </row>
    <row r="394" spans="1:28" ht="23.1" customHeight="1" x14ac:dyDescent="0.25">
      <c r="A394" s="53" t="s">
        <v>539</v>
      </c>
      <c r="B394" s="31" t="s">
        <v>113</v>
      </c>
      <c r="C394" s="31">
        <v>18</v>
      </c>
      <c r="D394" s="31" t="s">
        <v>205</v>
      </c>
      <c r="E394" s="25" t="s">
        <v>206</v>
      </c>
      <c r="F394" s="21" t="s">
        <v>206</v>
      </c>
      <c r="G394" s="21" t="str">
        <f>VLOOKUP(D394,[6]成飞半成品!$A:$B,2,0)</f>
        <v>卡环</v>
      </c>
      <c r="H394" s="31" t="s">
        <v>123</v>
      </c>
      <c r="I394" s="31">
        <v>40</v>
      </c>
      <c r="J394" s="37" t="s">
        <v>1971</v>
      </c>
      <c r="K394" s="31">
        <v>2</v>
      </c>
      <c r="L394" s="31">
        <v>2</v>
      </c>
      <c r="M394" s="31">
        <v>28</v>
      </c>
      <c r="N394" s="31">
        <v>28</v>
      </c>
      <c r="O394" s="77" t="s">
        <v>207</v>
      </c>
      <c r="P394" s="34"/>
      <c r="Q394" s="31">
        <v>360</v>
      </c>
      <c r="R394" s="31"/>
      <c r="S394" s="31"/>
      <c r="T394" s="31"/>
      <c r="U394" s="31">
        <v>120</v>
      </c>
      <c r="V394" s="31"/>
      <c r="W394" s="37"/>
      <c r="X394" s="37"/>
      <c r="Y394" s="79">
        <v>12</v>
      </c>
      <c r="Z394" s="31" t="s">
        <v>16</v>
      </c>
      <c r="AA394" s="37"/>
      <c r="AB394" s="37"/>
    </row>
    <row r="395" spans="1:28" ht="23.1" customHeight="1" x14ac:dyDescent="0.25">
      <c r="A395" s="53" t="s">
        <v>539</v>
      </c>
      <c r="B395" s="31" t="s">
        <v>113</v>
      </c>
      <c r="C395" s="31">
        <v>11</v>
      </c>
      <c r="D395" s="31" t="s">
        <v>200</v>
      </c>
      <c r="E395" s="25" t="s">
        <v>317</v>
      </c>
      <c r="F395" s="21" t="s">
        <v>317</v>
      </c>
      <c r="G395" s="21" t="str">
        <f>VLOOKUP(D395,[6]成飞半成品!$A:$B,2,0)</f>
        <v>角盒</v>
      </c>
      <c r="H395" s="31" t="s">
        <v>154</v>
      </c>
      <c r="I395" s="31">
        <v>40</v>
      </c>
      <c r="J395" s="31" t="s">
        <v>1935</v>
      </c>
      <c r="K395" s="37"/>
      <c r="L395" s="31">
        <v>5</v>
      </c>
      <c r="M395" s="31">
        <v>23</v>
      </c>
      <c r="N395" s="31">
        <v>28</v>
      </c>
      <c r="O395" s="77" t="s">
        <v>563</v>
      </c>
      <c r="P395" s="34"/>
      <c r="Q395" s="31">
        <v>260</v>
      </c>
      <c r="R395" s="31"/>
      <c r="S395" s="31"/>
      <c r="T395" s="31"/>
      <c r="U395" s="31">
        <v>90</v>
      </c>
      <c r="V395" s="31"/>
      <c r="W395" s="37"/>
      <c r="X395" s="37"/>
      <c r="Y395" s="79">
        <v>21.7</v>
      </c>
      <c r="Z395" s="31" t="s">
        <v>63</v>
      </c>
      <c r="AA395" s="37"/>
      <c r="AB395" s="37"/>
    </row>
    <row r="396" spans="1:28" ht="23.1" customHeight="1" x14ac:dyDescent="0.25">
      <c r="A396" s="53" t="s">
        <v>539</v>
      </c>
      <c r="B396" s="31" t="s">
        <v>113</v>
      </c>
      <c r="C396" s="31">
        <v>16</v>
      </c>
      <c r="D396" s="31" t="s">
        <v>449</v>
      </c>
      <c r="E396" s="25" t="s">
        <v>317</v>
      </c>
      <c r="F396" s="21" t="s">
        <v>317</v>
      </c>
      <c r="G396" s="21" t="str">
        <f>VLOOKUP(D396,[6]成飞半成品!$A:$B,2,0)</f>
        <v>角盒</v>
      </c>
      <c r="H396" s="31" t="s">
        <v>154</v>
      </c>
      <c r="I396" s="31">
        <v>20</v>
      </c>
      <c r="J396" s="31" t="s">
        <v>1975</v>
      </c>
      <c r="K396" s="37"/>
      <c r="L396" s="31">
        <v>2</v>
      </c>
      <c r="M396" s="31">
        <v>23</v>
      </c>
      <c r="N396" s="31">
        <v>28</v>
      </c>
      <c r="O396" s="77" t="s">
        <v>438</v>
      </c>
      <c r="P396" s="34"/>
      <c r="Q396" s="31">
        <v>240</v>
      </c>
      <c r="R396" s="31"/>
      <c r="S396" s="31"/>
      <c r="T396" s="31"/>
      <c r="U396" s="31">
        <v>120</v>
      </c>
      <c r="V396" s="31"/>
      <c r="W396" s="37"/>
      <c r="X396" s="37">
        <v>1</v>
      </c>
      <c r="Y396" s="79">
        <v>9</v>
      </c>
      <c r="Z396" s="31" t="s">
        <v>63</v>
      </c>
      <c r="AA396" s="37" t="s">
        <v>564</v>
      </c>
      <c r="AB396" s="37"/>
    </row>
    <row r="397" spans="1:28" ht="23.1" customHeight="1" x14ac:dyDescent="0.25">
      <c r="A397" s="53" t="s">
        <v>539</v>
      </c>
      <c r="B397" s="31" t="s">
        <v>113</v>
      </c>
      <c r="C397" s="31">
        <v>16</v>
      </c>
      <c r="D397" s="31" t="s">
        <v>449</v>
      </c>
      <c r="E397" s="25" t="s">
        <v>317</v>
      </c>
      <c r="F397" s="21" t="s">
        <v>317</v>
      </c>
      <c r="G397" s="21" t="str">
        <f>VLOOKUP(D397,[6]成飞半成品!$A:$B,2,0)</f>
        <v>角盒</v>
      </c>
      <c r="H397" s="31" t="s">
        <v>154</v>
      </c>
      <c r="I397" s="31">
        <v>25</v>
      </c>
      <c r="J397" s="31" t="s">
        <v>1976</v>
      </c>
      <c r="K397" s="37"/>
      <c r="L397" s="31">
        <v>0.5</v>
      </c>
      <c r="M397" s="37"/>
      <c r="N397" s="31">
        <v>31</v>
      </c>
      <c r="O397" s="77" t="s">
        <v>159</v>
      </c>
      <c r="P397" s="34"/>
      <c r="Q397" s="31">
        <v>360</v>
      </c>
      <c r="R397" s="31"/>
      <c r="S397" s="31"/>
      <c r="T397" s="31"/>
      <c r="U397" s="31">
        <v>60</v>
      </c>
      <c r="V397" s="31"/>
      <c r="W397" s="37"/>
      <c r="X397" s="37"/>
      <c r="Y397" s="79">
        <v>3</v>
      </c>
      <c r="Z397" s="31" t="s">
        <v>63</v>
      </c>
      <c r="AA397" s="37"/>
      <c r="AB397" s="37"/>
    </row>
    <row r="398" spans="1:28" ht="23.1" customHeight="1" x14ac:dyDescent="0.25">
      <c r="A398" s="53" t="s">
        <v>539</v>
      </c>
      <c r="B398" s="31" t="s">
        <v>113</v>
      </c>
      <c r="C398" s="31">
        <v>91</v>
      </c>
      <c r="D398" s="31" t="s">
        <v>484</v>
      </c>
      <c r="E398" s="25" t="s">
        <v>485</v>
      </c>
      <c r="F398" s="21" t="s">
        <v>485</v>
      </c>
      <c r="G398" s="21" t="str">
        <f>VLOOKUP(D398,[6]成飞半成品!$A:$B,2,0)</f>
        <v>8635左隔框</v>
      </c>
      <c r="H398" s="31" t="s">
        <v>300</v>
      </c>
      <c r="I398" s="31">
        <v>30</v>
      </c>
      <c r="J398" s="31" t="s">
        <v>1921</v>
      </c>
      <c r="K398" s="31"/>
      <c r="L398" s="31"/>
      <c r="M398" s="37"/>
      <c r="N398" s="37"/>
      <c r="O398" s="77" t="s">
        <v>222</v>
      </c>
      <c r="P398" s="34"/>
      <c r="Q398" s="31">
        <v>960</v>
      </c>
      <c r="R398" s="31">
        <v>120</v>
      </c>
      <c r="S398" s="31"/>
      <c r="T398" s="31"/>
      <c r="U398" s="31">
        <v>180</v>
      </c>
      <c r="V398" s="31"/>
      <c r="W398" s="37"/>
      <c r="X398" s="37">
        <v>10.4</v>
      </c>
      <c r="Y398" s="79">
        <v>10.4</v>
      </c>
      <c r="Z398" s="31" t="s">
        <v>69</v>
      </c>
      <c r="AA398" s="37" t="s">
        <v>565</v>
      </c>
      <c r="AB398" s="37"/>
    </row>
    <row r="399" spans="1:28" ht="23.1" customHeight="1" x14ac:dyDescent="0.25">
      <c r="A399" s="53" t="s">
        <v>539</v>
      </c>
      <c r="B399" s="31" t="s">
        <v>113</v>
      </c>
      <c r="C399" s="31">
        <v>119</v>
      </c>
      <c r="D399" s="31" t="s">
        <v>498</v>
      </c>
      <c r="E399" s="25" t="s">
        <v>499</v>
      </c>
      <c r="F399" s="21" t="s">
        <v>499</v>
      </c>
      <c r="G399" s="21" t="str">
        <f>VLOOKUP(D399,[6]成飞半成品!$A:$B,2,0)</f>
        <v>10540中框</v>
      </c>
      <c r="H399" s="31" t="s">
        <v>300</v>
      </c>
      <c r="I399" s="31">
        <v>70</v>
      </c>
      <c r="J399" s="31" t="s">
        <v>1966</v>
      </c>
      <c r="K399" s="37"/>
      <c r="L399" s="31">
        <v>1</v>
      </c>
      <c r="M399" s="37"/>
      <c r="N399" s="31">
        <v>28</v>
      </c>
      <c r="O399" s="77" t="s">
        <v>357</v>
      </c>
      <c r="P399" s="34"/>
      <c r="Q399" s="31">
        <v>30</v>
      </c>
      <c r="R399" s="31">
        <v>90</v>
      </c>
      <c r="S399" s="31"/>
      <c r="T399" s="31"/>
      <c r="U399" s="31">
        <v>180</v>
      </c>
      <c r="V399" s="31"/>
      <c r="W399" s="37"/>
      <c r="X399" s="37">
        <v>9</v>
      </c>
      <c r="Y399" s="79">
        <v>9.5</v>
      </c>
      <c r="Z399" s="31" t="s">
        <v>69</v>
      </c>
      <c r="AA399" s="37" t="s">
        <v>566</v>
      </c>
      <c r="AB399" s="37"/>
    </row>
    <row r="400" spans="1:28" ht="23.1" customHeight="1" x14ac:dyDescent="0.25">
      <c r="A400" s="53" t="s">
        <v>539</v>
      </c>
      <c r="B400" s="31" t="s">
        <v>113</v>
      </c>
      <c r="C400" s="31">
        <v>24</v>
      </c>
      <c r="D400" s="31" t="s">
        <v>294</v>
      </c>
      <c r="E400" s="25" t="s">
        <v>259</v>
      </c>
      <c r="F400" s="21" t="s">
        <v>979</v>
      </c>
      <c r="G400" s="21" t="str">
        <f>VLOOKUP(D400,[6]成飞半成品!$A:$B,2,0)</f>
        <v>梁（左件）</v>
      </c>
      <c r="H400" s="31" t="s">
        <v>118</v>
      </c>
      <c r="I400" s="31">
        <v>50</v>
      </c>
      <c r="J400" s="37" t="s">
        <v>1965</v>
      </c>
      <c r="K400" s="31">
        <v>0.3</v>
      </c>
      <c r="L400" s="31">
        <v>0.3</v>
      </c>
      <c r="M400" s="37"/>
      <c r="N400" s="31">
        <v>26</v>
      </c>
      <c r="O400" s="77" t="s">
        <v>567</v>
      </c>
      <c r="P400" s="34"/>
      <c r="Q400" s="31">
        <v>1960</v>
      </c>
      <c r="R400" s="31">
        <v>120</v>
      </c>
      <c r="S400" s="31"/>
      <c r="T400" s="31"/>
      <c r="U400" s="31">
        <v>180</v>
      </c>
      <c r="V400" s="31"/>
      <c r="W400" s="37"/>
      <c r="X400" s="37">
        <v>5</v>
      </c>
      <c r="Y400" s="79">
        <v>14.8</v>
      </c>
      <c r="Z400" s="31" t="s">
        <v>69</v>
      </c>
      <c r="AA400" s="37" t="s">
        <v>568</v>
      </c>
      <c r="AB400" s="37"/>
    </row>
    <row r="401" spans="1:28" ht="23.1" customHeight="1" x14ac:dyDescent="0.25">
      <c r="A401" s="53" t="s">
        <v>539</v>
      </c>
      <c r="B401" s="31" t="s">
        <v>113</v>
      </c>
      <c r="C401" s="31">
        <v>84</v>
      </c>
      <c r="D401" s="31" t="s">
        <v>517</v>
      </c>
      <c r="E401" s="25" t="s">
        <v>518</v>
      </c>
      <c r="F401" s="21" t="s">
        <v>518</v>
      </c>
      <c r="G401" s="21" t="str">
        <f>VLOOKUP(D401,[6]成飞半成品!$A:$B,2,0)</f>
        <v>带板</v>
      </c>
      <c r="H401" s="31" t="s">
        <v>250</v>
      </c>
      <c r="I401" s="31">
        <v>25</v>
      </c>
      <c r="J401" s="37" t="s">
        <v>1970</v>
      </c>
      <c r="K401" s="31">
        <v>1</v>
      </c>
      <c r="L401" s="31">
        <v>1</v>
      </c>
      <c r="M401" s="37"/>
      <c r="N401" s="31">
        <v>28</v>
      </c>
      <c r="O401" s="77" t="s">
        <v>439</v>
      </c>
      <c r="P401" s="34"/>
      <c r="Q401" s="31">
        <v>40</v>
      </c>
      <c r="R401" s="31"/>
      <c r="S401" s="31"/>
      <c r="T401" s="31"/>
      <c r="U401" s="31">
        <v>90</v>
      </c>
      <c r="V401" s="31"/>
      <c r="W401" s="37"/>
      <c r="X401" s="37">
        <v>10.4</v>
      </c>
      <c r="Y401" s="79">
        <v>11.1</v>
      </c>
      <c r="Z401" s="31" t="s">
        <v>69</v>
      </c>
      <c r="AA401" s="37" t="s">
        <v>569</v>
      </c>
      <c r="AB401" s="37"/>
    </row>
    <row r="402" spans="1:28" ht="23.1" customHeight="1" x14ac:dyDescent="0.25">
      <c r="A402" s="53" t="s">
        <v>539</v>
      </c>
      <c r="B402" s="31" t="s">
        <v>113</v>
      </c>
      <c r="C402" s="31">
        <v>69</v>
      </c>
      <c r="D402" s="25" t="s">
        <v>2551</v>
      </c>
      <c r="E402" s="25" t="s">
        <v>108</v>
      </c>
      <c r="F402" s="21" t="e">
        <v>#N/A</v>
      </c>
      <c r="G402" s="21" t="str">
        <f>VLOOKUP(D402,[6]成飞半成品!$A:$B,2,0)</f>
        <v>工装</v>
      </c>
      <c r="H402" s="31" t="s">
        <v>108</v>
      </c>
      <c r="I402" s="31" t="s">
        <v>108</v>
      </c>
      <c r="J402" s="37"/>
      <c r="K402" s="31" t="s">
        <v>108</v>
      </c>
      <c r="L402" s="31">
        <v>0</v>
      </c>
      <c r="M402" s="31" t="s">
        <v>108</v>
      </c>
      <c r="N402" s="31">
        <v>28</v>
      </c>
      <c r="O402" s="77" t="s">
        <v>108</v>
      </c>
      <c r="P402" s="34"/>
      <c r="Q402" s="31"/>
      <c r="R402" s="31"/>
      <c r="S402" s="31"/>
      <c r="T402" s="31"/>
      <c r="U402" s="31"/>
      <c r="V402" s="31"/>
      <c r="W402" s="37"/>
      <c r="X402" s="37">
        <v>10.4</v>
      </c>
      <c r="Y402" s="79">
        <v>10.4</v>
      </c>
      <c r="Z402" s="31" t="s">
        <v>69</v>
      </c>
      <c r="AA402" s="37" t="s">
        <v>565</v>
      </c>
      <c r="AB402" s="37"/>
    </row>
    <row r="403" spans="1:28" ht="23.1" customHeight="1" x14ac:dyDescent="0.25">
      <c r="A403" s="53" t="s">
        <v>539</v>
      </c>
      <c r="B403" s="31" t="s">
        <v>113</v>
      </c>
      <c r="C403" s="31">
        <v>47</v>
      </c>
      <c r="D403" s="31" t="s">
        <v>332</v>
      </c>
      <c r="E403" s="25" t="s">
        <v>333</v>
      </c>
      <c r="F403" s="21" t="s">
        <v>2548</v>
      </c>
      <c r="G403" s="21" t="str">
        <f>VLOOKUP(D403,[6]成飞半成品!$A:$B,2,0)</f>
        <v>5550上框</v>
      </c>
      <c r="H403" s="31" t="s">
        <v>334</v>
      </c>
      <c r="I403" s="31">
        <v>20</v>
      </c>
      <c r="J403" s="37" t="s">
        <v>1959</v>
      </c>
      <c r="K403" s="31">
        <v>0.95</v>
      </c>
      <c r="L403" s="31">
        <v>0.95</v>
      </c>
      <c r="M403" s="31">
        <v>23</v>
      </c>
      <c r="N403" s="31">
        <v>28</v>
      </c>
      <c r="O403" s="77" t="s">
        <v>570</v>
      </c>
      <c r="P403" s="31"/>
      <c r="Q403" s="31">
        <v>720</v>
      </c>
      <c r="R403" s="31">
        <v>90</v>
      </c>
      <c r="S403" s="31"/>
      <c r="T403" s="31">
        <v>1</v>
      </c>
      <c r="U403" s="31">
        <v>120</v>
      </c>
      <c r="V403" s="31"/>
      <c r="W403" s="37"/>
      <c r="X403" s="37">
        <v>3</v>
      </c>
      <c r="Y403" s="79">
        <v>15.9</v>
      </c>
      <c r="Z403" s="31" t="s">
        <v>22</v>
      </c>
      <c r="AA403" s="37" t="s">
        <v>571</v>
      </c>
      <c r="AB403" s="37"/>
    </row>
    <row r="404" spans="1:28" ht="23.1" customHeight="1" x14ac:dyDescent="0.25">
      <c r="A404" s="53" t="s">
        <v>539</v>
      </c>
      <c r="B404" s="31" t="s">
        <v>113</v>
      </c>
      <c r="C404" s="31">
        <v>23</v>
      </c>
      <c r="D404" s="31" t="s">
        <v>254</v>
      </c>
      <c r="E404" s="25" t="s">
        <v>255</v>
      </c>
      <c r="F404" s="21" t="s">
        <v>1016</v>
      </c>
      <c r="G404" s="21" t="str">
        <f>VLOOKUP(D404,[6]成飞半成品!$A:$B,2,0)</f>
        <v>9350-11140右侧上梁</v>
      </c>
      <c r="H404" s="31" t="s">
        <v>375</v>
      </c>
      <c r="I404" s="31">
        <v>37</v>
      </c>
      <c r="J404" s="37"/>
      <c r="K404" s="31">
        <v>0.65</v>
      </c>
      <c r="L404" s="31">
        <v>0.65</v>
      </c>
      <c r="M404" s="31">
        <v>31</v>
      </c>
      <c r="N404" s="31">
        <v>31</v>
      </c>
      <c r="O404" s="77" t="s">
        <v>155</v>
      </c>
      <c r="P404" s="25">
        <v>660</v>
      </c>
      <c r="Q404" s="31"/>
      <c r="R404" s="31"/>
      <c r="S404" s="31">
        <v>90</v>
      </c>
      <c r="T404" s="31"/>
      <c r="U404" s="31"/>
      <c r="V404" s="31"/>
      <c r="W404" s="37"/>
      <c r="X404" s="37">
        <v>3</v>
      </c>
      <c r="Y404" s="83">
        <v>10.199999999999999</v>
      </c>
      <c r="Z404" s="31" t="s">
        <v>22</v>
      </c>
      <c r="AA404" s="37" t="s">
        <v>572</v>
      </c>
      <c r="AB404" s="37"/>
    </row>
    <row r="405" spans="1:28" ht="23.1" customHeight="1" x14ac:dyDescent="0.25">
      <c r="A405" s="53" t="s">
        <v>539</v>
      </c>
      <c r="B405" s="31" t="s">
        <v>113</v>
      </c>
      <c r="C405" s="31">
        <v>107</v>
      </c>
      <c r="D405" s="31" t="s">
        <v>194</v>
      </c>
      <c r="E405" s="25" t="s">
        <v>133</v>
      </c>
      <c r="F405" s="21" t="s">
        <v>133</v>
      </c>
      <c r="G405" s="21" t="str">
        <f>VLOOKUP(D405,[6]成飞半成品!$A:$B,2,0)</f>
        <v>摇臂</v>
      </c>
      <c r="H405" s="31" t="s">
        <v>102</v>
      </c>
      <c r="I405" s="31">
        <v>15</v>
      </c>
      <c r="J405" s="31" t="s">
        <v>1977</v>
      </c>
      <c r="K405" s="37"/>
      <c r="L405" s="31">
        <v>1</v>
      </c>
      <c r="M405" s="37"/>
      <c r="N405" s="31">
        <v>28</v>
      </c>
      <c r="O405" s="77" t="s">
        <v>234</v>
      </c>
      <c r="P405" s="34"/>
      <c r="Q405" s="31">
        <v>690</v>
      </c>
      <c r="R405" s="31">
        <v>60</v>
      </c>
      <c r="S405" s="31"/>
      <c r="T405" s="31">
        <v>1</v>
      </c>
      <c r="U405" s="31">
        <v>120</v>
      </c>
      <c r="V405" s="31"/>
      <c r="W405" s="37">
        <v>1</v>
      </c>
      <c r="X405" s="37"/>
      <c r="Y405" s="79">
        <v>14.5</v>
      </c>
      <c r="Z405" s="31" t="s">
        <v>13</v>
      </c>
      <c r="AA405" s="37" t="s">
        <v>573</v>
      </c>
      <c r="AB405" s="37"/>
    </row>
    <row r="406" spans="1:28" ht="23.1" customHeight="1" x14ac:dyDescent="0.25">
      <c r="A406" s="53" t="s">
        <v>539</v>
      </c>
      <c r="B406" s="31" t="s">
        <v>113</v>
      </c>
      <c r="C406" s="31">
        <v>17</v>
      </c>
      <c r="D406" s="31" t="s">
        <v>352</v>
      </c>
      <c r="E406" s="25" t="s">
        <v>353</v>
      </c>
      <c r="F406" s="21" t="e">
        <v>#N/A</v>
      </c>
      <c r="G406" s="21" t="e">
        <f>VLOOKUP(D406,[6]成飞半成品!$A:$B,2,0)</f>
        <v>#N/A</v>
      </c>
      <c r="H406" s="31" t="s">
        <v>300</v>
      </c>
      <c r="I406" s="31">
        <v>25</v>
      </c>
      <c r="J406" s="37" t="s">
        <v>1967</v>
      </c>
      <c r="K406" s="31">
        <v>3</v>
      </c>
      <c r="L406" s="31">
        <v>3</v>
      </c>
      <c r="M406" s="31">
        <v>26</v>
      </c>
      <c r="N406" s="31">
        <v>26</v>
      </c>
      <c r="O406" s="77" t="s">
        <v>574</v>
      </c>
      <c r="P406" s="34"/>
      <c r="Q406" s="31">
        <v>290</v>
      </c>
      <c r="R406" s="31"/>
      <c r="S406" s="31"/>
      <c r="T406" s="31"/>
      <c r="U406" s="31">
        <v>90</v>
      </c>
      <c r="V406" s="31"/>
      <c r="W406" s="37"/>
      <c r="X406" s="37"/>
      <c r="Y406" s="79">
        <v>14.5</v>
      </c>
      <c r="Z406" s="31" t="s">
        <v>16</v>
      </c>
      <c r="AA406" s="37"/>
      <c r="AB406" s="37"/>
    </row>
    <row r="407" spans="1:28" ht="23.1" customHeight="1" x14ac:dyDescent="0.25">
      <c r="A407" s="53" t="s">
        <v>575</v>
      </c>
      <c r="B407" s="31" t="s">
        <v>99</v>
      </c>
      <c r="C407" s="31">
        <v>59</v>
      </c>
      <c r="D407" s="31" t="s">
        <v>552</v>
      </c>
      <c r="E407" s="25" t="s">
        <v>553</v>
      </c>
      <c r="F407" s="21" t="s">
        <v>553</v>
      </c>
      <c r="G407" s="21" t="str">
        <f>VLOOKUP(D407,[6]成飞半成品!$A:$B,2,0)</f>
        <v>前肋</v>
      </c>
      <c r="H407" s="31" t="s">
        <v>154</v>
      </c>
      <c r="I407" s="31">
        <v>20</v>
      </c>
      <c r="J407" s="31" t="s">
        <v>1978</v>
      </c>
      <c r="K407" s="37"/>
      <c r="L407" s="31">
        <v>1</v>
      </c>
      <c r="M407" s="37"/>
      <c r="N407" s="31">
        <v>28</v>
      </c>
      <c r="O407" s="77" t="s">
        <v>554</v>
      </c>
      <c r="P407" s="34"/>
      <c r="Q407" s="31">
        <v>30</v>
      </c>
      <c r="R407" s="31"/>
      <c r="S407" s="31"/>
      <c r="T407" s="31"/>
      <c r="U407" s="31">
        <v>60</v>
      </c>
      <c r="V407" s="31"/>
      <c r="W407" s="37">
        <v>1</v>
      </c>
      <c r="X407" s="37">
        <v>2</v>
      </c>
      <c r="Y407" s="79">
        <v>3.5</v>
      </c>
      <c r="Z407" s="31" t="s">
        <v>42</v>
      </c>
      <c r="AA407" s="37" t="s">
        <v>576</v>
      </c>
      <c r="AB407" s="25" t="s">
        <v>238</v>
      </c>
    </row>
    <row r="408" spans="1:28" ht="23.1" customHeight="1" x14ac:dyDescent="0.25">
      <c r="A408" s="53" t="s">
        <v>575</v>
      </c>
      <c r="B408" s="31" t="s">
        <v>99</v>
      </c>
      <c r="C408" s="31">
        <v>59</v>
      </c>
      <c r="D408" s="31" t="s">
        <v>552</v>
      </c>
      <c r="E408" s="25" t="s">
        <v>553</v>
      </c>
      <c r="F408" s="21" t="s">
        <v>553</v>
      </c>
      <c r="G408" s="21" t="str">
        <f>VLOOKUP(D408,[6]成飞半成品!$A:$B,2,0)</f>
        <v>前肋</v>
      </c>
      <c r="H408" s="31" t="s">
        <v>154</v>
      </c>
      <c r="I408" s="31">
        <v>25</v>
      </c>
      <c r="J408" s="31" t="s">
        <v>1970</v>
      </c>
      <c r="K408" s="37"/>
      <c r="L408" s="31">
        <v>1</v>
      </c>
      <c r="M408" s="31">
        <v>19</v>
      </c>
      <c r="N408" s="37"/>
      <c r="O408" s="77" t="s">
        <v>554</v>
      </c>
      <c r="P408" s="34"/>
      <c r="Q408" s="31">
        <v>15</v>
      </c>
      <c r="R408" s="31"/>
      <c r="S408" s="31"/>
      <c r="T408" s="31"/>
      <c r="U408" s="31">
        <v>90</v>
      </c>
      <c r="V408" s="31"/>
      <c r="W408" s="37">
        <v>1</v>
      </c>
      <c r="X408" s="37">
        <v>3</v>
      </c>
      <c r="Y408" s="79">
        <v>4.8</v>
      </c>
      <c r="Z408" s="31" t="s">
        <v>42</v>
      </c>
      <c r="AA408" s="37" t="s">
        <v>577</v>
      </c>
      <c r="AB408" s="25" t="s">
        <v>238</v>
      </c>
    </row>
    <row r="409" spans="1:28" ht="23.1" customHeight="1" x14ac:dyDescent="0.25">
      <c r="A409" s="53" t="s">
        <v>575</v>
      </c>
      <c r="B409" s="31" t="s">
        <v>99</v>
      </c>
      <c r="C409" s="31">
        <v>59</v>
      </c>
      <c r="D409" s="31" t="s">
        <v>552</v>
      </c>
      <c r="E409" s="25" t="s">
        <v>553</v>
      </c>
      <c r="F409" s="21" t="s">
        <v>553</v>
      </c>
      <c r="G409" s="21" t="str">
        <f>VLOOKUP(D409,[6]成飞半成品!$A:$B,2,0)</f>
        <v>前肋</v>
      </c>
      <c r="H409" s="31" t="s">
        <v>154</v>
      </c>
      <c r="I409" s="31">
        <v>30</v>
      </c>
      <c r="J409" s="31" t="s">
        <v>1979</v>
      </c>
      <c r="K409" s="37"/>
      <c r="L409" s="31">
        <v>1</v>
      </c>
      <c r="M409" s="31">
        <v>19</v>
      </c>
      <c r="N409" s="37"/>
      <c r="O409" s="77" t="s">
        <v>554</v>
      </c>
      <c r="P409" s="34"/>
      <c r="Q409" s="31">
        <v>100</v>
      </c>
      <c r="R409" s="31"/>
      <c r="S409" s="31"/>
      <c r="T409" s="31"/>
      <c r="U409" s="31">
        <v>90</v>
      </c>
      <c r="V409" s="31"/>
      <c r="W409" s="37">
        <v>1</v>
      </c>
      <c r="X409" s="37">
        <v>2</v>
      </c>
      <c r="Y409" s="79">
        <v>5.2</v>
      </c>
      <c r="Z409" s="31" t="s">
        <v>42</v>
      </c>
      <c r="AA409" s="37" t="s">
        <v>578</v>
      </c>
      <c r="AB409" s="25" t="s">
        <v>238</v>
      </c>
    </row>
    <row r="410" spans="1:28" ht="23.1" customHeight="1" x14ac:dyDescent="0.25">
      <c r="A410" s="53" t="s">
        <v>575</v>
      </c>
      <c r="B410" s="31" t="s">
        <v>99</v>
      </c>
      <c r="C410" s="31">
        <v>12</v>
      </c>
      <c r="D410" s="31" t="s">
        <v>248</v>
      </c>
      <c r="E410" s="25" t="s">
        <v>249</v>
      </c>
      <c r="F410" s="21" t="s">
        <v>249</v>
      </c>
      <c r="G410" s="21" t="str">
        <f>VLOOKUP(D410,[6]成飞半成品!$A:$B,2,0)</f>
        <v>10060下接头</v>
      </c>
      <c r="H410" s="31" t="s">
        <v>250</v>
      </c>
      <c r="I410" s="31">
        <v>25</v>
      </c>
      <c r="J410" s="37" t="s">
        <v>1923</v>
      </c>
      <c r="K410" s="31">
        <v>1</v>
      </c>
      <c r="L410" s="31">
        <v>1</v>
      </c>
      <c r="M410" s="37"/>
      <c r="N410" s="31">
        <v>26</v>
      </c>
      <c r="O410" s="77" t="s">
        <v>412</v>
      </c>
      <c r="P410" s="34"/>
      <c r="Q410" s="31">
        <v>1080</v>
      </c>
      <c r="R410" s="31"/>
      <c r="S410" s="31"/>
      <c r="T410" s="31"/>
      <c r="U410" s="31">
        <v>120</v>
      </c>
      <c r="V410" s="31"/>
      <c r="W410" s="37"/>
      <c r="X410" s="37"/>
      <c r="Y410" s="79">
        <v>18</v>
      </c>
      <c r="Z410" s="31" t="s">
        <v>72</v>
      </c>
      <c r="AA410" s="37"/>
      <c r="AB410" s="37"/>
    </row>
    <row r="411" spans="1:28" ht="23.1" customHeight="1" x14ac:dyDescent="0.25">
      <c r="A411" s="53" t="s">
        <v>575</v>
      </c>
      <c r="B411" s="31" t="s">
        <v>99</v>
      </c>
      <c r="C411" s="31">
        <v>13</v>
      </c>
      <c r="D411" s="31" t="s">
        <v>245</v>
      </c>
      <c r="E411" s="25" t="s">
        <v>246</v>
      </c>
      <c r="F411" s="21" t="s">
        <v>246</v>
      </c>
      <c r="G411" s="21" t="str">
        <f>VLOOKUP(D411,[6]成飞半成品!$A:$B,2,0)</f>
        <v>外侧轴承盖</v>
      </c>
      <c r="H411" s="31" t="s">
        <v>123</v>
      </c>
      <c r="I411" s="31">
        <v>45</v>
      </c>
      <c r="J411" s="37" t="s">
        <v>1954</v>
      </c>
      <c r="K411" s="31">
        <v>4</v>
      </c>
      <c r="L411" s="31">
        <v>4</v>
      </c>
      <c r="M411" s="31">
        <v>28</v>
      </c>
      <c r="N411" s="31">
        <v>28</v>
      </c>
      <c r="O411" s="77" t="s">
        <v>247</v>
      </c>
      <c r="P411" s="34"/>
      <c r="Q411" s="31">
        <v>250</v>
      </c>
      <c r="R411" s="31"/>
      <c r="S411" s="31"/>
      <c r="T411" s="31"/>
      <c r="U411" s="31">
        <v>90</v>
      </c>
      <c r="V411" s="31"/>
      <c r="W411" s="37"/>
      <c r="X411" s="37"/>
      <c r="Y411" s="79">
        <v>16.7</v>
      </c>
      <c r="Z411" s="31" t="s">
        <v>72</v>
      </c>
      <c r="AA411" s="37"/>
      <c r="AB411" s="37"/>
    </row>
    <row r="412" spans="1:28" ht="23.1" customHeight="1" x14ac:dyDescent="0.25">
      <c r="A412" s="53" t="s">
        <v>575</v>
      </c>
      <c r="B412" s="31" t="s">
        <v>99</v>
      </c>
      <c r="C412" s="31">
        <v>78</v>
      </c>
      <c r="D412" s="25" t="s">
        <v>2551</v>
      </c>
      <c r="E412" s="25" t="s">
        <v>190</v>
      </c>
      <c r="F412" s="21" t="e">
        <v>#N/A</v>
      </c>
      <c r="G412" s="21" t="str">
        <f>VLOOKUP(D412,[6]成飞半成品!$A:$B,2,0)</f>
        <v>工装</v>
      </c>
      <c r="H412" s="31" t="s">
        <v>102</v>
      </c>
      <c r="I412" s="31">
        <v>5</v>
      </c>
      <c r="J412" s="37"/>
      <c r="K412" s="31">
        <v>1</v>
      </c>
      <c r="L412" s="31">
        <v>1</v>
      </c>
      <c r="M412" s="37"/>
      <c r="N412" s="31">
        <v>37</v>
      </c>
      <c r="O412" s="77" t="s">
        <v>108</v>
      </c>
      <c r="P412" s="34"/>
      <c r="Q412" s="31"/>
      <c r="R412" s="31"/>
      <c r="S412" s="31"/>
      <c r="T412" s="31"/>
      <c r="U412" s="31"/>
      <c r="V412" s="31"/>
      <c r="W412" s="37"/>
      <c r="X412" s="37">
        <v>8</v>
      </c>
      <c r="Y412" s="79">
        <v>8</v>
      </c>
      <c r="Z412" s="31" t="s">
        <v>19</v>
      </c>
      <c r="AA412" s="37" t="s">
        <v>580</v>
      </c>
      <c r="AB412" s="25" t="s">
        <v>238</v>
      </c>
    </row>
    <row r="413" spans="1:28" ht="23.1" customHeight="1" x14ac:dyDescent="0.25">
      <c r="A413" s="53" t="s">
        <v>575</v>
      </c>
      <c r="B413" s="31" t="s">
        <v>99</v>
      </c>
      <c r="C413" s="31">
        <v>78</v>
      </c>
      <c r="D413" s="25" t="s">
        <v>2551</v>
      </c>
      <c r="E413" s="25" t="s">
        <v>190</v>
      </c>
      <c r="F413" s="21" t="e">
        <v>#N/A</v>
      </c>
      <c r="G413" s="21" t="str">
        <f>VLOOKUP(D413,[6]成飞半成品!$A:$B,2,0)</f>
        <v>工装</v>
      </c>
      <c r="H413" s="31" t="s">
        <v>102</v>
      </c>
      <c r="I413" s="31">
        <v>20</v>
      </c>
      <c r="J413" s="37"/>
      <c r="K413" s="31">
        <v>0.4</v>
      </c>
      <c r="L413" s="31">
        <v>0.4</v>
      </c>
      <c r="M413" s="37"/>
      <c r="N413" s="31">
        <v>37</v>
      </c>
      <c r="O413" s="77" t="s">
        <v>108</v>
      </c>
      <c r="P413" s="31"/>
      <c r="Q413" s="31"/>
      <c r="R413" s="31"/>
      <c r="S413" s="31"/>
      <c r="T413" s="31">
        <v>1</v>
      </c>
      <c r="U413" s="31"/>
      <c r="V413" s="31"/>
      <c r="W413" s="37"/>
      <c r="X413" s="37">
        <v>7</v>
      </c>
      <c r="Y413" s="79">
        <v>7</v>
      </c>
      <c r="Z413" s="31" t="s">
        <v>19</v>
      </c>
      <c r="AA413" s="37" t="s">
        <v>582</v>
      </c>
      <c r="AB413" s="37"/>
    </row>
    <row r="414" spans="1:28" ht="23.1" customHeight="1" x14ac:dyDescent="0.25">
      <c r="A414" s="53" t="s">
        <v>575</v>
      </c>
      <c r="B414" s="31" t="s">
        <v>99</v>
      </c>
      <c r="C414" s="31">
        <v>77</v>
      </c>
      <c r="D414" s="31" t="s">
        <v>211</v>
      </c>
      <c r="E414" s="25" t="s">
        <v>212</v>
      </c>
      <c r="F414" s="21" t="s">
        <v>212</v>
      </c>
      <c r="G414" s="21" t="str">
        <f>VLOOKUP(D414,[6]成飞半成品!$A:$B,2,0)</f>
        <v>压板</v>
      </c>
      <c r="H414" s="31" t="s">
        <v>123</v>
      </c>
      <c r="I414" s="31">
        <v>15</v>
      </c>
      <c r="J414" s="31" t="s">
        <v>1893</v>
      </c>
      <c r="K414" s="37"/>
      <c r="L414" s="31">
        <v>9</v>
      </c>
      <c r="M414" s="31">
        <v>31</v>
      </c>
      <c r="N414" s="31">
        <v>37</v>
      </c>
      <c r="O414" s="77" t="s">
        <v>457</v>
      </c>
      <c r="P414" s="25">
        <v>100</v>
      </c>
      <c r="Q414" s="31">
        <v>60</v>
      </c>
      <c r="R414" s="31"/>
      <c r="S414" s="31"/>
      <c r="T414" s="31"/>
      <c r="U414" s="31">
        <v>90</v>
      </c>
      <c r="V414" s="31"/>
      <c r="W414" s="37"/>
      <c r="X414" s="37"/>
      <c r="Y414" s="83">
        <v>15</v>
      </c>
      <c r="Z414" s="31" t="s">
        <v>15</v>
      </c>
      <c r="AA414" s="37"/>
      <c r="AB414" s="37"/>
    </row>
    <row r="415" spans="1:28" ht="23.1" customHeight="1" x14ac:dyDescent="0.25">
      <c r="A415" s="53" t="s">
        <v>575</v>
      </c>
      <c r="B415" s="31" t="s">
        <v>99</v>
      </c>
      <c r="C415" s="31">
        <v>18</v>
      </c>
      <c r="D415" s="31" t="s">
        <v>205</v>
      </c>
      <c r="E415" s="25" t="s">
        <v>206</v>
      </c>
      <c r="F415" s="21" t="s">
        <v>206</v>
      </c>
      <c r="G415" s="21" t="str">
        <f>VLOOKUP(D415,[6]成飞半成品!$A:$B,2,0)</f>
        <v>卡环</v>
      </c>
      <c r="H415" s="31" t="s">
        <v>123</v>
      </c>
      <c r="I415" s="31">
        <v>40</v>
      </c>
      <c r="J415" s="31" t="s">
        <v>1971</v>
      </c>
      <c r="K415" s="37"/>
      <c r="L415" s="31">
        <v>1</v>
      </c>
      <c r="M415" s="31">
        <v>28</v>
      </c>
      <c r="N415" s="37"/>
      <c r="O415" s="77" t="s">
        <v>583</v>
      </c>
      <c r="P415" s="34"/>
      <c r="Q415" s="31">
        <v>360</v>
      </c>
      <c r="R415" s="31"/>
      <c r="S415" s="31"/>
      <c r="T415" s="31"/>
      <c r="U415" s="31">
        <v>120</v>
      </c>
      <c r="V415" s="31"/>
      <c r="W415" s="37"/>
      <c r="X415" s="37"/>
      <c r="Y415" s="79">
        <v>6</v>
      </c>
      <c r="Z415" s="31" t="s">
        <v>43</v>
      </c>
      <c r="AA415" s="37"/>
      <c r="AB415" s="37"/>
    </row>
    <row r="416" spans="1:28" ht="23.1" customHeight="1" x14ac:dyDescent="0.25">
      <c r="A416" s="53" t="s">
        <v>575</v>
      </c>
      <c r="B416" s="31" t="s">
        <v>99</v>
      </c>
      <c r="C416" s="31">
        <v>18</v>
      </c>
      <c r="D416" s="31" t="s">
        <v>205</v>
      </c>
      <c r="E416" s="25" t="s">
        <v>206</v>
      </c>
      <c r="F416" s="21" t="s">
        <v>206</v>
      </c>
      <c r="G416" s="21" t="str">
        <f>VLOOKUP(D416,[6]成飞半成品!$A:$B,2,0)</f>
        <v>卡环</v>
      </c>
      <c r="H416" s="31" t="s">
        <v>123</v>
      </c>
      <c r="I416" s="31">
        <v>45</v>
      </c>
      <c r="J416" s="31" t="s">
        <v>1980</v>
      </c>
      <c r="K416" s="37"/>
      <c r="L416" s="31">
        <v>1.5</v>
      </c>
      <c r="M416" s="31">
        <v>28</v>
      </c>
      <c r="N416" s="31">
        <v>26</v>
      </c>
      <c r="O416" s="77" t="s">
        <v>209</v>
      </c>
      <c r="P416" s="34"/>
      <c r="Q416" s="31">
        <v>420</v>
      </c>
      <c r="R416" s="31"/>
      <c r="S416" s="31"/>
      <c r="T416" s="31"/>
      <c r="U416" s="31">
        <v>90</v>
      </c>
      <c r="V416" s="31"/>
      <c r="W416" s="37">
        <v>1</v>
      </c>
      <c r="X416" s="37"/>
      <c r="Y416" s="79">
        <v>12</v>
      </c>
      <c r="Z416" s="31" t="s">
        <v>43</v>
      </c>
      <c r="AA416" s="37" t="s">
        <v>584</v>
      </c>
      <c r="AB416" s="37"/>
    </row>
    <row r="417" spans="1:28" ht="23.1" customHeight="1" x14ac:dyDescent="0.25">
      <c r="A417" s="53" t="s">
        <v>575</v>
      </c>
      <c r="B417" s="31" t="s">
        <v>99</v>
      </c>
      <c r="C417" s="31">
        <v>11</v>
      </c>
      <c r="D417" s="31" t="s">
        <v>200</v>
      </c>
      <c r="E417" s="25" t="s">
        <v>317</v>
      </c>
      <c r="F417" s="21" t="s">
        <v>317</v>
      </c>
      <c r="G417" s="21" t="str">
        <f>VLOOKUP(D417,[6]成飞半成品!$A:$B,2,0)</f>
        <v>角盒</v>
      </c>
      <c r="H417" s="31" t="s">
        <v>154</v>
      </c>
      <c r="I417" s="31">
        <v>40</v>
      </c>
      <c r="J417" s="31" t="s">
        <v>1935</v>
      </c>
      <c r="K417" s="37"/>
      <c r="L417" s="31">
        <v>4</v>
      </c>
      <c r="M417" s="31">
        <v>31</v>
      </c>
      <c r="N417" s="31">
        <v>19</v>
      </c>
      <c r="O417" s="77" t="s">
        <v>585</v>
      </c>
      <c r="P417" s="34"/>
      <c r="Q417" s="31">
        <v>260</v>
      </c>
      <c r="R417" s="31"/>
      <c r="S417" s="31"/>
      <c r="T417" s="31"/>
      <c r="U417" s="31">
        <v>90</v>
      </c>
      <c r="V417" s="31"/>
      <c r="W417" s="37"/>
      <c r="X417" s="37"/>
      <c r="Y417" s="79">
        <v>17.3</v>
      </c>
      <c r="Z417" s="31" t="s">
        <v>38</v>
      </c>
      <c r="AA417" s="37"/>
      <c r="AB417" s="37"/>
    </row>
    <row r="418" spans="1:28" ht="23.1" customHeight="1" x14ac:dyDescent="0.25">
      <c r="A418" s="53" t="s">
        <v>575</v>
      </c>
      <c r="B418" s="31" t="s">
        <v>99</v>
      </c>
      <c r="C418" s="31">
        <v>107</v>
      </c>
      <c r="D418" s="31" t="s">
        <v>194</v>
      </c>
      <c r="E418" s="25" t="s">
        <v>133</v>
      </c>
      <c r="F418" s="21" t="s">
        <v>133</v>
      </c>
      <c r="G418" s="21" t="str">
        <f>VLOOKUP(D418,[6]成飞半成品!$A:$B,2,0)</f>
        <v>摇臂</v>
      </c>
      <c r="H418" s="31" t="s">
        <v>102</v>
      </c>
      <c r="I418" s="31">
        <v>15</v>
      </c>
      <c r="J418" s="31" t="s">
        <v>1977</v>
      </c>
      <c r="K418" s="37"/>
      <c r="L418" s="31">
        <v>1</v>
      </c>
      <c r="M418" s="37"/>
      <c r="N418" s="31">
        <v>26</v>
      </c>
      <c r="O418" s="77" t="s">
        <v>159</v>
      </c>
      <c r="P418" s="34"/>
      <c r="Q418" s="31">
        <v>690</v>
      </c>
      <c r="R418" s="31">
        <v>60</v>
      </c>
      <c r="S418" s="31"/>
      <c r="T418" s="31">
        <v>1</v>
      </c>
      <c r="U418" s="31">
        <v>120</v>
      </c>
      <c r="V418" s="31"/>
      <c r="W418" s="37"/>
      <c r="X418" s="37"/>
      <c r="Y418" s="79">
        <v>12.5</v>
      </c>
      <c r="Z418" s="31" t="s">
        <v>45</v>
      </c>
      <c r="AA418" s="37" t="s">
        <v>145</v>
      </c>
      <c r="AB418" s="37"/>
    </row>
    <row r="419" spans="1:28" ht="23.1" customHeight="1" x14ac:dyDescent="0.25">
      <c r="A419" s="53" t="s">
        <v>575</v>
      </c>
      <c r="B419" s="31" t="s">
        <v>99</v>
      </c>
      <c r="C419" s="31">
        <v>16</v>
      </c>
      <c r="D419" s="31" t="s">
        <v>449</v>
      </c>
      <c r="E419" s="25" t="s">
        <v>317</v>
      </c>
      <c r="F419" s="21" t="s">
        <v>317</v>
      </c>
      <c r="G419" s="21" t="str">
        <f>VLOOKUP(D419,[6]成飞半成品!$A:$B,2,0)</f>
        <v>角盒</v>
      </c>
      <c r="H419" s="31" t="s">
        <v>154</v>
      </c>
      <c r="I419" s="31">
        <v>25</v>
      </c>
      <c r="J419" s="31" t="s">
        <v>1976</v>
      </c>
      <c r="K419" s="37"/>
      <c r="L419" s="31">
        <v>1.5</v>
      </c>
      <c r="M419" s="31">
        <v>31</v>
      </c>
      <c r="N419" s="31">
        <v>28</v>
      </c>
      <c r="O419" s="77" t="s">
        <v>438</v>
      </c>
      <c r="P419" s="34"/>
      <c r="Q419" s="31">
        <v>360</v>
      </c>
      <c r="R419" s="31"/>
      <c r="S419" s="31"/>
      <c r="T419" s="31"/>
      <c r="U419" s="31">
        <v>60</v>
      </c>
      <c r="V419" s="31"/>
      <c r="W419" s="37"/>
      <c r="X419" s="37"/>
      <c r="Y419" s="79">
        <v>9</v>
      </c>
      <c r="Z419" s="31" t="s">
        <v>38</v>
      </c>
      <c r="AA419" s="37"/>
      <c r="AB419" s="37"/>
    </row>
    <row r="420" spans="1:28" ht="23.1" customHeight="1" x14ac:dyDescent="0.25">
      <c r="A420" s="53" t="s">
        <v>575</v>
      </c>
      <c r="B420" s="31" t="s">
        <v>99</v>
      </c>
      <c r="C420" s="31">
        <v>17</v>
      </c>
      <c r="D420" s="31" t="s">
        <v>352</v>
      </c>
      <c r="E420" s="25" t="s">
        <v>353</v>
      </c>
      <c r="F420" s="21" t="e">
        <v>#N/A</v>
      </c>
      <c r="G420" s="21" t="e">
        <f>VLOOKUP(D420,[6]成飞半成品!$A:$B,2,0)</f>
        <v>#N/A</v>
      </c>
      <c r="H420" s="31" t="s">
        <v>300</v>
      </c>
      <c r="I420" s="31">
        <v>25</v>
      </c>
      <c r="J420" s="31" t="s">
        <v>1967</v>
      </c>
      <c r="K420" s="37"/>
      <c r="L420" s="31">
        <v>2</v>
      </c>
      <c r="M420" s="31">
        <v>28</v>
      </c>
      <c r="N420" s="31">
        <v>28</v>
      </c>
      <c r="O420" s="77" t="s">
        <v>540</v>
      </c>
      <c r="P420" s="34"/>
      <c r="Q420" s="31">
        <v>290</v>
      </c>
      <c r="R420" s="31"/>
      <c r="S420" s="31"/>
      <c r="T420" s="31"/>
      <c r="U420" s="31">
        <v>90</v>
      </c>
      <c r="V420" s="31"/>
      <c r="W420" s="37"/>
      <c r="X420" s="37"/>
      <c r="Y420" s="79">
        <v>9.6999999999999993</v>
      </c>
      <c r="Z420" s="31" t="s">
        <v>43</v>
      </c>
      <c r="AA420" s="37"/>
      <c r="AB420" s="37"/>
    </row>
    <row r="421" spans="1:28" ht="23.1" customHeight="1" x14ac:dyDescent="0.25">
      <c r="A421" s="53" t="s">
        <v>575</v>
      </c>
      <c r="B421" s="31" t="s">
        <v>99</v>
      </c>
      <c r="C421" s="31">
        <v>108</v>
      </c>
      <c r="D421" s="31" t="s">
        <v>173</v>
      </c>
      <c r="E421" s="25" t="s">
        <v>174</v>
      </c>
      <c r="F421" s="21" t="s">
        <v>1246</v>
      </c>
      <c r="G421" s="21" t="str">
        <f>VLOOKUP(D421,[6]成飞半成品!$A:$B,2,0)</f>
        <v>根肋后段</v>
      </c>
      <c r="H421" s="31" t="s">
        <v>154</v>
      </c>
      <c r="I421" s="31">
        <v>20</v>
      </c>
      <c r="J421" s="31" t="s">
        <v>1950</v>
      </c>
      <c r="K421" s="37"/>
      <c r="L421" s="31">
        <v>2</v>
      </c>
      <c r="M421" s="31">
        <v>28</v>
      </c>
      <c r="N421" s="31">
        <v>26</v>
      </c>
      <c r="O421" s="77" t="s">
        <v>586</v>
      </c>
      <c r="P421" s="34"/>
      <c r="Q421" s="31">
        <v>510</v>
      </c>
      <c r="R421" s="31">
        <v>90</v>
      </c>
      <c r="S421" s="31"/>
      <c r="T421" s="31">
        <v>2</v>
      </c>
      <c r="U421" s="31">
        <v>120</v>
      </c>
      <c r="V421" s="31"/>
      <c r="W421" s="37"/>
      <c r="X421" s="37"/>
      <c r="Y421" s="79">
        <v>20</v>
      </c>
      <c r="Z421" s="31" t="s">
        <v>45</v>
      </c>
      <c r="AA421" s="37" t="s">
        <v>147</v>
      </c>
      <c r="AB421" s="37"/>
    </row>
    <row r="422" spans="1:28" ht="23.1" customHeight="1" x14ac:dyDescent="0.25">
      <c r="A422" s="53" t="s">
        <v>575</v>
      </c>
      <c r="B422" s="31" t="s">
        <v>99</v>
      </c>
      <c r="C422" s="31">
        <v>79</v>
      </c>
      <c r="D422" s="31" t="s">
        <v>152</v>
      </c>
      <c r="E422" s="25" t="s">
        <v>153</v>
      </c>
      <c r="F422" s="21" t="s">
        <v>1247</v>
      </c>
      <c r="G422" s="21" t="str">
        <f>VLOOKUP(D422,[6]成飞半成品!$A:$B,2,0)</f>
        <v>根肋前段</v>
      </c>
      <c r="H422" s="31" t="s">
        <v>154</v>
      </c>
      <c r="I422" s="31">
        <v>20</v>
      </c>
      <c r="J422" s="37" t="s">
        <v>1948</v>
      </c>
      <c r="K422" s="31">
        <v>1</v>
      </c>
      <c r="L422" s="31">
        <v>2</v>
      </c>
      <c r="M422" s="31">
        <v>31</v>
      </c>
      <c r="N422" s="31">
        <v>26</v>
      </c>
      <c r="O422" s="77" t="s">
        <v>587</v>
      </c>
      <c r="P422" s="34"/>
      <c r="Q422" s="31">
        <v>660</v>
      </c>
      <c r="R422" s="31">
        <v>90</v>
      </c>
      <c r="S422" s="31"/>
      <c r="T422" s="31">
        <v>2</v>
      </c>
      <c r="U422" s="31">
        <v>120</v>
      </c>
      <c r="V422" s="31"/>
      <c r="W422" s="37"/>
      <c r="X422" s="37"/>
      <c r="Y422" s="79">
        <v>25</v>
      </c>
      <c r="Z422" s="31" t="s">
        <v>19</v>
      </c>
      <c r="AA422" s="37" t="s">
        <v>147</v>
      </c>
      <c r="AB422" s="37"/>
    </row>
    <row r="423" spans="1:28" ht="23.1" customHeight="1" x14ac:dyDescent="0.25">
      <c r="A423" s="53" t="s">
        <v>575</v>
      </c>
      <c r="B423" s="31" t="s">
        <v>99</v>
      </c>
      <c r="C423" s="31">
        <v>56</v>
      </c>
      <c r="D423" s="31" t="s">
        <v>273</v>
      </c>
      <c r="E423" s="25" t="s">
        <v>274</v>
      </c>
      <c r="F423" s="21" t="s">
        <v>274</v>
      </c>
      <c r="G423" s="21" t="str">
        <f>VLOOKUP(D423,[6]成飞半成品!$A:$B,2,0)</f>
        <v>前起落架水平接头</v>
      </c>
      <c r="H423" s="31" t="s">
        <v>123</v>
      </c>
      <c r="I423" s="31">
        <v>25</v>
      </c>
      <c r="J423" s="31" t="s">
        <v>1981</v>
      </c>
      <c r="K423" s="37"/>
      <c r="L423" s="31">
        <v>20</v>
      </c>
      <c r="M423" s="31">
        <v>3</v>
      </c>
      <c r="N423" s="31">
        <v>26</v>
      </c>
      <c r="O423" s="77" t="s">
        <v>307</v>
      </c>
      <c r="P423" s="34"/>
      <c r="Q423" s="31">
        <v>45</v>
      </c>
      <c r="R423" s="31"/>
      <c r="S423" s="31"/>
      <c r="T423" s="31"/>
      <c r="U423" s="31">
        <v>60</v>
      </c>
      <c r="V423" s="31"/>
      <c r="W423" s="37">
        <v>1</v>
      </c>
      <c r="X423" s="37">
        <v>2</v>
      </c>
      <c r="Y423" s="79">
        <v>18</v>
      </c>
      <c r="Z423" s="31" t="s">
        <v>44</v>
      </c>
      <c r="AA423" s="37" t="s">
        <v>588</v>
      </c>
      <c r="AB423" s="25" t="s">
        <v>238</v>
      </c>
    </row>
    <row r="424" spans="1:28" ht="23.1" customHeight="1" x14ac:dyDescent="0.25">
      <c r="A424" s="53" t="s">
        <v>575</v>
      </c>
      <c r="B424" s="31" t="s">
        <v>99</v>
      </c>
      <c r="C424" s="31">
        <v>55</v>
      </c>
      <c r="D424" s="31" t="s">
        <v>589</v>
      </c>
      <c r="E424" s="25" t="s">
        <v>590</v>
      </c>
      <c r="F424" s="21" t="s">
        <v>590</v>
      </c>
      <c r="G424" s="21" t="str">
        <f>VLOOKUP(D424,[6]成飞半成品!$A:$B,2,0)</f>
        <v>激励器转接件</v>
      </c>
      <c r="H424" s="31" t="s">
        <v>118</v>
      </c>
      <c r="I424" s="31">
        <v>58</v>
      </c>
      <c r="J424" s="31"/>
      <c r="K424" s="37"/>
      <c r="L424" s="31">
        <v>5</v>
      </c>
      <c r="M424" s="31">
        <v>28</v>
      </c>
      <c r="N424" s="31">
        <v>26</v>
      </c>
      <c r="O424" s="77" t="s">
        <v>567</v>
      </c>
      <c r="P424" s="34">
        <v>25</v>
      </c>
      <c r="Q424" s="31"/>
      <c r="R424" s="31"/>
      <c r="S424" s="31"/>
      <c r="T424" s="31"/>
      <c r="U424" s="31"/>
      <c r="V424" s="31">
        <v>90</v>
      </c>
      <c r="W424" s="37">
        <v>1</v>
      </c>
      <c r="X424" s="37">
        <v>4</v>
      </c>
      <c r="Y424" s="83">
        <v>7.6</v>
      </c>
      <c r="Z424" s="31" t="s">
        <v>44</v>
      </c>
      <c r="AA424" s="37" t="s">
        <v>591</v>
      </c>
      <c r="AB424" s="25" t="s">
        <v>238</v>
      </c>
    </row>
    <row r="425" spans="1:28" ht="23.1" customHeight="1" x14ac:dyDescent="0.25">
      <c r="A425" s="53" t="s">
        <v>575</v>
      </c>
      <c r="B425" s="31" t="s">
        <v>110</v>
      </c>
      <c r="C425" s="31">
        <v>14</v>
      </c>
      <c r="D425" s="31" t="s">
        <v>235</v>
      </c>
      <c r="E425" s="25" t="s">
        <v>236</v>
      </c>
      <c r="F425" s="21" t="s">
        <v>236</v>
      </c>
      <c r="G425" s="21" t="str">
        <f>VLOOKUP(D425,[6]成飞半成品!$A:$B,2,0)</f>
        <v>右外侧接头</v>
      </c>
      <c r="H425" s="31" t="s">
        <v>154</v>
      </c>
      <c r="I425" s="31">
        <v>65</v>
      </c>
      <c r="J425" s="31" t="s">
        <v>1982</v>
      </c>
      <c r="K425" s="37"/>
      <c r="L425" s="31">
        <v>1</v>
      </c>
      <c r="M425" s="37"/>
      <c r="N425" s="31">
        <v>28</v>
      </c>
      <c r="O425" s="77" t="s">
        <v>159</v>
      </c>
      <c r="P425" s="34"/>
      <c r="Q425" s="31">
        <v>600</v>
      </c>
      <c r="R425" s="31"/>
      <c r="S425" s="31"/>
      <c r="T425" s="31"/>
      <c r="U425" s="31">
        <v>120</v>
      </c>
      <c r="V425" s="31"/>
      <c r="W425" s="37"/>
      <c r="X425" s="37"/>
      <c r="Y425" s="79">
        <v>10</v>
      </c>
      <c r="Z425" s="31" t="s">
        <v>31</v>
      </c>
      <c r="AA425" s="37"/>
      <c r="AB425" s="37"/>
    </row>
    <row r="426" spans="1:28" ht="23.1" customHeight="1" x14ac:dyDescent="0.25">
      <c r="A426" s="53" t="s">
        <v>575</v>
      </c>
      <c r="B426" s="31" t="s">
        <v>110</v>
      </c>
      <c r="C426" s="31">
        <v>14</v>
      </c>
      <c r="D426" s="31" t="s">
        <v>276</v>
      </c>
      <c r="E426" s="25" t="s">
        <v>277</v>
      </c>
      <c r="F426" s="21" t="s">
        <v>277</v>
      </c>
      <c r="G426" s="21" t="str">
        <f>VLOOKUP(D426,[6]成飞半成品!$A:$B,2,0)</f>
        <v>左外侧接头</v>
      </c>
      <c r="H426" s="31" t="s">
        <v>154</v>
      </c>
      <c r="I426" s="31">
        <v>65</v>
      </c>
      <c r="J426" s="31" t="s">
        <v>1982</v>
      </c>
      <c r="K426" s="37"/>
      <c r="L426" s="31">
        <v>0.6</v>
      </c>
      <c r="M426" s="31">
        <v>37</v>
      </c>
      <c r="N426" s="31">
        <v>37</v>
      </c>
      <c r="O426" s="77" t="s">
        <v>234</v>
      </c>
      <c r="P426" s="34"/>
      <c r="Q426" s="31">
        <v>600</v>
      </c>
      <c r="R426" s="31"/>
      <c r="S426" s="31"/>
      <c r="T426" s="31"/>
      <c r="U426" s="31">
        <v>120</v>
      </c>
      <c r="V426" s="31"/>
      <c r="W426" s="37"/>
      <c r="X426" s="37"/>
      <c r="Y426" s="79">
        <v>6</v>
      </c>
      <c r="Z426" s="31" t="s">
        <v>31</v>
      </c>
      <c r="AA426" s="37"/>
      <c r="AB426" s="37"/>
    </row>
    <row r="427" spans="1:28" ht="23.1" customHeight="1" x14ac:dyDescent="0.25">
      <c r="A427" s="53" t="s">
        <v>575</v>
      </c>
      <c r="B427" s="31" t="s">
        <v>110</v>
      </c>
      <c r="C427" s="31">
        <v>15</v>
      </c>
      <c r="D427" s="31" t="s">
        <v>592</v>
      </c>
      <c r="E427" s="25" t="s">
        <v>218</v>
      </c>
      <c r="F427" s="21" t="s">
        <v>218</v>
      </c>
      <c r="G427" s="21" t="str">
        <f>VLOOKUP(D427,[6]成飞半成品!$A:$B,2,0)</f>
        <v>横梁</v>
      </c>
      <c r="H427" s="31" t="s">
        <v>107</v>
      </c>
      <c r="I427" s="31">
        <v>15</v>
      </c>
      <c r="J427" s="31" t="s">
        <v>1895</v>
      </c>
      <c r="K427" s="37"/>
      <c r="L427" s="31">
        <v>6</v>
      </c>
      <c r="M427" s="31">
        <v>37</v>
      </c>
      <c r="N427" s="31">
        <v>28</v>
      </c>
      <c r="O427" s="77" t="s">
        <v>456</v>
      </c>
      <c r="P427" s="34"/>
      <c r="Q427" s="31">
        <v>90</v>
      </c>
      <c r="R427" s="31"/>
      <c r="S427" s="31"/>
      <c r="T427" s="31"/>
      <c r="U427" s="31">
        <v>90</v>
      </c>
      <c r="V427" s="31"/>
      <c r="W427" s="37"/>
      <c r="X427" s="37"/>
      <c r="Y427" s="79">
        <v>9</v>
      </c>
      <c r="Z427" s="31" t="s">
        <v>31</v>
      </c>
      <c r="AA427" s="37"/>
      <c r="AB427" s="37"/>
    </row>
    <row r="428" spans="1:28" ht="23.1" customHeight="1" x14ac:dyDescent="0.25">
      <c r="A428" s="53" t="s">
        <v>575</v>
      </c>
      <c r="B428" s="31" t="s">
        <v>110</v>
      </c>
      <c r="C428" s="31">
        <v>15</v>
      </c>
      <c r="D428" s="31" t="s">
        <v>592</v>
      </c>
      <c r="E428" s="25" t="s">
        <v>218</v>
      </c>
      <c r="F428" s="21" t="s">
        <v>218</v>
      </c>
      <c r="G428" s="21" t="str">
        <f>VLOOKUP(D428,[6]成飞半成品!$A:$B,2,0)</f>
        <v>横梁</v>
      </c>
      <c r="H428" s="31" t="s">
        <v>118</v>
      </c>
      <c r="I428" s="31">
        <v>15</v>
      </c>
      <c r="J428" s="31" t="s">
        <v>1895</v>
      </c>
      <c r="K428" s="37"/>
      <c r="L428" s="31">
        <v>1</v>
      </c>
      <c r="M428" s="37"/>
      <c r="N428" s="31">
        <v>26</v>
      </c>
      <c r="O428" s="77" t="s">
        <v>247</v>
      </c>
      <c r="P428" s="34"/>
      <c r="Q428" s="31">
        <v>90</v>
      </c>
      <c r="R428" s="31"/>
      <c r="S428" s="31"/>
      <c r="T428" s="31"/>
      <c r="U428" s="31">
        <v>90</v>
      </c>
      <c r="V428" s="31"/>
      <c r="W428" s="37"/>
      <c r="X428" s="37"/>
      <c r="Y428" s="79">
        <v>1.5</v>
      </c>
      <c r="Z428" s="31" t="s">
        <v>31</v>
      </c>
      <c r="AA428" s="37"/>
      <c r="AB428" s="37"/>
    </row>
    <row r="429" spans="1:28" ht="23.1" customHeight="1" x14ac:dyDescent="0.25">
      <c r="A429" s="53" t="s">
        <v>575</v>
      </c>
      <c r="B429" s="31" t="s">
        <v>110</v>
      </c>
      <c r="C429" s="31">
        <v>76</v>
      </c>
      <c r="D429" s="31" t="s">
        <v>541</v>
      </c>
      <c r="E429" s="25" t="s">
        <v>542</v>
      </c>
      <c r="F429" s="21" t="s">
        <v>542</v>
      </c>
      <c r="G429" s="21" t="str">
        <f>VLOOKUP(D429,[6]成飞半成品!$A:$B,2,0)</f>
        <v>3#下垫片</v>
      </c>
      <c r="H429" s="31" t="s">
        <v>154</v>
      </c>
      <c r="I429" s="31">
        <v>15</v>
      </c>
      <c r="J429" s="31" t="s">
        <v>1926</v>
      </c>
      <c r="K429" s="37"/>
      <c r="L429" s="31">
        <v>6</v>
      </c>
      <c r="M429" s="31">
        <v>31</v>
      </c>
      <c r="N429" s="31">
        <v>37</v>
      </c>
      <c r="O429" s="77" t="s">
        <v>251</v>
      </c>
      <c r="P429" s="31"/>
      <c r="Q429" s="31">
        <v>90</v>
      </c>
      <c r="R429" s="31"/>
      <c r="S429" s="31"/>
      <c r="T429" s="31"/>
      <c r="U429" s="31">
        <v>90</v>
      </c>
      <c r="V429" s="31"/>
      <c r="W429" s="37">
        <v>1</v>
      </c>
      <c r="X429" s="37"/>
      <c r="Y429" s="79">
        <v>10.5</v>
      </c>
      <c r="Z429" s="31" t="s">
        <v>46</v>
      </c>
      <c r="AA429" s="37" t="s">
        <v>331</v>
      </c>
      <c r="AB429" s="37"/>
    </row>
    <row r="430" spans="1:28" ht="23.1" customHeight="1" x14ac:dyDescent="0.25">
      <c r="A430" s="53" t="s">
        <v>575</v>
      </c>
      <c r="B430" s="31" t="s">
        <v>110</v>
      </c>
      <c r="C430" s="31">
        <v>57</v>
      </c>
      <c r="D430" s="31" t="s">
        <v>459</v>
      </c>
      <c r="E430" s="25" t="s">
        <v>460</v>
      </c>
      <c r="F430" s="21" t="e">
        <v>#N/A</v>
      </c>
      <c r="G430" s="21" t="e">
        <f>VLOOKUP(D430,[6]成飞半成品!$A:$B,2,0)</f>
        <v>#N/A</v>
      </c>
      <c r="H430" s="31" t="s">
        <v>123</v>
      </c>
      <c r="I430" s="31">
        <v>20</v>
      </c>
      <c r="J430" s="31" t="s">
        <v>1960</v>
      </c>
      <c r="K430" s="37"/>
      <c r="L430" s="31">
        <v>2</v>
      </c>
      <c r="M430" s="31">
        <v>31</v>
      </c>
      <c r="N430" s="31">
        <v>28</v>
      </c>
      <c r="O430" s="77" t="s">
        <v>593</v>
      </c>
      <c r="P430" s="34"/>
      <c r="Q430" s="31">
        <v>120</v>
      </c>
      <c r="R430" s="31"/>
      <c r="S430" s="31"/>
      <c r="T430" s="31"/>
      <c r="U430" s="31">
        <v>60</v>
      </c>
      <c r="V430" s="31"/>
      <c r="W430" s="37"/>
      <c r="X430" s="37"/>
      <c r="Y430" s="79">
        <v>4</v>
      </c>
      <c r="Z430" s="31" t="s">
        <v>0</v>
      </c>
      <c r="AA430" s="37"/>
      <c r="AB430" s="37"/>
    </row>
    <row r="431" spans="1:28" ht="23.1" customHeight="1" x14ac:dyDescent="0.25">
      <c r="A431" s="53" t="s">
        <v>575</v>
      </c>
      <c r="B431" s="31" t="s">
        <v>110</v>
      </c>
      <c r="C431" s="31">
        <v>57</v>
      </c>
      <c r="D431" s="31" t="s">
        <v>594</v>
      </c>
      <c r="E431" s="25" t="s">
        <v>595</v>
      </c>
      <c r="F431" s="21" t="s">
        <v>595</v>
      </c>
      <c r="G431" s="21" t="str">
        <f>VLOOKUP(D431,[6]成飞半成品!$A:$B,2,0)</f>
        <v>加强件</v>
      </c>
      <c r="H431" s="31" t="s">
        <v>102</v>
      </c>
      <c r="I431" s="31">
        <v>5</v>
      </c>
      <c r="J431" s="31" t="s">
        <v>1957</v>
      </c>
      <c r="K431" s="37"/>
      <c r="L431" s="31">
        <v>8</v>
      </c>
      <c r="M431" s="31">
        <v>28</v>
      </c>
      <c r="N431" s="31">
        <v>28</v>
      </c>
      <c r="O431" s="77" t="s">
        <v>596</v>
      </c>
      <c r="P431" s="34"/>
      <c r="Q431" s="31">
        <v>40</v>
      </c>
      <c r="R431" s="31"/>
      <c r="S431" s="31"/>
      <c r="T431" s="31"/>
      <c r="U431" s="31">
        <v>60</v>
      </c>
      <c r="V431" s="31"/>
      <c r="W431" s="37">
        <v>1</v>
      </c>
      <c r="X431" s="37"/>
      <c r="Y431" s="79">
        <v>6.3</v>
      </c>
      <c r="Z431" s="31" t="s">
        <v>0</v>
      </c>
      <c r="AA431" s="37" t="s">
        <v>584</v>
      </c>
      <c r="AB431" s="37"/>
    </row>
    <row r="432" spans="1:28" ht="23.1" customHeight="1" x14ac:dyDescent="0.25">
      <c r="A432" s="53" t="s">
        <v>575</v>
      </c>
      <c r="B432" s="31" t="s">
        <v>110</v>
      </c>
      <c r="C432" s="31">
        <v>58</v>
      </c>
      <c r="D432" s="31" t="s">
        <v>423</v>
      </c>
      <c r="E432" s="25" t="s">
        <v>424</v>
      </c>
      <c r="F432" s="21" t="s">
        <v>424</v>
      </c>
      <c r="G432" s="21" t="str">
        <f>VLOOKUP(D432,[6]成飞半成品!$A:$B,2,0)</f>
        <v>后梁四段</v>
      </c>
      <c r="H432" s="31" t="s">
        <v>107</v>
      </c>
      <c r="I432" s="31">
        <v>20</v>
      </c>
      <c r="J432" s="31" t="s">
        <v>1974</v>
      </c>
      <c r="K432" s="37"/>
      <c r="L432" s="31">
        <v>1</v>
      </c>
      <c r="M432" s="31">
        <v>28</v>
      </c>
      <c r="N432" s="37"/>
      <c r="O432" s="77" t="s">
        <v>597</v>
      </c>
      <c r="P432" s="34"/>
      <c r="Q432" s="31">
        <v>90</v>
      </c>
      <c r="R432" s="31"/>
      <c r="S432" s="31"/>
      <c r="T432" s="31"/>
      <c r="U432" s="31">
        <v>100</v>
      </c>
      <c r="V432" s="31"/>
      <c r="W432" s="37"/>
      <c r="X432" s="37"/>
      <c r="Y432" s="79">
        <v>1.5</v>
      </c>
      <c r="Z432" s="31" t="s">
        <v>0</v>
      </c>
      <c r="AA432" s="37"/>
      <c r="AB432" s="37"/>
    </row>
    <row r="433" spans="1:28" ht="23.1" customHeight="1" x14ac:dyDescent="0.25">
      <c r="A433" s="53" t="s">
        <v>575</v>
      </c>
      <c r="B433" s="31" t="s">
        <v>110</v>
      </c>
      <c r="C433" s="31">
        <v>58</v>
      </c>
      <c r="D433" s="31" t="s">
        <v>423</v>
      </c>
      <c r="E433" s="25" t="s">
        <v>424</v>
      </c>
      <c r="F433" s="21" t="s">
        <v>424</v>
      </c>
      <c r="G433" s="21" t="str">
        <f>VLOOKUP(D433,[6]成飞半成品!$A:$B,2,0)</f>
        <v>后梁四段</v>
      </c>
      <c r="H433" s="31" t="s">
        <v>107</v>
      </c>
      <c r="I433" s="31">
        <v>25</v>
      </c>
      <c r="J433" s="31" t="s">
        <v>1983</v>
      </c>
      <c r="K433" s="37"/>
      <c r="L433" s="31">
        <v>5</v>
      </c>
      <c r="M433" s="31">
        <v>28</v>
      </c>
      <c r="N433" s="31">
        <v>28</v>
      </c>
      <c r="O433" s="77" t="s">
        <v>508</v>
      </c>
      <c r="P433" s="34"/>
      <c r="Q433" s="31">
        <v>85</v>
      </c>
      <c r="R433" s="31"/>
      <c r="S433" s="31"/>
      <c r="T433" s="31"/>
      <c r="U433" s="31">
        <v>120</v>
      </c>
      <c r="V433" s="31"/>
      <c r="W433" s="37">
        <v>1</v>
      </c>
      <c r="X433" s="37"/>
      <c r="Y433" s="79">
        <v>9.1</v>
      </c>
      <c r="Z433" s="31" t="s">
        <v>0</v>
      </c>
      <c r="AA433" s="37" t="s">
        <v>210</v>
      </c>
      <c r="AB433" s="37"/>
    </row>
    <row r="434" spans="1:28" ht="23.1" customHeight="1" x14ac:dyDescent="0.25">
      <c r="A434" s="53" t="s">
        <v>575</v>
      </c>
      <c r="B434" s="31" t="s">
        <v>110</v>
      </c>
      <c r="C434" s="31">
        <v>9</v>
      </c>
      <c r="D434" s="85" t="s">
        <v>2551</v>
      </c>
      <c r="E434" s="25" t="s">
        <v>599</v>
      </c>
      <c r="F434" s="21" t="e">
        <v>#N/A</v>
      </c>
      <c r="G434" s="21" t="str">
        <f>VLOOKUP(D434,[6]成飞半成品!$A:$B,2,0)</f>
        <v>工装</v>
      </c>
      <c r="H434" s="31" t="s">
        <v>102</v>
      </c>
      <c r="I434" s="31">
        <v>15</v>
      </c>
      <c r="J434" s="31"/>
      <c r="K434" s="37"/>
      <c r="L434" s="31">
        <v>4</v>
      </c>
      <c r="M434" s="31">
        <v>28</v>
      </c>
      <c r="N434" s="31">
        <v>28</v>
      </c>
      <c r="O434" s="77" t="s">
        <v>108</v>
      </c>
      <c r="P434" s="31"/>
      <c r="Q434" s="31"/>
      <c r="R434" s="31"/>
      <c r="S434" s="31"/>
      <c r="T434" s="31"/>
      <c r="U434" s="31"/>
      <c r="V434" s="31"/>
      <c r="W434" s="37">
        <v>1</v>
      </c>
      <c r="X434" s="37">
        <v>15</v>
      </c>
      <c r="Y434" s="79">
        <v>15</v>
      </c>
      <c r="Z434" s="31" t="s">
        <v>55</v>
      </c>
      <c r="AA434" s="37" t="s">
        <v>547</v>
      </c>
      <c r="AB434" s="37" t="s">
        <v>193</v>
      </c>
    </row>
    <row r="435" spans="1:28" ht="23.1" customHeight="1" x14ac:dyDescent="0.25">
      <c r="A435" s="53" t="s">
        <v>575</v>
      </c>
      <c r="B435" s="31" t="s">
        <v>110</v>
      </c>
      <c r="C435" s="31">
        <v>10</v>
      </c>
      <c r="D435" s="31" t="s">
        <v>500</v>
      </c>
      <c r="E435" s="25" t="s">
        <v>389</v>
      </c>
      <c r="F435" s="21" t="s">
        <v>389</v>
      </c>
      <c r="G435" s="21" t="str">
        <f>VLOOKUP(D435,[6]成飞半成品!$A:$B,2,0)</f>
        <v>11968下口盖</v>
      </c>
      <c r="H435" s="31" t="s">
        <v>300</v>
      </c>
      <c r="I435" s="31">
        <v>10</v>
      </c>
      <c r="J435" s="37" t="s">
        <v>1941</v>
      </c>
      <c r="K435" s="31">
        <v>12</v>
      </c>
      <c r="L435" s="31">
        <v>12</v>
      </c>
      <c r="M435" s="31">
        <v>28</v>
      </c>
      <c r="N435" s="31">
        <v>28</v>
      </c>
      <c r="O435" s="77" t="s">
        <v>390</v>
      </c>
      <c r="P435" s="31"/>
      <c r="Q435" s="31">
        <v>60</v>
      </c>
      <c r="R435" s="31"/>
      <c r="S435" s="31"/>
      <c r="T435" s="31"/>
      <c r="U435" s="31">
        <v>120</v>
      </c>
      <c r="V435" s="31"/>
      <c r="W435" s="37"/>
      <c r="X435" s="37"/>
      <c r="Y435" s="79">
        <v>12</v>
      </c>
      <c r="Z435" s="31" t="s">
        <v>55</v>
      </c>
      <c r="AA435" s="37"/>
      <c r="AB435" s="37"/>
    </row>
    <row r="436" spans="1:28" ht="23.1" customHeight="1" x14ac:dyDescent="0.25">
      <c r="A436" s="53" t="s">
        <v>575</v>
      </c>
      <c r="B436" s="31" t="s">
        <v>110</v>
      </c>
      <c r="C436" s="31">
        <v>10</v>
      </c>
      <c r="D436" s="31" t="s">
        <v>513</v>
      </c>
      <c r="E436" s="25" t="s">
        <v>389</v>
      </c>
      <c r="F436" s="21" t="s">
        <v>389</v>
      </c>
      <c r="G436" s="21" t="str">
        <f>VLOOKUP(D436,[6]成飞半成品!$A:$B,2,0)</f>
        <v>11968下口盖</v>
      </c>
      <c r="H436" s="31" t="s">
        <v>118</v>
      </c>
      <c r="I436" s="31">
        <v>10</v>
      </c>
      <c r="J436" s="37" t="s">
        <v>1916</v>
      </c>
      <c r="K436" s="31">
        <v>2</v>
      </c>
      <c r="L436" s="31">
        <v>2</v>
      </c>
      <c r="M436" s="31">
        <v>28</v>
      </c>
      <c r="N436" s="31">
        <v>28</v>
      </c>
      <c r="O436" s="77" t="s">
        <v>282</v>
      </c>
      <c r="P436" s="31"/>
      <c r="Q436" s="31">
        <v>60</v>
      </c>
      <c r="R436" s="31"/>
      <c r="S436" s="31"/>
      <c r="T436" s="31"/>
      <c r="U436" s="31">
        <v>120</v>
      </c>
      <c r="V436" s="31"/>
      <c r="W436" s="37">
        <v>1</v>
      </c>
      <c r="X436" s="37"/>
      <c r="Y436" s="79">
        <v>4</v>
      </c>
      <c r="Z436" s="31" t="s">
        <v>55</v>
      </c>
      <c r="AA436" s="31" t="s">
        <v>547</v>
      </c>
      <c r="AB436" s="37"/>
    </row>
    <row r="437" spans="1:28" ht="23.1" customHeight="1" x14ac:dyDescent="0.25">
      <c r="A437" s="53" t="s">
        <v>575</v>
      </c>
      <c r="B437" s="31" t="s">
        <v>110</v>
      </c>
      <c r="C437" s="31">
        <v>15</v>
      </c>
      <c r="D437" s="31" t="s">
        <v>592</v>
      </c>
      <c r="E437" s="25" t="s">
        <v>218</v>
      </c>
      <c r="F437" s="21" t="s">
        <v>218</v>
      </c>
      <c r="G437" s="21" t="str">
        <f>VLOOKUP(D437,[6]成飞半成品!$A:$B,2,0)</f>
        <v>横梁</v>
      </c>
      <c r="H437" s="31" t="s">
        <v>107</v>
      </c>
      <c r="I437" s="31">
        <v>10</v>
      </c>
      <c r="J437" s="31" t="s">
        <v>1916</v>
      </c>
      <c r="K437" s="37"/>
      <c r="L437" s="31">
        <v>9</v>
      </c>
      <c r="M437" s="31">
        <v>28</v>
      </c>
      <c r="N437" s="31">
        <v>28</v>
      </c>
      <c r="O437" s="77" t="s">
        <v>456</v>
      </c>
      <c r="P437" s="34"/>
      <c r="Q437" s="31">
        <v>60</v>
      </c>
      <c r="R437" s="31"/>
      <c r="S437" s="31"/>
      <c r="T437" s="31"/>
      <c r="U437" s="31">
        <v>60</v>
      </c>
      <c r="V437" s="31"/>
      <c r="W437" s="37"/>
      <c r="X437" s="37"/>
      <c r="Y437" s="79">
        <v>9</v>
      </c>
      <c r="Z437" s="31" t="s">
        <v>31</v>
      </c>
      <c r="AA437" s="37"/>
      <c r="AB437" s="37"/>
    </row>
    <row r="438" spans="1:28" ht="23.1" customHeight="1" x14ac:dyDescent="0.25">
      <c r="A438" s="53" t="s">
        <v>575</v>
      </c>
      <c r="B438" s="31" t="s">
        <v>110</v>
      </c>
      <c r="C438" s="31">
        <v>15</v>
      </c>
      <c r="D438" s="31" t="s">
        <v>592</v>
      </c>
      <c r="E438" s="25" t="s">
        <v>218</v>
      </c>
      <c r="F438" s="21" t="s">
        <v>218</v>
      </c>
      <c r="G438" s="21" t="str">
        <f>VLOOKUP(D438,[6]成飞半成品!$A:$B,2,0)</f>
        <v>横梁</v>
      </c>
      <c r="H438" s="31" t="s">
        <v>118</v>
      </c>
      <c r="I438" s="31">
        <v>10</v>
      </c>
      <c r="J438" s="31" t="s">
        <v>1916</v>
      </c>
      <c r="K438" s="37"/>
      <c r="L438" s="31">
        <v>1</v>
      </c>
      <c r="M438" s="37"/>
      <c r="N438" s="31">
        <v>28</v>
      </c>
      <c r="O438" s="77" t="s">
        <v>247</v>
      </c>
      <c r="P438" s="34"/>
      <c r="Q438" s="31">
        <v>60</v>
      </c>
      <c r="R438" s="31"/>
      <c r="S438" s="31"/>
      <c r="T438" s="31"/>
      <c r="U438" s="31">
        <v>60</v>
      </c>
      <c r="V438" s="31"/>
      <c r="W438" s="37"/>
      <c r="X438" s="37"/>
      <c r="Y438" s="79">
        <v>1</v>
      </c>
      <c r="Z438" s="31" t="s">
        <v>31</v>
      </c>
      <c r="AA438" s="37"/>
      <c r="AB438" s="37"/>
    </row>
    <row r="439" spans="1:28" ht="23.1" customHeight="1" x14ac:dyDescent="0.25">
      <c r="A439" s="53" t="s">
        <v>575</v>
      </c>
      <c r="B439" s="31" t="s">
        <v>110</v>
      </c>
      <c r="C439" s="31">
        <v>24</v>
      </c>
      <c r="D439" s="31" t="s">
        <v>294</v>
      </c>
      <c r="E439" s="25" t="s">
        <v>259</v>
      </c>
      <c r="F439" s="21" t="s">
        <v>979</v>
      </c>
      <c r="G439" s="21" t="str">
        <f>VLOOKUP(D439,[6]成飞半成品!$A:$B,2,0)</f>
        <v>梁（左件）</v>
      </c>
      <c r="H439" s="31" t="s">
        <v>118</v>
      </c>
      <c r="I439" s="31">
        <v>50</v>
      </c>
      <c r="J439" s="37" t="s">
        <v>1965</v>
      </c>
      <c r="K439" s="31">
        <v>0.5</v>
      </c>
      <c r="L439" s="31">
        <v>0.5</v>
      </c>
      <c r="M439" s="37"/>
      <c r="N439" s="31">
        <v>26</v>
      </c>
      <c r="O439" s="77" t="s">
        <v>487</v>
      </c>
      <c r="P439" s="34"/>
      <c r="Q439" s="31">
        <v>1960</v>
      </c>
      <c r="R439" s="31">
        <v>120</v>
      </c>
      <c r="S439" s="31"/>
      <c r="T439" s="31"/>
      <c r="U439" s="31">
        <v>180</v>
      </c>
      <c r="V439" s="31"/>
      <c r="W439" s="37"/>
      <c r="X439" s="37"/>
      <c r="Y439" s="79">
        <v>16.3</v>
      </c>
      <c r="Z439" s="31" t="s">
        <v>3</v>
      </c>
      <c r="AA439" s="37"/>
      <c r="AB439" s="37"/>
    </row>
    <row r="440" spans="1:28" ht="23.1" customHeight="1" x14ac:dyDescent="0.25">
      <c r="A440" s="53" t="s">
        <v>575</v>
      </c>
      <c r="B440" s="31" t="s">
        <v>110</v>
      </c>
      <c r="C440" s="31">
        <v>69</v>
      </c>
      <c r="D440" s="31" t="s">
        <v>495</v>
      </c>
      <c r="E440" s="25" t="s">
        <v>267</v>
      </c>
      <c r="F440" s="21" t="s">
        <v>267</v>
      </c>
      <c r="G440" s="21" t="str">
        <f>VLOOKUP(D440,[6]成飞半成品!$A:$B,2,0)</f>
        <v>后端框</v>
      </c>
      <c r="H440" s="31" t="s">
        <v>118</v>
      </c>
      <c r="I440" s="31">
        <v>52</v>
      </c>
      <c r="J440" s="37"/>
      <c r="K440" s="31">
        <v>1</v>
      </c>
      <c r="L440" s="31">
        <v>1</v>
      </c>
      <c r="M440" s="37"/>
      <c r="N440" s="31">
        <v>37</v>
      </c>
      <c r="O440" s="77" t="s">
        <v>429</v>
      </c>
      <c r="P440" s="34">
        <v>180</v>
      </c>
      <c r="Q440" s="31"/>
      <c r="R440" s="31"/>
      <c r="S440" s="31">
        <v>90</v>
      </c>
      <c r="T440" s="31">
        <v>1</v>
      </c>
      <c r="U440" s="31"/>
      <c r="V440" s="31">
        <v>180</v>
      </c>
      <c r="W440" s="37">
        <v>1</v>
      </c>
      <c r="X440" s="37">
        <v>5</v>
      </c>
      <c r="Y440" s="83">
        <v>12.5</v>
      </c>
      <c r="Z440" s="31" t="s">
        <v>3</v>
      </c>
      <c r="AA440" s="37" t="s">
        <v>600</v>
      </c>
      <c r="AB440" s="37"/>
    </row>
    <row r="441" spans="1:28" ht="23.1" customHeight="1" x14ac:dyDescent="0.25">
      <c r="A441" s="53" t="s">
        <v>575</v>
      </c>
      <c r="B441" s="31" t="s">
        <v>110</v>
      </c>
      <c r="C441" s="31">
        <v>91</v>
      </c>
      <c r="D441" s="31" t="s">
        <v>484</v>
      </c>
      <c r="E441" s="25" t="s">
        <v>485</v>
      </c>
      <c r="F441" s="21" t="s">
        <v>485</v>
      </c>
      <c r="G441" s="21" t="str">
        <f>VLOOKUP(D441,[6]成飞半成品!$A:$B,2,0)</f>
        <v>8635左隔框</v>
      </c>
      <c r="H441" s="31" t="s">
        <v>300</v>
      </c>
      <c r="I441" s="31">
        <v>32</v>
      </c>
      <c r="J441" s="37"/>
      <c r="K441" s="31">
        <v>1</v>
      </c>
      <c r="L441" s="31">
        <v>1</v>
      </c>
      <c r="M441" s="37"/>
      <c r="N441" s="31">
        <v>28</v>
      </c>
      <c r="O441" s="77" t="s">
        <v>222</v>
      </c>
      <c r="P441" s="25">
        <v>150</v>
      </c>
      <c r="Q441" s="31"/>
      <c r="R441" s="31"/>
      <c r="S441" s="25">
        <v>120</v>
      </c>
      <c r="T441" s="31">
        <v>1</v>
      </c>
      <c r="U441" s="31"/>
      <c r="V441" s="31"/>
      <c r="W441" s="37"/>
      <c r="X441" s="37"/>
      <c r="Y441" s="83">
        <v>4.5</v>
      </c>
      <c r="Z441" s="31" t="s">
        <v>3</v>
      </c>
      <c r="AA441" s="37"/>
      <c r="AB441" s="37"/>
    </row>
    <row r="442" spans="1:28" ht="23.1" customHeight="1" x14ac:dyDescent="0.25">
      <c r="A442" s="53" t="s">
        <v>575</v>
      </c>
      <c r="B442" s="31" t="s">
        <v>110</v>
      </c>
      <c r="C442" s="31">
        <v>91</v>
      </c>
      <c r="D442" s="31" t="s">
        <v>484</v>
      </c>
      <c r="E442" s="25" t="s">
        <v>485</v>
      </c>
      <c r="F442" s="21" t="s">
        <v>485</v>
      </c>
      <c r="G442" s="21" t="str">
        <f>VLOOKUP(D442,[6]成飞半成品!$A:$B,2,0)</f>
        <v>8635左隔框</v>
      </c>
      <c r="H442" s="31" t="s">
        <v>300</v>
      </c>
      <c r="I442" s="31">
        <v>30</v>
      </c>
      <c r="J442" s="31" t="s">
        <v>1921</v>
      </c>
      <c r="K442" s="37"/>
      <c r="L442" s="31">
        <v>0.1</v>
      </c>
      <c r="M442" s="31">
        <v>28</v>
      </c>
      <c r="N442" s="37"/>
      <c r="O442" s="77" t="s">
        <v>222</v>
      </c>
      <c r="P442" s="34"/>
      <c r="Q442" s="31">
        <v>960</v>
      </c>
      <c r="R442" s="31">
        <v>120</v>
      </c>
      <c r="S442" s="31"/>
      <c r="T442" s="31"/>
      <c r="U442" s="31">
        <v>180</v>
      </c>
      <c r="V442" s="31"/>
      <c r="W442" s="37"/>
      <c r="X442" s="37"/>
      <c r="Y442" s="79">
        <v>1.6</v>
      </c>
      <c r="Z442" s="31" t="s">
        <v>3</v>
      </c>
      <c r="AA442" s="37"/>
      <c r="AB442" s="37"/>
    </row>
    <row r="443" spans="1:28" ht="23.1" customHeight="1" x14ac:dyDescent="0.25">
      <c r="A443" s="53" t="s">
        <v>575</v>
      </c>
      <c r="B443" s="31" t="s">
        <v>110</v>
      </c>
      <c r="C443" s="31">
        <v>84</v>
      </c>
      <c r="D443" s="31" t="s">
        <v>517</v>
      </c>
      <c r="E443" s="25" t="s">
        <v>518</v>
      </c>
      <c r="F443" s="21" t="s">
        <v>518</v>
      </c>
      <c r="G443" s="21" t="str">
        <f>VLOOKUP(D443,[6]成飞半成品!$A:$B,2,0)</f>
        <v>带板</v>
      </c>
      <c r="H443" s="31" t="s">
        <v>300</v>
      </c>
      <c r="I443" s="31">
        <v>25</v>
      </c>
      <c r="J443" s="37" t="s">
        <v>1984</v>
      </c>
      <c r="K443" s="31">
        <v>10</v>
      </c>
      <c r="L443" s="31">
        <v>14</v>
      </c>
      <c r="M443" s="31">
        <v>28</v>
      </c>
      <c r="N443" s="37"/>
      <c r="O443" s="77" t="s">
        <v>601</v>
      </c>
      <c r="P443" s="34"/>
      <c r="Q443" s="31">
        <v>40</v>
      </c>
      <c r="R443" s="31">
        <v>30</v>
      </c>
      <c r="S443" s="31"/>
      <c r="T443" s="31"/>
      <c r="U443" s="31">
        <v>90</v>
      </c>
      <c r="V443" s="31"/>
      <c r="W443" s="37"/>
      <c r="X443" s="37"/>
      <c r="Y443" s="79">
        <v>9.3000000000000007</v>
      </c>
      <c r="Z443" s="31" t="s">
        <v>3</v>
      </c>
      <c r="AA443" s="37"/>
      <c r="AB443" s="37"/>
    </row>
    <row r="444" spans="1:28" ht="23.1" customHeight="1" x14ac:dyDescent="0.25">
      <c r="A444" s="53" t="s">
        <v>575</v>
      </c>
      <c r="B444" s="31" t="s">
        <v>110</v>
      </c>
      <c r="C444" s="31">
        <v>91</v>
      </c>
      <c r="D444" s="31" t="s">
        <v>484</v>
      </c>
      <c r="E444" s="25" t="s">
        <v>485</v>
      </c>
      <c r="F444" s="21" t="s">
        <v>485</v>
      </c>
      <c r="G444" s="21" t="str">
        <f>VLOOKUP(D444,[6]成飞半成品!$A:$B,2,0)</f>
        <v>8635左隔框</v>
      </c>
      <c r="H444" s="31" t="s">
        <v>300</v>
      </c>
      <c r="I444" s="31">
        <v>30</v>
      </c>
      <c r="J444" s="31" t="s">
        <v>1921</v>
      </c>
      <c r="K444" s="37"/>
      <c r="L444" s="31">
        <v>0.4</v>
      </c>
      <c r="M444" s="37"/>
      <c r="N444" s="31">
        <v>5</v>
      </c>
      <c r="O444" s="77" t="s">
        <v>216</v>
      </c>
      <c r="P444" s="34"/>
      <c r="Q444" s="31">
        <v>960</v>
      </c>
      <c r="R444" s="31">
        <v>120</v>
      </c>
      <c r="S444" s="31"/>
      <c r="T444" s="31">
        <v>1</v>
      </c>
      <c r="U444" s="31">
        <v>180</v>
      </c>
      <c r="V444" s="31"/>
      <c r="W444" s="37"/>
      <c r="X444" s="37"/>
      <c r="Y444" s="79">
        <v>8.4</v>
      </c>
      <c r="Z444" s="31" t="s">
        <v>3</v>
      </c>
      <c r="AA444" s="37" t="s">
        <v>145</v>
      </c>
      <c r="AB444" s="37"/>
    </row>
    <row r="445" spans="1:28" ht="23.1" customHeight="1" x14ac:dyDescent="0.25">
      <c r="A445" s="53" t="s">
        <v>575</v>
      </c>
      <c r="B445" s="31" t="s">
        <v>110</v>
      </c>
      <c r="C445" s="31">
        <v>23</v>
      </c>
      <c r="D445" s="31" t="s">
        <v>254</v>
      </c>
      <c r="E445" s="25" t="s">
        <v>255</v>
      </c>
      <c r="F445" s="21" t="s">
        <v>1016</v>
      </c>
      <c r="G445" s="21" t="str">
        <f>VLOOKUP(D445,[6]成飞半成品!$A:$B,2,0)</f>
        <v>9350-11140右侧上梁</v>
      </c>
      <c r="H445" s="31" t="s">
        <v>375</v>
      </c>
      <c r="I445" s="31">
        <v>37</v>
      </c>
      <c r="J445" s="37"/>
      <c r="K445" s="31">
        <v>1</v>
      </c>
      <c r="L445" s="31">
        <v>1.2</v>
      </c>
      <c r="M445" s="31">
        <v>26</v>
      </c>
      <c r="N445" s="31">
        <v>5</v>
      </c>
      <c r="O445" s="77" t="s">
        <v>602</v>
      </c>
      <c r="P445" s="25">
        <v>660</v>
      </c>
      <c r="Q445" s="31"/>
      <c r="R445" s="31"/>
      <c r="S445" s="31">
        <v>90</v>
      </c>
      <c r="T445" s="31">
        <v>2</v>
      </c>
      <c r="U445" s="31"/>
      <c r="V445" s="31"/>
      <c r="W445" s="37"/>
      <c r="X445" s="37"/>
      <c r="Y445" s="83">
        <v>16.2</v>
      </c>
      <c r="Z445" s="31" t="s">
        <v>33</v>
      </c>
      <c r="AA445" s="37" t="s">
        <v>147</v>
      </c>
      <c r="AB445" s="37"/>
    </row>
    <row r="446" spans="1:28" ht="23.1" customHeight="1" x14ac:dyDescent="0.25">
      <c r="A446" s="53" t="s">
        <v>575</v>
      </c>
      <c r="B446" s="31" t="s">
        <v>110</v>
      </c>
      <c r="C446" s="31">
        <v>47</v>
      </c>
      <c r="D446" s="31" t="s">
        <v>332</v>
      </c>
      <c r="E446" s="25" t="s">
        <v>333</v>
      </c>
      <c r="F446" s="21" t="s">
        <v>2548</v>
      </c>
      <c r="G446" s="21" t="str">
        <f>VLOOKUP(D446,[6]成飞半成品!$A:$B,2,0)</f>
        <v>5550上框</v>
      </c>
      <c r="H446" s="31" t="s">
        <v>334</v>
      </c>
      <c r="I446" s="31">
        <v>20</v>
      </c>
      <c r="J446" s="37" t="s">
        <v>1959</v>
      </c>
      <c r="K446" s="31">
        <v>1.2</v>
      </c>
      <c r="L446" s="31">
        <v>1</v>
      </c>
      <c r="M446" s="31">
        <v>28</v>
      </c>
      <c r="N446" s="31">
        <v>5</v>
      </c>
      <c r="O446" s="77" t="s">
        <v>603</v>
      </c>
      <c r="P446" s="34"/>
      <c r="Q446" s="31">
        <v>720</v>
      </c>
      <c r="R446" s="31">
        <v>90</v>
      </c>
      <c r="S446" s="31"/>
      <c r="T446" s="31">
        <v>1</v>
      </c>
      <c r="U446" s="31">
        <v>120</v>
      </c>
      <c r="V446" s="31"/>
      <c r="W446" s="37"/>
      <c r="X446" s="37"/>
      <c r="Y446" s="79">
        <v>13.5</v>
      </c>
      <c r="Z446" s="31" t="s">
        <v>33</v>
      </c>
      <c r="AA446" s="37" t="s">
        <v>145</v>
      </c>
      <c r="AB446" s="37"/>
    </row>
    <row r="447" spans="1:28" ht="23.1" customHeight="1" x14ac:dyDescent="0.25">
      <c r="A447" s="53" t="s">
        <v>575</v>
      </c>
      <c r="B447" s="31" t="s">
        <v>110</v>
      </c>
      <c r="C447" s="31">
        <v>119</v>
      </c>
      <c r="D447" s="31" t="s">
        <v>1081</v>
      </c>
      <c r="E447" s="25" t="s">
        <v>605</v>
      </c>
      <c r="F447" s="21" t="s">
        <v>605</v>
      </c>
      <c r="G447" s="21" t="str">
        <f>VLOOKUP(D447,[6]成飞半成品!$A:$B,2,0)</f>
        <v xml:space="preserve"> 前梁</v>
      </c>
      <c r="H447" s="31" t="s">
        <v>107</v>
      </c>
      <c r="I447" s="31">
        <v>50</v>
      </c>
      <c r="J447" s="37" t="s">
        <v>1985</v>
      </c>
      <c r="K447" s="31">
        <v>5</v>
      </c>
      <c r="L447" s="31">
        <v>2</v>
      </c>
      <c r="M447" s="31">
        <v>31</v>
      </c>
      <c r="N447" s="31">
        <v>5</v>
      </c>
      <c r="O447" s="77" t="s">
        <v>487</v>
      </c>
      <c r="P447" s="34"/>
      <c r="Q447" s="31">
        <v>150</v>
      </c>
      <c r="R447" s="31">
        <v>90</v>
      </c>
      <c r="S447" s="31"/>
      <c r="T447" s="31"/>
      <c r="U447" s="31">
        <v>150</v>
      </c>
      <c r="V447" s="31"/>
      <c r="W447" s="37"/>
      <c r="X447" s="37">
        <v>6</v>
      </c>
      <c r="Y447" s="79">
        <v>11</v>
      </c>
      <c r="Z447" s="31" t="s">
        <v>3</v>
      </c>
      <c r="AA447" s="37" t="s">
        <v>606</v>
      </c>
      <c r="AB447" s="37"/>
    </row>
    <row r="448" spans="1:28" ht="23.1" customHeight="1" x14ac:dyDescent="0.25">
      <c r="A448" s="53" t="s">
        <v>575</v>
      </c>
      <c r="B448" s="31" t="s">
        <v>110</v>
      </c>
      <c r="C448" s="31">
        <v>21</v>
      </c>
      <c r="D448" s="31" t="s">
        <v>321</v>
      </c>
      <c r="E448" s="25" t="s">
        <v>322</v>
      </c>
      <c r="F448" s="21" t="s">
        <v>322</v>
      </c>
      <c r="G448" s="21" t="str">
        <f>VLOOKUP(D448,[6]成飞半成品!$A:$B,2,0)</f>
        <v>10860框</v>
      </c>
      <c r="H448" s="31" t="s">
        <v>323</v>
      </c>
      <c r="I448" s="31">
        <v>5</v>
      </c>
      <c r="J448" s="37" t="s">
        <v>1945</v>
      </c>
      <c r="K448" s="31">
        <v>1</v>
      </c>
      <c r="L448" s="31">
        <v>1</v>
      </c>
      <c r="M448" s="31">
        <v>28</v>
      </c>
      <c r="N448" s="37"/>
      <c r="O448" s="77" t="s">
        <v>607</v>
      </c>
      <c r="P448" s="34"/>
      <c r="Q448" s="31">
        <v>540</v>
      </c>
      <c r="R448" s="31">
        <v>120</v>
      </c>
      <c r="S448" s="31"/>
      <c r="T448" s="31">
        <v>1</v>
      </c>
      <c r="U448" s="31">
        <v>180</v>
      </c>
      <c r="V448" s="31"/>
      <c r="W448" s="37">
        <v>1</v>
      </c>
      <c r="X448" s="37"/>
      <c r="Y448" s="79">
        <v>14</v>
      </c>
      <c r="Z448" s="31" t="s">
        <v>58</v>
      </c>
      <c r="AA448" s="37" t="s">
        <v>608</v>
      </c>
      <c r="AB448" s="37"/>
    </row>
    <row r="449" spans="1:28" ht="23.1" customHeight="1" x14ac:dyDescent="0.25">
      <c r="A449" s="53" t="s">
        <v>575</v>
      </c>
      <c r="B449" s="31" t="s">
        <v>110</v>
      </c>
      <c r="C449" s="31">
        <v>21</v>
      </c>
      <c r="D449" s="31" t="s">
        <v>321</v>
      </c>
      <c r="E449" s="25" t="s">
        <v>322</v>
      </c>
      <c r="F449" s="21" t="s">
        <v>322</v>
      </c>
      <c r="G449" s="21" t="str">
        <f>VLOOKUP(D449,[6]成飞半成品!$A:$B,2,0)</f>
        <v>10860框</v>
      </c>
      <c r="H449" s="31" t="s">
        <v>323</v>
      </c>
      <c r="I449" s="31">
        <v>50</v>
      </c>
      <c r="J449" s="37" t="s">
        <v>1986</v>
      </c>
      <c r="K449" s="31">
        <v>0.5</v>
      </c>
      <c r="L449" s="31">
        <v>0.5</v>
      </c>
      <c r="M449" s="37"/>
      <c r="N449" s="31">
        <v>26</v>
      </c>
      <c r="O449" s="77" t="s">
        <v>609</v>
      </c>
      <c r="P449" s="34"/>
      <c r="Q449" s="31">
        <v>630</v>
      </c>
      <c r="R449" s="31">
        <v>120</v>
      </c>
      <c r="S449" s="31"/>
      <c r="T449" s="31">
        <v>1</v>
      </c>
      <c r="U449" s="31">
        <v>180</v>
      </c>
      <c r="V449" s="31"/>
      <c r="W449" s="37">
        <v>1</v>
      </c>
      <c r="X449" s="37"/>
      <c r="Y449" s="79">
        <v>10.3</v>
      </c>
      <c r="Z449" s="31" t="s">
        <v>58</v>
      </c>
      <c r="AA449" s="37" t="s">
        <v>610</v>
      </c>
      <c r="AB449" s="37"/>
    </row>
    <row r="450" spans="1:28" ht="23.1" customHeight="1" x14ac:dyDescent="0.25">
      <c r="A450" s="53" t="s">
        <v>575</v>
      </c>
      <c r="B450" s="31" t="s">
        <v>110</v>
      </c>
      <c r="C450" s="31">
        <v>22</v>
      </c>
      <c r="D450" s="31" t="s">
        <v>611</v>
      </c>
      <c r="E450" s="25" t="s">
        <v>612</v>
      </c>
      <c r="F450" s="21" t="s">
        <v>612</v>
      </c>
      <c r="G450" s="21" t="str">
        <f>VLOOKUP(D450,[6]成飞半成品!$A:$B,2,0)</f>
        <v>前梁二段</v>
      </c>
      <c r="H450" s="31" t="s">
        <v>102</v>
      </c>
      <c r="I450" s="31">
        <v>40</v>
      </c>
      <c r="J450" s="37" t="s">
        <v>1987</v>
      </c>
      <c r="K450" s="31">
        <v>0.9</v>
      </c>
      <c r="L450" s="31">
        <v>1</v>
      </c>
      <c r="M450" s="37"/>
      <c r="N450" s="31">
        <v>26</v>
      </c>
      <c r="O450" s="77" t="s">
        <v>613</v>
      </c>
      <c r="P450" s="34"/>
      <c r="Q450" s="31">
        <v>510</v>
      </c>
      <c r="R450" s="31">
        <v>180</v>
      </c>
      <c r="S450" s="31"/>
      <c r="T450" s="31">
        <v>1</v>
      </c>
      <c r="U450" s="31">
        <v>180</v>
      </c>
      <c r="V450" s="31"/>
      <c r="W450" s="37">
        <v>1</v>
      </c>
      <c r="X450" s="37"/>
      <c r="Y450" s="79">
        <v>14.5</v>
      </c>
      <c r="Z450" s="31" t="s">
        <v>58</v>
      </c>
      <c r="AA450" s="37" t="s">
        <v>614</v>
      </c>
      <c r="AB450" s="37"/>
    </row>
    <row r="451" spans="1:28" ht="23.1" customHeight="1" x14ac:dyDescent="0.25">
      <c r="A451" s="53" t="s">
        <v>575</v>
      </c>
      <c r="B451" s="31" t="s">
        <v>137</v>
      </c>
      <c r="C451" s="31">
        <v>57</v>
      </c>
      <c r="D451" s="31" t="s">
        <v>594</v>
      </c>
      <c r="E451" s="25" t="s">
        <v>595</v>
      </c>
      <c r="F451" s="21" t="s">
        <v>595</v>
      </c>
      <c r="G451" s="21" t="str">
        <f>VLOOKUP(D451,[6]成飞半成品!$A:$B,2,0)</f>
        <v>加强件</v>
      </c>
      <c r="H451" s="31" t="s">
        <v>102</v>
      </c>
      <c r="I451" s="31">
        <v>10</v>
      </c>
      <c r="J451" s="37" t="s">
        <v>1988</v>
      </c>
      <c r="K451" s="31">
        <v>8</v>
      </c>
      <c r="L451" s="31">
        <v>8</v>
      </c>
      <c r="M451" s="31">
        <v>26</v>
      </c>
      <c r="N451" s="31">
        <v>26</v>
      </c>
      <c r="O451" s="77" t="s">
        <v>596</v>
      </c>
      <c r="P451" s="31"/>
      <c r="Q451" s="31">
        <v>40</v>
      </c>
      <c r="R451" s="31"/>
      <c r="S451" s="31"/>
      <c r="T451" s="31"/>
      <c r="U451" s="31">
        <v>90</v>
      </c>
      <c r="V451" s="31"/>
      <c r="W451" s="37">
        <v>1</v>
      </c>
      <c r="X451" s="37"/>
      <c r="Y451" s="79">
        <v>6.8</v>
      </c>
      <c r="Z451" s="31" t="s">
        <v>57</v>
      </c>
      <c r="AA451" s="37"/>
      <c r="AB451" s="37"/>
    </row>
    <row r="452" spans="1:28" ht="23.1" customHeight="1" x14ac:dyDescent="0.25">
      <c r="A452" s="53" t="s">
        <v>575</v>
      </c>
      <c r="B452" s="31" t="s">
        <v>137</v>
      </c>
      <c r="C452" s="31">
        <v>57</v>
      </c>
      <c r="D452" s="31" t="s">
        <v>594</v>
      </c>
      <c r="E452" s="25" t="s">
        <v>595</v>
      </c>
      <c r="F452" s="21" t="s">
        <v>595</v>
      </c>
      <c r="G452" s="21" t="str">
        <f>VLOOKUP(D452,[6]成飞半成品!$A:$B,2,0)</f>
        <v>加强件</v>
      </c>
      <c r="H452" s="31" t="s">
        <v>102</v>
      </c>
      <c r="I452" s="31">
        <v>15</v>
      </c>
      <c r="J452" s="37" t="s">
        <v>1989</v>
      </c>
      <c r="K452" s="31">
        <v>2</v>
      </c>
      <c r="L452" s="31">
        <v>4</v>
      </c>
      <c r="M452" s="31">
        <v>37</v>
      </c>
      <c r="N452" s="31">
        <v>37</v>
      </c>
      <c r="O452" s="77" t="s">
        <v>596</v>
      </c>
      <c r="P452" s="31"/>
      <c r="Q452" s="31">
        <v>80</v>
      </c>
      <c r="R452" s="31"/>
      <c r="S452" s="31"/>
      <c r="T452" s="31"/>
      <c r="U452" s="31">
        <v>60</v>
      </c>
      <c r="V452" s="31"/>
      <c r="W452" s="37">
        <v>1</v>
      </c>
      <c r="X452" s="37">
        <v>2</v>
      </c>
      <c r="Y452" s="79">
        <v>8.3000000000000007</v>
      </c>
      <c r="Z452" s="31" t="s">
        <v>57</v>
      </c>
      <c r="AA452" s="37" t="s">
        <v>546</v>
      </c>
      <c r="AB452" s="25" t="s">
        <v>238</v>
      </c>
    </row>
    <row r="453" spans="1:28" ht="23.1" customHeight="1" x14ac:dyDescent="0.25">
      <c r="A453" s="53" t="s">
        <v>575</v>
      </c>
      <c r="B453" s="31" t="s">
        <v>137</v>
      </c>
      <c r="C453" s="31">
        <v>58</v>
      </c>
      <c r="D453" s="31" t="s">
        <v>423</v>
      </c>
      <c r="E453" s="25" t="s">
        <v>424</v>
      </c>
      <c r="F453" s="21" t="s">
        <v>424</v>
      </c>
      <c r="G453" s="21" t="str">
        <f>VLOOKUP(D453,[6]成飞半成品!$A:$B,2,0)</f>
        <v>后梁四段</v>
      </c>
      <c r="H453" s="31" t="s">
        <v>107</v>
      </c>
      <c r="I453" s="31">
        <v>25</v>
      </c>
      <c r="J453" s="37" t="s">
        <v>1983</v>
      </c>
      <c r="K453" s="31">
        <v>6</v>
      </c>
      <c r="L453" s="31">
        <v>6</v>
      </c>
      <c r="M453" s="31">
        <v>26</v>
      </c>
      <c r="N453" s="31">
        <v>26</v>
      </c>
      <c r="O453" s="77" t="s">
        <v>615</v>
      </c>
      <c r="P453" s="31"/>
      <c r="Q453" s="31">
        <v>85</v>
      </c>
      <c r="R453" s="31"/>
      <c r="S453" s="31"/>
      <c r="T453" s="31"/>
      <c r="U453" s="31">
        <v>120</v>
      </c>
      <c r="V453" s="31"/>
      <c r="W453" s="37"/>
      <c r="X453" s="37"/>
      <c r="Y453" s="79">
        <v>8.5</v>
      </c>
      <c r="Z453" s="31" t="s">
        <v>57</v>
      </c>
      <c r="AA453" s="37"/>
      <c r="AB453" s="37"/>
    </row>
    <row r="454" spans="1:28" ht="23.1" customHeight="1" x14ac:dyDescent="0.25">
      <c r="A454" s="53" t="s">
        <v>575</v>
      </c>
      <c r="B454" s="31" t="s">
        <v>137</v>
      </c>
      <c r="C454" s="31">
        <v>59</v>
      </c>
      <c r="D454" s="31" t="s">
        <v>142</v>
      </c>
      <c r="E454" s="25" t="s">
        <v>133</v>
      </c>
      <c r="F454" s="21" t="s">
        <v>133</v>
      </c>
      <c r="G454" s="21" t="str">
        <f>VLOOKUP(D454,[6]成飞半成品!$A:$B,2,0)</f>
        <v>摇臂</v>
      </c>
      <c r="H454" s="31" t="s">
        <v>102</v>
      </c>
      <c r="I454" s="31">
        <v>30</v>
      </c>
      <c r="J454" s="37" t="s">
        <v>1990</v>
      </c>
      <c r="K454" s="31">
        <v>2</v>
      </c>
      <c r="L454" s="31">
        <v>2</v>
      </c>
      <c r="M454" s="31">
        <v>37</v>
      </c>
      <c r="N454" s="31">
        <v>37</v>
      </c>
      <c r="O454" s="77" t="s">
        <v>140</v>
      </c>
      <c r="P454" s="34"/>
      <c r="Q454" s="31">
        <v>85</v>
      </c>
      <c r="R454" s="31"/>
      <c r="S454" s="31"/>
      <c r="T454" s="31"/>
      <c r="U454" s="31">
        <v>60</v>
      </c>
      <c r="V454" s="31"/>
      <c r="W454" s="37">
        <v>1</v>
      </c>
      <c r="X454" s="37"/>
      <c r="Y454" s="79">
        <v>3.8</v>
      </c>
      <c r="Z454" s="31" t="s">
        <v>6</v>
      </c>
      <c r="AA454" s="37"/>
      <c r="AB454" s="37"/>
    </row>
    <row r="455" spans="1:28" ht="23.1" customHeight="1" x14ac:dyDescent="0.25">
      <c r="A455" s="53" t="s">
        <v>575</v>
      </c>
      <c r="B455" s="31" t="s">
        <v>137</v>
      </c>
      <c r="C455" s="31">
        <v>59</v>
      </c>
      <c r="D455" s="31" t="s">
        <v>616</v>
      </c>
      <c r="E455" s="25" t="s">
        <v>617</v>
      </c>
      <c r="F455" s="21" t="s">
        <v>617</v>
      </c>
      <c r="G455" s="21" t="str">
        <f>VLOOKUP(D455,[6]成飞半成品!$A:$B,2,0)</f>
        <v>立柱加强接头</v>
      </c>
      <c r="H455" s="31" t="s">
        <v>102</v>
      </c>
      <c r="I455" s="31">
        <v>5</v>
      </c>
      <c r="J455" s="37" t="s">
        <v>1957</v>
      </c>
      <c r="K455" s="31">
        <v>8</v>
      </c>
      <c r="L455" s="31">
        <v>4</v>
      </c>
      <c r="M455" s="31">
        <v>5</v>
      </c>
      <c r="N455" s="31">
        <v>5</v>
      </c>
      <c r="O455" s="77" t="s">
        <v>596</v>
      </c>
      <c r="P455" s="34"/>
      <c r="Q455" s="31">
        <v>60</v>
      </c>
      <c r="R455" s="31"/>
      <c r="S455" s="31"/>
      <c r="T455" s="31"/>
      <c r="U455" s="31">
        <v>60</v>
      </c>
      <c r="V455" s="31"/>
      <c r="W455" s="37"/>
      <c r="X455" s="37"/>
      <c r="Y455" s="79">
        <v>4</v>
      </c>
      <c r="Z455" s="31" t="s">
        <v>6</v>
      </c>
      <c r="AA455" s="37"/>
      <c r="AB455" s="37"/>
    </row>
    <row r="456" spans="1:28" ht="23.1" customHeight="1" x14ac:dyDescent="0.25">
      <c r="A456" s="53" t="s">
        <v>575</v>
      </c>
      <c r="B456" s="31" t="s">
        <v>137</v>
      </c>
      <c r="C456" s="31">
        <v>24</v>
      </c>
      <c r="D456" s="31" t="s">
        <v>294</v>
      </c>
      <c r="E456" s="25" t="s">
        <v>259</v>
      </c>
      <c r="F456" s="21" t="s">
        <v>979</v>
      </c>
      <c r="G456" s="21" t="str">
        <f>VLOOKUP(D456,[6]成飞半成品!$A:$B,2,0)</f>
        <v>梁（左件）</v>
      </c>
      <c r="H456" s="31" t="s">
        <v>118</v>
      </c>
      <c r="I456" s="31">
        <v>50</v>
      </c>
      <c r="J456" s="37" t="s">
        <v>1965</v>
      </c>
      <c r="K456" s="31">
        <v>0.5</v>
      </c>
      <c r="L456" s="31">
        <v>0.4</v>
      </c>
      <c r="M456" s="31">
        <v>26</v>
      </c>
      <c r="N456" s="31">
        <v>28</v>
      </c>
      <c r="O456" s="77" t="s">
        <v>618</v>
      </c>
      <c r="P456" s="34"/>
      <c r="Q456" s="31">
        <v>1960</v>
      </c>
      <c r="R456" s="31">
        <v>120</v>
      </c>
      <c r="S456" s="31"/>
      <c r="T456" s="31">
        <v>1</v>
      </c>
      <c r="U456" s="31">
        <v>180</v>
      </c>
      <c r="V456" s="31"/>
      <c r="W456" s="37"/>
      <c r="X456" s="37"/>
      <c r="Y456" s="79">
        <v>15.1</v>
      </c>
      <c r="Z456" s="31" t="s">
        <v>52</v>
      </c>
      <c r="AA456" s="37" t="s">
        <v>145</v>
      </c>
      <c r="AB456" s="37"/>
    </row>
    <row r="457" spans="1:28" ht="23.1" customHeight="1" x14ac:dyDescent="0.25">
      <c r="A457" s="53" t="s">
        <v>575</v>
      </c>
      <c r="B457" s="31" t="s">
        <v>137</v>
      </c>
      <c r="C457" s="31">
        <v>91</v>
      </c>
      <c r="D457" s="31" t="s">
        <v>484</v>
      </c>
      <c r="E457" s="25" t="s">
        <v>485</v>
      </c>
      <c r="F457" s="21" t="s">
        <v>485</v>
      </c>
      <c r="G457" s="21" t="str">
        <f>VLOOKUP(D457,[6]成飞半成品!$A:$B,2,0)</f>
        <v>8635左隔框</v>
      </c>
      <c r="H457" s="31" t="s">
        <v>300</v>
      </c>
      <c r="I457" s="31">
        <v>30</v>
      </c>
      <c r="J457" s="31" t="s">
        <v>1921</v>
      </c>
      <c r="K457" s="31"/>
      <c r="L457" s="37"/>
      <c r="M457" s="37"/>
      <c r="N457" s="31">
        <v>9</v>
      </c>
      <c r="O457" s="77" t="s">
        <v>222</v>
      </c>
      <c r="P457" s="34"/>
      <c r="Q457" s="31">
        <v>960</v>
      </c>
      <c r="R457" s="31">
        <v>120</v>
      </c>
      <c r="S457" s="31"/>
      <c r="T457" s="31"/>
      <c r="U457" s="31">
        <v>180</v>
      </c>
      <c r="V457" s="31"/>
      <c r="W457" s="37"/>
      <c r="X457" s="37">
        <v>3</v>
      </c>
      <c r="Y457" s="79">
        <v>3</v>
      </c>
      <c r="Z457" s="31" t="s">
        <v>52</v>
      </c>
      <c r="AA457" s="37" t="s">
        <v>619</v>
      </c>
      <c r="AB457" s="37"/>
    </row>
    <row r="458" spans="1:28" ht="23.1" customHeight="1" x14ac:dyDescent="0.25">
      <c r="A458" s="53" t="s">
        <v>575</v>
      </c>
      <c r="B458" s="31" t="s">
        <v>137</v>
      </c>
      <c r="C458" s="31">
        <v>69</v>
      </c>
      <c r="D458" s="31" t="s">
        <v>266</v>
      </c>
      <c r="E458" s="25" t="s">
        <v>267</v>
      </c>
      <c r="F458" s="21" t="s">
        <v>267</v>
      </c>
      <c r="G458" s="21" t="str">
        <f>VLOOKUP(D458,[6]成飞半成品!$A:$B,2,0)</f>
        <v>后端框</v>
      </c>
      <c r="H458" s="31" t="s">
        <v>118</v>
      </c>
      <c r="I458" s="31">
        <v>52</v>
      </c>
      <c r="J458" s="37"/>
      <c r="K458" s="31">
        <v>5</v>
      </c>
      <c r="L458" s="31">
        <v>5</v>
      </c>
      <c r="M458" s="31">
        <v>5</v>
      </c>
      <c r="N458" s="31">
        <v>5</v>
      </c>
      <c r="O458" s="77" t="s">
        <v>429</v>
      </c>
      <c r="P458" s="34">
        <v>180</v>
      </c>
      <c r="Q458" s="31"/>
      <c r="R458" s="31"/>
      <c r="S458" s="31">
        <v>90</v>
      </c>
      <c r="T458" s="31">
        <v>5</v>
      </c>
      <c r="U458" s="31"/>
      <c r="V458" s="31"/>
      <c r="W458" s="37"/>
      <c r="X458" s="37"/>
      <c r="Y458" s="83">
        <v>22.5</v>
      </c>
      <c r="Z458" s="31" t="s">
        <v>52</v>
      </c>
      <c r="AA458" s="37" t="s">
        <v>620</v>
      </c>
      <c r="AB458" s="37"/>
    </row>
    <row r="459" spans="1:28" ht="23.1" customHeight="1" x14ac:dyDescent="0.25">
      <c r="A459" s="53" t="s">
        <v>575</v>
      </c>
      <c r="B459" s="31" t="s">
        <v>137</v>
      </c>
      <c r="C459" s="31">
        <v>91</v>
      </c>
      <c r="D459" s="31" t="s">
        <v>484</v>
      </c>
      <c r="E459" s="25" t="s">
        <v>485</v>
      </c>
      <c r="F459" s="21" t="s">
        <v>485</v>
      </c>
      <c r="G459" s="21" t="str">
        <f>VLOOKUP(D459,[6]成飞半成品!$A:$B,2,0)</f>
        <v>8635左隔框</v>
      </c>
      <c r="H459" s="31" t="s">
        <v>300</v>
      </c>
      <c r="I459" s="31">
        <v>30</v>
      </c>
      <c r="J459" s="37" t="s">
        <v>1921</v>
      </c>
      <c r="K459" s="31">
        <v>0.6</v>
      </c>
      <c r="L459" s="31">
        <v>0.6</v>
      </c>
      <c r="M459" s="37"/>
      <c r="N459" s="31">
        <v>5</v>
      </c>
      <c r="O459" s="77" t="s">
        <v>216</v>
      </c>
      <c r="P459" s="34"/>
      <c r="Q459" s="31">
        <v>960</v>
      </c>
      <c r="R459" s="31">
        <v>120</v>
      </c>
      <c r="S459" s="31"/>
      <c r="T459" s="31"/>
      <c r="U459" s="31">
        <v>180</v>
      </c>
      <c r="V459" s="31"/>
      <c r="W459" s="37"/>
      <c r="X459" s="37"/>
      <c r="Y459" s="79">
        <v>9.6</v>
      </c>
      <c r="Z459" s="31" t="s">
        <v>52</v>
      </c>
      <c r="AA459" s="37"/>
      <c r="AB459" s="37"/>
    </row>
    <row r="460" spans="1:28" ht="23.1" customHeight="1" x14ac:dyDescent="0.25">
      <c r="A460" s="53" t="s">
        <v>575</v>
      </c>
      <c r="B460" s="31" t="s">
        <v>137</v>
      </c>
      <c r="C460" s="31">
        <v>91</v>
      </c>
      <c r="D460" s="31" t="s">
        <v>484</v>
      </c>
      <c r="E460" s="25" t="s">
        <v>485</v>
      </c>
      <c r="F460" s="21" t="s">
        <v>485</v>
      </c>
      <c r="G460" s="21" t="str">
        <f>VLOOKUP(D460,[6]成飞半成品!$A:$B,2,0)</f>
        <v>8635左隔框</v>
      </c>
      <c r="H460" s="31" t="s">
        <v>300</v>
      </c>
      <c r="I460" s="31">
        <v>32</v>
      </c>
      <c r="J460" s="31"/>
      <c r="K460" s="31">
        <v>1</v>
      </c>
      <c r="L460" s="31">
        <v>1</v>
      </c>
      <c r="M460" s="31"/>
      <c r="N460" s="31">
        <v>5</v>
      </c>
      <c r="O460" s="77" t="s">
        <v>216</v>
      </c>
      <c r="P460" s="25">
        <v>150</v>
      </c>
      <c r="Q460" s="34"/>
      <c r="R460" s="31"/>
      <c r="S460" s="25">
        <v>120</v>
      </c>
      <c r="T460" s="31">
        <v>1</v>
      </c>
      <c r="U460" s="31"/>
      <c r="V460" s="31"/>
      <c r="W460" s="31"/>
      <c r="X460" s="37"/>
      <c r="Y460" s="83">
        <v>4.5</v>
      </c>
      <c r="Z460" s="31" t="s">
        <v>52</v>
      </c>
      <c r="AA460" s="37"/>
      <c r="AB460" s="37"/>
    </row>
    <row r="461" spans="1:28" ht="23.1" customHeight="1" x14ac:dyDescent="0.25">
      <c r="A461" s="53" t="s">
        <v>575</v>
      </c>
      <c r="B461" s="31" t="s">
        <v>137</v>
      </c>
      <c r="C461" s="31">
        <v>84</v>
      </c>
      <c r="D461" s="31" t="s">
        <v>517</v>
      </c>
      <c r="E461" s="25" t="s">
        <v>518</v>
      </c>
      <c r="F461" s="21" t="s">
        <v>518</v>
      </c>
      <c r="G461" s="21" t="str">
        <f>VLOOKUP(D461,[6]成飞半成品!$A:$B,2,0)</f>
        <v>带板</v>
      </c>
      <c r="H461" s="31" t="s">
        <v>300</v>
      </c>
      <c r="I461" s="31">
        <v>25</v>
      </c>
      <c r="J461" s="31" t="s">
        <v>1984</v>
      </c>
      <c r="K461" s="31">
        <v>5</v>
      </c>
      <c r="L461" s="31">
        <v>5</v>
      </c>
      <c r="M461" s="31">
        <v>26</v>
      </c>
      <c r="N461" s="31"/>
      <c r="O461" s="77" t="s">
        <v>318</v>
      </c>
      <c r="P461" s="31"/>
      <c r="Q461" s="34">
        <v>40</v>
      </c>
      <c r="R461" s="31">
        <v>30</v>
      </c>
      <c r="S461" s="31"/>
      <c r="T461" s="31">
        <v>5</v>
      </c>
      <c r="U461" s="31">
        <v>90</v>
      </c>
      <c r="V461" s="31"/>
      <c r="W461" s="31"/>
      <c r="X461" s="37"/>
      <c r="Y461" s="79">
        <v>5.8</v>
      </c>
      <c r="Z461" s="31" t="s">
        <v>52</v>
      </c>
      <c r="AA461" s="37" t="s">
        <v>620</v>
      </c>
      <c r="AB461" s="37"/>
    </row>
    <row r="462" spans="1:28" ht="23.1" customHeight="1" x14ac:dyDescent="0.25">
      <c r="A462" s="53" t="s">
        <v>575</v>
      </c>
      <c r="B462" s="31" t="s">
        <v>137</v>
      </c>
      <c r="C462" s="31">
        <v>84</v>
      </c>
      <c r="D462" s="31" t="s">
        <v>214</v>
      </c>
      <c r="E462" s="25" t="s">
        <v>215</v>
      </c>
      <c r="F462" s="21" t="s">
        <v>215</v>
      </c>
      <c r="G462" s="21" t="str">
        <f>VLOOKUP(D462,[6]成飞半成品!$A:$B,2,0)</f>
        <v>口盖</v>
      </c>
      <c r="H462" s="31" t="s">
        <v>118</v>
      </c>
      <c r="I462" s="31">
        <v>28</v>
      </c>
      <c r="J462" s="31"/>
      <c r="K462" s="31">
        <v>1</v>
      </c>
      <c r="L462" s="31"/>
      <c r="M462" s="31" t="s">
        <v>108</v>
      </c>
      <c r="N462" s="31">
        <v>26</v>
      </c>
      <c r="O462" s="77" t="s">
        <v>108</v>
      </c>
      <c r="P462" s="31">
        <v>100</v>
      </c>
      <c r="Q462" s="34"/>
      <c r="R462" s="31"/>
      <c r="S462" s="31"/>
      <c r="T462" s="31"/>
      <c r="U462" s="31"/>
      <c r="V462" s="31"/>
      <c r="W462" s="31"/>
      <c r="X462" s="37">
        <v>3</v>
      </c>
      <c r="Y462" s="83">
        <v>3</v>
      </c>
      <c r="Z462" s="31" t="s">
        <v>52</v>
      </c>
      <c r="AA462" s="37" t="s">
        <v>621</v>
      </c>
      <c r="AB462" s="37"/>
    </row>
    <row r="463" spans="1:28" ht="23.1" customHeight="1" x14ac:dyDescent="0.25">
      <c r="A463" s="53" t="s">
        <v>575</v>
      </c>
      <c r="B463" s="31" t="s">
        <v>137</v>
      </c>
      <c r="C463" s="31">
        <v>119</v>
      </c>
      <c r="D463" s="31" t="s">
        <v>2566</v>
      </c>
      <c r="E463" s="25" t="s">
        <v>605</v>
      </c>
      <c r="F463" s="21" t="s">
        <v>605</v>
      </c>
      <c r="G463" s="21" t="str">
        <f>VLOOKUP(D463,[6]成飞半成品!$A:$B,2,0)</f>
        <v>固定前缘边肋</v>
      </c>
      <c r="H463" s="31" t="s">
        <v>107</v>
      </c>
      <c r="I463" s="31">
        <v>50</v>
      </c>
      <c r="J463" s="31" t="s">
        <v>1985</v>
      </c>
      <c r="K463" s="31">
        <v>4</v>
      </c>
      <c r="L463" s="31">
        <v>3</v>
      </c>
      <c r="M463" s="31">
        <v>5</v>
      </c>
      <c r="N463" s="31">
        <v>5</v>
      </c>
      <c r="O463" s="77" t="s">
        <v>622</v>
      </c>
      <c r="P463" s="31"/>
      <c r="Q463" s="34">
        <v>150</v>
      </c>
      <c r="R463" s="31">
        <v>90</v>
      </c>
      <c r="S463" s="31"/>
      <c r="T463" s="31"/>
      <c r="U463" s="31">
        <v>150</v>
      </c>
      <c r="V463" s="31"/>
      <c r="W463" s="31"/>
      <c r="X463" s="37">
        <v>3</v>
      </c>
      <c r="Y463" s="79">
        <v>10.5</v>
      </c>
      <c r="Z463" s="31" t="s">
        <v>52</v>
      </c>
      <c r="AA463" s="37" t="s">
        <v>623</v>
      </c>
      <c r="AB463" s="37"/>
    </row>
    <row r="464" spans="1:28" ht="23.1" customHeight="1" x14ac:dyDescent="0.25">
      <c r="A464" s="53" t="s">
        <v>575</v>
      </c>
      <c r="B464" s="31" t="s">
        <v>137</v>
      </c>
      <c r="C464" s="31">
        <v>9</v>
      </c>
      <c r="D464" s="31" t="s">
        <v>624</v>
      </c>
      <c r="E464" s="25" t="s">
        <v>625</v>
      </c>
      <c r="F464" s="21" t="s">
        <v>625</v>
      </c>
      <c r="G464" s="21" t="str">
        <f>VLOOKUP(D464,[6]成飞半成品!$A:$B,2,0)</f>
        <v>支架</v>
      </c>
      <c r="H464" s="31" t="s">
        <v>300</v>
      </c>
      <c r="I464" s="31">
        <v>45</v>
      </c>
      <c r="J464" s="31" t="s">
        <v>1991</v>
      </c>
      <c r="K464" s="31">
        <v>10</v>
      </c>
      <c r="L464" s="31">
        <v>2</v>
      </c>
      <c r="M464" s="31">
        <v>5</v>
      </c>
      <c r="N464" s="31">
        <v>28</v>
      </c>
      <c r="O464" s="77" t="s">
        <v>567</v>
      </c>
      <c r="P464" s="31"/>
      <c r="Q464" s="34">
        <v>55</v>
      </c>
      <c r="R464" s="31"/>
      <c r="S464" s="31"/>
      <c r="T464" s="31"/>
      <c r="U464" s="31">
        <v>60</v>
      </c>
      <c r="V464" s="31"/>
      <c r="W464" s="31">
        <v>1</v>
      </c>
      <c r="X464" s="37"/>
      <c r="Y464" s="79">
        <v>2.8</v>
      </c>
      <c r="Z464" s="31" t="s">
        <v>23</v>
      </c>
      <c r="AA464" s="37" t="s">
        <v>547</v>
      </c>
      <c r="AB464" s="37"/>
    </row>
    <row r="465" spans="1:28" ht="23.1" customHeight="1" x14ac:dyDescent="0.25">
      <c r="A465" s="53" t="s">
        <v>575</v>
      </c>
      <c r="B465" s="31" t="s">
        <v>137</v>
      </c>
      <c r="C465" s="31">
        <v>16</v>
      </c>
      <c r="D465" s="31" t="s">
        <v>626</v>
      </c>
      <c r="E465" s="25" t="s">
        <v>627</v>
      </c>
      <c r="F465" s="21" t="s">
        <v>627</v>
      </c>
      <c r="G465" s="21" t="str">
        <f>VLOOKUP(D465,[6]成飞半成品!$A:$B,2,0)</f>
        <v>插槽</v>
      </c>
      <c r="H465" s="31" t="s">
        <v>102</v>
      </c>
      <c r="I465" s="31">
        <v>30</v>
      </c>
      <c r="J465" s="31" t="s">
        <v>1992</v>
      </c>
      <c r="K465" s="31" t="s">
        <v>108</v>
      </c>
      <c r="L465" s="31">
        <v>0</v>
      </c>
      <c r="M465" s="31" t="s">
        <v>108</v>
      </c>
      <c r="N465" s="31" t="s">
        <v>108</v>
      </c>
      <c r="O465" s="77" t="s">
        <v>140</v>
      </c>
      <c r="P465" s="31"/>
      <c r="Q465" s="34">
        <v>60</v>
      </c>
      <c r="R465" s="31"/>
      <c r="S465" s="31"/>
      <c r="T465" s="31"/>
      <c r="U465" s="31">
        <v>60</v>
      </c>
      <c r="V465" s="31"/>
      <c r="W465" s="31">
        <v>1</v>
      </c>
      <c r="X465" s="37">
        <v>2</v>
      </c>
      <c r="Y465" s="79">
        <v>3</v>
      </c>
      <c r="Z465" s="31" t="s">
        <v>71</v>
      </c>
      <c r="AA465" s="37" t="s">
        <v>628</v>
      </c>
      <c r="AB465" s="37"/>
    </row>
    <row r="466" spans="1:28" ht="23.1" customHeight="1" x14ac:dyDescent="0.25">
      <c r="A466" s="53" t="s">
        <v>452</v>
      </c>
      <c r="B466" s="31" t="s">
        <v>137</v>
      </c>
      <c r="C466" s="31">
        <v>16</v>
      </c>
      <c r="D466" s="25" t="s">
        <v>2551</v>
      </c>
      <c r="E466" s="25" t="s">
        <v>503</v>
      </c>
      <c r="F466" s="21" t="e">
        <v>#N/A</v>
      </c>
      <c r="G466" s="21" t="str">
        <f>VLOOKUP(D466,[6]成飞半成品!$A:$B,2,0)</f>
        <v>工装</v>
      </c>
      <c r="H466" s="31" t="s">
        <v>102</v>
      </c>
      <c r="I466" s="31">
        <v>10</v>
      </c>
      <c r="J466" s="31"/>
      <c r="K466" s="31">
        <v>1</v>
      </c>
      <c r="L466" s="31">
        <v>1</v>
      </c>
      <c r="M466" s="31">
        <v>26</v>
      </c>
      <c r="N466" s="31">
        <v>37</v>
      </c>
      <c r="O466" s="77" t="s">
        <v>108</v>
      </c>
      <c r="P466" s="31"/>
      <c r="Q466" s="34"/>
      <c r="R466" s="31"/>
      <c r="S466" s="31"/>
      <c r="T466" s="31"/>
      <c r="U466" s="31"/>
      <c r="V466" s="31"/>
      <c r="W466" s="31"/>
      <c r="X466" s="37">
        <v>7</v>
      </c>
      <c r="Y466" s="79">
        <v>7</v>
      </c>
      <c r="Z466" s="31" t="s">
        <v>71</v>
      </c>
      <c r="AA466" s="37" t="s">
        <v>504</v>
      </c>
      <c r="AB466" s="37" t="s">
        <v>193</v>
      </c>
    </row>
    <row r="467" spans="1:28" ht="23.1" customHeight="1" x14ac:dyDescent="0.25">
      <c r="A467" s="53" t="s">
        <v>452</v>
      </c>
      <c r="B467" s="31" t="s">
        <v>137</v>
      </c>
      <c r="C467" s="31">
        <v>16</v>
      </c>
      <c r="D467" s="25" t="s">
        <v>2551</v>
      </c>
      <c r="E467" s="25" t="s">
        <v>503</v>
      </c>
      <c r="F467" s="21" t="e">
        <v>#N/A</v>
      </c>
      <c r="G467" s="21" t="str">
        <f>VLOOKUP(D467,[6]成飞半成品!$A:$B,2,0)</f>
        <v>工装</v>
      </c>
      <c r="H467" s="31" t="s">
        <v>102</v>
      </c>
      <c r="I467" s="31">
        <v>15</v>
      </c>
      <c r="J467" s="31"/>
      <c r="K467" s="31">
        <v>1</v>
      </c>
      <c r="L467" s="31">
        <v>1</v>
      </c>
      <c r="M467" s="31">
        <v>26</v>
      </c>
      <c r="N467" s="31">
        <v>37</v>
      </c>
      <c r="O467" s="77" t="s">
        <v>108</v>
      </c>
      <c r="P467" s="31"/>
      <c r="Q467" s="34"/>
      <c r="R467" s="31"/>
      <c r="S467" s="31"/>
      <c r="T467" s="31"/>
      <c r="U467" s="31"/>
      <c r="V467" s="31"/>
      <c r="W467" s="31"/>
      <c r="X467" s="37">
        <v>6</v>
      </c>
      <c r="Y467" s="79">
        <v>6</v>
      </c>
      <c r="Z467" s="31" t="s">
        <v>71</v>
      </c>
      <c r="AA467" s="37" t="s">
        <v>504</v>
      </c>
      <c r="AB467" s="37" t="s">
        <v>193</v>
      </c>
    </row>
    <row r="468" spans="1:28" ht="23.1" customHeight="1" x14ac:dyDescent="0.25">
      <c r="A468" s="53" t="s">
        <v>575</v>
      </c>
      <c r="B468" s="31" t="s">
        <v>137</v>
      </c>
      <c r="C468" s="31">
        <v>16</v>
      </c>
      <c r="D468" s="31" t="s">
        <v>626</v>
      </c>
      <c r="E468" s="25" t="s">
        <v>627</v>
      </c>
      <c r="F468" s="21" t="s">
        <v>627</v>
      </c>
      <c r="G468" s="21" t="str">
        <f>VLOOKUP(D468,[6]成飞半成品!$A:$B,2,0)</f>
        <v>插槽</v>
      </c>
      <c r="H468" s="31" t="s">
        <v>102</v>
      </c>
      <c r="I468" s="31">
        <v>25</v>
      </c>
      <c r="J468" s="31" t="s">
        <v>1993</v>
      </c>
      <c r="K468" s="31">
        <v>6</v>
      </c>
      <c r="L468" s="31">
        <v>6</v>
      </c>
      <c r="M468" s="31">
        <v>26</v>
      </c>
      <c r="N468" s="31">
        <v>26</v>
      </c>
      <c r="O468" s="77" t="s">
        <v>140</v>
      </c>
      <c r="P468" s="31"/>
      <c r="Q468" s="34">
        <v>35</v>
      </c>
      <c r="R468" s="31"/>
      <c r="S468" s="31"/>
      <c r="T468" s="31"/>
      <c r="U468" s="31">
        <v>60</v>
      </c>
      <c r="V468" s="31"/>
      <c r="W468" s="31">
        <v>1</v>
      </c>
      <c r="X468" s="37"/>
      <c r="Y468" s="79">
        <v>4.5</v>
      </c>
      <c r="Z468" s="31" t="s">
        <v>71</v>
      </c>
      <c r="AA468" s="37" t="s">
        <v>629</v>
      </c>
      <c r="AB468" s="37"/>
    </row>
    <row r="469" spans="1:28" ht="23.1" customHeight="1" x14ac:dyDescent="0.25">
      <c r="A469" s="53" t="s">
        <v>575</v>
      </c>
      <c r="B469" s="31" t="s">
        <v>137</v>
      </c>
      <c r="C469" s="31">
        <v>11</v>
      </c>
      <c r="D469" s="31" t="s">
        <v>200</v>
      </c>
      <c r="E469" s="25" t="s">
        <v>317</v>
      </c>
      <c r="F469" s="21" t="s">
        <v>317</v>
      </c>
      <c r="G469" s="21" t="str">
        <f>VLOOKUP(D469,[6]成飞半成品!$A:$B,2,0)</f>
        <v>角盒</v>
      </c>
      <c r="H469" s="31" t="s">
        <v>154</v>
      </c>
      <c r="I469" s="31">
        <v>40</v>
      </c>
      <c r="J469" s="37" t="s">
        <v>1935</v>
      </c>
      <c r="K469" s="31">
        <v>3</v>
      </c>
      <c r="L469" s="31">
        <v>5</v>
      </c>
      <c r="M469" s="31">
        <v>37</v>
      </c>
      <c r="N469" s="31">
        <v>37</v>
      </c>
      <c r="O469" s="77" t="s">
        <v>630</v>
      </c>
      <c r="P469" s="34"/>
      <c r="Q469" s="31">
        <v>260</v>
      </c>
      <c r="R469" s="31"/>
      <c r="S469" s="31"/>
      <c r="T469" s="31"/>
      <c r="U469" s="31">
        <v>90</v>
      </c>
      <c r="V469" s="31"/>
      <c r="W469" s="37"/>
      <c r="X469" s="37"/>
      <c r="Y469" s="79">
        <v>21.7</v>
      </c>
      <c r="Z469" s="31" t="s">
        <v>71</v>
      </c>
      <c r="AA469" s="37"/>
      <c r="AB469" s="37"/>
    </row>
    <row r="470" spans="1:28" ht="23.1" customHeight="1" x14ac:dyDescent="0.25">
      <c r="A470" s="53" t="s">
        <v>575</v>
      </c>
      <c r="B470" s="31" t="s">
        <v>137</v>
      </c>
      <c r="C470" s="31">
        <v>17</v>
      </c>
      <c r="D470" s="31" t="s">
        <v>352</v>
      </c>
      <c r="E470" s="25" t="s">
        <v>353</v>
      </c>
      <c r="F470" s="21" t="e">
        <v>#N/A</v>
      </c>
      <c r="G470" s="21" t="e">
        <f>VLOOKUP(D470,[6]成飞半成品!$A:$B,2,0)</f>
        <v>#N/A</v>
      </c>
      <c r="H470" s="31" t="s">
        <v>300</v>
      </c>
      <c r="I470" s="31">
        <v>25</v>
      </c>
      <c r="J470" s="37" t="s">
        <v>1967</v>
      </c>
      <c r="K470" s="31">
        <v>2</v>
      </c>
      <c r="L470" s="31">
        <v>4</v>
      </c>
      <c r="M470" s="31">
        <v>26</v>
      </c>
      <c r="N470" s="31">
        <v>26</v>
      </c>
      <c r="O470" s="77" t="s">
        <v>119</v>
      </c>
      <c r="P470" s="34"/>
      <c r="Q470" s="31">
        <v>290</v>
      </c>
      <c r="R470" s="31"/>
      <c r="S470" s="31"/>
      <c r="T470" s="31"/>
      <c r="U470" s="31">
        <v>90</v>
      </c>
      <c r="V470" s="31"/>
      <c r="W470" s="37"/>
      <c r="X470" s="37"/>
      <c r="Y470" s="79">
        <v>19.3</v>
      </c>
      <c r="Z470" s="31" t="s">
        <v>14</v>
      </c>
      <c r="AA470" s="37"/>
      <c r="AB470" s="37"/>
    </row>
    <row r="471" spans="1:28" ht="23.1" customHeight="1" x14ac:dyDescent="0.25">
      <c r="A471" s="53" t="s">
        <v>575</v>
      </c>
      <c r="B471" s="31" t="s">
        <v>137</v>
      </c>
      <c r="C471" s="31">
        <v>10</v>
      </c>
      <c r="D471" s="31" t="s">
        <v>513</v>
      </c>
      <c r="E471" s="25" t="s">
        <v>389</v>
      </c>
      <c r="F471" s="21" t="s">
        <v>389</v>
      </c>
      <c r="G471" s="21" t="str">
        <f>VLOOKUP(D471,[6]成飞半成品!$A:$B,2,0)</f>
        <v>11968下口盖</v>
      </c>
      <c r="H471" s="31" t="s">
        <v>118</v>
      </c>
      <c r="I471" s="31">
        <v>10</v>
      </c>
      <c r="J471" s="37" t="s">
        <v>1916</v>
      </c>
      <c r="K471" s="31">
        <v>14</v>
      </c>
      <c r="L471" s="31">
        <v>12</v>
      </c>
      <c r="M471" s="31">
        <v>23</v>
      </c>
      <c r="N471" s="31">
        <v>23</v>
      </c>
      <c r="O471" s="77" t="s">
        <v>501</v>
      </c>
      <c r="P471" s="31"/>
      <c r="Q471" s="31">
        <v>60</v>
      </c>
      <c r="R471" s="31"/>
      <c r="S471" s="31"/>
      <c r="T471" s="31"/>
      <c r="U471" s="31">
        <v>120</v>
      </c>
      <c r="V471" s="31"/>
      <c r="W471" s="37">
        <v>1</v>
      </c>
      <c r="X471" s="37"/>
      <c r="Y471" s="79">
        <v>14</v>
      </c>
      <c r="Z471" s="31" t="s">
        <v>23</v>
      </c>
      <c r="AA471" s="37" t="s">
        <v>547</v>
      </c>
      <c r="AB471" s="37"/>
    </row>
    <row r="472" spans="1:28" ht="23.1" customHeight="1" x14ac:dyDescent="0.25">
      <c r="A472" s="53" t="s">
        <v>575</v>
      </c>
      <c r="B472" s="31" t="s">
        <v>137</v>
      </c>
      <c r="C472" s="31">
        <v>18</v>
      </c>
      <c r="D472" s="31" t="s">
        <v>205</v>
      </c>
      <c r="E472" s="25" t="s">
        <v>206</v>
      </c>
      <c r="F472" s="21" t="s">
        <v>206</v>
      </c>
      <c r="G472" s="21" t="str">
        <f>VLOOKUP(D472,[6]成飞半成品!$A:$B,2,0)</f>
        <v>卡环</v>
      </c>
      <c r="H472" s="31" t="s">
        <v>123</v>
      </c>
      <c r="I472" s="31">
        <v>45</v>
      </c>
      <c r="J472" s="37" t="s">
        <v>1980</v>
      </c>
      <c r="K472" s="31">
        <v>2</v>
      </c>
      <c r="L472" s="31">
        <v>3.5</v>
      </c>
      <c r="M472" s="31">
        <v>26</v>
      </c>
      <c r="N472" s="31">
        <v>26</v>
      </c>
      <c r="O472" s="77" t="s">
        <v>631</v>
      </c>
      <c r="P472" s="34"/>
      <c r="Q472" s="31">
        <v>420</v>
      </c>
      <c r="R472" s="31"/>
      <c r="S472" s="31"/>
      <c r="T472" s="31"/>
      <c r="U472" s="31">
        <v>90</v>
      </c>
      <c r="V472" s="31"/>
      <c r="W472" s="37"/>
      <c r="X472" s="37"/>
      <c r="Y472" s="79">
        <v>24.5</v>
      </c>
      <c r="Z472" s="31" t="s">
        <v>14</v>
      </c>
      <c r="AA472" s="37"/>
      <c r="AB472" s="37"/>
    </row>
    <row r="473" spans="1:28" ht="23.1" customHeight="1" x14ac:dyDescent="0.25">
      <c r="A473" s="53" t="s">
        <v>575</v>
      </c>
      <c r="B473" s="31" t="s">
        <v>113</v>
      </c>
      <c r="C473" s="31">
        <v>58</v>
      </c>
      <c r="D473" s="31" t="s">
        <v>423</v>
      </c>
      <c r="E473" s="25" t="s">
        <v>424</v>
      </c>
      <c r="F473" s="21" t="s">
        <v>424</v>
      </c>
      <c r="G473" s="21" t="str">
        <f>VLOOKUP(D473,[6]成飞半成品!$A:$B,2,0)</f>
        <v>后梁四段</v>
      </c>
      <c r="H473" s="31" t="s">
        <v>107</v>
      </c>
      <c r="I473" s="31">
        <v>30</v>
      </c>
      <c r="J473" s="37" t="s">
        <v>1994</v>
      </c>
      <c r="K473" s="31">
        <v>1</v>
      </c>
      <c r="L473" s="31">
        <v>1</v>
      </c>
      <c r="M473" s="37"/>
      <c r="N473" s="31">
        <v>28</v>
      </c>
      <c r="O473" s="77" t="s">
        <v>508</v>
      </c>
      <c r="P473" s="34"/>
      <c r="Q473" s="31">
        <v>50</v>
      </c>
      <c r="R473" s="31">
        <v>30</v>
      </c>
      <c r="S473" s="31"/>
      <c r="T473" s="31">
        <v>1</v>
      </c>
      <c r="U473" s="31">
        <v>60</v>
      </c>
      <c r="V473" s="31"/>
      <c r="W473" s="37"/>
      <c r="X473" s="37">
        <v>2</v>
      </c>
      <c r="Y473" s="79">
        <v>3.3</v>
      </c>
      <c r="Z473" s="31" t="s">
        <v>7</v>
      </c>
      <c r="AA473" s="37" t="s">
        <v>370</v>
      </c>
      <c r="AB473" s="25" t="s">
        <v>238</v>
      </c>
    </row>
    <row r="474" spans="1:28" ht="23.1" customHeight="1" x14ac:dyDescent="0.25">
      <c r="A474" s="53" t="s">
        <v>575</v>
      </c>
      <c r="B474" s="31" t="s">
        <v>113</v>
      </c>
      <c r="C474" s="31">
        <v>59</v>
      </c>
      <c r="D474" s="31" t="s">
        <v>616</v>
      </c>
      <c r="E474" s="25" t="s">
        <v>617</v>
      </c>
      <c r="F474" s="21" t="s">
        <v>617</v>
      </c>
      <c r="G474" s="21" t="str">
        <f>VLOOKUP(D474,[6]成飞半成品!$A:$B,2,0)</f>
        <v>立柱加强接头</v>
      </c>
      <c r="H474" s="31" t="s">
        <v>102</v>
      </c>
      <c r="I474" s="31">
        <v>5</v>
      </c>
      <c r="J474" s="37" t="s">
        <v>1957</v>
      </c>
      <c r="K474" s="31">
        <v>8</v>
      </c>
      <c r="L474" s="31">
        <v>4</v>
      </c>
      <c r="M474" s="31">
        <v>5</v>
      </c>
      <c r="N474" s="31">
        <v>28</v>
      </c>
      <c r="O474" s="77" t="s">
        <v>596</v>
      </c>
      <c r="P474" s="34"/>
      <c r="Q474" s="31">
        <v>60</v>
      </c>
      <c r="R474" s="31"/>
      <c r="S474" s="31"/>
      <c r="T474" s="31"/>
      <c r="U474" s="31">
        <v>60</v>
      </c>
      <c r="V474" s="31"/>
      <c r="W474" s="37">
        <v>1</v>
      </c>
      <c r="X474" s="37">
        <v>2</v>
      </c>
      <c r="Y474" s="79">
        <v>7</v>
      </c>
      <c r="Z474" s="65" t="s">
        <v>1847</v>
      </c>
      <c r="AA474" s="37" t="s">
        <v>632</v>
      </c>
      <c r="AB474" s="25" t="s">
        <v>238</v>
      </c>
    </row>
    <row r="475" spans="1:28" ht="23.1" customHeight="1" x14ac:dyDescent="0.25">
      <c r="A475" s="53" t="s">
        <v>575</v>
      </c>
      <c r="B475" s="31" t="s">
        <v>113</v>
      </c>
      <c r="C475" s="31">
        <v>76</v>
      </c>
      <c r="D475" s="31" t="s">
        <v>541</v>
      </c>
      <c r="E475" s="25" t="s">
        <v>542</v>
      </c>
      <c r="F475" s="21" t="s">
        <v>542</v>
      </c>
      <c r="G475" s="21" t="str">
        <f>VLOOKUP(D475,[6]成飞半成品!$A:$B,2,0)</f>
        <v>3#下垫片</v>
      </c>
      <c r="H475" s="31" t="s">
        <v>154</v>
      </c>
      <c r="I475" s="31">
        <v>15</v>
      </c>
      <c r="J475" s="37" t="s">
        <v>1926</v>
      </c>
      <c r="K475" s="31">
        <v>7</v>
      </c>
      <c r="L475" s="31">
        <v>9</v>
      </c>
      <c r="M475" s="31">
        <v>37</v>
      </c>
      <c r="N475" s="31">
        <v>5</v>
      </c>
      <c r="O475" s="77" t="s">
        <v>330</v>
      </c>
      <c r="P475" s="31"/>
      <c r="Q475" s="31">
        <v>90</v>
      </c>
      <c r="R475" s="31"/>
      <c r="S475" s="31"/>
      <c r="T475" s="31"/>
      <c r="U475" s="31">
        <v>90</v>
      </c>
      <c r="V475" s="31"/>
      <c r="W475" s="37"/>
      <c r="X475" s="37"/>
      <c r="Y475" s="79">
        <v>13.5</v>
      </c>
      <c r="Z475" s="31" t="s">
        <v>12</v>
      </c>
      <c r="AA475" s="37"/>
      <c r="AB475" s="37"/>
    </row>
    <row r="476" spans="1:28" ht="23.1" customHeight="1" x14ac:dyDescent="0.25">
      <c r="A476" s="53" t="s">
        <v>575</v>
      </c>
      <c r="B476" s="31" t="s">
        <v>113</v>
      </c>
      <c r="C476" s="31">
        <v>15</v>
      </c>
      <c r="D476" s="31" t="s">
        <v>592</v>
      </c>
      <c r="E476" s="25" t="s">
        <v>218</v>
      </c>
      <c r="F476" s="21" t="s">
        <v>218</v>
      </c>
      <c r="G476" s="21" t="str">
        <f>VLOOKUP(D476,[6]成飞半成品!$A:$B,2,0)</f>
        <v>横梁</v>
      </c>
      <c r="H476" s="31" t="s">
        <v>107</v>
      </c>
      <c r="I476" s="31">
        <v>15</v>
      </c>
      <c r="J476" s="37" t="s">
        <v>1895</v>
      </c>
      <c r="K476" s="31">
        <v>7</v>
      </c>
      <c r="L476" s="31">
        <v>3</v>
      </c>
      <c r="M476" s="31">
        <v>37</v>
      </c>
      <c r="N476" s="31">
        <v>37</v>
      </c>
      <c r="O476" s="77" t="s">
        <v>247</v>
      </c>
      <c r="P476" s="31"/>
      <c r="Q476" s="31">
        <v>90</v>
      </c>
      <c r="R476" s="31"/>
      <c r="S476" s="31"/>
      <c r="T476" s="31"/>
      <c r="U476" s="31">
        <v>90</v>
      </c>
      <c r="V476" s="31"/>
      <c r="W476" s="37"/>
      <c r="X476" s="37"/>
      <c r="Y476" s="79">
        <v>4.5</v>
      </c>
      <c r="Z476" s="31" t="s">
        <v>60</v>
      </c>
      <c r="AA476" s="37"/>
      <c r="AB476" s="37"/>
    </row>
    <row r="477" spans="1:28" ht="23.1" customHeight="1" x14ac:dyDescent="0.25">
      <c r="A477" s="53" t="s">
        <v>575</v>
      </c>
      <c r="B477" s="31" t="s">
        <v>113</v>
      </c>
      <c r="C477" s="31">
        <v>15</v>
      </c>
      <c r="D477" s="31" t="s">
        <v>592</v>
      </c>
      <c r="E477" s="25" t="s">
        <v>218</v>
      </c>
      <c r="F477" s="21" t="s">
        <v>218</v>
      </c>
      <c r="G477" s="21" t="str">
        <f>VLOOKUP(D477,[6]成飞半成品!$A:$B,2,0)</f>
        <v>横梁</v>
      </c>
      <c r="H477" s="31" t="s">
        <v>107</v>
      </c>
      <c r="I477" s="31">
        <v>20</v>
      </c>
      <c r="J477" s="37" t="s">
        <v>1896</v>
      </c>
      <c r="K477" s="31">
        <v>0.2</v>
      </c>
      <c r="L477" s="31">
        <v>3</v>
      </c>
      <c r="M477" s="31">
        <v>5</v>
      </c>
      <c r="N477" s="31">
        <v>28</v>
      </c>
      <c r="O477" s="77" t="s">
        <v>247</v>
      </c>
      <c r="P477" s="31"/>
      <c r="Q477" s="31">
        <v>300</v>
      </c>
      <c r="R477" s="31"/>
      <c r="S477" s="31"/>
      <c r="T477" s="31"/>
      <c r="U477" s="31">
        <v>90</v>
      </c>
      <c r="V477" s="31"/>
      <c r="W477" s="37">
        <v>1</v>
      </c>
      <c r="X477" s="37"/>
      <c r="Y477" s="79">
        <v>16.5</v>
      </c>
      <c r="Z477" s="31" t="s">
        <v>60</v>
      </c>
      <c r="AA477" s="37" t="s">
        <v>633</v>
      </c>
      <c r="AB477" s="37"/>
    </row>
    <row r="478" spans="1:28" ht="23.1" customHeight="1" x14ac:dyDescent="0.25">
      <c r="A478" s="53" t="s">
        <v>575</v>
      </c>
      <c r="B478" s="31" t="s">
        <v>113</v>
      </c>
      <c r="C478" s="31">
        <v>10</v>
      </c>
      <c r="D478" s="31" t="s">
        <v>513</v>
      </c>
      <c r="E478" s="25" t="s">
        <v>389</v>
      </c>
      <c r="F478" s="21" t="s">
        <v>389</v>
      </c>
      <c r="G478" s="21" t="str">
        <f>VLOOKUP(D478,[6]成飞半成品!$A:$B,2,0)</f>
        <v>11968下口盖</v>
      </c>
      <c r="H478" s="31" t="s">
        <v>118</v>
      </c>
      <c r="I478" s="31">
        <v>10</v>
      </c>
      <c r="J478" s="37" t="s">
        <v>1916</v>
      </c>
      <c r="K478" s="31">
        <v>4</v>
      </c>
      <c r="L478" s="31">
        <v>6</v>
      </c>
      <c r="M478" s="37"/>
      <c r="N478" s="31">
        <v>23</v>
      </c>
      <c r="O478" s="77" t="s">
        <v>463</v>
      </c>
      <c r="P478" s="31"/>
      <c r="Q478" s="31">
        <v>60</v>
      </c>
      <c r="R478" s="31"/>
      <c r="S478" s="31"/>
      <c r="T478" s="31"/>
      <c r="U478" s="31">
        <v>120</v>
      </c>
      <c r="V478" s="31"/>
      <c r="W478" s="37"/>
      <c r="X478" s="37"/>
      <c r="Y478" s="79">
        <v>6</v>
      </c>
      <c r="Z478" s="31" t="s">
        <v>30</v>
      </c>
      <c r="AA478" s="37"/>
      <c r="AB478" s="37"/>
    </row>
    <row r="479" spans="1:28" ht="23.1" customHeight="1" x14ac:dyDescent="0.25">
      <c r="A479" s="53" t="s">
        <v>575</v>
      </c>
      <c r="B479" s="31" t="s">
        <v>113</v>
      </c>
      <c r="C479" s="31">
        <v>10</v>
      </c>
      <c r="D479" s="31" t="s">
        <v>388</v>
      </c>
      <c r="E479" s="25" t="s">
        <v>389</v>
      </c>
      <c r="F479" s="21" t="s">
        <v>389</v>
      </c>
      <c r="G479" s="21" t="str">
        <f>VLOOKUP(D479,[6]成飞半成品!$A:$B,2,0)</f>
        <v>11968下口盖</v>
      </c>
      <c r="H479" s="31" t="s">
        <v>300</v>
      </c>
      <c r="I479" s="31">
        <v>10</v>
      </c>
      <c r="J479" s="31" t="s">
        <v>1941</v>
      </c>
      <c r="K479" s="31">
        <v>8</v>
      </c>
      <c r="L479" s="31">
        <v>8</v>
      </c>
      <c r="M479" s="31">
        <v>23</v>
      </c>
      <c r="N479" s="31">
        <v>28</v>
      </c>
      <c r="O479" s="77" t="s">
        <v>412</v>
      </c>
      <c r="P479" s="31"/>
      <c r="Q479" s="34">
        <v>60</v>
      </c>
      <c r="R479" s="31"/>
      <c r="S479" s="31"/>
      <c r="T479" s="31"/>
      <c r="U479" s="31">
        <v>120</v>
      </c>
      <c r="V479" s="31"/>
      <c r="W479" s="31"/>
      <c r="X479" s="37"/>
      <c r="Y479" s="79">
        <v>8</v>
      </c>
      <c r="Z479" s="31" t="s">
        <v>30</v>
      </c>
      <c r="AA479" s="37"/>
      <c r="AB479" s="37"/>
    </row>
    <row r="480" spans="1:28" ht="23.1" customHeight="1" x14ac:dyDescent="0.25">
      <c r="A480" s="53" t="s">
        <v>575</v>
      </c>
      <c r="B480" s="31" t="s">
        <v>113</v>
      </c>
      <c r="C480" s="31">
        <v>9</v>
      </c>
      <c r="D480" s="31" t="s">
        <v>624</v>
      </c>
      <c r="E480" s="25" t="s">
        <v>625</v>
      </c>
      <c r="F480" s="21" t="s">
        <v>625</v>
      </c>
      <c r="G480" s="21" t="str">
        <f>VLOOKUP(D480,[6]成飞半成品!$A:$B,2,0)</f>
        <v>支架</v>
      </c>
      <c r="H480" s="31" t="s">
        <v>300</v>
      </c>
      <c r="I480" s="31">
        <v>45</v>
      </c>
      <c r="J480" s="31" t="s">
        <v>1991</v>
      </c>
      <c r="K480" s="31">
        <v>8</v>
      </c>
      <c r="L480" s="31">
        <v>8</v>
      </c>
      <c r="M480" s="31">
        <v>28</v>
      </c>
      <c r="N480" s="31">
        <v>28</v>
      </c>
      <c r="O480" s="77" t="s">
        <v>567</v>
      </c>
      <c r="P480" s="31"/>
      <c r="Q480" s="34">
        <v>55</v>
      </c>
      <c r="R480" s="31"/>
      <c r="S480" s="31"/>
      <c r="T480" s="31"/>
      <c r="U480" s="31">
        <v>60</v>
      </c>
      <c r="V480" s="31"/>
      <c r="W480" s="31"/>
      <c r="X480" s="37">
        <v>4</v>
      </c>
      <c r="Y480" s="79">
        <v>11.3</v>
      </c>
      <c r="Z480" s="31" t="s">
        <v>30</v>
      </c>
      <c r="AA480" s="37" t="s">
        <v>634</v>
      </c>
      <c r="AB480" s="25" t="s">
        <v>238</v>
      </c>
    </row>
    <row r="481" spans="1:28" ht="23.1" customHeight="1" x14ac:dyDescent="0.25">
      <c r="A481" s="53" t="s">
        <v>575</v>
      </c>
      <c r="B481" s="31" t="s">
        <v>113</v>
      </c>
      <c r="C481" s="31">
        <v>22</v>
      </c>
      <c r="D481" s="31" t="s">
        <v>635</v>
      </c>
      <c r="E481" s="25" t="s">
        <v>612</v>
      </c>
      <c r="F481" s="21" t="s">
        <v>612</v>
      </c>
      <c r="G481" s="21" t="str">
        <f>VLOOKUP(D481,[6]成飞半成品!$A:$B,2,0)</f>
        <v>前梁二段</v>
      </c>
      <c r="H481" s="31" t="s">
        <v>102</v>
      </c>
      <c r="I481" s="31">
        <v>40</v>
      </c>
      <c r="J481" s="31" t="s">
        <v>1987</v>
      </c>
      <c r="K481" s="31">
        <v>1</v>
      </c>
      <c r="L481" s="31">
        <v>1</v>
      </c>
      <c r="M481" s="31"/>
      <c r="N481" s="31">
        <v>5</v>
      </c>
      <c r="O481" s="77" t="s">
        <v>613</v>
      </c>
      <c r="P481" s="31"/>
      <c r="Q481" s="34">
        <v>510</v>
      </c>
      <c r="R481" s="31">
        <v>180</v>
      </c>
      <c r="S481" s="31"/>
      <c r="T481" s="31">
        <v>1</v>
      </c>
      <c r="U481" s="31">
        <v>180</v>
      </c>
      <c r="V481" s="31"/>
      <c r="W481" s="31">
        <v>1</v>
      </c>
      <c r="X481" s="37"/>
      <c r="Y481" s="79">
        <v>14.5</v>
      </c>
      <c r="Z481" s="31" t="s">
        <v>49</v>
      </c>
      <c r="AA481" s="37" t="s">
        <v>407</v>
      </c>
      <c r="AB481" s="37"/>
    </row>
    <row r="482" spans="1:28" ht="23.1" customHeight="1" x14ac:dyDescent="0.25">
      <c r="A482" s="53" t="s">
        <v>575</v>
      </c>
      <c r="B482" s="31" t="s">
        <v>113</v>
      </c>
      <c r="C482" s="31">
        <v>14</v>
      </c>
      <c r="D482" s="31" t="s">
        <v>276</v>
      </c>
      <c r="E482" s="25" t="s">
        <v>277</v>
      </c>
      <c r="F482" s="21" t="s">
        <v>277</v>
      </c>
      <c r="G482" s="21" t="str">
        <f>VLOOKUP(D482,[6]成飞半成品!$A:$B,2,0)</f>
        <v>左外侧接头</v>
      </c>
      <c r="H482" s="31" t="s">
        <v>154</v>
      </c>
      <c r="I482" s="31">
        <v>65</v>
      </c>
      <c r="J482" s="31" t="s">
        <v>1982</v>
      </c>
      <c r="K482" s="31">
        <v>1</v>
      </c>
      <c r="L482" s="31">
        <v>0.4</v>
      </c>
      <c r="M482" s="31">
        <v>37</v>
      </c>
      <c r="N482" s="31">
        <v>37</v>
      </c>
      <c r="O482" s="77" t="s">
        <v>234</v>
      </c>
      <c r="P482" s="31"/>
      <c r="Q482" s="34">
        <v>600</v>
      </c>
      <c r="R482" s="31"/>
      <c r="S482" s="31"/>
      <c r="T482" s="31"/>
      <c r="U482" s="31">
        <v>120</v>
      </c>
      <c r="V482" s="31"/>
      <c r="W482" s="31"/>
      <c r="X482" s="37"/>
      <c r="Y482" s="79">
        <v>4</v>
      </c>
      <c r="Z482" s="31" t="s">
        <v>60</v>
      </c>
      <c r="AA482" s="37" t="s">
        <v>253</v>
      </c>
      <c r="AB482" s="37"/>
    </row>
    <row r="483" spans="1:28" ht="23.1" customHeight="1" x14ac:dyDescent="0.25">
      <c r="A483" s="53" t="s">
        <v>575</v>
      </c>
      <c r="B483" s="31" t="s">
        <v>113</v>
      </c>
      <c r="C483" s="31">
        <v>14</v>
      </c>
      <c r="D483" s="31" t="s">
        <v>235</v>
      </c>
      <c r="E483" s="25" t="s">
        <v>236</v>
      </c>
      <c r="F483" s="21" t="s">
        <v>236</v>
      </c>
      <c r="G483" s="21" t="str">
        <f>VLOOKUP(D483,[6]成飞半成品!$A:$B,2,0)</f>
        <v>右外侧接头</v>
      </c>
      <c r="H483" s="31" t="s">
        <v>154</v>
      </c>
      <c r="I483" s="31">
        <v>70</v>
      </c>
      <c r="J483" s="31" t="s">
        <v>1995</v>
      </c>
      <c r="K483" s="31"/>
      <c r="L483" s="31">
        <v>0.5</v>
      </c>
      <c r="M483" s="31">
        <v>19</v>
      </c>
      <c r="N483" s="31"/>
      <c r="O483" s="77" t="s">
        <v>159</v>
      </c>
      <c r="P483" s="31"/>
      <c r="Q483" s="34">
        <v>1320</v>
      </c>
      <c r="R483" s="31"/>
      <c r="S483" s="31"/>
      <c r="T483" s="31"/>
      <c r="U483" s="31">
        <v>120</v>
      </c>
      <c r="V483" s="31"/>
      <c r="W483" s="31"/>
      <c r="X483" s="37"/>
      <c r="Y483" s="79">
        <v>11</v>
      </c>
      <c r="Z483" s="31" t="s">
        <v>60</v>
      </c>
      <c r="AA483" s="37"/>
      <c r="AB483" s="37"/>
    </row>
    <row r="484" spans="1:28" ht="23.1" customHeight="1" x14ac:dyDescent="0.25">
      <c r="A484" s="53" t="s">
        <v>575</v>
      </c>
      <c r="B484" s="31" t="s">
        <v>113</v>
      </c>
      <c r="C484" s="31">
        <v>16</v>
      </c>
      <c r="D484" s="31" t="s">
        <v>626</v>
      </c>
      <c r="E484" s="25" t="s">
        <v>627</v>
      </c>
      <c r="F484" s="21" t="s">
        <v>627</v>
      </c>
      <c r="G484" s="21" t="str">
        <f>VLOOKUP(D484,[6]成飞半成品!$A:$B,2,0)</f>
        <v>插槽</v>
      </c>
      <c r="H484" s="31" t="s">
        <v>102</v>
      </c>
      <c r="I484" s="31">
        <v>45</v>
      </c>
      <c r="J484" s="31" t="s">
        <v>1996</v>
      </c>
      <c r="K484" s="31" t="s">
        <v>108</v>
      </c>
      <c r="L484" s="31">
        <v>0</v>
      </c>
      <c r="M484" s="31">
        <v>9</v>
      </c>
      <c r="N484" s="31" t="s">
        <v>108</v>
      </c>
      <c r="O484" s="77" t="s">
        <v>140</v>
      </c>
      <c r="P484" s="31"/>
      <c r="Q484" s="34">
        <v>30</v>
      </c>
      <c r="R484" s="31"/>
      <c r="S484" s="31"/>
      <c r="T484" s="31"/>
      <c r="U484" s="31">
        <v>60</v>
      </c>
      <c r="V484" s="31"/>
      <c r="W484" s="31"/>
      <c r="X484" s="37">
        <v>2</v>
      </c>
      <c r="Y484" s="79">
        <v>2</v>
      </c>
      <c r="Z484" s="31" t="s">
        <v>63</v>
      </c>
      <c r="AA484" s="37" t="s">
        <v>448</v>
      </c>
      <c r="AB484" s="25" t="s">
        <v>238</v>
      </c>
    </row>
    <row r="485" spans="1:28" ht="23.1" customHeight="1" x14ac:dyDescent="0.25">
      <c r="A485" s="53" t="s">
        <v>575</v>
      </c>
      <c r="B485" s="31" t="s">
        <v>137</v>
      </c>
      <c r="C485" s="31">
        <v>16</v>
      </c>
      <c r="D485" s="31" t="s">
        <v>626</v>
      </c>
      <c r="E485" s="25" t="s">
        <v>627</v>
      </c>
      <c r="F485" s="21" t="s">
        <v>627</v>
      </c>
      <c r="G485" s="21" t="str">
        <f>VLOOKUP(D485,[6]成飞半成品!$A:$B,2,0)</f>
        <v>插槽</v>
      </c>
      <c r="H485" s="31" t="s">
        <v>102</v>
      </c>
      <c r="I485" s="31">
        <v>30</v>
      </c>
      <c r="J485" s="31" t="s">
        <v>1992</v>
      </c>
      <c r="K485" s="31">
        <v>6</v>
      </c>
      <c r="L485" s="31">
        <v>6</v>
      </c>
      <c r="M485" s="31">
        <v>26</v>
      </c>
      <c r="N485" s="31">
        <v>26</v>
      </c>
      <c r="O485" s="77" t="s">
        <v>140</v>
      </c>
      <c r="P485" s="31"/>
      <c r="Q485" s="34">
        <v>60</v>
      </c>
      <c r="R485" s="31"/>
      <c r="S485" s="31"/>
      <c r="T485" s="31"/>
      <c r="U485" s="31">
        <v>60</v>
      </c>
      <c r="V485" s="31"/>
      <c r="W485" s="31"/>
      <c r="X485" s="37"/>
      <c r="Y485" s="79">
        <v>6</v>
      </c>
      <c r="Z485" s="31" t="s">
        <v>71</v>
      </c>
      <c r="AA485" s="37" t="s">
        <v>629</v>
      </c>
      <c r="AB485" s="37"/>
    </row>
    <row r="486" spans="1:28" ht="23.1" customHeight="1" x14ac:dyDescent="0.25">
      <c r="A486" s="53" t="s">
        <v>575</v>
      </c>
      <c r="B486" s="31" t="s">
        <v>137</v>
      </c>
      <c r="C486" s="31">
        <v>16</v>
      </c>
      <c r="D486" s="31" t="s">
        <v>626</v>
      </c>
      <c r="E486" s="25" t="s">
        <v>627</v>
      </c>
      <c r="F486" s="21" t="s">
        <v>627</v>
      </c>
      <c r="G486" s="21" t="str">
        <f>VLOOKUP(D486,[6]成飞半成品!$A:$B,2,0)</f>
        <v>插槽</v>
      </c>
      <c r="H486" s="31" t="s">
        <v>102</v>
      </c>
      <c r="I486" s="31">
        <v>35</v>
      </c>
      <c r="J486" s="31" t="s">
        <v>1997</v>
      </c>
      <c r="K486" s="31">
        <v>6</v>
      </c>
      <c r="L486" s="31">
        <v>6</v>
      </c>
      <c r="M486" s="31">
        <v>26</v>
      </c>
      <c r="N486" s="31">
        <v>26</v>
      </c>
      <c r="O486" s="77" t="s">
        <v>140</v>
      </c>
      <c r="P486" s="31"/>
      <c r="Q486" s="34">
        <v>20</v>
      </c>
      <c r="R486" s="31"/>
      <c r="S486" s="31"/>
      <c r="T486" s="31"/>
      <c r="U486" s="31">
        <v>60</v>
      </c>
      <c r="V486" s="31"/>
      <c r="W486" s="31">
        <v>1</v>
      </c>
      <c r="X486" s="37"/>
      <c r="Y486" s="79">
        <v>3</v>
      </c>
      <c r="Z486" s="31" t="s">
        <v>71</v>
      </c>
      <c r="AA486" s="37" t="s">
        <v>629</v>
      </c>
      <c r="AB486" s="37"/>
    </row>
    <row r="487" spans="1:28" ht="23.1" customHeight="1" x14ac:dyDescent="0.25">
      <c r="A487" s="53" t="s">
        <v>575</v>
      </c>
      <c r="B487" s="31" t="s">
        <v>113</v>
      </c>
      <c r="C487" s="31">
        <v>78</v>
      </c>
      <c r="D487" s="25" t="s">
        <v>2551</v>
      </c>
      <c r="E487" s="25" t="s">
        <v>190</v>
      </c>
      <c r="F487" s="21" t="e">
        <v>#N/A</v>
      </c>
      <c r="G487" s="21" t="str">
        <f>VLOOKUP(D487,[6]成飞半成品!$A:$B,2,0)</f>
        <v>工装</v>
      </c>
      <c r="H487" s="31" t="s">
        <v>102</v>
      </c>
      <c r="I487" s="31">
        <v>20</v>
      </c>
      <c r="J487" s="31"/>
      <c r="K487" s="31">
        <v>0.7</v>
      </c>
      <c r="L487" s="31">
        <v>0.7</v>
      </c>
      <c r="M487" s="31">
        <v>23</v>
      </c>
      <c r="N487" s="31"/>
      <c r="O487" s="77" t="s">
        <v>108</v>
      </c>
      <c r="P487" s="31"/>
      <c r="Q487" s="34"/>
      <c r="R487" s="31"/>
      <c r="S487" s="31"/>
      <c r="T487" s="31"/>
      <c r="U487" s="31"/>
      <c r="V487" s="31"/>
      <c r="W487" s="31"/>
      <c r="X487" s="37">
        <v>2</v>
      </c>
      <c r="Y487" s="79">
        <v>2</v>
      </c>
      <c r="Z487" s="31" t="s">
        <v>5</v>
      </c>
      <c r="AA487" s="37" t="s">
        <v>637</v>
      </c>
      <c r="AB487" s="37"/>
    </row>
    <row r="488" spans="1:28" ht="23.1" customHeight="1" x14ac:dyDescent="0.25">
      <c r="A488" s="53" t="s">
        <v>575</v>
      </c>
      <c r="B488" s="31" t="s">
        <v>113</v>
      </c>
      <c r="C488" s="31">
        <v>78</v>
      </c>
      <c r="D488" s="31" t="s">
        <v>261</v>
      </c>
      <c r="E488" s="25" t="s">
        <v>133</v>
      </c>
      <c r="F488" s="21" t="s">
        <v>133</v>
      </c>
      <c r="G488" s="21" t="str">
        <f>VLOOKUP(D488,[6]成飞半成品!$A:$B,2,0)</f>
        <v>摇臂</v>
      </c>
      <c r="H488" s="31" t="s">
        <v>102</v>
      </c>
      <c r="I488" s="31">
        <v>75</v>
      </c>
      <c r="J488" s="37" t="s">
        <v>1998</v>
      </c>
      <c r="K488" s="31">
        <v>1</v>
      </c>
      <c r="L488" s="31">
        <v>0.3</v>
      </c>
      <c r="M488" s="37"/>
      <c r="N488" s="31">
        <v>26</v>
      </c>
      <c r="O488" s="77" t="s">
        <v>103</v>
      </c>
      <c r="P488" s="34"/>
      <c r="Q488" s="31">
        <v>240</v>
      </c>
      <c r="R488" s="31">
        <v>60</v>
      </c>
      <c r="S488" s="31"/>
      <c r="T488" s="31">
        <v>1</v>
      </c>
      <c r="U488" s="31">
        <v>120</v>
      </c>
      <c r="V488" s="31"/>
      <c r="W488" s="37">
        <v>1</v>
      </c>
      <c r="X488" s="37">
        <v>13.8</v>
      </c>
      <c r="Y488" s="79">
        <v>18</v>
      </c>
      <c r="Z488" s="31" t="s">
        <v>5</v>
      </c>
      <c r="AA488" s="37" t="s">
        <v>638</v>
      </c>
      <c r="AB488" s="25" t="s">
        <v>238</v>
      </c>
    </row>
    <row r="489" spans="1:28" ht="23.1" customHeight="1" x14ac:dyDescent="0.25">
      <c r="A489" s="53" t="s">
        <v>575</v>
      </c>
      <c r="B489" s="31" t="s">
        <v>113</v>
      </c>
      <c r="C489" s="31">
        <v>107</v>
      </c>
      <c r="D489" s="31" t="s">
        <v>273</v>
      </c>
      <c r="E489" s="25" t="s">
        <v>274</v>
      </c>
      <c r="F489" s="21" t="s">
        <v>274</v>
      </c>
      <c r="G489" s="21" t="str">
        <f>VLOOKUP(D489,[6]成飞半成品!$A:$B,2,0)</f>
        <v>前起落架水平接头</v>
      </c>
      <c r="H489" s="31" t="s">
        <v>123</v>
      </c>
      <c r="I489" s="31">
        <v>35</v>
      </c>
      <c r="J489" s="37" t="s">
        <v>1999</v>
      </c>
      <c r="K489" s="31">
        <v>4</v>
      </c>
      <c r="L489" s="31">
        <v>4</v>
      </c>
      <c r="M489" s="31">
        <v>26</v>
      </c>
      <c r="N489" s="31">
        <v>26</v>
      </c>
      <c r="O489" s="77" t="s">
        <v>275</v>
      </c>
      <c r="P489" s="34"/>
      <c r="Q489" s="31">
        <v>100</v>
      </c>
      <c r="R489" s="31"/>
      <c r="S489" s="31"/>
      <c r="T489" s="31">
        <v>4</v>
      </c>
      <c r="U489" s="31">
        <v>60</v>
      </c>
      <c r="V489" s="31"/>
      <c r="W489" s="37">
        <v>1</v>
      </c>
      <c r="X489" s="37">
        <v>2</v>
      </c>
      <c r="Y489" s="79">
        <v>9.6999999999999993</v>
      </c>
      <c r="Z489" s="31" t="s">
        <v>13</v>
      </c>
      <c r="AA489" s="37" t="s">
        <v>639</v>
      </c>
      <c r="AB489" s="25" t="s">
        <v>238</v>
      </c>
    </row>
    <row r="490" spans="1:28" ht="23.1" customHeight="1" x14ac:dyDescent="0.25">
      <c r="A490" s="53" t="s">
        <v>575</v>
      </c>
      <c r="B490" s="31" t="s">
        <v>113</v>
      </c>
      <c r="C490" s="31">
        <v>18</v>
      </c>
      <c r="D490" s="31" t="s">
        <v>205</v>
      </c>
      <c r="E490" s="25" t="s">
        <v>206</v>
      </c>
      <c r="F490" s="21" t="s">
        <v>206</v>
      </c>
      <c r="G490" s="21" t="str">
        <f>VLOOKUP(D490,[6]成飞半成品!$A:$B,2,0)</f>
        <v>卡环</v>
      </c>
      <c r="H490" s="31" t="s">
        <v>123</v>
      </c>
      <c r="I490" s="31">
        <v>45</v>
      </c>
      <c r="J490" s="37" t="s">
        <v>1980</v>
      </c>
      <c r="K490" s="31">
        <v>1.5</v>
      </c>
      <c r="L490" s="31">
        <v>1.5</v>
      </c>
      <c r="M490" s="31">
        <v>28</v>
      </c>
      <c r="N490" s="37"/>
      <c r="O490" s="77" t="s">
        <v>640</v>
      </c>
      <c r="P490" s="34"/>
      <c r="Q490" s="31">
        <v>420</v>
      </c>
      <c r="R490" s="31"/>
      <c r="S490" s="31"/>
      <c r="T490" s="31"/>
      <c r="U490" s="31">
        <v>90</v>
      </c>
      <c r="V490" s="31"/>
      <c r="W490" s="37"/>
      <c r="X490" s="37"/>
      <c r="Y490" s="79">
        <v>10.5</v>
      </c>
      <c r="Z490" s="31" t="s">
        <v>16</v>
      </c>
      <c r="AA490" s="37"/>
      <c r="AB490" s="37"/>
    </row>
    <row r="491" spans="1:28" ht="23.1" customHeight="1" x14ac:dyDescent="0.25">
      <c r="A491" s="53" t="s">
        <v>575</v>
      </c>
      <c r="B491" s="31" t="s">
        <v>113</v>
      </c>
      <c r="C491" s="31">
        <v>18</v>
      </c>
      <c r="D491" s="31" t="s">
        <v>205</v>
      </c>
      <c r="E491" s="25" t="s">
        <v>206</v>
      </c>
      <c r="F491" s="21" t="s">
        <v>206</v>
      </c>
      <c r="G491" s="21" t="str">
        <f>VLOOKUP(D491,[6]成飞半成品!$A:$B,2,0)</f>
        <v>卡环</v>
      </c>
      <c r="H491" s="31" t="s">
        <v>123</v>
      </c>
      <c r="I491" s="31">
        <v>50</v>
      </c>
      <c r="J491" s="37" t="s">
        <v>2000</v>
      </c>
      <c r="K491" s="31">
        <v>0.5</v>
      </c>
      <c r="L491" s="31">
        <v>0.5</v>
      </c>
      <c r="M491" s="37"/>
      <c r="N491" s="31">
        <v>26</v>
      </c>
      <c r="O491" s="77" t="s">
        <v>550</v>
      </c>
      <c r="P491" s="34"/>
      <c r="Q491" s="31">
        <v>240</v>
      </c>
      <c r="R491" s="31"/>
      <c r="S491" s="31"/>
      <c r="T491" s="31"/>
      <c r="U491" s="31">
        <v>90</v>
      </c>
      <c r="V491" s="31"/>
      <c r="W491" s="37"/>
      <c r="X491" s="37"/>
      <c r="Y491" s="79">
        <v>2</v>
      </c>
      <c r="Z491" s="31" t="s">
        <v>16</v>
      </c>
      <c r="AA491" s="37"/>
      <c r="AB491" s="37"/>
    </row>
    <row r="492" spans="1:28" ht="23.1" customHeight="1" x14ac:dyDescent="0.25">
      <c r="A492" s="53" t="s">
        <v>575</v>
      </c>
      <c r="B492" s="31" t="s">
        <v>113</v>
      </c>
      <c r="C492" s="31">
        <v>79</v>
      </c>
      <c r="D492" s="31" t="s">
        <v>152</v>
      </c>
      <c r="E492" s="25" t="s">
        <v>153</v>
      </c>
      <c r="F492" s="21" t="s">
        <v>1247</v>
      </c>
      <c r="G492" s="21" t="str">
        <f>VLOOKUP(D492,[6]成飞半成品!$A:$B,2,0)</f>
        <v>根肋前段</v>
      </c>
      <c r="H492" s="31" t="s">
        <v>154</v>
      </c>
      <c r="I492" s="31">
        <v>20</v>
      </c>
      <c r="J492" s="37" t="s">
        <v>1948</v>
      </c>
      <c r="K492" s="31">
        <v>1.5</v>
      </c>
      <c r="L492" s="31">
        <v>1.8</v>
      </c>
      <c r="M492" s="31">
        <v>23</v>
      </c>
      <c r="N492" s="31">
        <v>31</v>
      </c>
      <c r="O492" s="77" t="s">
        <v>641</v>
      </c>
      <c r="P492" s="34"/>
      <c r="Q492" s="31">
        <v>660</v>
      </c>
      <c r="R492" s="31">
        <v>90</v>
      </c>
      <c r="S492" s="31"/>
      <c r="T492" s="31">
        <v>2</v>
      </c>
      <c r="U492" s="31">
        <v>120</v>
      </c>
      <c r="V492" s="31"/>
      <c r="W492" s="37"/>
      <c r="X492" s="37"/>
      <c r="Y492" s="79">
        <v>22.8</v>
      </c>
      <c r="Z492" s="31" t="s">
        <v>5</v>
      </c>
      <c r="AA492" s="37" t="s">
        <v>147</v>
      </c>
      <c r="AB492" s="37"/>
    </row>
    <row r="493" spans="1:28" ht="23.1" customHeight="1" x14ac:dyDescent="0.25">
      <c r="A493" s="53" t="s">
        <v>575</v>
      </c>
      <c r="B493" s="31" t="s">
        <v>113</v>
      </c>
      <c r="C493" s="31">
        <v>24</v>
      </c>
      <c r="D493" s="31" t="s">
        <v>294</v>
      </c>
      <c r="E493" s="25" t="s">
        <v>259</v>
      </c>
      <c r="F493" s="21" t="s">
        <v>979</v>
      </c>
      <c r="G493" s="21" t="str">
        <f>VLOOKUP(D493,[6]成飞半成品!$A:$B,2,0)</f>
        <v>梁（左件）</v>
      </c>
      <c r="H493" s="31" t="s">
        <v>118</v>
      </c>
      <c r="I493" s="31">
        <v>50</v>
      </c>
      <c r="J493" s="37" t="s">
        <v>1965</v>
      </c>
      <c r="K493" s="31">
        <v>0.5</v>
      </c>
      <c r="L493" s="31">
        <v>0.5</v>
      </c>
      <c r="M493" s="37"/>
      <c r="N493" s="31">
        <v>28</v>
      </c>
      <c r="O493" s="77" t="s">
        <v>393</v>
      </c>
      <c r="P493" s="34"/>
      <c r="Q493" s="31">
        <v>1960</v>
      </c>
      <c r="R493" s="31">
        <v>120</v>
      </c>
      <c r="S493" s="31"/>
      <c r="T493" s="31"/>
      <c r="U493" s="31">
        <v>180</v>
      </c>
      <c r="V493" s="31"/>
      <c r="W493" s="37"/>
      <c r="X493" s="37"/>
      <c r="Y493" s="79">
        <v>16.3</v>
      </c>
      <c r="Z493" s="31" t="s">
        <v>69</v>
      </c>
      <c r="AA493" s="37"/>
      <c r="AB493" s="37"/>
    </row>
    <row r="494" spans="1:28" ht="23.1" customHeight="1" x14ac:dyDescent="0.25">
      <c r="A494" s="53" t="s">
        <v>575</v>
      </c>
      <c r="B494" s="31" t="s">
        <v>113</v>
      </c>
      <c r="C494" s="31">
        <v>69</v>
      </c>
      <c r="D494" s="31" t="s">
        <v>495</v>
      </c>
      <c r="E494" s="25" t="s">
        <v>267</v>
      </c>
      <c r="F494" s="21" t="s">
        <v>267</v>
      </c>
      <c r="G494" s="21" t="str">
        <f>VLOOKUP(D494,[6]成飞半成品!$A:$B,2,0)</f>
        <v>后端框</v>
      </c>
      <c r="H494" s="31" t="s">
        <v>118</v>
      </c>
      <c r="I494" s="31">
        <v>52</v>
      </c>
      <c r="J494" s="37"/>
      <c r="K494" s="31">
        <v>5</v>
      </c>
      <c r="L494" s="31">
        <v>6</v>
      </c>
      <c r="M494" s="31">
        <v>5</v>
      </c>
      <c r="N494" s="31">
        <v>28</v>
      </c>
      <c r="O494" s="77" t="s">
        <v>429</v>
      </c>
      <c r="P494" s="34">
        <v>180</v>
      </c>
      <c r="Q494" s="31"/>
      <c r="R494" s="31"/>
      <c r="S494" s="31">
        <v>90</v>
      </c>
      <c r="T494" s="31">
        <v>6</v>
      </c>
      <c r="U494" s="31"/>
      <c r="V494" s="31"/>
      <c r="W494" s="37"/>
      <c r="X494" s="37"/>
      <c r="Y494" s="83">
        <v>27</v>
      </c>
      <c r="Z494" s="31" t="s">
        <v>69</v>
      </c>
      <c r="AA494" s="37" t="s">
        <v>642</v>
      </c>
      <c r="AB494" s="37"/>
    </row>
    <row r="495" spans="1:28" ht="23.1" customHeight="1" x14ac:dyDescent="0.25">
      <c r="A495" s="53" t="s">
        <v>575</v>
      </c>
      <c r="B495" s="31" t="s">
        <v>113</v>
      </c>
      <c r="C495" s="31">
        <v>91</v>
      </c>
      <c r="D495" s="31" t="s">
        <v>643</v>
      </c>
      <c r="E495" s="25" t="s">
        <v>644</v>
      </c>
      <c r="F495" s="21" t="s">
        <v>644</v>
      </c>
      <c r="G495" s="21" t="str">
        <f>VLOOKUP(D495,[6]成飞半成品!$A:$B,2,0)</f>
        <v>辅助动力舱口盖前段</v>
      </c>
      <c r="H495" s="31" t="s">
        <v>154</v>
      </c>
      <c r="I495" s="31">
        <v>45</v>
      </c>
      <c r="J495" s="37" t="s">
        <v>2001</v>
      </c>
      <c r="K495" s="31">
        <v>2</v>
      </c>
      <c r="L495" s="31">
        <v>2</v>
      </c>
      <c r="M495" s="31">
        <v>23</v>
      </c>
      <c r="N495" s="37"/>
      <c r="O495" s="77" t="s">
        <v>645</v>
      </c>
      <c r="P495" s="34"/>
      <c r="Q495" s="31">
        <v>210</v>
      </c>
      <c r="R495" s="31">
        <v>90</v>
      </c>
      <c r="S495" s="31"/>
      <c r="T495" s="31">
        <v>2</v>
      </c>
      <c r="U495" s="31">
        <v>120</v>
      </c>
      <c r="V495" s="31"/>
      <c r="W495" s="37">
        <v>1</v>
      </c>
      <c r="X495" s="37">
        <v>5</v>
      </c>
      <c r="Y495" s="79">
        <v>17</v>
      </c>
      <c r="Z495" s="31" t="s">
        <v>69</v>
      </c>
      <c r="AA495" s="37" t="s">
        <v>646</v>
      </c>
      <c r="AB495" s="37"/>
    </row>
    <row r="496" spans="1:28" ht="23.1" customHeight="1" x14ac:dyDescent="0.25">
      <c r="A496" s="53" t="s">
        <v>575</v>
      </c>
      <c r="B496" s="31" t="s">
        <v>113</v>
      </c>
      <c r="C496" s="31">
        <v>84</v>
      </c>
      <c r="D496" s="31" t="s">
        <v>214</v>
      </c>
      <c r="E496" s="25" t="s">
        <v>215</v>
      </c>
      <c r="F496" s="21" t="s">
        <v>215</v>
      </c>
      <c r="G496" s="21" t="str">
        <f>VLOOKUP(D496,[6]成飞半成品!$A:$B,2,0)</f>
        <v>口盖</v>
      </c>
      <c r="H496" s="31" t="s">
        <v>118</v>
      </c>
      <c r="I496" s="31">
        <v>28</v>
      </c>
      <c r="J496" s="37"/>
      <c r="K496" s="31">
        <v>10</v>
      </c>
      <c r="L496" s="31">
        <v>6</v>
      </c>
      <c r="M496" s="31">
        <v>23</v>
      </c>
      <c r="N496" s="31">
        <v>28</v>
      </c>
      <c r="O496" s="77" t="s">
        <v>164</v>
      </c>
      <c r="P496" s="34">
        <v>100</v>
      </c>
      <c r="Q496" s="31"/>
      <c r="R496" s="31"/>
      <c r="S496" s="31"/>
      <c r="T496" s="31">
        <v>6</v>
      </c>
      <c r="U496" s="31"/>
      <c r="V496" s="31">
        <v>120</v>
      </c>
      <c r="W496" s="37">
        <v>1</v>
      </c>
      <c r="X496" s="37">
        <v>3</v>
      </c>
      <c r="Y496" s="83">
        <v>15</v>
      </c>
      <c r="Z496" s="31" t="s">
        <v>69</v>
      </c>
      <c r="AA496" s="37" t="s">
        <v>647</v>
      </c>
      <c r="AB496" s="37"/>
    </row>
    <row r="497" spans="1:28" ht="23.1" customHeight="1" x14ac:dyDescent="0.25">
      <c r="A497" s="53" t="s">
        <v>575</v>
      </c>
      <c r="B497" s="31" t="s">
        <v>113</v>
      </c>
      <c r="C497" s="31">
        <v>84</v>
      </c>
      <c r="D497" s="85" t="s">
        <v>2551</v>
      </c>
      <c r="E497" s="25" t="s">
        <v>382</v>
      </c>
      <c r="F497" s="21" t="e">
        <v>#N/A</v>
      </c>
      <c r="G497" s="21" t="str">
        <f>VLOOKUP(D497,[6]成飞半成品!$A:$B,2,0)</f>
        <v>工装</v>
      </c>
      <c r="H497" s="31" t="s">
        <v>108</v>
      </c>
      <c r="I497" s="31">
        <v>15</v>
      </c>
      <c r="J497" s="37"/>
      <c r="K497" s="31">
        <v>1</v>
      </c>
      <c r="L497" s="31">
        <v>1</v>
      </c>
      <c r="M497" s="37"/>
      <c r="N497" s="31">
        <v>23</v>
      </c>
      <c r="O497" s="77" t="s">
        <v>108</v>
      </c>
      <c r="P497" s="34"/>
      <c r="Q497" s="31"/>
      <c r="R497" s="31"/>
      <c r="S497" s="31"/>
      <c r="T497" s="31">
        <v>1</v>
      </c>
      <c r="U497" s="31"/>
      <c r="V497" s="31"/>
      <c r="W497" s="37">
        <v>1</v>
      </c>
      <c r="X497" s="37">
        <v>3</v>
      </c>
      <c r="Y497" s="79">
        <v>3</v>
      </c>
      <c r="Z497" s="31" t="s">
        <v>69</v>
      </c>
      <c r="AA497" s="37" t="s">
        <v>648</v>
      </c>
      <c r="AB497" s="37"/>
    </row>
    <row r="498" spans="1:28" ht="23.1" customHeight="1" x14ac:dyDescent="0.25">
      <c r="A498" s="53" t="s">
        <v>575</v>
      </c>
      <c r="B498" s="31" t="s">
        <v>113</v>
      </c>
      <c r="C498" s="31">
        <v>12</v>
      </c>
      <c r="D498" s="31" t="s">
        <v>248</v>
      </c>
      <c r="E498" s="25" t="s">
        <v>249</v>
      </c>
      <c r="F498" s="21" t="s">
        <v>249</v>
      </c>
      <c r="G498" s="21" t="str">
        <f>VLOOKUP(D498,[6]成飞半成品!$A:$B,2,0)</f>
        <v>10060下接头</v>
      </c>
      <c r="H498" s="31" t="s">
        <v>250</v>
      </c>
      <c r="I498" s="31">
        <v>25</v>
      </c>
      <c r="J498" s="37" t="s">
        <v>1923</v>
      </c>
      <c r="K498" s="31">
        <v>0.8</v>
      </c>
      <c r="L498" s="31">
        <v>1</v>
      </c>
      <c r="M498" s="37"/>
      <c r="N498" s="31">
        <v>28</v>
      </c>
      <c r="O498" s="77" t="s">
        <v>330</v>
      </c>
      <c r="P498" s="31"/>
      <c r="Q498" s="31">
        <v>1080</v>
      </c>
      <c r="R498" s="31"/>
      <c r="S498" s="31"/>
      <c r="T498" s="31"/>
      <c r="U498" s="31">
        <v>120</v>
      </c>
      <c r="V498" s="31"/>
      <c r="W498" s="37"/>
      <c r="X498" s="37"/>
      <c r="Y498" s="79">
        <v>18</v>
      </c>
      <c r="Z498" s="31" t="s">
        <v>10</v>
      </c>
      <c r="AA498" s="37"/>
      <c r="AB498" s="37"/>
    </row>
    <row r="499" spans="1:28" ht="23.1" customHeight="1" x14ac:dyDescent="0.25">
      <c r="A499" s="53" t="s">
        <v>575</v>
      </c>
      <c r="B499" s="31" t="s">
        <v>113</v>
      </c>
      <c r="C499" s="31">
        <v>58</v>
      </c>
      <c r="D499" s="31" t="s">
        <v>423</v>
      </c>
      <c r="E499" s="25" t="s">
        <v>424</v>
      </c>
      <c r="F499" s="21" t="s">
        <v>424</v>
      </c>
      <c r="G499" s="21" t="str">
        <f>VLOOKUP(D499,[6]成飞半成品!$A:$B,2,0)</f>
        <v>后梁四段</v>
      </c>
      <c r="H499" s="31" t="s">
        <v>107</v>
      </c>
      <c r="I499" s="31">
        <v>30</v>
      </c>
      <c r="J499" s="37" t="s">
        <v>1994</v>
      </c>
      <c r="K499" s="31">
        <v>10</v>
      </c>
      <c r="L499" s="31">
        <v>10</v>
      </c>
      <c r="M499" s="31">
        <v>23</v>
      </c>
      <c r="N499" s="31">
        <v>9</v>
      </c>
      <c r="O499" s="77" t="s">
        <v>508</v>
      </c>
      <c r="P499" s="34"/>
      <c r="Q499" s="31">
        <v>50</v>
      </c>
      <c r="R499" s="31">
        <v>30</v>
      </c>
      <c r="S499" s="31"/>
      <c r="T499" s="31"/>
      <c r="U499" s="31">
        <v>60</v>
      </c>
      <c r="V499" s="31"/>
      <c r="W499" s="37">
        <v>1</v>
      </c>
      <c r="X499" s="37"/>
      <c r="Y499" s="79">
        <v>9.3000000000000007</v>
      </c>
      <c r="Z499" s="31" t="s">
        <v>7</v>
      </c>
      <c r="AA499" s="37" t="s">
        <v>649</v>
      </c>
      <c r="AB499" s="37"/>
    </row>
    <row r="500" spans="1:28" ht="23.1" customHeight="1" x14ac:dyDescent="0.25">
      <c r="A500" s="53" t="s">
        <v>575</v>
      </c>
      <c r="B500" s="31" t="s">
        <v>113</v>
      </c>
      <c r="C500" s="31">
        <v>23</v>
      </c>
      <c r="D500" s="31" t="s">
        <v>254</v>
      </c>
      <c r="E500" s="25" t="s">
        <v>255</v>
      </c>
      <c r="F500" s="21" t="s">
        <v>1016</v>
      </c>
      <c r="G500" s="21" t="str">
        <f>VLOOKUP(D500,[6]成飞半成品!$A:$B,2,0)</f>
        <v>9350-11140右侧上梁</v>
      </c>
      <c r="H500" s="31" t="s">
        <v>375</v>
      </c>
      <c r="I500" s="31">
        <v>37</v>
      </c>
      <c r="J500" s="37"/>
      <c r="K500" s="31">
        <v>1</v>
      </c>
      <c r="L500" s="31">
        <v>1.3</v>
      </c>
      <c r="M500" s="31">
        <v>5</v>
      </c>
      <c r="N500" s="31">
        <v>28</v>
      </c>
      <c r="O500" s="77" t="s">
        <v>475</v>
      </c>
      <c r="P500" s="25">
        <v>660</v>
      </c>
      <c r="Q500" s="31"/>
      <c r="R500" s="31"/>
      <c r="S500" s="31">
        <v>90</v>
      </c>
      <c r="T500" s="31">
        <v>1</v>
      </c>
      <c r="U500" s="31"/>
      <c r="V500" s="31"/>
      <c r="W500" s="37"/>
      <c r="X500" s="37"/>
      <c r="Y500" s="83">
        <v>15.8</v>
      </c>
      <c r="Z500" s="31" t="s">
        <v>22</v>
      </c>
      <c r="AA500" s="37" t="s">
        <v>145</v>
      </c>
      <c r="AB500" s="37"/>
    </row>
    <row r="501" spans="1:28" ht="23.1" customHeight="1" x14ac:dyDescent="0.25">
      <c r="A501" s="53" t="s">
        <v>575</v>
      </c>
      <c r="B501" s="31" t="s">
        <v>113</v>
      </c>
      <c r="C501" s="31">
        <v>47</v>
      </c>
      <c r="D501" s="31" t="s">
        <v>332</v>
      </c>
      <c r="E501" s="25" t="s">
        <v>333</v>
      </c>
      <c r="F501" s="21" t="s">
        <v>2548</v>
      </c>
      <c r="G501" s="21" t="str">
        <f>VLOOKUP(D501,[6]成飞半成品!$A:$B,2,0)</f>
        <v>5550上框</v>
      </c>
      <c r="H501" s="31" t="s">
        <v>334</v>
      </c>
      <c r="I501" s="31">
        <v>20</v>
      </c>
      <c r="J501" s="37" t="s">
        <v>1959</v>
      </c>
      <c r="K501" s="31">
        <v>1</v>
      </c>
      <c r="L501" s="31">
        <v>1.2</v>
      </c>
      <c r="M501" s="31">
        <v>5</v>
      </c>
      <c r="N501" s="31">
        <v>28</v>
      </c>
      <c r="O501" s="77" t="s">
        <v>445</v>
      </c>
      <c r="P501" s="34"/>
      <c r="Q501" s="31">
        <v>720</v>
      </c>
      <c r="R501" s="31">
        <v>90</v>
      </c>
      <c r="S501" s="31"/>
      <c r="T501" s="31">
        <v>1</v>
      </c>
      <c r="U501" s="31">
        <v>120</v>
      </c>
      <c r="V501" s="31"/>
      <c r="W501" s="37"/>
      <c r="X501" s="37"/>
      <c r="Y501" s="79">
        <v>15.9</v>
      </c>
      <c r="Z501" s="31" t="s">
        <v>22</v>
      </c>
      <c r="AA501" s="37" t="s">
        <v>145</v>
      </c>
      <c r="AB501" s="37"/>
    </row>
    <row r="502" spans="1:28" ht="23.1" customHeight="1" x14ac:dyDescent="0.25">
      <c r="A502" s="53" t="s">
        <v>575</v>
      </c>
      <c r="B502" s="31" t="s">
        <v>113</v>
      </c>
      <c r="C502" s="31">
        <v>57</v>
      </c>
      <c r="D502" s="31" t="s">
        <v>594</v>
      </c>
      <c r="E502" s="25" t="s">
        <v>595</v>
      </c>
      <c r="F502" s="21" t="s">
        <v>595</v>
      </c>
      <c r="G502" s="21" t="str">
        <f>VLOOKUP(D502,[6]成飞半成品!$A:$B,2,0)</f>
        <v>加强件</v>
      </c>
      <c r="H502" s="31" t="s">
        <v>102</v>
      </c>
      <c r="I502" s="31">
        <v>15</v>
      </c>
      <c r="J502" s="37" t="s">
        <v>1989</v>
      </c>
      <c r="K502" s="31">
        <v>6</v>
      </c>
      <c r="L502" s="31">
        <v>4</v>
      </c>
      <c r="M502" s="37"/>
      <c r="N502" s="31">
        <v>23</v>
      </c>
      <c r="O502" s="77" t="s">
        <v>596</v>
      </c>
      <c r="P502" s="31"/>
      <c r="Q502" s="31">
        <v>80</v>
      </c>
      <c r="R502" s="31"/>
      <c r="S502" s="31"/>
      <c r="T502" s="31"/>
      <c r="U502" s="31">
        <v>60</v>
      </c>
      <c r="V502" s="31"/>
      <c r="W502" s="37"/>
      <c r="X502" s="37"/>
      <c r="Y502" s="79">
        <v>5.3</v>
      </c>
      <c r="Z502" s="31" t="s">
        <v>7</v>
      </c>
      <c r="AA502" s="37"/>
      <c r="AB502" s="37"/>
    </row>
    <row r="503" spans="1:28" ht="23.1" customHeight="1" x14ac:dyDescent="0.25">
      <c r="A503" s="53" t="s">
        <v>575</v>
      </c>
      <c r="B503" s="31" t="s">
        <v>113</v>
      </c>
      <c r="C503" s="31">
        <v>57</v>
      </c>
      <c r="D503" s="31" t="s">
        <v>594</v>
      </c>
      <c r="E503" s="25" t="s">
        <v>595</v>
      </c>
      <c r="F503" s="21" t="s">
        <v>595</v>
      </c>
      <c r="G503" s="21" t="str">
        <f>VLOOKUP(D503,[6]成飞半成品!$A:$B,2,0)</f>
        <v>加强件</v>
      </c>
      <c r="H503" s="31" t="s">
        <v>102</v>
      </c>
      <c r="I503" s="31">
        <v>20</v>
      </c>
      <c r="J503" s="31" t="s">
        <v>2002</v>
      </c>
      <c r="K503" s="37"/>
      <c r="L503" s="31">
        <v>2</v>
      </c>
      <c r="M503" s="31">
        <v>23</v>
      </c>
      <c r="N503" s="31">
        <v>28</v>
      </c>
      <c r="O503" s="77" t="s">
        <v>596</v>
      </c>
      <c r="P503" s="31"/>
      <c r="Q503" s="31">
        <v>120</v>
      </c>
      <c r="R503" s="31"/>
      <c r="S503" s="31"/>
      <c r="T503" s="31"/>
      <c r="U503" s="31">
        <v>60</v>
      </c>
      <c r="V503" s="31"/>
      <c r="W503" s="37"/>
      <c r="X503" s="37"/>
      <c r="Y503" s="79">
        <v>4</v>
      </c>
      <c r="Z503" s="31" t="s">
        <v>7</v>
      </c>
      <c r="AA503" s="37"/>
      <c r="AB503" s="37"/>
    </row>
    <row r="504" spans="1:28" ht="23.1" customHeight="1" x14ac:dyDescent="0.25">
      <c r="A504" s="53" t="s">
        <v>575</v>
      </c>
      <c r="B504" s="31" t="s">
        <v>113</v>
      </c>
      <c r="C504" s="31">
        <v>16</v>
      </c>
      <c r="D504" s="31" t="s">
        <v>626</v>
      </c>
      <c r="E504" s="25" t="s">
        <v>627</v>
      </c>
      <c r="F504" s="21" t="s">
        <v>627</v>
      </c>
      <c r="G504" s="21" t="str">
        <f>VLOOKUP(D504,[6]成飞半成品!$A:$B,2,0)</f>
        <v>插槽</v>
      </c>
      <c r="H504" s="31" t="s">
        <v>102</v>
      </c>
      <c r="I504" s="31">
        <v>40</v>
      </c>
      <c r="J504" s="37" t="s">
        <v>2003</v>
      </c>
      <c r="K504" s="31">
        <v>6</v>
      </c>
      <c r="L504" s="31">
        <v>6</v>
      </c>
      <c r="M504" s="31">
        <v>23</v>
      </c>
      <c r="N504" s="37"/>
      <c r="O504" s="77" t="s">
        <v>140</v>
      </c>
      <c r="P504" s="34"/>
      <c r="Q504" s="31">
        <v>25</v>
      </c>
      <c r="R504" s="31"/>
      <c r="S504" s="31"/>
      <c r="T504" s="31"/>
      <c r="U504" s="31">
        <v>60</v>
      </c>
      <c r="V504" s="31"/>
      <c r="W504" s="37"/>
      <c r="X504" s="37"/>
      <c r="Y504" s="79">
        <v>2.5</v>
      </c>
      <c r="Z504" s="31" t="s">
        <v>63</v>
      </c>
      <c r="AA504" s="37" t="s">
        <v>650</v>
      </c>
      <c r="AB504" s="37"/>
    </row>
    <row r="505" spans="1:28" ht="23.1" customHeight="1" x14ac:dyDescent="0.25">
      <c r="A505" s="53" t="s">
        <v>575</v>
      </c>
      <c r="B505" s="31" t="s">
        <v>113</v>
      </c>
      <c r="C505" s="31">
        <v>13</v>
      </c>
      <c r="D505" s="31" t="s">
        <v>245</v>
      </c>
      <c r="E505" s="25" t="s">
        <v>246</v>
      </c>
      <c r="F505" s="21" t="s">
        <v>246</v>
      </c>
      <c r="G505" s="21" t="str">
        <f>VLOOKUP(D505,[6]成飞半成品!$A:$B,2,0)</f>
        <v>外侧轴承盖</v>
      </c>
      <c r="H505" s="31" t="s">
        <v>123</v>
      </c>
      <c r="I505" s="31">
        <v>45</v>
      </c>
      <c r="J505" s="37" t="s">
        <v>1954</v>
      </c>
      <c r="K505" s="31">
        <v>3</v>
      </c>
      <c r="L505" s="31">
        <v>4</v>
      </c>
      <c r="M505" s="31">
        <v>28</v>
      </c>
      <c r="N505" s="31">
        <v>28</v>
      </c>
      <c r="O505" s="77" t="s">
        <v>247</v>
      </c>
      <c r="P505" s="31"/>
      <c r="Q505" s="31">
        <v>250</v>
      </c>
      <c r="R505" s="31"/>
      <c r="S505" s="31"/>
      <c r="T505" s="31"/>
      <c r="U505" s="31">
        <v>90</v>
      </c>
      <c r="V505" s="31"/>
      <c r="W505" s="37"/>
      <c r="X505" s="37"/>
      <c r="Y505" s="79">
        <v>16.7</v>
      </c>
      <c r="Z505" s="31" t="s">
        <v>10</v>
      </c>
      <c r="AA505" s="37"/>
      <c r="AB505" s="37"/>
    </row>
    <row r="506" spans="1:28" ht="23.1" customHeight="1" x14ac:dyDescent="0.25">
      <c r="A506" s="53" t="s">
        <v>575</v>
      </c>
      <c r="B506" s="31" t="s">
        <v>113</v>
      </c>
      <c r="C506" s="31">
        <v>21</v>
      </c>
      <c r="D506" s="31" t="s">
        <v>321</v>
      </c>
      <c r="E506" s="25" t="s">
        <v>322</v>
      </c>
      <c r="F506" s="21" t="s">
        <v>322</v>
      </c>
      <c r="G506" s="21" t="str">
        <f>VLOOKUP(D506,[6]成飞半成品!$A:$B,2,0)</f>
        <v>10860框</v>
      </c>
      <c r="H506" s="31" t="s">
        <v>323</v>
      </c>
      <c r="I506" s="31">
        <v>50</v>
      </c>
      <c r="J506" s="37" t="s">
        <v>1986</v>
      </c>
      <c r="K506" s="31">
        <v>0.2</v>
      </c>
      <c r="L506" s="31">
        <v>0.5</v>
      </c>
      <c r="M506" s="37"/>
      <c r="N506" s="31">
        <v>26</v>
      </c>
      <c r="O506" s="77" t="s">
        <v>609</v>
      </c>
      <c r="P506" s="34"/>
      <c r="Q506" s="31">
        <v>630</v>
      </c>
      <c r="R506" s="31">
        <v>120</v>
      </c>
      <c r="S506" s="31"/>
      <c r="T506" s="31"/>
      <c r="U506" s="31">
        <v>180</v>
      </c>
      <c r="V506" s="31"/>
      <c r="W506" s="37"/>
      <c r="X506" s="37"/>
      <c r="Y506" s="79">
        <v>5.3</v>
      </c>
      <c r="Z506" s="31" t="s">
        <v>49</v>
      </c>
      <c r="AA506" s="37"/>
      <c r="AB506" s="37"/>
    </row>
    <row r="507" spans="1:28" ht="23.1" customHeight="1" x14ac:dyDescent="0.25">
      <c r="A507" s="53" t="s">
        <v>575</v>
      </c>
      <c r="B507" s="31" t="s">
        <v>113</v>
      </c>
      <c r="C507" s="31">
        <v>21</v>
      </c>
      <c r="D507" s="31" t="s">
        <v>321</v>
      </c>
      <c r="E507" s="25" t="s">
        <v>322</v>
      </c>
      <c r="F507" s="21" t="s">
        <v>322</v>
      </c>
      <c r="G507" s="21" t="str">
        <f>VLOOKUP(D507,[6]成飞半成品!$A:$B,2,0)</f>
        <v>10860框</v>
      </c>
      <c r="H507" s="31" t="s">
        <v>323</v>
      </c>
      <c r="I507" s="31">
        <v>55</v>
      </c>
      <c r="J507" s="37" t="s">
        <v>2004</v>
      </c>
      <c r="K507" s="31">
        <v>1</v>
      </c>
      <c r="L507" s="31">
        <v>0.8</v>
      </c>
      <c r="M507" s="37"/>
      <c r="N507" s="31">
        <v>28</v>
      </c>
      <c r="O507" s="77" t="s">
        <v>609</v>
      </c>
      <c r="P507" s="34"/>
      <c r="Q507" s="31">
        <v>660</v>
      </c>
      <c r="R507" s="31">
        <v>120</v>
      </c>
      <c r="S507" s="31"/>
      <c r="T507" s="31">
        <v>1</v>
      </c>
      <c r="U507" s="31">
        <v>180</v>
      </c>
      <c r="V507" s="31"/>
      <c r="W507" s="37">
        <v>1</v>
      </c>
      <c r="X507" s="37"/>
      <c r="Y507" s="79">
        <v>13.8</v>
      </c>
      <c r="Z507" s="31" t="s">
        <v>49</v>
      </c>
      <c r="AA507" s="37" t="s">
        <v>407</v>
      </c>
      <c r="AB507" s="37"/>
    </row>
    <row r="508" spans="1:28" ht="23.1" customHeight="1" x14ac:dyDescent="0.25">
      <c r="A508" s="53" t="s">
        <v>575</v>
      </c>
      <c r="B508" s="31" t="s">
        <v>113</v>
      </c>
      <c r="C508" s="31">
        <v>17</v>
      </c>
      <c r="D508" s="31" t="s">
        <v>352</v>
      </c>
      <c r="E508" s="25" t="s">
        <v>353</v>
      </c>
      <c r="F508" s="21" t="e">
        <v>#N/A</v>
      </c>
      <c r="G508" s="21" t="e">
        <f>VLOOKUP(D508,[6]成飞半成品!$A:$B,2,0)</f>
        <v>#N/A</v>
      </c>
      <c r="H508" s="31" t="s">
        <v>300</v>
      </c>
      <c r="I508" s="31">
        <v>30</v>
      </c>
      <c r="J508" s="37" t="s">
        <v>2005</v>
      </c>
      <c r="K508" s="31">
        <v>1</v>
      </c>
      <c r="L508" s="31">
        <v>2</v>
      </c>
      <c r="M508" s="31">
        <v>28</v>
      </c>
      <c r="N508" s="31">
        <v>28</v>
      </c>
      <c r="O508" s="77" t="s">
        <v>355</v>
      </c>
      <c r="P508" s="34"/>
      <c r="Q508" s="31">
        <v>480</v>
      </c>
      <c r="R508" s="31"/>
      <c r="S508" s="31"/>
      <c r="T508" s="31"/>
      <c r="U508" s="31">
        <v>120</v>
      </c>
      <c r="V508" s="31"/>
      <c r="W508" s="37"/>
      <c r="X508" s="37"/>
      <c r="Y508" s="79">
        <v>16</v>
      </c>
      <c r="Z508" s="31" t="s">
        <v>16</v>
      </c>
      <c r="AA508" s="37"/>
      <c r="AB508" s="37"/>
    </row>
    <row r="509" spans="1:28" ht="23.1" customHeight="1" x14ac:dyDescent="0.25">
      <c r="A509" s="53" t="s">
        <v>575</v>
      </c>
      <c r="B509" s="31" t="s">
        <v>113</v>
      </c>
      <c r="C509" s="31">
        <v>108</v>
      </c>
      <c r="D509" s="31" t="s">
        <v>173</v>
      </c>
      <c r="E509" s="25" t="s">
        <v>174</v>
      </c>
      <c r="F509" s="21" t="s">
        <v>1246</v>
      </c>
      <c r="G509" s="21" t="str">
        <f>VLOOKUP(D509,[6]成飞半成品!$A:$B,2,0)</f>
        <v>根肋后段</v>
      </c>
      <c r="H509" s="31" t="s">
        <v>154</v>
      </c>
      <c r="I509" s="31">
        <v>25</v>
      </c>
      <c r="J509" s="37" t="s">
        <v>2006</v>
      </c>
      <c r="K509" s="31">
        <v>0.5</v>
      </c>
      <c r="L509" s="31">
        <v>1</v>
      </c>
      <c r="M509" s="31">
        <v>28</v>
      </c>
      <c r="N509" s="31">
        <v>28</v>
      </c>
      <c r="O509" s="77" t="s">
        <v>421</v>
      </c>
      <c r="P509" s="34"/>
      <c r="Q509" s="31">
        <v>1050</v>
      </c>
      <c r="R509" s="31">
        <v>90</v>
      </c>
      <c r="S509" s="31"/>
      <c r="T509" s="31"/>
      <c r="U509" s="31">
        <v>120</v>
      </c>
      <c r="V509" s="31"/>
      <c r="W509" s="37"/>
      <c r="X509" s="37">
        <v>2</v>
      </c>
      <c r="Y509" s="79">
        <v>19.5</v>
      </c>
      <c r="Z509" s="31" t="s">
        <v>13</v>
      </c>
      <c r="AA509" s="37" t="s">
        <v>651</v>
      </c>
      <c r="AB509" s="25" t="s">
        <v>238</v>
      </c>
    </row>
    <row r="510" spans="1:28" ht="23.1" customHeight="1" x14ac:dyDescent="0.25">
      <c r="A510" s="53" t="s">
        <v>575</v>
      </c>
      <c r="B510" s="31" t="s">
        <v>113</v>
      </c>
      <c r="C510" s="31">
        <v>55</v>
      </c>
      <c r="D510" s="31" t="s">
        <v>589</v>
      </c>
      <c r="E510" s="25" t="s">
        <v>590</v>
      </c>
      <c r="F510" s="21" t="s">
        <v>590</v>
      </c>
      <c r="G510" s="21" t="str">
        <f>VLOOKUP(D510,[6]成飞半成品!$A:$B,2,0)</f>
        <v>激励器转接件</v>
      </c>
      <c r="H510" s="31" t="s">
        <v>118</v>
      </c>
      <c r="I510" s="31">
        <v>58</v>
      </c>
      <c r="J510" s="37"/>
      <c r="K510" s="31">
        <v>6</v>
      </c>
      <c r="L510" s="31">
        <v>7</v>
      </c>
      <c r="M510" s="31">
        <v>37</v>
      </c>
      <c r="N510" s="31">
        <v>37</v>
      </c>
      <c r="O510" s="77" t="s">
        <v>567</v>
      </c>
      <c r="P510" s="34">
        <v>25</v>
      </c>
      <c r="Q510" s="31"/>
      <c r="R510" s="31"/>
      <c r="S510" s="31"/>
      <c r="T510" s="31"/>
      <c r="U510" s="31"/>
      <c r="V510" s="31"/>
      <c r="W510" s="37"/>
      <c r="X510" s="37"/>
      <c r="Y510" s="83">
        <v>2.9</v>
      </c>
      <c r="Z510" s="31" t="s">
        <v>18</v>
      </c>
      <c r="AA510" s="37"/>
      <c r="AB510" s="37"/>
    </row>
    <row r="511" spans="1:28" ht="23.1" customHeight="1" x14ac:dyDescent="0.25">
      <c r="A511" s="53" t="s">
        <v>575</v>
      </c>
      <c r="B511" s="31" t="s">
        <v>113</v>
      </c>
      <c r="C511" s="31">
        <v>55</v>
      </c>
      <c r="D511" s="31" t="s">
        <v>589</v>
      </c>
      <c r="E511" s="25" t="s">
        <v>590</v>
      </c>
      <c r="F511" s="21" t="s">
        <v>590</v>
      </c>
      <c r="G511" s="21" t="str">
        <f>VLOOKUP(D511,[6]成飞半成品!$A:$B,2,0)</f>
        <v>激励器转接件</v>
      </c>
      <c r="H511" s="31" t="s">
        <v>118</v>
      </c>
      <c r="I511" s="31">
        <v>60</v>
      </c>
      <c r="J511" s="37" t="s">
        <v>2007</v>
      </c>
      <c r="K511" s="31">
        <v>12</v>
      </c>
      <c r="L511" s="31">
        <v>12</v>
      </c>
      <c r="M511" s="31">
        <v>5</v>
      </c>
      <c r="N511" s="31">
        <v>5</v>
      </c>
      <c r="O511" s="77" t="s">
        <v>567</v>
      </c>
      <c r="P511" s="34"/>
      <c r="Q511" s="31">
        <v>40</v>
      </c>
      <c r="R511" s="31"/>
      <c r="S511" s="31"/>
      <c r="T511" s="31"/>
      <c r="U511" s="31">
        <v>120</v>
      </c>
      <c r="V511" s="31"/>
      <c r="W511" s="37"/>
      <c r="X511" s="37"/>
      <c r="Y511" s="79">
        <v>8</v>
      </c>
      <c r="Z511" s="31" t="s">
        <v>18</v>
      </c>
      <c r="AA511" s="37"/>
      <c r="AB511" s="37"/>
    </row>
    <row r="512" spans="1:28" ht="23.1" customHeight="1" x14ac:dyDescent="0.25">
      <c r="A512" s="53" t="s">
        <v>575</v>
      </c>
      <c r="B512" s="31" t="s">
        <v>113</v>
      </c>
      <c r="C512" s="31">
        <v>11</v>
      </c>
      <c r="D512" s="31" t="s">
        <v>200</v>
      </c>
      <c r="E512" s="25" t="s">
        <v>317</v>
      </c>
      <c r="F512" s="21" t="s">
        <v>317</v>
      </c>
      <c r="G512" s="21" t="str">
        <f>VLOOKUP(D512,[6]成飞半成品!$A:$B,2,0)</f>
        <v>角盒</v>
      </c>
      <c r="H512" s="31" t="s">
        <v>154</v>
      </c>
      <c r="I512" s="31">
        <v>40</v>
      </c>
      <c r="J512" s="37" t="s">
        <v>1935</v>
      </c>
      <c r="K512" s="31">
        <v>3</v>
      </c>
      <c r="L512" s="31">
        <v>1</v>
      </c>
      <c r="M512" s="31">
        <v>23</v>
      </c>
      <c r="N512" s="31">
        <v>23</v>
      </c>
      <c r="O512" s="77" t="s">
        <v>168</v>
      </c>
      <c r="P512" s="34"/>
      <c r="Q512" s="31">
        <v>260</v>
      </c>
      <c r="R512" s="31"/>
      <c r="S512" s="31"/>
      <c r="T512" s="31"/>
      <c r="U512" s="31">
        <v>90</v>
      </c>
      <c r="V512" s="31"/>
      <c r="W512" s="37"/>
      <c r="X512" s="37"/>
      <c r="Y512" s="79">
        <v>4.3</v>
      </c>
      <c r="Z512" s="31" t="s">
        <v>63</v>
      </c>
      <c r="AA512" s="37"/>
      <c r="AB512" s="37"/>
    </row>
    <row r="513" spans="1:28" ht="23.1" customHeight="1" x14ac:dyDescent="0.25">
      <c r="A513" s="53" t="s">
        <v>575</v>
      </c>
      <c r="B513" s="31" t="s">
        <v>113</v>
      </c>
      <c r="C513" s="31">
        <v>11</v>
      </c>
      <c r="D513" s="31" t="s">
        <v>203</v>
      </c>
      <c r="E513" s="25" t="s">
        <v>317</v>
      </c>
      <c r="F513" s="21" t="s">
        <v>317</v>
      </c>
      <c r="G513" s="21" t="str">
        <f>VLOOKUP(D513,[6]成飞半成品!$A:$B,2,0)</f>
        <v>角盒</v>
      </c>
      <c r="H513" s="31" t="s">
        <v>154</v>
      </c>
      <c r="I513" s="31">
        <v>40</v>
      </c>
      <c r="J513" s="31" t="s">
        <v>1935</v>
      </c>
      <c r="K513" s="37"/>
      <c r="L513" s="31">
        <v>4</v>
      </c>
      <c r="M513" s="31">
        <v>23</v>
      </c>
      <c r="N513" s="31">
        <v>28</v>
      </c>
      <c r="O513" s="77" t="s">
        <v>585</v>
      </c>
      <c r="P513" s="34"/>
      <c r="Q513" s="31">
        <v>260</v>
      </c>
      <c r="R513" s="31"/>
      <c r="S513" s="31"/>
      <c r="T513" s="31"/>
      <c r="U513" s="31">
        <v>90</v>
      </c>
      <c r="V513" s="31"/>
      <c r="W513" s="37"/>
      <c r="X513" s="37"/>
      <c r="Y513" s="79">
        <v>17.3</v>
      </c>
      <c r="Z513" s="31" t="s">
        <v>63</v>
      </c>
      <c r="AA513" s="37"/>
      <c r="AB513" s="37"/>
    </row>
    <row r="514" spans="1:28" ht="23.1" customHeight="1" x14ac:dyDescent="0.25">
      <c r="A514" s="53" t="s">
        <v>575</v>
      </c>
      <c r="B514" s="31" t="s">
        <v>113</v>
      </c>
      <c r="C514" s="31">
        <v>77</v>
      </c>
      <c r="D514" s="31" t="s">
        <v>211</v>
      </c>
      <c r="E514" s="25" t="s">
        <v>212</v>
      </c>
      <c r="F514" s="21" t="s">
        <v>212</v>
      </c>
      <c r="G514" s="21" t="str">
        <f>VLOOKUP(D514,[6]成飞半成品!$A:$B,2,0)</f>
        <v>压板</v>
      </c>
      <c r="H514" s="31" t="s">
        <v>123</v>
      </c>
      <c r="I514" s="31">
        <v>15</v>
      </c>
      <c r="J514" s="37" t="s">
        <v>1893</v>
      </c>
      <c r="K514" s="31">
        <v>8</v>
      </c>
      <c r="L514" s="31">
        <v>9</v>
      </c>
      <c r="M514" s="31">
        <v>37</v>
      </c>
      <c r="N514" s="31">
        <v>23</v>
      </c>
      <c r="O514" s="77" t="s">
        <v>652</v>
      </c>
      <c r="P514" s="25">
        <v>100</v>
      </c>
      <c r="Q514" s="31">
        <v>60</v>
      </c>
      <c r="R514" s="31"/>
      <c r="S514" s="31"/>
      <c r="T514" s="31"/>
      <c r="U514" s="31">
        <v>90</v>
      </c>
      <c r="V514" s="31"/>
      <c r="W514" s="37"/>
      <c r="X514" s="37"/>
      <c r="Y514" s="83">
        <v>15</v>
      </c>
      <c r="Z514" s="31" t="s">
        <v>24</v>
      </c>
      <c r="AA514" s="37"/>
      <c r="AB514" s="37"/>
    </row>
    <row r="515" spans="1:28" ht="23.1" customHeight="1" x14ac:dyDescent="0.25">
      <c r="A515" s="53" t="s">
        <v>575</v>
      </c>
      <c r="B515" s="31" t="s">
        <v>113</v>
      </c>
      <c r="C515" s="31">
        <v>56</v>
      </c>
      <c r="D515" s="31" t="s">
        <v>273</v>
      </c>
      <c r="E515" s="25" t="s">
        <v>274</v>
      </c>
      <c r="F515" s="21" t="s">
        <v>274</v>
      </c>
      <c r="G515" s="21" t="str">
        <f>VLOOKUP(D515,[6]成飞半成品!$A:$B,2,0)</f>
        <v>前起落架水平接头</v>
      </c>
      <c r="H515" s="31" t="s">
        <v>154</v>
      </c>
      <c r="I515" s="31">
        <v>25</v>
      </c>
      <c r="J515" s="37" t="s">
        <v>2008</v>
      </c>
      <c r="K515" s="31">
        <v>15</v>
      </c>
      <c r="L515" s="31">
        <v>20</v>
      </c>
      <c r="M515" s="31">
        <v>26</v>
      </c>
      <c r="N515" s="31">
        <v>23</v>
      </c>
      <c r="O515" s="77" t="s">
        <v>231</v>
      </c>
      <c r="P515" s="34"/>
      <c r="Q515" s="31">
        <v>45</v>
      </c>
      <c r="R515" s="31"/>
      <c r="S515" s="31"/>
      <c r="T515" s="31"/>
      <c r="U515" s="31">
        <v>60</v>
      </c>
      <c r="V515" s="31"/>
      <c r="W515" s="37"/>
      <c r="X515" s="37"/>
      <c r="Y515" s="79">
        <v>15</v>
      </c>
      <c r="Z515" s="31" t="s">
        <v>18</v>
      </c>
      <c r="AA515" s="37"/>
      <c r="AB515" s="37"/>
    </row>
    <row r="516" spans="1:28" ht="23.1" customHeight="1" x14ac:dyDescent="0.25">
      <c r="A516" s="53" t="s">
        <v>653</v>
      </c>
      <c r="B516" s="31" t="s">
        <v>99</v>
      </c>
      <c r="C516" s="31">
        <v>13</v>
      </c>
      <c r="D516" s="31" t="s">
        <v>654</v>
      </c>
      <c r="E516" s="25" t="s">
        <v>246</v>
      </c>
      <c r="F516" s="21" t="s">
        <v>246</v>
      </c>
      <c r="G516" s="21" t="str">
        <f>VLOOKUP(D516,[6]成飞半成品!$A:$B,2,0)</f>
        <v>外侧轴承盖</v>
      </c>
      <c r="H516" s="31" t="s">
        <v>154</v>
      </c>
      <c r="I516" s="31">
        <v>10</v>
      </c>
      <c r="J516" s="37" t="s">
        <v>1916</v>
      </c>
      <c r="K516" s="31">
        <v>14</v>
      </c>
      <c r="L516" s="31">
        <v>14</v>
      </c>
      <c r="M516" s="31">
        <v>28</v>
      </c>
      <c r="N516" s="31">
        <v>28</v>
      </c>
      <c r="O516" s="77" t="s">
        <v>247</v>
      </c>
      <c r="P516" s="34"/>
      <c r="Q516" s="31">
        <v>60</v>
      </c>
      <c r="R516" s="31"/>
      <c r="S516" s="31"/>
      <c r="T516" s="31"/>
      <c r="U516" s="31">
        <v>60</v>
      </c>
      <c r="V516" s="31"/>
      <c r="W516" s="37">
        <v>1</v>
      </c>
      <c r="X516" s="37"/>
      <c r="Y516" s="79">
        <v>15</v>
      </c>
      <c r="Z516" s="31" t="s">
        <v>72</v>
      </c>
      <c r="AA516" s="37" t="s">
        <v>92</v>
      </c>
      <c r="AB516" s="37"/>
    </row>
    <row r="517" spans="1:28" ht="23.1" customHeight="1" x14ac:dyDescent="0.25">
      <c r="A517" s="53" t="s">
        <v>653</v>
      </c>
      <c r="B517" s="31" t="s">
        <v>99</v>
      </c>
      <c r="C517" s="31">
        <v>13</v>
      </c>
      <c r="D517" s="31" t="s">
        <v>654</v>
      </c>
      <c r="E517" s="25" t="s">
        <v>246</v>
      </c>
      <c r="F517" s="21" t="s">
        <v>246</v>
      </c>
      <c r="G517" s="21" t="str">
        <f>VLOOKUP(D517,[6]成飞半成品!$A:$B,2,0)</f>
        <v>外侧轴承盖</v>
      </c>
      <c r="H517" s="31" t="s">
        <v>154</v>
      </c>
      <c r="I517" s="31">
        <v>15</v>
      </c>
      <c r="J517" s="37" t="s">
        <v>2433</v>
      </c>
      <c r="K517" s="31">
        <v>14</v>
      </c>
      <c r="L517" s="31">
        <v>14</v>
      </c>
      <c r="M517" s="31">
        <v>28</v>
      </c>
      <c r="N517" s="31">
        <v>28</v>
      </c>
      <c r="O517" s="77" t="s">
        <v>247</v>
      </c>
      <c r="P517" s="34"/>
      <c r="Q517" s="31">
        <v>50</v>
      </c>
      <c r="R517" s="31"/>
      <c r="S517" s="31"/>
      <c r="T517" s="31"/>
      <c r="U517" s="31">
        <v>60</v>
      </c>
      <c r="V517" s="31"/>
      <c r="W517" s="37"/>
      <c r="X517" s="37"/>
      <c r="Y517" s="79">
        <v>11.7</v>
      </c>
      <c r="Z517" s="31" t="s">
        <v>72</v>
      </c>
      <c r="AA517" s="37"/>
      <c r="AB517" s="37"/>
    </row>
    <row r="518" spans="1:28" ht="23.1" customHeight="1" x14ac:dyDescent="0.25">
      <c r="A518" s="53" t="s">
        <v>653</v>
      </c>
      <c r="B518" s="31" t="s">
        <v>99</v>
      </c>
      <c r="C518" s="31">
        <v>108</v>
      </c>
      <c r="D518" s="31" t="s">
        <v>173</v>
      </c>
      <c r="E518" s="25" t="s">
        <v>174</v>
      </c>
      <c r="F518" s="21" t="s">
        <v>1246</v>
      </c>
      <c r="G518" s="21" t="str">
        <f>VLOOKUP(D518,[6]成飞半成品!$A:$B,2,0)</f>
        <v>根肋后段</v>
      </c>
      <c r="H518" s="31" t="s">
        <v>154</v>
      </c>
      <c r="I518" s="31">
        <v>25</v>
      </c>
      <c r="J518" s="31" t="s">
        <v>2006</v>
      </c>
      <c r="K518" s="37"/>
      <c r="L518" s="31">
        <v>1</v>
      </c>
      <c r="M518" s="31">
        <v>28</v>
      </c>
      <c r="N518" s="31">
        <v>28</v>
      </c>
      <c r="O518" s="77" t="s">
        <v>470</v>
      </c>
      <c r="P518" s="34"/>
      <c r="Q518" s="31">
        <v>1050</v>
      </c>
      <c r="R518" s="31">
        <v>90</v>
      </c>
      <c r="S518" s="31"/>
      <c r="T518" s="31">
        <v>1</v>
      </c>
      <c r="U518" s="31">
        <v>120</v>
      </c>
      <c r="V518" s="31"/>
      <c r="W518" s="37"/>
      <c r="X518" s="37"/>
      <c r="Y518" s="79">
        <v>19</v>
      </c>
      <c r="Z518" s="31" t="s">
        <v>13</v>
      </c>
      <c r="AA518" s="37" t="s">
        <v>145</v>
      </c>
      <c r="AB518" s="37"/>
    </row>
    <row r="519" spans="1:28" ht="23.1" customHeight="1" x14ac:dyDescent="0.25">
      <c r="A519" s="53" t="s">
        <v>653</v>
      </c>
      <c r="B519" s="31" t="s">
        <v>99</v>
      </c>
      <c r="C519" s="31">
        <v>16</v>
      </c>
      <c r="D519" s="31" t="s">
        <v>626</v>
      </c>
      <c r="E519" s="25" t="s">
        <v>627</v>
      </c>
      <c r="F519" s="21" t="s">
        <v>627</v>
      </c>
      <c r="G519" s="21" t="str">
        <f>VLOOKUP(D519,[6]成飞半成品!$A:$B,2,0)</f>
        <v>插槽</v>
      </c>
      <c r="H519" s="31" t="s">
        <v>102</v>
      </c>
      <c r="I519" s="31">
        <v>45</v>
      </c>
      <c r="J519" s="31" t="s">
        <v>1996</v>
      </c>
      <c r="K519" s="37"/>
      <c r="L519" s="31">
        <v>2</v>
      </c>
      <c r="M519" s="31">
        <v>31</v>
      </c>
      <c r="N519" s="31">
        <v>9</v>
      </c>
      <c r="O519" s="77" t="s">
        <v>140</v>
      </c>
      <c r="P519" s="34"/>
      <c r="Q519" s="31">
        <v>30</v>
      </c>
      <c r="R519" s="31"/>
      <c r="S519" s="31"/>
      <c r="T519" s="31"/>
      <c r="U519" s="31">
        <v>60</v>
      </c>
      <c r="V519" s="31"/>
      <c r="W519" s="37"/>
      <c r="X519" s="37"/>
      <c r="Y519" s="79">
        <v>1</v>
      </c>
      <c r="Z519" s="31" t="s">
        <v>38</v>
      </c>
      <c r="AA519" s="37" t="s">
        <v>655</v>
      </c>
      <c r="AB519" s="37"/>
    </row>
    <row r="520" spans="1:28" ht="23.1" customHeight="1" x14ac:dyDescent="0.25">
      <c r="A520" s="53" t="s">
        <v>653</v>
      </c>
      <c r="B520" s="31" t="s">
        <v>99</v>
      </c>
      <c r="C520" s="31">
        <v>13</v>
      </c>
      <c r="D520" s="31" t="s">
        <v>687</v>
      </c>
      <c r="E520" s="25" t="s">
        <v>657</v>
      </c>
      <c r="F520" s="21" t="s">
        <v>657</v>
      </c>
      <c r="G520" s="21" t="str">
        <f>VLOOKUP(D520,[6]成飞半成品!$A:$B,2,0)</f>
        <v>拨叉</v>
      </c>
      <c r="H520" s="31" t="s">
        <v>658</v>
      </c>
      <c r="I520" s="31">
        <v>50</v>
      </c>
      <c r="J520" s="37" t="s">
        <v>2009</v>
      </c>
      <c r="K520" s="31">
        <v>3</v>
      </c>
      <c r="L520" s="31">
        <v>3</v>
      </c>
      <c r="M520" s="31">
        <v>37</v>
      </c>
      <c r="N520" s="31">
        <v>37</v>
      </c>
      <c r="O520" s="77" t="s">
        <v>659</v>
      </c>
      <c r="P520" s="34"/>
      <c r="Q520" s="31">
        <v>60</v>
      </c>
      <c r="R520" s="31"/>
      <c r="S520" s="31"/>
      <c r="T520" s="31"/>
      <c r="U520" s="31">
        <v>120</v>
      </c>
      <c r="V520" s="31"/>
      <c r="W520" s="37"/>
      <c r="X520" s="37"/>
      <c r="Y520" s="79">
        <v>3</v>
      </c>
      <c r="Z520" s="31" t="s">
        <v>72</v>
      </c>
      <c r="AA520" s="37"/>
      <c r="AB520" s="37"/>
    </row>
    <row r="521" spans="1:28" ht="23.1" customHeight="1" x14ac:dyDescent="0.25">
      <c r="A521" s="53" t="s">
        <v>653</v>
      </c>
      <c r="B521" s="31" t="s">
        <v>110</v>
      </c>
      <c r="C521" s="31">
        <v>77</v>
      </c>
      <c r="D521" s="31" t="s">
        <v>211</v>
      </c>
      <c r="E521" s="25" t="s">
        <v>212</v>
      </c>
      <c r="F521" s="21" t="s">
        <v>212</v>
      </c>
      <c r="G521" s="21" t="str">
        <f>VLOOKUP(D521,[6]成飞半成品!$A:$B,2,0)</f>
        <v>压板</v>
      </c>
      <c r="H521" s="31" t="s">
        <v>123</v>
      </c>
      <c r="I521" s="31">
        <v>15</v>
      </c>
      <c r="J521" s="37" t="s">
        <v>1893</v>
      </c>
      <c r="K521" s="31">
        <v>8</v>
      </c>
      <c r="L521" s="31">
        <v>10</v>
      </c>
      <c r="M521" s="31">
        <v>9</v>
      </c>
      <c r="N521" s="31">
        <v>37</v>
      </c>
      <c r="O521" s="77" t="s">
        <v>652</v>
      </c>
      <c r="P521" s="25">
        <v>100</v>
      </c>
      <c r="Q521" s="31">
        <v>60</v>
      </c>
      <c r="R521" s="31"/>
      <c r="S521" s="31"/>
      <c r="T521" s="31"/>
      <c r="U521" s="31">
        <v>90</v>
      </c>
      <c r="V521" s="31"/>
      <c r="W521" s="37"/>
      <c r="X521" s="37"/>
      <c r="Y521" s="83">
        <v>16.7</v>
      </c>
      <c r="Z521" s="31" t="s">
        <v>15</v>
      </c>
      <c r="AA521" s="37"/>
      <c r="AB521" s="37"/>
    </row>
    <row r="522" spans="1:28" ht="23.1" customHeight="1" x14ac:dyDescent="0.25">
      <c r="A522" s="53" t="s">
        <v>653</v>
      </c>
      <c r="B522" s="31" t="s">
        <v>110</v>
      </c>
      <c r="C522" s="31">
        <v>14</v>
      </c>
      <c r="D522" s="31" t="s">
        <v>235</v>
      </c>
      <c r="E522" s="25" t="s">
        <v>236</v>
      </c>
      <c r="F522" s="21" t="s">
        <v>236</v>
      </c>
      <c r="G522" s="21" t="str">
        <f>VLOOKUP(D522,[6]成飞半成品!$A:$B,2,0)</f>
        <v>右外侧接头</v>
      </c>
      <c r="H522" s="31" t="s">
        <v>154</v>
      </c>
      <c r="I522" s="31">
        <v>70</v>
      </c>
      <c r="J522" s="37" t="s">
        <v>1995</v>
      </c>
      <c r="K522" s="31">
        <v>0.7</v>
      </c>
      <c r="L522" s="31">
        <v>0.5</v>
      </c>
      <c r="M522" s="31">
        <v>19</v>
      </c>
      <c r="N522" s="37"/>
      <c r="O522" s="77" t="s">
        <v>159</v>
      </c>
      <c r="P522" s="31"/>
      <c r="Q522" s="31">
        <v>1320</v>
      </c>
      <c r="R522" s="31"/>
      <c r="S522" s="31"/>
      <c r="T522" s="31"/>
      <c r="U522" s="31">
        <v>120</v>
      </c>
      <c r="V522" s="31"/>
      <c r="W522" s="37"/>
      <c r="X522" s="37"/>
      <c r="Y522" s="79">
        <v>11</v>
      </c>
      <c r="Z522" s="31" t="s">
        <v>31</v>
      </c>
      <c r="AA522" s="37"/>
      <c r="AB522" s="37"/>
    </row>
    <row r="523" spans="1:28" ht="23.1" customHeight="1" x14ac:dyDescent="0.25">
      <c r="A523" s="53" t="s">
        <v>653</v>
      </c>
      <c r="B523" s="31" t="s">
        <v>110</v>
      </c>
      <c r="C523" s="31">
        <v>14</v>
      </c>
      <c r="D523" s="31" t="s">
        <v>276</v>
      </c>
      <c r="E523" s="25" t="s">
        <v>277</v>
      </c>
      <c r="F523" s="21" t="s">
        <v>277</v>
      </c>
      <c r="G523" s="21" t="str">
        <f>VLOOKUP(D523,[6]成飞半成品!$A:$B,2,0)</f>
        <v>左外侧接头</v>
      </c>
      <c r="H523" s="31" t="s">
        <v>154</v>
      </c>
      <c r="I523" s="31">
        <v>70</v>
      </c>
      <c r="J523" s="31" t="s">
        <v>1995</v>
      </c>
      <c r="K523" s="37"/>
      <c r="L523" s="31">
        <v>0.3</v>
      </c>
      <c r="M523" s="37"/>
      <c r="N523" s="31">
        <v>5</v>
      </c>
      <c r="O523" s="77" t="s">
        <v>234</v>
      </c>
      <c r="P523" s="31"/>
      <c r="Q523" s="31">
        <v>1320</v>
      </c>
      <c r="R523" s="31"/>
      <c r="S523" s="31"/>
      <c r="T523" s="31"/>
      <c r="U523" s="31">
        <v>120</v>
      </c>
      <c r="V523" s="31"/>
      <c r="W523" s="37"/>
      <c r="X523" s="37"/>
      <c r="Y523" s="79">
        <v>6.6</v>
      </c>
      <c r="Z523" s="31" t="s">
        <v>31</v>
      </c>
      <c r="AA523" s="37"/>
      <c r="AB523" s="37"/>
    </row>
    <row r="524" spans="1:28" ht="23.1" customHeight="1" x14ac:dyDescent="0.25">
      <c r="A524" s="53" t="s">
        <v>653</v>
      </c>
      <c r="B524" s="31" t="s">
        <v>110</v>
      </c>
      <c r="C524" s="31">
        <v>15</v>
      </c>
      <c r="D524" s="31" t="s">
        <v>592</v>
      </c>
      <c r="E524" s="25" t="s">
        <v>218</v>
      </c>
      <c r="F524" s="21" t="s">
        <v>218</v>
      </c>
      <c r="G524" s="21" t="str">
        <f>VLOOKUP(D524,[6]成飞半成品!$A:$B,2,0)</f>
        <v>横梁</v>
      </c>
      <c r="H524" s="31" t="s">
        <v>107</v>
      </c>
      <c r="I524" s="31">
        <v>20</v>
      </c>
      <c r="J524" s="37" t="s">
        <v>1896</v>
      </c>
      <c r="K524" s="31">
        <v>2</v>
      </c>
      <c r="L524" s="31">
        <v>4</v>
      </c>
      <c r="M524" s="31">
        <v>31</v>
      </c>
      <c r="N524" s="31">
        <v>5</v>
      </c>
      <c r="O524" s="77" t="s">
        <v>456</v>
      </c>
      <c r="P524" s="34"/>
      <c r="Q524" s="31">
        <v>300</v>
      </c>
      <c r="R524" s="31"/>
      <c r="S524" s="31"/>
      <c r="T524" s="31"/>
      <c r="U524" s="31">
        <v>90</v>
      </c>
      <c r="V524" s="31"/>
      <c r="W524" s="37"/>
      <c r="X524" s="37">
        <v>3</v>
      </c>
      <c r="Y524" s="79">
        <v>23</v>
      </c>
      <c r="Z524" s="31" t="s">
        <v>31</v>
      </c>
      <c r="AA524" s="37" t="s">
        <v>660</v>
      </c>
      <c r="AB524" s="37"/>
    </row>
    <row r="525" spans="1:28" ht="23.1" customHeight="1" x14ac:dyDescent="0.25">
      <c r="A525" s="53" t="s">
        <v>653</v>
      </c>
      <c r="B525" s="31" t="s">
        <v>110</v>
      </c>
      <c r="C525" s="31">
        <v>12</v>
      </c>
      <c r="D525" s="31" t="s">
        <v>248</v>
      </c>
      <c r="E525" s="25" t="s">
        <v>249</v>
      </c>
      <c r="F525" s="21" t="s">
        <v>249</v>
      </c>
      <c r="G525" s="21" t="str">
        <f>VLOOKUP(D525,[6]成飞半成品!$A:$B,2,0)</f>
        <v>10060下接头</v>
      </c>
      <c r="H525" s="31" t="s">
        <v>250</v>
      </c>
      <c r="I525" s="31">
        <v>25</v>
      </c>
      <c r="J525" s="37" t="s">
        <v>1923</v>
      </c>
      <c r="K525" s="31">
        <v>0.8</v>
      </c>
      <c r="L525" s="31">
        <v>1</v>
      </c>
      <c r="M525" s="37"/>
      <c r="N525" s="31">
        <v>23</v>
      </c>
      <c r="O525" s="77" t="s">
        <v>251</v>
      </c>
      <c r="P525" s="34"/>
      <c r="Q525" s="31">
        <v>1080</v>
      </c>
      <c r="R525" s="31"/>
      <c r="S525" s="31"/>
      <c r="T525" s="31"/>
      <c r="U525" s="31">
        <v>120</v>
      </c>
      <c r="V525" s="31"/>
      <c r="W525" s="37"/>
      <c r="X525" s="37"/>
      <c r="Y525" s="79">
        <v>18</v>
      </c>
      <c r="Z525" s="31" t="s">
        <v>72</v>
      </c>
      <c r="AA525" s="37"/>
      <c r="AB525" s="37"/>
    </row>
    <row r="526" spans="1:28" ht="23.1" customHeight="1" x14ac:dyDescent="0.25">
      <c r="A526" s="53" t="s">
        <v>653</v>
      </c>
      <c r="B526" s="31" t="s">
        <v>110</v>
      </c>
      <c r="C526" s="31">
        <v>76</v>
      </c>
      <c r="D526" s="31" t="s">
        <v>543</v>
      </c>
      <c r="E526" s="25" t="s">
        <v>544</v>
      </c>
      <c r="F526" s="21" t="s">
        <v>544</v>
      </c>
      <c r="G526" s="21" t="str">
        <f>VLOOKUP(D526,[6]成飞半成品!$A:$B,2,0)</f>
        <v>3#上垫片</v>
      </c>
      <c r="H526" s="31" t="s">
        <v>154</v>
      </c>
      <c r="I526" s="31">
        <v>15</v>
      </c>
      <c r="J526" s="37" t="s">
        <v>1926</v>
      </c>
      <c r="K526" s="31">
        <v>7</v>
      </c>
      <c r="L526" s="31">
        <v>5</v>
      </c>
      <c r="M526" s="31">
        <v>28</v>
      </c>
      <c r="N526" s="31">
        <v>37</v>
      </c>
      <c r="O526" s="77" t="s">
        <v>463</v>
      </c>
      <c r="P526" s="31"/>
      <c r="Q526" s="31">
        <v>90</v>
      </c>
      <c r="R526" s="31"/>
      <c r="S526" s="31"/>
      <c r="T526" s="31"/>
      <c r="U526" s="31">
        <v>90</v>
      </c>
      <c r="V526" s="31"/>
      <c r="W526" s="37">
        <v>1</v>
      </c>
      <c r="X526" s="37"/>
      <c r="Y526" s="79">
        <v>9</v>
      </c>
      <c r="Z526" s="31" t="s">
        <v>46</v>
      </c>
      <c r="AA526" s="37" t="s">
        <v>331</v>
      </c>
      <c r="AB526" s="37"/>
    </row>
    <row r="527" spans="1:28" ht="23.1" customHeight="1" x14ac:dyDescent="0.25">
      <c r="A527" s="53" t="s">
        <v>653</v>
      </c>
      <c r="B527" s="31" t="s">
        <v>110</v>
      </c>
      <c r="C527" s="31">
        <v>24</v>
      </c>
      <c r="D527" s="31" t="s">
        <v>294</v>
      </c>
      <c r="E527" s="25" t="s">
        <v>259</v>
      </c>
      <c r="F527" s="21" t="s">
        <v>979</v>
      </c>
      <c r="G527" s="21" t="str">
        <f>VLOOKUP(D527,[6]成飞半成品!$A:$B,2,0)</f>
        <v>梁（左件）</v>
      </c>
      <c r="H527" s="31" t="s">
        <v>118</v>
      </c>
      <c r="I527" s="31">
        <v>50</v>
      </c>
      <c r="J527" s="37" t="s">
        <v>1965</v>
      </c>
      <c r="K527" s="31">
        <v>0.5</v>
      </c>
      <c r="L527" s="31">
        <v>0.5</v>
      </c>
      <c r="M527" s="31">
        <v>28</v>
      </c>
      <c r="N527" s="31">
        <v>5</v>
      </c>
      <c r="O527" s="77" t="s">
        <v>661</v>
      </c>
      <c r="P527" s="34"/>
      <c r="Q527" s="31">
        <v>1960</v>
      </c>
      <c r="R527" s="31">
        <v>120</v>
      </c>
      <c r="S527" s="31"/>
      <c r="T527" s="31">
        <v>1</v>
      </c>
      <c r="U527" s="31">
        <v>180</v>
      </c>
      <c r="V527" s="31"/>
      <c r="W527" s="37"/>
      <c r="X527" s="37"/>
      <c r="Y527" s="79">
        <v>18.3</v>
      </c>
      <c r="Z527" s="31" t="s">
        <v>3</v>
      </c>
      <c r="AA527" s="37" t="s">
        <v>145</v>
      </c>
      <c r="AB527" s="37"/>
    </row>
    <row r="528" spans="1:28" ht="23.1" customHeight="1" x14ac:dyDescent="0.25">
      <c r="A528" s="53" t="s">
        <v>653</v>
      </c>
      <c r="B528" s="31" t="s">
        <v>110</v>
      </c>
      <c r="C528" s="31">
        <v>69</v>
      </c>
      <c r="D528" s="31" t="s">
        <v>662</v>
      </c>
      <c r="E528" s="25" t="s">
        <v>663</v>
      </c>
      <c r="F528" s="21" t="s">
        <v>663</v>
      </c>
      <c r="G528" s="21" t="str">
        <f>VLOOKUP(D528,[6]成飞半成品!$A:$B,2,0)</f>
        <v>前端框</v>
      </c>
      <c r="H528" s="31" t="s">
        <v>250</v>
      </c>
      <c r="I528" s="31">
        <v>55</v>
      </c>
      <c r="J528" s="37" t="s">
        <v>2010</v>
      </c>
      <c r="K528" s="31">
        <v>4</v>
      </c>
      <c r="L528" s="31">
        <v>1</v>
      </c>
      <c r="M528" s="31">
        <v>37</v>
      </c>
      <c r="N528" s="37"/>
      <c r="O528" s="77" t="s">
        <v>664</v>
      </c>
      <c r="P528" s="34"/>
      <c r="Q528" s="31">
        <v>450</v>
      </c>
      <c r="R528" s="31">
        <v>90</v>
      </c>
      <c r="S528" s="31"/>
      <c r="T528" s="31"/>
      <c r="U528" s="31">
        <v>180</v>
      </c>
      <c r="V528" s="31"/>
      <c r="W528" s="37">
        <v>1</v>
      </c>
      <c r="X528" s="37">
        <v>4</v>
      </c>
      <c r="Y528" s="79">
        <v>14.5</v>
      </c>
      <c r="Z528" s="31" t="s">
        <v>3</v>
      </c>
      <c r="AA528" s="37" t="s">
        <v>665</v>
      </c>
      <c r="AB528" s="37"/>
    </row>
    <row r="529" spans="1:28" ht="23.1" customHeight="1" x14ac:dyDescent="0.25">
      <c r="A529" s="53" t="s">
        <v>653</v>
      </c>
      <c r="B529" s="31" t="s">
        <v>110</v>
      </c>
      <c r="C529" s="31">
        <v>91</v>
      </c>
      <c r="D529" s="31" t="s">
        <v>643</v>
      </c>
      <c r="E529" s="25" t="s">
        <v>644</v>
      </c>
      <c r="F529" s="21" t="s">
        <v>644</v>
      </c>
      <c r="G529" s="21" t="str">
        <f>VLOOKUP(D529,[6]成飞半成品!$A:$B,2,0)</f>
        <v>辅助动力舱口盖前段</v>
      </c>
      <c r="H529" s="31" t="s">
        <v>154</v>
      </c>
      <c r="I529" s="31">
        <v>45</v>
      </c>
      <c r="J529" s="37" t="s">
        <v>2001</v>
      </c>
      <c r="K529" s="31">
        <v>2</v>
      </c>
      <c r="L529" s="31">
        <v>1.8</v>
      </c>
      <c r="M529" s="31">
        <v>28</v>
      </c>
      <c r="N529" s="31">
        <v>26</v>
      </c>
      <c r="O529" s="77" t="s">
        <v>666</v>
      </c>
      <c r="P529" s="34"/>
      <c r="Q529" s="31">
        <v>210</v>
      </c>
      <c r="R529" s="31">
        <v>90</v>
      </c>
      <c r="S529" s="31"/>
      <c r="T529" s="31">
        <v>2</v>
      </c>
      <c r="U529" s="31">
        <v>120</v>
      </c>
      <c r="V529" s="31"/>
      <c r="W529" s="37"/>
      <c r="X529" s="37"/>
      <c r="Y529" s="79">
        <v>9.3000000000000007</v>
      </c>
      <c r="Z529" s="31" t="s">
        <v>3</v>
      </c>
      <c r="AA529" s="37" t="s">
        <v>147</v>
      </c>
      <c r="AB529" s="37"/>
    </row>
    <row r="530" spans="1:28" ht="23.1" customHeight="1" x14ac:dyDescent="0.25">
      <c r="A530" s="53" t="s">
        <v>653</v>
      </c>
      <c r="B530" s="31" t="s">
        <v>110</v>
      </c>
      <c r="C530" s="31">
        <v>84</v>
      </c>
      <c r="D530" s="31" t="s">
        <v>214</v>
      </c>
      <c r="E530" s="25" t="s">
        <v>215</v>
      </c>
      <c r="F530" s="21" t="s">
        <v>215</v>
      </c>
      <c r="G530" s="21" t="str">
        <f>VLOOKUP(D530,[6]成飞半成品!$A:$B,2,0)</f>
        <v>口盖</v>
      </c>
      <c r="H530" s="31" t="s">
        <v>118</v>
      </c>
      <c r="I530" s="31">
        <v>28</v>
      </c>
      <c r="J530" s="37"/>
      <c r="K530" s="31">
        <v>9</v>
      </c>
      <c r="L530" s="31">
        <v>14</v>
      </c>
      <c r="M530" s="31">
        <v>28</v>
      </c>
      <c r="N530" s="31">
        <v>28</v>
      </c>
      <c r="O530" s="77" t="s">
        <v>667</v>
      </c>
      <c r="P530" s="34">
        <v>100</v>
      </c>
      <c r="Q530" s="31"/>
      <c r="R530" s="31"/>
      <c r="S530" s="31"/>
      <c r="T530" s="31">
        <v>14</v>
      </c>
      <c r="U530" s="31"/>
      <c r="V530" s="31"/>
      <c r="W530" s="37"/>
      <c r="X530" s="37"/>
      <c r="Y530" s="83">
        <v>23.3</v>
      </c>
      <c r="Z530" s="31" t="s">
        <v>3</v>
      </c>
      <c r="AA530" s="37" t="s">
        <v>668</v>
      </c>
      <c r="AB530" s="37"/>
    </row>
    <row r="531" spans="1:28" ht="23.1" customHeight="1" x14ac:dyDescent="0.25">
      <c r="A531" s="53" t="s">
        <v>653</v>
      </c>
      <c r="B531" s="31" t="s">
        <v>110</v>
      </c>
      <c r="C531" s="31">
        <v>9</v>
      </c>
      <c r="D531" s="31" t="s">
        <v>624</v>
      </c>
      <c r="E531" s="25" t="s">
        <v>625</v>
      </c>
      <c r="F531" s="21" t="s">
        <v>625</v>
      </c>
      <c r="G531" s="21" t="str">
        <f>VLOOKUP(D531,[6]成飞半成品!$A:$B,2,0)</f>
        <v>支架</v>
      </c>
      <c r="H531" s="31" t="s">
        <v>300</v>
      </c>
      <c r="I531" s="31">
        <v>45</v>
      </c>
      <c r="J531" s="37" t="s">
        <v>1991</v>
      </c>
      <c r="K531" s="31">
        <v>2</v>
      </c>
      <c r="L531" s="31">
        <v>10</v>
      </c>
      <c r="M531" s="31">
        <v>28</v>
      </c>
      <c r="N531" s="31">
        <v>28</v>
      </c>
      <c r="O531" s="77" t="s">
        <v>567</v>
      </c>
      <c r="P531" s="31"/>
      <c r="Q531" s="31">
        <v>55</v>
      </c>
      <c r="R531" s="31"/>
      <c r="S531" s="31"/>
      <c r="T531" s="31"/>
      <c r="U531" s="31">
        <v>60</v>
      </c>
      <c r="V531" s="31"/>
      <c r="W531" s="37"/>
      <c r="X531" s="37"/>
      <c r="Y531" s="79">
        <v>9.1999999999999993</v>
      </c>
      <c r="Z531" s="31" t="s">
        <v>55</v>
      </c>
      <c r="AA531" s="37"/>
      <c r="AB531" s="37"/>
    </row>
    <row r="532" spans="1:28" ht="23.1" customHeight="1" x14ac:dyDescent="0.25">
      <c r="A532" s="53" t="s">
        <v>653</v>
      </c>
      <c r="B532" s="31" t="s">
        <v>110</v>
      </c>
      <c r="C532" s="31">
        <v>10</v>
      </c>
      <c r="D532" s="31" t="s">
        <v>388</v>
      </c>
      <c r="E532" s="25" t="s">
        <v>389</v>
      </c>
      <c r="F532" s="21" t="s">
        <v>389</v>
      </c>
      <c r="G532" s="21" t="str">
        <f>VLOOKUP(D532,[6]成飞半成品!$A:$B,2,0)</f>
        <v>11968下口盖</v>
      </c>
      <c r="H532" s="31" t="s">
        <v>118</v>
      </c>
      <c r="I532" s="31">
        <v>10</v>
      </c>
      <c r="J532" s="37" t="s">
        <v>1916</v>
      </c>
      <c r="K532" s="31">
        <v>1</v>
      </c>
      <c r="L532" s="31">
        <v>1</v>
      </c>
      <c r="M532" s="37"/>
      <c r="N532" s="31">
        <v>28</v>
      </c>
      <c r="O532" s="77" t="s">
        <v>412</v>
      </c>
      <c r="P532" s="31"/>
      <c r="Q532" s="31">
        <v>60</v>
      </c>
      <c r="R532" s="31"/>
      <c r="S532" s="31"/>
      <c r="T532" s="31"/>
      <c r="U532" s="31">
        <v>120</v>
      </c>
      <c r="V532" s="31"/>
      <c r="W532" s="37"/>
      <c r="X532" s="37"/>
      <c r="Y532" s="79">
        <v>1</v>
      </c>
      <c r="Z532" s="31" t="s">
        <v>55</v>
      </c>
      <c r="AA532" s="37"/>
      <c r="AB532" s="37"/>
    </row>
    <row r="533" spans="1:28" ht="23.1" customHeight="1" x14ac:dyDescent="0.25">
      <c r="A533" s="53" t="s">
        <v>653</v>
      </c>
      <c r="B533" s="31" t="s">
        <v>110</v>
      </c>
      <c r="C533" s="31">
        <v>10</v>
      </c>
      <c r="D533" s="31" t="s">
        <v>232</v>
      </c>
      <c r="E533" s="25" t="s">
        <v>233</v>
      </c>
      <c r="F533" s="21" t="s">
        <v>233</v>
      </c>
      <c r="G533" s="21" t="str">
        <f>VLOOKUP(D533,[6]成飞半成品!$A:$B,2,0)</f>
        <v>左内侧接头</v>
      </c>
      <c r="H533" s="31" t="s">
        <v>102</v>
      </c>
      <c r="I533" s="31">
        <v>85</v>
      </c>
      <c r="J533" s="37" t="s">
        <v>2011</v>
      </c>
      <c r="K533" s="31">
        <v>2</v>
      </c>
      <c r="L533" s="31">
        <v>2</v>
      </c>
      <c r="M533" s="31">
        <v>28</v>
      </c>
      <c r="N533" s="31">
        <v>28</v>
      </c>
      <c r="O533" s="77" t="s">
        <v>438</v>
      </c>
      <c r="P533" s="31"/>
      <c r="Q533" s="31">
        <v>240</v>
      </c>
      <c r="R533" s="31"/>
      <c r="S533" s="31"/>
      <c r="T533" s="31"/>
      <c r="U533" s="31">
        <v>90</v>
      </c>
      <c r="V533" s="31"/>
      <c r="W533" s="37">
        <v>1</v>
      </c>
      <c r="X533" s="37"/>
      <c r="Y533" s="79">
        <v>9.5</v>
      </c>
      <c r="Z533" s="31" t="s">
        <v>55</v>
      </c>
      <c r="AA533" s="37" t="s">
        <v>669</v>
      </c>
      <c r="AB533" s="37"/>
    </row>
    <row r="534" spans="1:28" ht="23.1" customHeight="1" x14ac:dyDescent="0.25">
      <c r="A534" s="53" t="s">
        <v>653</v>
      </c>
      <c r="B534" s="31" t="s">
        <v>110</v>
      </c>
      <c r="C534" s="31">
        <v>10</v>
      </c>
      <c r="D534" s="31" t="s">
        <v>308</v>
      </c>
      <c r="E534" s="25" t="s">
        <v>309</v>
      </c>
      <c r="F534" s="21" t="s">
        <v>309</v>
      </c>
      <c r="G534" s="21" t="str">
        <f>VLOOKUP(D534,[6]成飞半成品!$A:$B,2,0)</f>
        <v>右内侧接头</v>
      </c>
      <c r="H534" s="31" t="s">
        <v>102</v>
      </c>
      <c r="I534" s="31">
        <v>85</v>
      </c>
      <c r="J534" s="37" t="s">
        <v>2011</v>
      </c>
      <c r="K534" s="31">
        <v>2</v>
      </c>
      <c r="L534" s="31">
        <v>2</v>
      </c>
      <c r="M534" s="31">
        <v>28</v>
      </c>
      <c r="N534" s="31">
        <v>28</v>
      </c>
      <c r="O534" s="77" t="s">
        <v>438</v>
      </c>
      <c r="P534" s="31"/>
      <c r="Q534" s="31">
        <v>240</v>
      </c>
      <c r="R534" s="31"/>
      <c r="S534" s="31"/>
      <c r="T534" s="31"/>
      <c r="U534" s="31">
        <v>90</v>
      </c>
      <c r="V534" s="31"/>
      <c r="W534" s="37">
        <v>1</v>
      </c>
      <c r="X534" s="37"/>
      <c r="Y534" s="79">
        <v>9.5</v>
      </c>
      <c r="Z534" s="31" t="s">
        <v>55</v>
      </c>
      <c r="AA534" s="37" t="s">
        <v>669</v>
      </c>
      <c r="AB534" s="37"/>
    </row>
    <row r="535" spans="1:28" ht="23.1" customHeight="1" x14ac:dyDescent="0.25">
      <c r="A535" s="53" t="s">
        <v>653</v>
      </c>
      <c r="B535" s="31" t="s">
        <v>110</v>
      </c>
      <c r="C535" s="31">
        <v>58</v>
      </c>
      <c r="D535" s="31" t="s">
        <v>423</v>
      </c>
      <c r="E535" s="25" t="s">
        <v>424</v>
      </c>
      <c r="F535" s="21" t="s">
        <v>424</v>
      </c>
      <c r="G535" s="21" t="str">
        <f>VLOOKUP(D535,[6]成飞半成品!$A:$B,2,0)</f>
        <v>后梁四段</v>
      </c>
      <c r="H535" s="31" t="s">
        <v>107</v>
      </c>
      <c r="I535" s="31">
        <v>35</v>
      </c>
      <c r="J535" s="37" t="s">
        <v>2012</v>
      </c>
      <c r="K535" s="31">
        <v>10</v>
      </c>
      <c r="L535" s="31">
        <v>10</v>
      </c>
      <c r="M535" s="31">
        <v>28</v>
      </c>
      <c r="N535" s="31">
        <v>28</v>
      </c>
      <c r="O535" s="77" t="s">
        <v>508</v>
      </c>
      <c r="P535" s="34"/>
      <c r="Q535" s="31">
        <v>50</v>
      </c>
      <c r="R535" s="31">
        <v>30</v>
      </c>
      <c r="S535" s="31"/>
      <c r="T535" s="31"/>
      <c r="U535" s="31">
        <v>60</v>
      </c>
      <c r="V535" s="31"/>
      <c r="W535" s="37"/>
      <c r="X535" s="37">
        <v>2</v>
      </c>
      <c r="Y535" s="79">
        <v>10.3</v>
      </c>
      <c r="Z535" s="31" t="s">
        <v>0</v>
      </c>
      <c r="AA535" s="37" t="s">
        <v>670</v>
      </c>
      <c r="AB535" s="25" t="s">
        <v>238</v>
      </c>
    </row>
    <row r="536" spans="1:28" ht="23.1" customHeight="1" x14ac:dyDescent="0.25">
      <c r="A536" s="53" t="s">
        <v>653</v>
      </c>
      <c r="B536" s="31" t="s">
        <v>110</v>
      </c>
      <c r="C536" s="31">
        <v>59</v>
      </c>
      <c r="D536" s="31" t="s">
        <v>616</v>
      </c>
      <c r="E536" s="25" t="s">
        <v>617</v>
      </c>
      <c r="F536" s="21" t="s">
        <v>617</v>
      </c>
      <c r="G536" s="21" t="str">
        <f>VLOOKUP(D536,[6]成飞半成品!$A:$B,2,0)</f>
        <v>立柱加强接头</v>
      </c>
      <c r="H536" s="31" t="s">
        <v>102</v>
      </c>
      <c r="I536" s="31">
        <v>20</v>
      </c>
      <c r="J536" s="37" t="s">
        <v>2013</v>
      </c>
      <c r="K536" s="31">
        <v>8</v>
      </c>
      <c r="L536" s="31">
        <v>1</v>
      </c>
      <c r="M536" s="31">
        <v>31</v>
      </c>
      <c r="N536" s="31">
        <v>31</v>
      </c>
      <c r="O536" s="77" t="s">
        <v>596</v>
      </c>
      <c r="P536" s="31"/>
      <c r="Q536" s="31">
        <v>30</v>
      </c>
      <c r="R536" s="31"/>
      <c r="S536" s="31"/>
      <c r="T536" s="31"/>
      <c r="U536" s="31">
        <v>90</v>
      </c>
      <c r="V536" s="31"/>
      <c r="W536" s="37">
        <v>1</v>
      </c>
      <c r="X536" s="37">
        <v>4</v>
      </c>
      <c r="Y536" s="79">
        <v>6</v>
      </c>
      <c r="Z536" s="31" t="s">
        <v>42</v>
      </c>
      <c r="AA536" s="37" t="s">
        <v>671</v>
      </c>
      <c r="AB536" s="25" t="s">
        <v>238</v>
      </c>
    </row>
    <row r="537" spans="1:28" ht="23.1" customHeight="1" x14ac:dyDescent="0.25">
      <c r="A537" s="53" t="s">
        <v>653</v>
      </c>
      <c r="B537" s="31" t="s">
        <v>110</v>
      </c>
      <c r="C537" s="31">
        <v>59</v>
      </c>
      <c r="D537" s="31" t="s">
        <v>616</v>
      </c>
      <c r="E537" s="25" t="s">
        <v>617</v>
      </c>
      <c r="F537" s="21" t="s">
        <v>617</v>
      </c>
      <c r="G537" s="21" t="str">
        <f>VLOOKUP(D537,[6]成飞半成品!$A:$B,2,0)</f>
        <v>立柱加强接头</v>
      </c>
      <c r="H537" s="31" t="s">
        <v>102</v>
      </c>
      <c r="I537" s="31">
        <v>15</v>
      </c>
      <c r="J537" s="37" t="s">
        <v>2014</v>
      </c>
      <c r="K537" s="31">
        <v>4</v>
      </c>
      <c r="L537" s="37">
        <v>8</v>
      </c>
      <c r="M537" s="31">
        <v>9</v>
      </c>
      <c r="N537" s="31">
        <v>31</v>
      </c>
      <c r="O537" s="77" t="s">
        <v>596</v>
      </c>
      <c r="P537" s="31"/>
      <c r="Q537" s="31">
        <v>40</v>
      </c>
      <c r="R537" s="31"/>
      <c r="S537" s="31"/>
      <c r="T537" s="31"/>
      <c r="U537" s="31">
        <v>60</v>
      </c>
      <c r="V537" s="31"/>
      <c r="W537" s="37">
        <v>1</v>
      </c>
      <c r="X537" s="37"/>
      <c r="Y537" s="79">
        <v>6.3</v>
      </c>
      <c r="Z537" s="31" t="s">
        <v>42</v>
      </c>
      <c r="AA537" s="37" t="s">
        <v>576</v>
      </c>
      <c r="AB537" s="25" t="s">
        <v>238</v>
      </c>
    </row>
    <row r="538" spans="1:28" ht="23.1" customHeight="1" x14ac:dyDescent="0.25">
      <c r="A538" s="53" t="s">
        <v>653</v>
      </c>
      <c r="B538" s="31" t="s">
        <v>110</v>
      </c>
      <c r="C538" s="31">
        <v>77</v>
      </c>
      <c r="D538" s="31" t="s">
        <v>541</v>
      </c>
      <c r="E538" s="25" t="s">
        <v>542</v>
      </c>
      <c r="F538" s="21" t="s">
        <v>542</v>
      </c>
      <c r="G538" s="21" t="str">
        <f>VLOOKUP(D538,[6]成飞半成品!$A:$B,2,0)</f>
        <v>3#下垫片</v>
      </c>
      <c r="H538" s="31" t="s">
        <v>154</v>
      </c>
      <c r="I538" s="31">
        <v>15</v>
      </c>
      <c r="J538" s="31" t="s">
        <v>1926</v>
      </c>
      <c r="K538" s="37"/>
      <c r="L538" s="31">
        <v>4</v>
      </c>
      <c r="M538" s="31">
        <v>31</v>
      </c>
      <c r="N538" s="31">
        <v>31</v>
      </c>
      <c r="O538" s="77" t="s">
        <v>351</v>
      </c>
      <c r="P538" s="31"/>
      <c r="Q538" s="31">
        <v>90</v>
      </c>
      <c r="R538" s="31"/>
      <c r="S538" s="31"/>
      <c r="T538" s="31"/>
      <c r="U538" s="31">
        <v>90</v>
      </c>
      <c r="V538" s="31"/>
      <c r="W538" s="37"/>
      <c r="X538" s="37"/>
      <c r="Y538" s="79">
        <v>6</v>
      </c>
      <c r="Z538" s="31" t="s">
        <v>46</v>
      </c>
      <c r="AA538" s="37"/>
      <c r="AB538" s="37"/>
    </row>
    <row r="539" spans="1:28" ht="23.1" customHeight="1" x14ac:dyDescent="0.25">
      <c r="A539" s="53" t="s">
        <v>653</v>
      </c>
      <c r="B539" s="31" t="s">
        <v>110</v>
      </c>
      <c r="C539" s="31">
        <v>57</v>
      </c>
      <c r="D539" s="31" t="s">
        <v>594</v>
      </c>
      <c r="E539" s="25" t="s">
        <v>595</v>
      </c>
      <c r="F539" s="21" t="s">
        <v>595</v>
      </c>
      <c r="G539" s="21" t="str">
        <f>VLOOKUP(D539,[6]成飞半成品!$A:$B,2,0)</f>
        <v>加强件</v>
      </c>
      <c r="H539" s="31" t="s">
        <v>102</v>
      </c>
      <c r="I539" s="31">
        <v>20</v>
      </c>
      <c r="J539" s="37" t="s">
        <v>2002</v>
      </c>
      <c r="K539" s="31">
        <v>4</v>
      </c>
      <c r="L539" s="31">
        <v>5</v>
      </c>
      <c r="M539" s="31">
        <v>28</v>
      </c>
      <c r="N539" s="31">
        <v>28</v>
      </c>
      <c r="O539" s="77" t="s">
        <v>596</v>
      </c>
      <c r="P539" s="34"/>
      <c r="Q539" s="31">
        <v>120</v>
      </c>
      <c r="R539" s="31"/>
      <c r="S539" s="31"/>
      <c r="T539" s="31"/>
      <c r="U539" s="31">
        <v>60</v>
      </c>
      <c r="V539" s="31"/>
      <c r="W539" s="37"/>
      <c r="X539" s="37"/>
      <c r="Y539" s="79">
        <v>10</v>
      </c>
      <c r="Z539" s="31" t="s">
        <v>0</v>
      </c>
      <c r="AA539" s="37"/>
      <c r="AB539" s="37"/>
    </row>
    <row r="540" spans="1:28" ht="23.1" customHeight="1" x14ac:dyDescent="0.25">
      <c r="A540" s="53" t="s">
        <v>653</v>
      </c>
      <c r="B540" s="31" t="s">
        <v>110</v>
      </c>
      <c r="C540" s="31">
        <v>107</v>
      </c>
      <c r="D540" s="31" t="s">
        <v>273</v>
      </c>
      <c r="E540" s="25" t="s">
        <v>274</v>
      </c>
      <c r="F540" s="21" t="s">
        <v>274</v>
      </c>
      <c r="G540" s="21" t="str">
        <f>VLOOKUP(D540,[6]成飞半成品!$A:$B,2,0)</f>
        <v>前起落架水平接头</v>
      </c>
      <c r="H540" s="31" t="s">
        <v>123</v>
      </c>
      <c r="I540" s="31">
        <v>35</v>
      </c>
      <c r="J540" s="37" t="s">
        <v>1999</v>
      </c>
      <c r="K540" s="31">
        <v>4</v>
      </c>
      <c r="L540" s="31">
        <v>4</v>
      </c>
      <c r="M540" s="31">
        <v>26</v>
      </c>
      <c r="N540" s="31">
        <v>26</v>
      </c>
      <c r="O540" s="77" t="s">
        <v>275</v>
      </c>
      <c r="P540" s="34"/>
      <c r="Q540" s="31">
        <v>100</v>
      </c>
      <c r="R540" s="31"/>
      <c r="S540" s="31"/>
      <c r="T540" s="31"/>
      <c r="U540" s="31">
        <v>60</v>
      </c>
      <c r="V540" s="31"/>
      <c r="W540" s="37"/>
      <c r="X540" s="37"/>
      <c r="Y540" s="79">
        <v>6.7</v>
      </c>
      <c r="Z540" s="31" t="s">
        <v>13</v>
      </c>
      <c r="AA540" s="37"/>
      <c r="AB540" s="37"/>
    </row>
    <row r="541" spans="1:28" ht="23.1" customHeight="1" x14ac:dyDescent="0.25">
      <c r="A541" s="53" t="s">
        <v>653</v>
      </c>
      <c r="B541" s="31" t="s">
        <v>110</v>
      </c>
      <c r="C541" s="31">
        <v>22</v>
      </c>
      <c r="D541" s="31" t="s">
        <v>611</v>
      </c>
      <c r="E541" s="25" t="s">
        <v>612</v>
      </c>
      <c r="F541" s="21" t="s">
        <v>612</v>
      </c>
      <c r="G541" s="21" t="str">
        <f>VLOOKUP(D541,[6]成飞半成品!$A:$B,2,0)</f>
        <v>前梁二段</v>
      </c>
      <c r="H541" s="31" t="s">
        <v>102</v>
      </c>
      <c r="I541" s="31">
        <v>45</v>
      </c>
      <c r="J541" s="37" t="s">
        <v>2015</v>
      </c>
      <c r="K541" s="31">
        <v>0.3</v>
      </c>
      <c r="L541" s="31">
        <v>0.3</v>
      </c>
      <c r="M541" s="31">
        <v>37</v>
      </c>
      <c r="N541" s="31">
        <v>37</v>
      </c>
      <c r="O541" s="77" t="s">
        <v>103</v>
      </c>
      <c r="P541" s="34"/>
      <c r="Q541" s="31">
        <v>6000</v>
      </c>
      <c r="R541" s="31">
        <v>180</v>
      </c>
      <c r="S541" s="31"/>
      <c r="T541" s="31"/>
      <c r="U541" s="31">
        <v>180</v>
      </c>
      <c r="V541" s="31"/>
      <c r="W541" s="37">
        <v>1</v>
      </c>
      <c r="X541" s="37"/>
      <c r="Y541" s="79">
        <v>33</v>
      </c>
      <c r="Z541" s="31" t="s">
        <v>58</v>
      </c>
      <c r="AA541" s="37" t="s">
        <v>328</v>
      </c>
      <c r="AB541" s="37"/>
    </row>
    <row r="542" spans="1:28" ht="23.1" customHeight="1" x14ac:dyDescent="0.25">
      <c r="A542" s="53" t="s">
        <v>653</v>
      </c>
      <c r="B542" s="31" t="s">
        <v>110</v>
      </c>
      <c r="C542" s="31">
        <v>17</v>
      </c>
      <c r="D542" s="31" t="s">
        <v>352</v>
      </c>
      <c r="E542" s="25" t="s">
        <v>353</v>
      </c>
      <c r="F542" s="21" t="e">
        <v>#N/A</v>
      </c>
      <c r="G542" s="21" t="e">
        <f>VLOOKUP(D542,[6]成飞半成品!$A:$B,2,0)</f>
        <v>#N/A</v>
      </c>
      <c r="H542" s="31" t="s">
        <v>300</v>
      </c>
      <c r="I542" s="31">
        <v>30</v>
      </c>
      <c r="J542" s="37" t="s">
        <v>2005</v>
      </c>
      <c r="K542" s="31">
        <v>1</v>
      </c>
      <c r="L542" s="31">
        <v>2</v>
      </c>
      <c r="M542" s="37"/>
      <c r="N542" s="31">
        <v>26</v>
      </c>
      <c r="O542" s="77" t="s">
        <v>672</v>
      </c>
      <c r="P542" s="34"/>
      <c r="Q542" s="31">
        <v>480</v>
      </c>
      <c r="R542" s="31"/>
      <c r="S542" s="31"/>
      <c r="T542" s="31"/>
      <c r="U542" s="31">
        <v>120</v>
      </c>
      <c r="V542" s="31"/>
      <c r="W542" s="37"/>
      <c r="X542" s="37"/>
      <c r="Y542" s="79">
        <v>16</v>
      </c>
      <c r="Z542" s="31" t="s">
        <v>43</v>
      </c>
      <c r="AA542" s="37"/>
      <c r="AB542" s="37"/>
    </row>
    <row r="543" spans="1:28" ht="23.1" customHeight="1" x14ac:dyDescent="0.25">
      <c r="A543" s="53" t="s">
        <v>653</v>
      </c>
      <c r="B543" s="31" t="s">
        <v>110</v>
      </c>
      <c r="C543" s="31">
        <v>78</v>
      </c>
      <c r="D543" s="31" t="s">
        <v>132</v>
      </c>
      <c r="E543" s="25" t="s">
        <v>133</v>
      </c>
      <c r="F543" s="21" t="s">
        <v>133</v>
      </c>
      <c r="G543" s="21" t="str">
        <f>VLOOKUP(D543,[6]成飞半成品!$A:$B,2,0)</f>
        <v>摇臂</v>
      </c>
      <c r="H543" s="31" t="s">
        <v>102</v>
      </c>
      <c r="I543" s="31">
        <v>75</v>
      </c>
      <c r="J543" s="31" t="s">
        <v>1998</v>
      </c>
      <c r="K543" s="37"/>
      <c r="L543" s="31">
        <v>0.7</v>
      </c>
      <c r="M543" s="37"/>
      <c r="N543" s="31">
        <v>26</v>
      </c>
      <c r="O543" s="77" t="s">
        <v>103</v>
      </c>
      <c r="P543" s="34"/>
      <c r="Q543" s="31">
        <v>240</v>
      </c>
      <c r="R543" s="31">
        <v>60</v>
      </c>
      <c r="S543" s="31"/>
      <c r="T543" s="31"/>
      <c r="U543" s="31">
        <v>120</v>
      </c>
      <c r="V543" s="31"/>
      <c r="W543" s="37"/>
      <c r="X543" s="37">
        <v>10.7</v>
      </c>
      <c r="Y543" s="79">
        <v>13.5</v>
      </c>
      <c r="Z543" s="31" t="s">
        <v>19</v>
      </c>
      <c r="AA543" s="37" t="s">
        <v>673</v>
      </c>
      <c r="AB543" s="37"/>
    </row>
    <row r="544" spans="1:28" ht="23.1" customHeight="1" x14ac:dyDescent="0.25">
      <c r="A544" s="53" t="s">
        <v>653</v>
      </c>
      <c r="B544" s="31" t="s">
        <v>110</v>
      </c>
      <c r="C544" s="31">
        <v>78</v>
      </c>
      <c r="D544" s="31" t="s">
        <v>261</v>
      </c>
      <c r="E544" s="25" t="s">
        <v>133</v>
      </c>
      <c r="F544" s="21" t="s">
        <v>133</v>
      </c>
      <c r="G544" s="21" t="str">
        <f>VLOOKUP(D544,[6]成飞半成品!$A:$B,2,0)</f>
        <v>摇臂</v>
      </c>
      <c r="H544" s="31" t="s">
        <v>102</v>
      </c>
      <c r="I544" s="31">
        <v>80</v>
      </c>
      <c r="J544" s="37" t="s">
        <v>2016</v>
      </c>
      <c r="K544" s="31">
        <v>1</v>
      </c>
      <c r="L544" s="31">
        <v>1</v>
      </c>
      <c r="M544" s="37"/>
      <c r="N544" s="31">
        <v>26</v>
      </c>
      <c r="O544" s="77" t="s">
        <v>103</v>
      </c>
      <c r="P544" s="34"/>
      <c r="Q544" s="31">
        <v>210</v>
      </c>
      <c r="R544" s="31">
        <v>60</v>
      </c>
      <c r="S544" s="31"/>
      <c r="T544" s="31">
        <v>1</v>
      </c>
      <c r="U544" s="31">
        <v>120</v>
      </c>
      <c r="V544" s="31"/>
      <c r="W544" s="37"/>
      <c r="X544" s="37">
        <v>2</v>
      </c>
      <c r="Y544" s="79">
        <v>6.5</v>
      </c>
      <c r="Z544" s="31" t="s">
        <v>19</v>
      </c>
      <c r="AA544" s="37" t="s">
        <v>674</v>
      </c>
      <c r="AB544" s="25" t="s">
        <v>238</v>
      </c>
    </row>
    <row r="545" spans="1:28" ht="23.1" customHeight="1" x14ac:dyDescent="0.25">
      <c r="A545" s="53" t="s">
        <v>653</v>
      </c>
      <c r="B545" s="31" t="s">
        <v>110</v>
      </c>
      <c r="C545" s="31">
        <v>79</v>
      </c>
      <c r="D545" s="31" t="s">
        <v>152</v>
      </c>
      <c r="E545" s="25" t="s">
        <v>153</v>
      </c>
      <c r="F545" s="21" t="s">
        <v>1247</v>
      </c>
      <c r="G545" s="21" t="str">
        <f>VLOOKUP(D545,[6]成飞半成品!$A:$B,2,0)</f>
        <v>根肋前段</v>
      </c>
      <c r="H545" s="31" t="s">
        <v>154</v>
      </c>
      <c r="I545" s="31">
        <v>20</v>
      </c>
      <c r="J545" s="37" t="s">
        <v>1948</v>
      </c>
      <c r="K545" s="31">
        <v>0.5</v>
      </c>
      <c r="L545" s="31">
        <v>0.2</v>
      </c>
      <c r="M545" s="37"/>
      <c r="N545" s="31">
        <v>31</v>
      </c>
      <c r="O545" s="77" t="s">
        <v>421</v>
      </c>
      <c r="P545" s="34"/>
      <c r="Q545" s="31">
        <v>660</v>
      </c>
      <c r="R545" s="31">
        <v>90</v>
      </c>
      <c r="S545" s="31"/>
      <c r="T545" s="31"/>
      <c r="U545" s="31">
        <v>120</v>
      </c>
      <c r="V545" s="31"/>
      <c r="W545" s="37"/>
      <c r="X545" s="37"/>
      <c r="Y545" s="79">
        <v>2.2000000000000002</v>
      </c>
      <c r="Z545" s="31" t="s">
        <v>19</v>
      </c>
      <c r="AA545" s="37"/>
      <c r="AB545" s="37"/>
    </row>
    <row r="546" spans="1:28" ht="23.1" customHeight="1" x14ac:dyDescent="0.25">
      <c r="A546" s="53" t="s">
        <v>653</v>
      </c>
      <c r="B546" s="31" t="s">
        <v>110</v>
      </c>
      <c r="C546" s="31">
        <v>79</v>
      </c>
      <c r="D546" s="31" t="s">
        <v>152</v>
      </c>
      <c r="E546" s="25" t="s">
        <v>153</v>
      </c>
      <c r="F546" s="21" t="s">
        <v>1247</v>
      </c>
      <c r="G546" s="21" t="str">
        <f>VLOOKUP(D546,[6]成飞半成品!$A:$B,2,0)</f>
        <v>根肋前段</v>
      </c>
      <c r="H546" s="31" t="s">
        <v>154</v>
      </c>
      <c r="I546" s="31">
        <v>25</v>
      </c>
      <c r="J546" s="37" t="s">
        <v>2017</v>
      </c>
      <c r="K546" s="31">
        <v>0.5</v>
      </c>
      <c r="L546" s="31">
        <v>0.8</v>
      </c>
      <c r="M546" s="37"/>
      <c r="N546" s="31">
        <v>28</v>
      </c>
      <c r="O546" s="77" t="s">
        <v>675</v>
      </c>
      <c r="P546" s="34"/>
      <c r="Q546" s="31">
        <v>1260</v>
      </c>
      <c r="R546" s="31">
        <v>90</v>
      </c>
      <c r="S546" s="31"/>
      <c r="T546" s="31"/>
      <c r="U546" s="31">
        <v>120</v>
      </c>
      <c r="V546" s="31"/>
      <c r="W546" s="37"/>
      <c r="X546" s="37"/>
      <c r="Y546" s="79">
        <v>16.8</v>
      </c>
      <c r="Z546" s="31" t="s">
        <v>19</v>
      </c>
      <c r="AA546" s="37"/>
      <c r="AB546" s="37"/>
    </row>
    <row r="547" spans="1:28" ht="23.1" customHeight="1" x14ac:dyDescent="0.25">
      <c r="A547" s="53" t="s">
        <v>653</v>
      </c>
      <c r="B547" s="31" t="s">
        <v>110</v>
      </c>
      <c r="C547" s="31">
        <v>56</v>
      </c>
      <c r="D547" s="31" t="s">
        <v>676</v>
      </c>
      <c r="E547" s="25" t="s">
        <v>595</v>
      </c>
      <c r="F547" s="21" t="s">
        <v>595</v>
      </c>
      <c r="G547" s="21" t="str">
        <f>VLOOKUP(D547,[6]成飞半成品!$A:$B,2,0)</f>
        <v>加强件</v>
      </c>
      <c r="H547" s="31" t="s">
        <v>154</v>
      </c>
      <c r="I547" s="31">
        <v>5</v>
      </c>
      <c r="J547" s="37" t="s">
        <v>1930</v>
      </c>
      <c r="K547" s="31">
        <v>10</v>
      </c>
      <c r="L547" s="31">
        <v>10</v>
      </c>
      <c r="M547" s="31">
        <v>31</v>
      </c>
      <c r="N547" s="31">
        <v>31</v>
      </c>
      <c r="O547" s="77" t="s">
        <v>384</v>
      </c>
      <c r="P547" s="34"/>
      <c r="Q547" s="31">
        <v>60</v>
      </c>
      <c r="R547" s="31"/>
      <c r="S547" s="31"/>
      <c r="T547" s="31"/>
      <c r="U547" s="31">
        <v>60</v>
      </c>
      <c r="V547" s="31"/>
      <c r="W547" s="37">
        <v>1</v>
      </c>
      <c r="X547" s="37">
        <v>2</v>
      </c>
      <c r="Y547" s="79">
        <v>13</v>
      </c>
      <c r="Z547" s="31" t="s">
        <v>44</v>
      </c>
      <c r="AA547" s="37" t="s">
        <v>677</v>
      </c>
      <c r="AB547" s="25" t="s">
        <v>238</v>
      </c>
    </row>
    <row r="548" spans="1:28" ht="23.1" customHeight="1" x14ac:dyDescent="0.25">
      <c r="A548" s="53" t="s">
        <v>653</v>
      </c>
      <c r="B548" s="31" t="s">
        <v>110</v>
      </c>
      <c r="C548" s="31">
        <v>23</v>
      </c>
      <c r="D548" s="31" t="s">
        <v>254</v>
      </c>
      <c r="E548" s="25" t="s">
        <v>255</v>
      </c>
      <c r="F548" s="21" t="s">
        <v>1016</v>
      </c>
      <c r="G548" s="21" t="str">
        <f>VLOOKUP(D548,[6]成飞半成品!$A:$B,2,0)</f>
        <v>9350-11140右侧上梁</v>
      </c>
      <c r="H548" s="31" t="s">
        <v>375</v>
      </c>
      <c r="I548" s="31">
        <v>37</v>
      </c>
      <c r="J548" s="37"/>
      <c r="K548" s="31">
        <v>1</v>
      </c>
      <c r="L548" s="31">
        <v>1.3</v>
      </c>
      <c r="M548" s="31">
        <v>28</v>
      </c>
      <c r="N548" s="31">
        <v>5</v>
      </c>
      <c r="O548" s="77" t="s">
        <v>678</v>
      </c>
      <c r="P548" s="25">
        <v>660</v>
      </c>
      <c r="Q548" s="31"/>
      <c r="R548" s="31"/>
      <c r="S548" s="31">
        <v>90</v>
      </c>
      <c r="T548" s="31">
        <v>1</v>
      </c>
      <c r="U548" s="31"/>
      <c r="V548" s="31"/>
      <c r="W548" s="37"/>
      <c r="X548" s="37"/>
      <c r="Y548" s="83">
        <v>15.8</v>
      </c>
      <c r="Z548" s="31" t="s">
        <v>33</v>
      </c>
      <c r="AA548" s="37" t="s">
        <v>145</v>
      </c>
      <c r="AB548" s="37"/>
    </row>
    <row r="549" spans="1:28" ht="23.1" customHeight="1" x14ac:dyDescent="0.25">
      <c r="A549" s="53" t="s">
        <v>653</v>
      </c>
      <c r="B549" s="31" t="s">
        <v>110</v>
      </c>
      <c r="C549" s="31">
        <v>47</v>
      </c>
      <c r="D549" s="31" t="s">
        <v>332</v>
      </c>
      <c r="E549" s="25" t="s">
        <v>333</v>
      </c>
      <c r="F549" s="21" t="s">
        <v>2548</v>
      </c>
      <c r="G549" s="21" t="str">
        <f>VLOOKUP(D549,[6]成飞半成品!$A:$B,2,0)</f>
        <v>5550上框</v>
      </c>
      <c r="H549" s="31" t="s">
        <v>334</v>
      </c>
      <c r="I549" s="31">
        <v>20</v>
      </c>
      <c r="J549" s="37" t="s">
        <v>1959</v>
      </c>
      <c r="K549" s="31">
        <v>1</v>
      </c>
      <c r="L549" s="31">
        <v>0.5</v>
      </c>
      <c r="M549" s="37"/>
      <c r="N549" s="31">
        <v>28</v>
      </c>
      <c r="O549" s="77" t="s">
        <v>355</v>
      </c>
      <c r="P549" s="34"/>
      <c r="Q549" s="31">
        <v>720</v>
      </c>
      <c r="R549" s="31">
        <v>90</v>
      </c>
      <c r="S549" s="31"/>
      <c r="T549" s="31"/>
      <c r="U549" s="31">
        <v>120</v>
      </c>
      <c r="V549" s="31"/>
      <c r="W549" s="37"/>
      <c r="X549" s="37"/>
      <c r="Y549" s="79">
        <v>6</v>
      </c>
      <c r="Z549" s="31" t="s">
        <v>33</v>
      </c>
      <c r="AA549" s="37"/>
      <c r="AB549" s="37"/>
    </row>
    <row r="550" spans="1:28" ht="23.1" customHeight="1" x14ac:dyDescent="0.25">
      <c r="A550" s="53" t="s">
        <v>653</v>
      </c>
      <c r="B550" s="31" t="s">
        <v>110</v>
      </c>
      <c r="C550" s="31">
        <v>47</v>
      </c>
      <c r="D550" s="31" t="s">
        <v>332</v>
      </c>
      <c r="E550" s="25" t="s">
        <v>333</v>
      </c>
      <c r="F550" s="21" t="s">
        <v>2548</v>
      </c>
      <c r="G550" s="21" t="str">
        <f>VLOOKUP(D550,[6]成飞半成品!$A:$B,2,0)</f>
        <v>5550上框</v>
      </c>
      <c r="H550" s="31" t="s">
        <v>334</v>
      </c>
      <c r="I550" s="31">
        <v>25</v>
      </c>
      <c r="J550" s="31" t="s">
        <v>2018</v>
      </c>
      <c r="K550" s="37"/>
      <c r="L550" s="31">
        <v>1</v>
      </c>
      <c r="M550" s="37"/>
      <c r="N550" s="31">
        <v>5</v>
      </c>
      <c r="O550" s="77" t="s">
        <v>355</v>
      </c>
      <c r="P550" s="34"/>
      <c r="Q550" s="31">
        <v>630</v>
      </c>
      <c r="R550" s="31">
        <v>90</v>
      </c>
      <c r="S550" s="31"/>
      <c r="T550" s="31">
        <v>1</v>
      </c>
      <c r="U550" s="31">
        <v>120</v>
      </c>
      <c r="V550" s="31"/>
      <c r="W550" s="37">
        <v>1</v>
      </c>
      <c r="X550" s="37"/>
      <c r="Y550" s="79">
        <v>14</v>
      </c>
      <c r="Z550" s="31" t="s">
        <v>33</v>
      </c>
      <c r="AA550" s="37" t="s">
        <v>679</v>
      </c>
      <c r="AB550" s="37"/>
    </row>
    <row r="551" spans="1:28" ht="23.1" customHeight="1" x14ac:dyDescent="0.25">
      <c r="A551" s="53" t="s">
        <v>653</v>
      </c>
      <c r="B551" s="31" t="s">
        <v>110</v>
      </c>
      <c r="C551" s="31">
        <v>55</v>
      </c>
      <c r="D551" s="31" t="s">
        <v>680</v>
      </c>
      <c r="E551" s="25" t="s">
        <v>681</v>
      </c>
      <c r="F551" s="21" t="s">
        <v>681</v>
      </c>
      <c r="G551" s="21" t="str">
        <f>VLOOKUP(D551,[6]成飞半成品!$A:$B,2,0)</f>
        <v>耳环螺栓</v>
      </c>
      <c r="H551" s="31" t="s">
        <v>154</v>
      </c>
      <c r="I551" s="31">
        <v>55</v>
      </c>
      <c r="J551" s="37" t="s">
        <v>2019</v>
      </c>
      <c r="K551" s="31">
        <v>12</v>
      </c>
      <c r="L551" s="31">
        <v>18</v>
      </c>
      <c r="M551" s="31">
        <v>28</v>
      </c>
      <c r="N551" s="31">
        <v>23</v>
      </c>
      <c r="O551" s="77" t="s">
        <v>682</v>
      </c>
      <c r="P551" s="34"/>
      <c r="Q551" s="31">
        <v>40</v>
      </c>
      <c r="R551" s="31"/>
      <c r="S551" s="31"/>
      <c r="T551" s="31"/>
      <c r="U551" s="31">
        <v>60</v>
      </c>
      <c r="V551" s="31"/>
      <c r="W551" s="37">
        <v>1</v>
      </c>
      <c r="X551" s="37">
        <v>3</v>
      </c>
      <c r="Y551" s="79">
        <v>16</v>
      </c>
      <c r="Z551" s="31" t="s">
        <v>44</v>
      </c>
      <c r="AA551" s="37" t="s">
        <v>683</v>
      </c>
      <c r="AB551" s="25" t="s">
        <v>238</v>
      </c>
    </row>
    <row r="552" spans="1:28" ht="23.1" customHeight="1" x14ac:dyDescent="0.25">
      <c r="A552" s="53" t="s">
        <v>653</v>
      </c>
      <c r="B552" s="31" t="s">
        <v>110</v>
      </c>
      <c r="C552" s="31">
        <v>21</v>
      </c>
      <c r="D552" s="31" t="s">
        <v>321</v>
      </c>
      <c r="E552" s="25" t="s">
        <v>322</v>
      </c>
      <c r="F552" s="21" t="s">
        <v>322</v>
      </c>
      <c r="G552" s="21" t="str">
        <f>VLOOKUP(D552,[6]成飞半成品!$A:$B,2,0)</f>
        <v>10860框</v>
      </c>
      <c r="H552" s="31" t="s">
        <v>323</v>
      </c>
      <c r="I552" s="31">
        <v>50</v>
      </c>
      <c r="J552" s="37" t="s">
        <v>1986</v>
      </c>
      <c r="K552" s="31">
        <v>1</v>
      </c>
      <c r="L552" s="31">
        <v>1</v>
      </c>
      <c r="M552" s="37"/>
      <c r="N552" s="31">
        <v>26</v>
      </c>
      <c r="O552" s="77" t="s">
        <v>684</v>
      </c>
      <c r="P552" s="34"/>
      <c r="Q552" s="31">
        <v>630</v>
      </c>
      <c r="R552" s="31">
        <v>120</v>
      </c>
      <c r="S552" s="31"/>
      <c r="T552" s="31">
        <v>1</v>
      </c>
      <c r="U552" s="31">
        <v>180</v>
      </c>
      <c r="V552" s="31"/>
      <c r="W552" s="37">
        <v>1</v>
      </c>
      <c r="X552" s="37"/>
      <c r="Y552" s="79">
        <v>15.5</v>
      </c>
      <c r="Z552" s="31" t="s">
        <v>58</v>
      </c>
      <c r="AA552" s="37" t="s">
        <v>328</v>
      </c>
      <c r="AB552" s="37"/>
    </row>
    <row r="553" spans="1:28" ht="23.1" customHeight="1" x14ac:dyDescent="0.25">
      <c r="A553" s="53" t="s">
        <v>653</v>
      </c>
      <c r="B553" s="31" t="s">
        <v>110</v>
      </c>
      <c r="C553" s="31">
        <v>21</v>
      </c>
      <c r="D553" s="31" t="s">
        <v>321</v>
      </c>
      <c r="E553" s="25" t="s">
        <v>322</v>
      </c>
      <c r="F553" s="21" t="s">
        <v>322</v>
      </c>
      <c r="G553" s="21" t="str">
        <f>VLOOKUP(D553,[6]成飞半成品!$A:$B,2,0)</f>
        <v>10860框</v>
      </c>
      <c r="H553" s="31" t="s">
        <v>323</v>
      </c>
      <c r="I553" s="31">
        <v>55</v>
      </c>
      <c r="J553" s="37" t="s">
        <v>2004</v>
      </c>
      <c r="K553" s="31">
        <v>0.1</v>
      </c>
      <c r="L553" s="31">
        <v>0.2</v>
      </c>
      <c r="M553" s="31">
        <v>28</v>
      </c>
      <c r="N553" s="37"/>
      <c r="O553" s="77" t="s">
        <v>685</v>
      </c>
      <c r="P553" s="34"/>
      <c r="Q553" s="31">
        <v>660</v>
      </c>
      <c r="R553" s="31">
        <v>120</v>
      </c>
      <c r="S553" s="31"/>
      <c r="T553" s="31"/>
      <c r="U553" s="31">
        <v>180</v>
      </c>
      <c r="V553" s="31"/>
      <c r="W553" s="37"/>
      <c r="X553" s="37"/>
      <c r="Y553" s="79">
        <v>2.2000000000000002</v>
      </c>
      <c r="Z553" s="31" t="s">
        <v>58</v>
      </c>
      <c r="AA553" s="37"/>
      <c r="AB553" s="37"/>
    </row>
    <row r="554" spans="1:28" ht="23.1" customHeight="1" x14ac:dyDescent="0.25">
      <c r="A554" s="53" t="s">
        <v>653</v>
      </c>
      <c r="B554" s="31" t="s">
        <v>110</v>
      </c>
      <c r="C554" s="31">
        <v>108</v>
      </c>
      <c r="D554" s="31" t="s">
        <v>173</v>
      </c>
      <c r="E554" s="25" t="s">
        <v>174</v>
      </c>
      <c r="F554" s="21" t="s">
        <v>1246</v>
      </c>
      <c r="G554" s="21" t="str">
        <f>VLOOKUP(D554,[6]成飞半成品!$A:$B,2,0)</f>
        <v>根肋后段</v>
      </c>
      <c r="H554" s="31" t="s">
        <v>154</v>
      </c>
      <c r="I554" s="31">
        <v>25</v>
      </c>
      <c r="J554" s="37" t="s">
        <v>2006</v>
      </c>
      <c r="K554" s="31">
        <v>1</v>
      </c>
      <c r="L554" s="31">
        <v>1</v>
      </c>
      <c r="M554" s="37"/>
      <c r="N554" s="31">
        <v>26</v>
      </c>
      <c r="O554" s="77" t="s">
        <v>532</v>
      </c>
      <c r="P554" s="34"/>
      <c r="Q554" s="31">
        <v>1050</v>
      </c>
      <c r="R554" s="31">
        <v>90</v>
      </c>
      <c r="S554" s="31"/>
      <c r="T554" s="31">
        <v>1</v>
      </c>
      <c r="U554" s="31">
        <v>120</v>
      </c>
      <c r="V554" s="31"/>
      <c r="W554" s="37"/>
      <c r="X554" s="37"/>
      <c r="Y554" s="79">
        <v>19</v>
      </c>
      <c r="Z554" s="31" t="s">
        <v>13</v>
      </c>
      <c r="AA554" s="37" t="s">
        <v>686</v>
      </c>
      <c r="AB554" s="37"/>
    </row>
    <row r="555" spans="1:28" ht="23.1" customHeight="1" x14ac:dyDescent="0.25">
      <c r="A555" s="53" t="s">
        <v>653</v>
      </c>
      <c r="B555" s="31" t="s">
        <v>110</v>
      </c>
      <c r="C555" s="31">
        <v>13</v>
      </c>
      <c r="D555" s="31" t="s">
        <v>687</v>
      </c>
      <c r="E555" s="25" t="s">
        <v>657</v>
      </c>
      <c r="F555" s="21" t="s">
        <v>657</v>
      </c>
      <c r="G555" s="21" t="str">
        <f>VLOOKUP(D555,[6]成飞半成品!$A:$B,2,0)</f>
        <v>拨叉</v>
      </c>
      <c r="H555" s="31" t="s">
        <v>375</v>
      </c>
      <c r="I555" s="31">
        <v>45</v>
      </c>
      <c r="J555" s="37" t="s">
        <v>2020</v>
      </c>
      <c r="K555" s="31">
        <v>3</v>
      </c>
      <c r="L555" s="31">
        <v>3</v>
      </c>
      <c r="M555" s="31">
        <v>9</v>
      </c>
      <c r="N555" s="31">
        <v>26</v>
      </c>
      <c r="O555" s="77" t="s">
        <v>688</v>
      </c>
      <c r="P555" s="34"/>
      <c r="Q555" s="31">
        <v>60</v>
      </c>
      <c r="R555" s="31"/>
      <c r="S555" s="31"/>
      <c r="T555" s="31"/>
      <c r="U555" s="31">
        <v>120</v>
      </c>
      <c r="V555" s="31"/>
      <c r="W555" s="37">
        <v>1</v>
      </c>
      <c r="X555" s="37"/>
      <c r="Y555" s="79">
        <v>5</v>
      </c>
      <c r="Z555" s="31" t="s">
        <v>72</v>
      </c>
      <c r="AA555" s="37" t="s">
        <v>92</v>
      </c>
      <c r="AB555" s="37"/>
    </row>
    <row r="556" spans="1:28" ht="23.1" customHeight="1" x14ac:dyDescent="0.25">
      <c r="A556" s="53" t="s">
        <v>653</v>
      </c>
      <c r="B556" s="31" t="s">
        <v>110</v>
      </c>
      <c r="C556" s="31">
        <v>11</v>
      </c>
      <c r="D556" s="31" t="s">
        <v>203</v>
      </c>
      <c r="E556" s="25" t="s">
        <v>317</v>
      </c>
      <c r="F556" s="21" t="s">
        <v>317</v>
      </c>
      <c r="G556" s="21" t="str">
        <f>VLOOKUP(D556,[6]成飞半成品!$A:$B,2,0)</f>
        <v>角盒</v>
      </c>
      <c r="H556" s="31" t="s">
        <v>154</v>
      </c>
      <c r="I556" s="31">
        <v>40</v>
      </c>
      <c r="J556" s="37" t="s">
        <v>1935</v>
      </c>
      <c r="K556" s="31">
        <v>3</v>
      </c>
      <c r="L556" s="31">
        <v>1</v>
      </c>
      <c r="M556" s="37"/>
      <c r="N556" s="31">
        <v>28</v>
      </c>
      <c r="O556" s="77" t="s">
        <v>689</v>
      </c>
      <c r="P556" s="34"/>
      <c r="Q556" s="31">
        <v>260</v>
      </c>
      <c r="R556" s="31"/>
      <c r="S556" s="31"/>
      <c r="T556" s="31"/>
      <c r="U556" s="31">
        <v>90</v>
      </c>
      <c r="V556" s="31"/>
      <c r="W556" s="37"/>
      <c r="X556" s="37"/>
      <c r="Y556" s="79">
        <v>4.3</v>
      </c>
      <c r="Z556" s="31" t="s">
        <v>38</v>
      </c>
      <c r="AA556" s="37"/>
      <c r="AB556" s="37"/>
    </row>
    <row r="557" spans="1:28" ht="23.1" customHeight="1" x14ac:dyDescent="0.25">
      <c r="A557" s="53" t="s">
        <v>653</v>
      </c>
      <c r="B557" s="31" t="s">
        <v>110</v>
      </c>
      <c r="C557" s="31">
        <v>11</v>
      </c>
      <c r="D557" s="31" t="s">
        <v>2562</v>
      </c>
      <c r="E557" s="25" t="s">
        <v>691</v>
      </c>
      <c r="F557" s="21" t="s">
        <v>691</v>
      </c>
      <c r="G557" s="21" t="str">
        <f>VLOOKUP(D557,[6]成飞半成品!$A:$B,2,0)</f>
        <v>地板支撑件</v>
      </c>
      <c r="H557" s="31" t="s">
        <v>123</v>
      </c>
      <c r="I557" s="31">
        <v>5</v>
      </c>
      <c r="J557" s="31" t="s">
        <v>1930</v>
      </c>
      <c r="K557" s="37"/>
      <c r="L557" s="31">
        <v>6</v>
      </c>
      <c r="M557" s="31">
        <v>31</v>
      </c>
      <c r="N557" s="31">
        <v>31</v>
      </c>
      <c r="O557" s="77" t="s">
        <v>692</v>
      </c>
      <c r="P557" s="34"/>
      <c r="Q557" s="31">
        <v>150</v>
      </c>
      <c r="R557" s="31"/>
      <c r="S557" s="31"/>
      <c r="T557" s="31"/>
      <c r="U557" s="31">
        <v>60</v>
      </c>
      <c r="V557" s="31"/>
      <c r="W557" s="37">
        <v>1</v>
      </c>
      <c r="X557" s="37"/>
      <c r="Y557" s="79">
        <v>16</v>
      </c>
      <c r="Z557" s="31" t="s">
        <v>38</v>
      </c>
      <c r="AA557" s="37" t="s">
        <v>92</v>
      </c>
      <c r="AB557" s="37"/>
    </row>
    <row r="558" spans="1:28" ht="23.1" customHeight="1" x14ac:dyDescent="0.25">
      <c r="A558" s="53" t="s">
        <v>653</v>
      </c>
      <c r="B558" s="31" t="s">
        <v>110</v>
      </c>
      <c r="C558" s="31">
        <v>119</v>
      </c>
      <c r="D558" s="31" t="s">
        <v>288</v>
      </c>
      <c r="E558" s="25" t="s">
        <v>255</v>
      </c>
      <c r="F558" s="21" t="s">
        <v>1532</v>
      </c>
      <c r="G558" s="21" t="str">
        <f>VLOOKUP(D558,[6]成飞半成品!$A:$B,2,0)</f>
        <v>9350-11140左侧上梁</v>
      </c>
      <c r="H558" s="31" t="s">
        <v>250</v>
      </c>
      <c r="I558" s="31">
        <v>50</v>
      </c>
      <c r="J558" s="31" t="s">
        <v>2021</v>
      </c>
      <c r="K558" s="37"/>
      <c r="L558" s="31">
        <v>0.1</v>
      </c>
      <c r="M558" s="37"/>
      <c r="N558" s="31">
        <v>5</v>
      </c>
      <c r="O558" s="77" t="s">
        <v>476</v>
      </c>
      <c r="P558" s="34"/>
      <c r="Q558" s="31">
        <v>3000</v>
      </c>
      <c r="R558" s="31">
        <v>90</v>
      </c>
      <c r="S558" s="31"/>
      <c r="T558" s="31"/>
      <c r="U558" s="31">
        <v>150</v>
      </c>
      <c r="V558" s="31"/>
      <c r="W558" s="37">
        <v>1</v>
      </c>
      <c r="X558" s="37">
        <v>6.5</v>
      </c>
      <c r="Y558" s="79">
        <v>14</v>
      </c>
      <c r="Z558" s="31" t="s">
        <v>3</v>
      </c>
      <c r="AA558" s="37" t="s">
        <v>693</v>
      </c>
      <c r="AB558" s="37"/>
    </row>
    <row r="559" spans="1:28" ht="23.1" customHeight="1" x14ac:dyDescent="0.25">
      <c r="A559" s="53" t="s">
        <v>653</v>
      </c>
      <c r="B559" s="31" t="s">
        <v>137</v>
      </c>
      <c r="C559" s="31">
        <v>59</v>
      </c>
      <c r="D559" s="31" t="s">
        <v>616</v>
      </c>
      <c r="E559" s="25" t="s">
        <v>617</v>
      </c>
      <c r="F559" s="21" t="s">
        <v>617</v>
      </c>
      <c r="G559" s="21" t="str">
        <f>VLOOKUP(D559,[6]成飞半成品!$A:$B,2,0)</f>
        <v>立柱加强接头</v>
      </c>
      <c r="H559" s="31" t="s">
        <v>102</v>
      </c>
      <c r="I559" s="31">
        <v>20</v>
      </c>
      <c r="J559" s="37" t="s">
        <v>2013</v>
      </c>
      <c r="K559" s="31">
        <v>7</v>
      </c>
      <c r="L559" s="31">
        <v>7</v>
      </c>
      <c r="M559" s="31">
        <v>37</v>
      </c>
      <c r="N559" s="31">
        <v>37</v>
      </c>
      <c r="O559" s="77" t="s">
        <v>596</v>
      </c>
      <c r="P559" s="31"/>
      <c r="Q559" s="31">
        <v>30</v>
      </c>
      <c r="R559" s="31"/>
      <c r="S559" s="31"/>
      <c r="T559" s="31"/>
      <c r="U559" s="31">
        <v>90</v>
      </c>
      <c r="V559" s="31"/>
      <c r="W559" s="37"/>
      <c r="X559" s="37"/>
      <c r="Y559" s="79">
        <v>3.5</v>
      </c>
      <c r="Z559" s="31" t="s">
        <v>6</v>
      </c>
      <c r="AA559" s="37"/>
      <c r="AB559" s="37"/>
    </row>
    <row r="560" spans="1:28" ht="23.1" customHeight="1" x14ac:dyDescent="0.25">
      <c r="A560" s="53" t="s">
        <v>653</v>
      </c>
      <c r="B560" s="31" t="s">
        <v>137</v>
      </c>
      <c r="C560" s="31">
        <v>59</v>
      </c>
      <c r="D560" s="31" t="s">
        <v>616</v>
      </c>
      <c r="E560" s="25" t="s">
        <v>617</v>
      </c>
      <c r="F560" s="21" t="s">
        <v>617</v>
      </c>
      <c r="G560" s="21" t="str">
        <f>VLOOKUP(D560,[6]成飞半成品!$A:$B,2,0)</f>
        <v>立柱加强接头</v>
      </c>
      <c r="H560" s="31" t="s">
        <v>102</v>
      </c>
      <c r="I560" s="31">
        <v>25</v>
      </c>
      <c r="J560" s="37" t="s">
        <v>2022</v>
      </c>
      <c r="K560" s="31">
        <v>4</v>
      </c>
      <c r="L560" s="31">
        <v>4</v>
      </c>
      <c r="M560" s="31">
        <v>26</v>
      </c>
      <c r="N560" s="31">
        <v>23</v>
      </c>
      <c r="O560" s="77" t="s">
        <v>596</v>
      </c>
      <c r="P560" s="31"/>
      <c r="Q560" s="31">
        <v>50</v>
      </c>
      <c r="R560" s="31"/>
      <c r="S560" s="31"/>
      <c r="T560" s="31"/>
      <c r="U560" s="31">
        <v>90</v>
      </c>
      <c r="V560" s="31"/>
      <c r="W560" s="37">
        <v>1</v>
      </c>
      <c r="X560" s="37">
        <v>3</v>
      </c>
      <c r="Y560" s="79">
        <v>7.8</v>
      </c>
      <c r="Z560" s="31" t="s">
        <v>6</v>
      </c>
      <c r="AA560" s="37" t="s">
        <v>694</v>
      </c>
      <c r="AB560" s="25" t="s">
        <v>238</v>
      </c>
    </row>
    <row r="561" spans="1:28" ht="23.1" customHeight="1" x14ac:dyDescent="0.25">
      <c r="A561" s="53" t="s">
        <v>653</v>
      </c>
      <c r="B561" s="31" t="s">
        <v>137</v>
      </c>
      <c r="C561" s="31">
        <v>58</v>
      </c>
      <c r="D561" s="31" t="s">
        <v>423</v>
      </c>
      <c r="E561" s="25" t="s">
        <v>424</v>
      </c>
      <c r="F561" s="21" t="s">
        <v>424</v>
      </c>
      <c r="G561" s="21" t="str">
        <f>VLOOKUP(D561,[6]成飞半成品!$A:$B,2,0)</f>
        <v>后梁四段</v>
      </c>
      <c r="H561" s="31" t="s">
        <v>107</v>
      </c>
      <c r="I561" s="31">
        <v>35</v>
      </c>
      <c r="J561" s="37" t="s">
        <v>2012</v>
      </c>
      <c r="K561" s="31">
        <v>1</v>
      </c>
      <c r="L561" s="31">
        <v>1</v>
      </c>
      <c r="M561" s="37"/>
      <c r="N561" s="31">
        <v>26</v>
      </c>
      <c r="O561" s="77" t="s">
        <v>545</v>
      </c>
      <c r="P561" s="31"/>
      <c r="Q561" s="31">
        <v>50</v>
      </c>
      <c r="R561" s="31">
        <v>30</v>
      </c>
      <c r="S561" s="31"/>
      <c r="T561" s="31"/>
      <c r="U561" s="31">
        <v>60</v>
      </c>
      <c r="V561" s="31"/>
      <c r="W561" s="37"/>
      <c r="X561" s="37"/>
      <c r="Y561" s="79">
        <v>0.8</v>
      </c>
      <c r="Z561" s="31" t="s">
        <v>57</v>
      </c>
      <c r="AA561" s="37"/>
      <c r="AB561" s="37"/>
    </row>
    <row r="562" spans="1:28" ht="23.1" customHeight="1" x14ac:dyDescent="0.25">
      <c r="A562" s="53" t="s">
        <v>653</v>
      </c>
      <c r="B562" s="31" t="s">
        <v>137</v>
      </c>
      <c r="C562" s="31">
        <v>58</v>
      </c>
      <c r="D562" s="31" t="s">
        <v>695</v>
      </c>
      <c r="E562" s="25" t="s">
        <v>696</v>
      </c>
      <c r="F562" s="21" t="s">
        <v>696</v>
      </c>
      <c r="G562" s="21" t="str">
        <f>VLOOKUP(D562,[6]成飞半成品!$A:$B,2,0)</f>
        <v>过渡板</v>
      </c>
      <c r="H562" s="85" t="s">
        <v>1836</v>
      </c>
      <c r="I562" s="31">
        <v>50</v>
      </c>
      <c r="J562" s="37"/>
      <c r="K562" s="31">
        <v>5</v>
      </c>
      <c r="L562" s="31">
        <v>10</v>
      </c>
      <c r="M562" s="31">
        <v>23</v>
      </c>
      <c r="N562" s="31">
        <v>23</v>
      </c>
      <c r="O562" s="77" t="s">
        <v>697</v>
      </c>
      <c r="P562" s="31">
        <v>50</v>
      </c>
      <c r="Q562" s="31">
        <v>50</v>
      </c>
      <c r="R562" s="31"/>
      <c r="S562" s="31"/>
      <c r="T562" s="31"/>
      <c r="U562" s="31"/>
      <c r="V562" s="31"/>
      <c r="W562" s="37"/>
      <c r="X562" s="37"/>
      <c r="Y562" s="83">
        <v>8.3000000000000007</v>
      </c>
      <c r="Z562" s="31" t="s">
        <v>57</v>
      </c>
      <c r="AA562" s="37"/>
      <c r="AB562" s="37"/>
    </row>
    <row r="563" spans="1:28" ht="23.1" customHeight="1" x14ac:dyDescent="0.25">
      <c r="A563" s="53" t="s">
        <v>653</v>
      </c>
      <c r="B563" s="31" t="s">
        <v>137</v>
      </c>
      <c r="C563" s="31">
        <v>57</v>
      </c>
      <c r="D563" s="31" t="s">
        <v>594</v>
      </c>
      <c r="E563" s="25" t="s">
        <v>595</v>
      </c>
      <c r="F563" s="21" t="s">
        <v>595</v>
      </c>
      <c r="G563" s="21" t="str">
        <f>VLOOKUP(D563,[6]成飞半成品!$A:$B,2,0)</f>
        <v>加强件</v>
      </c>
      <c r="H563" s="31" t="s">
        <v>102</v>
      </c>
      <c r="I563" s="31">
        <v>20</v>
      </c>
      <c r="J563" s="37" t="s">
        <v>2002</v>
      </c>
      <c r="K563" s="31">
        <v>1</v>
      </c>
      <c r="L563" s="31">
        <v>1</v>
      </c>
      <c r="M563" s="31">
        <v>37</v>
      </c>
      <c r="N563" s="31">
        <v>37</v>
      </c>
      <c r="O563" s="77" t="s">
        <v>596</v>
      </c>
      <c r="P563" s="31"/>
      <c r="Q563" s="31">
        <v>120</v>
      </c>
      <c r="R563" s="31"/>
      <c r="S563" s="31"/>
      <c r="T563" s="31"/>
      <c r="U563" s="31">
        <v>60</v>
      </c>
      <c r="V563" s="31"/>
      <c r="W563" s="37"/>
      <c r="X563" s="37"/>
      <c r="Y563" s="79">
        <v>2</v>
      </c>
      <c r="Z563" s="31" t="s">
        <v>57</v>
      </c>
      <c r="AA563" s="37"/>
      <c r="AB563" s="37"/>
    </row>
    <row r="564" spans="1:28" ht="23.1" customHeight="1" x14ac:dyDescent="0.25">
      <c r="A564" s="53" t="s">
        <v>653</v>
      </c>
      <c r="B564" s="31" t="s">
        <v>137</v>
      </c>
      <c r="C564" s="31">
        <v>57</v>
      </c>
      <c r="D564" s="31" t="s">
        <v>698</v>
      </c>
      <c r="E564" s="25" t="s">
        <v>699</v>
      </c>
      <c r="F564" s="21" t="e">
        <v>#N/A</v>
      </c>
      <c r="G564" s="21" t="e">
        <f>VLOOKUP(D564,[6]成飞半成品!$A:$B,2,0)</f>
        <v>#N/A</v>
      </c>
      <c r="H564" s="31" t="s">
        <v>123</v>
      </c>
      <c r="I564" s="31">
        <v>10</v>
      </c>
      <c r="J564" s="37" t="s">
        <v>2023</v>
      </c>
      <c r="K564" s="31">
        <v>20</v>
      </c>
      <c r="L564" s="31">
        <v>20</v>
      </c>
      <c r="M564" s="31">
        <v>26</v>
      </c>
      <c r="N564" s="31">
        <v>26</v>
      </c>
      <c r="O564" s="77" t="s">
        <v>247</v>
      </c>
      <c r="P564" s="31">
        <v>30</v>
      </c>
      <c r="Q564" s="31">
        <v>40</v>
      </c>
      <c r="R564" s="31"/>
      <c r="S564" s="31"/>
      <c r="T564" s="31"/>
      <c r="U564" s="31">
        <v>60</v>
      </c>
      <c r="V564" s="31"/>
      <c r="W564" s="37"/>
      <c r="X564" s="37"/>
      <c r="Y564" s="83">
        <v>10</v>
      </c>
      <c r="Z564" s="31" t="s">
        <v>57</v>
      </c>
      <c r="AA564" s="37"/>
      <c r="AB564" s="37"/>
    </row>
    <row r="565" spans="1:28" ht="23.1" customHeight="1" x14ac:dyDescent="0.25">
      <c r="A565" s="53" t="s">
        <v>653</v>
      </c>
      <c r="B565" s="31" t="s">
        <v>137</v>
      </c>
      <c r="C565" s="31">
        <v>17</v>
      </c>
      <c r="D565" s="31" t="s">
        <v>352</v>
      </c>
      <c r="E565" s="25" t="s">
        <v>353</v>
      </c>
      <c r="F565" s="21" t="e">
        <v>#N/A</v>
      </c>
      <c r="G565" s="21" t="e">
        <f>VLOOKUP(D565,[6]成飞半成品!$A:$B,2,0)</f>
        <v>#N/A</v>
      </c>
      <c r="H565" s="31" t="s">
        <v>300</v>
      </c>
      <c r="I565" s="31">
        <v>30</v>
      </c>
      <c r="J565" s="37" t="s">
        <v>2005</v>
      </c>
      <c r="K565" s="31">
        <v>1</v>
      </c>
      <c r="L565" s="31">
        <v>2</v>
      </c>
      <c r="M565" s="31">
        <v>26</v>
      </c>
      <c r="N565" s="31">
        <v>28</v>
      </c>
      <c r="O565" s="77" t="s">
        <v>509</v>
      </c>
      <c r="P565" s="31"/>
      <c r="Q565" s="31">
        <v>480</v>
      </c>
      <c r="R565" s="31"/>
      <c r="S565" s="31"/>
      <c r="T565" s="31"/>
      <c r="U565" s="31">
        <v>120</v>
      </c>
      <c r="V565" s="31"/>
      <c r="W565" s="37"/>
      <c r="X565" s="37"/>
      <c r="Y565" s="79">
        <v>16</v>
      </c>
      <c r="Z565" s="31" t="s">
        <v>14</v>
      </c>
      <c r="AA565" s="37"/>
      <c r="AB565" s="37"/>
    </row>
    <row r="566" spans="1:28" ht="23.1" customHeight="1" x14ac:dyDescent="0.25">
      <c r="A566" s="53" t="s">
        <v>653</v>
      </c>
      <c r="B566" s="31" t="s">
        <v>137</v>
      </c>
      <c r="C566" s="31">
        <v>18</v>
      </c>
      <c r="D566" s="31" t="s">
        <v>205</v>
      </c>
      <c r="E566" s="25" t="s">
        <v>206</v>
      </c>
      <c r="F566" s="21" t="s">
        <v>206</v>
      </c>
      <c r="G566" s="21" t="str">
        <f>VLOOKUP(D566,[6]成飞半成品!$A:$B,2,0)</f>
        <v>卡环</v>
      </c>
      <c r="H566" s="31" t="s">
        <v>123</v>
      </c>
      <c r="I566" s="31">
        <v>50</v>
      </c>
      <c r="J566" s="37" t="s">
        <v>2000</v>
      </c>
      <c r="K566" s="31">
        <v>2.5</v>
      </c>
      <c r="L566" s="31">
        <v>5.5</v>
      </c>
      <c r="M566" s="31">
        <v>26</v>
      </c>
      <c r="N566" s="31">
        <v>26</v>
      </c>
      <c r="O566" s="77" t="s">
        <v>700</v>
      </c>
      <c r="P566" s="34"/>
      <c r="Q566" s="31">
        <v>240</v>
      </c>
      <c r="R566" s="31"/>
      <c r="S566" s="31"/>
      <c r="T566" s="31"/>
      <c r="U566" s="31">
        <v>90</v>
      </c>
      <c r="V566" s="31"/>
      <c r="W566" s="37"/>
      <c r="X566" s="37"/>
      <c r="Y566" s="79">
        <v>22</v>
      </c>
      <c r="Z566" s="31" t="s">
        <v>14</v>
      </c>
      <c r="AA566" s="37"/>
      <c r="AB566" s="37"/>
    </row>
    <row r="567" spans="1:28" ht="23.1" customHeight="1" x14ac:dyDescent="0.25">
      <c r="A567" s="53" t="s">
        <v>653</v>
      </c>
      <c r="B567" s="31" t="s">
        <v>137</v>
      </c>
      <c r="C567" s="31">
        <v>16</v>
      </c>
      <c r="D567" s="25" t="s">
        <v>2551</v>
      </c>
      <c r="E567" s="25" t="s">
        <v>701</v>
      </c>
      <c r="F567" s="21" t="e">
        <v>#N/A</v>
      </c>
      <c r="G567" s="21" t="str">
        <f>VLOOKUP(D567,[6]成飞半成品!$A:$B,2,0)</f>
        <v>工装</v>
      </c>
      <c r="H567" s="31" t="s">
        <v>102</v>
      </c>
      <c r="I567" s="31">
        <v>15</v>
      </c>
      <c r="J567" s="37"/>
      <c r="K567" s="31">
        <v>1</v>
      </c>
      <c r="L567" s="31">
        <v>1</v>
      </c>
      <c r="M567" s="31">
        <v>37</v>
      </c>
      <c r="N567" s="37"/>
      <c r="O567" s="77" t="s">
        <v>108</v>
      </c>
      <c r="P567" s="34"/>
      <c r="Q567" s="31"/>
      <c r="R567" s="31"/>
      <c r="S567" s="31"/>
      <c r="T567" s="31"/>
      <c r="U567" s="31"/>
      <c r="V567" s="31"/>
      <c r="W567" s="37"/>
      <c r="X567" s="37">
        <v>8</v>
      </c>
      <c r="Y567" s="79">
        <v>8</v>
      </c>
      <c r="Z567" s="31" t="s">
        <v>71</v>
      </c>
      <c r="AA567" s="37" t="s">
        <v>702</v>
      </c>
      <c r="AB567" s="37" t="s">
        <v>193</v>
      </c>
    </row>
    <row r="568" spans="1:28" ht="23.1" customHeight="1" x14ac:dyDescent="0.25">
      <c r="A568" s="53" t="s">
        <v>653</v>
      </c>
      <c r="B568" s="31" t="s">
        <v>137</v>
      </c>
      <c r="C568" s="31">
        <v>11</v>
      </c>
      <c r="D568" s="31" t="s">
        <v>2562</v>
      </c>
      <c r="E568" s="25" t="s">
        <v>691</v>
      </c>
      <c r="F568" s="21" t="s">
        <v>691</v>
      </c>
      <c r="G568" s="21" t="str">
        <f>VLOOKUP(D568,[6]成飞半成品!$A:$B,2,0)</f>
        <v>地板支撑件</v>
      </c>
      <c r="H568" s="31" t="s">
        <v>123</v>
      </c>
      <c r="I568" s="31">
        <v>5</v>
      </c>
      <c r="J568" s="37" t="s">
        <v>1930</v>
      </c>
      <c r="K568" s="31">
        <v>6</v>
      </c>
      <c r="L568" s="31">
        <v>6</v>
      </c>
      <c r="M568" s="31">
        <v>37</v>
      </c>
      <c r="N568" s="31">
        <v>37</v>
      </c>
      <c r="O568" s="77" t="s">
        <v>684</v>
      </c>
      <c r="P568" s="31"/>
      <c r="Q568" s="31">
        <v>150</v>
      </c>
      <c r="R568" s="31"/>
      <c r="S568" s="31"/>
      <c r="T568" s="31"/>
      <c r="U568" s="31">
        <v>60</v>
      </c>
      <c r="V568" s="31"/>
      <c r="W568" s="37"/>
      <c r="X568" s="37"/>
      <c r="Y568" s="79">
        <v>15</v>
      </c>
      <c r="Z568" s="31" t="s">
        <v>71</v>
      </c>
      <c r="AA568" s="37"/>
      <c r="AB568" s="37"/>
    </row>
    <row r="569" spans="1:28" ht="23.1" customHeight="1" x14ac:dyDescent="0.25">
      <c r="A569" s="53" t="s">
        <v>653</v>
      </c>
      <c r="B569" s="31" t="s">
        <v>137</v>
      </c>
      <c r="C569" s="31">
        <v>11</v>
      </c>
      <c r="D569" s="31" t="s">
        <v>2562</v>
      </c>
      <c r="E569" s="25" t="s">
        <v>691</v>
      </c>
      <c r="F569" s="21" t="s">
        <v>691</v>
      </c>
      <c r="G569" s="21" t="str">
        <f>VLOOKUP(D569,[6]成飞半成品!$A:$B,2,0)</f>
        <v>地板支撑件</v>
      </c>
      <c r="H569" s="31" t="s">
        <v>123</v>
      </c>
      <c r="I569" s="31">
        <v>10</v>
      </c>
      <c r="J569" s="37" t="s">
        <v>2024</v>
      </c>
      <c r="K569" s="31">
        <v>1</v>
      </c>
      <c r="L569" s="31">
        <v>4</v>
      </c>
      <c r="M569" s="31">
        <v>26</v>
      </c>
      <c r="N569" s="31">
        <v>26</v>
      </c>
      <c r="O569" s="77" t="s">
        <v>703</v>
      </c>
      <c r="P569" s="31"/>
      <c r="Q569" s="31">
        <v>90</v>
      </c>
      <c r="R569" s="31"/>
      <c r="S569" s="31"/>
      <c r="T569" s="31"/>
      <c r="U569" s="31">
        <v>60</v>
      </c>
      <c r="V569" s="31"/>
      <c r="W569" s="37">
        <v>1</v>
      </c>
      <c r="X569" s="37"/>
      <c r="Y569" s="79">
        <v>7</v>
      </c>
      <c r="Z569" s="31" t="s">
        <v>71</v>
      </c>
      <c r="AA569" s="37" t="s">
        <v>704</v>
      </c>
      <c r="AB569" s="37"/>
    </row>
    <row r="570" spans="1:28" ht="23.1" customHeight="1" x14ac:dyDescent="0.25">
      <c r="A570" s="53" t="s">
        <v>653</v>
      </c>
      <c r="B570" s="31" t="s">
        <v>137</v>
      </c>
      <c r="C570" s="31">
        <v>10</v>
      </c>
      <c r="D570" s="31" t="s">
        <v>232</v>
      </c>
      <c r="E570" s="25" t="s">
        <v>233</v>
      </c>
      <c r="F570" s="21" t="s">
        <v>233</v>
      </c>
      <c r="G570" s="21" t="str">
        <f>VLOOKUP(D570,[6]成飞半成品!$A:$B,2,0)</f>
        <v>左内侧接头</v>
      </c>
      <c r="H570" s="31" t="s">
        <v>102</v>
      </c>
      <c r="I570" s="31">
        <v>90</v>
      </c>
      <c r="J570" s="37" t="s">
        <v>2025</v>
      </c>
      <c r="K570" s="31">
        <v>2</v>
      </c>
      <c r="L570" s="31">
        <v>2</v>
      </c>
      <c r="M570" s="31">
        <v>37</v>
      </c>
      <c r="N570" s="31">
        <v>37</v>
      </c>
      <c r="O570" s="77" t="s">
        <v>234</v>
      </c>
      <c r="P570" s="31"/>
      <c r="Q570" s="31">
        <v>240</v>
      </c>
      <c r="R570" s="31"/>
      <c r="S570" s="31"/>
      <c r="T570" s="31"/>
      <c r="U570" s="31">
        <v>90</v>
      </c>
      <c r="V570" s="31"/>
      <c r="W570" s="37">
        <v>1</v>
      </c>
      <c r="X570" s="37"/>
      <c r="Y570" s="79">
        <v>9.5</v>
      </c>
      <c r="Z570" s="31" t="s">
        <v>23</v>
      </c>
      <c r="AA570" s="37" t="s">
        <v>92</v>
      </c>
      <c r="AB570" s="37"/>
    </row>
    <row r="571" spans="1:28" ht="23.1" customHeight="1" x14ac:dyDescent="0.25">
      <c r="A571" s="53" t="s">
        <v>653</v>
      </c>
      <c r="B571" s="31" t="s">
        <v>137</v>
      </c>
      <c r="C571" s="31">
        <v>9</v>
      </c>
      <c r="D571" s="31" t="s">
        <v>624</v>
      </c>
      <c r="E571" s="25" t="s">
        <v>625</v>
      </c>
      <c r="F571" s="21" t="s">
        <v>625</v>
      </c>
      <c r="G571" s="21" t="str">
        <f>VLOOKUP(D571,[6]成飞半成品!$A:$B,2,0)</f>
        <v>支架</v>
      </c>
      <c r="H571" s="31" t="s">
        <v>300</v>
      </c>
      <c r="I571" s="31">
        <v>45</v>
      </c>
      <c r="J571" s="37" t="s">
        <v>1991</v>
      </c>
      <c r="K571" s="31">
        <v>2</v>
      </c>
      <c r="L571" s="31">
        <v>4</v>
      </c>
      <c r="M571" s="31">
        <v>37</v>
      </c>
      <c r="N571" s="31">
        <v>37</v>
      </c>
      <c r="O571" s="77" t="s">
        <v>567</v>
      </c>
      <c r="P571" s="34"/>
      <c r="Q571" s="31">
        <v>55</v>
      </c>
      <c r="R571" s="31"/>
      <c r="S571" s="31"/>
      <c r="T571" s="31"/>
      <c r="U571" s="31">
        <v>60</v>
      </c>
      <c r="V571" s="31"/>
      <c r="W571" s="37"/>
      <c r="X571" s="37"/>
      <c r="Y571" s="79">
        <v>3.7</v>
      </c>
      <c r="Z571" s="31" t="s">
        <v>23</v>
      </c>
      <c r="AA571" s="37"/>
      <c r="AB571" s="37"/>
    </row>
    <row r="572" spans="1:28" ht="23.1" customHeight="1" x14ac:dyDescent="0.25">
      <c r="A572" s="53" t="s">
        <v>653</v>
      </c>
      <c r="B572" s="31" t="s">
        <v>137</v>
      </c>
      <c r="C572" s="31">
        <v>24</v>
      </c>
      <c r="D572" s="31" t="s">
        <v>294</v>
      </c>
      <c r="E572" s="25" t="s">
        <v>259</v>
      </c>
      <c r="F572" s="21" t="s">
        <v>979</v>
      </c>
      <c r="G572" s="21" t="str">
        <f>VLOOKUP(D572,[6]成飞半成品!$A:$B,2,0)</f>
        <v>梁（左件）</v>
      </c>
      <c r="H572" s="31" t="s">
        <v>118</v>
      </c>
      <c r="I572" s="31">
        <v>50</v>
      </c>
      <c r="J572" s="37" t="s">
        <v>1965</v>
      </c>
      <c r="K572" s="31">
        <v>0.5</v>
      </c>
      <c r="L572" s="31">
        <v>0.4</v>
      </c>
      <c r="M572" s="37"/>
      <c r="N572" s="31">
        <v>5</v>
      </c>
      <c r="O572" s="77" t="s">
        <v>410</v>
      </c>
      <c r="P572" s="34"/>
      <c r="Q572" s="31">
        <v>1960</v>
      </c>
      <c r="R572" s="31">
        <v>120</v>
      </c>
      <c r="S572" s="31"/>
      <c r="T572" s="31"/>
      <c r="U572" s="31">
        <v>180</v>
      </c>
      <c r="V572" s="31"/>
      <c r="W572" s="37"/>
      <c r="X572" s="37"/>
      <c r="Y572" s="79">
        <v>13.1</v>
      </c>
      <c r="Z572" s="31" t="s">
        <v>52</v>
      </c>
      <c r="AA572" s="37"/>
      <c r="AB572" s="37"/>
    </row>
    <row r="573" spans="1:28" ht="23.1" customHeight="1" x14ac:dyDescent="0.25">
      <c r="A573" s="53" t="s">
        <v>653</v>
      </c>
      <c r="B573" s="31" t="s">
        <v>137</v>
      </c>
      <c r="C573" s="31">
        <v>84</v>
      </c>
      <c r="D573" s="31" t="s">
        <v>449</v>
      </c>
      <c r="E573" s="25" t="s">
        <v>317</v>
      </c>
      <c r="F573" s="21" t="s">
        <v>317</v>
      </c>
      <c r="G573" s="21" t="str">
        <f>VLOOKUP(D573,[6]成飞半成品!$A:$B,2,0)</f>
        <v>角盒</v>
      </c>
      <c r="H573" s="31" t="s">
        <v>154</v>
      </c>
      <c r="I573" s="31">
        <v>30</v>
      </c>
      <c r="J573" s="31" t="s">
        <v>2026</v>
      </c>
      <c r="K573" s="37"/>
      <c r="L573" s="31">
        <v>0.4</v>
      </c>
      <c r="M573" s="37"/>
      <c r="N573" s="31">
        <v>23</v>
      </c>
      <c r="O573" s="77" t="s">
        <v>159</v>
      </c>
      <c r="P573" s="34"/>
      <c r="Q573" s="31">
        <v>660</v>
      </c>
      <c r="R573" s="31">
        <v>60</v>
      </c>
      <c r="S573" s="31"/>
      <c r="T573" s="31">
        <v>1</v>
      </c>
      <c r="U573" s="31">
        <v>120</v>
      </c>
      <c r="V573" s="31"/>
      <c r="W573" s="37">
        <v>1</v>
      </c>
      <c r="X573" s="37">
        <v>3</v>
      </c>
      <c r="Y573" s="79">
        <v>10.4</v>
      </c>
      <c r="Z573" s="31" t="s">
        <v>52</v>
      </c>
      <c r="AA573" s="37" t="s">
        <v>705</v>
      </c>
      <c r="AB573" s="37"/>
    </row>
    <row r="574" spans="1:28" ht="23.1" customHeight="1" x14ac:dyDescent="0.25">
      <c r="A574" s="53" t="s">
        <v>653</v>
      </c>
      <c r="B574" s="31" t="s">
        <v>137</v>
      </c>
      <c r="C574" s="31">
        <v>69</v>
      </c>
      <c r="D574" s="31" t="s">
        <v>662</v>
      </c>
      <c r="E574" s="25" t="s">
        <v>663</v>
      </c>
      <c r="F574" s="21" t="s">
        <v>663</v>
      </c>
      <c r="G574" s="21" t="str">
        <f>VLOOKUP(D574,[6]成飞半成品!$A:$B,2,0)</f>
        <v>前端框</v>
      </c>
      <c r="H574" s="31" t="s">
        <v>250</v>
      </c>
      <c r="I574" s="31">
        <v>55</v>
      </c>
      <c r="J574" s="37" t="s">
        <v>2010</v>
      </c>
      <c r="K574" s="31">
        <v>5</v>
      </c>
      <c r="L574" s="31">
        <v>4</v>
      </c>
      <c r="M574" s="31">
        <v>5</v>
      </c>
      <c r="N574" s="31">
        <v>5</v>
      </c>
      <c r="O574" s="77" t="s">
        <v>664</v>
      </c>
      <c r="P574" s="34"/>
      <c r="Q574" s="31">
        <v>450</v>
      </c>
      <c r="R574" s="31">
        <v>90</v>
      </c>
      <c r="S574" s="31"/>
      <c r="T574" s="31">
        <v>4</v>
      </c>
      <c r="U574" s="31">
        <v>180</v>
      </c>
      <c r="V574" s="31"/>
      <c r="W574" s="37"/>
      <c r="X574" s="37"/>
      <c r="Y574" s="79">
        <v>36</v>
      </c>
      <c r="Z574" s="31" t="s">
        <v>52</v>
      </c>
      <c r="AA574" s="37" t="s">
        <v>372</v>
      </c>
      <c r="AB574" s="37"/>
    </row>
    <row r="575" spans="1:28" ht="23.1" customHeight="1" x14ac:dyDescent="0.25">
      <c r="A575" s="53" t="s">
        <v>653</v>
      </c>
      <c r="B575" s="31" t="s">
        <v>137</v>
      </c>
      <c r="C575" s="31">
        <v>91</v>
      </c>
      <c r="D575" s="31" t="s">
        <v>643</v>
      </c>
      <c r="E575" s="25" t="s">
        <v>644</v>
      </c>
      <c r="F575" s="21" t="s">
        <v>644</v>
      </c>
      <c r="G575" s="21" t="str">
        <f>VLOOKUP(D575,[6]成飞半成品!$A:$B,2,0)</f>
        <v>辅助动力舱口盖前段</v>
      </c>
      <c r="H575" s="31" t="s">
        <v>154</v>
      </c>
      <c r="I575" s="31">
        <v>45</v>
      </c>
      <c r="J575" s="37" t="s">
        <v>2001</v>
      </c>
      <c r="K575" s="31">
        <v>1.2</v>
      </c>
      <c r="L575" s="31">
        <v>1.2</v>
      </c>
      <c r="M575" s="31">
        <v>26</v>
      </c>
      <c r="N575" s="31">
        <v>26</v>
      </c>
      <c r="O575" s="77" t="s">
        <v>186</v>
      </c>
      <c r="P575" s="34"/>
      <c r="Q575" s="31">
        <v>210</v>
      </c>
      <c r="R575" s="31">
        <v>90</v>
      </c>
      <c r="S575" s="31"/>
      <c r="T575" s="31">
        <v>1</v>
      </c>
      <c r="U575" s="31">
        <v>120</v>
      </c>
      <c r="V575" s="31"/>
      <c r="W575" s="37"/>
      <c r="X575" s="37">
        <v>3</v>
      </c>
      <c r="Y575" s="79">
        <v>8.6999999999999993</v>
      </c>
      <c r="Z575" s="31" t="s">
        <v>52</v>
      </c>
      <c r="AA575" s="37" t="s">
        <v>706</v>
      </c>
      <c r="AB575" s="37"/>
    </row>
    <row r="576" spans="1:28" ht="23.1" customHeight="1" x14ac:dyDescent="0.25">
      <c r="A576" s="53" t="s">
        <v>653</v>
      </c>
      <c r="B576" s="31" t="s">
        <v>137</v>
      </c>
      <c r="C576" s="31">
        <v>91</v>
      </c>
      <c r="D576" s="31" t="s">
        <v>707</v>
      </c>
      <c r="E576" s="25" t="s">
        <v>708</v>
      </c>
      <c r="F576" s="21" t="s">
        <v>708</v>
      </c>
      <c r="G576" s="21" t="str">
        <f>VLOOKUP(D576,[6]成飞半成品!$A:$B,2,0)</f>
        <v>10150侧隔框</v>
      </c>
      <c r="H576" s="31" t="s">
        <v>250</v>
      </c>
      <c r="I576" s="31">
        <v>35</v>
      </c>
      <c r="J576" s="37" t="s">
        <v>2027</v>
      </c>
      <c r="K576" s="31">
        <v>2</v>
      </c>
      <c r="L576" s="31">
        <v>4</v>
      </c>
      <c r="M576" s="31">
        <v>37</v>
      </c>
      <c r="N576" s="31">
        <v>5</v>
      </c>
      <c r="O576" s="77" t="s">
        <v>709</v>
      </c>
      <c r="P576" s="34"/>
      <c r="Q576" s="31">
        <v>210</v>
      </c>
      <c r="R576" s="31">
        <v>75</v>
      </c>
      <c r="S576" s="31"/>
      <c r="T576" s="31">
        <v>4</v>
      </c>
      <c r="U576" s="31">
        <v>180</v>
      </c>
      <c r="V576" s="31"/>
      <c r="W576" s="37">
        <v>1</v>
      </c>
      <c r="X576" s="37">
        <v>4</v>
      </c>
      <c r="Y576" s="79">
        <v>26</v>
      </c>
      <c r="Z576" s="31" t="s">
        <v>52</v>
      </c>
      <c r="AA576" s="37" t="s">
        <v>710</v>
      </c>
      <c r="AB576" s="37"/>
    </row>
    <row r="577" spans="1:28" ht="23.1" customHeight="1" x14ac:dyDescent="0.25">
      <c r="A577" s="53" t="s">
        <v>653</v>
      </c>
      <c r="B577" s="31" t="s">
        <v>137</v>
      </c>
      <c r="C577" s="31">
        <v>84</v>
      </c>
      <c r="D577" s="31" t="s">
        <v>214</v>
      </c>
      <c r="E577" s="25" t="s">
        <v>215</v>
      </c>
      <c r="F577" s="21" t="s">
        <v>215</v>
      </c>
      <c r="G577" s="21" t="str">
        <f>VLOOKUP(D577,[6]成飞半成品!$A:$B,2,0)</f>
        <v>口盖</v>
      </c>
      <c r="H577" s="31" t="s">
        <v>118</v>
      </c>
      <c r="I577" s="31">
        <v>28</v>
      </c>
      <c r="J577" s="37"/>
      <c r="K577" s="31">
        <v>1</v>
      </c>
      <c r="L577" s="31">
        <v>1</v>
      </c>
      <c r="M577" s="31">
        <v>37</v>
      </c>
      <c r="N577" s="31">
        <v>37</v>
      </c>
      <c r="O577" s="77" t="s">
        <v>216</v>
      </c>
      <c r="P577" s="34">
        <v>100</v>
      </c>
      <c r="Q577" s="31"/>
      <c r="R577" s="31"/>
      <c r="S577" s="31"/>
      <c r="T577" s="31">
        <v>1</v>
      </c>
      <c r="U577" s="31"/>
      <c r="V577" s="31"/>
      <c r="W577" s="37"/>
      <c r="X577" s="37"/>
      <c r="Y577" s="83">
        <v>1.7</v>
      </c>
      <c r="Z577" s="31" t="s">
        <v>52</v>
      </c>
      <c r="AA577" s="37" t="s">
        <v>145</v>
      </c>
      <c r="AB577" s="37"/>
    </row>
    <row r="578" spans="1:28" ht="23.1" customHeight="1" x14ac:dyDescent="0.25">
      <c r="A578" s="53" t="s">
        <v>653</v>
      </c>
      <c r="B578" s="31" t="s">
        <v>137</v>
      </c>
      <c r="C578" s="31">
        <v>84</v>
      </c>
      <c r="D578" s="31" t="s">
        <v>142</v>
      </c>
      <c r="E578" s="25" t="s">
        <v>133</v>
      </c>
      <c r="F578" s="21" t="s">
        <v>133</v>
      </c>
      <c r="G578" s="21" t="str">
        <f>VLOOKUP(D578,[6]成飞半成品!$A:$B,2,0)</f>
        <v>摇臂</v>
      </c>
      <c r="H578" s="31" t="s">
        <v>108</v>
      </c>
      <c r="I578" s="31">
        <v>35</v>
      </c>
      <c r="J578" s="37"/>
      <c r="K578" s="31">
        <v>2</v>
      </c>
      <c r="L578" s="31">
        <v>2</v>
      </c>
      <c r="M578" s="31">
        <v>37</v>
      </c>
      <c r="N578" s="31">
        <v>26</v>
      </c>
      <c r="O578" s="77" t="s">
        <v>108</v>
      </c>
      <c r="P578" s="34"/>
      <c r="Q578" s="31"/>
      <c r="R578" s="31"/>
      <c r="S578" s="31"/>
      <c r="T578" s="31">
        <v>2</v>
      </c>
      <c r="U578" s="31"/>
      <c r="V578" s="31"/>
      <c r="W578" s="37">
        <v>1</v>
      </c>
      <c r="X578" s="37">
        <v>4</v>
      </c>
      <c r="Y578" s="79">
        <v>4</v>
      </c>
      <c r="Z578" s="31" t="s">
        <v>52</v>
      </c>
      <c r="AA578" s="37" t="s">
        <v>711</v>
      </c>
      <c r="AB578" s="37"/>
    </row>
    <row r="579" spans="1:28" ht="23.1" customHeight="1" x14ac:dyDescent="0.25">
      <c r="A579" s="53" t="s">
        <v>653</v>
      </c>
      <c r="B579" s="31" t="s">
        <v>137</v>
      </c>
      <c r="C579" s="31">
        <v>119</v>
      </c>
      <c r="D579" s="31" t="s">
        <v>288</v>
      </c>
      <c r="E579" s="25" t="s">
        <v>255</v>
      </c>
      <c r="F579" s="21" t="s">
        <v>1532</v>
      </c>
      <c r="G579" s="21" t="str">
        <f>VLOOKUP(D579,[6]成飞半成品!$A:$B,2,0)</f>
        <v>9350-11140左侧上梁</v>
      </c>
      <c r="H579" s="31" t="s">
        <v>250</v>
      </c>
      <c r="I579" s="31">
        <v>50</v>
      </c>
      <c r="J579" s="37" t="s">
        <v>2021</v>
      </c>
      <c r="K579" s="31">
        <v>0.3</v>
      </c>
      <c r="L579" s="31">
        <v>0.3</v>
      </c>
      <c r="M579" s="37"/>
      <c r="N579" s="31">
        <v>5</v>
      </c>
      <c r="O579" s="77" t="s">
        <v>476</v>
      </c>
      <c r="P579" s="34"/>
      <c r="Q579" s="31">
        <v>3000</v>
      </c>
      <c r="R579" s="31">
        <v>90</v>
      </c>
      <c r="S579" s="31"/>
      <c r="T579" s="31"/>
      <c r="U579" s="31">
        <v>150</v>
      </c>
      <c r="V579" s="31"/>
      <c r="W579" s="37"/>
      <c r="X579" s="37"/>
      <c r="Y579" s="79">
        <v>15</v>
      </c>
      <c r="Z579" s="31" t="s">
        <v>52</v>
      </c>
      <c r="AA579" s="37"/>
      <c r="AB579" s="37"/>
    </row>
    <row r="580" spans="1:28" ht="23.1" customHeight="1" x14ac:dyDescent="0.25">
      <c r="A580" s="53" t="s">
        <v>653</v>
      </c>
      <c r="B580" s="31" t="s">
        <v>113</v>
      </c>
      <c r="C580" s="31">
        <v>76</v>
      </c>
      <c r="D580" s="31" t="s">
        <v>543</v>
      </c>
      <c r="E580" s="25" t="s">
        <v>544</v>
      </c>
      <c r="F580" s="21" t="s">
        <v>544</v>
      </c>
      <c r="G580" s="21" t="str">
        <f>VLOOKUP(D580,[6]成飞半成品!$A:$B,2,0)</f>
        <v>3#上垫片</v>
      </c>
      <c r="H580" s="31" t="s">
        <v>154</v>
      </c>
      <c r="I580" s="31">
        <v>15</v>
      </c>
      <c r="J580" s="37" t="s">
        <v>1926</v>
      </c>
      <c r="K580" s="31">
        <v>7</v>
      </c>
      <c r="L580" s="31">
        <v>7</v>
      </c>
      <c r="M580" s="31">
        <v>37</v>
      </c>
      <c r="N580" s="31">
        <v>5</v>
      </c>
      <c r="O580" s="77" t="s">
        <v>712</v>
      </c>
      <c r="P580" s="31"/>
      <c r="Q580" s="31">
        <v>90</v>
      </c>
      <c r="R580" s="31"/>
      <c r="S580" s="31"/>
      <c r="T580" s="31"/>
      <c r="U580" s="31">
        <v>90</v>
      </c>
      <c r="V580" s="31"/>
      <c r="W580" s="37"/>
      <c r="X580" s="37"/>
      <c r="Y580" s="79">
        <v>10.5</v>
      </c>
      <c r="Z580" s="31" t="s">
        <v>12</v>
      </c>
      <c r="AA580" s="37" t="s">
        <v>713</v>
      </c>
      <c r="AB580" s="37"/>
    </row>
    <row r="581" spans="1:28" ht="23.1" customHeight="1" x14ac:dyDescent="0.25">
      <c r="A581" s="53" t="s">
        <v>653</v>
      </c>
      <c r="B581" s="31" t="s">
        <v>113</v>
      </c>
      <c r="C581" s="31">
        <v>15</v>
      </c>
      <c r="D581" s="31" t="s">
        <v>592</v>
      </c>
      <c r="E581" s="25" t="s">
        <v>218</v>
      </c>
      <c r="F581" s="21" t="s">
        <v>218</v>
      </c>
      <c r="G581" s="21" t="str">
        <f>VLOOKUP(D581,[6]成飞半成品!$A:$B,2,0)</f>
        <v>横梁</v>
      </c>
      <c r="H581" s="31" t="s">
        <v>107</v>
      </c>
      <c r="I581" s="31">
        <v>20</v>
      </c>
      <c r="J581" s="37" t="s">
        <v>1896</v>
      </c>
      <c r="K581" s="31">
        <v>3</v>
      </c>
      <c r="L581" s="31">
        <v>3</v>
      </c>
      <c r="M581" s="31">
        <v>5</v>
      </c>
      <c r="N581" s="31">
        <v>5</v>
      </c>
      <c r="O581" s="77" t="s">
        <v>456</v>
      </c>
      <c r="P581" s="31"/>
      <c r="Q581" s="31">
        <v>300</v>
      </c>
      <c r="R581" s="31"/>
      <c r="S581" s="31"/>
      <c r="T581" s="31"/>
      <c r="U581" s="31">
        <v>90</v>
      </c>
      <c r="V581" s="31"/>
      <c r="W581" s="37"/>
      <c r="X581" s="37">
        <v>3</v>
      </c>
      <c r="Y581" s="79">
        <v>18</v>
      </c>
      <c r="Z581" s="31" t="s">
        <v>60</v>
      </c>
      <c r="AA581" s="37" t="s">
        <v>714</v>
      </c>
      <c r="AB581" s="37"/>
    </row>
    <row r="582" spans="1:28" ht="23.1" customHeight="1" x14ac:dyDescent="0.25">
      <c r="A582" s="53" t="s">
        <v>653</v>
      </c>
      <c r="B582" s="31" t="s">
        <v>113</v>
      </c>
      <c r="C582" s="31">
        <v>14</v>
      </c>
      <c r="D582" s="31" t="s">
        <v>276</v>
      </c>
      <c r="E582" s="25" t="s">
        <v>277</v>
      </c>
      <c r="F582" s="21" t="s">
        <v>277</v>
      </c>
      <c r="G582" s="21" t="str">
        <f>VLOOKUP(D582,[6]成飞半成品!$A:$B,2,0)</f>
        <v>左外侧接头</v>
      </c>
      <c r="H582" s="31" t="s">
        <v>154</v>
      </c>
      <c r="I582" s="31">
        <v>70</v>
      </c>
      <c r="J582" s="37" t="s">
        <v>1995</v>
      </c>
      <c r="K582" s="31">
        <v>0.7</v>
      </c>
      <c r="L582" s="31">
        <v>0.7</v>
      </c>
      <c r="M582" s="37"/>
      <c r="N582" s="31">
        <v>5</v>
      </c>
      <c r="O582" s="77" t="s">
        <v>234</v>
      </c>
      <c r="P582" s="31"/>
      <c r="Q582" s="31">
        <v>1320</v>
      </c>
      <c r="R582" s="31"/>
      <c r="S582" s="31"/>
      <c r="T582" s="31"/>
      <c r="U582" s="31">
        <v>120</v>
      </c>
      <c r="V582" s="31"/>
      <c r="W582" s="37"/>
      <c r="X582" s="37"/>
      <c r="Y582" s="79">
        <v>15.4</v>
      </c>
      <c r="Z582" s="31" t="s">
        <v>60</v>
      </c>
      <c r="AA582" s="37"/>
      <c r="AB582" s="37"/>
    </row>
    <row r="583" spans="1:28" ht="23.1" customHeight="1" x14ac:dyDescent="0.25">
      <c r="A583" s="53" t="s">
        <v>653</v>
      </c>
      <c r="B583" s="31" t="s">
        <v>113</v>
      </c>
      <c r="C583" s="31">
        <v>21</v>
      </c>
      <c r="D583" s="31" t="s">
        <v>321</v>
      </c>
      <c r="E583" s="25" t="s">
        <v>322</v>
      </c>
      <c r="F583" s="21" t="s">
        <v>322</v>
      </c>
      <c r="G583" s="21" t="str">
        <f>VLOOKUP(D583,[6]成飞半成品!$A:$B,2,0)</f>
        <v>10860框</v>
      </c>
      <c r="H583" s="31" t="s">
        <v>323</v>
      </c>
      <c r="I583" s="31">
        <v>55</v>
      </c>
      <c r="J583" s="37" t="s">
        <v>2004</v>
      </c>
      <c r="K583" s="31">
        <v>1</v>
      </c>
      <c r="L583" s="31">
        <v>1</v>
      </c>
      <c r="M583" s="37"/>
      <c r="N583" s="31">
        <v>5</v>
      </c>
      <c r="O583" s="77" t="s">
        <v>684</v>
      </c>
      <c r="P583" s="34"/>
      <c r="Q583" s="31">
        <v>660</v>
      </c>
      <c r="R583" s="31">
        <v>120</v>
      </c>
      <c r="S583" s="31"/>
      <c r="T583" s="31">
        <v>1</v>
      </c>
      <c r="U583" s="31">
        <v>180</v>
      </c>
      <c r="V583" s="31"/>
      <c r="W583" s="37">
        <v>1</v>
      </c>
      <c r="X583" s="37"/>
      <c r="Y583" s="79">
        <v>16</v>
      </c>
      <c r="Z583" s="31" t="s">
        <v>49</v>
      </c>
      <c r="AA583" s="37" t="s">
        <v>407</v>
      </c>
      <c r="AB583" s="37"/>
    </row>
    <row r="584" spans="1:28" ht="23.1" customHeight="1" x14ac:dyDescent="0.25">
      <c r="A584" s="53" t="s">
        <v>653</v>
      </c>
      <c r="B584" s="31" t="s">
        <v>113</v>
      </c>
      <c r="C584" s="31">
        <v>59</v>
      </c>
      <c r="D584" s="31" t="s">
        <v>616</v>
      </c>
      <c r="E584" s="25" t="s">
        <v>617</v>
      </c>
      <c r="F584" s="21" t="s">
        <v>617</v>
      </c>
      <c r="G584" s="21" t="str">
        <f>VLOOKUP(D584,[6]成飞半成品!$A:$B,2,0)</f>
        <v>立柱加强接头</v>
      </c>
      <c r="H584" s="31" t="s">
        <v>102</v>
      </c>
      <c r="I584" s="31">
        <v>25</v>
      </c>
      <c r="J584" s="37" t="s">
        <v>2022</v>
      </c>
      <c r="K584" s="31">
        <v>4</v>
      </c>
      <c r="L584" s="31">
        <v>4</v>
      </c>
      <c r="M584" s="31">
        <v>23</v>
      </c>
      <c r="N584" s="31">
        <v>23</v>
      </c>
      <c r="O584" s="77" t="s">
        <v>596</v>
      </c>
      <c r="P584" s="34"/>
      <c r="Q584" s="31">
        <v>50</v>
      </c>
      <c r="R584" s="31"/>
      <c r="S584" s="31"/>
      <c r="T584" s="31"/>
      <c r="U584" s="31">
        <v>90</v>
      </c>
      <c r="V584" s="31"/>
      <c r="W584" s="37"/>
      <c r="X584" s="37"/>
      <c r="Y584" s="79">
        <v>3.3</v>
      </c>
      <c r="Z584" s="65" t="s">
        <v>1847</v>
      </c>
      <c r="AA584" s="37"/>
      <c r="AB584" s="37"/>
    </row>
    <row r="585" spans="1:28" ht="23.1" customHeight="1" x14ac:dyDescent="0.25">
      <c r="A585" s="53" t="s">
        <v>653</v>
      </c>
      <c r="B585" s="31" t="s">
        <v>113</v>
      </c>
      <c r="C585" s="31">
        <v>59</v>
      </c>
      <c r="D585" s="31" t="s">
        <v>616</v>
      </c>
      <c r="E585" s="25" t="s">
        <v>617</v>
      </c>
      <c r="F585" s="21" t="s">
        <v>617</v>
      </c>
      <c r="G585" s="21" t="str">
        <f>VLOOKUP(D585,[6]成飞半成品!$A:$B,2,0)</f>
        <v>立柱加强接头</v>
      </c>
      <c r="H585" s="31" t="s">
        <v>102</v>
      </c>
      <c r="I585" s="31">
        <v>30</v>
      </c>
      <c r="J585" s="37" t="s">
        <v>1953</v>
      </c>
      <c r="K585" s="31">
        <v>8</v>
      </c>
      <c r="L585" s="31">
        <v>6</v>
      </c>
      <c r="M585" s="31">
        <v>23</v>
      </c>
      <c r="N585" s="31">
        <v>9</v>
      </c>
      <c r="O585" s="77" t="s">
        <v>596</v>
      </c>
      <c r="P585" s="34"/>
      <c r="Q585" s="31">
        <v>45</v>
      </c>
      <c r="R585" s="31"/>
      <c r="S585" s="31"/>
      <c r="T585" s="31"/>
      <c r="U585" s="31">
        <v>90</v>
      </c>
      <c r="V585" s="31"/>
      <c r="W585" s="37">
        <v>1</v>
      </c>
      <c r="X585" s="37">
        <v>2</v>
      </c>
      <c r="Y585" s="79">
        <v>8</v>
      </c>
      <c r="Z585" s="65" t="s">
        <v>1847</v>
      </c>
      <c r="AA585" s="37" t="s">
        <v>715</v>
      </c>
      <c r="AB585" s="25" t="s">
        <v>238</v>
      </c>
    </row>
    <row r="586" spans="1:28" ht="23.1" customHeight="1" x14ac:dyDescent="0.25">
      <c r="A586" s="53" t="s">
        <v>653</v>
      </c>
      <c r="B586" s="31" t="s">
        <v>113</v>
      </c>
      <c r="C586" s="31">
        <v>23</v>
      </c>
      <c r="D586" s="31" t="s">
        <v>254</v>
      </c>
      <c r="E586" s="25" t="s">
        <v>255</v>
      </c>
      <c r="F586" s="21" t="s">
        <v>1016</v>
      </c>
      <c r="G586" s="21" t="str">
        <f>VLOOKUP(D586,[6]成飞半成品!$A:$B,2,0)</f>
        <v>9350-11140右侧上梁</v>
      </c>
      <c r="H586" s="31" t="s">
        <v>375</v>
      </c>
      <c r="I586" s="31">
        <v>37</v>
      </c>
      <c r="J586" s="37"/>
      <c r="K586" s="31">
        <v>0.2</v>
      </c>
      <c r="L586" s="31">
        <v>0.2</v>
      </c>
      <c r="M586" s="37"/>
      <c r="N586" s="31">
        <v>5</v>
      </c>
      <c r="O586" s="77" t="s">
        <v>716</v>
      </c>
      <c r="P586" s="25">
        <v>660</v>
      </c>
      <c r="Q586" s="31"/>
      <c r="R586" s="31"/>
      <c r="S586" s="31"/>
      <c r="T586" s="31"/>
      <c r="U586" s="31"/>
      <c r="V586" s="31"/>
      <c r="W586" s="37"/>
      <c r="X586" s="37"/>
      <c r="Y586" s="83">
        <v>2.2000000000000002</v>
      </c>
      <c r="Z586" s="31" t="s">
        <v>33</v>
      </c>
      <c r="AA586" s="37"/>
      <c r="AB586" s="37"/>
    </row>
    <row r="587" spans="1:28" ht="23.1" customHeight="1" x14ac:dyDescent="0.25">
      <c r="A587" s="53" t="s">
        <v>653</v>
      </c>
      <c r="B587" s="31" t="s">
        <v>113</v>
      </c>
      <c r="C587" s="31">
        <v>23</v>
      </c>
      <c r="D587" s="31" t="s">
        <v>717</v>
      </c>
      <c r="E587" s="25" t="s">
        <v>718</v>
      </c>
      <c r="F587" s="21" t="s">
        <v>718</v>
      </c>
      <c r="G587" s="21" t="str">
        <f>VLOOKUP(D587,[6]成飞半成品!$A:$B,2,0)</f>
        <v>上边肋</v>
      </c>
      <c r="H587" s="31" t="s">
        <v>118</v>
      </c>
      <c r="I587" s="31">
        <v>45</v>
      </c>
      <c r="J587" s="37" t="s">
        <v>2028</v>
      </c>
      <c r="K587" s="31">
        <v>0.3</v>
      </c>
      <c r="L587" s="31">
        <v>0.5</v>
      </c>
      <c r="M587" s="37"/>
      <c r="N587" s="31">
        <v>28</v>
      </c>
      <c r="O587" s="77" t="s">
        <v>719</v>
      </c>
      <c r="P587" s="34"/>
      <c r="Q587" s="31">
        <v>1080</v>
      </c>
      <c r="R587" s="31">
        <v>90</v>
      </c>
      <c r="S587" s="31"/>
      <c r="T587" s="31"/>
      <c r="U587" s="31">
        <v>120</v>
      </c>
      <c r="V587" s="31"/>
      <c r="W587" s="37">
        <v>1</v>
      </c>
      <c r="X587" s="37">
        <v>2</v>
      </c>
      <c r="Y587" s="79">
        <v>13</v>
      </c>
      <c r="Z587" s="31" t="s">
        <v>33</v>
      </c>
      <c r="AA587" s="37" t="s">
        <v>720</v>
      </c>
      <c r="AB587" s="37"/>
    </row>
    <row r="588" spans="1:28" ht="23.1" customHeight="1" x14ac:dyDescent="0.25">
      <c r="A588" s="53" t="s">
        <v>653</v>
      </c>
      <c r="B588" s="31" t="s">
        <v>113</v>
      </c>
      <c r="C588" s="31">
        <v>23</v>
      </c>
      <c r="D588" s="31" t="s">
        <v>717</v>
      </c>
      <c r="E588" s="25" t="s">
        <v>718</v>
      </c>
      <c r="F588" s="21" t="s">
        <v>718</v>
      </c>
      <c r="G588" s="21" t="str">
        <f>VLOOKUP(D588,[6]成飞半成品!$A:$B,2,0)</f>
        <v>上边肋</v>
      </c>
      <c r="H588" s="31" t="s">
        <v>118</v>
      </c>
      <c r="I588" s="31">
        <v>45</v>
      </c>
      <c r="J588" s="37" t="s">
        <v>2028</v>
      </c>
      <c r="K588" s="31">
        <v>1</v>
      </c>
      <c r="L588" s="31">
        <v>1</v>
      </c>
      <c r="M588" s="37"/>
      <c r="N588" s="31">
        <v>37</v>
      </c>
      <c r="O588" s="77" t="s">
        <v>108</v>
      </c>
      <c r="P588" s="34"/>
      <c r="Q588" s="31">
        <v>1080</v>
      </c>
      <c r="R588" s="31">
        <v>90</v>
      </c>
      <c r="S588" s="31"/>
      <c r="T588" s="31"/>
      <c r="U588" s="31">
        <v>120</v>
      </c>
      <c r="V588" s="31"/>
      <c r="W588" s="37"/>
      <c r="X588" s="37"/>
      <c r="Y588" s="79">
        <v>18</v>
      </c>
      <c r="Z588" s="31" t="s">
        <v>33</v>
      </c>
      <c r="AA588" s="37" t="s">
        <v>721</v>
      </c>
      <c r="AB588" s="37"/>
    </row>
    <row r="589" spans="1:28" ht="23.1" customHeight="1" x14ac:dyDescent="0.25">
      <c r="A589" s="53" t="s">
        <v>653</v>
      </c>
      <c r="B589" s="31" t="s">
        <v>113</v>
      </c>
      <c r="C589" s="31">
        <v>47</v>
      </c>
      <c r="D589" s="31" t="s">
        <v>332</v>
      </c>
      <c r="E589" s="25" t="s">
        <v>333</v>
      </c>
      <c r="F589" s="21" t="s">
        <v>2548</v>
      </c>
      <c r="G589" s="21" t="str">
        <f>VLOOKUP(D589,[6]成飞半成品!$A:$B,2,0)</f>
        <v>5550上框</v>
      </c>
      <c r="H589" s="31" t="s">
        <v>334</v>
      </c>
      <c r="I589" s="31">
        <v>25</v>
      </c>
      <c r="J589" s="37" t="s">
        <v>2018</v>
      </c>
      <c r="K589" s="31">
        <v>1</v>
      </c>
      <c r="L589" s="31">
        <v>1</v>
      </c>
      <c r="M589" s="37"/>
      <c r="N589" s="31">
        <v>5</v>
      </c>
      <c r="O589" s="77" t="s">
        <v>722</v>
      </c>
      <c r="P589" s="34"/>
      <c r="Q589" s="31">
        <v>630</v>
      </c>
      <c r="R589" s="31">
        <v>90</v>
      </c>
      <c r="S589" s="31"/>
      <c r="T589" s="31">
        <v>1</v>
      </c>
      <c r="U589" s="31">
        <v>120</v>
      </c>
      <c r="V589" s="31"/>
      <c r="W589" s="37"/>
      <c r="X589" s="37"/>
      <c r="Y589" s="79">
        <v>12</v>
      </c>
      <c r="Z589" s="31" t="s">
        <v>33</v>
      </c>
      <c r="AA589" s="37" t="s">
        <v>145</v>
      </c>
      <c r="AB589" s="37"/>
    </row>
    <row r="590" spans="1:28" ht="23.1" customHeight="1" x14ac:dyDescent="0.25">
      <c r="A590" s="53" t="s">
        <v>653</v>
      </c>
      <c r="B590" s="31" t="s">
        <v>113</v>
      </c>
      <c r="C590" s="31">
        <v>47</v>
      </c>
      <c r="D590" s="31" t="s">
        <v>332</v>
      </c>
      <c r="E590" s="25" t="s">
        <v>333</v>
      </c>
      <c r="F590" s="21" t="s">
        <v>2548</v>
      </c>
      <c r="G590" s="21" t="str">
        <f>VLOOKUP(D590,[6]成飞半成品!$A:$B,2,0)</f>
        <v>5550上框</v>
      </c>
      <c r="H590" s="31" t="s">
        <v>334</v>
      </c>
      <c r="I590" s="31">
        <v>25</v>
      </c>
      <c r="J590" s="37" t="s">
        <v>2018</v>
      </c>
      <c r="K590" s="31">
        <v>0.6</v>
      </c>
      <c r="L590" s="31">
        <v>0.6</v>
      </c>
      <c r="M590" s="37"/>
      <c r="N590" s="31">
        <v>28</v>
      </c>
      <c r="O590" s="77" t="s">
        <v>199</v>
      </c>
      <c r="P590" s="34"/>
      <c r="Q590" s="31">
        <v>630</v>
      </c>
      <c r="R590" s="31">
        <v>90</v>
      </c>
      <c r="S590" s="31"/>
      <c r="T590" s="31">
        <v>1</v>
      </c>
      <c r="U590" s="31">
        <v>120</v>
      </c>
      <c r="V590" s="31"/>
      <c r="W590" s="37"/>
      <c r="X590" s="37"/>
      <c r="Y590" s="79">
        <v>7.8</v>
      </c>
      <c r="Z590" s="31" t="s">
        <v>33</v>
      </c>
      <c r="AA590" s="37" t="s">
        <v>145</v>
      </c>
      <c r="AB590" s="37"/>
    </row>
    <row r="591" spans="1:28" ht="23.1" customHeight="1" x14ac:dyDescent="0.25">
      <c r="A591" s="53" t="s">
        <v>653</v>
      </c>
      <c r="B591" s="31" t="s">
        <v>113</v>
      </c>
      <c r="C591" s="31">
        <v>56</v>
      </c>
      <c r="D591" s="31" t="s">
        <v>676</v>
      </c>
      <c r="E591" s="25" t="s">
        <v>595</v>
      </c>
      <c r="F591" s="21" t="s">
        <v>595</v>
      </c>
      <c r="G591" s="21" t="str">
        <f>VLOOKUP(D591,[6]成飞半成品!$A:$B,2,0)</f>
        <v>加强件</v>
      </c>
      <c r="H591" s="31" t="s">
        <v>108</v>
      </c>
      <c r="I591" s="31">
        <v>10</v>
      </c>
      <c r="J591" s="31"/>
      <c r="K591" s="31"/>
      <c r="L591" s="37"/>
      <c r="M591" s="37"/>
      <c r="N591" s="31">
        <v>26</v>
      </c>
      <c r="O591" s="77" t="s">
        <v>108</v>
      </c>
      <c r="P591" s="34"/>
      <c r="Q591" s="31"/>
      <c r="R591" s="31"/>
      <c r="S591" s="31"/>
      <c r="T591" s="31"/>
      <c r="U591" s="31"/>
      <c r="V591" s="31"/>
      <c r="W591" s="37"/>
      <c r="X591" s="37">
        <v>2</v>
      </c>
      <c r="Y591" s="79">
        <v>2</v>
      </c>
      <c r="Z591" s="31" t="s">
        <v>18</v>
      </c>
      <c r="AA591" s="37" t="s">
        <v>723</v>
      </c>
      <c r="AB591" s="25" t="s">
        <v>238</v>
      </c>
    </row>
    <row r="592" spans="1:28" ht="23.1" customHeight="1" x14ac:dyDescent="0.25">
      <c r="A592" s="53" t="s">
        <v>653</v>
      </c>
      <c r="B592" s="31" t="s">
        <v>113</v>
      </c>
      <c r="C592" s="31">
        <v>17</v>
      </c>
      <c r="D592" s="31" t="s">
        <v>352</v>
      </c>
      <c r="E592" s="25" t="s">
        <v>353</v>
      </c>
      <c r="F592" s="21" t="e">
        <v>#N/A</v>
      </c>
      <c r="G592" s="21" t="e">
        <f>VLOOKUP(D592,[6]成飞半成品!$A:$B,2,0)</f>
        <v>#N/A</v>
      </c>
      <c r="H592" s="31" t="s">
        <v>300</v>
      </c>
      <c r="I592" s="31">
        <v>30</v>
      </c>
      <c r="J592" s="37" t="s">
        <v>2005</v>
      </c>
      <c r="K592" s="31">
        <v>1</v>
      </c>
      <c r="L592" s="31">
        <v>2</v>
      </c>
      <c r="M592" s="31">
        <v>28</v>
      </c>
      <c r="N592" s="31">
        <v>28</v>
      </c>
      <c r="O592" s="77" t="s">
        <v>506</v>
      </c>
      <c r="P592" s="31"/>
      <c r="Q592" s="31">
        <v>480</v>
      </c>
      <c r="R592" s="31"/>
      <c r="S592" s="31"/>
      <c r="T592" s="31"/>
      <c r="U592" s="31">
        <v>120</v>
      </c>
      <c r="V592" s="31"/>
      <c r="W592" s="37"/>
      <c r="X592" s="37"/>
      <c r="Y592" s="79">
        <v>16</v>
      </c>
      <c r="Z592" s="31" t="s">
        <v>16</v>
      </c>
      <c r="AA592" s="37"/>
      <c r="AB592" s="37"/>
    </row>
    <row r="593" spans="1:28" ht="23.1" customHeight="1" x14ac:dyDescent="0.25">
      <c r="A593" s="53" t="s">
        <v>653</v>
      </c>
      <c r="B593" s="31" t="s">
        <v>113</v>
      </c>
      <c r="C593" s="31">
        <v>58</v>
      </c>
      <c r="D593" s="31" t="s">
        <v>695</v>
      </c>
      <c r="E593" s="25" t="s">
        <v>696</v>
      </c>
      <c r="F593" s="21" t="s">
        <v>696</v>
      </c>
      <c r="G593" s="21" t="str">
        <f>VLOOKUP(D593,[6]成飞半成品!$A:$B,2,0)</f>
        <v>过渡板</v>
      </c>
      <c r="H593" s="31" t="s">
        <v>107</v>
      </c>
      <c r="I593" s="31">
        <v>50</v>
      </c>
      <c r="J593" s="37" t="s">
        <v>2029</v>
      </c>
      <c r="K593" s="31">
        <v>7</v>
      </c>
      <c r="L593" s="31">
        <v>2</v>
      </c>
      <c r="M593" s="31">
        <v>23</v>
      </c>
      <c r="N593" s="31"/>
      <c r="O593" s="77" t="s">
        <v>724</v>
      </c>
      <c r="P593" s="31"/>
      <c r="Q593" s="31">
        <v>60</v>
      </c>
      <c r="R593" s="31"/>
      <c r="S593" s="31"/>
      <c r="T593" s="31"/>
      <c r="U593" s="31">
        <v>60</v>
      </c>
      <c r="V593" s="31"/>
      <c r="W593" s="37"/>
      <c r="X593" s="37">
        <v>2</v>
      </c>
      <c r="Y593" s="79">
        <v>4</v>
      </c>
      <c r="Z593" s="31" t="s">
        <v>7</v>
      </c>
      <c r="AA593" s="37" t="s">
        <v>725</v>
      </c>
      <c r="AB593" s="25" t="s">
        <v>238</v>
      </c>
    </row>
    <row r="594" spans="1:28" ht="23.1" customHeight="1" x14ac:dyDescent="0.25">
      <c r="A594" s="53" t="s">
        <v>653</v>
      </c>
      <c r="B594" s="31" t="s">
        <v>113</v>
      </c>
      <c r="C594" s="31">
        <v>13</v>
      </c>
      <c r="D594" s="31" t="s">
        <v>654</v>
      </c>
      <c r="E594" s="25" t="s">
        <v>246</v>
      </c>
      <c r="F594" s="21" t="s">
        <v>246</v>
      </c>
      <c r="G594" s="21" t="str">
        <f>VLOOKUP(D594,[6]成飞半成品!$A:$B,2,0)</f>
        <v>外侧轴承盖</v>
      </c>
      <c r="H594" s="31" t="s">
        <v>154</v>
      </c>
      <c r="I594" s="31">
        <v>20</v>
      </c>
      <c r="J594" s="37" t="s">
        <v>2030</v>
      </c>
      <c r="K594" s="31">
        <v>8</v>
      </c>
      <c r="L594" s="31">
        <v>8</v>
      </c>
      <c r="M594" s="31">
        <v>26</v>
      </c>
      <c r="N594" s="31">
        <v>28</v>
      </c>
      <c r="O594" s="77" t="s">
        <v>247</v>
      </c>
      <c r="P594" s="34"/>
      <c r="Q594" s="31">
        <v>160</v>
      </c>
      <c r="R594" s="31"/>
      <c r="S594" s="31"/>
      <c r="T594" s="31"/>
      <c r="U594" s="31">
        <v>60</v>
      </c>
      <c r="V594" s="31"/>
      <c r="W594" s="37"/>
      <c r="X594" s="37"/>
      <c r="Y594" s="79">
        <v>21.3</v>
      </c>
      <c r="Z594" s="31" t="s">
        <v>10</v>
      </c>
      <c r="AA594" s="37"/>
      <c r="AB594" s="37"/>
    </row>
    <row r="595" spans="1:28" ht="23.1" customHeight="1" x14ac:dyDescent="0.25">
      <c r="A595" s="53" t="s">
        <v>653</v>
      </c>
      <c r="B595" s="31" t="s">
        <v>113</v>
      </c>
      <c r="C595" s="31">
        <v>57</v>
      </c>
      <c r="D595" s="31" t="s">
        <v>698</v>
      </c>
      <c r="E595" s="25" t="s">
        <v>699</v>
      </c>
      <c r="F595" s="21" t="e">
        <v>#N/A</v>
      </c>
      <c r="G595" s="21" t="e">
        <f>VLOOKUP(D595,[6]成飞半成品!$A:$B,2,0)</f>
        <v>#N/A</v>
      </c>
      <c r="H595" s="31" t="s">
        <v>123</v>
      </c>
      <c r="I595" s="31">
        <v>10</v>
      </c>
      <c r="J595" s="37" t="s">
        <v>2023</v>
      </c>
      <c r="K595" s="31">
        <v>13</v>
      </c>
      <c r="L595" s="31">
        <v>20</v>
      </c>
      <c r="M595" s="31">
        <v>23</v>
      </c>
      <c r="N595" s="31">
        <v>28</v>
      </c>
      <c r="O595" s="77" t="s">
        <v>247</v>
      </c>
      <c r="P595" s="31"/>
      <c r="Q595" s="31">
        <v>40</v>
      </c>
      <c r="R595" s="31"/>
      <c r="S595" s="31"/>
      <c r="T595" s="31"/>
      <c r="U595" s="31">
        <v>60</v>
      </c>
      <c r="V595" s="31"/>
      <c r="W595" s="37"/>
      <c r="X595" s="37"/>
      <c r="Y595" s="79">
        <v>13.3</v>
      </c>
      <c r="Z595" s="31" t="s">
        <v>7</v>
      </c>
      <c r="AA595" s="37"/>
      <c r="AB595" s="37"/>
    </row>
    <row r="596" spans="1:28" ht="23.1" customHeight="1" x14ac:dyDescent="0.25">
      <c r="A596" s="53" t="s">
        <v>653</v>
      </c>
      <c r="B596" s="31" t="s">
        <v>113</v>
      </c>
      <c r="C596" s="31">
        <v>18</v>
      </c>
      <c r="D596" s="31" t="s">
        <v>205</v>
      </c>
      <c r="E596" s="25" t="s">
        <v>206</v>
      </c>
      <c r="F596" s="21" t="s">
        <v>206</v>
      </c>
      <c r="G596" s="21" t="str">
        <f>VLOOKUP(D596,[6]成飞半成品!$A:$B,2,0)</f>
        <v>卡环</v>
      </c>
      <c r="H596" s="31" t="s">
        <v>123</v>
      </c>
      <c r="I596" s="31">
        <v>55</v>
      </c>
      <c r="J596" s="37" t="s">
        <v>2031</v>
      </c>
      <c r="K596" s="31">
        <v>2.5</v>
      </c>
      <c r="L596" s="31">
        <v>3</v>
      </c>
      <c r="M596" s="31">
        <v>23</v>
      </c>
      <c r="N596" s="31">
        <v>28</v>
      </c>
      <c r="O596" s="77" t="s">
        <v>726</v>
      </c>
      <c r="P596" s="31"/>
      <c r="Q596" s="31">
        <v>330</v>
      </c>
      <c r="R596" s="31"/>
      <c r="S596" s="31"/>
      <c r="T596" s="31"/>
      <c r="U596" s="31">
        <v>90</v>
      </c>
      <c r="V596" s="31"/>
      <c r="W596" s="37"/>
      <c r="X596" s="37"/>
      <c r="Y596" s="79">
        <v>16.5</v>
      </c>
      <c r="Z596" s="31" t="s">
        <v>16</v>
      </c>
      <c r="AA596" s="37"/>
      <c r="AB596" s="37"/>
    </row>
    <row r="597" spans="1:28" ht="23.1" customHeight="1" x14ac:dyDescent="0.25">
      <c r="A597" s="53" t="s">
        <v>653</v>
      </c>
      <c r="B597" s="31" t="s">
        <v>113</v>
      </c>
      <c r="C597" s="31">
        <v>16</v>
      </c>
      <c r="D597" s="31" t="s">
        <v>727</v>
      </c>
      <c r="E597" s="25" t="s">
        <v>625</v>
      </c>
      <c r="F597" s="21" t="s">
        <v>625</v>
      </c>
      <c r="G597" s="21" t="str">
        <f>VLOOKUP(D597,[6]成飞半成品!$A:$B,2,0)</f>
        <v>支架</v>
      </c>
      <c r="H597" s="31" t="s">
        <v>250</v>
      </c>
      <c r="I597" s="31">
        <v>50</v>
      </c>
      <c r="J597" s="37" t="s">
        <v>2032</v>
      </c>
      <c r="K597" s="31">
        <v>8</v>
      </c>
      <c r="L597" s="31">
        <v>2</v>
      </c>
      <c r="M597" s="31">
        <v>28</v>
      </c>
      <c r="N597" s="31">
        <v>28</v>
      </c>
      <c r="O597" s="77" t="s">
        <v>728</v>
      </c>
      <c r="P597" s="34"/>
      <c r="Q597" s="31">
        <v>60</v>
      </c>
      <c r="R597" s="31"/>
      <c r="S597" s="31"/>
      <c r="T597" s="31"/>
      <c r="U597" s="31">
        <v>60</v>
      </c>
      <c r="V597" s="31"/>
      <c r="W597" s="37"/>
      <c r="X597" s="37">
        <v>2</v>
      </c>
      <c r="Y597" s="79">
        <v>4</v>
      </c>
      <c r="Z597" s="31" t="s">
        <v>63</v>
      </c>
      <c r="AA597" s="37" t="s">
        <v>729</v>
      </c>
      <c r="AB597" s="25" t="s">
        <v>238</v>
      </c>
    </row>
    <row r="598" spans="1:28" ht="23.1" customHeight="1" x14ac:dyDescent="0.25">
      <c r="A598" s="53" t="s">
        <v>653</v>
      </c>
      <c r="B598" s="31" t="s">
        <v>113</v>
      </c>
      <c r="C598" s="31">
        <v>11</v>
      </c>
      <c r="D598" s="31" t="s">
        <v>2562</v>
      </c>
      <c r="E598" s="25" t="s">
        <v>691</v>
      </c>
      <c r="F598" s="21" t="s">
        <v>691</v>
      </c>
      <c r="G598" s="21" t="str">
        <f>VLOOKUP(D598,[6]成飞半成品!$A:$B,2,0)</f>
        <v>地板支撑件</v>
      </c>
      <c r="H598" s="31" t="s">
        <v>123</v>
      </c>
      <c r="I598" s="31">
        <v>15</v>
      </c>
      <c r="J598" s="31" t="s">
        <v>2033</v>
      </c>
      <c r="K598" s="37"/>
      <c r="L598" s="31">
        <v>5</v>
      </c>
      <c r="M598" s="31">
        <v>23</v>
      </c>
      <c r="N598" s="31">
        <v>28</v>
      </c>
      <c r="O598" s="77" t="s">
        <v>732</v>
      </c>
      <c r="P598" s="34"/>
      <c r="Q598" s="31">
        <v>190</v>
      </c>
      <c r="R598" s="31"/>
      <c r="S598" s="31"/>
      <c r="T598" s="31"/>
      <c r="U598" s="31">
        <v>60</v>
      </c>
      <c r="V598" s="31"/>
      <c r="W598" s="37"/>
      <c r="X598" s="37">
        <v>2</v>
      </c>
      <c r="Y598" s="79">
        <v>17.8</v>
      </c>
      <c r="Z598" s="31" t="s">
        <v>63</v>
      </c>
      <c r="AA598" s="37" t="s">
        <v>733</v>
      </c>
      <c r="AB598" s="25" t="s">
        <v>238</v>
      </c>
    </row>
    <row r="599" spans="1:28" ht="23.1" customHeight="1" x14ac:dyDescent="0.25">
      <c r="A599" s="53" t="s">
        <v>653</v>
      </c>
      <c r="B599" s="31" t="s">
        <v>113</v>
      </c>
      <c r="C599" s="31">
        <v>11</v>
      </c>
      <c r="D599" s="31" t="s">
        <v>2562</v>
      </c>
      <c r="E599" s="25" t="s">
        <v>691</v>
      </c>
      <c r="F599" s="21" t="s">
        <v>691</v>
      </c>
      <c r="G599" s="21" t="str">
        <f>VLOOKUP(D599,[6]成飞半成品!$A:$B,2,0)</f>
        <v>地板支撑件</v>
      </c>
      <c r="H599" s="31" t="s">
        <v>123</v>
      </c>
      <c r="I599" s="31">
        <v>10</v>
      </c>
      <c r="J599" s="37" t="s">
        <v>2024</v>
      </c>
      <c r="K599" s="31">
        <v>8</v>
      </c>
      <c r="L599" s="31">
        <v>8</v>
      </c>
      <c r="M599" s="31">
        <v>23</v>
      </c>
      <c r="N599" s="31">
        <v>23</v>
      </c>
      <c r="O599" s="77" t="s">
        <v>734</v>
      </c>
      <c r="P599" s="34"/>
      <c r="Q599" s="31">
        <v>90</v>
      </c>
      <c r="R599" s="31"/>
      <c r="S599" s="31"/>
      <c r="T599" s="31"/>
      <c r="U599" s="31">
        <v>60</v>
      </c>
      <c r="V599" s="31"/>
      <c r="W599" s="37"/>
      <c r="X599" s="37"/>
      <c r="Y599" s="79">
        <v>12</v>
      </c>
      <c r="Z599" s="31" t="s">
        <v>63</v>
      </c>
      <c r="AA599" s="37"/>
      <c r="AB599" s="37"/>
    </row>
    <row r="600" spans="1:28" ht="23.1" customHeight="1" x14ac:dyDescent="0.25">
      <c r="A600" s="53" t="s">
        <v>653</v>
      </c>
      <c r="B600" s="31" t="s">
        <v>113</v>
      </c>
      <c r="C600" s="31">
        <v>77</v>
      </c>
      <c r="D600" s="31" t="s">
        <v>211</v>
      </c>
      <c r="E600" s="25" t="s">
        <v>212</v>
      </c>
      <c r="F600" s="21" t="s">
        <v>212</v>
      </c>
      <c r="G600" s="21" t="str">
        <f>VLOOKUP(D600,[6]成飞半成品!$A:$B,2,0)</f>
        <v>压板</v>
      </c>
      <c r="H600" s="31" t="s">
        <v>123</v>
      </c>
      <c r="I600" s="31">
        <v>20</v>
      </c>
      <c r="J600" s="37" t="s">
        <v>2034</v>
      </c>
      <c r="K600" s="31">
        <v>30</v>
      </c>
      <c r="L600" s="31">
        <v>29</v>
      </c>
      <c r="M600" s="31">
        <v>26</v>
      </c>
      <c r="N600" s="31">
        <v>23</v>
      </c>
      <c r="O600" s="77" t="s">
        <v>213</v>
      </c>
      <c r="P600" s="31"/>
      <c r="Q600" s="31">
        <v>30</v>
      </c>
      <c r="R600" s="31"/>
      <c r="S600" s="31"/>
      <c r="T600" s="31"/>
      <c r="U600" s="31">
        <v>60</v>
      </c>
      <c r="V600" s="31"/>
      <c r="W600" s="37"/>
      <c r="X600" s="37"/>
      <c r="Y600" s="79">
        <v>14.5</v>
      </c>
      <c r="Z600" s="31" t="s">
        <v>24</v>
      </c>
      <c r="AA600" s="37"/>
      <c r="AB600" s="37"/>
    </row>
    <row r="601" spans="1:28" ht="23.1" customHeight="1" x14ac:dyDescent="0.25">
      <c r="A601" s="53" t="s">
        <v>653</v>
      </c>
      <c r="B601" s="31" t="s">
        <v>113</v>
      </c>
      <c r="C601" s="31">
        <v>12</v>
      </c>
      <c r="D601" s="31" t="s">
        <v>735</v>
      </c>
      <c r="E601" s="25" t="s">
        <v>249</v>
      </c>
      <c r="F601" s="21" t="s">
        <v>249</v>
      </c>
      <c r="G601" s="21" t="str">
        <f>VLOOKUP(D601,[6]成飞半成品!$A:$B,2,0)</f>
        <v>10060下接头</v>
      </c>
      <c r="H601" s="31" t="s">
        <v>250</v>
      </c>
      <c r="I601" s="31">
        <v>3</v>
      </c>
      <c r="J601" s="37"/>
      <c r="K601" s="31">
        <v>12</v>
      </c>
      <c r="L601" s="31">
        <v>12</v>
      </c>
      <c r="M601" s="31">
        <v>5</v>
      </c>
      <c r="N601" s="31">
        <v>5</v>
      </c>
      <c r="O601" s="77" t="s">
        <v>736</v>
      </c>
      <c r="P601" s="31">
        <v>30</v>
      </c>
      <c r="Q601" s="31"/>
      <c r="R601" s="31"/>
      <c r="S601" s="31"/>
      <c r="T601" s="31"/>
      <c r="U601" s="31"/>
      <c r="V601" s="31">
        <v>60</v>
      </c>
      <c r="W601" s="37">
        <v>1</v>
      </c>
      <c r="X601" s="37"/>
      <c r="Y601" s="83">
        <v>7</v>
      </c>
      <c r="Z601" s="31" t="s">
        <v>10</v>
      </c>
      <c r="AA601" s="37" t="s">
        <v>737</v>
      </c>
      <c r="AB601" s="37"/>
    </row>
    <row r="602" spans="1:28" ht="23.1" customHeight="1" x14ac:dyDescent="0.25">
      <c r="A602" s="53" t="s">
        <v>653</v>
      </c>
      <c r="B602" s="31" t="s">
        <v>113</v>
      </c>
      <c r="C602" s="31">
        <v>56</v>
      </c>
      <c r="D602" s="31" t="s">
        <v>676</v>
      </c>
      <c r="E602" s="25" t="s">
        <v>595</v>
      </c>
      <c r="F602" s="21" t="s">
        <v>595</v>
      </c>
      <c r="G602" s="21" t="str">
        <f>VLOOKUP(D602,[6]成飞半成品!$A:$B,2,0)</f>
        <v>加强件</v>
      </c>
      <c r="H602" s="31" t="s">
        <v>154</v>
      </c>
      <c r="I602" s="31">
        <v>10</v>
      </c>
      <c r="J602" s="37" t="s">
        <v>2023</v>
      </c>
      <c r="K602" s="31">
        <v>10</v>
      </c>
      <c r="L602" s="31">
        <v>10</v>
      </c>
      <c r="M602" s="31">
        <v>37</v>
      </c>
      <c r="N602" s="31">
        <v>23</v>
      </c>
      <c r="O602" s="77" t="s">
        <v>506</v>
      </c>
      <c r="P602" s="31"/>
      <c r="Q602" s="31">
        <v>40</v>
      </c>
      <c r="R602" s="31"/>
      <c r="S602" s="31"/>
      <c r="T602" s="31"/>
      <c r="U602" s="31">
        <v>60</v>
      </c>
      <c r="V602" s="31"/>
      <c r="W602" s="37"/>
      <c r="X602" s="37"/>
      <c r="Y602" s="79">
        <v>6.7</v>
      </c>
      <c r="Z602" s="31" t="s">
        <v>18</v>
      </c>
      <c r="AA602" s="37"/>
      <c r="AB602" s="37"/>
    </row>
    <row r="603" spans="1:28" ht="23.1" customHeight="1" x14ac:dyDescent="0.25">
      <c r="A603" s="53" t="s">
        <v>653</v>
      </c>
      <c r="B603" s="31" t="s">
        <v>113</v>
      </c>
      <c r="C603" s="31">
        <v>55</v>
      </c>
      <c r="D603" s="31" t="s">
        <v>680</v>
      </c>
      <c r="E603" s="25" t="s">
        <v>681</v>
      </c>
      <c r="F603" s="21" t="s">
        <v>681</v>
      </c>
      <c r="G603" s="21" t="str">
        <f>VLOOKUP(D603,[6]成飞半成品!$A:$B,2,0)</f>
        <v>耳环螺栓</v>
      </c>
      <c r="H603" s="31" t="s">
        <v>154</v>
      </c>
      <c r="I603" s="31">
        <v>55</v>
      </c>
      <c r="J603" s="37" t="s">
        <v>2019</v>
      </c>
      <c r="K603" s="31">
        <v>12</v>
      </c>
      <c r="L603" s="31">
        <v>27</v>
      </c>
      <c r="M603" s="37"/>
      <c r="N603" s="31">
        <v>23</v>
      </c>
      <c r="O603" s="77" t="s">
        <v>682</v>
      </c>
      <c r="P603" s="31"/>
      <c r="Q603" s="31">
        <v>40</v>
      </c>
      <c r="R603" s="31"/>
      <c r="S603" s="31"/>
      <c r="T603" s="31"/>
      <c r="U603" s="31">
        <v>60</v>
      </c>
      <c r="V603" s="31"/>
      <c r="W603" s="37"/>
      <c r="X603" s="37"/>
      <c r="Y603" s="79">
        <v>18</v>
      </c>
      <c r="Z603" s="31" t="s">
        <v>18</v>
      </c>
      <c r="AA603" s="37"/>
      <c r="AB603" s="37"/>
    </row>
    <row r="604" spans="1:28" ht="23.1" customHeight="1" x14ac:dyDescent="0.25">
      <c r="A604" s="53" t="s">
        <v>653</v>
      </c>
      <c r="B604" s="31" t="s">
        <v>113</v>
      </c>
      <c r="C604" s="31">
        <v>24</v>
      </c>
      <c r="D604" s="31" t="s">
        <v>294</v>
      </c>
      <c r="E604" s="25" t="s">
        <v>259</v>
      </c>
      <c r="F604" s="21" t="s">
        <v>979</v>
      </c>
      <c r="G604" s="21" t="str">
        <f>VLOOKUP(D604,[6]成飞半成品!$A:$B,2,0)</f>
        <v>梁（左件）</v>
      </c>
      <c r="H604" s="31" t="s">
        <v>118</v>
      </c>
      <c r="I604" s="31">
        <v>50</v>
      </c>
      <c r="J604" s="37" t="s">
        <v>1965</v>
      </c>
      <c r="K604" s="31">
        <v>0.2</v>
      </c>
      <c r="L604" s="31">
        <v>0.3</v>
      </c>
      <c r="M604" s="37"/>
      <c r="N604" s="31">
        <v>5</v>
      </c>
      <c r="O604" s="77" t="s">
        <v>410</v>
      </c>
      <c r="P604" s="34"/>
      <c r="Q604" s="31">
        <v>1960</v>
      </c>
      <c r="R604" s="31">
        <v>120</v>
      </c>
      <c r="S604" s="31"/>
      <c r="T604" s="31"/>
      <c r="U604" s="31">
        <v>180</v>
      </c>
      <c r="V604" s="31"/>
      <c r="W604" s="37"/>
      <c r="X604" s="37">
        <v>3</v>
      </c>
      <c r="Y604" s="79">
        <v>12.8</v>
      </c>
      <c r="Z604" s="31" t="s">
        <v>69</v>
      </c>
      <c r="AA604" s="37" t="s">
        <v>522</v>
      </c>
      <c r="AB604" s="37"/>
    </row>
    <row r="605" spans="1:28" ht="23.1" customHeight="1" x14ac:dyDescent="0.25">
      <c r="A605" s="53" t="s">
        <v>653</v>
      </c>
      <c r="B605" s="31" t="s">
        <v>113</v>
      </c>
      <c r="C605" s="31">
        <v>24</v>
      </c>
      <c r="D605" s="31" t="s">
        <v>738</v>
      </c>
      <c r="E605" s="25" t="s">
        <v>739</v>
      </c>
      <c r="F605" s="21" t="s">
        <v>739</v>
      </c>
      <c r="G605" s="21" t="str">
        <f>VLOOKUP(D605,[6]成飞半成品!$A:$B,2,0)</f>
        <v>BL280侧壁（右件）</v>
      </c>
      <c r="H605" s="31" t="s">
        <v>107</v>
      </c>
      <c r="I605" s="31">
        <v>25</v>
      </c>
      <c r="J605" s="37" t="s">
        <v>2035</v>
      </c>
      <c r="K605" s="31">
        <v>0.5</v>
      </c>
      <c r="L605" s="31">
        <v>0.4</v>
      </c>
      <c r="M605" s="37"/>
      <c r="N605" s="31">
        <v>28</v>
      </c>
      <c r="O605" s="77" t="s">
        <v>393</v>
      </c>
      <c r="P605" s="34"/>
      <c r="Q605" s="31">
        <v>840</v>
      </c>
      <c r="R605" s="31">
        <v>120</v>
      </c>
      <c r="S605" s="31"/>
      <c r="T605" s="31">
        <v>1</v>
      </c>
      <c r="U605" s="31">
        <v>150</v>
      </c>
      <c r="V605" s="31"/>
      <c r="W605" s="37">
        <v>1</v>
      </c>
      <c r="X605" s="37">
        <v>5</v>
      </c>
      <c r="Y605" s="79">
        <v>15.1</v>
      </c>
      <c r="Z605" s="31" t="s">
        <v>69</v>
      </c>
      <c r="AA605" s="37" t="s">
        <v>740</v>
      </c>
      <c r="AB605" s="37"/>
    </row>
    <row r="606" spans="1:28" ht="23.1" customHeight="1" x14ac:dyDescent="0.25">
      <c r="A606" s="53" t="s">
        <v>653</v>
      </c>
      <c r="B606" s="31" t="s">
        <v>113</v>
      </c>
      <c r="C606" s="31">
        <v>69</v>
      </c>
      <c r="D606" s="31" t="s">
        <v>662</v>
      </c>
      <c r="E606" s="25" t="s">
        <v>663</v>
      </c>
      <c r="F606" s="21" t="s">
        <v>663</v>
      </c>
      <c r="G606" s="21" t="str">
        <f>VLOOKUP(D606,[6]成飞半成品!$A:$B,2,0)</f>
        <v>前端框</v>
      </c>
      <c r="H606" s="31" t="s">
        <v>250</v>
      </c>
      <c r="I606" s="31">
        <v>55</v>
      </c>
      <c r="J606" s="37" t="s">
        <v>2010</v>
      </c>
      <c r="K606" s="31">
        <v>2</v>
      </c>
      <c r="L606" s="31">
        <v>3</v>
      </c>
      <c r="M606" s="31">
        <v>5</v>
      </c>
      <c r="N606" s="31">
        <v>5</v>
      </c>
      <c r="O606" s="77" t="s">
        <v>741</v>
      </c>
      <c r="P606" s="34"/>
      <c r="Q606" s="31">
        <v>450</v>
      </c>
      <c r="R606" s="31">
        <v>90</v>
      </c>
      <c r="S606" s="31"/>
      <c r="T606" s="31">
        <v>3</v>
      </c>
      <c r="U606" s="31">
        <v>180</v>
      </c>
      <c r="V606" s="31"/>
      <c r="W606" s="37"/>
      <c r="X606" s="37">
        <v>3</v>
      </c>
      <c r="Y606" s="79">
        <v>30</v>
      </c>
      <c r="Z606" s="31" t="s">
        <v>69</v>
      </c>
      <c r="AA606" s="37" t="s">
        <v>428</v>
      </c>
      <c r="AB606" s="37"/>
    </row>
    <row r="607" spans="1:28" ht="23.1" customHeight="1" x14ac:dyDescent="0.25">
      <c r="A607" s="53" t="s">
        <v>653</v>
      </c>
      <c r="B607" s="31" t="s">
        <v>113</v>
      </c>
      <c r="C607" s="31">
        <v>69</v>
      </c>
      <c r="D607" s="31" t="s">
        <v>742</v>
      </c>
      <c r="E607" s="25" t="s">
        <v>663</v>
      </c>
      <c r="F607" s="21" t="s">
        <v>663</v>
      </c>
      <c r="G607" s="21" t="str">
        <f>VLOOKUP(D607,[6]成飞半成品!$A:$B,2,0)</f>
        <v>前端框</v>
      </c>
      <c r="H607" s="31" t="s">
        <v>250</v>
      </c>
      <c r="I607" s="31">
        <v>55</v>
      </c>
      <c r="J607" s="37" t="s">
        <v>2010</v>
      </c>
      <c r="K607" s="31">
        <v>3</v>
      </c>
      <c r="L607" s="31">
        <v>1</v>
      </c>
      <c r="M607" s="37"/>
      <c r="N607" s="31">
        <v>28</v>
      </c>
      <c r="O607" s="77" t="s">
        <v>216</v>
      </c>
      <c r="P607" s="34"/>
      <c r="Q607" s="31">
        <v>450</v>
      </c>
      <c r="R607" s="31">
        <v>90</v>
      </c>
      <c r="S607" s="31"/>
      <c r="T607" s="31"/>
      <c r="U607" s="31">
        <v>180</v>
      </c>
      <c r="V607" s="31"/>
      <c r="W607" s="37">
        <v>1</v>
      </c>
      <c r="X607" s="37">
        <v>6</v>
      </c>
      <c r="Y607" s="79">
        <v>16.5</v>
      </c>
      <c r="Z607" s="31" t="s">
        <v>69</v>
      </c>
      <c r="AA607" s="37" t="s">
        <v>743</v>
      </c>
      <c r="AB607" s="37"/>
    </row>
    <row r="608" spans="1:28" ht="23.1" customHeight="1" x14ac:dyDescent="0.25">
      <c r="A608" s="53" t="s">
        <v>653</v>
      </c>
      <c r="B608" s="31" t="s">
        <v>113</v>
      </c>
      <c r="C608" s="31">
        <v>91</v>
      </c>
      <c r="D608" s="31" t="s">
        <v>707</v>
      </c>
      <c r="E608" s="25" t="s">
        <v>708</v>
      </c>
      <c r="F608" s="21" t="s">
        <v>708</v>
      </c>
      <c r="G608" s="21" t="str">
        <f>VLOOKUP(D608,[6]成飞半成品!$A:$B,2,0)</f>
        <v>10150侧隔框</v>
      </c>
      <c r="H608" s="31" t="s">
        <v>250</v>
      </c>
      <c r="I608" s="31">
        <v>35</v>
      </c>
      <c r="J608" s="37" t="s">
        <v>2027</v>
      </c>
      <c r="K608" s="31">
        <v>3</v>
      </c>
      <c r="L608" s="31">
        <v>1</v>
      </c>
      <c r="M608" s="37"/>
      <c r="N608" s="31">
        <v>5</v>
      </c>
      <c r="O608" s="77" t="s">
        <v>456</v>
      </c>
      <c r="P608" s="34"/>
      <c r="Q608" s="31">
        <v>210</v>
      </c>
      <c r="R608" s="31">
        <v>75</v>
      </c>
      <c r="S608" s="31"/>
      <c r="T608" s="31"/>
      <c r="U608" s="31">
        <v>180</v>
      </c>
      <c r="V608" s="31"/>
      <c r="W608" s="37"/>
      <c r="X608" s="37">
        <v>3</v>
      </c>
      <c r="Y608" s="79">
        <v>6.5</v>
      </c>
      <c r="Z608" s="31" t="s">
        <v>69</v>
      </c>
      <c r="AA608" s="37" t="s">
        <v>522</v>
      </c>
      <c r="AB608" s="37"/>
    </row>
    <row r="609" spans="1:28" ht="23.1" customHeight="1" x14ac:dyDescent="0.25">
      <c r="A609" s="53" t="s">
        <v>653</v>
      </c>
      <c r="B609" s="31" t="s">
        <v>113</v>
      </c>
      <c r="C609" s="31">
        <v>91</v>
      </c>
      <c r="D609" s="31" t="s">
        <v>744</v>
      </c>
      <c r="E609" s="25" t="s">
        <v>708</v>
      </c>
      <c r="F609" s="21" t="s">
        <v>708</v>
      </c>
      <c r="G609" s="21" t="str">
        <f>VLOOKUP(D609,[6]成飞半成品!$A:$B,2,0)</f>
        <v>10150侧隔框</v>
      </c>
      <c r="H609" s="31" t="s">
        <v>250</v>
      </c>
      <c r="I609" s="31">
        <v>35</v>
      </c>
      <c r="J609" s="37" t="s">
        <v>2027</v>
      </c>
      <c r="K609" s="31">
        <v>2</v>
      </c>
      <c r="L609" s="31">
        <v>5</v>
      </c>
      <c r="M609" s="31">
        <v>5</v>
      </c>
      <c r="N609" s="31">
        <v>5</v>
      </c>
      <c r="O609" s="77" t="s">
        <v>745</v>
      </c>
      <c r="P609" s="34"/>
      <c r="Q609" s="31">
        <v>210</v>
      </c>
      <c r="R609" s="31">
        <v>75</v>
      </c>
      <c r="S609" s="31"/>
      <c r="T609" s="31">
        <v>5</v>
      </c>
      <c r="U609" s="31">
        <v>180</v>
      </c>
      <c r="V609" s="31"/>
      <c r="W609" s="37">
        <v>1</v>
      </c>
      <c r="X609" s="37">
        <v>3</v>
      </c>
      <c r="Y609" s="79">
        <v>29.8</v>
      </c>
      <c r="Z609" s="31" t="s">
        <v>69</v>
      </c>
      <c r="AA609" s="37" t="s">
        <v>746</v>
      </c>
      <c r="AB609" s="37"/>
    </row>
    <row r="610" spans="1:28" ht="23.1" customHeight="1" x14ac:dyDescent="0.25">
      <c r="A610" s="53" t="s">
        <v>653</v>
      </c>
      <c r="B610" s="31" t="s">
        <v>113</v>
      </c>
      <c r="C610" s="31">
        <v>84</v>
      </c>
      <c r="D610" s="31" t="s">
        <v>449</v>
      </c>
      <c r="E610" s="25" t="s">
        <v>317</v>
      </c>
      <c r="F610" s="21" t="s">
        <v>317</v>
      </c>
      <c r="G610" s="21" t="str">
        <f>VLOOKUP(D610,[6]成飞半成品!$A:$B,2,0)</f>
        <v>角盒</v>
      </c>
      <c r="H610" s="31" t="s">
        <v>154</v>
      </c>
      <c r="I610" s="31">
        <v>30</v>
      </c>
      <c r="J610" s="37" t="s">
        <v>2026</v>
      </c>
      <c r="K610" s="31">
        <v>1.2</v>
      </c>
      <c r="L610" s="31">
        <v>1.4</v>
      </c>
      <c r="M610" s="31">
        <v>23</v>
      </c>
      <c r="N610" s="31">
        <v>28</v>
      </c>
      <c r="O610" s="77" t="s">
        <v>438</v>
      </c>
      <c r="P610" s="34"/>
      <c r="Q610" s="31">
        <v>660</v>
      </c>
      <c r="R610" s="31">
        <v>60</v>
      </c>
      <c r="S610" s="31"/>
      <c r="T610" s="31">
        <v>1</v>
      </c>
      <c r="U610" s="31">
        <v>120</v>
      </c>
      <c r="V610" s="31"/>
      <c r="W610" s="37"/>
      <c r="X610" s="37"/>
      <c r="Y610" s="79">
        <v>16.399999999999999</v>
      </c>
      <c r="Z610" s="31" t="s">
        <v>69</v>
      </c>
      <c r="AA610" s="37" t="s">
        <v>145</v>
      </c>
      <c r="AB610" s="37"/>
    </row>
    <row r="611" spans="1:28" ht="23.1" customHeight="1" x14ac:dyDescent="0.25">
      <c r="A611" s="53" t="s">
        <v>653</v>
      </c>
      <c r="B611" s="31" t="s">
        <v>113</v>
      </c>
      <c r="C611" s="31">
        <v>119</v>
      </c>
      <c r="D611" s="31" t="s">
        <v>288</v>
      </c>
      <c r="E611" s="25" t="s">
        <v>255</v>
      </c>
      <c r="F611" s="21" t="s">
        <v>1532</v>
      </c>
      <c r="G611" s="21" t="str">
        <f>VLOOKUP(D611,[6]成飞半成品!$A:$B,2,0)</f>
        <v>9350-11140左侧上梁</v>
      </c>
      <c r="H611" s="31" t="s">
        <v>250</v>
      </c>
      <c r="I611" s="31">
        <v>50</v>
      </c>
      <c r="J611" s="37" t="s">
        <v>2021</v>
      </c>
      <c r="K611" s="31">
        <v>0.3</v>
      </c>
      <c r="L611" s="31"/>
      <c r="M611" s="31"/>
      <c r="N611" s="37"/>
      <c r="O611" s="77" t="s">
        <v>476</v>
      </c>
      <c r="P611" s="34"/>
      <c r="Q611" s="31">
        <v>3000</v>
      </c>
      <c r="R611" s="31">
        <v>90</v>
      </c>
      <c r="S611" s="31"/>
      <c r="T611" s="31"/>
      <c r="U611" s="31">
        <v>150</v>
      </c>
      <c r="V611" s="31"/>
      <c r="W611" s="37"/>
      <c r="X611" s="37"/>
      <c r="Y611" s="79">
        <v>0</v>
      </c>
      <c r="Z611" s="31" t="s">
        <v>69</v>
      </c>
      <c r="AA611" s="37" t="s">
        <v>747</v>
      </c>
      <c r="AB611" s="37"/>
    </row>
    <row r="612" spans="1:28" ht="23.1" customHeight="1" x14ac:dyDescent="0.25">
      <c r="A612" s="53" t="s">
        <v>748</v>
      </c>
      <c r="B612" s="31" t="s">
        <v>99</v>
      </c>
      <c r="C612" s="31">
        <v>55</v>
      </c>
      <c r="D612" s="31" t="s">
        <v>749</v>
      </c>
      <c r="E612" s="25" t="s">
        <v>139</v>
      </c>
      <c r="F612" s="21" t="s">
        <v>139</v>
      </c>
      <c r="G612" s="21" t="str">
        <f>VLOOKUP(D612,[6]成飞半成品!$A:$B,2,0)</f>
        <v>支座</v>
      </c>
      <c r="H612" s="31" t="s">
        <v>123</v>
      </c>
      <c r="I612" s="31">
        <v>5</v>
      </c>
      <c r="J612" s="31" t="s">
        <v>1930</v>
      </c>
      <c r="K612" s="31"/>
      <c r="L612" s="31">
        <v>40</v>
      </c>
      <c r="M612" s="31">
        <v>28</v>
      </c>
      <c r="N612" s="31">
        <v>28</v>
      </c>
      <c r="O612" s="77" t="s">
        <v>457</v>
      </c>
      <c r="P612" s="31"/>
      <c r="Q612" s="34">
        <v>20</v>
      </c>
      <c r="R612" s="31"/>
      <c r="S612" s="31"/>
      <c r="T612" s="31"/>
      <c r="U612" s="31">
        <v>60</v>
      </c>
      <c r="V612" s="31"/>
      <c r="W612" s="31"/>
      <c r="X612" s="37"/>
      <c r="Y612" s="79">
        <v>13.3</v>
      </c>
      <c r="Z612" s="31" t="s">
        <v>44</v>
      </c>
      <c r="AA612" s="37"/>
      <c r="AB612" s="37"/>
    </row>
    <row r="613" spans="1:28" ht="23.1" customHeight="1" x14ac:dyDescent="0.25">
      <c r="A613" s="53" t="s">
        <v>748</v>
      </c>
      <c r="B613" s="31" t="s">
        <v>99</v>
      </c>
      <c r="C613" s="31">
        <v>59</v>
      </c>
      <c r="D613" s="31" t="s">
        <v>616</v>
      </c>
      <c r="E613" s="25" t="s">
        <v>617</v>
      </c>
      <c r="F613" s="21" t="s">
        <v>617</v>
      </c>
      <c r="G613" s="21" t="str">
        <f>VLOOKUP(D613,[6]成飞半成品!$A:$B,2,0)</f>
        <v>立柱加强接头</v>
      </c>
      <c r="H613" s="31" t="s">
        <v>102</v>
      </c>
      <c r="I613" s="31">
        <v>30</v>
      </c>
      <c r="J613" s="31" t="s">
        <v>1953</v>
      </c>
      <c r="K613" s="31"/>
      <c r="L613" s="31">
        <v>2</v>
      </c>
      <c r="M613" s="31">
        <v>9</v>
      </c>
      <c r="N613" s="31">
        <v>9</v>
      </c>
      <c r="O613" s="77" t="s">
        <v>596</v>
      </c>
      <c r="P613" s="31"/>
      <c r="Q613" s="34">
        <v>45</v>
      </c>
      <c r="R613" s="31"/>
      <c r="S613" s="31"/>
      <c r="T613" s="31"/>
      <c r="U613" s="31">
        <v>90</v>
      </c>
      <c r="V613" s="31"/>
      <c r="W613" s="31"/>
      <c r="X613" s="37"/>
      <c r="Y613" s="79">
        <v>1.5</v>
      </c>
      <c r="Z613" s="31" t="s">
        <v>42</v>
      </c>
      <c r="AA613" s="37"/>
      <c r="AB613" s="37"/>
    </row>
    <row r="614" spans="1:28" ht="23.1" customHeight="1" x14ac:dyDescent="0.25">
      <c r="A614" s="53" t="s">
        <v>653</v>
      </c>
      <c r="B614" s="31" t="s">
        <v>113</v>
      </c>
      <c r="C614" s="31">
        <v>58</v>
      </c>
      <c r="D614" s="31" t="s">
        <v>695</v>
      </c>
      <c r="E614" s="25" t="s">
        <v>696</v>
      </c>
      <c r="F614" s="21" t="s">
        <v>696</v>
      </c>
      <c r="G614" s="21" t="str">
        <f>VLOOKUP(D614,[6]成飞半成品!$A:$B,2,0)</f>
        <v>过渡板</v>
      </c>
      <c r="H614" s="31" t="s">
        <v>107</v>
      </c>
      <c r="I614" s="31">
        <v>55</v>
      </c>
      <c r="J614" s="31" t="s">
        <v>2036</v>
      </c>
      <c r="K614" s="31">
        <v>7</v>
      </c>
      <c r="L614" s="31">
        <v>3</v>
      </c>
      <c r="M614" s="31">
        <v>23</v>
      </c>
      <c r="N614" s="31"/>
      <c r="O614" s="77" t="s">
        <v>724</v>
      </c>
      <c r="P614" s="31"/>
      <c r="Q614" s="34">
        <v>80</v>
      </c>
      <c r="R614" s="31"/>
      <c r="S614" s="31"/>
      <c r="T614" s="31"/>
      <c r="U614" s="31">
        <v>90</v>
      </c>
      <c r="V614" s="31"/>
      <c r="W614" s="31">
        <v>1</v>
      </c>
      <c r="X614" s="37"/>
      <c r="Y614" s="79">
        <v>2</v>
      </c>
      <c r="Z614" s="31" t="s">
        <v>7</v>
      </c>
      <c r="AA614" s="37"/>
      <c r="AB614" s="25"/>
    </row>
    <row r="615" spans="1:28" ht="23.1" customHeight="1" x14ac:dyDescent="0.25">
      <c r="A615" s="53" t="s">
        <v>748</v>
      </c>
      <c r="B615" s="31" t="s">
        <v>99</v>
      </c>
      <c r="C615" s="31">
        <v>59</v>
      </c>
      <c r="D615" s="31" t="s">
        <v>616</v>
      </c>
      <c r="E615" s="25" t="s">
        <v>617</v>
      </c>
      <c r="F615" s="21" t="s">
        <v>617</v>
      </c>
      <c r="G615" s="21" t="str">
        <f>VLOOKUP(D615,[6]成飞半成品!$A:$B,2,0)</f>
        <v>立柱加强接头</v>
      </c>
      <c r="H615" s="31" t="s">
        <v>102</v>
      </c>
      <c r="I615" s="31">
        <v>5</v>
      </c>
      <c r="J615" s="31" t="s">
        <v>1957</v>
      </c>
      <c r="K615" s="31"/>
      <c r="L615" s="31">
        <v>2</v>
      </c>
      <c r="M615" s="31">
        <v>9</v>
      </c>
      <c r="N615" s="31">
        <v>9</v>
      </c>
      <c r="O615" s="77" t="s">
        <v>596</v>
      </c>
      <c r="P615" s="31"/>
      <c r="Q615" s="34">
        <v>60</v>
      </c>
      <c r="R615" s="31"/>
      <c r="S615" s="31"/>
      <c r="T615" s="31"/>
      <c r="U615" s="31">
        <v>60</v>
      </c>
      <c r="V615" s="31"/>
      <c r="W615" s="31">
        <v>1</v>
      </c>
      <c r="X615" s="37"/>
      <c r="Y615" s="79">
        <v>3</v>
      </c>
      <c r="Z615" s="31" t="s">
        <v>42</v>
      </c>
      <c r="AA615" s="37"/>
      <c r="AB615" s="25"/>
    </row>
    <row r="616" spans="1:28" ht="23.1" customHeight="1" x14ac:dyDescent="0.25">
      <c r="A616" s="53" t="s">
        <v>748</v>
      </c>
      <c r="B616" s="31" t="s">
        <v>99</v>
      </c>
      <c r="C616" s="31">
        <v>59</v>
      </c>
      <c r="D616" s="31" t="s">
        <v>616</v>
      </c>
      <c r="E616" s="25" t="s">
        <v>617</v>
      </c>
      <c r="F616" s="21" t="s">
        <v>617</v>
      </c>
      <c r="G616" s="21" t="str">
        <f>VLOOKUP(D616,[6]成飞半成品!$A:$B,2,0)</f>
        <v>立柱加强接头</v>
      </c>
      <c r="H616" s="31" t="s">
        <v>102</v>
      </c>
      <c r="I616" s="31">
        <v>10</v>
      </c>
      <c r="J616" s="31" t="s">
        <v>1897</v>
      </c>
      <c r="K616" s="31"/>
      <c r="L616" s="31">
        <v>2</v>
      </c>
      <c r="M616" s="31">
        <v>9</v>
      </c>
      <c r="N616" s="31">
        <v>9</v>
      </c>
      <c r="O616" s="77" t="s">
        <v>596</v>
      </c>
      <c r="P616" s="31"/>
      <c r="Q616" s="34">
        <v>45</v>
      </c>
      <c r="R616" s="31"/>
      <c r="S616" s="31"/>
      <c r="T616" s="31"/>
      <c r="U616" s="31">
        <v>90</v>
      </c>
      <c r="V616" s="31"/>
      <c r="W616" s="31">
        <v>1</v>
      </c>
      <c r="X616" s="37"/>
      <c r="Y616" s="79">
        <v>3</v>
      </c>
      <c r="Z616" s="31" t="s">
        <v>42</v>
      </c>
      <c r="AA616" s="37"/>
      <c r="AB616" s="25"/>
    </row>
    <row r="617" spans="1:28" ht="23.1" customHeight="1" x14ac:dyDescent="0.25">
      <c r="A617" s="53" t="s">
        <v>748</v>
      </c>
      <c r="B617" s="31" t="s">
        <v>99</v>
      </c>
      <c r="C617" s="31">
        <v>59</v>
      </c>
      <c r="D617" s="31" t="s">
        <v>616</v>
      </c>
      <c r="E617" s="25" t="s">
        <v>617</v>
      </c>
      <c r="F617" s="21" t="s">
        <v>617</v>
      </c>
      <c r="G617" s="21" t="str">
        <f>VLOOKUP(D617,[6]成飞半成品!$A:$B,2,0)</f>
        <v>立柱加强接头</v>
      </c>
      <c r="H617" s="31" t="s">
        <v>102</v>
      </c>
      <c r="I617" s="31">
        <v>15</v>
      </c>
      <c r="J617" s="31" t="s">
        <v>2014</v>
      </c>
      <c r="K617" s="31"/>
      <c r="L617" s="31">
        <v>2</v>
      </c>
      <c r="M617" s="31">
        <v>9</v>
      </c>
      <c r="N617" s="31">
        <v>9</v>
      </c>
      <c r="O617" s="77" t="s">
        <v>596</v>
      </c>
      <c r="P617" s="31"/>
      <c r="Q617" s="34">
        <v>40</v>
      </c>
      <c r="R617" s="31"/>
      <c r="S617" s="31"/>
      <c r="T617" s="31"/>
      <c r="U617" s="31">
        <v>60</v>
      </c>
      <c r="V617" s="31"/>
      <c r="W617" s="31">
        <v>1</v>
      </c>
      <c r="X617" s="37">
        <v>2</v>
      </c>
      <c r="Y617" s="79">
        <v>4.3</v>
      </c>
      <c r="Z617" s="31" t="s">
        <v>42</v>
      </c>
      <c r="AA617" s="37" t="s">
        <v>750</v>
      </c>
      <c r="AB617" s="25" t="s">
        <v>238</v>
      </c>
    </row>
    <row r="618" spans="1:28" ht="23.1" customHeight="1" x14ac:dyDescent="0.25">
      <c r="A618" s="53" t="s">
        <v>751</v>
      </c>
      <c r="B618" s="31" t="s">
        <v>99</v>
      </c>
      <c r="C618" s="31">
        <v>59</v>
      </c>
      <c r="D618" s="31" t="s">
        <v>616</v>
      </c>
      <c r="E618" s="25" t="s">
        <v>617</v>
      </c>
      <c r="F618" s="21" t="s">
        <v>617</v>
      </c>
      <c r="G618" s="21" t="str">
        <f>VLOOKUP(D618,[6]成飞半成品!$A:$B,2,0)</f>
        <v>立柱加强接头</v>
      </c>
      <c r="H618" s="31" t="s">
        <v>102</v>
      </c>
      <c r="I618" s="31">
        <v>20</v>
      </c>
      <c r="J618" s="31" t="s">
        <v>2013</v>
      </c>
      <c r="K618" s="31"/>
      <c r="L618" s="31">
        <v>2</v>
      </c>
      <c r="M618" s="31">
        <v>9</v>
      </c>
      <c r="N618" s="31">
        <v>9</v>
      </c>
      <c r="O618" s="77" t="s">
        <v>596</v>
      </c>
      <c r="P618" s="31"/>
      <c r="Q618" s="34">
        <v>30</v>
      </c>
      <c r="R618" s="31"/>
      <c r="S618" s="31"/>
      <c r="T618" s="31"/>
      <c r="U618" s="31">
        <v>90</v>
      </c>
      <c r="V618" s="31"/>
      <c r="W618" s="31">
        <v>1</v>
      </c>
      <c r="X618" s="37">
        <v>2</v>
      </c>
      <c r="Y618" s="79">
        <v>4.5</v>
      </c>
      <c r="Z618" s="31" t="s">
        <v>42</v>
      </c>
      <c r="AA618" s="37" t="s">
        <v>752</v>
      </c>
      <c r="AB618" s="25" t="s">
        <v>238</v>
      </c>
    </row>
    <row r="619" spans="1:28" ht="23.1" customHeight="1" x14ac:dyDescent="0.25">
      <c r="A619" s="53" t="s">
        <v>751</v>
      </c>
      <c r="B619" s="31" t="s">
        <v>99</v>
      </c>
      <c r="C619" s="31">
        <v>59</v>
      </c>
      <c r="D619" s="31" t="s">
        <v>616</v>
      </c>
      <c r="E619" s="25" t="s">
        <v>617</v>
      </c>
      <c r="F619" s="21" t="s">
        <v>617</v>
      </c>
      <c r="G619" s="21" t="str">
        <f>VLOOKUP(D619,[6]成飞半成品!$A:$B,2,0)</f>
        <v>立柱加强接头</v>
      </c>
      <c r="H619" s="31" t="s">
        <v>102</v>
      </c>
      <c r="I619" s="31">
        <v>30</v>
      </c>
      <c r="J619" s="31" t="s">
        <v>1953</v>
      </c>
      <c r="K619" s="31"/>
      <c r="L619" s="31">
        <v>2</v>
      </c>
      <c r="M619" s="31">
        <v>9</v>
      </c>
      <c r="N619" s="31">
        <v>9</v>
      </c>
      <c r="O619" s="77" t="s">
        <v>596</v>
      </c>
      <c r="P619" s="31"/>
      <c r="Q619" s="34">
        <v>45</v>
      </c>
      <c r="R619" s="31"/>
      <c r="S619" s="31"/>
      <c r="T619" s="31"/>
      <c r="U619" s="31">
        <v>90</v>
      </c>
      <c r="V619" s="31"/>
      <c r="W619" s="31">
        <v>1</v>
      </c>
      <c r="X619" s="37">
        <v>2</v>
      </c>
      <c r="Y619" s="79">
        <v>5</v>
      </c>
      <c r="Z619" s="31" t="s">
        <v>42</v>
      </c>
      <c r="AA619" s="37" t="s">
        <v>576</v>
      </c>
      <c r="AB619" s="25" t="s">
        <v>238</v>
      </c>
    </row>
    <row r="620" spans="1:28" ht="23.1" customHeight="1" x14ac:dyDescent="0.25">
      <c r="A620" s="53" t="s">
        <v>748</v>
      </c>
      <c r="B620" s="31" t="s">
        <v>99</v>
      </c>
      <c r="C620" s="31">
        <v>13</v>
      </c>
      <c r="D620" s="31" t="s">
        <v>654</v>
      </c>
      <c r="E620" s="25" t="s">
        <v>246</v>
      </c>
      <c r="F620" s="21" t="s">
        <v>246</v>
      </c>
      <c r="G620" s="21" t="str">
        <f>VLOOKUP(D620,[6]成飞半成品!$A:$B,2,0)</f>
        <v>外侧轴承盖</v>
      </c>
      <c r="H620" s="31" t="s">
        <v>154</v>
      </c>
      <c r="I620" s="31">
        <v>25</v>
      </c>
      <c r="J620" s="31" t="s">
        <v>2037</v>
      </c>
      <c r="K620" s="31"/>
      <c r="L620" s="31">
        <v>2</v>
      </c>
      <c r="M620" s="31">
        <v>37</v>
      </c>
      <c r="N620" s="31">
        <v>37</v>
      </c>
      <c r="O620" s="77" t="s">
        <v>247</v>
      </c>
      <c r="P620" s="31"/>
      <c r="Q620" s="34">
        <v>130</v>
      </c>
      <c r="R620" s="31"/>
      <c r="S620" s="31"/>
      <c r="T620" s="31"/>
      <c r="U620" s="31">
        <v>60</v>
      </c>
      <c r="V620" s="31"/>
      <c r="W620" s="31">
        <v>1</v>
      </c>
      <c r="X620" s="37"/>
      <c r="Y620" s="79">
        <v>5.3</v>
      </c>
      <c r="Z620" s="31" t="s">
        <v>72</v>
      </c>
      <c r="AA620" s="37" t="s">
        <v>92</v>
      </c>
      <c r="AB620" s="37"/>
    </row>
    <row r="621" spans="1:28" ht="23.1" customHeight="1" x14ac:dyDescent="0.25">
      <c r="A621" s="53" t="s">
        <v>748</v>
      </c>
      <c r="B621" s="31" t="s">
        <v>99</v>
      </c>
      <c r="C621" s="31">
        <v>16</v>
      </c>
      <c r="D621" s="31" t="s">
        <v>753</v>
      </c>
      <c r="E621" s="25" t="s">
        <v>409</v>
      </c>
      <c r="F621" s="21" t="s">
        <v>409</v>
      </c>
      <c r="G621" s="21" t="str">
        <f>VLOOKUP(D621,[6]成飞半成品!$A:$B,2,0)</f>
        <v>接头</v>
      </c>
      <c r="H621" s="31" t="s">
        <v>102</v>
      </c>
      <c r="I621" s="31">
        <v>5</v>
      </c>
      <c r="J621" s="31" t="s">
        <v>1957</v>
      </c>
      <c r="K621" s="31"/>
      <c r="L621" s="31">
        <v>8</v>
      </c>
      <c r="M621" s="31">
        <v>31</v>
      </c>
      <c r="N621" s="31">
        <v>31</v>
      </c>
      <c r="O621" s="77" t="s">
        <v>596</v>
      </c>
      <c r="P621" s="31"/>
      <c r="Q621" s="34">
        <v>45</v>
      </c>
      <c r="R621" s="31"/>
      <c r="S621" s="31"/>
      <c r="T621" s="31"/>
      <c r="U621" s="31">
        <v>60</v>
      </c>
      <c r="V621" s="31"/>
      <c r="W621" s="31">
        <v>1</v>
      </c>
      <c r="X621" s="37"/>
      <c r="Y621" s="79">
        <v>7</v>
      </c>
      <c r="Z621" s="31" t="s">
        <v>38</v>
      </c>
      <c r="AA621" s="37" t="s">
        <v>92</v>
      </c>
      <c r="AB621" s="37"/>
    </row>
    <row r="622" spans="1:28" ht="23.1" customHeight="1" x14ac:dyDescent="0.25">
      <c r="A622" s="53" t="s">
        <v>748</v>
      </c>
      <c r="B622" s="31" t="s">
        <v>99</v>
      </c>
      <c r="C622" s="31">
        <v>16</v>
      </c>
      <c r="D622" s="31" t="s">
        <v>753</v>
      </c>
      <c r="E622" s="25" t="s">
        <v>409</v>
      </c>
      <c r="F622" s="21" t="s">
        <v>409</v>
      </c>
      <c r="G622" s="21" t="str">
        <f>VLOOKUP(D622,[6]成飞半成品!$A:$B,2,0)</f>
        <v>接头</v>
      </c>
      <c r="H622" s="31" t="s">
        <v>102</v>
      </c>
      <c r="I622" s="31">
        <v>10</v>
      </c>
      <c r="J622" s="31" t="s">
        <v>2038</v>
      </c>
      <c r="K622" s="31"/>
      <c r="L622" s="31">
        <v>1</v>
      </c>
      <c r="M622" s="31"/>
      <c r="N622" s="31">
        <v>28</v>
      </c>
      <c r="O622" s="77" t="s">
        <v>596</v>
      </c>
      <c r="P622" s="31"/>
      <c r="Q622" s="34">
        <v>50</v>
      </c>
      <c r="R622" s="31"/>
      <c r="S622" s="31"/>
      <c r="T622" s="31"/>
      <c r="U622" s="31">
        <v>90</v>
      </c>
      <c r="V622" s="31"/>
      <c r="W622" s="31">
        <v>1</v>
      </c>
      <c r="X622" s="37"/>
      <c r="Y622" s="79">
        <v>2.2999999999999998</v>
      </c>
      <c r="Z622" s="31" t="s">
        <v>38</v>
      </c>
      <c r="AA622" s="37" t="s">
        <v>92</v>
      </c>
      <c r="AB622" s="37"/>
    </row>
    <row r="623" spans="1:28" ht="23.1" customHeight="1" x14ac:dyDescent="0.25">
      <c r="A623" s="53" t="s">
        <v>748</v>
      </c>
      <c r="B623" s="31" t="s">
        <v>110</v>
      </c>
      <c r="C623" s="31">
        <v>76</v>
      </c>
      <c r="D623" s="31" t="s">
        <v>280</v>
      </c>
      <c r="E623" s="25" t="s">
        <v>281</v>
      </c>
      <c r="F623" s="21" t="s">
        <v>281</v>
      </c>
      <c r="G623" s="21" t="str">
        <f>VLOOKUP(D623,[6]成飞半成品!$A:$B,2,0)</f>
        <v>4#上垫片</v>
      </c>
      <c r="H623" s="31" t="s">
        <v>154</v>
      </c>
      <c r="I623" s="31">
        <v>15</v>
      </c>
      <c r="J623" s="31" t="s">
        <v>1926</v>
      </c>
      <c r="K623" s="31"/>
      <c r="L623" s="31">
        <v>5</v>
      </c>
      <c r="M623" s="31">
        <v>31</v>
      </c>
      <c r="N623" s="31">
        <v>31</v>
      </c>
      <c r="O623" s="77" t="s">
        <v>412</v>
      </c>
      <c r="P623" s="31"/>
      <c r="Q623" s="34">
        <v>90</v>
      </c>
      <c r="R623" s="31"/>
      <c r="S623" s="31"/>
      <c r="T623" s="31"/>
      <c r="U623" s="31">
        <v>90</v>
      </c>
      <c r="V623" s="31"/>
      <c r="W623" s="31"/>
      <c r="X623" s="37"/>
      <c r="Y623" s="79">
        <v>7.5</v>
      </c>
      <c r="Z623" s="31" t="s">
        <v>46</v>
      </c>
      <c r="AA623" s="37" t="s">
        <v>754</v>
      </c>
      <c r="AB623" s="37"/>
    </row>
    <row r="624" spans="1:28" ht="23.1" customHeight="1" x14ac:dyDescent="0.25">
      <c r="A624" s="53" t="s">
        <v>748</v>
      </c>
      <c r="B624" s="31" t="s">
        <v>110</v>
      </c>
      <c r="C624" s="31">
        <v>9</v>
      </c>
      <c r="D624" s="31" t="s">
        <v>624</v>
      </c>
      <c r="E624" s="25" t="s">
        <v>625</v>
      </c>
      <c r="F624" s="21" t="s">
        <v>625</v>
      </c>
      <c r="G624" s="21" t="str">
        <f>VLOOKUP(D624,[6]成飞半成品!$A:$B,2,0)</f>
        <v>支架</v>
      </c>
      <c r="H624" s="31" t="s">
        <v>300</v>
      </c>
      <c r="I624" s="31">
        <v>50</v>
      </c>
      <c r="J624" s="31" t="s">
        <v>2039</v>
      </c>
      <c r="K624" s="31">
        <v>2</v>
      </c>
      <c r="L624" s="31">
        <v>14</v>
      </c>
      <c r="M624" s="31">
        <v>28</v>
      </c>
      <c r="N624" s="31">
        <v>28</v>
      </c>
      <c r="O624" s="77" t="s">
        <v>567</v>
      </c>
      <c r="P624" s="31"/>
      <c r="Q624" s="34">
        <v>65</v>
      </c>
      <c r="R624" s="31"/>
      <c r="S624" s="31"/>
      <c r="T624" s="31"/>
      <c r="U624" s="31">
        <v>60</v>
      </c>
      <c r="V624" s="31"/>
      <c r="W624" s="31"/>
      <c r="X624" s="37"/>
      <c r="Y624" s="79">
        <v>15.2</v>
      </c>
      <c r="Z624" s="31" t="s">
        <v>55</v>
      </c>
      <c r="AA624" s="37"/>
      <c r="AB624" s="37"/>
    </row>
    <row r="625" spans="1:28" ht="23.1" customHeight="1" x14ac:dyDescent="0.25">
      <c r="A625" s="53" t="s">
        <v>748</v>
      </c>
      <c r="B625" s="31" t="s">
        <v>110</v>
      </c>
      <c r="C625" s="31">
        <v>10</v>
      </c>
      <c r="D625" s="31" t="s">
        <v>517</v>
      </c>
      <c r="E625" s="25" t="s">
        <v>518</v>
      </c>
      <c r="F625" s="21" t="s">
        <v>518</v>
      </c>
      <c r="G625" s="21" t="str">
        <f>VLOOKUP(D625,[6]成飞半成品!$A:$B,2,0)</f>
        <v>带板</v>
      </c>
      <c r="H625" s="31" t="s">
        <v>300</v>
      </c>
      <c r="I625" s="31">
        <v>30</v>
      </c>
      <c r="J625" s="31" t="s">
        <v>2040</v>
      </c>
      <c r="K625" s="31">
        <v>2</v>
      </c>
      <c r="L625" s="31">
        <v>3.5</v>
      </c>
      <c r="M625" s="31">
        <v>28</v>
      </c>
      <c r="N625" s="31">
        <v>28</v>
      </c>
      <c r="O625" s="77" t="s">
        <v>755</v>
      </c>
      <c r="P625" s="31"/>
      <c r="Q625" s="34">
        <v>270</v>
      </c>
      <c r="R625" s="31"/>
      <c r="S625" s="31"/>
      <c r="T625" s="31"/>
      <c r="U625" s="31">
        <v>90</v>
      </c>
      <c r="V625" s="31"/>
      <c r="W625" s="31"/>
      <c r="X625" s="37"/>
      <c r="Y625" s="79">
        <v>15.8</v>
      </c>
      <c r="Z625" s="31" t="s">
        <v>55</v>
      </c>
      <c r="AA625" s="37"/>
      <c r="AB625" s="37"/>
    </row>
    <row r="626" spans="1:28" ht="23.1" customHeight="1" x14ac:dyDescent="0.25">
      <c r="A626" s="53" t="s">
        <v>748</v>
      </c>
      <c r="B626" s="31" t="s">
        <v>110</v>
      </c>
      <c r="C626" s="31">
        <v>15</v>
      </c>
      <c r="D626" s="31" t="s">
        <v>592</v>
      </c>
      <c r="E626" s="25" t="s">
        <v>218</v>
      </c>
      <c r="F626" s="21" t="s">
        <v>218</v>
      </c>
      <c r="G626" s="21" t="str">
        <f>VLOOKUP(D626,[6]成飞半成品!$A:$B,2,0)</f>
        <v>横梁</v>
      </c>
      <c r="H626" s="31" t="s">
        <v>107</v>
      </c>
      <c r="I626" s="31">
        <v>25</v>
      </c>
      <c r="J626" s="31" t="s">
        <v>1914</v>
      </c>
      <c r="K626" s="31">
        <v>4</v>
      </c>
      <c r="L626" s="31">
        <v>3</v>
      </c>
      <c r="M626" s="31">
        <v>28</v>
      </c>
      <c r="N626" s="31">
        <v>28</v>
      </c>
      <c r="O626" s="77" t="s">
        <v>456</v>
      </c>
      <c r="P626" s="31"/>
      <c r="Q626" s="34">
        <v>210</v>
      </c>
      <c r="R626" s="31"/>
      <c r="S626" s="31"/>
      <c r="T626" s="31"/>
      <c r="U626" s="31">
        <v>60</v>
      </c>
      <c r="V626" s="31"/>
      <c r="W626" s="31"/>
      <c r="X626" s="37"/>
      <c r="Y626" s="79">
        <v>10.5</v>
      </c>
      <c r="Z626" s="31" t="s">
        <v>31</v>
      </c>
      <c r="AA626" s="37"/>
      <c r="AB626" s="37"/>
    </row>
    <row r="627" spans="1:28" ht="23.1" customHeight="1" x14ac:dyDescent="0.25">
      <c r="A627" s="53" t="s">
        <v>748</v>
      </c>
      <c r="B627" s="31" t="s">
        <v>110</v>
      </c>
      <c r="C627" s="31">
        <v>15</v>
      </c>
      <c r="D627" s="31" t="s">
        <v>592</v>
      </c>
      <c r="E627" s="25" t="s">
        <v>218</v>
      </c>
      <c r="F627" s="21" t="s">
        <v>218</v>
      </c>
      <c r="G627" s="21" t="str">
        <f>VLOOKUP(D627,[6]成飞半成品!$A:$B,2,0)</f>
        <v>横梁</v>
      </c>
      <c r="H627" s="31" t="s">
        <v>118</v>
      </c>
      <c r="I627" s="31">
        <v>25</v>
      </c>
      <c r="J627" s="31" t="s">
        <v>1914</v>
      </c>
      <c r="K627" s="31"/>
      <c r="L627" s="31">
        <v>1</v>
      </c>
      <c r="M627" s="31"/>
      <c r="N627" s="31">
        <v>28</v>
      </c>
      <c r="O627" s="77" t="s">
        <v>247</v>
      </c>
      <c r="P627" s="31"/>
      <c r="Q627" s="34">
        <v>210</v>
      </c>
      <c r="R627" s="31"/>
      <c r="S627" s="31"/>
      <c r="T627" s="31"/>
      <c r="U627" s="31">
        <v>60</v>
      </c>
      <c r="V627" s="31"/>
      <c r="W627" s="31"/>
      <c r="X627" s="37"/>
      <c r="Y627" s="79">
        <v>3.5</v>
      </c>
      <c r="Z627" s="31" t="s">
        <v>31</v>
      </c>
      <c r="AA627" s="37"/>
      <c r="AB627" s="37"/>
    </row>
    <row r="628" spans="1:28" ht="23.1" customHeight="1" x14ac:dyDescent="0.25">
      <c r="A628" s="53" t="s">
        <v>748</v>
      </c>
      <c r="B628" s="31" t="s">
        <v>110</v>
      </c>
      <c r="C628" s="31">
        <v>14</v>
      </c>
      <c r="D628" s="31" t="s">
        <v>276</v>
      </c>
      <c r="E628" s="25" t="s">
        <v>277</v>
      </c>
      <c r="F628" s="21" t="s">
        <v>277</v>
      </c>
      <c r="G628" s="21" t="str">
        <f>VLOOKUP(D628,[6]成飞半成品!$A:$B,2,0)</f>
        <v>左外侧接头</v>
      </c>
      <c r="H628" s="31" t="s">
        <v>154</v>
      </c>
      <c r="I628" s="31">
        <v>75</v>
      </c>
      <c r="J628" s="31" t="s">
        <v>2041</v>
      </c>
      <c r="K628" s="31"/>
      <c r="L628" s="31">
        <v>1</v>
      </c>
      <c r="M628" s="31">
        <v>19</v>
      </c>
      <c r="N628" s="31"/>
      <c r="O628" s="77" t="s">
        <v>234</v>
      </c>
      <c r="P628" s="31"/>
      <c r="Q628" s="34">
        <v>300</v>
      </c>
      <c r="R628" s="31"/>
      <c r="S628" s="31"/>
      <c r="T628" s="31"/>
      <c r="U628" s="31">
        <v>120</v>
      </c>
      <c r="V628" s="31"/>
      <c r="W628" s="31"/>
      <c r="X628" s="37"/>
      <c r="Y628" s="79">
        <v>5</v>
      </c>
      <c r="Z628" s="31" t="s">
        <v>31</v>
      </c>
      <c r="AA628" s="37"/>
      <c r="AB628" s="37"/>
    </row>
    <row r="629" spans="1:28" ht="23.1" customHeight="1" x14ac:dyDescent="0.25">
      <c r="A629" s="53" t="s">
        <v>748</v>
      </c>
      <c r="B629" s="31" t="s">
        <v>110</v>
      </c>
      <c r="C629" s="31">
        <v>14</v>
      </c>
      <c r="D629" s="31" t="s">
        <v>235</v>
      </c>
      <c r="E629" s="25" t="s">
        <v>236</v>
      </c>
      <c r="F629" s="21" t="s">
        <v>236</v>
      </c>
      <c r="G629" s="21" t="str">
        <f>VLOOKUP(D629,[6]成飞半成品!$A:$B,2,0)</f>
        <v>右外侧接头</v>
      </c>
      <c r="H629" s="31" t="s">
        <v>154</v>
      </c>
      <c r="I629" s="31">
        <v>75</v>
      </c>
      <c r="J629" s="31" t="s">
        <v>2041</v>
      </c>
      <c r="K629" s="31"/>
      <c r="L629" s="31">
        <v>1</v>
      </c>
      <c r="M629" s="31">
        <v>19</v>
      </c>
      <c r="N629" s="31"/>
      <c r="O629" s="77" t="s">
        <v>159</v>
      </c>
      <c r="P629" s="31"/>
      <c r="Q629" s="34">
        <v>300</v>
      </c>
      <c r="R629" s="31"/>
      <c r="S629" s="31"/>
      <c r="T629" s="31"/>
      <c r="U629" s="31">
        <v>120</v>
      </c>
      <c r="V629" s="31"/>
      <c r="W629" s="31"/>
      <c r="X629" s="37"/>
      <c r="Y629" s="79">
        <v>5</v>
      </c>
      <c r="Z629" s="31" t="s">
        <v>31</v>
      </c>
      <c r="AA629" s="37"/>
      <c r="AB629" s="37"/>
    </row>
    <row r="630" spans="1:28" ht="23.1" customHeight="1" x14ac:dyDescent="0.25">
      <c r="A630" s="53" t="s">
        <v>748</v>
      </c>
      <c r="B630" s="31" t="s">
        <v>110</v>
      </c>
      <c r="C630" s="31">
        <v>58</v>
      </c>
      <c r="D630" s="31" t="s">
        <v>695</v>
      </c>
      <c r="E630" s="25" t="s">
        <v>696</v>
      </c>
      <c r="F630" s="21" t="s">
        <v>696</v>
      </c>
      <c r="G630" s="21" t="str">
        <f>VLOOKUP(D630,[6]成飞半成品!$A:$B,2,0)</f>
        <v>过渡板</v>
      </c>
      <c r="H630" s="31" t="s">
        <v>107</v>
      </c>
      <c r="I630" s="31">
        <v>55</v>
      </c>
      <c r="J630" s="31" t="s">
        <v>2036</v>
      </c>
      <c r="K630" s="31">
        <v>5</v>
      </c>
      <c r="L630" s="31">
        <v>8</v>
      </c>
      <c r="M630" s="31">
        <v>9</v>
      </c>
      <c r="N630" s="31">
        <v>31</v>
      </c>
      <c r="O630" s="77" t="s">
        <v>724</v>
      </c>
      <c r="P630" s="31"/>
      <c r="Q630" s="34">
        <v>80</v>
      </c>
      <c r="R630" s="31"/>
      <c r="S630" s="31"/>
      <c r="T630" s="31"/>
      <c r="U630" s="31">
        <v>90</v>
      </c>
      <c r="V630" s="31"/>
      <c r="W630" s="31"/>
      <c r="X630" s="37"/>
      <c r="Y630" s="79">
        <v>10.7</v>
      </c>
      <c r="Z630" s="31" t="s">
        <v>0</v>
      </c>
      <c r="AA630" s="37"/>
      <c r="AB630" s="37"/>
    </row>
    <row r="631" spans="1:28" ht="23.1" customHeight="1" x14ac:dyDescent="0.25">
      <c r="A631" s="53" t="s">
        <v>748</v>
      </c>
      <c r="B631" s="31" t="s">
        <v>110</v>
      </c>
      <c r="C631" s="31">
        <v>57</v>
      </c>
      <c r="D631" s="31" t="s">
        <v>698</v>
      </c>
      <c r="E631" s="25" t="s">
        <v>699</v>
      </c>
      <c r="F631" s="21" t="e">
        <v>#N/A</v>
      </c>
      <c r="G631" s="21" t="e">
        <f>VLOOKUP(D631,[6]成飞半成品!$A:$B,2,0)</f>
        <v>#N/A</v>
      </c>
      <c r="H631" s="10" t="s">
        <v>123</v>
      </c>
      <c r="I631" s="31">
        <v>15</v>
      </c>
      <c r="J631" s="31" t="s">
        <v>2042</v>
      </c>
      <c r="K631" s="31">
        <v>1</v>
      </c>
      <c r="L631" s="31">
        <v>3</v>
      </c>
      <c r="M631" s="31">
        <v>31</v>
      </c>
      <c r="N631" s="31">
        <v>31</v>
      </c>
      <c r="O631" s="77" t="s">
        <v>219</v>
      </c>
      <c r="P631" s="31"/>
      <c r="Q631" s="34">
        <v>130</v>
      </c>
      <c r="R631" s="31"/>
      <c r="S631" s="31"/>
      <c r="T631" s="31"/>
      <c r="U631" s="31">
        <v>60</v>
      </c>
      <c r="V631" s="31"/>
      <c r="W631" s="31">
        <v>0</v>
      </c>
      <c r="X631" s="37">
        <v>3</v>
      </c>
      <c r="Y631" s="79">
        <v>9.5</v>
      </c>
      <c r="Z631" s="31" t="s">
        <v>0</v>
      </c>
      <c r="AA631" s="37" t="s">
        <v>461</v>
      </c>
      <c r="AB631" s="25" t="s">
        <v>238</v>
      </c>
    </row>
    <row r="632" spans="1:28" ht="23.1" customHeight="1" x14ac:dyDescent="0.25">
      <c r="A632" s="53" t="s">
        <v>748</v>
      </c>
      <c r="B632" s="31" t="s">
        <v>110</v>
      </c>
      <c r="C632" s="31">
        <v>56</v>
      </c>
      <c r="D632" s="31" t="s">
        <v>676</v>
      </c>
      <c r="E632" s="25" t="s">
        <v>595</v>
      </c>
      <c r="F632" s="21" t="s">
        <v>595</v>
      </c>
      <c r="G632" s="21" t="str">
        <f>VLOOKUP(D632,[6]成飞半成品!$A:$B,2,0)</f>
        <v>加强件</v>
      </c>
      <c r="H632" s="31" t="s">
        <v>154</v>
      </c>
      <c r="I632" s="31">
        <v>15</v>
      </c>
      <c r="J632" s="31" t="s">
        <v>2043</v>
      </c>
      <c r="K632" s="31">
        <v>3</v>
      </c>
      <c r="L632" s="31">
        <v>2</v>
      </c>
      <c r="M632" s="31">
        <v>28</v>
      </c>
      <c r="N632" s="31">
        <v>28</v>
      </c>
      <c r="O632" s="77" t="s">
        <v>756</v>
      </c>
      <c r="P632" s="31"/>
      <c r="Q632" s="34">
        <v>250</v>
      </c>
      <c r="R632" s="31"/>
      <c r="S632" s="31"/>
      <c r="T632" s="31"/>
      <c r="U632" s="31">
        <v>60</v>
      </c>
      <c r="V632" s="31"/>
      <c r="W632" s="31">
        <v>1</v>
      </c>
      <c r="X632" s="37">
        <v>3</v>
      </c>
      <c r="Y632" s="79">
        <v>12.3</v>
      </c>
      <c r="Z632" s="31" t="s">
        <v>44</v>
      </c>
      <c r="AA632" s="37" t="s">
        <v>757</v>
      </c>
      <c r="AB632" s="25" t="s">
        <v>238</v>
      </c>
    </row>
    <row r="633" spans="1:28" ht="23.1" customHeight="1" x14ac:dyDescent="0.25">
      <c r="A633" s="53" t="s">
        <v>748</v>
      </c>
      <c r="B633" s="31" t="s">
        <v>110</v>
      </c>
      <c r="C633" s="31">
        <v>77</v>
      </c>
      <c r="D633" s="31" t="s">
        <v>211</v>
      </c>
      <c r="E633" s="25" t="s">
        <v>212</v>
      </c>
      <c r="F633" s="21" t="s">
        <v>212</v>
      </c>
      <c r="G633" s="21" t="str">
        <f>VLOOKUP(D633,[6]成飞半成品!$A:$B,2,0)</f>
        <v>压板</v>
      </c>
      <c r="H633" s="31" t="s">
        <v>123</v>
      </c>
      <c r="I633" s="31">
        <v>20</v>
      </c>
      <c r="J633" s="31" t="s">
        <v>2034</v>
      </c>
      <c r="K633" s="31">
        <v>30</v>
      </c>
      <c r="L633" s="31">
        <v>30</v>
      </c>
      <c r="M633" s="31">
        <v>37</v>
      </c>
      <c r="N633" s="31">
        <v>37</v>
      </c>
      <c r="O633" s="77" t="s">
        <v>213</v>
      </c>
      <c r="P633" s="31"/>
      <c r="Q633" s="34">
        <v>30</v>
      </c>
      <c r="R633" s="31"/>
      <c r="S633" s="31"/>
      <c r="T633" s="31"/>
      <c r="U633" s="31">
        <v>60</v>
      </c>
      <c r="V633" s="31"/>
      <c r="W633" s="31"/>
      <c r="X633" s="37"/>
      <c r="Y633" s="79">
        <v>15</v>
      </c>
      <c r="Z633" s="31" t="s">
        <v>15</v>
      </c>
      <c r="AA633" s="37"/>
      <c r="AB633" s="37"/>
    </row>
    <row r="634" spans="1:28" ht="23.1" customHeight="1" x14ac:dyDescent="0.25">
      <c r="A634" s="53" t="s">
        <v>748</v>
      </c>
      <c r="B634" s="31" t="s">
        <v>110</v>
      </c>
      <c r="C634" s="31">
        <v>24</v>
      </c>
      <c r="D634" s="31" t="s">
        <v>738</v>
      </c>
      <c r="E634" s="25" t="s">
        <v>739</v>
      </c>
      <c r="F634" s="21" t="s">
        <v>739</v>
      </c>
      <c r="G634" s="21" t="str">
        <f>VLOOKUP(D634,[6]成飞半成品!$A:$B,2,0)</f>
        <v>BL280侧壁（右件）</v>
      </c>
      <c r="H634" s="31" t="s">
        <v>107</v>
      </c>
      <c r="I634" s="31">
        <v>25</v>
      </c>
      <c r="J634" s="31" t="s">
        <v>2035</v>
      </c>
      <c r="K634" s="31">
        <v>1</v>
      </c>
      <c r="L634" s="31">
        <v>1</v>
      </c>
      <c r="M634" s="31">
        <v>28</v>
      </c>
      <c r="N634" s="31">
        <v>37</v>
      </c>
      <c r="O634" s="77" t="s">
        <v>661</v>
      </c>
      <c r="P634" s="31"/>
      <c r="Q634" s="34">
        <v>840</v>
      </c>
      <c r="R634" s="31">
        <v>120</v>
      </c>
      <c r="S634" s="31"/>
      <c r="T634" s="31">
        <v>1</v>
      </c>
      <c r="U634" s="31">
        <v>150</v>
      </c>
      <c r="V634" s="31"/>
      <c r="W634" s="31"/>
      <c r="X634" s="37"/>
      <c r="Y634" s="79">
        <v>16</v>
      </c>
      <c r="Z634" s="31" t="s">
        <v>3</v>
      </c>
      <c r="AA634" s="37" t="s">
        <v>145</v>
      </c>
      <c r="AB634" s="37"/>
    </row>
    <row r="635" spans="1:28" ht="23.1" customHeight="1" x14ac:dyDescent="0.25">
      <c r="A635" s="53" t="s">
        <v>748</v>
      </c>
      <c r="B635" s="31" t="s">
        <v>110</v>
      </c>
      <c r="C635" s="31">
        <v>69</v>
      </c>
      <c r="D635" s="31" t="s">
        <v>742</v>
      </c>
      <c r="E635" s="25" t="s">
        <v>663</v>
      </c>
      <c r="F635" s="21" t="s">
        <v>663</v>
      </c>
      <c r="G635" s="21" t="str">
        <f>VLOOKUP(D635,[6]成飞半成品!$A:$B,2,0)</f>
        <v>前端框</v>
      </c>
      <c r="H635" s="31" t="s">
        <v>250</v>
      </c>
      <c r="I635" s="31">
        <v>55</v>
      </c>
      <c r="J635" s="31" t="s">
        <v>2010</v>
      </c>
      <c r="K635" s="31">
        <v>5</v>
      </c>
      <c r="L635" s="31">
        <v>3</v>
      </c>
      <c r="M635" s="31">
        <v>28</v>
      </c>
      <c r="N635" s="31">
        <v>28</v>
      </c>
      <c r="O635" s="77" t="s">
        <v>456</v>
      </c>
      <c r="P635" s="31"/>
      <c r="Q635" s="34">
        <v>450</v>
      </c>
      <c r="R635" s="31">
        <v>90</v>
      </c>
      <c r="S635" s="31"/>
      <c r="T635" s="31">
        <v>3</v>
      </c>
      <c r="U635" s="31">
        <v>180</v>
      </c>
      <c r="V635" s="31"/>
      <c r="W635" s="31"/>
      <c r="X635" s="37"/>
      <c r="Y635" s="79">
        <v>27</v>
      </c>
      <c r="Z635" s="31" t="s">
        <v>3</v>
      </c>
      <c r="AA635" s="37" t="s">
        <v>758</v>
      </c>
      <c r="AB635" s="37"/>
    </row>
    <row r="636" spans="1:28" ht="23.1" customHeight="1" x14ac:dyDescent="0.25">
      <c r="A636" s="53" t="s">
        <v>748</v>
      </c>
      <c r="B636" s="31" t="s">
        <v>110</v>
      </c>
      <c r="C636" s="31">
        <v>91</v>
      </c>
      <c r="D636" s="31" t="s">
        <v>759</v>
      </c>
      <c r="E636" s="25" t="s">
        <v>760</v>
      </c>
      <c r="F636" s="21" t="s">
        <v>760</v>
      </c>
      <c r="G636" s="21" t="str">
        <f>VLOOKUP(D636,[6]成飞半成品!$A:$B,2,0)</f>
        <v>9555侧隔框</v>
      </c>
      <c r="H636" s="31" t="s">
        <v>300</v>
      </c>
      <c r="I636" s="31">
        <v>35</v>
      </c>
      <c r="J636" s="31" t="s">
        <v>2434</v>
      </c>
      <c r="K636" s="31">
        <v>2</v>
      </c>
      <c r="L636" s="31">
        <v>6</v>
      </c>
      <c r="M636" s="31">
        <v>28</v>
      </c>
      <c r="N636" s="31">
        <v>31</v>
      </c>
      <c r="O636" s="77" t="s">
        <v>219</v>
      </c>
      <c r="P636" s="31"/>
      <c r="Q636" s="34">
        <v>180</v>
      </c>
      <c r="R636" s="31">
        <v>75</v>
      </c>
      <c r="S636" s="31"/>
      <c r="T636" s="31">
        <v>6</v>
      </c>
      <c r="U636" s="31">
        <v>210</v>
      </c>
      <c r="V636" s="31"/>
      <c r="W636" s="31">
        <v>1</v>
      </c>
      <c r="X636" s="37">
        <v>3</v>
      </c>
      <c r="Y636" s="79">
        <v>32</v>
      </c>
      <c r="Z636" s="31" t="s">
        <v>3</v>
      </c>
      <c r="AA636" s="37" t="s">
        <v>761</v>
      </c>
      <c r="AB636" s="37"/>
    </row>
    <row r="637" spans="1:28" ht="23.1" customHeight="1" x14ac:dyDescent="0.25">
      <c r="A637" s="53" t="s">
        <v>748</v>
      </c>
      <c r="B637" s="31" t="s">
        <v>110</v>
      </c>
      <c r="C637" s="31">
        <v>84</v>
      </c>
      <c r="D637" s="31" t="s">
        <v>449</v>
      </c>
      <c r="E637" s="25" t="s">
        <v>317</v>
      </c>
      <c r="F637" s="21" t="s">
        <v>317</v>
      </c>
      <c r="G637" s="21" t="str">
        <f>VLOOKUP(D637,[6]成飞半成品!$A:$B,2,0)</f>
        <v>角盒</v>
      </c>
      <c r="H637" s="31" t="s">
        <v>154</v>
      </c>
      <c r="I637" s="31">
        <v>30</v>
      </c>
      <c r="J637" s="31" t="s">
        <v>2026</v>
      </c>
      <c r="K637" s="31">
        <v>0.8</v>
      </c>
      <c r="L637" s="31">
        <v>0.2</v>
      </c>
      <c r="M637" s="31">
        <v>28</v>
      </c>
      <c r="N637" s="31"/>
      <c r="O637" s="77" t="s">
        <v>234</v>
      </c>
      <c r="P637" s="31"/>
      <c r="Q637" s="34">
        <v>660</v>
      </c>
      <c r="R637" s="31">
        <v>60</v>
      </c>
      <c r="S637" s="31"/>
      <c r="T637" s="31"/>
      <c r="U637" s="31">
        <v>120</v>
      </c>
      <c r="V637" s="31"/>
      <c r="W637" s="31"/>
      <c r="X637" s="37">
        <v>3</v>
      </c>
      <c r="Y637" s="79">
        <v>5.2</v>
      </c>
      <c r="Z637" s="31" t="s">
        <v>3</v>
      </c>
      <c r="AA637" s="37" t="s">
        <v>623</v>
      </c>
      <c r="AB637" s="37"/>
    </row>
    <row r="638" spans="1:28" ht="23.1" customHeight="1" x14ac:dyDescent="0.25">
      <c r="A638" s="53" t="s">
        <v>748</v>
      </c>
      <c r="B638" s="31" t="s">
        <v>110</v>
      </c>
      <c r="C638" s="31">
        <v>84</v>
      </c>
      <c r="D638" s="31" t="s">
        <v>449</v>
      </c>
      <c r="E638" s="25" t="s">
        <v>317</v>
      </c>
      <c r="F638" s="21" t="s">
        <v>317</v>
      </c>
      <c r="G638" s="21" t="str">
        <f>VLOOKUP(D638,[6]成飞半成品!$A:$B,2,0)</f>
        <v>角盒</v>
      </c>
      <c r="H638" s="31" t="s">
        <v>154</v>
      </c>
      <c r="I638" s="31">
        <v>25</v>
      </c>
      <c r="J638" s="31" t="s">
        <v>1976</v>
      </c>
      <c r="K638" s="31">
        <v>0.4</v>
      </c>
      <c r="L638" s="31">
        <v>1</v>
      </c>
      <c r="M638" s="31"/>
      <c r="N638" s="31">
        <v>28</v>
      </c>
      <c r="O638" s="77" t="s">
        <v>234</v>
      </c>
      <c r="P638" s="31"/>
      <c r="Q638" s="34">
        <v>360</v>
      </c>
      <c r="R638" s="31"/>
      <c r="S638" s="31"/>
      <c r="T638" s="31"/>
      <c r="U638" s="31">
        <v>60</v>
      </c>
      <c r="V638" s="31"/>
      <c r="W638" s="31">
        <v>1</v>
      </c>
      <c r="X638" s="37"/>
      <c r="Y638" s="79">
        <v>7</v>
      </c>
      <c r="Z638" s="31" t="s">
        <v>3</v>
      </c>
      <c r="AA638" s="37" t="s">
        <v>488</v>
      </c>
      <c r="AB638" s="37"/>
    </row>
    <row r="639" spans="1:28" ht="23.1" customHeight="1" x14ac:dyDescent="0.25">
      <c r="A639" s="53" t="s">
        <v>748</v>
      </c>
      <c r="B639" s="31" t="s">
        <v>110</v>
      </c>
      <c r="C639" s="31">
        <v>119</v>
      </c>
      <c r="D639" s="31" t="s">
        <v>288</v>
      </c>
      <c r="E639" s="25" t="s">
        <v>255</v>
      </c>
      <c r="F639" s="21" t="s">
        <v>1532</v>
      </c>
      <c r="G639" s="21" t="str">
        <f>VLOOKUP(D639,[6]成飞半成品!$A:$B,2,0)</f>
        <v>9350-11140左侧上梁</v>
      </c>
      <c r="H639" s="31" t="s">
        <v>250</v>
      </c>
      <c r="I639" s="31">
        <v>50</v>
      </c>
      <c r="J639" s="31" t="s">
        <v>2021</v>
      </c>
      <c r="K639" s="31">
        <v>0.3</v>
      </c>
      <c r="L639" s="31">
        <v>0.3</v>
      </c>
      <c r="M639" s="31"/>
      <c r="N639" s="31">
        <v>5</v>
      </c>
      <c r="O639" s="77" t="s">
        <v>476</v>
      </c>
      <c r="P639" s="31"/>
      <c r="Q639" s="34">
        <v>3000</v>
      </c>
      <c r="R639" s="31">
        <v>90</v>
      </c>
      <c r="S639" s="31"/>
      <c r="T639" s="31"/>
      <c r="U639" s="31">
        <v>150</v>
      </c>
      <c r="V639" s="31"/>
      <c r="W639" s="31"/>
      <c r="X639" s="37"/>
      <c r="Y639" s="79">
        <v>15</v>
      </c>
      <c r="Z639" s="31" t="s">
        <v>3</v>
      </c>
      <c r="AA639" s="37"/>
      <c r="AB639" s="37"/>
    </row>
    <row r="640" spans="1:28" ht="23.1" customHeight="1" x14ac:dyDescent="0.25">
      <c r="A640" s="53" t="s">
        <v>748</v>
      </c>
      <c r="B640" s="31" t="s">
        <v>110</v>
      </c>
      <c r="C640" s="31">
        <v>22</v>
      </c>
      <c r="D640" s="31" t="s">
        <v>611</v>
      </c>
      <c r="E640" s="25" t="s">
        <v>612</v>
      </c>
      <c r="F640" s="21" t="s">
        <v>612</v>
      </c>
      <c r="G640" s="21" t="str">
        <f>VLOOKUP(D640,[6]成飞半成品!$A:$B,2,0)</f>
        <v>前梁二段</v>
      </c>
      <c r="H640" s="31" t="s">
        <v>102</v>
      </c>
      <c r="I640" s="31">
        <v>45</v>
      </c>
      <c r="J640" s="31" t="s">
        <v>2015</v>
      </c>
      <c r="K640" s="31">
        <v>0.3</v>
      </c>
      <c r="L640" s="31">
        <v>0.2</v>
      </c>
      <c r="M640" s="31">
        <v>37</v>
      </c>
      <c r="N640" s="31">
        <v>37</v>
      </c>
      <c r="O640" s="77" t="s">
        <v>613</v>
      </c>
      <c r="P640" s="31"/>
      <c r="Q640" s="34">
        <v>6000</v>
      </c>
      <c r="R640" s="31">
        <v>180</v>
      </c>
      <c r="S640" s="31"/>
      <c r="T640" s="31"/>
      <c r="U640" s="31">
        <v>180</v>
      </c>
      <c r="V640" s="31"/>
      <c r="W640" s="31"/>
      <c r="X640" s="37"/>
      <c r="Y640" s="79">
        <v>20</v>
      </c>
      <c r="Z640" s="31" t="s">
        <v>58</v>
      </c>
      <c r="AA640" s="37"/>
      <c r="AB640" s="37"/>
    </row>
    <row r="641" spans="1:28" ht="23.1" customHeight="1" x14ac:dyDescent="0.25">
      <c r="A641" s="53" t="s">
        <v>748</v>
      </c>
      <c r="B641" s="31" t="s">
        <v>110</v>
      </c>
      <c r="C641" s="31">
        <v>23</v>
      </c>
      <c r="D641" s="31" t="s">
        <v>717</v>
      </c>
      <c r="E641" s="25" t="s">
        <v>718</v>
      </c>
      <c r="F641" s="21" t="s">
        <v>718</v>
      </c>
      <c r="G641" s="21" t="str">
        <f>VLOOKUP(D641,[6]成飞半成品!$A:$B,2,0)</f>
        <v>上边肋</v>
      </c>
      <c r="H641" s="31" t="s">
        <v>118</v>
      </c>
      <c r="I641" s="31">
        <v>45</v>
      </c>
      <c r="J641" s="31" t="s">
        <v>2028</v>
      </c>
      <c r="K641" s="31">
        <v>0.5</v>
      </c>
      <c r="L641" s="31">
        <v>0.5</v>
      </c>
      <c r="M641" s="31"/>
      <c r="N641" s="31">
        <v>28</v>
      </c>
      <c r="O641" s="77" t="s">
        <v>762</v>
      </c>
      <c r="P641" s="31"/>
      <c r="Q641" s="34">
        <v>1080</v>
      </c>
      <c r="R641" s="31">
        <v>90</v>
      </c>
      <c r="S641" s="31"/>
      <c r="T641" s="31">
        <v>1</v>
      </c>
      <c r="U641" s="31">
        <v>120</v>
      </c>
      <c r="V641" s="31"/>
      <c r="W641" s="31"/>
      <c r="X641" s="37"/>
      <c r="Y641" s="79">
        <v>10.5</v>
      </c>
      <c r="Z641" s="31" t="s">
        <v>22</v>
      </c>
      <c r="AA641" s="37" t="s">
        <v>145</v>
      </c>
      <c r="AB641" s="37"/>
    </row>
    <row r="642" spans="1:28" ht="23.1" customHeight="1" x14ac:dyDescent="0.25">
      <c r="A642" s="53" t="s">
        <v>748</v>
      </c>
      <c r="B642" s="31" t="s">
        <v>110</v>
      </c>
      <c r="C642" s="31">
        <v>23</v>
      </c>
      <c r="D642" s="31" t="s">
        <v>717</v>
      </c>
      <c r="E642" s="25" t="s">
        <v>718</v>
      </c>
      <c r="F642" s="21" t="s">
        <v>718</v>
      </c>
      <c r="G642" s="21" t="str">
        <f>VLOOKUP(D642,[6]成飞半成品!$A:$B,2,0)</f>
        <v>上边肋</v>
      </c>
      <c r="H642" s="31" t="s">
        <v>118</v>
      </c>
      <c r="I642" s="31">
        <v>48</v>
      </c>
      <c r="J642" s="31"/>
      <c r="K642" s="31">
        <v>1</v>
      </c>
      <c r="L642" s="31">
        <v>1</v>
      </c>
      <c r="M642" s="31"/>
      <c r="N642" s="31">
        <v>28</v>
      </c>
      <c r="O642" s="77" t="s">
        <v>719</v>
      </c>
      <c r="P642" s="31">
        <v>40</v>
      </c>
      <c r="Q642" s="34"/>
      <c r="R642" s="31"/>
      <c r="S642" s="31">
        <v>90</v>
      </c>
      <c r="T642" s="31">
        <v>1</v>
      </c>
      <c r="U642" s="31"/>
      <c r="V642" s="31">
        <v>120</v>
      </c>
      <c r="W642" s="31">
        <v>1</v>
      </c>
      <c r="X642" s="37">
        <v>1.5</v>
      </c>
      <c r="Y642" s="83">
        <v>5.7</v>
      </c>
      <c r="Z642" s="31" t="s">
        <v>22</v>
      </c>
      <c r="AA642" s="37" t="s">
        <v>763</v>
      </c>
      <c r="AB642" s="37"/>
    </row>
    <row r="643" spans="1:28" ht="23.1" customHeight="1" x14ac:dyDescent="0.25">
      <c r="A643" s="53" t="s">
        <v>748</v>
      </c>
      <c r="B643" s="31" t="s">
        <v>110</v>
      </c>
      <c r="C643" s="31">
        <v>47</v>
      </c>
      <c r="D643" s="31" t="s">
        <v>332</v>
      </c>
      <c r="E643" s="25" t="s">
        <v>333</v>
      </c>
      <c r="F643" s="21" t="s">
        <v>2548</v>
      </c>
      <c r="G643" s="21" t="str">
        <f>VLOOKUP(D643,[6]成飞半成品!$A:$B,2,0)</f>
        <v>5550上框</v>
      </c>
      <c r="H643" s="31" t="s">
        <v>334</v>
      </c>
      <c r="I643" s="31">
        <v>25</v>
      </c>
      <c r="J643" s="31" t="s">
        <v>2018</v>
      </c>
      <c r="K643" s="31">
        <v>1</v>
      </c>
      <c r="L643" s="31">
        <v>1</v>
      </c>
      <c r="M643" s="31">
        <v>28</v>
      </c>
      <c r="N643" s="31">
        <v>37</v>
      </c>
      <c r="O643" s="77" t="s">
        <v>764</v>
      </c>
      <c r="P643" s="31"/>
      <c r="Q643" s="34">
        <v>630</v>
      </c>
      <c r="R643" s="31">
        <v>90</v>
      </c>
      <c r="S643" s="31"/>
      <c r="T643" s="31">
        <v>1</v>
      </c>
      <c r="U643" s="31">
        <v>120</v>
      </c>
      <c r="V643" s="31"/>
      <c r="W643" s="31"/>
      <c r="X643" s="37"/>
      <c r="Y643" s="79">
        <v>12</v>
      </c>
      <c r="Z643" s="31" t="s">
        <v>22</v>
      </c>
      <c r="AA643" s="37" t="s">
        <v>145</v>
      </c>
      <c r="AB643" s="37"/>
    </row>
    <row r="644" spans="1:28" ht="23.1" customHeight="1" x14ac:dyDescent="0.25">
      <c r="A644" s="53" t="s">
        <v>748</v>
      </c>
      <c r="B644" s="31" t="s">
        <v>110</v>
      </c>
      <c r="C644" s="31">
        <v>78</v>
      </c>
      <c r="D644" s="31" t="s">
        <v>177</v>
      </c>
      <c r="E644" s="25" t="s">
        <v>133</v>
      </c>
      <c r="F644" s="21" t="s">
        <v>133</v>
      </c>
      <c r="G644" s="21" t="str">
        <f>VLOOKUP(D644,[6]成飞半成品!$A:$B,2,0)</f>
        <v>摇臂</v>
      </c>
      <c r="H644" s="31" t="s">
        <v>102</v>
      </c>
      <c r="I644" s="31">
        <v>15</v>
      </c>
      <c r="J644" s="31" t="s">
        <v>1977</v>
      </c>
      <c r="K644" s="31">
        <v>2</v>
      </c>
      <c r="L644" s="31">
        <v>2</v>
      </c>
      <c r="M644" s="31">
        <v>28</v>
      </c>
      <c r="N644" s="31">
        <v>9</v>
      </c>
      <c r="O644" s="77" t="s">
        <v>765</v>
      </c>
      <c r="P644" s="31"/>
      <c r="Q644" s="34">
        <v>690</v>
      </c>
      <c r="R644" s="31">
        <v>60</v>
      </c>
      <c r="S644" s="31"/>
      <c r="T644" s="31">
        <v>2</v>
      </c>
      <c r="U644" s="31">
        <v>120</v>
      </c>
      <c r="V644" s="31"/>
      <c r="W644" s="31"/>
      <c r="X644" s="37">
        <v>2</v>
      </c>
      <c r="Y644" s="79">
        <v>27</v>
      </c>
      <c r="Z644" s="31" t="s">
        <v>19</v>
      </c>
      <c r="AA644" s="37" t="s">
        <v>766</v>
      </c>
      <c r="AB644" s="25" t="s">
        <v>238</v>
      </c>
    </row>
    <row r="645" spans="1:28" ht="23.1" customHeight="1" x14ac:dyDescent="0.25">
      <c r="A645" s="53" t="s">
        <v>748</v>
      </c>
      <c r="B645" s="31" t="s">
        <v>110</v>
      </c>
      <c r="C645" s="31">
        <v>17</v>
      </c>
      <c r="D645" s="31" t="s">
        <v>352</v>
      </c>
      <c r="E645" s="25" t="s">
        <v>353</v>
      </c>
      <c r="F645" s="21" t="e">
        <v>#N/A</v>
      </c>
      <c r="G645" s="21" t="e">
        <f>VLOOKUP(D645,[6]成飞半成品!$A:$B,2,0)</f>
        <v>#N/A</v>
      </c>
      <c r="H645" s="31" t="s">
        <v>300</v>
      </c>
      <c r="I645" s="31">
        <v>30</v>
      </c>
      <c r="J645" s="31" t="s">
        <v>2005</v>
      </c>
      <c r="K645" s="31">
        <v>1</v>
      </c>
      <c r="L645" s="31">
        <v>2</v>
      </c>
      <c r="M645" s="31">
        <v>26</v>
      </c>
      <c r="N645" s="31">
        <v>26</v>
      </c>
      <c r="O645" s="77" t="s">
        <v>767</v>
      </c>
      <c r="P645" s="31"/>
      <c r="Q645" s="34">
        <v>480</v>
      </c>
      <c r="R645" s="31"/>
      <c r="S645" s="31"/>
      <c r="T645" s="31"/>
      <c r="U645" s="31">
        <v>120</v>
      </c>
      <c r="V645" s="31"/>
      <c r="W645" s="31"/>
      <c r="X645" s="37"/>
      <c r="Y645" s="79">
        <v>16</v>
      </c>
      <c r="Z645" s="31" t="s">
        <v>43</v>
      </c>
      <c r="AA645" s="37"/>
      <c r="AB645" s="37"/>
    </row>
    <row r="646" spans="1:28" ht="23.1" customHeight="1" x14ac:dyDescent="0.25">
      <c r="A646" s="53" t="s">
        <v>748</v>
      </c>
      <c r="B646" s="31" t="s">
        <v>110</v>
      </c>
      <c r="C646" s="31">
        <v>79</v>
      </c>
      <c r="D646" s="31" t="s">
        <v>152</v>
      </c>
      <c r="E646" s="25" t="s">
        <v>153</v>
      </c>
      <c r="F646" s="21" t="s">
        <v>1247</v>
      </c>
      <c r="G646" s="21" t="str">
        <f>VLOOKUP(D646,[6]成飞半成品!$A:$B,2,0)</f>
        <v>根肋前段</v>
      </c>
      <c r="H646" s="31" t="s">
        <v>154</v>
      </c>
      <c r="I646" s="31">
        <v>25</v>
      </c>
      <c r="J646" s="31" t="s">
        <v>2017</v>
      </c>
      <c r="K646" s="31">
        <v>1</v>
      </c>
      <c r="L646" s="31">
        <v>1.2</v>
      </c>
      <c r="M646" s="31">
        <v>28</v>
      </c>
      <c r="N646" s="31">
        <v>9</v>
      </c>
      <c r="O646" s="77" t="s">
        <v>768</v>
      </c>
      <c r="P646" s="31"/>
      <c r="Q646" s="34">
        <v>1260</v>
      </c>
      <c r="R646" s="31">
        <v>90</v>
      </c>
      <c r="S646" s="31"/>
      <c r="T646" s="31">
        <v>1</v>
      </c>
      <c r="U646" s="31">
        <v>120</v>
      </c>
      <c r="V646" s="31"/>
      <c r="W646" s="31"/>
      <c r="X646" s="37"/>
      <c r="Y646" s="79">
        <v>26.7</v>
      </c>
      <c r="Z646" s="31" t="s">
        <v>19</v>
      </c>
      <c r="AA646" s="37" t="s">
        <v>145</v>
      </c>
      <c r="AB646" s="37"/>
    </row>
    <row r="647" spans="1:28" ht="23.1" customHeight="1" x14ac:dyDescent="0.25">
      <c r="A647" s="53" t="s">
        <v>748</v>
      </c>
      <c r="B647" s="31" t="s">
        <v>110</v>
      </c>
      <c r="C647" s="31">
        <v>12</v>
      </c>
      <c r="D647" s="31" t="s">
        <v>735</v>
      </c>
      <c r="E647" s="25" t="s">
        <v>249</v>
      </c>
      <c r="F647" s="21" t="s">
        <v>249</v>
      </c>
      <c r="G647" s="21" t="str">
        <f>VLOOKUP(D647,[6]成飞半成品!$A:$B,2,0)</f>
        <v>10060下接头</v>
      </c>
      <c r="H647" s="31" t="s">
        <v>250</v>
      </c>
      <c r="I647" s="31">
        <v>15</v>
      </c>
      <c r="J647" s="31" t="s">
        <v>1903</v>
      </c>
      <c r="K647" s="31"/>
      <c r="L647" s="31">
        <v>2</v>
      </c>
      <c r="M647" s="31">
        <v>28</v>
      </c>
      <c r="N647" s="31">
        <v>37</v>
      </c>
      <c r="O647" s="77" t="s">
        <v>769</v>
      </c>
      <c r="P647" s="31"/>
      <c r="Q647" s="34">
        <v>600</v>
      </c>
      <c r="R647" s="31"/>
      <c r="S647" s="31"/>
      <c r="T647" s="31"/>
      <c r="U647" s="31">
        <v>120</v>
      </c>
      <c r="V647" s="31"/>
      <c r="W647" s="31">
        <v>1</v>
      </c>
      <c r="X647" s="37"/>
      <c r="Y647" s="79">
        <v>22</v>
      </c>
      <c r="Z647" s="31" t="s">
        <v>72</v>
      </c>
      <c r="AA647" s="37" t="s">
        <v>92</v>
      </c>
      <c r="AB647" s="37"/>
    </row>
    <row r="648" spans="1:28" ht="23.1" customHeight="1" x14ac:dyDescent="0.25">
      <c r="A648" s="53" t="s">
        <v>748</v>
      </c>
      <c r="B648" s="31" t="s">
        <v>110</v>
      </c>
      <c r="C648" s="31">
        <v>13</v>
      </c>
      <c r="D648" s="31" t="s">
        <v>654</v>
      </c>
      <c r="E648" s="25" t="s">
        <v>246</v>
      </c>
      <c r="F648" s="21" t="s">
        <v>246</v>
      </c>
      <c r="G648" s="21" t="str">
        <f>VLOOKUP(D648,[6]成飞半成品!$A:$B,2,0)</f>
        <v>外侧轴承盖</v>
      </c>
      <c r="H648" s="31" t="s">
        <v>154</v>
      </c>
      <c r="I648" s="31">
        <v>20</v>
      </c>
      <c r="J648" s="31" t="s">
        <v>2030</v>
      </c>
      <c r="K648" s="31"/>
      <c r="L648" s="31">
        <v>6</v>
      </c>
      <c r="M648" s="31">
        <v>28</v>
      </c>
      <c r="N648" s="31">
        <v>31</v>
      </c>
      <c r="O648" s="77" t="s">
        <v>247</v>
      </c>
      <c r="P648" s="31"/>
      <c r="Q648" s="34">
        <v>160</v>
      </c>
      <c r="R648" s="31"/>
      <c r="S648" s="31"/>
      <c r="T648" s="31"/>
      <c r="U648" s="31">
        <v>60</v>
      </c>
      <c r="V648" s="31"/>
      <c r="W648" s="31"/>
      <c r="X648" s="37"/>
      <c r="Y648" s="79">
        <v>16</v>
      </c>
      <c r="Z648" s="31" t="s">
        <v>72</v>
      </c>
      <c r="AA648" s="37"/>
      <c r="AB648" s="37"/>
    </row>
    <row r="649" spans="1:28" ht="23.1" customHeight="1" x14ac:dyDescent="0.25">
      <c r="A649" s="53" t="s">
        <v>748</v>
      </c>
      <c r="B649" s="31" t="s">
        <v>110</v>
      </c>
      <c r="C649" s="31">
        <v>18</v>
      </c>
      <c r="D649" s="31" t="s">
        <v>205</v>
      </c>
      <c r="E649" s="25" t="s">
        <v>206</v>
      </c>
      <c r="F649" s="21" t="s">
        <v>206</v>
      </c>
      <c r="G649" s="21" t="str">
        <f>VLOOKUP(D649,[6]成飞半成品!$A:$B,2,0)</f>
        <v>卡环</v>
      </c>
      <c r="H649" s="31" t="s">
        <v>123</v>
      </c>
      <c r="I649" s="31">
        <v>55</v>
      </c>
      <c r="J649" s="31" t="s">
        <v>2031</v>
      </c>
      <c r="K649" s="31">
        <v>1</v>
      </c>
      <c r="L649" s="31">
        <v>3</v>
      </c>
      <c r="M649" s="31">
        <v>28</v>
      </c>
      <c r="N649" s="31">
        <v>28</v>
      </c>
      <c r="O649" s="77" t="s">
        <v>770</v>
      </c>
      <c r="P649" s="31"/>
      <c r="Q649" s="34">
        <v>330</v>
      </c>
      <c r="R649" s="31"/>
      <c r="S649" s="31"/>
      <c r="T649" s="31"/>
      <c r="U649" s="31">
        <v>90</v>
      </c>
      <c r="V649" s="31"/>
      <c r="W649" s="31"/>
      <c r="X649" s="37"/>
      <c r="Y649" s="79">
        <v>16.5</v>
      </c>
      <c r="Z649" s="31" t="s">
        <v>43</v>
      </c>
      <c r="AA649" s="37"/>
      <c r="AB649" s="37"/>
    </row>
    <row r="650" spans="1:28" ht="23.1" customHeight="1" x14ac:dyDescent="0.25">
      <c r="A650" s="53" t="s">
        <v>748</v>
      </c>
      <c r="B650" s="31" t="s">
        <v>110</v>
      </c>
      <c r="C650" s="31">
        <v>21</v>
      </c>
      <c r="D650" s="31" t="s">
        <v>321</v>
      </c>
      <c r="E650" s="25" t="s">
        <v>322</v>
      </c>
      <c r="F650" s="21" t="s">
        <v>322</v>
      </c>
      <c r="G650" s="21" t="str">
        <f>VLOOKUP(D650,[6]成飞半成品!$A:$B,2,0)</f>
        <v>10860框</v>
      </c>
      <c r="H650" s="31" t="s">
        <v>323</v>
      </c>
      <c r="I650" s="31">
        <v>10</v>
      </c>
      <c r="J650" s="31" t="s">
        <v>2046</v>
      </c>
      <c r="K650" s="31">
        <v>1.5</v>
      </c>
      <c r="L650" s="31">
        <v>1.7</v>
      </c>
      <c r="M650" s="31">
        <v>28</v>
      </c>
      <c r="N650" s="31">
        <v>37</v>
      </c>
      <c r="O650" s="77" t="s">
        <v>771</v>
      </c>
      <c r="P650" s="31"/>
      <c r="Q650" s="34">
        <v>420</v>
      </c>
      <c r="R650" s="31">
        <v>120</v>
      </c>
      <c r="S650" s="31"/>
      <c r="T650" s="31">
        <v>2</v>
      </c>
      <c r="U650" s="31">
        <v>180</v>
      </c>
      <c r="V650" s="31"/>
      <c r="W650" s="31">
        <v>1</v>
      </c>
      <c r="X650" s="37"/>
      <c r="Y650" s="79">
        <v>18.899999999999999</v>
      </c>
      <c r="Z650" s="31" t="s">
        <v>58</v>
      </c>
      <c r="AA650" s="37" t="s">
        <v>336</v>
      </c>
      <c r="AB650" s="37"/>
    </row>
    <row r="651" spans="1:28" ht="23.1" customHeight="1" x14ac:dyDescent="0.25">
      <c r="A651" s="53" t="s">
        <v>748</v>
      </c>
      <c r="B651" s="31" t="s">
        <v>110</v>
      </c>
      <c r="C651" s="31">
        <v>108</v>
      </c>
      <c r="D651" s="31" t="s">
        <v>173</v>
      </c>
      <c r="E651" s="25" t="s">
        <v>174</v>
      </c>
      <c r="F651" s="21" t="s">
        <v>1246</v>
      </c>
      <c r="G651" s="21" t="str">
        <f>VLOOKUP(D651,[6]成飞半成品!$A:$B,2,0)</f>
        <v>根肋后段</v>
      </c>
      <c r="H651" s="31" t="s">
        <v>154</v>
      </c>
      <c r="I651" s="31">
        <v>30</v>
      </c>
      <c r="J651" s="31" t="s">
        <v>2047</v>
      </c>
      <c r="K651" s="31">
        <v>1</v>
      </c>
      <c r="L651" s="31">
        <v>0.5</v>
      </c>
      <c r="M651" s="31"/>
      <c r="N651" s="31">
        <v>26</v>
      </c>
      <c r="O651" s="77" t="s">
        <v>421</v>
      </c>
      <c r="P651" s="31"/>
      <c r="Q651" s="34">
        <v>700</v>
      </c>
      <c r="R651" s="31">
        <v>90</v>
      </c>
      <c r="S651" s="31"/>
      <c r="T651" s="31"/>
      <c r="U651" s="31">
        <v>120</v>
      </c>
      <c r="V651" s="31"/>
      <c r="W651" s="31">
        <v>1</v>
      </c>
      <c r="X651" s="37"/>
      <c r="Y651" s="79">
        <v>7.8</v>
      </c>
      <c r="Z651" s="31" t="s">
        <v>45</v>
      </c>
      <c r="AA651" s="37" t="s">
        <v>772</v>
      </c>
      <c r="AB651" s="25" t="s">
        <v>238</v>
      </c>
    </row>
    <row r="652" spans="1:28" ht="23.1" customHeight="1" x14ac:dyDescent="0.25">
      <c r="A652" s="53" t="s">
        <v>748</v>
      </c>
      <c r="B652" s="31" t="s">
        <v>110</v>
      </c>
      <c r="C652" s="31">
        <v>11</v>
      </c>
      <c r="D652" s="31" t="s">
        <v>2563</v>
      </c>
      <c r="E652" s="25" t="s">
        <v>691</v>
      </c>
      <c r="F652" s="21" t="s">
        <v>691</v>
      </c>
      <c r="G652" s="21" t="str">
        <f>VLOOKUP(D652,[6]成飞半成品!$A:$B,2,0)</f>
        <v>地板支撑件</v>
      </c>
      <c r="H652" s="31" t="s">
        <v>123</v>
      </c>
      <c r="I652" s="31">
        <v>15</v>
      </c>
      <c r="J652" s="31" t="s">
        <v>2033</v>
      </c>
      <c r="K652" s="31">
        <v>1.2</v>
      </c>
      <c r="L652" s="31">
        <v>5</v>
      </c>
      <c r="M652" s="31">
        <v>31</v>
      </c>
      <c r="N652" s="31">
        <v>9</v>
      </c>
      <c r="O652" s="77" t="s">
        <v>684</v>
      </c>
      <c r="P652" s="31"/>
      <c r="Q652" s="34">
        <v>190</v>
      </c>
      <c r="R652" s="31"/>
      <c r="S652" s="31"/>
      <c r="T652" s="31"/>
      <c r="U652" s="31">
        <v>60</v>
      </c>
      <c r="V652" s="31"/>
      <c r="W652" s="31"/>
      <c r="X652" s="37"/>
      <c r="Y652" s="79">
        <v>15.8</v>
      </c>
      <c r="Z652" s="31" t="s">
        <v>38</v>
      </c>
      <c r="AA652" s="37"/>
      <c r="AB652" s="37"/>
    </row>
    <row r="653" spans="1:28" ht="23.1" customHeight="1" x14ac:dyDescent="0.25">
      <c r="A653" s="53" t="s">
        <v>748</v>
      </c>
      <c r="B653" s="31" t="s">
        <v>137</v>
      </c>
      <c r="C653" s="31">
        <v>69</v>
      </c>
      <c r="D653" s="31" t="s">
        <v>742</v>
      </c>
      <c r="E653" s="25" t="s">
        <v>663</v>
      </c>
      <c r="F653" s="21" t="s">
        <v>663</v>
      </c>
      <c r="G653" s="21" t="str">
        <f>VLOOKUP(D653,[6]成飞半成品!$A:$B,2,0)</f>
        <v>前端框</v>
      </c>
      <c r="H653" s="31" t="s">
        <v>250</v>
      </c>
      <c r="I653" s="31">
        <v>55</v>
      </c>
      <c r="J653" s="31" t="s">
        <v>2435</v>
      </c>
      <c r="K653" s="31">
        <v>4</v>
      </c>
      <c r="L653" s="31">
        <v>4</v>
      </c>
      <c r="M653" s="31">
        <v>37</v>
      </c>
      <c r="N653" s="31">
        <v>5</v>
      </c>
      <c r="O653" s="77" t="s">
        <v>429</v>
      </c>
      <c r="P653" s="31"/>
      <c r="Q653" s="34">
        <v>450</v>
      </c>
      <c r="R653" s="31">
        <v>90</v>
      </c>
      <c r="S653" s="31"/>
      <c r="T653" s="31">
        <v>4</v>
      </c>
      <c r="U653" s="31">
        <v>180</v>
      </c>
      <c r="V653" s="31"/>
      <c r="W653" s="31"/>
      <c r="X653" s="37"/>
      <c r="Y653" s="79">
        <v>36</v>
      </c>
      <c r="Z653" s="31" t="s">
        <v>27</v>
      </c>
      <c r="AA653" s="37" t="s">
        <v>372</v>
      </c>
      <c r="AB653" s="37"/>
    </row>
    <row r="654" spans="1:28" ht="23.1" customHeight="1" x14ac:dyDescent="0.25">
      <c r="A654" s="53" t="s">
        <v>748</v>
      </c>
      <c r="B654" s="31" t="s">
        <v>137</v>
      </c>
      <c r="C654" s="31">
        <v>119</v>
      </c>
      <c r="D654" s="31" t="s">
        <v>288</v>
      </c>
      <c r="E654" s="25" t="s">
        <v>255</v>
      </c>
      <c r="F654" s="21" t="s">
        <v>1532</v>
      </c>
      <c r="G654" s="21" t="str">
        <f>VLOOKUP(D654,[6]成飞半成品!$A:$B,2,0)</f>
        <v>9350-11140左侧上梁</v>
      </c>
      <c r="H654" s="31" t="s">
        <v>250</v>
      </c>
      <c r="I654" s="31">
        <v>50</v>
      </c>
      <c r="J654" s="31" t="s">
        <v>2021</v>
      </c>
      <c r="K654" s="31">
        <v>0.3</v>
      </c>
      <c r="L654" s="31">
        <v>0.3</v>
      </c>
      <c r="M654" s="31"/>
      <c r="N654" s="31">
        <v>0.3</v>
      </c>
      <c r="O654" s="77" t="s">
        <v>476</v>
      </c>
      <c r="P654" s="31"/>
      <c r="Q654" s="34">
        <v>3000</v>
      </c>
      <c r="R654" s="31">
        <v>90</v>
      </c>
      <c r="S654" s="31"/>
      <c r="T654" s="31"/>
      <c r="U654" s="31">
        <v>150</v>
      </c>
      <c r="V654" s="31"/>
      <c r="W654" s="31"/>
      <c r="X654" s="37"/>
      <c r="Y654" s="79">
        <v>15</v>
      </c>
      <c r="Z654" s="31" t="s">
        <v>27</v>
      </c>
      <c r="AA654" s="37"/>
      <c r="AB654" s="37"/>
    </row>
    <row r="655" spans="1:28" ht="23.1" customHeight="1" x14ac:dyDescent="0.25">
      <c r="A655" s="53" t="s">
        <v>748</v>
      </c>
      <c r="B655" s="31" t="s">
        <v>137</v>
      </c>
      <c r="C655" s="31">
        <v>91</v>
      </c>
      <c r="D655" s="31" t="s">
        <v>759</v>
      </c>
      <c r="E655" s="25" t="s">
        <v>760</v>
      </c>
      <c r="F655" s="21" t="s">
        <v>760</v>
      </c>
      <c r="G655" s="21" t="str">
        <f>VLOOKUP(D655,[6]成飞半成品!$A:$B,2,0)</f>
        <v>9555侧隔框</v>
      </c>
      <c r="H655" s="31" t="s">
        <v>300</v>
      </c>
      <c r="I655" s="31">
        <v>35</v>
      </c>
      <c r="J655" s="31" t="s">
        <v>2044</v>
      </c>
      <c r="K655" s="31">
        <v>6</v>
      </c>
      <c r="L655" s="31">
        <v>6</v>
      </c>
      <c r="M655" s="31">
        <v>26</v>
      </c>
      <c r="N655" s="31">
        <v>23</v>
      </c>
      <c r="O655" s="77" t="s">
        <v>773</v>
      </c>
      <c r="P655" s="31"/>
      <c r="Q655" s="34">
        <v>180</v>
      </c>
      <c r="R655" s="31">
        <v>75</v>
      </c>
      <c r="S655" s="31"/>
      <c r="T655" s="31">
        <v>6</v>
      </c>
      <c r="U655" s="31">
        <v>210</v>
      </c>
      <c r="V655" s="31"/>
      <c r="W655" s="31">
        <v>1</v>
      </c>
      <c r="X655" s="37">
        <v>3</v>
      </c>
      <c r="Y655" s="79">
        <v>32</v>
      </c>
      <c r="Z655" s="31" t="s">
        <v>27</v>
      </c>
      <c r="AA655" s="37" t="s">
        <v>774</v>
      </c>
      <c r="AB655" s="37"/>
    </row>
    <row r="656" spans="1:28" ht="23.1" customHeight="1" x14ac:dyDescent="0.25">
      <c r="A656" s="53" t="s">
        <v>748</v>
      </c>
      <c r="B656" s="31" t="s">
        <v>137</v>
      </c>
      <c r="C656" s="31">
        <v>84</v>
      </c>
      <c r="D656" s="31" t="s">
        <v>775</v>
      </c>
      <c r="E656" s="25" t="s">
        <v>317</v>
      </c>
      <c r="F656" s="21" t="s">
        <v>317</v>
      </c>
      <c r="G656" s="21" t="str">
        <f>VLOOKUP(D656,[6]成飞半成品!$A:$B,2,0)</f>
        <v>角盒</v>
      </c>
      <c r="H656" s="31" t="s">
        <v>154</v>
      </c>
      <c r="I656" s="31">
        <v>25</v>
      </c>
      <c r="J656" s="31" t="s">
        <v>1976</v>
      </c>
      <c r="K656" s="31">
        <v>1</v>
      </c>
      <c r="L656" s="31">
        <v>1</v>
      </c>
      <c r="M656" s="31"/>
      <c r="N656" s="31">
        <v>23</v>
      </c>
      <c r="O656" s="77" t="s">
        <v>159</v>
      </c>
      <c r="P656" s="31"/>
      <c r="Q656" s="34">
        <v>360</v>
      </c>
      <c r="R656" s="31"/>
      <c r="S656" s="31"/>
      <c r="T656" s="31">
        <v>1</v>
      </c>
      <c r="U656" s="31">
        <v>60</v>
      </c>
      <c r="V656" s="31"/>
      <c r="W656" s="31"/>
      <c r="X656" s="37">
        <v>3</v>
      </c>
      <c r="Y656" s="79">
        <v>9</v>
      </c>
      <c r="Z656" s="31" t="s">
        <v>27</v>
      </c>
      <c r="AA656" s="37" t="s">
        <v>303</v>
      </c>
      <c r="AB656" s="37"/>
    </row>
    <row r="657" spans="1:28" ht="23.1" customHeight="1" x14ac:dyDescent="0.25">
      <c r="A657" s="53" t="s">
        <v>748</v>
      </c>
      <c r="B657" s="31" t="s">
        <v>137</v>
      </c>
      <c r="C657" s="31">
        <v>24</v>
      </c>
      <c r="D657" s="31" t="s">
        <v>738</v>
      </c>
      <c r="E657" s="25" t="s">
        <v>739</v>
      </c>
      <c r="F657" s="21" t="s">
        <v>739</v>
      </c>
      <c r="G657" s="21" t="str">
        <f>VLOOKUP(D657,[6]成飞半成品!$A:$B,2,0)</f>
        <v>BL280侧壁（右件）</v>
      </c>
      <c r="H657" s="31" t="s">
        <v>107</v>
      </c>
      <c r="I657" s="31">
        <v>25</v>
      </c>
      <c r="J657" s="31" t="s">
        <v>2035</v>
      </c>
      <c r="K657" s="31">
        <v>0.6</v>
      </c>
      <c r="L657" s="31">
        <v>0.6</v>
      </c>
      <c r="M657" s="31">
        <v>37</v>
      </c>
      <c r="N657" s="31">
        <v>37</v>
      </c>
      <c r="O657" s="77" t="s">
        <v>410</v>
      </c>
      <c r="P657" s="31"/>
      <c r="Q657" s="34">
        <v>840</v>
      </c>
      <c r="R657" s="31">
        <v>120</v>
      </c>
      <c r="S657" s="31"/>
      <c r="T657" s="31"/>
      <c r="U657" s="31">
        <v>150</v>
      </c>
      <c r="V657" s="31"/>
      <c r="W657" s="31"/>
      <c r="X657" s="37"/>
      <c r="Y657" s="79">
        <v>8.4</v>
      </c>
      <c r="Z657" s="31" t="s">
        <v>27</v>
      </c>
      <c r="AA657" s="37"/>
      <c r="AB657" s="37"/>
    </row>
    <row r="658" spans="1:28" ht="23.1" customHeight="1" x14ac:dyDescent="0.25">
      <c r="A658" s="53" t="s">
        <v>748</v>
      </c>
      <c r="B658" s="31" t="s">
        <v>137</v>
      </c>
      <c r="C658" s="31">
        <v>24</v>
      </c>
      <c r="D658" s="31" t="s">
        <v>776</v>
      </c>
      <c r="E658" s="25" t="s">
        <v>777</v>
      </c>
      <c r="F658" s="21" t="s">
        <v>777</v>
      </c>
      <c r="G658" s="21" t="str">
        <f>VLOOKUP(D658,[6]成飞半成品!$A:$B,2,0)</f>
        <v>BL280侧壁（左件）</v>
      </c>
      <c r="H658" s="31" t="s">
        <v>107</v>
      </c>
      <c r="I658" s="31">
        <v>25</v>
      </c>
      <c r="J658" s="31" t="s">
        <v>2035</v>
      </c>
      <c r="K658" s="31">
        <v>0.4</v>
      </c>
      <c r="L658" s="31">
        <v>0.5</v>
      </c>
      <c r="M658" s="31">
        <v>9</v>
      </c>
      <c r="N658" s="31">
        <v>9</v>
      </c>
      <c r="O658" s="77" t="s">
        <v>778</v>
      </c>
      <c r="P658" s="31"/>
      <c r="Q658" s="34">
        <v>840</v>
      </c>
      <c r="R658" s="31">
        <v>120</v>
      </c>
      <c r="S658" s="31"/>
      <c r="T658" s="31">
        <v>1</v>
      </c>
      <c r="U658" s="31">
        <v>150</v>
      </c>
      <c r="V658" s="31"/>
      <c r="W658" s="31">
        <v>1</v>
      </c>
      <c r="X658" s="37">
        <v>3</v>
      </c>
      <c r="Y658" s="79">
        <v>14.5</v>
      </c>
      <c r="Z658" s="31" t="s">
        <v>27</v>
      </c>
      <c r="AA658" s="37" t="s">
        <v>779</v>
      </c>
      <c r="AB658" s="37"/>
    </row>
    <row r="659" spans="1:28" ht="23.1" customHeight="1" x14ac:dyDescent="0.25">
      <c r="A659" s="53" t="s">
        <v>748</v>
      </c>
      <c r="B659" s="31" t="s">
        <v>113</v>
      </c>
      <c r="C659" s="31">
        <v>76</v>
      </c>
      <c r="D659" s="31" t="s">
        <v>543</v>
      </c>
      <c r="E659" s="25" t="s">
        <v>544</v>
      </c>
      <c r="F659" s="21" t="s">
        <v>544</v>
      </c>
      <c r="G659" s="21" t="str">
        <f>VLOOKUP(D659,[6]成飞半成品!$A:$B,2,0)</f>
        <v>3#上垫片</v>
      </c>
      <c r="H659" s="31" t="s">
        <v>154</v>
      </c>
      <c r="I659" s="31">
        <v>15</v>
      </c>
      <c r="J659" s="31" t="s">
        <v>1926</v>
      </c>
      <c r="K659" s="31">
        <v>3</v>
      </c>
      <c r="L659" s="31">
        <v>3</v>
      </c>
      <c r="M659" s="31">
        <v>5</v>
      </c>
      <c r="N659" s="31">
        <v>5</v>
      </c>
      <c r="O659" s="77" t="s">
        <v>330</v>
      </c>
      <c r="P659" s="31"/>
      <c r="Q659" s="34">
        <v>90</v>
      </c>
      <c r="R659" s="31"/>
      <c r="S659" s="31"/>
      <c r="T659" s="31"/>
      <c r="U659" s="31">
        <v>90</v>
      </c>
      <c r="V659" s="31"/>
      <c r="W659" s="31"/>
      <c r="X659" s="37"/>
      <c r="Y659" s="79">
        <v>4.5</v>
      </c>
      <c r="Z659" s="31" t="s">
        <v>12</v>
      </c>
      <c r="AA659" s="37" t="s">
        <v>713</v>
      </c>
      <c r="AB659" s="37"/>
    </row>
    <row r="660" spans="1:28" ht="23.1" customHeight="1" x14ac:dyDescent="0.25">
      <c r="A660" s="53" t="s">
        <v>748</v>
      </c>
      <c r="B660" s="31" t="s">
        <v>113</v>
      </c>
      <c r="C660" s="31">
        <v>22</v>
      </c>
      <c r="D660" s="31" t="s">
        <v>611</v>
      </c>
      <c r="E660" s="25" t="s">
        <v>612</v>
      </c>
      <c r="F660" s="21" t="s">
        <v>612</v>
      </c>
      <c r="G660" s="21" t="str">
        <f>VLOOKUP(D660,[6]成飞半成品!$A:$B,2,0)</f>
        <v>前梁二段</v>
      </c>
      <c r="H660" s="31" t="s">
        <v>102</v>
      </c>
      <c r="I660" s="31">
        <v>45</v>
      </c>
      <c r="J660" s="31" t="s">
        <v>2015</v>
      </c>
      <c r="K660" s="31">
        <v>0.3</v>
      </c>
      <c r="L660" s="31">
        <v>0.3</v>
      </c>
      <c r="M660" s="31">
        <v>37</v>
      </c>
      <c r="N660" s="31">
        <v>37</v>
      </c>
      <c r="O660" s="77" t="s">
        <v>103</v>
      </c>
      <c r="P660" s="31"/>
      <c r="Q660" s="34">
        <v>6000</v>
      </c>
      <c r="R660" s="31">
        <v>180</v>
      </c>
      <c r="S660" s="31"/>
      <c r="T660" s="31"/>
      <c r="U660" s="31">
        <v>180</v>
      </c>
      <c r="V660" s="31"/>
      <c r="W660" s="31"/>
      <c r="X660" s="37"/>
      <c r="Y660" s="79">
        <v>30</v>
      </c>
      <c r="Z660" s="31" t="s">
        <v>49</v>
      </c>
      <c r="AA660" s="37"/>
      <c r="AB660" s="37"/>
    </row>
    <row r="661" spans="1:28" ht="23.1" customHeight="1" x14ac:dyDescent="0.25">
      <c r="A661" s="53" t="s">
        <v>748</v>
      </c>
      <c r="B661" s="31" t="s">
        <v>113</v>
      </c>
      <c r="C661" s="31">
        <v>22</v>
      </c>
      <c r="D661" s="31" t="s">
        <v>611</v>
      </c>
      <c r="E661" s="25" t="s">
        <v>612</v>
      </c>
      <c r="F661" s="21" t="s">
        <v>612</v>
      </c>
      <c r="G661" s="21" t="str">
        <f>VLOOKUP(D661,[6]成飞半成品!$A:$B,2,0)</f>
        <v>前梁二段</v>
      </c>
      <c r="H661" s="31" t="s">
        <v>102</v>
      </c>
      <c r="I661" s="31">
        <v>45</v>
      </c>
      <c r="J661" s="31" t="s">
        <v>2015</v>
      </c>
      <c r="K661" s="31">
        <v>0.3</v>
      </c>
      <c r="L661" s="31">
        <v>0.2</v>
      </c>
      <c r="M661" s="31">
        <v>37</v>
      </c>
      <c r="N661" s="31">
        <v>37</v>
      </c>
      <c r="O661" s="77" t="s">
        <v>103</v>
      </c>
      <c r="P661" s="31"/>
      <c r="Q661" s="34">
        <v>6000</v>
      </c>
      <c r="R661" s="31">
        <v>180</v>
      </c>
      <c r="S661" s="31"/>
      <c r="T661" s="31"/>
      <c r="U661" s="31">
        <v>180</v>
      </c>
      <c r="V661" s="31"/>
      <c r="W661" s="31"/>
      <c r="X661" s="37"/>
      <c r="Y661" s="79">
        <v>20</v>
      </c>
      <c r="Z661" s="31" t="s">
        <v>49</v>
      </c>
      <c r="AA661" s="37"/>
      <c r="AB661" s="37"/>
    </row>
    <row r="662" spans="1:28" ht="23.1" customHeight="1" x14ac:dyDescent="0.25">
      <c r="A662" s="53" t="s">
        <v>748</v>
      </c>
      <c r="B662" s="31" t="s">
        <v>113</v>
      </c>
      <c r="C662" s="31">
        <v>21</v>
      </c>
      <c r="D662" s="31" t="s">
        <v>321</v>
      </c>
      <c r="E662" s="25" t="s">
        <v>322</v>
      </c>
      <c r="F662" s="21" t="s">
        <v>322</v>
      </c>
      <c r="G662" s="21" t="str">
        <f>VLOOKUP(D662,[6]成飞半成品!$A:$B,2,0)</f>
        <v>10860框</v>
      </c>
      <c r="H662" s="31" t="s">
        <v>323</v>
      </c>
      <c r="I662" s="31">
        <v>15</v>
      </c>
      <c r="J662" s="31" t="s">
        <v>2048</v>
      </c>
      <c r="K662" s="31">
        <v>2</v>
      </c>
      <c r="L662" s="31">
        <v>2</v>
      </c>
      <c r="M662" s="31">
        <v>26</v>
      </c>
      <c r="N662" s="31">
        <v>37</v>
      </c>
      <c r="O662" s="77" t="s">
        <v>771</v>
      </c>
      <c r="P662" s="31"/>
      <c r="Q662" s="34">
        <v>210</v>
      </c>
      <c r="R662" s="31">
        <v>120</v>
      </c>
      <c r="S662" s="31"/>
      <c r="T662" s="31">
        <v>2</v>
      </c>
      <c r="U662" s="31">
        <v>180</v>
      </c>
      <c r="V662" s="31"/>
      <c r="W662" s="31">
        <v>1</v>
      </c>
      <c r="X662" s="37"/>
      <c r="Y662" s="79">
        <v>14</v>
      </c>
      <c r="Z662" s="31" t="s">
        <v>49</v>
      </c>
      <c r="AA662" s="37" t="s">
        <v>325</v>
      </c>
      <c r="AB662" s="37"/>
    </row>
    <row r="663" spans="1:28" ht="23.1" customHeight="1" x14ac:dyDescent="0.25">
      <c r="A663" s="53" t="s">
        <v>748</v>
      </c>
      <c r="B663" s="31" t="s">
        <v>113</v>
      </c>
      <c r="C663" s="31">
        <v>21</v>
      </c>
      <c r="D663" s="31" t="s">
        <v>321</v>
      </c>
      <c r="E663" s="25" t="s">
        <v>322</v>
      </c>
      <c r="F663" s="21" t="s">
        <v>322</v>
      </c>
      <c r="G663" s="21" t="str">
        <f>VLOOKUP(D663,[6]成飞半成品!$A:$B,2,0)</f>
        <v>10860框</v>
      </c>
      <c r="H663" s="31" t="s">
        <v>323</v>
      </c>
      <c r="I663" s="31">
        <v>10</v>
      </c>
      <c r="J663" s="31" t="s">
        <v>2046</v>
      </c>
      <c r="K663" s="31"/>
      <c r="L663" s="31">
        <v>0.3</v>
      </c>
      <c r="M663" s="31">
        <v>37</v>
      </c>
      <c r="N663" s="31"/>
      <c r="O663" s="77" t="s">
        <v>780</v>
      </c>
      <c r="P663" s="31"/>
      <c r="Q663" s="34">
        <v>420</v>
      </c>
      <c r="R663" s="31">
        <v>120</v>
      </c>
      <c r="S663" s="31"/>
      <c r="T663" s="31"/>
      <c r="U663" s="31">
        <v>180</v>
      </c>
      <c r="V663" s="31"/>
      <c r="W663" s="31"/>
      <c r="X663" s="37"/>
      <c r="Y663" s="79">
        <v>2.1</v>
      </c>
      <c r="Z663" s="31" t="s">
        <v>49</v>
      </c>
      <c r="AA663" s="37"/>
      <c r="AB663" s="37"/>
    </row>
    <row r="664" spans="1:28" ht="23.1" customHeight="1" x14ac:dyDescent="0.25">
      <c r="A664" s="53" t="s">
        <v>748</v>
      </c>
      <c r="B664" s="31" t="s">
        <v>113</v>
      </c>
      <c r="C664" s="31">
        <v>18</v>
      </c>
      <c r="D664" s="31" t="s">
        <v>205</v>
      </c>
      <c r="E664" s="25" t="s">
        <v>206</v>
      </c>
      <c r="F664" s="21" t="s">
        <v>206</v>
      </c>
      <c r="G664" s="21" t="str">
        <f>VLOOKUP(D664,[6]成飞半成品!$A:$B,2,0)</f>
        <v>卡环</v>
      </c>
      <c r="H664" s="31" t="s">
        <v>123</v>
      </c>
      <c r="I664" s="31">
        <v>65</v>
      </c>
      <c r="J664" s="31" t="s">
        <v>2049</v>
      </c>
      <c r="K664" s="31">
        <v>3</v>
      </c>
      <c r="L664" s="31">
        <v>3</v>
      </c>
      <c r="M664" s="31">
        <v>23</v>
      </c>
      <c r="N664" s="31">
        <v>23</v>
      </c>
      <c r="O664" s="77" t="s">
        <v>507</v>
      </c>
      <c r="P664" s="31"/>
      <c r="Q664" s="34">
        <v>240</v>
      </c>
      <c r="R664" s="31"/>
      <c r="S664" s="31"/>
      <c r="T664" s="31"/>
      <c r="U664" s="31">
        <v>120</v>
      </c>
      <c r="V664" s="31"/>
      <c r="W664" s="31"/>
      <c r="X664" s="37"/>
      <c r="Y664" s="79">
        <v>12</v>
      </c>
      <c r="Z664" s="31" t="s">
        <v>16</v>
      </c>
      <c r="AA664" s="37"/>
      <c r="AB664" s="37"/>
    </row>
    <row r="665" spans="1:28" ht="23.1" customHeight="1" x14ac:dyDescent="0.25">
      <c r="A665" s="53" t="s">
        <v>748</v>
      </c>
      <c r="B665" s="31" t="s">
        <v>113</v>
      </c>
      <c r="C665" s="31">
        <v>17</v>
      </c>
      <c r="D665" s="31" t="s">
        <v>352</v>
      </c>
      <c r="E665" s="25" t="s">
        <v>353</v>
      </c>
      <c r="F665" s="21" t="e">
        <v>#N/A</v>
      </c>
      <c r="G665" s="21" t="e">
        <f>VLOOKUP(D665,[6]成飞半成品!$A:$B,2,0)</f>
        <v>#N/A</v>
      </c>
      <c r="H665" s="31" t="s">
        <v>300</v>
      </c>
      <c r="I665" s="31">
        <v>30</v>
      </c>
      <c r="J665" s="31" t="s">
        <v>2005</v>
      </c>
      <c r="K665" s="31">
        <v>2</v>
      </c>
      <c r="L665" s="31">
        <v>2</v>
      </c>
      <c r="M665" s="31">
        <v>28</v>
      </c>
      <c r="N665" s="31">
        <v>28</v>
      </c>
      <c r="O665" s="77" t="s">
        <v>781</v>
      </c>
      <c r="P665" s="31"/>
      <c r="Q665" s="34">
        <v>480</v>
      </c>
      <c r="R665" s="31"/>
      <c r="S665" s="31"/>
      <c r="T665" s="31"/>
      <c r="U665" s="31">
        <v>120</v>
      </c>
      <c r="V665" s="31"/>
      <c r="W665" s="31"/>
      <c r="X665" s="37"/>
      <c r="Y665" s="79">
        <v>16</v>
      </c>
      <c r="Z665" s="31" t="s">
        <v>16</v>
      </c>
      <c r="AA665" s="37"/>
      <c r="AB665" s="37"/>
    </row>
    <row r="666" spans="1:28" ht="23.1" customHeight="1" x14ac:dyDescent="0.25">
      <c r="A666" s="53" t="s">
        <v>748</v>
      </c>
      <c r="B666" s="31" t="s">
        <v>113</v>
      </c>
      <c r="C666" s="31">
        <v>47</v>
      </c>
      <c r="D666" s="31" t="s">
        <v>332</v>
      </c>
      <c r="E666" s="25" t="s">
        <v>333</v>
      </c>
      <c r="F666" s="21" t="s">
        <v>2548</v>
      </c>
      <c r="G666" s="21" t="str">
        <f>VLOOKUP(D666,[6]成飞半成品!$A:$B,2,0)</f>
        <v>5550上框</v>
      </c>
      <c r="H666" s="31" t="s">
        <v>334</v>
      </c>
      <c r="I666" s="31">
        <v>25</v>
      </c>
      <c r="J666" s="31" t="s">
        <v>2018</v>
      </c>
      <c r="K666" s="31">
        <v>1</v>
      </c>
      <c r="L666" s="31">
        <v>1</v>
      </c>
      <c r="M666" s="31">
        <v>37</v>
      </c>
      <c r="N666" s="31">
        <v>9</v>
      </c>
      <c r="O666" s="77" t="s">
        <v>335</v>
      </c>
      <c r="P666" s="31"/>
      <c r="Q666" s="34">
        <v>630</v>
      </c>
      <c r="R666" s="31">
        <v>90</v>
      </c>
      <c r="S666" s="31"/>
      <c r="T666" s="31">
        <v>1</v>
      </c>
      <c r="U666" s="31">
        <v>120</v>
      </c>
      <c r="V666" s="31"/>
      <c r="W666" s="31"/>
      <c r="X666" s="37"/>
      <c r="Y666" s="79">
        <v>12</v>
      </c>
      <c r="Z666" s="31" t="s">
        <v>22</v>
      </c>
      <c r="AA666" s="37" t="s">
        <v>145</v>
      </c>
      <c r="AB666" s="37"/>
    </row>
    <row r="667" spans="1:28" ht="23.1" customHeight="1" x14ac:dyDescent="0.25">
      <c r="A667" s="53" t="s">
        <v>748</v>
      </c>
      <c r="B667" s="31" t="s">
        <v>113</v>
      </c>
      <c r="C667" s="31">
        <v>23</v>
      </c>
      <c r="D667" s="31" t="s">
        <v>717</v>
      </c>
      <c r="E667" s="25" t="s">
        <v>718</v>
      </c>
      <c r="F667" s="21" t="s">
        <v>718</v>
      </c>
      <c r="G667" s="21" t="str">
        <f>VLOOKUP(D667,[6]成飞半成品!$A:$B,2,0)</f>
        <v>上边肋</v>
      </c>
      <c r="H667" s="31" t="s">
        <v>118</v>
      </c>
      <c r="I667" s="31">
        <v>45</v>
      </c>
      <c r="J667" s="31" t="s">
        <v>2028</v>
      </c>
      <c r="K667" s="31">
        <v>0.5</v>
      </c>
      <c r="L667" s="31">
        <v>0.5</v>
      </c>
      <c r="M667" s="31">
        <v>9</v>
      </c>
      <c r="N667" s="31">
        <v>9</v>
      </c>
      <c r="O667" s="77" t="s">
        <v>782</v>
      </c>
      <c r="P667" s="31"/>
      <c r="Q667" s="34">
        <v>1080</v>
      </c>
      <c r="R667" s="31">
        <v>90</v>
      </c>
      <c r="S667" s="31"/>
      <c r="T667" s="31">
        <v>1</v>
      </c>
      <c r="U667" s="31">
        <v>120</v>
      </c>
      <c r="V667" s="31"/>
      <c r="W667" s="31"/>
      <c r="X667" s="37"/>
      <c r="Y667" s="79">
        <v>10.5</v>
      </c>
      <c r="Z667" s="31" t="s">
        <v>22</v>
      </c>
      <c r="AA667" s="37" t="s">
        <v>145</v>
      </c>
      <c r="AB667" s="37"/>
    </row>
    <row r="668" spans="1:28" ht="23.1" customHeight="1" x14ac:dyDescent="0.25">
      <c r="A668" s="53" t="s">
        <v>748</v>
      </c>
      <c r="B668" s="31" t="s">
        <v>113</v>
      </c>
      <c r="C668" s="31">
        <v>23</v>
      </c>
      <c r="D668" s="31" t="s">
        <v>717</v>
      </c>
      <c r="E668" s="25" t="s">
        <v>718</v>
      </c>
      <c r="F668" s="21" t="s">
        <v>718</v>
      </c>
      <c r="G668" s="21" t="str">
        <f>VLOOKUP(D668,[6]成飞半成品!$A:$B,2,0)</f>
        <v>上边肋</v>
      </c>
      <c r="H668" s="31" t="s">
        <v>118</v>
      </c>
      <c r="I668" s="31">
        <v>48</v>
      </c>
      <c r="J668" s="31"/>
      <c r="K668" s="31">
        <v>1</v>
      </c>
      <c r="L668" s="31">
        <v>1</v>
      </c>
      <c r="M668" s="31">
        <v>9</v>
      </c>
      <c r="N668" s="31"/>
      <c r="O668" s="77" t="s">
        <v>782</v>
      </c>
      <c r="P668" s="31">
        <v>40</v>
      </c>
      <c r="Q668" s="34"/>
      <c r="R668" s="31"/>
      <c r="S668" s="31">
        <v>90</v>
      </c>
      <c r="T668" s="31">
        <v>1</v>
      </c>
      <c r="U668" s="31"/>
      <c r="V668" s="31"/>
      <c r="W668" s="31"/>
      <c r="X668" s="37"/>
      <c r="Y668" s="83">
        <v>2.2000000000000002</v>
      </c>
      <c r="Z668" s="31" t="s">
        <v>22</v>
      </c>
      <c r="AA668" s="37" t="s">
        <v>145</v>
      </c>
      <c r="AB668" s="37"/>
    </row>
    <row r="669" spans="1:28" ht="23.1" customHeight="1" x14ac:dyDescent="0.25">
      <c r="A669" s="53" t="s">
        <v>748</v>
      </c>
      <c r="B669" s="31" t="s">
        <v>113</v>
      </c>
      <c r="C669" s="31">
        <v>12</v>
      </c>
      <c r="D669" s="31" t="s">
        <v>735</v>
      </c>
      <c r="E669" s="25" t="s">
        <v>249</v>
      </c>
      <c r="F669" s="21" t="s">
        <v>249</v>
      </c>
      <c r="G669" s="21" t="str">
        <f>VLOOKUP(D669,[6]成飞半成品!$A:$B,2,0)</f>
        <v>10060下接头</v>
      </c>
      <c r="H669" s="31" t="s">
        <v>250</v>
      </c>
      <c r="I669" s="31">
        <v>10</v>
      </c>
      <c r="J669" s="31" t="s">
        <v>1949</v>
      </c>
      <c r="K669" s="31">
        <v>12</v>
      </c>
      <c r="L669" s="31">
        <v>12</v>
      </c>
      <c r="M669" s="31">
        <v>5</v>
      </c>
      <c r="N669" s="31">
        <v>23</v>
      </c>
      <c r="O669" s="77" t="s">
        <v>736</v>
      </c>
      <c r="P669" s="31"/>
      <c r="Q669" s="34">
        <v>80</v>
      </c>
      <c r="R669" s="31"/>
      <c r="S669" s="31"/>
      <c r="T669" s="31"/>
      <c r="U669" s="31">
        <v>90</v>
      </c>
      <c r="V669" s="31"/>
      <c r="W669" s="31"/>
      <c r="X669" s="37"/>
      <c r="Y669" s="79">
        <v>16</v>
      </c>
      <c r="Z669" s="31" t="s">
        <v>10</v>
      </c>
      <c r="AA669" s="37"/>
      <c r="AB669" s="37"/>
    </row>
    <row r="670" spans="1:28" ht="23.1" customHeight="1" x14ac:dyDescent="0.25">
      <c r="A670" s="53" t="s">
        <v>751</v>
      </c>
      <c r="B670" s="31" t="s">
        <v>783</v>
      </c>
      <c r="C670" s="31">
        <v>23</v>
      </c>
      <c r="D670" s="31" t="s">
        <v>717</v>
      </c>
      <c r="E670" s="25" t="s">
        <v>718</v>
      </c>
      <c r="F670" s="21" t="s">
        <v>718</v>
      </c>
      <c r="G670" s="21" t="str">
        <f>VLOOKUP(D670,[6]成飞半成品!$A:$B,2,0)</f>
        <v>上边肋</v>
      </c>
      <c r="H670" s="31" t="s">
        <v>118</v>
      </c>
      <c r="I670" s="31">
        <v>45</v>
      </c>
      <c r="J670" s="31" t="s">
        <v>2028</v>
      </c>
      <c r="K670" s="31">
        <v>0.5</v>
      </c>
      <c r="L670" s="31">
        <v>0.5</v>
      </c>
      <c r="M670" s="31">
        <v>9</v>
      </c>
      <c r="N670" s="31">
        <v>9</v>
      </c>
      <c r="O670" s="77" t="s">
        <v>782</v>
      </c>
      <c r="P670" s="31"/>
      <c r="Q670" s="34">
        <v>1080</v>
      </c>
      <c r="R670" s="31">
        <v>90</v>
      </c>
      <c r="S670" s="31"/>
      <c r="T670" s="31"/>
      <c r="U670" s="31">
        <v>120</v>
      </c>
      <c r="V670" s="31"/>
      <c r="W670" s="31"/>
      <c r="X670" s="37"/>
      <c r="Y670" s="79">
        <v>9</v>
      </c>
      <c r="Z670" s="31" t="s">
        <v>22</v>
      </c>
      <c r="AA670" s="37"/>
      <c r="AB670" s="37"/>
    </row>
    <row r="671" spans="1:28" ht="23.1" customHeight="1" x14ac:dyDescent="0.25">
      <c r="A671" s="53" t="s">
        <v>751</v>
      </c>
      <c r="B671" s="31" t="s">
        <v>783</v>
      </c>
      <c r="C671" s="31">
        <v>47</v>
      </c>
      <c r="D671" s="31" t="s">
        <v>332</v>
      </c>
      <c r="E671" s="25" t="s">
        <v>333</v>
      </c>
      <c r="F671" s="21" t="s">
        <v>2548</v>
      </c>
      <c r="G671" s="21" t="str">
        <f>VLOOKUP(D671,[6]成飞半成品!$A:$B,2,0)</f>
        <v>5550上框</v>
      </c>
      <c r="H671" s="31" t="s">
        <v>334</v>
      </c>
      <c r="I671" s="31">
        <v>25</v>
      </c>
      <c r="J671" s="31" t="s">
        <v>2018</v>
      </c>
      <c r="K671" s="31">
        <v>0.4</v>
      </c>
      <c r="L671" s="31">
        <v>0.4</v>
      </c>
      <c r="M671" s="31">
        <v>9</v>
      </c>
      <c r="N671" s="31">
        <v>9</v>
      </c>
      <c r="O671" s="77" t="s">
        <v>519</v>
      </c>
      <c r="P671" s="31"/>
      <c r="Q671" s="34">
        <v>630</v>
      </c>
      <c r="R671" s="31">
        <v>90</v>
      </c>
      <c r="S671" s="31"/>
      <c r="T671" s="31"/>
      <c r="U671" s="31">
        <v>120</v>
      </c>
      <c r="V671" s="31"/>
      <c r="W671" s="31"/>
      <c r="X671" s="37"/>
      <c r="Y671" s="79">
        <v>4.2</v>
      </c>
      <c r="Z671" s="31" t="s">
        <v>22</v>
      </c>
      <c r="AA671" s="37"/>
      <c r="AB671" s="37"/>
    </row>
    <row r="672" spans="1:28" ht="23.1" customHeight="1" x14ac:dyDescent="0.25">
      <c r="A672" s="53" t="s">
        <v>751</v>
      </c>
      <c r="B672" s="31" t="s">
        <v>110</v>
      </c>
      <c r="C672" s="31">
        <v>79</v>
      </c>
      <c r="D672" s="31" t="s">
        <v>420</v>
      </c>
      <c r="E672" s="25" t="s">
        <v>153</v>
      </c>
      <c r="F672" s="21" t="s">
        <v>1247</v>
      </c>
      <c r="G672" s="21" t="str">
        <f>VLOOKUP(D672,[6]成飞半成品!$A:$B,2,0)</f>
        <v>根肋前段</v>
      </c>
      <c r="H672" s="31" t="s">
        <v>154</v>
      </c>
      <c r="I672" s="31">
        <v>25</v>
      </c>
      <c r="J672" s="31" t="s">
        <v>2017</v>
      </c>
      <c r="K672" s="31">
        <v>0.8</v>
      </c>
      <c r="L672" s="31">
        <v>0.8</v>
      </c>
      <c r="M672" s="31"/>
      <c r="N672" s="31">
        <v>26</v>
      </c>
      <c r="O672" s="77" t="s">
        <v>784</v>
      </c>
      <c r="P672" s="31"/>
      <c r="Q672" s="34">
        <v>1260</v>
      </c>
      <c r="R672" s="31">
        <v>90</v>
      </c>
      <c r="S672" s="31"/>
      <c r="T672" s="31">
        <v>1</v>
      </c>
      <c r="U672" s="31">
        <v>120</v>
      </c>
      <c r="V672" s="31"/>
      <c r="W672" s="31"/>
      <c r="X672" s="37"/>
      <c r="Y672" s="79">
        <v>18.3</v>
      </c>
      <c r="Z672" s="31" t="s">
        <v>19</v>
      </c>
      <c r="AA672" s="31" t="s">
        <v>145</v>
      </c>
      <c r="AB672" s="37"/>
    </row>
    <row r="673" spans="1:28" ht="23.1" customHeight="1" x14ac:dyDescent="0.25">
      <c r="A673" s="53" t="s">
        <v>751</v>
      </c>
      <c r="B673" s="31" t="s">
        <v>110</v>
      </c>
      <c r="C673" s="31">
        <v>78</v>
      </c>
      <c r="D673" s="31" t="s">
        <v>177</v>
      </c>
      <c r="E673" s="25" t="s">
        <v>133</v>
      </c>
      <c r="F673" s="21" t="s">
        <v>133</v>
      </c>
      <c r="G673" s="21" t="str">
        <f>VLOOKUP(D673,[6]成飞半成品!$A:$B,2,0)</f>
        <v>摇臂</v>
      </c>
      <c r="H673" s="31" t="s">
        <v>102</v>
      </c>
      <c r="I673" s="31">
        <v>15</v>
      </c>
      <c r="J673" s="31" t="s">
        <v>1977</v>
      </c>
      <c r="K673" s="31">
        <v>1</v>
      </c>
      <c r="L673" s="31">
        <v>1</v>
      </c>
      <c r="M673" s="31">
        <v>9</v>
      </c>
      <c r="N673" s="31">
        <v>9</v>
      </c>
      <c r="O673" s="77" t="s">
        <v>234</v>
      </c>
      <c r="P673" s="31"/>
      <c r="Q673" s="34">
        <v>690</v>
      </c>
      <c r="R673" s="31">
        <v>60</v>
      </c>
      <c r="S673" s="31"/>
      <c r="T673" s="31">
        <v>1</v>
      </c>
      <c r="U673" s="31">
        <v>120</v>
      </c>
      <c r="V673" s="31"/>
      <c r="W673" s="31"/>
      <c r="X673" s="37"/>
      <c r="Y673" s="79">
        <v>12.5</v>
      </c>
      <c r="Z673" s="31" t="s">
        <v>19</v>
      </c>
      <c r="AA673" s="31" t="s">
        <v>145</v>
      </c>
      <c r="AB673" s="37"/>
    </row>
    <row r="674" spans="1:28" ht="23.1" customHeight="1" x14ac:dyDescent="0.25">
      <c r="A674" s="53" t="s">
        <v>751</v>
      </c>
      <c r="B674" s="31" t="s">
        <v>110</v>
      </c>
      <c r="C674" s="31">
        <v>78</v>
      </c>
      <c r="D674" s="31" t="s">
        <v>235</v>
      </c>
      <c r="E674" s="25" t="s">
        <v>236</v>
      </c>
      <c r="F674" s="21" t="s">
        <v>236</v>
      </c>
      <c r="G674" s="21" t="str">
        <f>VLOOKUP(D674,[6]成飞半成品!$A:$B,2,0)</f>
        <v>右外侧接头</v>
      </c>
      <c r="H674" s="31" t="s">
        <v>154</v>
      </c>
      <c r="I674" s="31">
        <v>80</v>
      </c>
      <c r="J674" s="31" t="s">
        <v>1964</v>
      </c>
      <c r="K674" s="31">
        <v>1</v>
      </c>
      <c r="L674" s="31">
        <v>1</v>
      </c>
      <c r="M674" s="31"/>
      <c r="N674" s="31">
        <v>26</v>
      </c>
      <c r="O674" s="77" t="s">
        <v>159</v>
      </c>
      <c r="P674" s="31"/>
      <c r="Q674" s="34">
        <v>360</v>
      </c>
      <c r="R674" s="31"/>
      <c r="S674" s="31"/>
      <c r="T674" s="31"/>
      <c r="U674" s="31">
        <v>120</v>
      </c>
      <c r="V674" s="31"/>
      <c r="W674" s="31"/>
      <c r="X674" s="37">
        <v>4</v>
      </c>
      <c r="Y674" s="79">
        <v>10</v>
      </c>
      <c r="Z674" s="31" t="s">
        <v>19</v>
      </c>
      <c r="AA674" s="37" t="s">
        <v>785</v>
      </c>
      <c r="AB674" s="25" t="s">
        <v>238</v>
      </c>
    </row>
    <row r="675" spans="1:28" ht="23.1" customHeight="1" x14ac:dyDescent="0.25">
      <c r="A675" s="53" t="s">
        <v>751</v>
      </c>
      <c r="B675" s="31" t="s">
        <v>110</v>
      </c>
      <c r="C675" s="31">
        <v>18</v>
      </c>
      <c r="D675" s="31" t="s">
        <v>205</v>
      </c>
      <c r="E675" s="25" t="s">
        <v>206</v>
      </c>
      <c r="F675" s="21" t="s">
        <v>206</v>
      </c>
      <c r="G675" s="21" t="str">
        <f>VLOOKUP(D675,[6]成飞半成品!$A:$B,2,0)</f>
        <v>卡环</v>
      </c>
      <c r="H675" s="31" t="s">
        <v>123</v>
      </c>
      <c r="I675" s="31">
        <v>70</v>
      </c>
      <c r="J675" s="31" t="s">
        <v>2050</v>
      </c>
      <c r="K675" s="31">
        <v>1</v>
      </c>
      <c r="L675" s="31">
        <v>1</v>
      </c>
      <c r="M675" s="31"/>
      <c r="N675" s="31">
        <v>26</v>
      </c>
      <c r="O675" s="77" t="s">
        <v>306</v>
      </c>
      <c r="P675" s="31"/>
      <c r="Q675" s="34">
        <v>480</v>
      </c>
      <c r="R675" s="31"/>
      <c r="S675" s="31"/>
      <c r="T675" s="31"/>
      <c r="U675" s="31">
        <v>120</v>
      </c>
      <c r="V675" s="31"/>
      <c r="W675" s="31"/>
      <c r="X675" s="37"/>
      <c r="Y675" s="79">
        <v>8</v>
      </c>
      <c r="Z675" s="31" t="s">
        <v>16</v>
      </c>
      <c r="AA675" s="37"/>
      <c r="AB675" s="37"/>
    </row>
    <row r="676" spans="1:28" ht="23.1" customHeight="1" x14ac:dyDescent="0.25">
      <c r="A676" s="53" t="s">
        <v>751</v>
      </c>
      <c r="B676" s="31" t="s">
        <v>110</v>
      </c>
      <c r="C676" s="31">
        <v>24</v>
      </c>
      <c r="D676" s="31" t="s">
        <v>776</v>
      </c>
      <c r="E676" s="25" t="s">
        <v>777</v>
      </c>
      <c r="F676" s="21" t="s">
        <v>777</v>
      </c>
      <c r="G676" s="21" t="str">
        <f>VLOOKUP(D676,[6]成飞半成品!$A:$B,2,0)</f>
        <v>BL280侧壁（左件）</v>
      </c>
      <c r="H676" s="31" t="s">
        <v>107</v>
      </c>
      <c r="I676" s="31">
        <v>25</v>
      </c>
      <c r="J676" s="31" t="s">
        <v>2035</v>
      </c>
      <c r="K676" s="31">
        <v>1</v>
      </c>
      <c r="L676" s="31">
        <v>1.2</v>
      </c>
      <c r="M676" s="31">
        <v>9</v>
      </c>
      <c r="N676" s="31">
        <v>26</v>
      </c>
      <c r="O676" s="77" t="s">
        <v>786</v>
      </c>
      <c r="P676" s="31"/>
      <c r="Q676" s="34">
        <v>840</v>
      </c>
      <c r="R676" s="31">
        <v>120</v>
      </c>
      <c r="S676" s="31"/>
      <c r="T676" s="31">
        <v>1</v>
      </c>
      <c r="U676" s="31">
        <v>150</v>
      </c>
      <c r="V676" s="31"/>
      <c r="W676" s="31"/>
      <c r="X676" s="37"/>
      <c r="Y676" s="79">
        <v>18.8</v>
      </c>
      <c r="Z676" s="31" t="s">
        <v>70</v>
      </c>
      <c r="AA676" s="37" t="s">
        <v>145</v>
      </c>
      <c r="AB676" s="37"/>
    </row>
    <row r="677" spans="1:28" ht="23.1" customHeight="1" x14ac:dyDescent="0.25">
      <c r="A677" s="53" t="s">
        <v>751</v>
      </c>
      <c r="B677" s="31" t="s">
        <v>110</v>
      </c>
      <c r="C677" s="31">
        <v>69</v>
      </c>
      <c r="D677" s="31" t="s">
        <v>787</v>
      </c>
      <c r="E677" s="25" t="s">
        <v>788</v>
      </c>
      <c r="F677" s="21" t="s">
        <v>788</v>
      </c>
      <c r="G677" s="21" t="str">
        <f>VLOOKUP(D677,[6]成飞半成品!$A:$B,2,0)</f>
        <v>根肋二段</v>
      </c>
      <c r="H677" s="31" t="s">
        <v>123</v>
      </c>
      <c r="I677" s="31">
        <v>50</v>
      </c>
      <c r="J677" s="31" t="s">
        <v>2051</v>
      </c>
      <c r="K677" s="31"/>
      <c r="L677" s="31">
        <v>4</v>
      </c>
      <c r="M677" s="31"/>
      <c r="N677" s="31"/>
      <c r="O677" s="77" t="s">
        <v>292</v>
      </c>
      <c r="P677" s="31"/>
      <c r="Q677" s="34">
        <v>120</v>
      </c>
      <c r="R677" s="31">
        <v>60</v>
      </c>
      <c r="S677" s="31"/>
      <c r="T677" s="31"/>
      <c r="U677" s="31">
        <v>90</v>
      </c>
      <c r="V677" s="31"/>
      <c r="W677" s="31"/>
      <c r="X677" s="37">
        <v>4</v>
      </c>
      <c r="Y677" s="79">
        <v>12</v>
      </c>
      <c r="Z677" s="31" t="s">
        <v>70</v>
      </c>
      <c r="AA677" s="37" t="s">
        <v>789</v>
      </c>
      <c r="AB677" s="37"/>
    </row>
    <row r="678" spans="1:28" ht="23.1" customHeight="1" x14ac:dyDescent="0.25">
      <c r="A678" s="53" t="s">
        <v>751</v>
      </c>
      <c r="B678" s="31" t="s">
        <v>110</v>
      </c>
      <c r="C678" s="31">
        <v>69</v>
      </c>
      <c r="D678" s="31" t="s">
        <v>742</v>
      </c>
      <c r="E678" s="25" t="s">
        <v>663</v>
      </c>
      <c r="F678" s="21" t="s">
        <v>663</v>
      </c>
      <c r="G678" s="21" t="str">
        <f>VLOOKUP(D678,[6]成飞半成品!$A:$B,2,0)</f>
        <v>前端框</v>
      </c>
      <c r="H678" s="31" t="s">
        <v>250</v>
      </c>
      <c r="I678" s="31">
        <v>55</v>
      </c>
      <c r="J678" s="31" t="s">
        <v>2010</v>
      </c>
      <c r="K678" s="31">
        <v>1</v>
      </c>
      <c r="L678" s="31">
        <v>1</v>
      </c>
      <c r="M678" s="31">
        <v>9</v>
      </c>
      <c r="N678" s="31">
        <v>9</v>
      </c>
      <c r="O678" s="77" t="s">
        <v>429</v>
      </c>
      <c r="P678" s="31"/>
      <c r="Q678" s="34">
        <v>450</v>
      </c>
      <c r="R678" s="31">
        <v>90</v>
      </c>
      <c r="S678" s="31"/>
      <c r="T678" s="31">
        <v>1</v>
      </c>
      <c r="U678" s="31">
        <v>180</v>
      </c>
      <c r="V678" s="31"/>
      <c r="W678" s="31"/>
      <c r="X678" s="37">
        <v>3</v>
      </c>
      <c r="Y678" s="79">
        <v>12</v>
      </c>
      <c r="Z678" s="31" t="s">
        <v>70</v>
      </c>
      <c r="AA678" s="37" t="s">
        <v>303</v>
      </c>
      <c r="AB678" s="37"/>
    </row>
    <row r="679" spans="1:28" ht="23.1" customHeight="1" x14ac:dyDescent="0.25">
      <c r="A679" s="53" t="s">
        <v>751</v>
      </c>
      <c r="B679" s="31" t="s">
        <v>110</v>
      </c>
      <c r="C679" s="31">
        <v>91</v>
      </c>
      <c r="D679" s="31" t="s">
        <v>790</v>
      </c>
      <c r="E679" s="25" t="s">
        <v>791</v>
      </c>
      <c r="F679" s="21" t="e">
        <v>#N/A</v>
      </c>
      <c r="G679" s="21" t="e">
        <f>VLOOKUP(D679,[6]成飞半成品!$A:$B,2,0)</f>
        <v>#N/A</v>
      </c>
      <c r="H679" s="31" t="s">
        <v>108</v>
      </c>
      <c r="I679" s="31">
        <v>55</v>
      </c>
      <c r="J679" s="31"/>
      <c r="K679" s="31">
        <v>1</v>
      </c>
      <c r="L679" s="31"/>
      <c r="M679" s="31"/>
      <c r="N679" s="31">
        <v>9</v>
      </c>
      <c r="O679" s="77" t="s">
        <v>108</v>
      </c>
      <c r="P679" s="31"/>
      <c r="Q679" s="34"/>
      <c r="R679" s="31"/>
      <c r="S679" s="31"/>
      <c r="T679" s="31"/>
      <c r="U679" s="31"/>
      <c r="V679" s="31"/>
      <c r="W679" s="31"/>
      <c r="X679" s="37">
        <v>10.4</v>
      </c>
      <c r="Y679" s="79">
        <v>10.4</v>
      </c>
      <c r="Z679" s="31" t="s">
        <v>70</v>
      </c>
      <c r="AA679" s="31" t="s">
        <v>792</v>
      </c>
      <c r="AB679" s="37"/>
    </row>
    <row r="680" spans="1:28" ht="23.1" customHeight="1" x14ac:dyDescent="0.25">
      <c r="A680" s="53" t="s">
        <v>751</v>
      </c>
      <c r="B680" s="31" t="s">
        <v>110</v>
      </c>
      <c r="C680" s="31">
        <v>121</v>
      </c>
      <c r="D680" s="85" t="s">
        <v>2551</v>
      </c>
      <c r="E680" s="25" t="s">
        <v>120</v>
      </c>
      <c r="F680" s="21" t="e">
        <v>#N/A</v>
      </c>
      <c r="G680" s="21" t="str">
        <f>VLOOKUP(D680,[6]成飞半成品!$A:$B,2,0)</f>
        <v>工装</v>
      </c>
      <c r="H680" s="31" t="s">
        <v>108</v>
      </c>
      <c r="I680" s="31"/>
      <c r="J680" s="31"/>
      <c r="K680" s="31"/>
      <c r="L680" s="31">
        <v>1</v>
      </c>
      <c r="M680" s="31"/>
      <c r="N680" s="31">
        <v>9</v>
      </c>
      <c r="O680" s="77" t="s">
        <v>108</v>
      </c>
      <c r="P680" s="31"/>
      <c r="Q680" s="34"/>
      <c r="R680" s="31"/>
      <c r="S680" s="31"/>
      <c r="T680" s="31"/>
      <c r="U680" s="31"/>
      <c r="V680" s="31"/>
      <c r="W680" s="31"/>
      <c r="X680" s="37">
        <v>8</v>
      </c>
      <c r="Y680" s="79">
        <v>8</v>
      </c>
      <c r="Z680" s="31" t="s">
        <v>70</v>
      </c>
      <c r="AA680" s="37"/>
      <c r="AB680" s="37"/>
    </row>
    <row r="681" spans="1:28" ht="23.1" customHeight="1" x14ac:dyDescent="0.25">
      <c r="A681" s="53" t="s">
        <v>751</v>
      </c>
      <c r="B681" s="31" t="s">
        <v>110</v>
      </c>
      <c r="C681" s="31">
        <v>84</v>
      </c>
      <c r="D681" s="31" t="s">
        <v>594</v>
      </c>
      <c r="E681" s="25" t="s">
        <v>595</v>
      </c>
      <c r="F681" s="21" t="s">
        <v>595</v>
      </c>
      <c r="G681" s="21" t="str">
        <f>VLOOKUP(D681,[6]成飞半成品!$A:$B,2,0)</f>
        <v>加强件</v>
      </c>
      <c r="H681" s="31" t="s">
        <v>102</v>
      </c>
      <c r="I681" s="31">
        <v>25</v>
      </c>
      <c r="J681" s="31" t="s">
        <v>2052</v>
      </c>
      <c r="K681" s="31">
        <v>1</v>
      </c>
      <c r="L681" s="31">
        <v>1</v>
      </c>
      <c r="M681" s="31">
        <v>9</v>
      </c>
      <c r="N681" s="31"/>
      <c r="O681" s="77" t="s">
        <v>596</v>
      </c>
      <c r="P681" s="31"/>
      <c r="Q681" s="34">
        <v>120</v>
      </c>
      <c r="R681" s="31">
        <v>60</v>
      </c>
      <c r="S681" s="31"/>
      <c r="T681" s="31">
        <v>1</v>
      </c>
      <c r="U681" s="31">
        <v>120</v>
      </c>
      <c r="V681" s="31"/>
      <c r="W681" s="31">
        <v>1</v>
      </c>
      <c r="X681" s="37">
        <v>5</v>
      </c>
      <c r="Y681" s="79">
        <v>10</v>
      </c>
      <c r="Z681" s="31" t="s">
        <v>70</v>
      </c>
      <c r="AA681" s="37" t="s">
        <v>794</v>
      </c>
      <c r="AB681" s="37"/>
    </row>
    <row r="682" spans="1:28" ht="23.1" customHeight="1" x14ac:dyDescent="0.25">
      <c r="A682" s="53" t="s">
        <v>751</v>
      </c>
      <c r="B682" s="31" t="s">
        <v>110</v>
      </c>
      <c r="C682" s="31">
        <v>119</v>
      </c>
      <c r="D682" s="31" t="s">
        <v>288</v>
      </c>
      <c r="E682" s="25" t="s">
        <v>255</v>
      </c>
      <c r="F682" s="21" t="s">
        <v>1532</v>
      </c>
      <c r="G682" s="21" t="str">
        <f>VLOOKUP(D682,[6]成飞半成品!$A:$B,2,0)</f>
        <v>9350-11140左侧上梁</v>
      </c>
      <c r="H682" s="31" t="s">
        <v>250</v>
      </c>
      <c r="I682" s="31">
        <v>50</v>
      </c>
      <c r="J682" s="31" t="s">
        <v>2021</v>
      </c>
      <c r="K682" s="31">
        <v>0.3</v>
      </c>
      <c r="L682" s="31">
        <v>0.2</v>
      </c>
      <c r="M682" s="31"/>
      <c r="N682" s="31">
        <v>28</v>
      </c>
      <c r="O682" s="77" t="s">
        <v>475</v>
      </c>
      <c r="P682" s="31"/>
      <c r="Q682" s="34">
        <v>3000</v>
      </c>
      <c r="R682" s="31">
        <v>90</v>
      </c>
      <c r="S682" s="31"/>
      <c r="T682" s="31">
        <v>1</v>
      </c>
      <c r="U682" s="31">
        <v>150</v>
      </c>
      <c r="V682" s="31"/>
      <c r="W682" s="31"/>
      <c r="X682" s="37">
        <v>4</v>
      </c>
      <c r="Y682" s="79">
        <v>15.5</v>
      </c>
      <c r="Z682" s="31" t="s">
        <v>70</v>
      </c>
      <c r="AA682" s="37" t="s">
        <v>795</v>
      </c>
      <c r="AB682" s="37"/>
    </row>
    <row r="683" spans="1:28" ht="23.1" customHeight="1" x14ac:dyDescent="0.25">
      <c r="A683" s="53" t="s">
        <v>796</v>
      </c>
      <c r="B683" s="31" t="s">
        <v>99</v>
      </c>
      <c r="C683" s="31">
        <v>55</v>
      </c>
      <c r="D683" s="31" t="s">
        <v>749</v>
      </c>
      <c r="E683" s="25" t="s">
        <v>139</v>
      </c>
      <c r="F683" s="21" t="s">
        <v>139</v>
      </c>
      <c r="G683" s="21" t="str">
        <f>VLOOKUP(D683,[6]成飞半成品!$A:$B,2,0)</f>
        <v>支座</v>
      </c>
      <c r="H683" s="31" t="s">
        <v>108</v>
      </c>
      <c r="I683" s="31">
        <v>10</v>
      </c>
      <c r="J683" s="37"/>
      <c r="K683" s="31"/>
      <c r="L683" s="31"/>
      <c r="M683" s="31"/>
      <c r="N683" s="31">
        <v>26</v>
      </c>
      <c r="O683" s="77" t="s">
        <v>108</v>
      </c>
      <c r="P683" s="34"/>
      <c r="Q683" s="31"/>
      <c r="R683" s="31"/>
      <c r="S683" s="31"/>
      <c r="T683" s="31"/>
      <c r="U683" s="31"/>
      <c r="V683" s="31"/>
      <c r="W683" s="37"/>
      <c r="X683" s="37">
        <v>2</v>
      </c>
      <c r="Y683" s="79">
        <v>2</v>
      </c>
      <c r="Z683" s="31" t="s">
        <v>18</v>
      </c>
      <c r="AA683" s="37" t="s">
        <v>798</v>
      </c>
      <c r="AB683" s="25" t="s">
        <v>238</v>
      </c>
    </row>
    <row r="684" spans="1:28" ht="23.1" customHeight="1" x14ac:dyDescent="0.25">
      <c r="A684" s="53" t="s">
        <v>796</v>
      </c>
      <c r="B684" s="31" t="s">
        <v>110</v>
      </c>
      <c r="C684" s="31">
        <v>22</v>
      </c>
      <c r="D684" s="31" t="s">
        <v>635</v>
      </c>
      <c r="E684" s="25" t="s">
        <v>612</v>
      </c>
      <c r="F684" s="21" t="s">
        <v>612</v>
      </c>
      <c r="G684" s="21" t="str">
        <f>VLOOKUP(D684,[6]成飞半成品!$A:$B,2,0)</f>
        <v>前梁二段</v>
      </c>
      <c r="H684" s="31" t="s">
        <v>102</v>
      </c>
      <c r="I684" s="31">
        <v>45</v>
      </c>
      <c r="J684" s="31" t="s">
        <v>2015</v>
      </c>
      <c r="K684" s="31">
        <v>0.3</v>
      </c>
      <c r="L684" s="31">
        <v>0.3</v>
      </c>
      <c r="M684" s="31"/>
      <c r="N684" s="31">
        <v>5</v>
      </c>
      <c r="O684" s="77" t="s">
        <v>613</v>
      </c>
      <c r="P684" s="31"/>
      <c r="Q684" s="34">
        <v>6000</v>
      </c>
      <c r="R684" s="31">
        <v>180</v>
      </c>
      <c r="S684" s="31"/>
      <c r="T684" s="31">
        <v>1</v>
      </c>
      <c r="U684" s="31">
        <v>180</v>
      </c>
      <c r="V684" s="31"/>
      <c r="W684" s="31">
        <v>1</v>
      </c>
      <c r="X684" s="37"/>
      <c r="Y684" s="79">
        <v>36</v>
      </c>
      <c r="Z684" s="31" t="s">
        <v>49</v>
      </c>
      <c r="AA684" s="37" t="s">
        <v>799</v>
      </c>
      <c r="AB684" s="37"/>
    </row>
    <row r="685" spans="1:28" ht="23.1" customHeight="1" x14ac:dyDescent="0.25">
      <c r="A685" s="53" t="s">
        <v>796</v>
      </c>
      <c r="B685" s="31" t="s">
        <v>110</v>
      </c>
      <c r="C685" s="31">
        <v>79</v>
      </c>
      <c r="D685" s="31" t="s">
        <v>420</v>
      </c>
      <c r="E685" s="25" t="s">
        <v>153</v>
      </c>
      <c r="F685" s="21" t="s">
        <v>1247</v>
      </c>
      <c r="G685" s="21" t="str">
        <f>VLOOKUP(D685,[6]成飞半成品!$A:$B,2,0)</f>
        <v>根肋前段</v>
      </c>
      <c r="H685" s="31" t="s">
        <v>154</v>
      </c>
      <c r="I685" s="31">
        <v>25</v>
      </c>
      <c r="J685" s="31" t="s">
        <v>2017</v>
      </c>
      <c r="K685" s="31">
        <v>0.7</v>
      </c>
      <c r="L685" s="31">
        <v>0.2</v>
      </c>
      <c r="M685" s="31"/>
      <c r="N685" s="31">
        <v>26</v>
      </c>
      <c r="O685" s="77" t="s">
        <v>784</v>
      </c>
      <c r="P685" s="31"/>
      <c r="Q685" s="34">
        <v>1260</v>
      </c>
      <c r="R685" s="31">
        <v>90</v>
      </c>
      <c r="S685" s="31"/>
      <c r="T685" s="31"/>
      <c r="U685" s="31">
        <v>120</v>
      </c>
      <c r="V685" s="31"/>
      <c r="W685" s="31"/>
      <c r="X685" s="37"/>
      <c r="Y685" s="79">
        <v>4.2</v>
      </c>
      <c r="Z685" s="31" t="s">
        <v>5</v>
      </c>
      <c r="AA685" s="37"/>
      <c r="AB685" s="37"/>
    </row>
    <row r="686" spans="1:28" ht="23.1" customHeight="1" x14ac:dyDescent="0.25">
      <c r="A686" s="53" t="s">
        <v>796</v>
      </c>
      <c r="B686" s="31" t="s">
        <v>110</v>
      </c>
      <c r="C686" s="31">
        <v>79</v>
      </c>
      <c r="D686" s="31" t="s">
        <v>420</v>
      </c>
      <c r="E686" s="25" t="s">
        <v>153</v>
      </c>
      <c r="F686" s="21" t="s">
        <v>1247</v>
      </c>
      <c r="G686" s="21" t="str">
        <f>VLOOKUP(D686,[6]成飞半成品!$A:$B,2,0)</f>
        <v>根肋前段</v>
      </c>
      <c r="H686" s="31" t="s">
        <v>154</v>
      </c>
      <c r="I686" s="31">
        <v>30</v>
      </c>
      <c r="J686" s="31" t="s">
        <v>2053</v>
      </c>
      <c r="K686" s="31"/>
      <c r="L686" s="31">
        <v>0.3</v>
      </c>
      <c r="M686" s="31"/>
      <c r="N686" s="31">
        <v>26</v>
      </c>
      <c r="O686" s="77" t="s">
        <v>784</v>
      </c>
      <c r="P686" s="31"/>
      <c r="Q686" s="34">
        <v>1830</v>
      </c>
      <c r="R686" s="31">
        <v>90</v>
      </c>
      <c r="S686" s="31"/>
      <c r="T686" s="31">
        <v>1</v>
      </c>
      <c r="U686" s="31">
        <v>120</v>
      </c>
      <c r="V686" s="31"/>
      <c r="W686" s="31">
        <v>1</v>
      </c>
      <c r="X686" s="37"/>
      <c r="Y686" s="79">
        <v>12.7</v>
      </c>
      <c r="Z686" s="31" t="s">
        <v>5</v>
      </c>
      <c r="AA686" s="37" t="s">
        <v>800</v>
      </c>
      <c r="AB686" s="25" t="s">
        <v>238</v>
      </c>
    </row>
    <row r="687" spans="1:28" ht="23.1" customHeight="1" x14ac:dyDescent="0.25">
      <c r="A687" s="53" t="s">
        <v>796</v>
      </c>
      <c r="B687" s="31" t="s">
        <v>110</v>
      </c>
      <c r="C687" s="31">
        <v>11</v>
      </c>
      <c r="D687" s="31" t="s">
        <v>2563</v>
      </c>
      <c r="E687" s="25" t="s">
        <v>691</v>
      </c>
      <c r="F687" s="21" t="s">
        <v>691</v>
      </c>
      <c r="G687" s="21" t="str">
        <f>VLOOKUP(D687,[6]成飞半成品!$A:$B,2,0)</f>
        <v>地板支撑件</v>
      </c>
      <c r="H687" s="31" t="s">
        <v>123</v>
      </c>
      <c r="I687" s="31">
        <v>15</v>
      </c>
      <c r="J687" s="31" t="s">
        <v>2033</v>
      </c>
      <c r="K687" s="31">
        <v>2</v>
      </c>
      <c r="L687" s="31">
        <v>2</v>
      </c>
      <c r="M687" s="31">
        <v>9</v>
      </c>
      <c r="N687" s="31"/>
      <c r="O687" s="77" t="s">
        <v>801</v>
      </c>
      <c r="P687" s="31"/>
      <c r="Q687" s="34">
        <v>190</v>
      </c>
      <c r="R687" s="31"/>
      <c r="S687" s="31"/>
      <c r="T687" s="31"/>
      <c r="U687" s="31">
        <v>60</v>
      </c>
      <c r="V687" s="31"/>
      <c r="W687" s="31"/>
      <c r="X687" s="37"/>
      <c r="Y687" s="79">
        <v>6.3</v>
      </c>
      <c r="Z687" s="31" t="s">
        <v>60</v>
      </c>
      <c r="AA687" s="37"/>
      <c r="AB687" s="37"/>
    </row>
    <row r="688" spans="1:28" ht="23.1" customHeight="1" x14ac:dyDescent="0.25">
      <c r="A688" s="53" t="s">
        <v>796</v>
      </c>
      <c r="B688" s="31" t="s">
        <v>110</v>
      </c>
      <c r="C688" s="31">
        <v>11</v>
      </c>
      <c r="D688" s="31" t="s">
        <v>2563</v>
      </c>
      <c r="E688" s="25" t="s">
        <v>691</v>
      </c>
      <c r="F688" s="21" t="s">
        <v>691</v>
      </c>
      <c r="G688" s="21" t="str">
        <f>VLOOKUP(D688,[6]成飞半成品!$A:$B,2,0)</f>
        <v>地板支撑件</v>
      </c>
      <c r="H688" s="31" t="s">
        <v>123</v>
      </c>
      <c r="I688" s="31">
        <v>25</v>
      </c>
      <c r="J688" s="31" t="s">
        <v>2054</v>
      </c>
      <c r="K688" s="31">
        <v>2</v>
      </c>
      <c r="L688" s="31">
        <v>0.5</v>
      </c>
      <c r="M688" s="31"/>
      <c r="N688" s="31">
        <v>26</v>
      </c>
      <c r="O688" s="77" t="s">
        <v>801</v>
      </c>
      <c r="P688" s="31"/>
      <c r="Q688" s="34">
        <v>180</v>
      </c>
      <c r="R688" s="31"/>
      <c r="S688" s="31"/>
      <c r="T688" s="31"/>
      <c r="U688" s="31">
        <v>60</v>
      </c>
      <c r="V688" s="31"/>
      <c r="W688" s="31"/>
      <c r="X688" s="37"/>
      <c r="Y688" s="79">
        <v>1.5</v>
      </c>
      <c r="Z688" s="31" t="s">
        <v>60</v>
      </c>
      <c r="AA688" s="37" t="s">
        <v>92</v>
      </c>
      <c r="AB688" s="37"/>
    </row>
    <row r="689" spans="1:28" ht="23.1" customHeight="1" x14ac:dyDescent="0.25">
      <c r="A689" s="53" t="s">
        <v>796</v>
      </c>
      <c r="B689" s="31" t="s">
        <v>110</v>
      </c>
      <c r="C689" s="31">
        <v>57</v>
      </c>
      <c r="D689" s="31" t="s">
        <v>698</v>
      </c>
      <c r="E689" s="25" t="s">
        <v>699</v>
      </c>
      <c r="F689" s="21" t="e">
        <v>#N/A</v>
      </c>
      <c r="G689" s="21" t="e">
        <f>VLOOKUP(D689,[6]成飞半成品!$A:$B,2,0)</f>
        <v>#N/A</v>
      </c>
      <c r="H689" s="31" t="s">
        <v>123</v>
      </c>
      <c r="I689" s="31">
        <v>15</v>
      </c>
      <c r="J689" s="31" t="s">
        <v>2042</v>
      </c>
      <c r="K689" s="31">
        <v>4</v>
      </c>
      <c r="L689" s="31">
        <v>5.5</v>
      </c>
      <c r="M689" s="31">
        <v>26</v>
      </c>
      <c r="N689" s="31">
        <v>23</v>
      </c>
      <c r="O689" s="77" t="s">
        <v>439</v>
      </c>
      <c r="P689" s="31"/>
      <c r="Q689" s="34">
        <v>130</v>
      </c>
      <c r="R689" s="31"/>
      <c r="S689" s="31"/>
      <c r="T689" s="31"/>
      <c r="U689" s="31">
        <v>60</v>
      </c>
      <c r="V689" s="31"/>
      <c r="W689" s="31"/>
      <c r="X689" s="37"/>
      <c r="Y689" s="79">
        <v>11.9</v>
      </c>
      <c r="Z689" s="31" t="s">
        <v>0</v>
      </c>
      <c r="AA689" s="37"/>
      <c r="AB689" s="37"/>
    </row>
    <row r="690" spans="1:28" ht="23.1" customHeight="1" x14ac:dyDescent="0.25">
      <c r="A690" s="53" t="s">
        <v>751</v>
      </c>
      <c r="B690" s="31" t="s">
        <v>99</v>
      </c>
      <c r="C690" s="31">
        <v>59</v>
      </c>
      <c r="D690" s="31" t="s">
        <v>616</v>
      </c>
      <c r="E690" s="25" t="s">
        <v>617</v>
      </c>
      <c r="F690" s="21" t="s">
        <v>617</v>
      </c>
      <c r="G690" s="21" t="str">
        <f>VLOOKUP(D690,[6]成飞半成品!$A:$B,2,0)</f>
        <v>立柱加强接头</v>
      </c>
      <c r="H690" s="31" t="s">
        <v>102</v>
      </c>
      <c r="I690" s="31">
        <v>25</v>
      </c>
      <c r="J690" s="31" t="s">
        <v>2022</v>
      </c>
      <c r="K690" s="31"/>
      <c r="L690" s="31">
        <v>2</v>
      </c>
      <c r="M690" s="31">
        <v>9</v>
      </c>
      <c r="N690" s="31">
        <v>9</v>
      </c>
      <c r="O690" s="77" t="s">
        <v>596</v>
      </c>
      <c r="P690" s="31"/>
      <c r="Q690" s="34">
        <v>50</v>
      </c>
      <c r="R690" s="31"/>
      <c r="S690" s="31"/>
      <c r="T690" s="31"/>
      <c r="U690" s="31">
        <v>90</v>
      </c>
      <c r="V690" s="31"/>
      <c r="W690" s="31">
        <v>1</v>
      </c>
      <c r="X690" s="37">
        <v>2</v>
      </c>
      <c r="Y690" s="79">
        <v>5.2</v>
      </c>
      <c r="Z690" s="31" t="s">
        <v>42</v>
      </c>
      <c r="AA690" s="37" t="s">
        <v>802</v>
      </c>
      <c r="AB690" s="25" t="s">
        <v>238</v>
      </c>
    </row>
    <row r="691" spans="1:28" ht="23.1" customHeight="1" x14ac:dyDescent="0.25">
      <c r="A691" s="53" t="s">
        <v>796</v>
      </c>
      <c r="B691" s="31" t="s">
        <v>110</v>
      </c>
      <c r="C691" s="31">
        <v>14</v>
      </c>
      <c r="D691" s="31" t="s">
        <v>235</v>
      </c>
      <c r="E691" s="25" t="s">
        <v>236</v>
      </c>
      <c r="F691" s="21" t="s">
        <v>236</v>
      </c>
      <c r="G691" s="21" t="str">
        <f>VLOOKUP(D691,[6]成飞半成品!$A:$B,2,0)</f>
        <v>右外侧接头</v>
      </c>
      <c r="H691" s="31" t="s">
        <v>154</v>
      </c>
      <c r="I691" s="31">
        <v>30</v>
      </c>
      <c r="J691" s="31" t="s">
        <v>2379</v>
      </c>
      <c r="K691" s="31">
        <v>1</v>
      </c>
      <c r="L691" s="31">
        <v>1</v>
      </c>
      <c r="M691" s="31">
        <v>9</v>
      </c>
      <c r="N691" s="31">
        <v>5</v>
      </c>
      <c r="O691" s="77" t="s">
        <v>234</v>
      </c>
      <c r="P691" s="31"/>
      <c r="Q691" s="34"/>
      <c r="R691" s="31"/>
      <c r="S691" s="31"/>
      <c r="T691" s="31"/>
      <c r="U691" s="31"/>
      <c r="V691" s="31"/>
      <c r="W691" s="31">
        <v>1</v>
      </c>
      <c r="X691" s="37">
        <v>2</v>
      </c>
      <c r="Y691" s="79">
        <v>2</v>
      </c>
      <c r="Z691" s="31" t="s">
        <v>60</v>
      </c>
      <c r="AA691" s="37" t="s">
        <v>803</v>
      </c>
      <c r="AB691" s="37"/>
    </row>
    <row r="692" spans="1:28" ht="23.1" customHeight="1" x14ac:dyDescent="0.25">
      <c r="A692" s="53" t="s">
        <v>796</v>
      </c>
      <c r="B692" s="31" t="s">
        <v>110</v>
      </c>
      <c r="C692" s="31">
        <v>14</v>
      </c>
      <c r="D692" s="31" t="s">
        <v>235</v>
      </c>
      <c r="E692" s="25" t="s">
        <v>236</v>
      </c>
      <c r="F692" s="21" t="s">
        <v>236</v>
      </c>
      <c r="G692" s="21" t="str">
        <f>VLOOKUP(D692,[6]成飞半成品!$A:$B,2,0)</f>
        <v>右外侧接头</v>
      </c>
      <c r="H692" s="31" t="s">
        <v>154</v>
      </c>
      <c r="I692" s="31">
        <v>90</v>
      </c>
      <c r="J692" s="31" t="s">
        <v>2025</v>
      </c>
      <c r="K692" s="31"/>
      <c r="L692" s="31">
        <v>1</v>
      </c>
      <c r="M692" s="31"/>
      <c r="N692" s="31">
        <v>5</v>
      </c>
      <c r="O692" s="77" t="s">
        <v>159</v>
      </c>
      <c r="P692" s="31"/>
      <c r="Q692" s="34">
        <v>240</v>
      </c>
      <c r="R692" s="31"/>
      <c r="S692" s="31"/>
      <c r="T692" s="31"/>
      <c r="U692" s="31">
        <v>90</v>
      </c>
      <c r="V692" s="31"/>
      <c r="W692" s="31">
        <v>1</v>
      </c>
      <c r="X692" s="37"/>
      <c r="Y692" s="79">
        <v>5.5</v>
      </c>
      <c r="Z692" s="31" t="s">
        <v>60</v>
      </c>
      <c r="AA692" s="37" t="s">
        <v>92</v>
      </c>
      <c r="AB692" s="37"/>
    </row>
    <row r="693" spans="1:28" ht="23.1" customHeight="1" x14ac:dyDescent="0.25">
      <c r="A693" s="53" t="s">
        <v>796</v>
      </c>
      <c r="B693" s="31" t="s">
        <v>110</v>
      </c>
      <c r="C693" s="31">
        <v>76</v>
      </c>
      <c r="D693" s="31" t="s">
        <v>239</v>
      </c>
      <c r="E693" s="25" t="s">
        <v>240</v>
      </c>
      <c r="F693" s="21" t="s">
        <v>240</v>
      </c>
      <c r="G693" s="21" t="str">
        <f>VLOOKUP(D693,[6]成飞半成品!$A:$B,2,0)</f>
        <v>角片</v>
      </c>
      <c r="H693" s="31" t="s">
        <v>154</v>
      </c>
      <c r="I693" s="31">
        <v>33</v>
      </c>
      <c r="J693" s="31"/>
      <c r="K693" s="31">
        <v>16</v>
      </c>
      <c r="L693" s="31">
        <v>25</v>
      </c>
      <c r="M693" s="31">
        <v>37</v>
      </c>
      <c r="N693" s="31">
        <v>19</v>
      </c>
      <c r="O693" s="77" t="s">
        <v>318</v>
      </c>
      <c r="P693" s="31">
        <v>30</v>
      </c>
      <c r="Q693" s="34"/>
      <c r="R693" s="31"/>
      <c r="S693" s="31"/>
      <c r="T693" s="31"/>
      <c r="U693" s="31"/>
      <c r="V693" s="31">
        <v>60</v>
      </c>
      <c r="W693" s="31">
        <v>1</v>
      </c>
      <c r="X693" s="37">
        <v>2</v>
      </c>
      <c r="Y693" s="83">
        <v>15.5</v>
      </c>
      <c r="Z693" s="31" t="s">
        <v>12</v>
      </c>
      <c r="AA693" s="37" t="s">
        <v>804</v>
      </c>
      <c r="AB693" s="25" t="s">
        <v>238</v>
      </c>
    </row>
    <row r="694" spans="1:28" ht="23.1" customHeight="1" x14ac:dyDescent="0.25">
      <c r="A694" s="53" t="s">
        <v>796</v>
      </c>
      <c r="B694" s="31" t="s">
        <v>110</v>
      </c>
      <c r="C694" s="31">
        <v>16</v>
      </c>
      <c r="D694" s="31" t="s">
        <v>753</v>
      </c>
      <c r="E694" s="25" t="s">
        <v>409</v>
      </c>
      <c r="F694" s="21" t="s">
        <v>409</v>
      </c>
      <c r="G694" s="21" t="str">
        <f>VLOOKUP(D694,[6]成飞半成品!$A:$B,2,0)</f>
        <v>接头</v>
      </c>
      <c r="H694" s="31" t="s">
        <v>102</v>
      </c>
      <c r="I694" s="31">
        <v>10</v>
      </c>
      <c r="J694" s="31" t="s">
        <v>2038</v>
      </c>
      <c r="K694" s="31">
        <v>7</v>
      </c>
      <c r="L694" s="31">
        <v>7</v>
      </c>
      <c r="M694" s="31">
        <v>19</v>
      </c>
      <c r="N694" s="31">
        <v>9</v>
      </c>
      <c r="O694" s="77" t="s">
        <v>596</v>
      </c>
      <c r="P694" s="31"/>
      <c r="Q694" s="34">
        <v>50</v>
      </c>
      <c r="R694" s="31"/>
      <c r="S694" s="31"/>
      <c r="T694" s="31"/>
      <c r="U694" s="31">
        <v>90</v>
      </c>
      <c r="V694" s="31"/>
      <c r="W694" s="31"/>
      <c r="X694" s="37"/>
      <c r="Y694" s="79">
        <v>5.8</v>
      </c>
      <c r="Z694" s="31" t="s">
        <v>10</v>
      </c>
      <c r="AA694" s="37"/>
      <c r="AB694" s="37"/>
    </row>
    <row r="695" spans="1:28" ht="23.1" customHeight="1" x14ac:dyDescent="0.25">
      <c r="A695" s="53" t="s">
        <v>796</v>
      </c>
      <c r="B695" s="31" t="s">
        <v>110</v>
      </c>
      <c r="C695" s="31">
        <v>16</v>
      </c>
      <c r="D695" s="31" t="s">
        <v>805</v>
      </c>
      <c r="E695" s="25" t="s">
        <v>806</v>
      </c>
      <c r="F695" s="21" t="s">
        <v>806</v>
      </c>
      <c r="G695" s="21" t="str">
        <f>VLOOKUP(D695,[6]成飞半成品!$A:$B,2,0)</f>
        <v>前缘短肋</v>
      </c>
      <c r="H695" s="31" t="s">
        <v>154</v>
      </c>
      <c r="I695" s="31">
        <v>5</v>
      </c>
      <c r="J695" s="31" t="s">
        <v>1957</v>
      </c>
      <c r="K695" s="31">
        <v>1</v>
      </c>
      <c r="L695" s="31">
        <v>2</v>
      </c>
      <c r="M695" s="31">
        <v>9</v>
      </c>
      <c r="N695" s="31">
        <v>9</v>
      </c>
      <c r="O695" s="77" t="s">
        <v>438</v>
      </c>
      <c r="P695" s="31"/>
      <c r="Q695" s="34">
        <v>330</v>
      </c>
      <c r="R695" s="31"/>
      <c r="S695" s="31"/>
      <c r="T695" s="31"/>
      <c r="U695" s="31">
        <v>60</v>
      </c>
      <c r="V695" s="31"/>
      <c r="W695" s="31">
        <v>1</v>
      </c>
      <c r="X695" s="37"/>
      <c r="Y695" s="79">
        <v>12</v>
      </c>
      <c r="Z695" s="31" t="s">
        <v>10</v>
      </c>
      <c r="AA695" s="37" t="s">
        <v>92</v>
      </c>
      <c r="AB695" s="37"/>
    </row>
    <row r="696" spans="1:28" ht="23.1" customHeight="1" x14ac:dyDescent="0.25">
      <c r="A696" s="53" t="s">
        <v>796</v>
      </c>
      <c r="B696" s="31" t="s">
        <v>110</v>
      </c>
      <c r="C696" s="31">
        <v>59</v>
      </c>
      <c r="D696" s="31" t="s">
        <v>807</v>
      </c>
      <c r="E696" s="25" t="s">
        <v>808</v>
      </c>
      <c r="F696" s="21" t="s">
        <v>808</v>
      </c>
      <c r="G696" s="21" t="str">
        <f>VLOOKUP(D696,[6]成飞半成品!$A:$B,2,0)</f>
        <v>铰链</v>
      </c>
      <c r="H696" s="31" t="s">
        <v>154</v>
      </c>
      <c r="I696" s="31">
        <v>55</v>
      </c>
      <c r="J696" s="31" t="s">
        <v>1898</v>
      </c>
      <c r="K696" s="31"/>
      <c r="L696" s="31">
        <v>14</v>
      </c>
      <c r="M696" s="31">
        <v>26</v>
      </c>
      <c r="N696" s="31">
        <v>26</v>
      </c>
      <c r="O696" s="77" t="s">
        <v>809</v>
      </c>
      <c r="P696" s="31"/>
      <c r="Q696" s="34">
        <v>20</v>
      </c>
      <c r="R696" s="31"/>
      <c r="S696" s="31"/>
      <c r="T696" s="31"/>
      <c r="U696" s="31">
        <v>60</v>
      </c>
      <c r="V696" s="31"/>
      <c r="W696" s="31"/>
      <c r="X696" s="37"/>
      <c r="Y696" s="79">
        <v>4.7</v>
      </c>
      <c r="Z696" s="31" t="s">
        <v>6</v>
      </c>
      <c r="AA696" s="37"/>
      <c r="AB696" s="37"/>
    </row>
    <row r="697" spans="1:28" ht="23.1" customHeight="1" x14ac:dyDescent="0.25">
      <c r="A697" s="53" t="s">
        <v>796</v>
      </c>
      <c r="B697" s="31" t="s">
        <v>110</v>
      </c>
      <c r="C697" s="31">
        <v>59</v>
      </c>
      <c r="D697" s="31" t="s">
        <v>2572</v>
      </c>
      <c r="E697" s="25" t="s">
        <v>811</v>
      </c>
      <c r="F697" s="21" t="s">
        <v>811</v>
      </c>
      <c r="G697" s="21" t="str">
        <f>VLOOKUP(D697,[6]成飞半成品!$A:$B,2,0)</f>
        <v>耳环螺栓</v>
      </c>
      <c r="H697" s="31" t="s">
        <v>154</v>
      </c>
      <c r="I697" s="31">
        <v>40</v>
      </c>
      <c r="J697" s="31" t="s">
        <v>2055</v>
      </c>
      <c r="K697" s="31">
        <v>2</v>
      </c>
      <c r="L697" s="31">
        <v>2</v>
      </c>
      <c r="M697" s="31">
        <v>9</v>
      </c>
      <c r="N697" s="31">
        <v>9</v>
      </c>
      <c r="O697" s="77" t="s">
        <v>140</v>
      </c>
      <c r="P697" s="31"/>
      <c r="Q697" s="34">
        <v>35</v>
      </c>
      <c r="R697" s="31"/>
      <c r="S697" s="31"/>
      <c r="T697" s="31"/>
      <c r="U697" s="31">
        <v>90</v>
      </c>
      <c r="V697" s="31"/>
      <c r="W697" s="31">
        <v>1</v>
      </c>
      <c r="X697" s="37">
        <v>2</v>
      </c>
      <c r="Y697" s="79">
        <v>4.7</v>
      </c>
      <c r="Z697" s="31" t="s">
        <v>6</v>
      </c>
      <c r="AA697" s="37" t="s">
        <v>279</v>
      </c>
      <c r="AB697" s="37"/>
    </row>
    <row r="698" spans="1:28" ht="23.1" customHeight="1" x14ac:dyDescent="0.25">
      <c r="A698" s="53" t="s">
        <v>796</v>
      </c>
      <c r="B698" s="31" t="s">
        <v>110</v>
      </c>
      <c r="C698" s="31">
        <v>59</v>
      </c>
      <c r="D698" s="31" t="s">
        <v>807</v>
      </c>
      <c r="E698" s="25" t="s">
        <v>808</v>
      </c>
      <c r="F698" s="21" t="s">
        <v>808</v>
      </c>
      <c r="G698" s="21" t="str">
        <f>VLOOKUP(D698,[6]成飞半成品!$A:$B,2,0)</f>
        <v>铰链</v>
      </c>
      <c r="H698" s="31" t="s">
        <v>154</v>
      </c>
      <c r="I698" s="31">
        <v>55</v>
      </c>
      <c r="J698" s="31" t="s">
        <v>1898</v>
      </c>
      <c r="K698" s="31"/>
      <c r="L698" s="31">
        <v>1</v>
      </c>
      <c r="M698" s="31"/>
      <c r="N698" s="31"/>
      <c r="O698" s="77" t="s">
        <v>809</v>
      </c>
      <c r="P698" s="31"/>
      <c r="Q698" s="34">
        <v>20</v>
      </c>
      <c r="R698" s="31"/>
      <c r="S698" s="31"/>
      <c r="T698" s="31"/>
      <c r="U698" s="31">
        <v>60</v>
      </c>
      <c r="V698" s="31"/>
      <c r="W698" s="31">
        <v>1</v>
      </c>
      <c r="X698" s="37">
        <v>2</v>
      </c>
      <c r="Y698" s="79">
        <v>3.3</v>
      </c>
      <c r="Z698" s="31" t="s">
        <v>6</v>
      </c>
      <c r="AA698" s="37" t="s">
        <v>812</v>
      </c>
      <c r="AB698" s="25" t="s">
        <v>238</v>
      </c>
    </row>
    <row r="699" spans="1:28" ht="23.1" customHeight="1" x14ac:dyDescent="0.25">
      <c r="A699" s="53" t="s">
        <v>796</v>
      </c>
      <c r="B699" s="31" t="s">
        <v>110</v>
      </c>
      <c r="C699" s="31">
        <v>59</v>
      </c>
      <c r="D699" s="31" t="s">
        <v>2573</v>
      </c>
      <c r="E699" s="25" t="s">
        <v>811</v>
      </c>
      <c r="F699" s="21" t="s">
        <v>811</v>
      </c>
      <c r="G699" s="21" t="str">
        <f>VLOOKUP(D699,[6]成飞半成品!$A:$B,2,0)</f>
        <v>耳环螺栓</v>
      </c>
      <c r="H699" s="31" t="s">
        <v>154</v>
      </c>
      <c r="I699" s="31">
        <v>40</v>
      </c>
      <c r="J699" s="31" t="s">
        <v>2055</v>
      </c>
      <c r="K699" s="31"/>
      <c r="L699" s="31"/>
      <c r="M699" s="31"/>
      <c r="N699" s="31"/>
      <c r="O699" s="77" t="s">
        <v>140</v>
      </c>
      <c r="P699" s="31"/>
      <c r="Q699" s="34">
        <v>35</v>
      </c>
      <c r="R699" s="31"/>
      <c r="S699" s="31"/>
      <c r="T699" s="31"/>
      <c r="U699" s="31">
        <v>90</v>
      </c>
      <c r="V699" s="31"/>
      <c r="W699" s="31">
        <v>1</v>
      </c>
      <c r="X699" s="37">
        <v>2</v>
      </c>
      <c r="Y699" s="79">
        <v>3.5</v>
      </c>
      <c r="Z699" s="31" t="s">
        <v>6</v>
      </c>
      <c r="AA699" s="37" t="s">
        <v>546</v>
      </c>
      <c r="AB699" s="25" t="s">
        <v>238</v>
      </c>
    </row>
    <row r="700" spans="1:28" ht="23.1" customHeight="1" x14ac:dyDescent="0.25">
      <c r="A700" s="53" t="s">
        <v>796</v>
      </c>
      <c r="B700" s="31" t="s">
        <v>110</v>
      </c>
      <c r="C700" s="31">
        <v>58</v>
      </c>
      <c r="D700" s="31" t="s">
        <v>813</v>
      </c>
      <c r="E700" s="25" t="s">
        <v>409</v>
      </c>
      <c r="F700" s="21" t="s">
        <v>409</v>
      </c>
      <c r="G700" s="21" t="str">
        <f>VLOOKUP(D700,[6]成飞半成品!$A:$B,2,0)</f>
        <v>接头</v>
      </c>
      <c r="H700" s="31" t="s">
        <v>102</v>
      </c>
      <c r="I700" s="31">
        <v>15</v>
      </c>
      <c r="J700" s="31" t="s">
        <v>2056</v>
      </c>
      <c r="K700" s="31"/>
      <c r="L700" s="31">
        <v>1</v>
      </c>
      <c r="M700" s="31">
        <v>9</v>
      </c>
      <c r="N700" s="31">
        <v>9</v>
      </c>
      <c r="O700" s="77" t="s">
        <v>596</v>
      </c>
      <c r="P700" s="31"/>
      <c r="Q700" s="34">
        <v>50</v>
      </c>
      <c r="R700" s="31"/>
      <c r="S700" s="31"/>
      <c r="T700" s="31"/>
      <c r="U700" s="31">
        <v>90</v>
      </c>
      <c r="V700" s="31"/>
      <c r="W700" s="31">
        <v>1</v>
      </c>
      <c r="X700" s="37">
        <v>2</v>
      </c>
      <c r="Y700" s="79">
        <v>4.3</v>
      </c>
      <c r="Z700" s="31" t="s">
        <v>0</v>
      </c>
      <c r="AA700" s="37" t="s">
        <v>814</v>
      </c>
      <c r="AB700" s="25" t="s">
        <v>238</v>
      </c>
    </row>
    <row r="701" spans="1:28" ht="23.1" customHeight="1" x14ac:dyDescent="0.25">
      <c r="A701" s="53" t="s">
        <v>796</v>
      </c>
      <c r="B701" s="31" t="s">
        <v>110</v>
      </c>
      <c r="C701" s="31">
        <v>58</v>
      </c>
      <c r="D701" s="31" t="s">
        <v>815</v>
      </c>
      <c r="E701" s="25" t="s">
        <v>409</v>
      </c>
      <c r="F701" s="21" t="s">
        <v>409</v>
      </c>
      <c r="G701" s="21" t="str">
        <f>VLOOKUP(D701,[6]成飞半成品!$A:$B,2,0)</f>
        <v>接头</v>
      </c>
      <c r="H701" s="31" t="s">
        <v>102</v>
      </c>
      <c r="I701" s="31">
        <v>15</v>
      </c>
      <c r="J701" s="31" t="s">
        <v>2056</v>
      </c>
      <c r="K701" s="31"/>
      <c r="L701" s="31">
        <v>1</v>
      </c>
      <c r="M701" s="31">
        <v>9</v>
      </c>
      <c r="N701" s="31">
        <v>9</v>
      </c>
      <c r="O701" s="77" t="s">
        <v>596</v>
      </c>
      <c r="P701" s="31"/>
      <c r="Q701" s="34">
        <v>50</v>
      </c>
      <c r="R701" s="31"/>
      <c r="S701" s="31"/>
      <c r="T701" s="31"/>
      <c r="U701" s="31">
        <v>90</v>
      </c>
      <c r="V701" s="31"/>
      <c r="W701" s="31">
        <v>1</v>
      </c>
      <c r="X701" s="37">
        <v>2</v>
      </c>
      <c r="Y701" s="79">
        <v>4.3</v>
      </c>
      <c r="Z701" s="31" t="s">
        <v>0</v>
      </c>
      <c r="AA701" s="37" t="s">
        <v>814</v>
      </c>
      <c r="AB701" s="25" t="s">
        <v>238</v>
      </c>
    </row>
    <row r="702" spans="1:28" ht="23.1" customHeight="1" x14ac:dyDescent="0.25">
      <c r="A702" s="53" t="s">
        <v>796</v>
      </c>
      <c r="B702" s="31" t="s">
        <v>110</v>
      </c>
      <c r="C702" s="31">
        <v>58</v>
      </c>
      <c r="D702" s="31" t="s">
        <v>695</v>
      </c>
      <c r="E702" s="25" t="s">
        <v>696</v>
      </c>
      <c r="F702" s="21" t="s">
        <v>696</v>
      </c>
      <c r="G702" s="21" t="str">
        <f>VLOOKUP(D702,[6]成飞半成品!$A:$B,2,0)</f>
        <v>过渡板</v>
      </c>
      <c r="H702" s="31" t="s">
        <v>107</v>
      </c>
      <c r="I702" s="31">
        <v>55</v>
      </c>
      <c r="J702" s="31" t="s">
        <v>2036</v>
      </c>
      <c r="K702" s="31"/>
      <c r="L702" s="31">
        <v>1</v>
      </c>
      <c r="M702" s="31">
        <v>9</v>
      </c>
      <c r="N702" s="31"/>
      <c r="O702" s="77" t="s">
        <v>724</v>
      </c>
      <c r="P702" s="31"/>
      <c r="Q702" s="34">
        <v>80</v>
      </c>
      <c r="R702" s="31"/>
      <c r="S702" s="31"/>
      <c r="T702" s="31"/>
      <c r="U702" s="31">
        <v>90</v>
      </c>
      <c r="V702" s="31"/>
      <c r="W702" s="31"/>
      <c r="X702" s="37"/>
      <c r="Y702" s="79">
        <v>1.3</v>
      </c>
      <c r="Z702" s="31" t="s">
        <v>0</v>
      </c>
      <c r="AA702" s="37"/>
      <c r="AB702" s="37"/>
    </row>
    <row r="703" spans="1:28" ht="23.1" customHeight="1" x14ac:dyDescent="0.25">
      <c r="A703" s="53" t="s">
        <v>796</v>
      </c>
      <c r="B703" s="31" t="s">
        <v>110</v>
      </c>
      <c r="C703" s="31">
        <v>58</v>
      </c>
      <c r="D703" s="31" t="s">
        <v>815</v>
      </c>
      <c r="E703" s="25" t="s">
        <v>409</v>
      </c>
      <c r="F703" s="21" t="s">
        <v>409</v>
      </c>
      <c r="G703" s="21" t="str">
        <f>VLOOKUP(D703,[6]成飞半成品!$A:$B,2,0)</f>
        <v>接头</v>
      </c>
      <c r="H703" s="31" t="s">
        <v>102</v>
      </c>
      <c r="I703" s="31">
        <v>10</v>
      </c>
      <c r="J703" s="31" t="s">
        <v>1952</v>
      </c>
      <c r="K703" s="31"/>
      <c r="L703" s="31">
        <v>1</v>
      </c>
      <c r="M703" s="31">
        <v>9</v>
      </c>
      <c r="N703" s="31"/>
      <c r="O703" s="77" t="s">
        <v>596</v>
      </c>
      <c r="P703" s="31"/>
      <c r="Q703" s="34">
        <v>60</v>
      </c>
      <c r="R703" s="31"/>
      <c r="S703" s="31"/>
      <c r="T703" s="31"/>
      <c r="U703" s="31">
        <v>60</v>
      </c>
      <c r="V703" s="31"/>
      <c r="W703" s="31">
        <v>1</v>
      </c>
      <c r="X703" s="37"/>
      <c r="Y703" s="79">
        <v>2</v>
      </c>
      <c r="Z703" s="31" t="s">
        <v>0</v>
      </c>
      <c r="AA703" s="37" t="s">
        <v>816</v>
      </c>
      <c r="AB703" s="37"/>
    </row>
    <row r="704" spans="1:28" ht="23.1" customHeight="1" x14ac:dyDescent="0.25">
      <c r="A704" s="53" t="s">
        <v>796</v>
      </c>
      <c r="B704" s="31" t="s">
        <v>110</v>
      </c>
      <c r="C704" s="31">
        <v>58</v>
      </c>
      <c r="D704" s="31" t="s">
        <v>813</v>
      </c>
      <c r="E704" s="25" t="s">
        <v>409</v>
      </c>
      <c r="F704" s="21" t="s">
        <v>409</v>
      </c>
      <c r="G704" s="21" t="str">
        <f>VLOOKUP(D704,[6]成飞半成品!$A:$B,2,0)</f>
        <v>接头</v>
      </c>
      <c r="H704" s="31" t="s">
        <v>102</v>
      </c>
      <c r="I704" s="31">
        <v>10</v>
      </c>
      <c r="J704" s="31" t="s">
        <v>1952</v>
      </c>
      <c r="K704" s="31"/>
      <c r="L704" s="31">
        <v>1</v>
      </c>
      <c r="M704" s="31">
        <v>9</v>
      </c>
      <c r="N704" s="31"/>
      <c r="O704" s="77" t="s">
        <v>596</v>
      </c>
      <c r="P704" s="31"/>
      <c r="Q704" s="34">
        <v>60</v>
      </c>
      <c r="R704" s="31"/>
      <c r="S704" s="31"/>
      <c r="T704" s="31"/>
      <c r="U704" s="31">
        <v>60</v>
      </c>
      <c r="V704" s="31"/>
      <c r="W704" s="31">
        <v>1</v>
      </c>
      <c r="X704" s="37"/>
      <c r="Y704" s="79">
        <v>2</v>
      </c>
      <c r="Z704" s="31" t="s">
        <v>0</v>
      </c>
      <c r="AA704" s="37" t="s">
        <v>817</v>
      </c>
      <c r="AB704" s="37"/>
    </row>
    <row r="705" spans="1:28" ht="23.1" customHeight="1" x14ac:dyDescent="0.25">
      <c r="A705" s="53" t="s">
        <v>796</v>
      </c>
      <c r="B705" s="31" t="s">
        <v>110</v>
      </c>
      <c r="C705" s="31">
        <v>16</v>
      </c>
      <c r="D705" s="31" t="s">
        <v>805</v>
      </c>
      <c r="E705" s="25" t="s">
        <v>806</v>
      </c>
      <c r="F705" s="21" t="s">
        <v>806</v>
      </c>
      <c r="G705" s="21" t="str">
        <f>VLOOKUP(D705,[6]成飞半成品!$A:$B,2,0)</f>
        <v>前缘短肋</v>
      </c>
      <c r="H705" s="31" t="s">
        <v>154</v>
      </c>
      <c r="I705" s="31">
        <v>10</v>
      </c>
      <c r="J705" s="31" t="s">
        <v>2057</v>
      </c>
      <c r="K705" s="31">
        <v>2</v>
      </c>
      <c r="L705" s="31">
        <v>2</v>
      </c>
      <c r="M705" s="31">
        <v>19</v>
      </c>
      <c r="N705" s="31">
        <v>19</v>
      </c>
      <c r="O705" s="77" t="s">
        <v>438</v>
      </c>
      <c r="P705" s="31"/>
      <c r="Q705" s="34">
        <v>140</v>
      </c>
      <c r="R705" s="31"/>
      <c r="S705" s="31"/>
      <c r="T705" s="31"/>
      <c r="U705" s="31">
        <v>90</v>
      </c>
      <c r="V705" s="31"/>
      <c r="W705" s="31">
        <v>1</v>
      </c>
      <c r="X705" s="37"/>
      <c r="Y705" s="79">
        <v>6.2</v>
      </c>
      <c r="Z705" s="31" t="s">
        <v>10</v>
      </c>
      <c r="AA705" s="37" t="s">
        <v>92</v>
      </c>
      <c r="AB705" s="37"/>
    </row>
    <row r="706" spans="1:28" ht="23.1" customHeight="1" x14ac:dyDescent="0.25">
      <c r="A706" s="53" t="s">
        <v>796</v>
      </c>
      <c r="B706" s="31" t="s">
        <v>110</v>
      </c>
      <c r="C706" s="31">
        <v>18</v>
      </c>
      <c r="D706" s="31" t="s">
        <v>205</v>
      </c>
      <c r="E706" s="25" t="s">
        <v>206</v>
      </c>
      <c r="F706" s="21" t="s">
        <v>206</v>
      </c>
      <c r="G706" s="21" t="str">
        <f>VLOOKUP(D706,[6]成飞半成品!$A:$B,2,0)</f>
        <v>卡环</v>
      </c>
      <c r="H706" s="31" t="s">
        <v>123</v>
      </c>
      <c r="I706" s="31">
        <v>60</v>
      </c>
      <c r="J706" s="31" t="s">
        <v>1861</v>
      </c>
      <c r="K706" s="31">
        <v>3</v>
      </c>
      <c r="L706" s="31">
        <v>5</v>
      </c>
      <c r="M706" s="31">
        <v>19</v>
      </c>
      <c r="N706" s="31">
        <v>19</v>
      </c>
      <c r="O706" s="77" t="s">
        <v>818</v>
      </c>
      <c r="P706" s="31"/>
      <c r="Q706" s="34">
        <v>180</v>
      </c>
      <c r="R706" s="31"/>
      <c r="S706" s="31"/>
      <c r="T706" s="31"/>
      <c r="U706" s="31">
        <v>90</v>
      </c>
      <c r="V706" s="31"/>
      <c r="W706" s="31"/>
      <c r="X706" s="37"/>
      <c r="Y706" s="79">
        <v>15</v>
      </c>
      <c r="Z706" s="31" t="s">
        <v>14</v>
      </c>
      <c r="AA706" s="37"/>
      <c r="AB706" s="37"/>
    </row>
    <row r="707" spans="1:28" ht="23.1" customHeight="1" x14ac:dyDescent="0.25">
      <c r="A707" s="53" t="s">
        <v>796</v>
      </c>
      <c r="B707" s="31" t="s">
        <v>110</v>
      </c>
      <c r="C707" s="31">
        <v>10</v>
      </c>
      <c r="D707" s="31" t="s">
        <v>517</v>
      </c>
      <c r="E707" s="25" t="s">
        <v>518</v>
      </c>
      <c r="F707" s="21" t="s">
        <v>518</v>
      </c>
      <c r="G707" s="21" t="str">
        <f>VLOOKUP(D707,[6]成飞半成品!$A:$B,2,0)</f>
        <v>带板</v>
      </c>
      <c r="H707" s="31" t="s">
        <v>300</v>
      </c>
      <c r="I707" s="31">
        <v>30</v>
      </c>
      <c r="J707" s="31" t="s">
        <v>2040</v>
      </c>
      <c r="K707" s="31">
        <v>2.2000000000000002</v>
      </c>
      <c r="L707" s="31">
        <v>2</v>
      </c>
      <c r="M707" s="31">
        <v>9</v>
      </c>
      <c r="N707" s="31">
        <v>23</v>
      </c>
      <c r="O707" s="77" t="s">
        <v>335</v>
      </c>
      <c r="P707" s="31"/>
      <c r="Q707" s="34">
        <v>270</v>
      </c>
      <c r="R707" s="31"/>
      <c r="S707" s="31"/>
      <c r="T707" s="31"/>
      <c r="U707" s="31">
        <v>90</v>
      </c>
      <c r="V707" s="31"/>
      <c r="W707" s="31">
        <v>1</v>
      </c>
      <c r="X707" s="37"/>
      <c r="Y707" s="79">
        <v>10.5</v>
      </c>
      <c r="Z707" s="31" t="s">
        <v>23</v>
      </c>
      <c r="AA707" s="37" t="s">
        <v>547</v>
      </c>
      <c r="AB707" s="37"/>
    </row>
    <row r="708" spans="1:28" ht="23.1" customHeight="1" x14ac:dyDescent="0.25">
      <c r="A708" s="53" t="s">
        <v>796</v>
      </c>
      <c r="B708" s="31" t="s">
        <v>110</v>
      </c>
      <c r="C708" s="31">
        <v>9</v>
      </c>
      <c r="D708" s="31" t="s">
        <v>624</v>
      </c>
      <c r="E708" s="25" t="s">
        <v>625</v>
      </c>
      <c r="F708" s="21" t="s">
        <v>625</v>
      </c>
      <c r="G708" s="21" t="str">
        <f>VLOOKUP(D708,[6]成飞半成品!$A:$B,2,0)</f>
        <v>支架</v>
      </c>
      <c r="H708" s="31" t="s">
        <v>300</v>
      </c>
      <c r="I708" s="31">
        <v>50</v>
      </c>
      <c r="J708" s="31" t="s">
        <v>2039</v>
      </c>
      <c r="K708" s="31">
        <v>6</v>
      </c>
      <c r="L708" s="31">
        <v>5</v>
      </c>
      <c r="M708" s="31">
        <v>9</v>
      </c>
      <c r="N708" s="31">
        <v>9</v>
      </c>
      <c r="O708" s="77" t="s">
        <v>567</v>
      </c>
      <c r="P708" s="31"/>
      <c r="Q708" s="34">
        <v>65</v>
      </c>
      <c r="R708" s="31"/>
      <c r="S708" s="31"/>
      <c r="T708" s="31"/>
      <c r="U708" s="31">
        <v>60</v>
      </c>
      <c r="V708" s="31"/>
      <c r="W708" s="31"/>
      <c r="X708" s="37"/>
      <c r="Y708" s="79">
        <v>5.4</v>
      </c>
      <c r="Z708" s="31" t="s">
        <v>23</v>
      </c>
      <c r="AA708" s="37"/>
      <c r="AB708" s="37"/>
    </row>
    <row r="709" spans="1:28" ht="23.1" customHeight="1" x14ac:dyDescent="0.25">
      <c r="A709" s="53" t="s">
        <v>796</v>
      </c>
      <c r="B709" s="31" t="s">
        <v>110</v>
      </c>
      <c r="C709" s="31">
        <v>9</v>
      </c>
      <c r="D709" s="31" t="s">
        <v>229</v>
      </c>
      <c r="E709" s="25" t="s">
        <v>230</v>
      </c>
      <c r="F709" s="21" t="s">
        <v>230</v>
      </c>
      <c r="G709" s="21" t="str">
        <f>VLOOKUP(D709,[6]成飞半成品!$A:$B,2,0)</f>
        <v>前起落架舱门结构支撑梁</v>
      </c>
      <c r="H709" s="31" t="s">
        <v>154</v>
      </c>
      <c r="I709" s="31">
        <v>30</v>
      </c>
      <c r="J709" s="31" t="s">
        <v>2058</v>
      </c>
      <c r="K709" s="31">
        <v>1</v>
      </c>
      <c r="L709" s="31">
        <v>1</v>
      </c>
      <c r="M709" s="31">
        <v>19</v>
      </c>
      <c r="N709" s="31"/>
      <c r="O709" s="77" t="s">
        <v>275</v>
      </c>
      <c r="P709" s="31"/>
      <c r="Q709" s="34">
        <v>80</v>
      </c>
      <c r="R709" s="31"/>
      <c r="S709" s="31"/>
      <c r="T709" s="31"/>
      <c r="U709" s="31">
        <v>60</v>
      </c>
      <c r="V709" s="31"/>
      <c r="W709" s="31">
        <v>1</v>
      </c>
      <c r="X709" s="37">
        <v>3</v>
      </c>
      <c r="Y709" s="79">
        <v>5.3</v>
      </c>
      <c r="Z709" s="31" t="s">
        <v>23</v>
      </c>
      <c r="AA709" s="37" t="s">
        <v>819</v>
      </c>
      <c r="AB709" s="25" t="s">
        <v>238</v>
      </c>
    </row>
    <row r="710" spans="1:28" ht="23.1" customHeight="1" x14ac:dyDescent="0.25">
      <c r="A710" s="53" t="s">
        <v>796</v>
      </c>
      <c r="B710" s="31" t="s">
        <v>110</v>
      </c>
      <c r="C710" s="31">
        <v>78</v>
      </c>
      <c r="D710" s="31" t="s">
        <v>276</v>
      </c>
      <c r="E710" s="25" t="s">
        <v>277</v>
      </c>
      <c r="F710" s="21" t="s">
        <v>277</v>
      </c>
      <c r="G710" s="21" t="str">
        <f>VLOOKUP(D710,[6]成飞半成品!$A:$B,2,0)</f>
        <v>左外侧接头</v>
      </c>
      <c r="H710" s="31" t="s">
        <v>154</v>
      </c>
      <c r="I710" s="31">
        <v>80</v>
      </c>
      <c r="J710" s="31" t="s">
        <v>1964</v>
      </c>
      <c r="K710" s="31"/>
      <c r="L710" s="31">
        <v>1</v>
      </c>
      <c r="M710" s="31">
        <v>37</v>
      </c>
      <c r="N710" s="31"/>
      <c r="O710" s="77" t="s">
        <v>234</v>
      </c>
      <c r="P710" s="31"/>
      <c r="Q710" s="34">
        <v>360</v>
      </c>
      <c r="R710" s="31"/>
      <c r="S710" s="31"/>
      <c r="T710" s="31"/>
      <c r="U710" s="31">
        <v>120</v>
      </c>
      <c r="V710" s="31"/>
      <c r="W710" s="31">
        <v>1</v>
      </c>
      <c r="X710" s="37">
        <v>2</v>
      </c>
      <c r="Y710" s="79">
        <v>10</v>
      </c>
      <c r="Z710" s="31" t="s">
        <v>5</v>
      </c>
      <c r="AA710" s="37" t="s">
        <v>820</v>
      </c>
      <c r="AB710" s="25" t="s">
        <v>238</v>
      </c>
    </row>
    <row r="711" spans="1:28" ht="23.1" customHeight="1" x14ac:dyDescent="0.25">
      <c r="A711" s="53" t="s">
        <v>796</v>
      </c>
      <c r="B711" s="31" t="s">
        <v>110</v>
      </c>
      <c r="C711" s="31">
        <v>78</v>
      </c>
      <c r="D711" s="31" t="s">
        <v>821</v>
      </c>
      <c r="E711" s="25" t="s">
        <v>822</v>
      </c>
      <c r="F711" s="21" t="s">
        <v>822</v>
      </c>
      <c r="G711" s="21" t="str">
        <f>VLOOKUP(D711,[6]成飞半成品!$A:$B,2,0)</f>
        <v>1#竖梁</v>
      </c>
      <c r="H711" s="31" t="s">
        <v>123</v>
      </c>
      <c r="I711" s="31">
        <v>5</v>
      </c>
      <c r="J711" s="31" t="s">
        <v>1930</v>
      </c>
      <c r="K711" s="31"/>
      <c r="L711" s="31">
        <v>2</v>
      </c>
      <c r="M711" s="31">
        <v>5</v>
      </c>
      <c r="N711" s="31">
        <v>5</v>
      </c>
      <c r="O711" s="77" t="s">
        <v>661</v>
      </c>
      <c r="P711" s="31"/>
      <c r="Q711" s="34">
        <v>120</v>
      </c>
      <c r="R711" s="31">
        <v>60</v>
      </c>
      <c r="S711" s="31"/>
      <c r="T711" s="31">
        <v>2</v>
      </c>
      <c r="U711" s="31">
        <v>60</v>
      </c>
      <c r="V711" s="31"/>
      <c r="W711" s="31">
        <v>1</v>
      </c>
      <c r="X711" s="37"/>
      <c r="Y711" s="79">
        <v>7</v>
      </c>
      <c r="Z711" s="31" t="s">
        <v>5</v>
      </c>
      <c r="AA711" s="37" t="s">
        <v>823</v>
      </c>
      <c r="AB711" s="37"/>
    </row>
    <row r="712" spans="1:28" ht="23.1" customHeight="1" x14ac:dyDescent="0.25">
      <c r="A712" s="53" t="s">
        <v>796</v>
      </c>
      <c r="B712" s="31" t="s">
        <v>110</v>
      </c>
      <c r="C712" s="31">
        <v>21</v>
      </c>
      <c r="D712" s="31" t="s">
        <v>321</v>
      </c>
      <c r="E712" s="25" t="s">
        <v>322</v>
      </c>
      <c r="F712" s="21" t="s">
        <v>322</v>
      </c>
      <c r="G712" s="21" t="str">
        <f>VLOOKUP(D712,[6]成飞半成品!$A:$B,2,0)</f>
        <v>10860框</v>
      </c>
      <c r="H712" s="31" t="s">
        <v>323</v>
      </c>
      <c r="I712" s="31">
        <v>10</v>
      </c>
      <c r="J712" s="31" t="s">
        <v>2046</v>
      </c>
      <c r="K712" s="31">
        <v>2</v>
      </c>
      <c r="L712" s="31">
        <v>2</v>
      </c>
      <c r="M712" s="31">
        <v>26</v>
      </c>
      <c r="N712" s="31">
        <v>5</v>
      </c>
      <c r="O712" s="77" t="s">
        <v>824</v>
      </c>
      <c r="P712" s="31"/>
      <c r="Q712" s="34">
        <v>420</v>
      </c>
      <c r="R712" s="31">
        <v>120</v>
      </c>
      <c r="S712" s="31"/>
      <c r="T712" s="31">
        <v>2</v>
      </c>
      <c r="U712" s="31">
        <v>180</v>
      </c>
      <c r="V712" s="31"/>
      <c r="W712" s="31">
        <v>1</v>
      </c>
      <c r="X712" s="37"/>
      <c r="Y712" s="79">
        <v>21</v>
      </c>
      <c r="Z712" s="31" t="s">
        <v>49</v>
      </c>
      <c r="AA712" s="37" t="s">
        <v>325</v>
      </c>
      <c r="AB712" s="37"/>
    </row>
    <row r="713" spans="1:28" ht="23.1" customHeight="1" x14ac:dyDescent="0.25">
      <c r="A713" s="53" t="s">
        <v>796</v>
      </c>
      <c r="B713" s="31" t="s">
        <v>110</v>
      </c>
      <c r="C713" s="31">
        <v>17</v>
      </c>
      <c r="D713" s="31" t="s">
        <v>352</v>
      </c>
      <c r="E713" s="25" t="s">
        <v>353</v>
      </c>
      <c r="F713" s="21" t="e">
        <v>#N/A</v>
      </c>
      <c r="G713" s="21" t="e">
        <f>VLOOKUP(D713,[6]成飞半成品!$A:$B,2,0)</f>
        <v>#N/A</v>
      </c>
      <c r="H713" s="31" t="s">
        <v>300</v>
      </c>
      <c r="I713" s="31">
        <v>30</v>
      </c>
      <c r="J713" s="31" t="s">
        <v>2005</v>
      </c>
      <c r="K713" s="31">
        <v>1</v>
      </c>
      <c r="L713" s="31">
        <v>2</v>
      </c>
      <c r="M713" s="31">
        <v>26</v>
      </c>
      <c r="N713" s="31">
        <v>26</v>
      </c>
      <c r="O713" s="77" t="s">
        <v>506</v>
      </c>
      <c r="P713" s="31"/>
      <c r="Q713" s="34">
        <v>480</v>
      </c>
      <c r="R713" s="31"/>
      <c r="S713" s="31"/>
      <c r="T713" s="31"/>
      <c r="U713" s="31">
        <v>120</v>
      </c>
      <c r="V713" s="31"/>
      <c r="W713" s="31"/>
      <c r="X713" s="37"/>
      <c r="Y713" s="79">
        <v>16</v>
      </c>
      <c r="Z713" s="31" t="s">
        <v>14</v>
      </c>
      <c r="AA713" s="37"/>
      <c r="AB713" s="37"/>
    </row>
    <row r="714" spans="1:28" ht="23.1" customHeight="1" x14ac:dyDescent="0.25">
      <c r="A714" s="53" t="s">
        <v>796</v>
      </c>
      <c r="B714" s="31" t="s">
        <v>110</v>
      </c>
      <c r="C714" s="31">
        <v>15</v>
      </c>
      <c r="D714" s="31" t="s">
        <v>592</v>
      </c>
      <c r="E714" s="25" t="s">
        <v>218</v>
      </c>
      <c r="F714" s="21" t="s">
        <v>218</v>
      </c>
      <c r="G714" s="21" t="str">
        <f>VLOOKUP(D714,[6]成飞半成品!$A:$B,2,0)</f>
        <v>横梁</v>
      </c>
      <c r="H714" s="31" t="s">
        <v>107</v>
      </c>
      <c r="I714" s="31">
        <v>25</v>
      </c>
      <c r="J714" s="37" t="s">
        <v>1914</v>
      </c>
      <c r="K714" s="31">
        <v>4</v>
      </c>
      <c r="L714" s="31">
        <v>6</v>
      </c>
      <c r="M714" s="31">
        <v>9</v>
      </c>
      <c r="N714" s="31">
        <v>5</v>
      </c>
      <c r="O714" s="77" t="s">
        <v>456</v>
      </c>
      <c r="P714" s="31"/>
      <c r="Q714" s="31">
        <v>210</v>
      </c>
      <c r="R714" s="31"/>
      <c r="S714" s="31"/>
      <c r="T714" s="31"/>
      <c r="U714" s="31">
        <v>60</v>
      </c>
      <c r="V714" s="31"/>
      <c r="W714" s="37"/>
      <c r="X714" s="37"/>
      <c r="Y714" s="79">
        <v>21</v>
      </c>
      <c r="Z714" s="31" t="s">
        <v>60</v>
      </c>
      <c r="AA714" s="37"/>
      <c r="AB714" s="37"/>
    </row>
    <row r="715" spans="1:28" ht="23.1" customHeight="1" x14ac:dyDescent="0.25">
      <c r="A715" s="53" t="s">
        <v>796</v>
      </c>
      <c r="B715" s="31" t="s">
        <v>110</v>
      </c>
      <c r="C715" s="31">
        <v>107</v>
      </c>
      <c r="D715" s="31" t="s">
        <v>173</v>
      </c>
      <c r="E715" s="25" t="s">
        <v>174</v>
      </c>
      <c r="F715" s="21" t="s">
        <v>1246</v>
      </c>
      <c r="G715" s="21" t="str">
        <f>VLOOKUP(D715,[6]成飞半成品!$A:$B,2,0)</f>
        <v>根肋后段</v>
      </c>
      <c r="H715" s="31" t="s">
        <v>154</v>
      </c>
      <c r="I715" s="31">
        <v>30</v>
      </c>
      <c r="J715" s="37" t="s">
        <v>2047</v>
      </c>
      <c r="K715" s="31">
        <v>1</v>
      </c>
      <c r="L715" s="31">
        <v>1.5</v>
      </c>
      <c r="M715" s="31">
        <v>26</v>
      </c>
      <c r="N715" s="31">
        <v>5</v>
      </c>
      <c r="O715" s="77" t="s">
        <v>421</v>
      </c>
      <c r="P715" s="34"/>
      <c r="Q715" s="31">
        <v>700</v>
      </c>
      <c r="R715" s="31">
        <v>90</v>
      </c>
      <c r="S715" s="31"/>
      <c r="T715" s="31"/>
      <c r="U715" s="31">
        <v>120</v>
      </c>
      <c r="V715" s="31"/>
      <c r="W715" s="37"/>
      <c r="X715" s="37"/>
      <c r="Y715" s="79">
        <v>17.5</v>
      </c>
      <c r="Z715" s="31" t="s">
        <v>13</v>
      </c>
      <c r="AA715" s="37"/>
      <c r="AB715" s="37"/>
    </row>
    <row r="716" spans="1:28" ht="23.1" customHeight="1" x14ac:dyDescent="0.25">
      <c r="A716" s="53" t="s">
        <v>796</v>
      </c>
      <c r="B716" s="31" t="s">
        <v>110</v>
      </c>
      <c r="C716" s="31">
        <v>77</v>
      </c>
      <c r="D716" s="31" t="s">
        <v>211</v>
      </c>
      <c r="E716" s="25" t="s">
        <v>212</v>
      </c>
      <c r="F716" s="21" t="s">
        <v>212</v>
      </c>
      <c r="G716" s="21" t="str">
        <f>VLOOKUP(D716,[6]成飞半成品!$A:$B,2,0)</f>
        <v>压板</v>
      </c>
      <c r="H716" s="31" t="s">
        <v>123</v>
      </c>
      <c r="I716" s="31">
        <v>20</v>
      </c>
      <c r="J716" s="37" t="s">
        <v>2034</v>
      </c>
      <c r="K716" s="31">
        <v>30</v>
      </c>
      <c r="L716" s="31">
        <v>19</v>
      </c>
      <c r="M716" s="31">
        <v>37</v>
      </c>
      <c r="N716" s="31">
        <v>26</v>
      </c>
      <c r="O716" s="77" t="s">
        <v>213</v>
      </c>
      <c r="P716" s="34"/>
      <c r="Q716" s="31">
        <v>30</v>
      </c>
      <c r="R716" s="31"/>
      <c r="S716" s="31"/>
      <c r="T716" s="31"/>
      <c r="U716" s="31">
        <v>60</v>
      </c>
      <c r="V716" s="31"/>
      <c r="W716" s="37"/>
      <c r="X716" s="37">
        <v>2</v>
      </c>
      <c r="Y716" s="79">
        <v>11.5</v>
      </c>
      <c r="Z716" s="31" t="s">
        <v>24</v>
      </c>
      <c r="AA716" s="37" t="s">
        <v>546</v>
      </c>
      <c r="AB716" s="25" t="s">
        <v>238</v>
      </c>
    </row>
    <row r="717" spans="1:28" ht="23.1" customHeight="1" x14ac:dyDescent="0.25">
      <c r="A717" s="53" t="s">
        <v>796</v>
      </c>
      <c r="B717" s="31" t="s">
        <v>110</v>
      </c>
      <c r="C717" s="31">
        <v>77</v>
      </c>
      <c r="D717" s="31" t="s">
        <v>211</v>
      </c>
      <c r="E717" s="25" t="s">
        <v>212</v>
      </c>
      <c r="F717" s="21" t="s">
        <v>212</v>
      </c>
      <c r="G717" s="21" t="str">
        <f>VLOOKUP(D717,[6]成飞半成品!$A:$B,2,0)</f>
        <v>压板</v>
      </c>
      <c r="H717" s="31" t="s">
        <v>123</v>
      </c>
      <c r="I717" s="31">
        <v>20</v>
      </c>
      <c r="J717" s="31" t="s">
        <v>2034</v>
      </c>
      <c r="K717" s="37"/>
      <c r="L717" s="31">
        <v>13</v>
      </c>
      <c r="M717" s="31">
        <v>19</v>
      </c>
      <c r="N717" s="31">
        <v>23</v>
      </c>
      <c r="O717" s="77" t="s">
        <v>213</v>
      </c>
      <c r="P717" s="34"/>
      <c r="Q717" s="31">
        <v>30</v>
      </c>
      <c r="R717" s="31"/>
      <c r="S717" s="31"/>
      <c r="T717" s="31"/>
      <c r="U717" s="31">
        <v>60</v>
      </c>
      <c r="V717" s="31"/>
      <c r="W717" s="37"/>
      <c r="X717" s="37"/>
      <c r="Y717" s="79">
        <v>6.5</v>
      </c>
      <c r="Z717" s="31" t="s">
        <v>24</v>
      </c>
      <c r="AA717" s="37"/>
      <c r="AB717" s="37"/>
    </row>
    <row r="718" spans="1:28" ht="23.1" customHeight="1" x14ac:dyDescent="0.25">
      <c r="A718" s="53" t="s">
        <v>796</v>
      </c>
      <c r="B718" s="31" t="s">
        <v>110</v>
      </c>
      <c r="C718" s="31">
        <v>13</v>
      </c>
      <c r="D718" s="31" t="s">
        <v>654</v>
      </c>
      <c r="E718" s="25" t="s">
        <v>246</v>
      </c>
      <c r="F718" s="21" t="s">
        <v>246</v>
      </c>
      <c r="G718" s="21" t="str">
        <f>VLOOKUP(D718,[6]成飞半成品!$A:$B,2,0)</f>
        <v>外侧轴承盖</v>
      </c>
      <c r="H718" s="31" t="s">
        <v>154</v>
      </c>
      <c r="I718" s="31">
        <v>25</v>
      </c>
      <c r="J718" s="37" t="s">
        <v>2037</v>
      </c>
      <c r="K718" s="31">
        <v>4.5</v>
      </c>
      <c r="L718" s="31">
        <v>9</v>
      </c>
      <c r="M718" s="31">
        <v>37</v>
      </c>
      <c r="N718" s="31">
        <v>23</v>
      </c>
      <c r="O718" s="77" t="s">
        <v>247</v>
      </c>
      <c r="P718" s="31"/>
      <c r="Q718" s="31">
        <v>130</v>
      </c>
      <c r="R718" s="31"/>
      <c r="S718" s="31"/>
      <c r="T718" s="31"/>
      <c r="U718" s="31">
        <v>60</v>
      </c>
      <c r="V718" s="31"/>
      <c r="W718" s="37"/>
      <c r="X718" s="37"/>
      <c r="Y718" s="79">
        <v>19.5</v>
      </c>
      <c r="Z718" s="31" t="s">
        <v>10</v>
      </c>
      <c r="AA718" s="37"/>
      <c r="AB718" s="37"/>
    </row>
    <row r="719" spans="1:28" ht="23.1" customHeight="1" x14ac:dyDescent="0.25">
      <c r="A719" s="53" t="s">
        <v>796</v>
      </c>
      <c r="B719" s="31" t="s">
        <v>110</v>
      </c>
      <c r="C719" s="31">
        <v>23</v>
      </c>
      <c r="D719" s="31" t="s">
        <v>717</v>
      </c>
      <c r="E719" s="25" t="s">
        <v>718</v>
      </c>
      <c r="F719" s="21" t="s">
        <v>718</v>
      </c>
      <c r="G719" s="21" t="str">
        <f>VLOOKUP(D719,[6]成飞半成品!$A:$B,2,0)</f>
        <v>上边肋</v>
      </c>
      <c r="H719" s="31" t="s">
        <v>118</v>
      </c>
      <c r="I719" s="31">
        <v>45</v>
      </c>
      <c r="J719" s="37" t="s">
        <v>2028</v>
      </c>
      <c r="K719" s="31">
        <v>0.6</v>
      </c>
      <c r="L719" s="31">
        <v>0.8</v>
      </c>
      <c r="M719" s="37"/>
      <c r="N719" s="31">
        <v>28</v>
      </c>
      <c r="O719" s="77" t="s">
        <v>825</v>
      </c>
      <c r="P719" s="34"/>
      <c r="Q719" s="31">
        <v>1080</v>
      </c>
      <c r="R719" s="31">
        <v>90</v>
      </c>
      <c r="S719" s="31"/>
      <c r="T719" s="31">
        <v>1</v>
      </c>
      <c r="U719" s="31">
        <v>120</v>
      </c>
      <c r="V719" s="31"/>
      <c r="W719" s="37"/>
      <c r="X719" s="37"/>
      <c r="Y719" s="79">
        <v>15.9</v>
      </c>
      <c r="Z719" s="31" t="s">
        <v>22</v>
      </c>
      <c r="AA719" s="37" t="s">
        <v>145</v>
      </c>
      <c r="AB719" s="37"/>
    </row>
    <row r="720" spans="1:28" ht="23.1" customHeight="1" x14ac:dyDescent="0.25">
      <c r="A720" s="53" t="s">
        <v>796</v>
      </c>
      <c r="B720" s="31" t="s">
        <v>110</v>
      </c>
      <c r="C720" s="31">
        <v>47</v>
      </c>
      <c r="D720" s="31" t="s">
        <v>826</v>
      </c>
      <c r="E720" s="25" t="s">
        <v>827</v>
      </c>
      <c r="F720" s="21" t="s">
        <v>827</v>
      </c>
      <c r="G720" s="21" t="str">
        <f>VLOOKUP(D720,[6]成飞半成品!$A:$B,2,0)</f>
        <v>BL900侧梁</v>
      </c>
      <c r="H720" s="31" t="s">
        <v>118</v>
      </c>
      <c r="I720" s="31">
        <v>10</v>
      </c>
      <c r="J720" s="37" t="s">
        <v>2059</v>
      </c>
      <c r="K720" s="31">
        <v>2.2999999999999998</v>
      </c>
      <c r="L720" s="31">
        <v>2.2999999999999998</v>
      </c>
      <c r="M720" s="31">
        <v>5</v>
      </c>
      <c r="N720" s="31">
        <v>28</v>
      </c>
      <c r="O720" s="77" t="s">
        <v>828</v>
      </c>
      <c r="P720" s="31"/>
      <c r="Q720" s="31">
        <v>180</v>
      </c>
      <c r="R720" s="31">
        <v>60</v>
      </c>
      <c r="S720" s="31"/>
      <c r="T720" s="31">
        <v>3</v>
      </c>
      <c r="U720" s="31">
        <v>60</v>
      </c>
      <c r="V720" s="31"/>
      <c r="W720" s="37">
        <v>1</v>
      </c>
      <c r="X720" s="37"/>
      <c r="Y720" s="79">
        <v>10.9</v>
      </c>
      <c r="Z720" s="31" t="s">
        <v>22</v>
      </c>
      <c r="AA720" s="37" t="s">
        <v>829</v>
      </c>
      <c r="AB720" s="37"/>
    </row>
    <row r="721" spans="1:28" ht="23.1" customHeight="1" x14ac:dyDescent="0.25">
      <c r="A721" s="53" t="s">
        <v>796</v>
      </c>
      <c r="B721" s="31" t="s">
        <v>110</v>
      </c>
      <c r="C721" s="31">
        <v>47</v>
      </c>
      <c r="D721" s="31" t="s">
        <v>826</v>
      </c>
      <c r="E721" s="25" t="s">
        <v>827</v>
      </c>
      <c r="F721" s="21" t="s">
        <v>827</v>
      </c>
      <c r="G721" s="21" t="str">
        <f>VLOOKUP(D721,[6]成飞半成品!$A:$B,2,0)</f>
        <v>BL900侧梁</v>
      </c>
      <c r="H721" s="31" t="s">
        <v>118</v>
      </c>
      <c r="I721" s="31">
        <v>5</v>
      </c>
      <c r="J721" s="37" t="s">
        <v>2322</v>
      </c>
      <c r="K721" s="31">
        <v>3</v>
      </c>
      <c r="L721" s="31">
        <v>3</v>
      </c>
      <c r="M721" s="31">
        <v>37</v>
      </c>
      <c r="N721" s="31">
        <v>37</v>
      </c>
      <c r="O721" s="77" t="s">
        <v>828</v>
      </c>
      <c r="P721" s="34"/>
      <c r="Q721" s="31">
        <v>240</v>
      </c>
      <c r="R721" s="31">
        <v>60</v>
      </c>
      <c r="S721" s="31"/>
      <c r="T721" s="31">
        <v>3</v>
      </c>
      <c r="U721" s="31">
        <v>60</v>
      </c>
      <c r="V721" s="31"/>
      <c r="W721" s="37">
        <v>1</v>
      </c>
      <c r="X721" s="37"/>
      <c r="Y721" s="79">
        <v>16</v>
      </c>
      <c r="Z721" s="31" t="s">
        <v>22</v>
      </c>
      <c r="AA721" s="37" t="s">
        <v>829</v>
      </c>
      <c r="AB721" s="37"/>
    </row>
    <row r="722" spans="1:28" ht="23.1" customHeight="1" x14ac:dyDescent="0.25">
      <c r="A722" s="53" t="s">
        <v>796</v>
      </c>
      <c r="B722" s="31" t="s">
        <v>110</v>
      </c>
      <c r="C722" s="31">
        <v>24</v>
      </c>
      <c r="D722" s="31" t="s">
        <v>776</v>
      </c>
      <c r="E722" s="25" t="s">
        <v>777</v>
      </c>
      <c r="F722" s="21" t="s">
        <v>777</v>
      </c>
      <c r="G722" s="21" t="str">
        <f>VLOOKUP(D722,[6]成飞半成品!$A:$B,2,0)</f>
        <v>BL280侧壁（左件）</v>
      </c>
      <c r="H722" s="31" t="s">
        <v>107</v>
      </c>
      <c r="I722" s="31">
        <v>25</v>
      </c>
      <c r="J722" s="37" t="s">
        <v>2035</v>
      </c>
      <c r="K722" s="31">
        <v>0.6</v>
      </c>
      <c r="L722" s="31">
        <v>0.3</v>
      </c>
      <c r="M722" s="37"/>
      <c r="N722" s="31">
        <v>26</v>
      </c>
      <c r="O722" s="77" t="s">
        <v>703</v>
      </c>
      <c r="P722" s="34"/>
      <c r="Q722" s="31">
        <v>840</v>
      </c>
      <c r="R722" s="31">
        <v>120</v>
      </c>
      <c r="S722" s="31"/>
      <c r="T722" s="31"/>
      <c r="U722" s="31">
        <v>150</v>
      </c>
      <c r="V722" s="31"/>
      <c r="W722" s="37"/>
      <c r="X722" s="37"/>
      <c r="Y722" s="79">
        <v>4.2</v>
      </c>
      <c r="Z722" s="31" t="s">
        <v>4</v>
      </c>
      <c r="AA722" s="37"/>
      <c r="AB722" s="37"/>
    </row>
    <row r="723" spans="1:28" ht="23.1" customHeight="1" x14ac:dyDescent="0.25">
      <c r="A723" s="53" t="s">
        <v>796</v>
      </c>
      <c r="B723" s="31" t="s">
        <v>110</v>
      </c>
      <c r="C723" s="31">
        <v>24</v>
      </c>
      <c r="D723" s="31" t="s">
        <v>738</v>
      </c>
      <c r="E723" s="25" t="s">
        <v>739</v>
      </c>
      <c r="F723" s="21" t="s">
        <v>739</v>
      </c>
      <c r="G723" s="21" t="str">
        <f>VLOOKUP(D723,[6]成飞半成品!$A:$B,2,0)</f>
        <v>BL280侧壁（右件）</v>
      </c>
      <c r="H723" s="31" t="s">
        <v>107</v>
      </c>
      <c r="I723" s="31">
        <v>30</v>
      </c>
      <c r="J723" s="37" t="s">
        <v>2061</v>
      </c>
      <c r="K723" s="31">
        <v>0.2</v>
      </c>
      <c r="L723" s="31">
        <v>0.4</v>
      </c>
      <c r="M723" s="37"/>
      <c r="N723" s="31">
        <v>28</v>
      </c>
      <c r="O723" s="77" t="s">
        <v>567</v>
      </c>
      <c r="P723" s="34"/>
      <c r="Q723" s="31">
        <v>1700</v>
      </c>
      <c r="R723" s="31">
        <v>120</v>
      </c>
      <c r="S723" s="31"/>
      <c r="T723" s="31">
        <v>1</v>
      </c>
      <c r="U723" s="31">
        <v>210</v>
      </c>
      <c r="V723" s="31"/>
      <c r="W723" s="37">
        <v>1</v>
      </c>
      <c r="X723" s="37"/>
      <c r="Y723" s="79">
        <v>16.8</v>
      </c>
      <c r="Z723" s="31" t="s">
        <v>4</v>
      </c>
      <c r="AA723" s="37" t="s">
        <v>679</v>
      </c>
      <c r="AB723" s="37"/>
    </row>
    <row r="724" spans="1:28" ht="23.1" customHeight="1" x14ac:dyDescent="0.25">
      <c r="A724" s="53" t="s">
        <v>796</v>
      </c>
      <c r="B724" s="31" t="s">
        <v>110</v>
      </c>
      <c r="C724" s="31">
        <v>69</v>
      </c>
      <c r="D724" s="31" t="s">
        <v>830</v>
      </c>
      <c r="E724" s="25" t="s">
        <v>788</v>
      </c>
      <c r="F724" s="21" t="s">
        <v>788</v>
      </c>
      <c r="G724" s="21" t="str">
        <f>VLOOKUP(D724,[6]成飞半成品!$A:$B,2,0)</f>
        <v>根肋二段</v>
      </c>
      <c r="H724" s="31" t="s">
        <v>123</v>
      </c>
      <c r="I724" s="31">
        <v>50</v>
      </c>
      <c r="J724" s="37" t="s">
        <v>2051</v>
      </c>
      <c r="K724" s="31">
        <v>6</v>
      </c>
      <c r="L724" s="31">
        <v>9</v>
      </c>
      <c r="M724" s="31">
        <v>37</v>
      </c>
      <c r="N724" s="31">
        <v>5</v>
      </c>
      <c r="O724" s="77" t="s">
        <v>216</v>
      </c>
      <c r="P724" s="31"/>
      <c r="Q724" s="31">
        <v>120</v>
      </c>
      <c r="R724" s="31">
        <v>60</v>
      </c>
      <c r="S724" s="31"/>
      <c r="T724" s="31">
        <v>9</v>
      </c>
      <c r="U724" s="31">
        <v>90</v>
      </c>
      <c r="V724" s="31"/>
      <c r="W724" s="37">
        <v>1</v>
      </c>
      <c r="X724" s="37"/>
      <c r="Y724" s="79">
        <v>28.5</v>
      </c>
      <c r="Z724" s="31" t="s">
        <v>4</v>
      </c>
      <c r="AA724" s="37" t="s">
        <v>831</v>
      </c>
      <c r="AB724" s="37"/>
    </row>
    <row r="725" spans="1:28" ht="23.1" customHeight="1" x14ac:dyDescent="0.25">
      <c r="A725" s="53" t="s">
        <v>796</v>
      </c>
      <c r="B725" s="31" t="s">
        <v>110</v>
      </c>
      <c r="C725" s="31">
        <v>91</v>
      </c>
      <c r="D725" s="31" t="s">
        <v>790</v>
      </c>
      <c r="E725" s="25" t="s">
        <v>791</v>
      </c>
      <c r="F725" s="21" t="e">
        <v>#N/A</v>
      </c>
      <c r="G725" s="21" t="e">
        <f>VLOOKUP(D725,[6]成飞半成品!$A:$B,2,0)</f>
        <v>#N/A</v>
      </c>
      <c r="H725" s="31" t="s">
        <v>118</v>
      </c>
      <c r="I725" s="31">
        <v>60</v>
      </c>
      <c r="J725" s="37" t="s">
        <v>2062</v>
      </c>
      <c r="K725" s="31">
        <v>1.3</v>
      </c>
      <c r="L725" s="31">
        <v>0.4</v>
      </c>
      <c r="M725" s="37"/>
      <c r="N725" s="31">
        <v>28</v>
      </c>
      <c r="O725" s="77" t="s">
        <v>475</v>
      </c>
      <c r="P725" s="34"/>
      <c r="Q725" s="31">
        <v>720</v>
      </c>
      <c r="R725" s="31">
        <v>60</v>
      </c>
      <c r="S725" s="31"/>
      <c r="T725" s="31"/>
      <c r="U725" s="31">
        <v>120</v>
      </c>
      <c r="V725" s="31"/>
      <c r="W725" s="37">
        <v>1</v>
      </c>
      <c r="X725" s="37">
        <v>5</v>
      </c>
      <c r="Y725" s="79">
        <v>11.8</v>
      </c>
      <c r="Z725" s="31" t="s">
        <v>4</v>
      </c>
      <c r="AA725" s="37" t="s">
        <v>832</v>
      </c>
      <c r="AB725" s="37"/>
    </row>
    <row r="726" spans="1:28" ht="23.1" customHeight="1" x14ac:dyDescent="0.25">
      <c r="A726" s="53" t="s">
        <v>796</v>
      </c>
      <c r="B726" s="31" t="s">
        <v>110</v>
      </c>
      <c r="C726" s="31">
        <v>91</v>
      </c>
      <c r="D726" s="31" t="s">
        <v>235</v>
      </c>
      <c r="E726" s="25" t="s">
        <v>236</v>
      </c>
      <c r="F726" s="21" t="s">
        <v>236</v>
      </c>
      <c r="G726" s="21" t="str">
        <f>VLOOKUP(D726,[6]成飞半成品!$A:$B,2,0)</f>
        <v>右外侧接头</v>
      </c>
      <c r="H726" s="31" t="s">
        <v>154</v>
      </c>
      <c r="I726" s="31">
        <v>85</v>
      </c>
      <c r="J726" s="31" t="s">
        <v>2063</v>
      </c>
      <c r="K726" s="37"/>
      <c r="L726" s="31">
        <v>1</v>
      </c>
      <c r="M726" s="37"/>
      <c r="N726" s="31">
        <v>26</v>
      </c>
      <c r="O726" s="77" t="s">
        <v>159</v>
      </c>
      <c r="P726" s="31"/>
      <c r="Q726" s="31">
        <v>240</v>
      </c>
      <c r="R726" s="31">
        <v>60</v>
      </c>
      <c r="S726" s="31"/>
      <c r="T726" s="31"/>
      <c r="U726" s="31">
        <v>120</v>
      </c>
      <c r="V726" s="31"/>
      <c r="W726" s="37">
        <v>1</v>
      </c>
      <c r="X726" s="37">
        <v>6</v>
      </c>
      <c r="Y726" s="79">
        <v>12</v>
      </c>
      <c r="Z726" s="31" t="s">
        <v>4</v>
      </c>
      <c r="AA726" s="37" t="s">
        <v>833</v>
      </c>
      <c r="AB726" s="37"/>
    </row>
    <row r="727" spans="1:28" ht="23.1" customHeight="1" x14ac:dyDescent="0.25">
      <c r="A727" s="53" t="s">
        <v>796</v>
      </c>
      <c r="B727" s="31" t="s">
        <v>110</v>
      </c>
      <c r="C727" s="31">
        <v>84</v>
      </c>
      <c r="D727" s="31" t="s">
        <v>594</v>
      </c>
      <c r="E727" s="25" t="s">
        <v>595</v>
      </c>
      <c r="F727" s="21" t="s">
        <v>595</v>
      </c>
      <c r="G727" s="21" t="str">
        <f>VLOOKUP(D727,[6]成飞半成品!$A:$B,2,0)</f>
        <v>加强件</v>
      </c>
      <c r="H727" s="31" t="s">
        <v>102</v>
      </c>
      <c r="I727" s="31">
        <v>25</v>
      </c>
      <c r="J727" s="31" t="s">
        <v>2052</v>
      </c>
      <c r="K727" s="37"/>
      <c r="L727" s="31">
        <v>7</v>
      </c>
      <c r="M727" s="31">
        <v>23</v>
      </c>
      <c r="N727" s="31">
        <v>23</v>
      </c>
      <c r="O727" s="77" t="s">
        <v>596</v>
      </c>
      <c r="P727" s="34"/>
      <c r="Q727" s="31">
        <v>120</v>
      </c>
      <c r="R727" s="31">
        <v>60</v>
      </c>
      <c r="S727" s="31"/>
      <c r="T727" s="31">
        <v>7</v>
      </c>
      <c r="U727" s="31">
        <v>120</v>
      </c>
      <c r="V727" s="31"/>
      <c r="W727" s="37"/>
      <c r="X727" s="37">
        <v>3</v>
      </c>
      <c r="Y727" s="79">
        <v>24</v>
      </c>
      <c r="Z727" s="31" t="s">
        <v>4</v>
      </c>
      <c r="AA727" s="37" t="s">
        <v>516</v>
      </c>
      <c r="AB727" s="37"/>
    </row>
    <row r="728" spans="1:28" ht="23.1" customHeight="1" x14ac:dyDescent="0.25">
      <c r="A728" s="53" t="s">
        <v>796</v>
      </c>
      <c r="B728" s="31" t="s">
        <v>110</v>
      </c>
      <c r="C728" s="31">
        <v>119</v>
      </c>
      <c r="D728" s="31" t="s">
        <v>288</v>
      </c>
      <c r="E728" s="25" t="s">
        <v>255</v>
      </c>
      <c r="F728" s="21" t="s">
        <v>1532</v>
      </c>
      <c r="G728" s="21" t="str">
        <f>VLOOKUP(D728,[6]成飞半成品!$A:$B,2,0)</f>
        <v>9350-11140左侧上梁</v>
      </c>
      <c r="H728" s="31" t="s">
        <v>250</v>
      </c>
      <c r="I728" s="31">
        <v>50</v>
      </c>
      <c r="J728" s="37" t="s">
        <v>2021</v>
      </c>
      <c r="K728" s="31">
        <v>0.3</v>
      </c>
      <c r="L728" s="31">
        <v>0.4</v>
      </c>
      <c r="M728" s="37"/>
      <c r="N728" s="31">
        <v>28</v>
      </c>
      <c r="O728" s="77" t="s">
        <v>475</v>
      </c>
      <c r="P728" s="34"/>
      <c r="Q728" s="31">
        <v>3000</v>
      </c>
      <c r="R728" s="31">
        <v>90</v>
      </c>
      <c r="S728" s="31"/>
      <c r="T728" s="31"/>
      <c r="U728" s="31">
        <v>150</v>
      </c>
      <c r="V728" s="31"/>
      <c r="W728" s="37"/>
      <c r="X728" s="37"/>
      <c r="Y728" s="79">
        <v>20</v>
      </c>
      <c r="Z728" s="31" t="s">
        <v>4</v>
      </c>
      <c r="AA728" s="37"/>
      <c r="AB728" s="37"/>
    </row>
    <row r="729" spans="1:28" ht="23.1" customHeight="1" x14ac:dyDescent="0.25">
      <c r="A729" s="53" t="s">
        <v>796</v>
      </c>
      <c r="B729" s="31" t="s">
        <v>110</v>
      </c>
      <c r="C729" s="31">
        <v>121</v>
      </c>
      <c r="D729" s="31" t="s">
        <v>834</v>
      </c>
      <c r="E729" s="25" t="s">
        <v>835</v>
      </c>
      <c r="F729" s="21" t="s">
        <v>835</v>
      </c>
      <c r="G729" s="21" t="str">
        <f>VLOOKUP(D729,[6]成飞半成品!$A:$B,2,0)</f>
        <v>根肋三段</v>
      </c>
      <c r="H729" s="31" t="s">
        <v>154</v>
      </c>
      <c r="I729" s="31">
        <v>60</v>
      </c>
      <c r="J729" s="31" t="s">
        <v>2064</v>
      </c>
      <c r="K729" s="37"/>
      <c r="L729" s="31">
        <v>1</v>
      </c>
      <c r="M729" s="37"/>
      <c r="N729" s="31">
        <v>5</v>
      </c>
      <c r="O729" s="77" t="s">
        <v>470</v>
      </c>
      <c r="P729" s="34"/>
      <c r="Q729" s="31">
        <v>270</v>
      </c>
      <c r="R729" s="31">
        <v>60</v>
      </c>
      <c r="S729" s="31"/>
      <c r="T729" s="31"/>
      <c r="U729" s="31">
        <v>180</v>
      </c>
      <c r="V729" s="31"/>
      <c r="W729" s="37">
        <v>1</v>
      </c>
      <c r="X729" s="37">
        <v>8</v>
      </c>
      <c r="Y729" s="79">
        <v>15.5</v>
      </c>
      <c r="Z729" s="31" t="s">
        <v>4</v>
      </c>
      <c r="AA729" s="37" t="s">
        <v>836</v>
      </c>
      <c r="AB729" s="37"/>
    </row>
    <row r="730" spans="1:28" ht="23.1" customHeight="1" x14ac:dyDescent="0.25">
      <c r="A730" s="53" t="s">
        <v>796</v>
      </c>
      <c r="B730" s="31" t="s">
        <v>110</v>
      </c>
      <c r="C730" s="31">
        <v>56</v>
      </c>
      <c r="D730" s="31" t="s">
        <v>676</v>
      </c>
      <c r="E730" s="25" t="s">
        <v>595</v>
      </c>
      <c r="F730" s="21" t="s">
        <v>595</v>
      </c>
      <c r="G730" s="21" t="str">
        <f>VLOOKUP(D730,[6]成飞半成品!$A:$B,2,0)</f>
        <v>加强件</v>
      </c>
      <c r="H730" s="31" t="s">
        <v>154</v>
      </c>
      <c r="I730" s="31">
        <v>15</v>
      </c>
      <c r="J730" s="37" t="s">
        <v>2043</v>
      </c>
      <c r="K730" s="31">
        <v>4</v>
      </c>
      <c r="L730" s="31">
        <v>4</v>
      </c>
      <c r="M730" s="31" t="s">
        <v>837</v>
      </c>
      <c r="N730" s="31">
        <v>31</v>
      </c>
      <c r="O730" s="77" t="s">
        <v>509</v>
      </c>
      <c r="P730" s="31"/>
      <c r="Q730" s="31">
        <v>250</v>
      </c>
      <c r="R730" s="31"/>
      <c r="S730" s="31"/>
      <c r="T730" s="31"/>
      <c r="U730" s="31">
        <v>60</v>
      </c>
      <c r="V730" s="31"/>
      <c r="W730" s="37"/>
      <c r="X730" s="37"/>
      <c r="Y730" s="79">
        <v>16.7</v>
      </c>
      <c r="Z730" s="31" t="s">
        <v>18</v>
      </c>
      <c r="AA730" s="37"/>
      <c r="AB730" s="37"/>
    </row>
    <row r="731" spans="1:28" ht="23.1" customHeight="1" x14ac:dyDescent="0.25">
      <c r="A731" s="53" t="s">
        <v>796</v>
      </c>
      <c r="B731" s="31" t="s">
        <v>110</v>
      </c>
      <c r="C731" s="31">
        <v>55</v>
      </c>
      <c r="D731" s="31" t="s">
        <v>749</v>
      </c>
      <c r="E731" s="25" t="s">
        <v>139</v>
      </c>
      <c r="F731" s="21" t="s">
        <v>139</v>
      </c>
      <c r="G731" s="21" t="str">
        <f>VLOOKUP(D731,[6]成飞半成品!$A:$B,2,0)</f>
        <v>支座</v>
      </c>
      <c r="H731" s="31" t="s">
        <v>123</v>
      </c>
      <c r="I731" s="31">
        <v>10</v>
      </c>
      <c r="J731" s="37" t="s">
        <v>2023</v>
      </c>
      <c r="K731" s="31">
        <v>15</v>
      </c>
      <c r="L731" s="31">
        <v>20</v>
      </c>
      <c r="M731" s="31">
        <v>19</v>
      </c>
      <c r="N731" s="31">
        <v>31</v>
      </c>
      <c r="O731" s="77" t="s">
        <v>439</v>
      </c>
      <c r="P731" s="31"/>
      <c r="Q731" s="31">
        <v>35</v>
      </c>
      <c r="R731" s="31"/>
      <c r="S731" s="31"/>
      <c r="T731" s="31"/>
      <c r="U731" s="31">
        <v>60</v>
      </c>
      <c r="V731" s="31"/>
      <c r="W731" s="37"/>
      <c r="X731" s="37"/>
      <c r="Y731" s="79">
        <v>11.7</v>
      </c>
      <c r="Z731" s="31" t="s">
        <v>18</v>
      </c>
      <c r="AA731" s="37"/>
      <c r="AB731" s="37"/>
    </row>
    <row r="732" spans="1:28" ht="23.1" customHeight="1" x14ac:dyDescent="0.25">
      <c r="A732" s="53" t="s">
        <v>796</v>
      </c>
      <c r="B732" s="31" t="s">
        <v>110</v>
      </c>
      <c r="C732" s="31">
        <v>12</v>
      </c>
      <c r="D732" s="31" t="s">
        <v>735</v>
      </c>
      <c r="E732" s="25" t="s">
        <v>249</v>
      </c>
      <c r="F732" s="21" t="s">
        <v>249</v>
      </c>
      <c r="G732" s="21" t="str">
        <f>VLOOKUP(D732,[6]成飞半成品!$A:$B,2,0)</f>
        <v>10060下接头</v>
      </c>
      <c r="H732" s="31" t="s">
        <v>250</v>
      </c>
      <c r="I732" s="31">
        <v>15</v>
      </c>
      <c r="J732" s="37" t="s">
        <v>1903</v>
      </c>
      <c r="K732" s="31">
        <v>1</v>
      </c>
      <c r="L732" s="31">
        <v>1.6</v>
      </c>
      <c r="M732" s="31">
        <v>19</v>
      </c>
      <c r="N732" s="31">
        <v>28</v>
      </c>
      <c r="O732" s="77" t="s">
        <v>838</v>
      </c>
      <c r="P732" s="31"/>
      <c r="Q732" s="31">
        <v>600</v>
      </c>
      <c r="R732" s="31"/>
      <c r="S732" s="31"/>
      <c r="T732" s="31"/>
      <c r="U732" s="31">
        <v>120</v>
      </c>
      <c r="V732" s="31"/>
      <c r="W732" s="37"/>
      <c r="X732" s="37"/>
      <c r="Y732" s="79">
        <v>16</v>
      </c>
      <c r="Z732" s="31" t="s">
        <v>10</v>
      </c>
      <c r="AA732" s="37"/>
      <c r="AB732" s="37"/>
    </row>
    <row r="733" spans="1:28" ht="23.1" customHeight="1" x14ac:dyDescent="0.25">
      <c r="A733" s="53" t="s">
        <v>796</v>
      </c>
      <c r="B733" s="31" t="s">
        <v>137</v>
      </c>
      <c r="C733" s="31">
        <v>10</v>
      </c>
      <c r="D733" s="31" t="s">
        <v>517</v>
      </c>
      <c r="E733" s="25" t="s">
        <v>518</v>
      </c>
      <c r="F733" s="21" t="s">
        <v>518</v>
      </c>
      <c r="G733" s="21" t="str">
        <f>VLOOKUP(D733,[6]成飞半成品!$A:$B,2,0)</f>
        <v>带板</v>
      </c>
      <c r="H733" s="31" t="s">
        <v>300</v>
      </c>
      <c r="I733" s="31">
        <v>30</v>
      </c>
      <c r="J733" s="37" t="s">
        <v>2436</v>
      </c>
      <c r="K733" s="31">
        <v>2.2000000000000002</v>
      </c>
      <c r="L733" s="31">
        <v>3</v>
      </c>
      <c r="M733" s="31">
        <v>23</v>
      </c>
      <c r="N733" s="31">
        <v>28</v>
      </c>
      <c r="O733" s="77" t="s">
        <v>839</v>
      </c>
      <c r="P733" s="31"/>
      <c r="Q733" s="31">
        <v>270</v>
      </c>
      <c r="R733" s="31"/>
      <c r="S733" s="31"/>
      <c r="T733" s="31"/>
      <c r="U733" s="31">
        <v>90</v>
      </c>
      <c r="V733" s="31"/>
      <c r="W733" s="37"/>
      <c r="X733" s="37"/>
      <c r="Y733" s="79">
        <v>13.5</v>
      </c>
      <c r="Z733" s="31" t="s">
        <v>30</v>
      </c>
      <c r="AA733" s="37"/>
      <c r="AB733" s="37"/>
    </row>
    <row r="734" spans="1:28" ht="23.1" customHeight="1" x14ac:dyDescent="0.25">
      <c r="A734" s="53" t="s">
        <v>796</v>
      </c>
      <c r="B734" s="31" t="s">
        <v>137</v>
      </c>
      <c r="C734" s="31">
        <v>9</v>
      </c>
      <c r="D734" s="31" t="s">
        <v>229</v>
      </c>
      <c r="E734" s="25" t="s">
        <v>230</v>
      </c>
      <c r="F734" s="21" t="s">
        <v>230</v>
      </c>
      <c r="G734" s="21" t="str">
        <f>VLOOKUP(D734,[6]成飞半成品!$A:$B,2,0)</f>
        <v>前起落架舱门结构支撑梁</v>
      </c>
      <c r="H734" s="31" t="s">
        <v>154</v>
      </c>
      <c r="I734" s="31">
        <v>30</v>
      </c>
      <c r="J734" s="37" t="s">
        <v>2058</v>
      </c>
      <c r="K734" s="31">
        <v>6</v>
      </c>
      <c r="L734" s="31">
        <v>6</v>
      </c>
      <c r="M734" s="31">
        <v>23</v>
      </c>
      <c r="N734" s="31">
        <v>23</v>
      </c>
      <c r="O734" s="77" t="s">
        <v>275</v>
      </c>
      <c r="P734" s="31"/>
      <c r="Q734" s="31">
        <v>80</v>
      </c>
      <c r="R734" s="31"/>
      <c r="S734" s="31"/>
      <c r="T734" s="31"/>
      <c r="U734" s="31">
        <v>60</v>
      </c>
      <c r="V734" s="31"/>
      <c r="W734" s="37"/>
      <c r="X734" s="37"/>
      <c r="Y734" s="79">
        <v>8</v>
      </c>
      <c r="Z734" s="31" t="s">
        <v>30</v>
      </c>
      <c r="AA734" s="37"/>
      <c r="AB734" s="37"/>
    </row>
    <row r="735" spans="1:28" ht="23.1" customHeight="1" x14ac:dyDescent="0.25">
      <c r="A735" s="53" t="s">
        <v>796</v>
      </c>
      <c r="B735" s="31" t="s">
        <v>137</v>
      </c>
      <c r="C735" s="31">
        <v>11</v>
      </c>
      <c r="D735" s="31" t="s">
        <v>2563</v>
      </c>
      <c r="E735" s="25" t="s">
        <v>691</v>
      </c>
      <c r="F735" s="21" t="s">
        <v>691</v>
      </c>
      <c r="G735" s="21" t="str">
        <f>VLOOKUP(D735,[6]成飞半成品!$A:$B,2,0)</f>
        <v>地板支撑件</v>
      </c>
      <c r="H735" s="31" t="s">
        <v>123</v>
      </c>
      <c r="I735" s="31">
        <v>25</v>
      </c>
      <c r="J735" s="37" t="s">
        <v>2054</v>
      </c>
      <c r="K735" s="31">
        <v>6</v>
      </c>
      <c r="L735" s="31">
        <v>2.5</v>
      </c>
      <c r="M735" s="31">
        <v>26</v>
      </c>
      <c r="N735" s="31">
        <v>26</v>
      </c>
      <c r="O735" s="77" t="s">
        <v>840</v>
      </c>
      <c r="P735" s="31"/>
      <c r="Q735" s="31">
        <v>180</v>
      </c>
      <c r="R735" s="31"/>
      <c r="S735" s="31"/>
      <c r="T735" s="31"/>
      <c r="U735" s="31">
        <v>60</v>
      </c>
      <c r="V735" s="31"/>
      <c r="W735" s="37"/>
      <c r="X735" s="37"/>
      <c r="Y735" s="79">
        <v>7.5</v>
      </c>
      <c r="Z735" s="31" t="s">
        <v>63</v>
      </c>
      <c r="AA735" s="37"/>
      <c r="AB735" s="37"/>
    </row>
    <row r="736" spans="1:28" ht="23.1" customHeight="1" x14ac:dyDescent="0.25">
      <c r="A736" s="53" t="s">
        <v>796</v>
      </c>
      <c r="B736" s="31" t="s">
        <v>137</v>
      </c>
      <c r="C736" s="31">
        <v>16</v>
      </c>
      <c r="D736" s="31" t="s">
        <v>805</v>
      </c>
      <c r="E736" s="25" t="s">
        <v>806</v>
      </c>
      <c r="F736" s="21" t="s">
        <v>806</v>
      </c>
      <c r="G736" s="21" t="str">
        <f>VLOOKUP(D736,[6]成飞半成品!$A:$B,2,0)</f>
        <v>前缘短肋</v>
      </c>
      <c r="H736" s="31" t="s">
        <v>154</v>
      </c>
      <c r="I736" s="31">
        <v>15</v>
      </c>
      <c r="J736" s="37" t="s">
        <v>2065</v>
      </c>
      <c r="K736" s="31">
        <v>2</v>
      </c>
      <c r="L736" s="31">
        <v>0.7</v>
      </c>
      <c r="M736" s="31"/>
      <c r="N736" s="31">
        <v>28</v>
      </c>
      <c r="O736" s="77" t="s">
        <v>234</v>
      </c>
      <c r="P736" s="31"/>
      <c r="Q736" s="31">
        <v>630</v>
      </c>
      <c r="R736" s="31"/>
      <c r="S736" s="31"/>
      <c r="T736" s="31"/>
      <c r="U736" s="31">
        <v>120</v>
      </c>
      <c r="V736" s="31"/>
      <c r="W736" s="37"/>
      <c r="X736" s="37">
        <v>2</v>
      </c>
      <c r="Y736" s="79">
        <v>9.4</v>
      </c>
      <c r="Z736" s="31" t="s">
        <v>63</v>
      </c>
      <c r="AA736" s="37" t="s">
        <v>841</v>
      </c>
      <c r="AB736" s="25" t="s">
        <v>238</v>
      </c>
    </row>
    <row r="737" spans="1:28" ht="23.1" customHeight="1" x14ac:dyDescent="0.25">
      <c r="A737" s="53" t="s">
        <v>796</v>
      </c>
      <c r="B737" s="31" t="s">
        <v>137</v>
      </c>
      <c r="C737" s="31">
        <v>57</v>
      </c>
      <c r="D737" s="31" t="s">
        <v>698</v>
      </c>
      <c r="E737" s="25" t="s">
        <v>699</v>
      </c>
      <c r="F737" s="21" t="e">
        <v>#N/A</v>
      </c>
      <c r="G737" s="21" t="e">
        <f>VLOOKUP(D737,[6]成飞半成品!$A:$B,2,0)</f>
        <v>#N/A</v>
      </c>
      <c r="H737" s="31" t="s">
        <v>123</v>
      </c>
      <c r="I737" s="31">
        <v>15</v>
      </c>
      <c r="J737" s="37" t="s">
        <v>2042</v>
      </c>
      <c r="K737" s="31">
        <v>4</v>
      </c>
      <c r="L737" s="31">
        <v>5</v>
      </c>
      <c r="M737" s="31">
        <v>5</v>
      </c>
      <c r="N737" s="31">
        <v>28</v>
      </c>
      <c r="O737" s="77" t="s">
        <v>842</v>
      </c>
      <c r="P737" s="31"/>
      <c r="Q737" s="31">
        <v>130</v>
      </c>
      <c r="R737" s="31"/>
      <c r="S737" s="31"/>
      <c r="T737" s="31"/>
      <c r="U737" s="31">
        <v>60</v>
      </c>
      <c r="V737" s="31"/>
      <c r="W737" s="37"/>
      <c r="X737" s="37"/>
      <c r="Y737" s="79">
        <v>10.8</v>
      </c>
      <c r="Z737" s="31" t="s">
        <v>7</v>
      </c>
      <c r="AA737" s="37"/>
      <c r="AB737" s="37"/>
    </row>
    <row r="738" spans="1:28" ht="23.1" customHeight="1" x14ac:dyDescent="0.25">
      <c r="A738" s="53" t="s">
        <v>796</v>
      </c>
      <c r="B738" s="31" t="s">
        <v>110</v>
      </c>
      <c r="C738" s="31">
        <v>14</v>
      </c>
      <c r="D738" s="31" t="s">
        <v>235</v>
      </c>
      <c r="E738" s="25" t="s">
        <v>236</v>
      </c>
      <c r="F738" s="21" t="s">
        <v>236</v>
      </c>
      <c r="G738" s="21" t="str">
        <f>VLOOKUP(D738,[6]成飞半成品!$A:$B,2,0)</f>
        <v>右外侧接头</v>
      </c>
      <c r="H738" s="31" t="s">
        <v>154</v>
      </c>
      <c r="I738" s="31">
        <v>40</v>
      </c>
      <c r="J738" s="37" t="s">
        <v>2066</v>
      </c>
      <c r="K738" s="31">
        <v>1</v>
      </c>
      <c r="L738" s="31">
        <v>1</v>
      </c>
      <c r="M738" s="31">
        <v>9</v>
      </c>
      <c r="N738" s="31">
        <v>5</v>
      </c>
      <c r="O738" s="77" t="s">
        <v>234</v>
      </c>
      <c r="P738" s="31"/>
      <c r="Q738" s="31">
        <v>180</v>
      </c>
      <c r="R738" s="31"/>
      <c r="S738" s="31"/>
      <c r="T738" s="31"/>
      <c r="U738" s="31">
        <v>90</v>
      </c>
      <c r="V738" s="31"/>
      <c r="W738" s="37">
        <v>1</v>
      </c>
      <c r="X738" s="37">
        <v>2</v>
      </c>
      <c r="Y738" s="79">
        <v>6.5</v>
      </c>
      <c r="Z738" s="31" t="s">
        <v>60</v>
      </c>
      <c r="AA738" s="37" t="s">
        <v>803</v>
      </c>
      <c r="AB738" s="37"/>
    </row>
    <row r="739" spans="1:28" ht="23.1" customHeight="1" x14ac:dyDescent="0.25">
      <c r="A739" s="53" t="s">
        <v>796</v>
      </c>
      <c r="B739" s="31" t="s">
        <v>110</v>
      </c>
      <c r="C739" s="31">
        <v>14</v>
      </c>
      <c r="D739" s="31" t="s">
        <v>235</v>
      </c>
      <c r="E739" s="25" t="s">
        <v>236</v>
      </c>
      <c r="F739" s="21" t="s">
        <v>236</v>
      </c>
      <c r="G739" s="21" t="str">
        <f>VLOOKUP(D739,[6]成飞半成品!$A:$B,2,0)</f>
        <v>右外侧接头</v>
      </c>
      <c r="H739" s="31" t="s">
        <v>154</v>
      </c>
      <c r="I739" s="31">
        <v>45</v>
      </c>
      <c r="J739" s="37" t="s">
        <v>2067</v>
      </c>
      <c r="K739" s="31">
        <v>1</v>
      </c>
      <c r="L739" s="31">
        <v>1</v>
      </c>
      <c r="M739" s="31">
        <v>9</v>
      </c>
      <c r="N739" s="31">
        <v>5</v>
      </c>
      <c r="O739" s="77" t="s">
        <v>234</v>
      </c>
      <c r="P739" s="31"/>
      <c r="Q739" s="31">
        <v>120</v>
      </c>
      <c r="R739" s="31"/>
      <c r="S739" s="31"/>
      <c r="T739" s="31"/>
      <c r="U739" s="31">
        <v>90</v>
      </c>
      <c r="V739" s="31"/>
      <c r="W739" s="37">
        <v>1</v>
      </c>
      <c r="X739" s="37"/>
      <c r="Y739" s="79">
        <v>3.5</v>
      </c>
      <c r="Z739" s="31" t="s">
        <v>60</v>
      </c>
      <c r="AA739" s="37"/>
      <c r="AB739" s="37"/>
    </row>
    <row r="740" spans="1:28" ht="23.1" customHeight="1" x14ac:dyDescent="0.25">
      <c r="A740" s="53" t="s">
        <v>796</v>
      </c>
      <c r="B740" s="31" t="s">
        <v>137</v>
      </c>
      <c r="C740" s="31">
        <v>58</v>
      </c>
      <c r="D740" s="31" t="s">
        <v>813</v>
      </c>
      <c r="E740" s="25" t="s">
        <v>409</v>
      </c>
      <c r="F740" s="21" t="s">
        <v>409</v>
      </c>
      <c r="G740" s="21" t="str">
        <f>VLOOKUP(D740,[6]成飞半成品!$A:$B,2,0)</f>
        <v>接头</v>
      </c>
      <c r="H740" s="31" t="s">
        <v>102</v>
      </c>
      <c r="I740" s="31">
        <v>20</v>
      </c>
      <c r="J740" s="37" t="s">
        <v>1862</v>
      </c>
      <c r="K740" s="31">
        <v>1</v>
      </c>
      <c r="L740" s="31">
        <v>1</v>
      </c>
      <c r="M740" s="31">
        <v>31</v>
      </c>
      <c r="N740" s="31"/>
      <c r="O740" s="77" t="s">
        <v>596</v>
      </c>
      <c r="P740" s="34"/>
      <c r="Q740" s="31">
        <v>260</v>
      </c>
      <c r="R740" s="31"/>
      <c r="S740" s="31"/>
      <c r="T740" s="31"/>
      <c r="U740" s="31">
        <v>90</v>
      </c>
      <c r="V740" s="31"/>
      <c r="W740" s="37"/>
      <c r="X740" s="37"/>
      <c r="Y740" s="79">
        <v>4.3</v>
      </c>
      <c r="Z740" s="31" t="s">
        <v>7</v>
      </c>
      <c r="AA740" s="37" t="s">
        <v>843</v>
      </c>
      <c r="AB740" s="37"/>
    </row>
    <row r="741" spans="1:28" ht="23.1" customHeight="1" x14ac:dyDescent="0.25">
      <c r="A741" s="53" t="s">
        <v>796</v>
      </c>
      <c r="B741" s="31" t="s">
        <v>137</v>
      </c>
      <c r="C741" s="31">
        <v>58</v>
      </c>
      <c r="D741" s="31" t="s">
        <v>813</v>
      </c>
      <c r="E741" s="25" t="s">
        <v>409</v>
      </c>
      <c r="F741" s="21" t="s">
        <v>409</v>
      </c>
      <c r="G741" s="21" t="str">
        <f>VLOOKUP(D741,[6]成飞半成品!$A:$B,2,0)</f>
        <v>接头</v>
      </c>
      <c r="H741" s="31" t="s">
        <v>102</v>
      </c>
      <c r="I741" s="31">
        <v>25</v>
      </c>
      <c r="J741" s="37" t="s">
        <v>2068</v>
      </c>
      <c r="K741" s="31">
        <v>1</v>
      </c>
      <c r="L741" s="31">
        <v>1</v>
      </c>
      <c r="M741" s="31">
        <v>31</v>
      </c>
      <c r="N741" s="31"/>
      <c r="O741" s="77" t="s">
        <v>596</v>
      </c>
      <c r="P741" s="34"/>
      <c r="Q741" s="31">
        <v>120</v>
      </c>
      <c r="R741" s="31"/>
      <c r="S741" s="31"/>
      <c r="T741" s="31"/>
      <c r="U741" s="31">
        <v>90</v>
      </c>
      <c r="V741" s="31"/>
      <c r="W741" s="37"/>
      <c r="X741" s="37"/>
      <c r="Y741" s="79">
        <v>2</v>
      </c>
      <c r="Z741" s="31" t="s">
        <v>7</v>
      </c>
      <c r="AA741" s="37"/>
      <c r="AB741" s="37"/>
    </row>
    <row r="742" spans="1:28" ht="23.1" customHeight="1" x14ac:dyDescent="0.25">
      <c r="A742" s="53" t="s">
        <v>796</v>
      </c>
      <c r="B742" s="31" t="s">
        <v>137</v>
      </c>
      <c r="C742" s="31">
        <v>58</v>
      </c>
      <c r="D742" s="31" t="s">
        <v>815</v>
      </c>
      <c r="E742" s="25" t="s">
        <v>409</v>
      </c>
      <c r="F742" s="21" t="s">
        <v>409</v>
      </c>
      <c r="G742" s="21" t="str">
        <f>VLOOKUP(D742,[6]成飞半成品!$A:$B,2,0)</f>
        <v>接头</v>
      </c>
      <c r="H742" s="31" t="s">
        <v>102</v>
      </c>
      <c r="I742" s="31">
        <v>20</v>
      </c>
      <c r="J742" s="37" t="s">
        <v>1862</v>
      </c>
      <c r="K742" s="31">
        <v>1</v>
      </c>
      <c r="L742" s="31">
        <v>1</v>
      </c>
      <c r="M742" s="31">
        <v>5</v>
      </c>
      <c r="N742" s="31"/>
      <c r="O742" s="77" t="s">
        <v>596</v>
      </c>
      <c r="P742" s="34"/>
      <c r="Q742" s="31">
        <v>260</v>
      </c>
      <c r="R742" s="31"/>
      <c r="S742" s="31"/>
      <c r="T742" s="31"/>
      <c r="U742" s="31">
        <v>90</v>
      </c>
      <c r="V742" s="31"/>
      <c r="W742" s="37">
        <v>1</v>
      </c>
      <c r="X742" s="37">
        <v>2</v>
      </c>
      <c r="Y742" s="79">
        <v>7.8</v>
      </c>
      <c r="Z742" s="31" t="s">
        <v>7</v>
      </c>
      <c r="AA742" s="37" t="s">
        <v>844</v>
      </c>
      <c r="AB742" s="25" t="s">
        <v>238</v>
      </c>
    </row>
    <row r="743" spans="1:28" ht="23.1" customHeight="1" x14ac:dyDescent="0.25">
      <c r="A743" s="53" t="s">
        <v>796</v>
      </c>
      <c r="B743" s="31" t="s">
        <v>137</v>
      </c>
      <c r="C743" s="31">
        <v>18</v>
      </c>
      <c r="D743" s="31" t="s">
        <v>205</v>
      </c>
      <c r="E743" s="25" t="s">
        <v>206</v>
      </c>
      <c r="F743" s="21" t="s">
        <v>206</v>
      </c>
      <c r="G743" s="21" t="str">
        <f>VLOOKUP(D743,[6]成飞半成品!$A:$B,2,0)</f>
        <v>卡环</v>
      </c>
      <c r="H743" s="31" t="s">
        <v>123</v>
      </c>
      <c r="I743" s="31">
        <v>60</v>
      </c>
      <c r="J743" s="37" t="s">
        <v>1861</v>
      </c>
      <c r="K743" s="31">
        <v>1</v>
      </c>
      <c r="L743" s="31">
        <v>1</v>
      </c>
      <c r="M743" s="37"/>
      <c r="N743" s="31">
        <v>19</v>
      </c>
      <c r="O743" s="77" t="s">
        <v>845</v>
      </c>
      <c r="P743" s="34"/>
      <c r="Q743" s="31">
        <v>180</v>
      </c>
      <c r="R743" s="31"/>
      <c r="S743" s="31"/>
      <c r="T743" s="31"/>
      <c r="U743" s="31">
        <v>90</v>
      </c>
      <c r="V743" s="31"/>
      <c r="W743" s="37"/>
      <c r="X743" s="37"/>
      <c r="Y743" s="79">
        <v>3</v>
      </c>
      <c r="Z743" s="31" t="s">
        <v>16</v>
      </c>
      <c r="AA743" s="37"/>
      <c r="AB743" s="37"/>
    </row>
    <row r="744" spans="1:28" ht="23.1" customHeight="1" x14ac:dyDescent="0.25">
      <c r="A744" s="53" t="s">
        <v>796</v>
      </c>
      <c r="B744" s="31" t="s">
        <v>137</v>
      </c>
      <c r="C744" s="31">
        <v>18</v>
      </c>
      <c r="D744" s="31" t="s">
        <v>205</v>
      </c>
      <c r="E744" s="25" t="s">
        <v>206</v>
      </c>
      <c r="F744" s="21" t="s">
        <v>206</v>
      </c>
      <c r="G744" s="21" t="str">
        <f>VLOOKUP(D744,[6]成飞半成品!$A:$B,2,0)</f>
        <v>卡环</v>
      </c>
      <c r="H744" s="31" t="s">
        <v>123</v>
      </c>
      <c r="I744" s="31">
        <v>65</v>
      </c>
      <c r="J744" s="37" t="s">
        <v>2049</v>
      </c>
      <c r="K744" s="31">
        <v>1</v>
      </c>
      <c r="L744" s="31">
        <v>3</v>
      </c>
      <c r="M744" s="31">
        <v>23</v>
      </c>
      <c r="N744" s="31">
        <v>23</v>
      </c>
      <c r="O744" s="77" t="s">
        <v>726</v>
      </c>
      <c r="P744" s="34"/>
      <c r="Q744" s="31">
        <v>240</v>
      </c>
      <c r="R744" s="31"/>
      <c r="S744" s="31"/>
      <c r="T744" s="31"/>
      <c r="U744" s="31">
        <v>120</v>
      </c>
      <c r="V744" s="31"/>
      <c r="W744" s="37"/>
      <c r="X744" s="37"/>
      <c r="Y744" s="79">
        <v>12</v>
      </c>
      <c r="Z744" s="31" t="s">
        <v>16</v>
      </c>
      <c r="AA744" s="37"/>
      <c r="AB744" s="37"/>
    </row>
    <row r="745" spans="1:28" ht="23.1" customHeight="1" x14ac:dyDescent="0.25">
      <c r="A745" s="53" t="s">
        <v>796</v>
      </c>
      <c r="B745" s="31" t="s">
        <v>137</v>
      </c>
      <c r="C745" s="31">
        <v>59</v>
      </c>
      <c r="D745" s="31" t="s">
        <v>846</v>
      </c>
      <c r="E745" s="25" t="s">
        <v>847</v>
      </c>
      <c r="F745" s="21" t="s">
        <v>847</v>
      </c>
      <c r="G745" s="21" t="str">
        <f>VLOOKUP(D745,[6]成飞半成品!$A:$B,2,0)</f>
        <v>短框连接块</v>
      </c>
      <c r="H745" s="31" t="s">
        <v>102</v>
      </c>
      <c r="I745" s="31">
        <v>5</v>
      </c>
      <c r="J745" s="37" t="s">
        <v>2060</v>
      </c>
      <c r="K745" s="31">
        <v>8</v>
      </c>
      <c r="L745" s="31">
        <v>8</v>
      </c>
      <c r="M745" s="31">
        <v>5</v>
      </c>
      <c r="N745" s="31">
        <v>5</v>
      </c>
      <c r="O745" s="77" t="s">
        <v>596</v>
      </c>
      <c r="P745" s="34"/>
      <c r="Q745" s="31">
        <v>35</v>
      </c>
      <c r="R745" s="31"/>
      <c r="S745" s="31"/>
      <c r="T745" s="31"/>
      <c r="U745" s="31">
        <v>60</v>
      </c>
      <c r="V745" s="31"/>
      <c r="W745" s="37"/>
      <c r="X745" s="37">
        <v>2</v>
      </c>
      <c r="Y745" s="79">
        <v>6.7</v>
      </c>
      <c r="Z745" s="65" t="s">
        <v>1847</v>
      </c>
      <c r="AA745" s="37" t="s">
        <v>848</v>
      </c>
      <c r="AB745" s="37"/>
    </row>
    <row r="746" spans="1:28" ht="23.1" customHeight="1" x14ac:dyDescent="0.25">
      <c r="A746" s="53" t="s">
        <v>796</v>
      </c>
      <c r="B746" s="31" t="s">
        <v>137</v>
      </c>
      <c r="C746" s="31">
        <v>17</v>
      </c>
      <c r="D746" s="31" t="s">
        <v>352</v>
      </c>
      <c r="E746" s="25" t="s">
        <v>353</v>
      </c>
      <c r="F746" s="21" t="e">
        <v>#N/A</v>
      </c>
      <c r="G746" s="21" t="e">
        <f>VLOOKUP(D746,[6]成飞半成品!$A:$B,2,0)</f>
        <v>#N/A</v>
      </c>
      <c r="H746" s="31" t="s">
        <v>300</v>
      </c>
      <c r="I746" s="31">
        <v>30</v>
      </c>
      <c r="J746" s="37" t="s">
        <v>2005</v>
      </c>
      <c r="K746" s="31">
        <v>1</v>
      </c>
      <c r="L746" s="31">
        <v>2</v>
      </c>
      <c r="M746" s="31">
        <v>5</v>
      </c>
      <c r="N746" s="31">
        <v>5</v>
      </c>
      <c r="O746" s="77" t="s">
        <v>506</v>
      </c>
      <c r="P746" s="34"/>
      <c r="Q746" s="31">
        <v>480</v>
      </c>
      <c r="R746" s="31"/>
      <c r="S746" s="31"/>
      <c r="T746" s="31"/>
      <c r="U746" s="31">
        <v>120</v>
      </c>
      <c r="V746" s="31"/>
      <c r="W746" s="37"/>
      <c r="X746" s="37"/>
      <c r="Y746" s="79">
        <v>16</v>
      </c>
      <c r="Z746" s="31" t="s">
        <v>16</v>
      </c>
      <c r="AA746" s="37"/>
      <c r="AB746" s="37"/>
    </row>
    <row r="747" spans="1:28" ht="23.1" customHeight="1" x14ac:dyDescent="0.25">
      <c r="A747" s="53" t="s">
        <v>796</v>
      </c>
      <c r="B747" s="31" t="s">
        <v>113</v>
      </c>
      <c r="C747" s="31">
        <v>9</v>
      </c>
      <c r="D747" s="31" t="s">
        <v>624</v>
      </c>
      <c r="E747" s="25" t="s">
        <v>625</v>
      </c>
      <c r="F747" s="21" t="s">
        <v>625</v>
      </c>
      <c r="G747" s="21" t="str">
        <f>VLOOKUP(D747,[6]成飞半成品!$A:$B,2,0)</f>
        <v>支架</v>
      </c>
      <c r="H747" s="31" t="s">
        <v>300</v>
      </c>
      <c r="I747" s="31">
        <v>50</v>
      </c>
      <c r="J747" s="37" t="s">
        <v>2039</v>
      </c>
      <c r="K747" s="31">
        <v>5</v>
      </c>
      <c r="L747" s="31">
        <v>5</v>
      </c>
      <c r="M747" s="31">
        <v>5</v>
      </c>
      <c r="N747" s="31">
        <v>28</v>
      </c>
      <c r="O747" s="77" t="s">
        <v>567</v>
      </c>
      <c r="P747" s="34"/>
      <c r="Q747" s="31">
        <v>65</v>
      </c>
      <c r="R747" s="31"/>
      <c r="S747" s="31"/>
      <c r="T747" s="31"/>
      <c r="U747" s="31">
        <v>60</v>
      </c>
      <c r="V747" s="31"/>
      <c r="W747" s="37"/>
      <c r="X747" s="37">
        <v>4</v>
      </c>
      <c r="Y747" s="79">
        <v>9.4</v>
      </c>
      <c r="Z747" s="31" t="s">
        <v>30</v>
      </c>
      <c r="AA747" s="37" t="s">
        <v>849</v>
      </c>
      <c r="AB747" s="37"/>
    </row>
    <row r="748" spans="1:28" ht="23.1" customHeight="1" x14ac:dyDescent="0.25">
      <c r="A748" s="53" t="s">
        <v>796</v>
      </c>
      <c r="B748" s="31" t="s">
        <v>113</v>
      </c>
      <c r="C748" s="31">
        <v>10</v>
      </c>
      <c r="D748" s="31" t="s">
        <v>517</v>
      </c>
      <c r="E748" s="25" t="s">
        <v>518</v>
      </c>
      <c r="F748" s="21" t="s">
        <v>518</v>
      </c>
      <c r="G748" s="21" t="str">
        <f>VLOOKUP(D748,[6]成飞半成品!$A:$B,2,0)</f>
        <v>带板</v>
      </c>
      <c r="H748" s="31" t="s">
        <v>300</v>
      </c>
      <c r="I748" s="31">
        <v>30</v>
      </c>
      <c r="J748" s="31" t="s">
        <v>2040</v>
      </c>
      <c r="K748" s="37"/>
      <c r="L748" s="31">
        <v>0.5</v>
      </c>
      <c r="M748" s="37"/>
      <c r="N748" s="31">
        <v>28</v>
      </c>
      <c r="O748" s="77" t="s">
        <v>456</v>
      </c>
      <c r="P748" s="34"/>
      <c r="Q748" s="31">
        <v>270</v>
      </c>
      <c r="R748" s="31"/>
      <c r="S748" s="31"/>
      <c r="T748" s="31"/>
      <c r="U748" s="31">
        <v>90</v>
      </c>
      <c r="V748" s="31"/>
      <c r="W748" s="37"/>
      <c r="X748" s="37">
        <v>3</v>
      </c>
      <c r="Y748" s="79">
        <v>5.3</v>
      </c>
      <c r="Z748" s="31" t="s">
        <v>30</v>
      </c>
      <c r="AA748" s="37" t="s">
        <v>850</v>
      </c>
      <c r="AB748" s="25" t="s">
        <v>238</v>
      </c>
    </row>
    <row r="749" spans="1:28" ht="23.1" customHeight="1" x14ac:dyDescent="0.25">
      <c r="A749" s="53" t="s">
        <v>796</v>
      </c>
      <c r="B749" s="31" t="s">
        <v>113</v>
      </c>
      <c r="C749" s="31">
        <v>10</v>
      </c>
      <c r="D749" s="31" t="s">
        <v>308</v>
      </c>
      <c r="E749" s="25" t="s">
        <v>309</v>
      </c>
      <c r="F749" s="21" t="s">
        <v>309</v>
      </c>
      <c r="G749" s="21" t="str">
        <f>VLOOKUP(D749,[6]成飞半成品!$A:$B,2,0)</f>
        <v>右内侧接头</v>
      </c>
      <c r="H749" s="31" t="s">
        <v>102</v>
      </c>
      <c r="I749" s="31">
        <v>90</v>
      </c>
      <c r="J749" s="31" t="s">
        <v>2437</v>
      </c>
      <c r="K749" s="37"/>
      <c r="L749" s="31">
        <v>2</v>
      </c>
      <c r="M749" s="37"/>
      <c r="N749" s="31">
        <v>23</v>
      </c>
      <c r="O749" s="77" t="s">
        <v>438</v>
      </c>
      <c r="P749" s="31"/>
      <c r="Q749" s="31">
        <v>240</v>
      </c>
      <c r="R749" s="31"/>
      <c r="S749" s="31"/>
      <c r="T749" s="31"/>
      <c r="U749" s="31">
        <v>90</v>
      </c>
      <c r="V749" s="31"/>
      <c r="W749" s="37"/>
      <c r="X749" s="37"/>
      <c r="Y749" s="79">
        <v>8</v>
      </c>
      <c r="Z749" s="31" t="s">
        <v>30</v>
      </c>
      <c r="AA749" s="37"/>
      <c r="AB749" s="37"/>
    </row>
    <row r="750" spans="1:28" ht="23.1" customHeight="1" x14ac:dyDescent="0.25">
      <c r="A750" s="53" t="s">
        <v>796</v>
      </c>
      <c r="B750" s="31" t="s">
        <v>113</v>
      </c>
      <c r="C750" s="31">
        <v>9</v>
      </c>
      <c r="D750" s="31" t="s">
        <v>229</v>
      </c>
      <c r="E750" s="25" t="s">
        <v>230</v>
      </c>
      <c r="F750" s="21" t="s">
        <v>230</v>
      </c>
      <c r="G750" s="21" t="str">
        <f>VLOOKUP(D750,[6]成飞半成品!$A:$B,2,0)</f>
        <v>前起落架舱门结构支撑梁</v>
      </c>
      <c r="H750" s="31" t="s">
        <v>154</v>
      </c>
      <c r="I750" s="31">
        <v>30</v>
      </c>
      <c r="J750" s="31" t="s">
        <v>2058</v>
      </c>
      <c r="K750" s="37"/>
      <c r="L750" s="31">
        <v>6</v>
      </c>
      <c r="M750" s="31">
        <v>28</v>
      </c>
      <c r="N750" s="31">
        <v>28</v>
      </c>
      <c r="O750" s="77" t="s">
        <v>851</v>
      </c>
      <c r="P750" s="34"/>
      <c r="Q750" s="31">
        <v>80</v>
      </c>
      <c r="R750" s="31"/>
      <c r="S750" s="31"/>
      <c r="T750" s="31"/>
      <c r="U750" s="31">
        <v>60</v>
      </c>
      <c r="V750" s="31"/>
      <c r="W750" s="37"/>
      <c r="X750" s="37"/>
      <c r="Y750" s="79">
        <v>8</v>
      </c>
      <c r="Z750" s="31" t="s">
        <v>30</v>
      </c>
      <c r="AA750" s="37"/>
      <c r="AB750" s="37"/>
    </row>
    <row r="751" spans="1:28" ht="23.1" customHeight="1" x14ac:dyDescent="0.25">
      <c r="A751" s="53" t="s">
        <v>796</v>
      </c>
      <c r="B751" s="31" t="s">
        <v>113</v>
      </c>
      <c r="C751" s="31">
        <v>15</v>
      </c>
      <c r="D751" s="31" t="s">
        <v>592</v>
      </c>
      <c r="E751" s="25" t="s">
        <v>218</v>
      </c>
      <c r="F751" s="21" t="s">
        <v>218</v>
      </c>
      <c r="G751" s="21" t="str">
        <f>VLOOKUP(D751,[6]成飞半成品!$A:$B,2,0)</f>
        <v>横梁</v>
      </c>
      <c r="H751" s="31" t="s">
        <v>107</v>
      </c>
      <c r="I751" s="31">
        <v>40</v>
      </c>
      <c r="J751" s="37" t="s">
        <v>1915</v>
      </c>
      <c r="K751" s="31">
        <v>4</v>
      </c>
      <c r="L751" s="31">
        <v>6</v>
      </c>
      <c r="M751" s="31">
        <v>28</v>
      </c>
      <c r="N751" s="31">
        <v>28</v>
      </c>
      <c r="O751" s="77" t="s">
        <v>456</v>
      </c>
      <c r="P751" s="34"/>
      <c r="Q751" s="31">
        <v>150</v>
      </c>
      <c r="R751" s="31"/>
      <c r="S751" s="31"/>
      <c r="T751" s="31"/>
      <c r="U751" s="31">
        <v>90</v>
      </c>
      <c r="V751" s="31"/>
      <c r="W751" s="37"/>
      <c r="X751" s="37"/>
      <c r="Y751" s="79">
        <v>15</v>
      </c>
      <c r="Z751" s="31" t="s">
        <v>31</v>
      </c>
      <c r="AA751" s="37"/>
      <c r="AB751" s="37"/>
    </row>
    <row r="752" spans="1:28" ht="23.1" customHeight="1" x14ac:dyDescent="0.25">
      <c r="A752" s="53" t="s">
        <v>796</v>
      </c>
      <c r="B752" s="31" t="s">
        <v>113</v>
      </c>
      <c r="C752" s="31">
        <v>55</v>
      </c>
      <c r="D752" s="31" t="s">
        <v>749</v>
      </c>
      <c r="E752" s="25" t="s">
        <v>139</v>
      </c>
      <c r="F752" s="21" t="s">
        <v>139</v>
      </c>
      <c r="G752" s="21" t="str">
        <f>VLOOKUP(D752,[6]成飞半成品!$A:$B,2,0)</f>
        <v>支座</v>
      </c>
      <c r="H752" s="31" t="s">
        <v>123</v>
      </c>
      <c r="I752" s="31">
        <v>10</v>
      </c>
      <c r="J752" s="37" t="s">
        <v>2023</v>
      </c>
      <c r="K752" s="31">
        <v>15</v>
      </c>
      <c r="L752" s="31">
        <v>20</v>
      </c>
      <c r="M752" s="31">
        <v>31</v>
      </c>
      <c r="N752" s="31">
        <v>31</v>
      </c>
      <c r="O752" s="77" t="s">
        <v>439</v>
      </c>
      <c r="P752" s="31"/>
      <c r="Q752" s="31">
        <v>35</v>
      </c>
      <c r="R752" s="31"/>
      <c r="S752" s="31"/>
      <c r="T752" s="31"/>
      <c r="U752" s="31">
        <v>60</v>
      </c>
      <c r="V752" s="31"/>
      <c r="W752" s="37"/>
      <c r="X752" s="37"/>
      <c r="Y752" s="79">
        <v>11.7</v>
      </c>
      <c r="Z752" s="31" t="s">
        <v>44</v>
      </c>
      <c r="AA752" s="37"/>
      <c r="AB752" s="37"/>
    </row>
    <row r="753" spans="1:28" ht="23.1" customHeight="1" x14ac:dyDescent="0.25">
      <c r="A753" s="53" t="s">
        <v>796</v>
      </c>
      <c r="B753" s="31" t="s">
        <v>113</v>
      </c>
      <c r="C753" s="31">
        <v>77</v>
      </c>
      <c r="D753" s="31" t="s">
        <v>211</v>
      </c>
      <c r="E753" s="25" t="s">
        <v>212</v>
      </c>
      <c r="F753" s="21" t="s">
        <v>212</v>
      </c>
      <c r="G753" s="21" t="str">
        <f>VLOOKUP(D753,[6]成飞半成品!$A:$B,2,0)</f>
        <v>压板</v>
      </c>
      <c r="H753" s="31" t="s">
        <v>123</v>
      </c>
      <c r="I753" s="31">
        <v>20</v>
      </c>
      <c r="J753" s="37" t="s">
        <v>2034</v>
      </c>
      <c r="K753" s="31">
        <v>15</v>
      </c>
      <c r="L753" s="31">
        <v>15</v>
      </c>
      <c r="M753" s="31">
        <v>23</v>
      </c>
      <c r="N753" s="31">
        <v>23</v>
      </c>
      <c r="O753" s="77" t="s">
        <v>335</v>
      </c>
      <c r="P753" s="34"/>
      <c r="Q753" s="31">
        <v>30</v>
      </c>
      <c r="R753" s="31"/>
      <c r="S753" s="31"/>
      <c r="T753" s="31"/>
      <c r="U753" s="31">
        <v>60</v>
      </c>
      <c r="V753" s="31"/>
      <c r="W753" s="37"/>
      <c r="X753" s="37"/>
      <c r="Y753" s="79">
        <v>7.5</v>
      </c>
      <c r="Z753" s="31" t="s">
        <v>15</v>
      </c>
      <c r="AA753" s="37"/>
      <c r="AB753" s="37"/>
    </row>
    <row r="754" spans="1:28" ht="23.1" customHeight="1" x14ac:dyDescent="0.25">
      <c r="A754" s="53" t="s">
        <v>796</v>
      </c>
      <c r="B754" s="31" t="s">
        <v>113</v>
      </c>
      <c r="C754" s="31">
        <v>77</v>
      </c>
      <c r="D754" s="31" t="s">
        <v>211</v>
      </c>
      <c r="E754" s="25" t="s">
        <v>212</v>
      </c>
      <c r="F754" s="21" t="s">
        <v>212</v>
      </c>
      <c r="G754" s="21" t="str">
        <f>VLOOKUP(D754,[6]成飞半成品!$A:$B,2,0)</f>
        <v>压板</v>
      </c>
      <c r="H754" s="31" t="s">
        <v>123</v>
      </c>
      <c r="I754" s="31">
        <v>25</v>
      </c>
      <c r="J754" s="37" t="s">
        <v>1970</v>
      </c>
      <c r="K754" s="31">
        <v>10</v>
      </c>
      <c r="L754" s="31">
        <v>11</v>
      </c>
      <c r="M754" s="31">
        <v>31</v>
      </c>
      <c r="N754" s="31">
        <v>31</v>
      </c>
      <c r="O754" s="77" t="s">
        <v>219</v>
      </c>
      <c r="P754" s="34"/>
      <c r="Q754" s="31">
        <v>25</v>
      </c>
      <c r="R754" s="31"/>
      <c r="S754" s="31"/>
      <c r="T754" s="31"/>
      <c r="U754" s="31">
        <v>60</v>
      </c>
      <c r="V754" s="31"/>
      <c r="W754" s="37"/>
      <c r="X754" s="37"/>
      <c r="Y754" s="79">
        <v>4.5999999999999996</v>
      </c>
      <c r="Z754" s="31" t="s">
        <v>15</v>
      </c>
      <c r="AA754" s="37"/>
      <c r="AB754" s="37"/>
    </row>
    <row r="755" spans="1:28" ht="23.1" customHeight="1" x14ac:dyDescent="0.25">
      <c r="A755" s="53" t="s">
        <v>796</v>
      </c>
      <c r="B755" s="31" t="s">
        <v>113</v>
      </c>
      <c r="C755" s="31">
        <v>56</v>
      </c>
      <c r="D755" s="31" t="s">
        <v>676</v>
      </c>
      <c r="E755" s="25" t="s">
        <v>595</v>
      </c>
      <c r="F755" s="21" t="s">
        <v>595</v>
      </c>
      <c r="G755" s="21" t="str">
        <f>VLOOKUP(D755,[6]成飞半成品!$A:$B,2,0)</f>
        <v>加强件</v>
      </c>
      <c r="H755" s="31" t="s">
        <v>154</v>
      </c>
      <c r="I755" s="31">
        <v>15</v>
      </c>
      <c r="J755" s="37" t="s">
        <v>2043</v>
      </c>
      <c r="K755" s="31">
        <v>3</v>
      </c>
      <c r="L755" s="31">
        <v>4</v>
      </c>
      <c r="M755" s="31">
        <v>31</v>
      </c>
      <c r="N755" s="31">
        <v>31</v>
      </c>
      <c r="O755" s="77" t="s">
        <v>852</v>
      </c>
      <c r="P755" s="31"/>
      <c r="Q755" s="31">
        <v>250</v>
      </c>
      <c r="R755" s="31"/>
      <c r="S755" s="31"/>
      <c r="T755" s="31"/>
      <c r="U755" s="31">
        <v>60</v>
      </c>
      <c r="V755" s="31"/>
      <c r="W755" s="37"/>
      <c r="X755" s="37"/>
      <c r="Y755" s="79">
        <v>16.7</v>
      </c>
      <c r="Z755" s="31" t="s">
        <v>44</v>
      </c>
      <c r="AA755" s="37"/>
      <c r="AB755" s="37"/>
    </row>
    <row r="756" spans="1:28" ht="23.1" customHeight="1" x14ac:dyDescent="0.25">
      <c r="A756" s="53" t="s">
        <v>796</v>
      </c>
      <c r="B756" s="31" t="s">
        <v>113</v>
      </c>
      <c r="C756" s="31">
        <v>16</v>
      </c>
      <c r="D756" s="31" t="s">
        <v>805</v>
      </c>
      <c r="E756" s="25" t="s">
        <v>806</v>
      </c>
      <c r="F756" s="21" t="s">
        <v>806</v>
      </c>
      <c r="G756" s="21" t="str">
        <f>VLOOKUP(D756,[6]成飞半成品!$A:$B,2,0)</f>
        <v>前缘短肋</v>
      </c>
      <c r="H756" s="31" t="s">
        <v>154</v>
      </c>
      <c r="I756" s="31">
        <v>15</v>
      </c>
      <c r="J756" s="31" t="s">
        <v>2065</v>
      </c>
      <c r="K756" s="37"/>
      <c r="L756" s="31">
        <v>1.3</v>
      </c>
      <c r="M756" s="31">
        <v>28</v>
      </c>
      <c r="N756" s="31">
        <v>9</v>
      </c>
      <c r="O756" s="77" t="s">
        <v>108</v>
      </c>
      <c r="P756" s="34"/>
      <c r="Q756" s="31">
        <v>630</v>
      </c>
      <c r="R756" s="31"/>
      <c r="S756" s="31"/>
      <c r="T756" s="31"/>
      <c r="U756" s="31">
        <v>120</v>
      </c>
      <c r="V756" s="31"/>
      <c r="W756" s="37"/>
      <c r="X756" s="37"/>
      <c r="Y756" s="79">
        <v>13.7</v>
      </c>
      <c r="Z756" s="31" t="s">
        <v>38</v>
      </c>
      <c r="AA756" s="37"/>
      <c r="AB756" s="37"/>
    </row>
    <row r="757" spans="1:28" ht="23.1" customHeight="1" x14ac:dyDescent="0.25">
      <c r="A757" s="53" t="s">
        <v>796</v>
      </c>
      <c r="B757" s="31" t="s">
        <v>113</v>
      </c>
      <c r="C757" s="31">
        <v>17</v>
      </c>
      <c r="D757" s="31" t="s">
        <v>352</v>
      </c>
      <c r="E757" s="25" t="s">
        <v>353</v>
      </c>
      <c r="F757" s="21" t="e">
        <v>#N/A</v>
      </c>
      <c r="G757" s="21" t="e">
        <f>VLOOKUP(D757,[6]成飞半成品!$A:$B,2,0)</f>
        <v>#N/A</v>
      </c>
      <c r="H757" s="31" t="s">
        <v>300</v>
      </c>
      <c r="I757" s="31">
        <v>30</v>
      </c>
      <c r="J757" s="37" t="s">
        <v>2005</v>
      </c>
      <c r="K757" s="31">
        <v>1</v>
      </c>
      <c r="L757" s="31">
        <v>2</v>
      </c>
      <c r="M757" s="31">
        <v>26</v>
      </c>
      <c r="N757" s="31">
        <v>26</v>
      </c>
      <c r="O757" s="77" t="s">
        <v>168</v>
      </c>
      <c r="P757" s="34"/>
      <c r="Q757" s="31">
        <v>480</v>
      </c>
      <c r="R757" s="31"/>
      <c r="S757" s="31"/>
      <c r="T757" s="31"/>
      <c r="U757" s="31">
        <v>120</v>
      </c>
      <c r="V757" s="31"/>
      <c r="W757" s="37"/>
      <c r="X757" s="37"/>
      <c r="Y757" s="79">
        <v>16</v>
      </c>
      <c r="Z757" s="31" t="s">
        <v>43</v>
      </c>
      <c r="AA757" s="37"/>
      <c r="AB757" s="37"/>
    </row>
    <row r="758" spans="1:28" ht="23.1" customHeight="1" x14ac:dyDescent="0.25">
      <c r="A758" s="53" t="s">
        <v>796</v>
      </c>
      <c r="B758" s="31" t="s">
        <v>113</v>
      </c>
      <c r="C758" s="31">
        <v>11</v>
      </c>
      <c r="D758" s="31" t="s">
        <v>2563</v>
      </c>
      <c r="E758" s="25" t="s">
        <v>691</v>
      </c>
      <c r="F758" s="21" t="s">
        <v>691</v>
      </c>
      <c r="G758" s="21" t="str">
        <f>VLOOKUP(D758,[6]成飞半成品!$A:$B,2,0)</f>
        <v>地板支撑件</v>
      </c>
      <c r="H758" s="31" t="s">
        <v>123</v>
      </c>
      <c r="I758" s="31">
        <v>25</v>
      </c>
      <c r="J758" s="37" t="s">
        <v>2054</v>
      </c>
      <c r="K758" s="31">
        <v>5</v>
      </c>
      <c r="L758" s="31">
        <v>3</v>
      </c>
      <c r="M758" s="31">
        <v>26</v>
      </c>
      <c r="N758" s="31">
        <v>26</v>
      </c>
      <c r="O758" s="77" t="s">
        <v>853</v>
      </c>
      <c r="P758" s="34"/>
      <c r="Q758" s="31">
        <v>180</v>
      </c>
      <c r="R758" s="31"/>
      <c r="S758" s="31"/>
      <c r="T758" s="31"/>
      <c r="U758" s="31">
        <v>60</v>
      </c>
      <c r="V758" s="31"/>
      <c r="W758" s="37"/>
      <c r="X758" s="37"/>
      <c r="Y758" s="79">
        <v>9</v>
      </c>
      <c r="Z758" s="31" t="s">
        <v>38</v>
      </c>
      <c r="AA758" s="37"/>
      <c r="AB758" s="37"/>
    </row>
    <row r="759" spans="1:28" ht="23.1" customHeight="1" x14ac:dyDescent="0.25">
      <c r="A759" s="53" t="s">
        <v>796</v>
      </c>
      <c r="B759" s="31" t="s">
        <v>113</v>
      </c>
      <c r="C759" s="31">
        <v>13</v>
      </c>
      <c r="D759" s="31" t="s">
        <v>654</v>
      </c>
      <c r="E759" s="25" t="s">
        <v>246</v>
      </c>
      <c r="F759" s="21" t="s">
        <v>246</v>
      </c>
      <c r="G759" s="21" t="str">
        <f>VLOOKUP(D759,[6]成飞半成品!$A:$B,2,0)</f>
        <v>外侧轴承盖</v>
      </c>
      <c r="H759" s="31" t="s">
        <v>154</v>
      </c>
      <c r="I759" s="31">
        <v>25</v>
      </c>
      <c r="J759" s="37" t="s">
        <v>2037</v>
      </c>
      <c r="K759" s="31">
        <v>3</v>
      </c>
      <c r="L759" s="31">
        <v>3</v>
      </c>
      <c r="M759" s="31">
        <v>23</v>
      </c>
      <c r="N759" s="31">
        <v>23</v>
      </c>
      <c r="O759" s="77" t="s">
        <v>247</v>
      </c>
      <c r="P759" s="34"/>
      <c r="Q759" s="31">
        <v>130</v>
      </c>
      <c r="R759" s="31"/>
      <c r="S759" s="31"/>
      <c r="T759" s="31"/>
      <c r="U759" s="31">
        <v>60</v>
      </c>
      <c r="V759" s="31"/>
      <c r="W759" s="37"/>
      <c r="X759" s="37"/>
      <c r="Y759" s="79">
        <v>6.5</v>
      </c>
      <c r="Z759" s="31" t="s">
        <v>72</v>
      </c>
      <c r="AA759" s="37"/>
      <c r="AB759" s="37"/>
    </row>
    <row r="760" spans="1:28" ht="23.1" customHeight="1" x14ac:dyDescent="0.25">
      <c r="A760" s="53" t="s">
        <v>796</v>
      </c>
      <c r="B760" s="31" t="s">
        <v>113</v>
      </c>
      <c r="C760" s="31">
        <v>13</v>
      </c>
      <c r="D760" s="31" t="s">
        <v>654</v>
      </c>
      <c r="E760" s="25" t="s">
        <v>246</v>
      </c>
      <c r="F760" s="21" t="s">
        <v>246</v>
      </c>
      <c r="G760" s="21" t="str">
        <f>VLOOKUP(D760,[6]成飞半成品!$A:$B,2,0)</f>
        <v>外侧轴承盖</v>
      </c>
      <c r="H760" s="31" t="s">
        <v>154</v>
      </c>
      <c r="I760" s="31">
        <v>35</v>
      </c>
      <c r="J760" s="37" t="s">
        <v>2380</v>
      </c>
      <c r="K760" s="31">
        <v>2</v>
      </c>
      <c r="L760" s="31">
        <v>14</v>
      </c>
      <c r="M760" s="31">
        <v>31</v>
      </c>
      <c r="N760" s="31">
        <v>31</v>
      </c>
      <c r="O760" s="77" t="s">
        <v>247</v>
      </c>
      <c r="P760" s="34"/>
      <c r="Q760" s="31">
        <v>60</v>
      </c>
      <c r="R760" s="31"/>
      <c r="S760" s="31"/>
      <c r="T760" s="31"/>
      <c r="U760" s="31">
        <v>60</v>
      </c>
      <c r="V760" s="31"/>
      <c r="W760" s="37"/>
      <c r="X760" s="37"/>
      <c r="Y760" s="79">
        <v>14</v>
      </c>
      <c r="Z760" s="31" t="s">
        <v>72</v>
      </c>
      <c r="AA760" s="37"/>
      <c r="AB760" s="37"/>
    </row>
    <row r="761" spans="1:28" ht="23.1" customHeight="1" x14ac:dyDescent="0.25">
      <c r="A761" s="53" t="s">
        <v>796</v>
      </c>
      <c r="B761" s="31" t="s">
        <v>113</v>
      </c>
      <c r="C761" s="31">
        <v>58</v>
      </c>
      <c r="D761" s="31" t="s">
        <v>815</v>
      </c>
      <c r="E761" s="25" t="s">
        <v>409</v>
      </c>
      <c r="F761" s="21" t="s">
        <v>409</v>
      </c>
      <c r="G761" s="21" t="str">
        <f>VLOOKUP(D761,[6]成飞半成品!$A:$B,2,0)</f>
        <v>接头</v>
      </c>
      <c r="H761" s="31" t="s">
        <v>102</v>
      </c>
      <c r="I761" s="31">
        <v>25</v>
      </c>
      <c r="J761" s="37" t="s">
        <v>2068</v>
      </c>
      <c r="K761" s="31">
        <v>1</v>
      </c>
      <c r="L761" s="31">
        <v>1</v>
      </c>
      <c r="M761" s="37"/>
      <c r="N761" s="31">
        <v>28</v>
      </c>
      <c r="O761" s="77" t="s">
        <v>596</v>
      </c>
      <c r="P761" s="34"/>
      <c r="Q761" s="31">
        <v>120</v>
      </c>
      <c r="R761" s="31"/>
      <c r="S761" s="31"/>
      <c r="T761" s="31"/>
      <c r="U761" s="31">
        <v>90</v>
      </c>
      <c r="V761" s="31"/>
      <c r="W761" s="37"/>
      <c r="X761" s="37"/>
      <c r="Y761" s="79">
        <v>2</v>
      </c>
      <c r="Z761" s="31" t="s">
        <v>57</v>
      </c>
      <c r="AA761" s="37"/>
      <c r="AB761" s="37"/>
    </row>
    <row r="762" spans="1:28" ht="23.1" customHeight="1" x14ac:dyDescent="0.25">
      <c r="A762" s="53" t="s">
        <v>796</v>
      </c>
      <c r="B762" s="31" t="s">
        <v>137</v>
      </c>
      <c r="C762" s="31">
        <v>58</v>
      </c>
      <c r="D762" s="31" t="s">
        <v>815</v>
      </c>
      <c r="E762" s="25" t="s">
        <v>409</v>
      </c>
      <c r="F762" s="21" t="s">
        <v>409</v>
      </c>
      <c r="G762" s="21" t="str">
        <f>VLOOKUP(D762,[6]成飞半成品!$A:$B,2,0)</f>
        <v>接头</v>
      </c>
      <c r="H762" s="31" t="s">
        <v>102</v>
      </c>
      <c r="I762" s="31">
        <v>25</v>
      </c>
      <c r="J762" s="37" t="s">
        <v>2068</v>
      </c>
      <c r="K762" s="31">
        <v>1</v>
      </c>
      <c r="L762" s="31">
        <v>1</v>
      </c>
      <c r="M762" s="31">
        <v>5</v>
      </c>
      <c r="N762" s="31"/>
      <c r="O762" s="77" t="s">
        <v>596</v>
      </c>
      <c r="P762" s="34"/>
      <c r="Q762" s="31">
        <v>120</v>
      </c>
      <c r="R762" s="31"/>
      <c r="S762" s="31"/>
      <c r="T762" s="31"/>
      <c r="U762" s="31">
        <v>90</v>
      </c>
      <c r="V762" s="31"/>
      <c r="W762" s="37">
        <v>1</v>
      </c>
      <c r="X762" s="37">
        <v>2</v>
      </c>
      <c r="Y762" s="79">
        <v>5.5</v>
      </c>
      <c r="Z762" s="31" t="s">
        <v>7</v>
      </c>
      <c r="AA762" s="37" t="s">
        <v>844</v>
      </c>
      <c r="AB762" s="25" t="s">
        <v>238</v>
      </c>
    </row>
    <row r="763" spans="1:28" ht="23.1" customHeight="1" x14ac:dyDescent="0.25">
      <c r="A763" s="53" t="s">
        <v>796</v>
      </c>
      <c r="B763" s="31" t="s">
        <v>113</v>
      </c>
      <c r="C763" s="31">
        <v>78</v>
      </c>
      <c r="D763" s="31" t="s">
        <v>854</v>
      </c>
      <c r="E763" s="25" t="s">
        <v>822</v>
      </c>
      <c r="F763" s="21" t="s">
        <v>822</v>
      </c>
      <c r="G763" s="21" t="str">
        <f>VLOOKUP(D763,[6]成飞半成品!$A:$B,2,0)</f>
        <v>1#竖梁</v>
      </c>
      <c r="H763" s="31" t="s">
        <v>123</v>
      </c>
      <c r="I763" s="31">
        <v>5</v>
      </c>
      <c r="J763" s="37" t="s">
        <v>1930</v>
      </c>
      <c r="K763" s="31">
        <v>2</v>
      </c>
      <c r="L763" s="31">
        <v>2</v>
      </c>
      <c r="M763" s="31">
        <v>5</v>
      </c>
      <c r="N763" s="31">
        <v>31</v>
      </c>
      <c r="O763" s="77" t="s">
        <v>661</v>
      </c>
      <c r="P763" s="34"/>
      <c r="Q763" s="31">
        <v>120</v>
      </c>
      <c r="R763" s="31">
        <v>60</v>
      </c>
      <c r="S763" s="31"/>
      <c r="T763" s="31">
        <v>2</v>
      </c>
      <c r="U763" s="31">
        <v>60</v>
      </c>
      <c r="V763" s="31"/>
      <c r="W763" s="37">
        <v>1</v>
      </c>
      <c r="X763" s="37"/>
      <c r="Y763" s="79">
        <v>7</v>
      </c>
      <c r="Z763" s="31" t="s">
        <v>19</v>
      </c>
      <c r="AA763" s="37" t="s">
        <v>855</v>
      </c>
      <c r="AB763" s="25" t="s">
        <v>238</v>
      </c>
    </row>
    <row r="764" spans="1:28" ht="23.1" customHeight="1" x14ac:dyDescent="0.25">
      <c r="A764" s="53" t="s">
        <v>796</v>
      </c>
      <c r="B764" s="31" t="s">
        <v>113</v>
      </c>
      <c r="C764" s="31">
        <v>78</v>
      </c>
      <c r="D764" s="31" t="s">
        <v>854</v>
      </c>
      <c r="E764" s="25" t="s">
        <v>822</v>
      </c>
      <c r="F764" s="21" t="s">
        <v>822</v>
      </c>
      <c r="G764" s="21" t="str">
        <f>VLOOKUP(D764,[6]成飞半成品!$A:$B,2,0)</f>
        <v>1#竖梁</v>
      </c>
      <c r="H764" s="31" t="s">
        <v>123</v>
      </c>
      <c r="I764" s="31">
        <v>10</v>
      </c>
      <c r="J764" s="37" t="s">
        <v>2069</v>
      </c>
      <c r="K764" s="31">
        <v>2</v>
      </c>
      <c r="L764" s="31">
        <v>2</v>
      </c>
      <c r="M764" s="31">
        <v>5</v>
      </c>
      <c r="N764" s="31">
        <v>31</v>
      </c>
      <c r="O764" s="77" t="s">
        <v>661</v>
      </c>
      <c r="P764" s="34"/>
      <c r="Q764" s="31">
        <v>50</v>
      </c>
      <c r="R764" s="31">
        <v>60</v>
      </c>
      <c r="S764" s="31"/>
      <c r="T764" s="31">
        <v>2</v>
      </c>
      <c r="U764" s="31">
        <v>90</v>
      </c>
      <c r="V764" s="31"/>
      <c r="W764" s="37">
        <v>1</v>
      </c>
      <c r="X764" s="37">
        <v>2</v>
      </c>
      <c r="Y764" s="79">
        <v>7.2</v>
      </c>
      <c r="Z764" s="31" t="s">
        <v>19</v>
      </c>
      <c r="AA764" s="37" t="s">
        <v>855</v>
      </c>
      <c r="AB764" s="25" t="s">
        <v>238</v>
      </c>
    </row>
    <row r="765" spans="1:28" ht="23.1" customHeight="1" x14ac:dyDescent="0.25">
      <c r="A765" s="53" t="s">
        <v>796</v>
      </c>
      <c r="B765" s="31" t="s">
        <v>113</v>
      </c>
      <c r="C765" s="31">
        <v>78</v>
      </c>
      <c r="D765" s="31" t="s">
        <v>821</v>
      </c>
      <c r="E765" s="25" t="s">
        <v>822</v>
      </c>
      <c r="F765" s="21" t="s">
        <v>822</v>
      </c>
      <c r="G765" s="21" t="str">
        <f>VLOOKUP(D765,[6]成飞半成品!$A:$B,2,0)</f>
        <v>1#竖梁</v>
      </c>
      <c r="H765" s="31" t="s">
        <v>123</v>
      </c>
      <c r="I765" s="31">
        <v>10</v>
      </c>
      <c r="J765" s="37" t="s">
        <v>2438</v>
      </c>
      <c r="K765" s="31">
        <v>2</v>
      </c>
      <c r="L765" s="31">
        <v>2</v>
      </c>
      <c r="M765" s="31">
        <v>31</v>
      </c>
      <c r="N765" s="31"/>
      <c r="O765" s="77" t="s">
        <v>661</v>
      </c>
      <c r="P765" s="34"/>
      <c r="Q765" s="31">
        <v>50</v>
      </c>
      <c r="R765" s="31">
        <v>60</v>
      </c>
      <c r="S765" s="31"/>
      <c r="T765" s="31">
        <v>2</v>
      </c>
      <c r="U765" s="31">
        <v>90</v>
      </c>
      <c r="V765" s="31"/>
      <c r="W765" s="37"/>
      <c r="X765" s="37"/>
      <c r="Y765" s="79">
        <v>3.7</v>
      </c>
      <c r="Z765" s="31" t="s">
        <v>19</v>
      </c>
      <c r="AA765" s="37" t="s">
        <v>856</v>
      </c>
      <c r="AB765" s="37"/>
    </row>
    <row r="766" spans="1:28" ht="23.1" customHeight="1" x14ac:dyDescent="0.25">
      <c r="A766" s="53" t="s">
        <v>796</v>
      </c>
      <c r="B766" s="31" t="s">
        <v>113</v>
      </c>
      <c r="C766" s="31">
        <v>107</v>
      </c>
      <c r="D766" s="31" t="s">
        <v>173</v>
      </c>
      <c r="E766" s="25" t="s">
        <v>174</v>
      </c>
      <c r="F766" s="21" t="s">
        <v>1246</v>
      </c>
      <c r="G766" s="21" t="str">
        <f>VLOOKUP(D766,[6]成飞半成品!$A:$B,2,0)</f>
        <v>根肋后段</v>
      </c>
      <c r="H766" s="31" t="s">
        <v>154</v>
      </c>
      <c r="I766" s="31">
        <v>30</v>
      </c>
      <c r="J766" s="37" t="s">
        <v>2047</v>
      </c>
      <c r="K766" s="31">
        <v>1</v>
      </c>
      <c r="L766" s="31">
        <v>1</v>
      </c>
      <c r="M766" s="31"/>
      <c r="N766" s="31">
        <v>28</v>
      </c>
      <c r="O766" s="77" t="s">
        <v>532</v>
      </c>
      <c r="P766" s="34"/>
      <c r="Q766" s="31">
        <v>700</v>
      </c>
      <c r="R766" s="31">
        <v>90</v>
      </c>
      <c r="S766" s="31"/>
      <c r="T766" s="31">
        <v>1</v>
      </c>
      <c r="U766" s="31">
        <v>120</v>
      </c>
      <c r="V766" s="31"/>
      <c r="W766" s="37"/>
      <c r="X766" s="37"/>
      <c r="Y766" s="79">
        <v>13.2</v>
      </c>
      <c r="Z766" s="31" t="s">
        <v>45</v>
      </c>
      <c r="AA766" s="37" t="s">
        <v>145</v>
      </c>
      <c r="AB766" s="37"/>
    </row>
    <row r="767" spans="1:28" ht="23.1" customHeight="1" x14ac:dyDescent="0.25">
      <c r="A767" s="53" t="s">
        <v>796</v>
      </c>
      <c r="B767" s="31" t="s">
        <v>113</v>
      </c>
      <c r="C767" s="31">
        <v>58</v>
      </c>
      <c r="D767" s="31" t="s">
        <v>815</v>
      </c>
      <c r="E767" s="25" t="s">
        <v>409</v>
      </c>
      <c r="F767" s="21" t="s">
        <v>409</v>
      </c>
      <c r="G767" s="21" t="str">
        <f>VLOOKUP(D767,[6]成飞半成品!$A:$B,2,0)</f>
        <v>接头</v>
      </c>
      <c r="H767" s="31" t="s">
        <v>102</v>
      </c>
      <c r="I767" s="31">
        <v>25</v>
      </c>
      <c r="J767" s="37" t="s">
        <v>2068</v>
      </c>
      <c r="K767" s="31">
        <v>1</v>
      </c>
      <c r="L767" s="31">
        <v>1</v>
      </c>
      <c r="M767" s="31"/>
      <c r="N767" s="31">
        <v>28</v>
      </c>
      <c r="O767" s="77" t="s">
        <v>596</v>
      </c>
      <c r="P767" s="34"/>
      <c r="Q767" s="31">
        <v>120</v>
      </c>
      <c r="R767" s="31"/>
      <c r="S767" s="31"/>
      <c r="T767" s="31"/>
      <c r="U767" s="31">
        <v>90</v>
      </c>
      <c r="V767" s="31"/>
      <c r="W767" s="37">
        <v>1</v>
      </c>
      <c r="X767" s="37">
        <v>3</v>
      </c>
      <c r="Y767" s="79">
        <v>6.5</v>
      </c>
      <c r="Z767" s="31" t="s">
        <v>57</v>
      </c>
      <c r="AA767" s="37" t="s">
        <v>857</v>
      </c>
      <c r="AB767" s="25" t="s">
        <v>238</v>
      </c>
    </row>
    <row r="768" spans="1:28" ht="23.1" customHeight="1" x14ac:dyDescent="0.25">
      <c r="A768" s="53" t="s">
        <v>796</v>
      </c>
      <c r="B768" s="31" t="s">
        <v>113</v>
      </c>
      <c r="C768" s="31">
        <v>58</v>
      </c>
      <c r="D768" s="31" t="s">
        <v>815</v>
      </c>
      <c r="E768" s="25" t="s">
        <v>409</v>
      </c>
      <c r="F768" s="21" t="s">
        <v>409</v>
      </c>
      <c r="G768" s="21" t="str">
        <f>VLOOKUP(D768,[6]成飞半成品!$A:$B,2,0)</f>
        <v>接头</v>
      </c>
      <c r="H768" s="31" t="s">
        <v>102</v>
      </c>
      <c r="I768" s="31">
        <v>30</v>
      </c>
      <c r="J768" s="37" t="s">
        <v>2070</v>
      </c>
      <c r="K768" s="31">
        <v>1</v>
      </c>
      <c r="L768" s="31">
        <v>1</v>
      </c>
      <c r="M768" s="31"/>
      <c r="N768" s="31">
        <v>28</v>
      </c>
      <c r="O768" s="77" t="s">
        <v>596</v>
      </c>
      <c r="P768" s="34"/>
      <c r="Q768" s="31">
        <v>40</v>
      </c>
      <c r="R768" s="31"/>
      <c r="S768" s="31"/>
      <c r="T768" s="31"/>
      <c r="U768" s="31">
        <v>90</v>
      </c>
      <c r="V768" s="31"/>
      <c r="W768" s="37">
        <v>1</v>
      </c>
      <c r="X768" s="37">
        <v>3</v>
      </c>
      <c r="Y768" s="79">
        <v>5.2</v>
      </c>
      <c r="Z768" s="31" t="s">
        <v>57</v>
      </c>
      <c r="AA768" s="37" t="s">
        <v>857</v>
      </c>
      <c r="AB768" s="25" t="s">
        <v>238</v>
      </c>
    </row>
    <row r="769" spans="1:28" ht="23.1" customHeight="1" x14ac:dyDescent="0.25">
      <c r="A769" s="53" t="s">
        <v>796</v>
      </c>
      <c r="B769" s="31" t="s">
        <v>113</v>
      </c>
      <c r="C769" s="31">
        <v>58</v>
      </c>
      <c r="D769" s="31" t="s">
        <v>813</v>
      </c>
      <c r="E769" s="25" t="s">
        <v>409</v>
      </c>
      <c r="F769" s="21" t="s">
        <v>409</v>
      </c>
      <c r="G769" s="21" t="str">
        <f>VLOOKUP(D769,[6]成飞半成品!$A:$B,2,0)</f>
        <v>接头</v>
      </c>
      <c r="H769" s="31" t="s">
        <v>102</v>
      </c>
      <c r="I769" s="31">
        <v>25</v>
      </c>
      <c r="J769" s="37" t="s">
        <v>2068</v>
      </c>
      <c r="K769" s="31">
        <v>1</v>
      </c>
      <c r="L769" s="31">
        <v>1</v>
      </c>
      <c r="M769" s="31">
        <v>31</v>
      </c>
      <c r="N769" s="31">
        <v>31</v>
      </c>
      <c r="O769" s="77" t="s">
        <v>596</v>
      </c>
      <c r="P769" s="34"/>
      <c r="Q769" s="31">
        <v>120</v>
      </c>
      <c r="R769" s="31"/>
      <c r="S769" s="31"/>
      <c r="T769" s="31"/>
      <c r="U769" s="31">
        <v>90</v>
      </c>
      <c r="V769" s="31"/>
      <c r="W769" s="37"/>
      <c r="X769" s="37"/>
      <c r="Y769" s="79">
        <v>2</v>
      </c>
      <c r="Z769" s="31" t="s">
        <v>57</v>
      </c>
      <c r="AA769" s="37"/>
      <c r="AB769" s="37"/>
    </row>
    <row r="770" spans="1:28" ht="23.1" customHeight="1" x14ac:dyDescent="0.25">
      <c r="A770" s="53" t="s">
        <v>796</v>
      </c>
      <c r="B770" s="31" t="s">
        <v>113</v>
      </c>
      <c r="C770" s="31">
        <v>58</v>
      </c>
      <c r="D770" s="31" t="s">
        <v>813</v>
      </c>
      <c r="E770" s="25" t="s">
        <v>409</v>
      </c>
      <c r="F770" s="21" t="s">
        <v>409</v>
      </c>
      <c r="G770" s="21" t="str">
        <f>VLOOKUP(D770,[6]成飞半成品!$A:$B,2,0)</f>
        <v>接头</v>
      </c>
      <c r="H770" s="31" t="s">
        <v>102</v>
      </c>
      <c r="I770" s="31">
        <v>30</v>
      </c>
      <c r="J770" s="37" t="s">
        <v>2070</v>
      </c>
      <c r="K770" s="31">
        <v>1</v>
      </c>
      <c r="L770" s="31">
        <v>1</v>
      </c>
      <c r="M770" s="31">
        <v>31</v>
      </c>
      <c r="N770" s="31">
        <v>31</v>
      </c>
      <c r="O770" s="77" t="s">
        <v>596</v>
      </c>
      <c r="P770" s="34"/>
      <c r="Q770" s="31">
        <v>40</v>
      </c>
      <c r="R770" s="31"/>
      <c r="S770" s="31"/>
      <c r="T770" s="31"/>
      <c r="U770" s="31">
        <v>90</v>
      </c>
      <c r="V770" s="31"/>
      <c r="W770" s="37"/>
      <c r="X770" s="37"/>
      <c r="Y770" s="79">
        <v>0.7</v>
      </c>
      <c r="Z770" s="31" t="s">
        <v>57</v>
      </c>
      <c r="AA770" s="37"/>
      <c r="AB770" s="37"/>
    </row>
    <row r="771" spans="1:28" ht="23.1" customHeight="1" x14ac:dyDescent="0.25">
      <c r="A771" s="53" t="s">
        <v>796</v>
      </c>
      <c r="B771" s="31" t="s">
        <v>113</v>
      </c>
      <c r="C771" s="31">
        <v>59</v>
      </c>
      <c r="D771" s="31" t="s">
        <v>846</v>
      </c>
      <c r="E771" s="25" t="s">
        <v>847</v>
      </c>
      <c r="F771" s="21" t="s">
        <v>847</v>
      </c>
      <c r="G771" s="21" t="str">
        <f>VLOOKUP(D771,[6]成飞半成品!$A:$B,2,0)</f>
        <v>短框连接块</v>
      </c>
      <c r="H771" s="31" t="s">
        <v>102</v>
      </c>
      <c r="I771" s="31">
        <v>10</v>
      </c>
      <c r="J771" s="31" t="s">
        <v>2439</v>
      </c>
      <c r="K771" s="37"/>
      <c r="L771" s="31">
        <v>8</v>
      </c>
      <c r="M771" s="31">
        <v>31</v>
      </c>
      <c r="N771" s="31">
        <v>31</v>
      </c>
      <c r="O771" s="77" t="s">
        <v>596</v>
      </c>
      <c r="P771" s="34"/>
      <c r="Q771" s="31">
        <v>40</v>
      </c>
      <c r="R771" s="31"/>
      <c r="S771" s="31"/>
      <c r="T771" s="31"/>
      <c r="U771" s="31">
        <v>60</v>
      </c>
      <c r="V771" s="31"/>
      <c r="W771" s="37">
        <v>1</v>
      </c>
      <c r="X771" s="37">
        <v>2</v>
      </c>
      <c r="Y771" s="79">
        <v>8.3000000000000007</v>
      </c>
      <c r="Z771" s="31" t="s">
        <v>42</v>
      </c>
      <c r="AA771" s="37" t="s">
        <v>858</v>
      </c>
      <c r="AB771" s="25" t="s">
        <v>238</v>
      </c>
    </row>
    <row r="772" spans="1:28" ht="23.1" customHeight="1" x14ac:dyDescent="0.25">
      <c r="A772" s="53" t="s">
        <v>796</v>
      </c>
      <c r="B772" s="31" t="s">
        <v>113</v>
      </c>
      <c r="C772" s="31">
        <v>23</v>
      </c>
      <c r="D772" s="31" t="s">
        <v>717</v>
      </c>
      <c r="E772" s="25" t="s">
        <v>718</v>
      </c>
      <c r="F772" s="21" t="s">
        <v>718</v>
      </c>
      <c r="G772" s="21" t="str">
        <f>VLOOKUP(D772,[6]成飞半成品!$A:$B,2,0)</f>
        <v>上边肋</v>
      </c>
      <c r="H772" s="31" t="s">
        <v>118</v>
      </c>
      <c r="I772" s="31">
        <v>45</v>
      </c>
      <c r="J772" s="37" t="s">
        <v>2028</v>
      </c>
      <c r="K772" s="31">
        <v>0.6</v>
      </c>
      <c r="L772" s="31">
        <v>1</v>
      </c>
      <c r="M772" s="31">
        <v>28</v>
      </c>
      <c r="N772" s="31">
        <v>26</v>
      </c>
      <c r="O772" s="77" t="s">
        <v>859</v>
      </c>
      <c r="P772" s="34"/>
      <c r="Q772" s="31">
        <v>1080</v>
      </c>
      <c r="R772" s="31">
        <v>90</v>
      </c>
      <c r="S772" s="31"/>
      <c r="T772" s="31">
        <v>1</v>
      </c>
      <c r="U772" s="31">
        <v>120</v>
      </c>
      <c r="V772" s="31"/>
      <c r="W772" s="37"/>
      <c r="X772" s="37"/>
      <c r="Y772" s="79">
        <v>19.5</v>
      </c>
      <c r="Z772" s="31" t="s">
        <v>33</v>
      </c>
      <c r="AA772" s="37" t="s">
        <v>145</v>
      </c>
      <c r="AB772" s="37"/>
    </row>
    <row r="773" spans="1:28" ht="23.1" customHeight="1" x14ac:dyDescent="0.25">
      <c r="A773" s="53" t="s">
        <v>796</v>
      </c>
      <c r="B773" s="31" t="s">
        <v>113</v>
      </c>
      <c r="C773" s="31">
        <v>23</v>
      </c>
      <c r="D773" s="31" t="s">
        <v>717</v>
      </c>
      <c r="E773" s="25" t="s">
        <v>718</v>
      </c>
      <c r="F773" s="21" t="s">
        <v>718</v>
      </c>
      <c r="G773" s="21" t="str">
        <f>VLOOKUP(D773,[6]成飞半成品!$A:$B,2,0)</f>
        <v>上边肋</v>
      </c>
      <c r="H773" s="31" t="s">
        <v>118</v>
      </c>
      <c r="I773" s="31">
        <v>48</v>
      </c>
      <c r="J773" s="37"/>
      <c r="K773" s="31">
        <v>1</v>
      </c>
      <c r="L773" s="31">
        <v>1</v>
      </c>
      <c r="M773" s="37"/>
      <c r="N773" s="31">
        <v>28</v>
      </c>
      <c r="O773" s="77" t="s">
        <v>825</v>
      </c>
      <c r="P773" s="34">
        <v>40</v>
      </c>
      <c r="Q773" s="31"/>
      <c r="R773" s="31"/>
      <c r="S773" s="31">
        <v>90</v>
      </c>
      <c r="T773" s="31">
        <v>1</v>
      </c>
      <c r="U773" s="31"/>
      <c r="V773" s="31"/>
      <c r="W773" s="37"/>
      <c r="X773" s="37"/>
      <c r="Y773" s="83">
        <v>2.2000000000000002</v>
      </c>
      <c r="Z773" s="31" t="s">
        <v>33</v>
      </c>
      <c r="AA773" s="37" t="s">
        <v>145</v>
      </c>
      <c r="AB773" s="37"/>
    </row>
    <row r="774" spans="1:28" ht="23.1" customHeight="1" x14ac:dyDescent="0.25">
      <c r="A774" s="53" t="s">
        <v>796</v>
      </c>
      <c r="B774" s="31" t="s">
        <v>113</v>
      </c>
      <c r="C774" s="31">
        <v>47</v>
      </c>
      <c r="D774" s="31" t="s">
        <v>826</v>
      </c>
      <c r="E774" s="25" t="s">
        <v>827</v>
      </c>
      <c r="F774" s="21" t="s">
        <v>827</v>
      </c>
      <c r="G774" s="21" t="str">
        <f>VLOOKUP(D774,[6]成飞半成品!$A:$B,2,0)</f>
        <v>BL900侧梁</v>
      </c>
      <c r="H774" s="31" t="s">
        <v>118</v>
      </c>
      <c r="I774" s="31">
        <v>10</v>
      </c>
      <c r="J774" s="37" t="s">
        <v>2059</v>
      </c>
      <c r="K774" s="31">
        <v>0.2</v>
      </c>
      <c r="L774" s="31">
        <v>0.7</v>
      </c>
      <c r="M774" s="37"/>
      <c r="N774" s="31">
        <v>28</v>
      </c>
      <c r="O774" s="77" t="s">
        <v>860</v>
      </c>
      <c r="P774" s="34"/>
      <c r="Q774" s="31">
        <v>180</v>
      </c>
      <c r="R774" s="31">
        <v>60</v>
      </c>
      <c r="S774" s="31"/>
      <c r="T774" s="31"/>
      <c r="U774" s="31">
        <v>60</v>
      </c>
      <c r="V774" s="31"/>
      <c r="W774" s="37"/>
      <c r="X774" s="37"/>
      <c r="Y774" s="79">
        <v>2.1</v>
      </c>
      <c r="Z774" s="31" t="s">
        <v>33</v>
      </c>
      <c r="AA774" s="37"/>
      <c r="AB774" s="37"/>
    </row>
    <row r="775" spans="1:28" ht="23.1" customHeight="1" x14ac:dyDescent="0.25">
      <c r="A775" s="53" t="s">
        <v>796</v>
      </c>
      <c r="B775" s="31" t="s">
        <v>113</v>
      </c>
      <c r="C775" s="31">
        <v>47</v>
      </c>
      <c r="D775" s="31" t="s">
        <v>826</v>
      </c>
      <c r="E775" s="25" t="s">
        <v>827</v>
      </c>
      <c r="F775" s="21" t="s">
        <v>827</v>
      </c>
      <c r="G775" s="21" t="str">
        <f>VLOOKUP(D775,[6]成飞半成品!$A:$B,2,0)</f>
        <v>BL900侧梁</v>
      </c>
      <c r="H775" s="31" t="s">
        <v>118</v>
      </c>
      <c r="I775" s="31">
        <v>15</v>
      </c>
      <c r="J775" s="37" t="s">
        <v>2071</v>
      </c>
      <c r="K775" s="31">
        <v>0.4</v>
      </c>
      <c r="L775" s="31">
        <v>0.5</v>
      </c>
      <c r="M775" s="37"/>
      <c r="N775" s="31">
        <v>5</v>
      </c>
      <c r="O775" s="77" t="s">
        <v>861</v>
      </c>
      <c r="P775" s="34"/>
      <c r="Q775" s="31">
        <v>1440</v>
      </c>
      <c r="R775" s="31">
        <v>90</v>
      </c>
      <c r="S775" s="31"/>
      <c r="T775" s="31">
        <v>1</v>
      </c>
      <c r="U775" s="31">
        <v>90</v>
      </c>
      <c r="V775" s="31"/>
      <c r="W775" s="37">
        <v>1</v>
      </c>
      <c r="X775" s="37">
        <v>3</v>
      </c>
      <c r="Y775" s="79">
        <v>18</v>
      </c>
      <c r="Z775" s="31" t="s">
        <v>33</v>
      </c>
      <c r="AA775" s="37" t="s">
        <v>862</v>
      </c>
      <c r="AB775" s="37"/>
    </row>
    <row r="776" spans="1:28" ht="23.1" customHeight="1" x14ac:dyDescent="0.25">
      <c r="A776" s="53" t="s">
        <v>796</v>
      </c>
      <c r="B776" s="31" t="s">
        <v>113</v>
      </c>
      <c r="C776" s="31">
        <v>24</v>
      </c>
      <c r="D776" s="31" t="s">
        <v>738</v>
      </c>
      <c r="E776" s="25" t="s">
        <v>739</v>
      </c>
      <c r="F776" s="21" t="s">
        <v>739</v>
      </c>
      <c r="G776" s="21" t="str">
        <f>VLOOKUP(D776,[6]成飞半成品!$A:$B,2,0)</f>
        <v>BL280侧壁（右件）</v>
      </c>
      <c r="H776" s="31" t="s">
        <v>107</v>
      </c>
      <c r="I776" s="31">
        <v>30</v>
      </c>
      <c r="J776" s="37" t="s">
        <v>2061</v>
      </c>
      <c r="K776" s="31">
        <v>0.6</v>
      </c>
      <c r="L776" s="31">
        <v>0.6</v>
      </c>
      <c r="M776" s="37"/>
      <c r="N776" s="31">
        <v>28</v>
      </c>
      <c r="O776" s="77" t="s">
        <v>703</v>
      </c>
      <c r="P776" s="34"/>
      <c r="Q776" s="31">
        <v>1700</v>
      </c>
      <c r="R776" s="31">
        <v>120</v>
      </c>
      <c r="S776" s="31"/>
      <c r="T776" s="31"/>
      <c r="U776" s="31">
        <v>210</v>
      </c>
      <c r="V776" s="31"/>
      <c r="W776" s="37"/>
      <c r="X776" s="37"/>
      <c r="Y776" s="79">
        <v>17</v>
      </c>
      <c r="Z776" s="31" t="s">
        <v>52</v>
      </c>
      <c r="AA776" s="37"/>
      <c r="AB776" s="37"/>
    </row>
    <row r="777" spans="1:28" ht="23.1" customHeight="1" x14ac:dyDescent="0.25">
      <c r="A777" s="53" t="s">
        <v>796</v>
      </c>
      <c r="B777" s="31" t="s">
        <v>113</v>
      </c>
      <c r="C777" s="31">
        <v>69</v>
      </c>
      <c r="D777" s="31" t="s">
        <v>276</v>
      </c>
      <c r="E777" s="25" t="s">
        <v>277</v>
      </c>
      <c r="F777" s="21" t="s">
        <v>277</v>
      </c>
      <c r="G777" s="21" t="str">
        <f>VLOOKUP(D777,[6]成飞半成品!$A:$B,2,0)</f>
        <v>左外侧接头</v>
      </c>
      <c r="H777" s="31" t="s">
        <v>154</v>
      </c>
      <c r="I777" s="31">
        <v>85</v>
      </c>
      <c r="J777" s="37" t="s">
        <v>2063</v>
      </c>
      <c r="K777" s="31">
        <v>1</v>
      </c>
      <c r="L777" s="31">
        <v>1</v>
      </c>
      <c r="M777" s="37"/>
      <c r="N777" s="31">
        <v>23</v>
      </c>
      <c r="O777" s="77" t="s">
        <v>234</v>
      </c>
      <c r="P777" s="34"/>
      <c r="Q777" s="31">
        <v>240</v>
      </c>
      <c r="R777" s="31">
        <v>60</v>
      </c>
      <c r="S777" s="31"/>
      <c r="T777" s="31">
        <v>1</v>
      </c>
      <c r="U777" s="31">
        <v>120</v>
      </c>
      <c r="V777" s="31"/>
      <c r="W777" s="37">
        <v>1</v>
      </c>
      <c r="X777" s="37">
        <v>4</v>
      </c>
      <c r="Y777" s="79">
        <v>11</v>
      </c>
      <c r="Z777" s="31" t="s">
        <v>52</v>
      </c>
      <c r="AA777" s="37" t="s">
        <v>863</v>
      </c>
      <c r="AB777" s="37"/>
    </row>
    <row r="778" spans="1:28" ht="23.1" customHeight="1" x14ac:dyDescent="0.25">
      <c r="A778" s="53" t="s">
        <v>796</v>
      </c>
      <c r="B778" s="31" t="s">
        <v>113</v>
      </c>
      <c r="C778" s="31">
        <v>69</v>
      </c>
      <c r="D778" s="31" t="s">
        <v>132</v>
      </c>
      <c r="E778" s="25" t="s">
        <v>133</v>
      </c>
      <c r="F778" s="21" t="s">
        <v>133</v>
      </c>
      <c r="G778" s="21" t="str">
        <f>VLOOKUP(D778,[6]成飞半成品!$A:$B,2,0)</f>
        <v>摇臂</v>
      </c>
      <c r="H778" s="31" t="s">
        <v>102</v>
      </c>
      <c r="I778" s="31">
        <v>80</v>
      </c>
      <c r="J778" s="37" t="s">
        <v>2016</v>
      </c>
      <c r="K778" s="31">
        <v>1</v>
      </c>
      <c r="L778" s="31"/>
      <c r="M778" s="37"/>
      <c r="N778" s="31">
        <v>28</v>
      </c>
      <c r="O778" s="77" t="s">
        <v>103</v>
      </c>
      <c r="P778" s="34"/>
      <c r="Q778" s="31">
        <v>210</v>
      </c>
      <c r="R778" s="31">
        <v>60</v>
      </c>
      <c r="S778" s="31"/>
      <c r="T778" s="31"/>
      <c r="U778" s="31">
        <v>120</v>
      </c>
      <c r="V778" s="31"/>
      <c r="W778" s="37"/>
      <c r="X778" s="37">
        <v>5</v>
      </c>
      <c r="Y778" s="79">
        <v>5</v>
      </c>
      <c r="Z778" s="31" t="s">
        <v>52</v>
      </c>
      <c r="AA778" s="37" t="s">
        <v>864</v>
      </c>
      <c r="AB778" s="37"/>
    </row>
    <row r="779" spans="1:28" ht="23.1" customHeight="1" x14ac:dyDescent="0.25">
      <c r="A779" s="53" t="s">
        <v>796</v>
      </c>
      <c r="B779" s="31" t="s">
        <v>113</v>
      </c>
      <c r="C779" s="31">
        <v>91</v>
      </c>
      <c r="D779" s="31" t="s">
        <v>790</v>
      </c>
      <c r="E779" s="25" t="s">
        <v>791</v>
      </c>
      <c r="F779" s="21" t="e">
        <v>#N/A</v>
      </c>
      <c r="G779" s="21" t="e">
        <f>VLOOKUP(D779,[6]成飞半成品!$A:$B,2,0)</f>
        <v>#N/A</v>
      </c>
      <c r="H779" s="31" t="s">
        <v>118</v>
      </c>
      <c r="I779" s="31">
        <v>60</v>
      </c>
      <c r="J779" s="37" t="s">
        <v>2062</v>
      </c>
      <c r="K779" s="31">
        <v>1.3</v>
      </c>
      <c r="L779" s="31">
        <v>1.4</v>
      </c>
      <c r="M779" s="31">
        <v>28</v>
      </c>
      <c r="N779" s="31">
        <v>37</v>
      </c>
      <c r="O779" s="77" t="s">
        <v>865</v>
      </c>
      <c r="P779" s="34"/>
      <c r="Q779" s="31">
        <v>720</v>
      </c>
      <c r="R779" s="31">
        <v>60</v>
      </c>
      <c r="S779" s="31"/>
      <c r="T779" s="31">
        <v>1</v>
      </c>
      <c r="U779" s="31">
        <v>120</v>
      </c>
      <c r="V779" s="31"/>
      <c r="W779" s="37"/>
      <c r="X779" s="37"/>
      <c r="Y779" s="79">
        <v>17.8</v>
      </c>
      <c r="Z779" s="31" t="s">
        <v>52</v>
      </c>
      <c r="AA779" s="37" t="s">
        <v>145</v>
      </c>
      <c r="AB779" s="37"/>
    </row>
    <row r="780" spans="1:28" ht="23.1" customHeight="1" x14ac:dyDescent="0.25">
      <c r="A780" s="53" t="s">
        <v>796</v>
      </c>
      <c r="B780" s="31" t="s">
        <v>113</v>
      </c>
      <c r="C780" s="31">
        <v>84</v>
      </c>
      <c r="D780" s="31" t="s">
        <v>866</v>
      </c>
      <c r="E780" s="25" t="s">
        <v>317</v>
      </c>
      <c r="F780" s="21" t="s">
        <v>317</v>
      </c>
      <c r="G780" s="21" t="str">
        <f>VLOOKUP(D780,[6]成飞半成品!$A:$B,2,0)</f>
        <v>角盒</v>
      </c>
      <c r="H780" s="31" t="s">
        <v>154</v>
      </c>
      <c r="I780" s="31">
        <v>30</v>
      </c>
      <c r="J780" s="37" t="s">
        <v>2072</v>
      </c>
      <c r="K780" s="31">
        <v>1.5</v>
      </c>
      <c r="L780" s="31">
        <v>1.4</v>
      </c>
      <c r="M780" s="31">
        <v>31</v>
      </c>
      <c r="N780" s="31">
        <v>19</v>
      </c>
      <c r="O780" s="77" t="s">
        <v>438</v>
      </c>
      <c r="P780" s="34"/>
      <c r="Q780" s="31">
        <v>600</v>
      </c>
      <c r="R780" s="31">
        <v>60</v>
      </c>
      <c r="S780" s="31"/>
      <c r="T780" s="31">
        <v>2</v>
      </c>
      <c r="U780" s="31">
        <v>120</v>
      </c>
      <c r="V780" s="31"/>
      <c r="W780" s="37">
        <v>1</v>
      </c>
      <c r="X780" s="37">
        <v>3</v>
      </c>
      <c r="Y780" s="79">
        <v>21</v>
      </c>
      <c r="Z780" s="31" t="s">
        <v>52</v>
      </c>
      <c r="AA780" s="37" t="s">
        <v>867</v>
      </c>
      <c r="AB780" s="37"/>
    </row>
    <row r="781" spans="1:28" ht="23.1" customHeight="1" x14ac:dyDescent="0.25">
      <c r="A781" s="53" t="s">
        <v>796</v>
      </c>
      <c r="B781" s="31" t="s">
        <v>113</v>
      </c>
      <c r="C781" s="31">
        <v>119</v>
      </c>
      <c r="D781" s="31" t="s">
        <v>288</v>
      </c>
      <c r="E781" s="25" t="s">
        <v>255</v>
      </c>
      <c r="F781" s="21" t="s">
        <v>1532</v>
      </c>
      <c r="G781" s="21" t="str">
        <f>VLOOKUP(D781,[6]成飞半成品!$A:$B,2,0)</f>
        <v>9350-11140左侧上梁</v>
      </c>
      <c r="H781" s="31" t="s">
        <v>250</v>
      </c>
      <c r="I781" s="31">
        <v>50</v>
      </c>
      <c r="J781" s="37" t="s">
        <v>2021</v>
      </c>
      <c r="K781" s="31">
        <v>0.3</v>
      </c>
      <c r="L781" s="31">
        <v>0.4</v>
      </c>
      <c r="M781" s="37"/>
      <c r="N781" s="31">
        <v>28</v>
      </c>
      <c r="O781" s="77" t="s">
        <v>475</v>
      </c>
      <c r="P781" s="34"/>
      <c r="Q781" s="31">
        <v>3000</v>
      </c>
      <c r="R781" s="31">
        <v>90</v>
      </c>
      <c r="S781" s="31"/>
      <c r="T781" s="31"/>
      <c r="U781" s="31">
        <v>150</v>
      </c>
      <c r="V781" s="31"/>
      <c r="W781" s="37"/>
      <c r="X781" s="37"/>
      <c r="Y781" s="79">
        <v>20</v>
      </c>
      <c r="Z781" s="31" t="s">
        <v>52</v>
      </c>
      <c r="AA781" s="37"/>
      <c r="AB781" s="37"/>
    </row>
    <row r="782" spans="1:28" ht="23.1" customHeight="1" x14ac:dyDescent="0.25">
      <c r="A782" s="53" t="s">
        <v>796</v>
      </c>
      <c r="B782" s="31" t="s">
        <v>113</v>
      </c>
      <c r="C782" s="31">
        <v>121</v>
      </c>
      <c r="D782" s="31" t="s">
        <v>834</v>
      </c>
      <c r="E782" s="25" t="s">
        <v>835</v>
      </c>
      <c r="F782" s="21" t="s">
        <v>835</v>
      </c>
      <c r="G782" s="21" t="str">
        <f>VLOOKUP(D782,[6]成飞半成品!$A:$B,2,0)</f>
        <v>根肋三段</v>
      </c>
      <c r="H782" s="31" t="s">
        <v>154</v>
      </c>
      <c r="I782" s="31">
        <v>60</v>
      </c>
      <c r="J782" s="37" t="s">
        <v>2064</v>
      </c>
      <c r="K782" s="31">
        <v>3</v>
      </c>
      <c r="L782" s="31">
        <v>3</v>
      </c>
      <c r="M782" s="31">
        <v>5</v>
      </c>
      <c r="N782" s="31">
        <v>31</v>
      </c>
      <c r="O782" s="77" t="s">
        <v>868</v>
      </c>
      <c r="P782" s="34"/>
      <c r="Q782" s="31">
        <v>270</v>
      </c>
      <c r="R782" s="31">
        <v>60</v>
      </c>
      <c r="S782" s="31"/>
      <c r="T782" s="31">
        <v>3</v>
      </c>
      <c r="U782" s="31">
        <v>180</v>
      </c>
      <c r="V782" s="31"/>
      <c r="W782" s="37"/>
      <c r="X782" s="37"/>
      <c r="Y782" s="79">
        <v>16.5</v>
      </c>
      <c r="Z782" s="31" t="s">
        <v>52</v>
      </c>
      <c r="AA782" s="37" t="s">
        <v>125</v>
      </c>
      <c r="AB782" s="37"/>
    </row>
    <row r="783" spans="1:28" ht="23.1" customHeight="1" x14ac:dyDescent="0.25">
      <c r="A783" s="53" t="s">
        <v>796</v>
      </c>
      <c r="B783" s="31" t="s">
        <v>113</v>
      </c>
      <c r="C783" s="31">
        <v>76</v>
      </c>
      <c r="D783" s="31" t="s">
        <v>364</v>
      </c>
      <c r="E783" s="25" t="s">
        <v>365</v>
      </c>
      <c r="F783" s="21" t="s">
        <v>365</v>
      </c>
      <c r="G783" s="21" t="str">
        <f>VLOOKUP(D783,[6]成飞半成品!$A:$B,2,0)</f>
        <v>卡箍扣</v>
      </c>
      <c r="H783" s="31" t="s">
        <v>154</v>
      </c>
      <c r="I783" s="31">
        <v>30</v>
      </c>
      <c r="J783" s="10" t="s">
        <v>1863</v>
      </c>
      <c r="K783" s="31">
        <v>10</v>
      </c>
      <c r="L783" s="31">
        <v>14</v>
      </c>
      <c r="M783" s="31">
        <v>5</v>
      </c>
      <c r="N783" s="31">
        <v>5</v>
      </c>
      <c r="O783" s="77" t="s">
        <v>221</v>
      </c>
      <c r="P783" s="34"/>
      <c r="Q783" s="31">
        <v>17</v>
      </c>
      <c r="R783" s="31"/>
      <c r="S783" s="31"/>
      <c r="T783" s="31"/>
      <c r="U783" s="31">
        <v>60</v>
      </c>
      <c r="V783" s="31"/>
      <c r="W783" s="37"/>
      <c r="X783" s="37"/>
      <c r="Y783" s="79">
        <v>4</v>
      </c>
      <c r="Z783" s="31" t="s">
        <v>46</v>
      </c>
      <c r="AA783" s="37"/>
      <c r="AB783" s="37"/>
    </row>
    <row r="784" spans="1:28" ht="23.1" customHeight="1" x14ac:dyDescent="0.25">
      <c r="A784" s="53" t="s">
        <v>796</v>
      </c>
      <c r="B784" s="31" t="s">
        <v>113</v>
      </c>
      <c r="C784" s="31">
        <v>76</v>
      </c>
      <c r="D784" s="31" t="s">
        <v>364</v>
      </c>
      <c r="E784" s="25" t="s">
        <v>365</v>
      </c>
      <c r="F784" s="21" t="s">
        <v>365</v>
      </c>
      <c r="G784" s="21" t="str">
        <f>VLOOKUP(D784,[6]成飞半成品!$A:$B,2,0)</f>
        <v>卡箍扣</v>
      </c>
      <c r="H784" s="31" t="s">
        <v>154</v>
      </c>
      <c r="I784" s="31">
        <v>35</v>
      </c>
      <c r="J784" s="37" t="s">
        <v>2073</v>
      </c>
      <c r="K784" s="31">
        <v>30</v>
      </c>
      <c r="L784" s="31">
        <v>30</v>
      </c>
      <c r="M784" s="31">
        <v>5</v>
      </c>
      <c r="N784" s="31">
        <v>31</v>
      </c>
      <c r="O784" s="77" t="s">
        <v>221</v>
      </c>
      <c r="P784" s="34"/>
      <c r="Q784" s="31">
        <v>15</v>
      </c>
      <c r="R784" s="31"/>
      <c r="S784" s="31"/>
      <c r="T784" s="31"/>
      <c r="U784" s="31">
        <v>60</v>
      </c>
      <c r="V784" s="31"/>
      <c r="W784" s="37">
        <v>1</v>
      </c>
      <c r="X784" s="37"/>
      <c r="Y784" s="79">
        <v>8.5</v>
      </c>
      <c r="Z784" s="31" t="s">
        <v>46</v>
      </c>
      <c r="AA784" s="37"/>
      <c r="AB784" s="37"/>
    </row>
    <row r="785" spans="1:28" ht="23.1" customHeight="1" x14ac:dyDescent="0.25">
      <c r="A785" s="53" t="s">
        <v>796</v>
      </c>
      <c r="B785" s="31" t="s">
        <v>113</v>
      </c>
      <c r="C785" s="31">
        <v>22</v>
      </c>
      <c r="D785" s="31" t="s">
        <v>635</v>
      </c>
      <c r="E785" s="25" t="s">
        <v>612</v>
      </c>
      <c r="F785" s="21" t="s">
        <v>612</v>
      </c>
      <c r="G785" s="21" t="str">
        <f>VLOOKUP(D785,[6]成飞半成品!$A:$B,2,0)</f>
        <v>前梁二段</v>
      </c>
      <c r="H785" s="31" t="s">
        <v>102</v>
      </c>
      <c r="I785" s="31">
        <v>45</v>
      </c>
      <c r="J785" s="37" t="s">
        <v>2015</v>
      </c>
      <c r="K785" s="31">
        <v>0.3</v>
      </c>
      <c r="L785" s="31">
        <v>0.3</v>
      </c>
      <c r="M785" s="37"/>
      <c r="N785" s="31">
        <v>5</v>
      </c>
      <c r="O785" s="77" t="s">
        <v>613</v>
      </c>
      <c r="P785" s="34"/>
      <c r="Q785" s="31">
        <v>6000</v>
      </c>
      <c r="R785" s="31">
        <v>180</v>
      </c>
      <c r="S785" s="31"/>
      <c r="T785" s="31"/>
      <c r="U785" s="31">
        <v>180</v>
      </c>
      <c r="V785" s="31"/>
      <c r="W785" s="37"/>
      <c r="X785" s="37"/>
      <c r="Y785" s="79">
        <v>30</v>
      </c>
      <c r="Z785" s="31" t="s">
        <v>50</v>
      </c>
      <c r="AA785" s="37"/>
      <c r="AB785" s="37"/>
    </row>
    <row r="786" spans="1:28" ht="23.1" customHeight="1" x14ac:dyDescent="0.25">
      <c r="A786" s="53" t="s">
        <v>796</v>
      </c>
      <c r="B786" s="31" t="s">
        <v>113</v>
      </c>
      <c r="C786" s="31">
        <v>57</v>
      </c>
      <c r="D786" s="31" t="s">
        <v>698</v>
      </c>
      <c r="E786" s="25" t="s">
        <v>699</v>
      </c>
      <c r="F786" s="21" t="e">
        <v>#N/A</v>
      </c>
      <c r="G786" s="21" t="e">
        <f>VLOOKUP(D786,[6]成飞半成品!$A:$B,2,0)</f>
        <v>#N/A</v>
      </c>
      <c r="H786" s="31" t="s">
        <v>123</v>
      </c>
      <c r="I786" s="31">
        <v>15</v>
      </c>
      <c r="J786" s="37" t="s">
        <v>2042</v>
      </c>
      <c r="K786" s="31">
        <v>4</v>
      </c>
      <c r="L786" s="31">
        <v>5</v>
      </c>
      <c r="M786" s="31">
        <v>28</v>
      </c>
      <c r="N786" s="31">
        <v>9</v>
      </c>
      <c r="O786" s="77" t="s">
        <v>247</v>
      </c>
      <c r="P786" s="34"/>
      <c r="Q786" s="31">
        <v>130</v>
      </c>
      <c r="R786" s="31"/>
      <c r="S786" s="31"/>
      <c r="T786" s="31"/>
      <c r="U786" s="31">
        <v>60</v>
      </c>
      <c r="V786" s="31"/>
      <c r="W786" s="37"/>
      <c r="X786" s="37"/>
      <c r="Y786" s="79">
        <v>10.8</v>
      </c>
      <c r="Z786" s="31" t="s">
        <v>57</v>
      </c>
      <c r="AA786" s="37"/>
      <c r="AB786" s="37"/>
    </row>
    <row r="787" spans="1:28" ht="23.1" customHeight="1" x14ac:dyDescent="0.25">
      <c r="A787" s="53" t="s">
        <v>796</v>
      </c>
      <c r="B787" s="31" t="s">
        <v>113</v>
      </c>
      <c r="C787" s="31">
        <v>12</v>
      </c>
      <c r="D787" s="31" t="s">
        <v>735</v>
      </c>
      <c r="E787" s="25" t="s">
        <v>249</v>
      </c>
      <c r="F787" s="21" t="s">
        <v>249</v>
      </c>
      <c r="G787" s="21" t="str">
        <f>VLOOKUP(D787,[6]成飞半成品!$A:$B,2,0)</f>
        <v>10060下接头</v>
      </c>
      <c r="H787" s="31" t="s">
        <v>250</v>
      </c>
      <c r="I787" s="31">
        <v>15</v>
      </c>
      <c r="J787" s="37" t="s">
        <v>2045</v>
      </c>
      <c r="K787" s="31">
        <v>1</v>
      </c>
      <c r="L787" s="31">
        <v>2</v>
      </c>
      <c r="M787" s="31">
        <v>28</v>
      </c>
      <c r="N787" s="37"/>
      <c r="O787" s="77" t="s">
        <v>869</v>
      </c>
      <c r="P787" s="34"/>
      <c r="Q787" s="31">
        <v>600</v>
      </c>
      <c r="R787" s="31"/>
      <c r="S787" s="31"/>
      <c r="T787" s="31"/>
      <c r="U787" s="31">
        <v>120</v>
      </c>
      <c r="V787" s="31"/>
      <c r="W787" s="37"/>
      <c r="X787" s="37"/>
      <c r="Y787" s="79">
        <v>20</v>
      </c>
      <c r="Z787" s="31" t="s">
        <v>72</v>
      </c>
      <c r="AA787" s="37"/>
      <c r="AB787" s="37"/>
    </row>
    <row r="788" spans="1:28" ht="23.1" customHeight="1" x14ac:dyDescent="0.25">
      <c r="A788" s="53" t="s">
        <v>796</v>
      </c>
      <c r="B788" s="31" t="s">
        <v>113</v>
      </c>
      <c r="C788" s="31">
        <v>21</v>
      </c>
      <c r="D788" s="31" t="s">
        <v>321</v>
      </c>
      <c r="E788" s="25" t="s">
        <v>322</v>
      </c>
      <c r="F788" s="21" t="s">
        <v>322</v>
      </c>
      <c r="G788" s="21" t="str">
        <f>VLOOKUP(D788,[6]成飞半成品!$A:$B,2,0)</f>
        <v>10860框</v>
      </c>
      <c r="H788" s="31" t="s">
        <v>323</v>
      </c>
      <c r="I788" s="31">
        <v>15</v>
      </c>
      <c r="J788" s="37" t="s">
        <v>2048</v>
      </c>
      <c r="K788" s="31">
        <v>2</v>
      </c>
      <c r="L788" s="31">
        <v>2</v>
      </c>
      <c r="M788" s="31">
        <v>5</v>
      </c>
      <c r="N788" s="31">
        <v>28</v>
      </c>
      <c r="O788" s="77" t="s">
        <v>824</v>
      </c>
      <c r="P788" s="34"/>
      <c r="Q788" s="31">
        <v>210</v>
      </c>
      <c r="R788" s="31">
        <v>120</v>
      </c>
      <c r="S788" s="31"/>
      <c r="T788" s="31">
        <v>2</v>
      </c>
      <c r="U788" s="31">
        <v>180</v>
      </c>
      <c r="V788" s="31"/>
      <c r="W788" s="37">
        <v>1</v>
      </c>
      <c r="X788" s="37"/>
      <c r="Y788" s="79">
        <v>14</v>
      </c>
      <c r="Z788" s="31" t="s">
        <v>58</v>
      </c>
      <c r="AA788" s="37" t="s">
        <v>325</v>
      </c>
      <c r="AB788" s="37"/>
    </row>
    <row r="789" spans="1:28" ht="23.1" customHeight="1" x14ac:dyDescent="0.25">
      <c r="A789" s="53" t="s">
        <v>796</v>
      </c>
      <c r="B789" s="31" t="s">
        <v>113</v>
      </c>
      <c r="C789" s="31">
        <v>21</v>
      </c>
      <c r="D789" s="31" t="s">
        <v>321</v>
      </c>
      <c r="E789" s="25" t="s">
        <v>322</v>
      </c>
      <c r="F789" s="21" t="s">
        <v>322</v>
      </c>
      <c r="G789" s="21" t="str">
        <f>VLOOKUP(D789,[6]成飞半成品!$A:$B,2,0)</f>
        <v>10860框</v>
      </c>
      <c r="H789" s="31" t="s">
        <v>323</v>
      </c>
      <c r="I789" s="31">
        <v>25</v>
      </c>
      <c r="J789" s="31" t="s">
        <v>2074</v>
      </c>
      <c r="K789" s="37"/>
      <c r="L789" s="31">
        <v>1.3</v>
      </c>
      <c r="M789" s="31">
        <v>31</v>
      </c>
      <c r="N789" s="31">
        <v>9</v>
      </c>
      <c r="O789" s="77" t="s">
        <v>771</v>
      </c>
      <c r="P789" s="34"/>
      <c r="Q789" s="31">
        <v>360</v>
      </c>
      <c r="R789" s="31">
        <v>120</v>
      </c>
      <c r="S789" s="31"/>
      <c r="T789" s="31">
        <v>2</v>
      </c>
      <c r="U789" s="31">
        <v>180</v>
      </c>
      <c r="V789" s="31"/>
      <c r="W789" s="37">
        <v>1</v>
      </c>
      <c r="X789" s="37"/>
      <c r="Y789" s="79">
        <v>14.8</v>
      </c>
      <c r="Z789" s="31" t="s">
        <v>58</v>
      </c>
      <c r="AA789" s="37" t="s">
        <v>325</v>
      </c>
      <c r="AB789" s="37"/>
    </row>
    <row r="790" spans="1:28" ht="23.1" customHeight="1" x14ac:dyDescent="0.25">
      <c r="A790" s="53" t="s">
        <v>796</v>
      </c>
      <c r="B790" s="31" t="s">
        <v>113</v>
      </c>
      <c r="C790" s="31">
        <v>108</v>
      </c>
      <c r="D790" s="31" t="s">
        <v>273</v>
      </c>
      <c r="E790" s="25" t="s">
        <v>274</v>
      </c>
      <c r="F790" s="21" t="s">
        <v>274</v>
      </c>
      <c r="G790" s="21" t="str">
        <f>VLOOKUP(D790,[6]成飞半成品!$A:$B,2,0)</f>
        <v>前起落架水平接头</v>
      </c>
      <c r="H790" s="31" t="s">
        <v>123</v>
      </c>
      <c r="I790" s="31">
        <v>35</v>
      </c>
      <c r="J790" s="37" t="s">
        <v>1999</v>
      </c>
      <c r="K790" s="31">
        <v>6</v>
      </c>
      <c r="L790" s="31">
        <v>6</v>
      </c>
      <c r="M790" s="31">
        <v>26</v>
      </c>
      <c r="N790" s="31">
        <v>26</v>
      </c>
      <c r="O790" s="77" t="s">
        <v>275</v>
      </c>
      <c r="P790" s="34"/>
      <c r="Q790" s="31">
        <v>100</v>
      </c>
      <c r="R790" s="31"/>
      <c r="S790" s="31"/>
      <c r="T790" s="31"/>
      <c r="U790" s="31">
        <v>60</v>
      </c>
      <c r="V790" s="31"/>
      <c r="W790" s="37"/>
      <c r="X790" s="37"/>
      <c r="Y790" s="79">
        <v>10</v>
      </c>
      <c r="Z790" s="31" t="s">
        <v>45</v>
      </c>
      <c r="AA790" s="31" t="s">
        <v>313</v>
      </c>
      <c r="AB790" s="37"/>
    </row>
    <row r="791" spans="1:28" ht="23.1" customHeight="1" x14ac:dyDescent="0.25">
      <c r="A791" s="53" t="s">
        <v>796</v>
      </c>
      <c r="B791" s="31" t="s">
        <v>113</v>
      </c>
      <c r="C791" s="31">
        <v>79</v>
      </c>
      <c r="D791" s="31" t="s">
        <v>420</v>
      </c>
      <c r="E791" s="25" t="s">
        <v>153</v>
      </c>
      <c r="F791" s="21" t="s">
        <v>1247</v>
      </c>
      <c r="G791" s="21" t="str">
        <f>VLOOKUP(D791,[6]成飞半成品!$A:$B,2,0)</f>
        <v>根肋前段</v>
      </c>
      <c r="H791" s="31" t="s">
        <v>154</v>
      </c>
      <c r="I791" s="31">
        <v>30</v>
      </c>
      <c r="J791" s="37" t="s">
        <v>2053</v>
      </c>
      <c r="K791" s="31">
        <v>0.5</v>
      </c>
      <c r="L791" s="31">
        <v>0.7</v>
      </c>
      <c r="M791" s="37"/>
      <c r="N791" s="31">
        <v>26</v>
      </c>
      <c r="O791" s="77" t="s">
        <v>784</v>
      </c>
      <c r="P791" s="34"/>
      <c r="Q791" s="31">
        <v>1830</v>
      </c>
      <c r="R791" s="31">
        <v>90</v>
      </c>
      <c r="S791" s="31"/>
      <c r="T791" s="31"/>
      <c r="U791" s="31">
        <v>120</v>
      </c>
      <c r="V791" s="31"/>
      <c r="W791" s="37"/>
      <c r="X791" s="37"/>
      <c r="Y791" s="79">
        <v>21.4</v>
      </c>
      <c r="Z791" s="31" t="s">
        <v>19</v>
      </c>
      <c r="AA791" s="37"/>
      <c r="AB791" s="37"/>
    </row>
    <row r="792" spans="1:28" ht="23.1" customHeight="1" x14ac:dyDescent="0.25">
      <c r="A792" s="53" t="s">
        <v>870</v>
      </c>
      <c r="B792" s="31" t="s">
        <v>99</v>
      </c>
      <c r="C792" s="31">
        <v>76</v>
      </c>
      <c r="D792" s="31" t="s">
        <v>364</v>
      </c>
      <c r="E792" s="25" t="s">
        <v>365</v>
      </c>
      <c r="F792" s="21" t="s">
        <v>365</v>
      </c>
      <c r="G792" s="21" t="str">
        <f>VLOOKUP(D792,[6]成飞半成品!$A:$B,2,0)</f>
        <v>卡箍扣</v>
      </c>
      <c r="H792" s="31" t="s">
        <v>154</v>
      </c>
      <c r="I792" s="31">
        <v>30</v>
      </c>
      <c r="J792" s="10" t="s">
        <v>1863</v>
      </c>
      <c r="K792" s="31">
        <v>40</v>
      </c>
      <c r="L792" s="31">
        <v>35</v>
      </c>
      <c r="M792" s="37">
        <v>19</v>
      </c>
      <c r="N792" s="31">
        <v>5</v>
      </c>
      <c r="O792" s="77" t="s">
        <v>221</v>
      </c>
      <c r="P792" s="34"/>
      <c r="Q792" s="31">
        <v>17</v>
      </c>
      <c r="R792" s="31"/>
      <c r="S792" s="31"/>
      <c r="T792" s="31"/>
      <c r="U792" s="31">
        <v>60</v>
      </c>
      <c r="V792" s="31"/>
      <c r="W792" s="37">
        <v>1</v>
      </c>
      <c r="X792" s="37">
        <v>3</v>
      </c>
      <c r="Y792" s="79">
        <v>13.9</v>
      </c>
      <c r="Z792" s="31" t="s">
        <v>12</v>
      </c>
      <c r="AA792" s="37" t="s">
        <v>871</v>
      </c>
      <c r="AB792" s="25" t="s">
        <v>238</v>
      </c>
    </row>
    <row r="793" spans="1:28" ht="23.1" customHeight="1" x14ac:dyDescent="0.25">
      <c r="A793" s="53" t="s">
        <v>870</v>
      </c>
      <c r="B793" s="31" t="s">
        <v>99</v>
      </c>
      <c r="C793" s="31">
        <v>76</v>
      </c>
      <c r="D793" s="31" t="s">
        <v>872</v>
      </c>
      <c r="E793" s="25" t="s">
        <v>240</v>
      </c>
      <c r="F793" s="21" t="s">
        <v>240</v>
      </c>
      <c r="G793" s="21" t="str">
        <f>VLOOKUP(D793,[6]成飞半成品!$A:$B,2,0)</f>
        <v>角片</v>
      </c>
      <c r="H793" s="31" t="s">
        <v>154</v>
      </c>
      <c r="I793" s="31">
        <v>33</v>
      </c>
      <c r="J793" s="37"/>
      <c r="K793" s="31">
        <v>12</v>
      </c>
      <c r="L793" s="31">
        <v>12</v>
      </c>
      <c r="M793" s="37">
        <v>19</v>
      </c>
      <c r="N793" s="31">
        <v>19</v>
      </c>
      <c r="O793" s="77" t="s">
        <v>873</v>
      </c>
      <c r="P793" s="34">
        <v>30</v>
      </c>
      <c r="Q793" s="31"/>
      <c r="R793" s="31"/>
      <c r="S793" s="31"/>
      <c r="T793" s="31"/>
      <c r="U793" s="31"/>
      <c r="V793" s="31">
        <v>60</v>
      </c>
      <c r="W793" s="37">
        <v>1</v>
      </c>
      <c r="X793" s="37"/>
      <c r="Y793" s="83">
        <v>7</v>
      </c>
      <c r="Z793" s="31" t="s">
        <v>12</v>
      </c>
      <c r="AA793" s="37" t="s">
        <v>874</v>
      </c>
      <c r="AB793" s="37"/>
    </row>
    <row r="794" spans="1:28" ht="23.1" customHeight="1" x14ac:dyDescent="0.25">
      <c r="A794" s="53" t="s">
        <v>870</v>
      </c>
      <c r="B794" s="31" t="s">
        <v>99</v>
      </c>
      <c r="C794" s="31">
        <v>12</v>
      </c>
      <c r="D794" s="31" t="s">
        <v>735</v>
      </c>
      <c r="E794" s="25" t="s">
        <v>249</v>
      </c>
      <c r="F794" s="21" t="s">
        <v>249</v>
      </c>
      <c r="G794" s="21" t="str">
        <f>VLOOKUP(D794,[6]成飞半成品!$A:$B,2,0)</f>
        <v>10060下接头</v>
      </c>
      <c r="H794" s="31" t="s">
        <v>250</v>
      </c>
      <c r="I794" s="31">
        <v>15</v>
      </c>
      <c r="J794" s="37" t="s">
        <v>1903</v>
      </c>
      <c r="K794" s="31">
        <v>1</v>
      </c>
      <c r="L794" s="31">
        <v>1.6</v>
      </c>
      <c r="M794" s="37">
        <v>19</v>
      </c>
      <c r="N794" s="31"/>
      <c r="O794" s="77" t="s">
        <v>875</v>
      </c>
      <c r="P794" s="34"/>
      <c r="Q794" s="31">
        <v>600</v>
      </c>
      <c r="R794" s="31"/>
      <c r="S794" s="31"/>
      <c r="T794" s="31"/>
      <c r="U794" s="31">
        <v>120</v>
      </c>
      <c r="V794" s="31"/>
      <c r="W794" s="37"/>
      <c r="X794" s="37"/>
      <c r="Y794" s="79">
        <v>16</v>
      </c>
      <c r="Z794" s="31" t="s">
        <v>10</v>
      </c>
      <c r="AA794" s="37"/>
      <c r="AB794" s="37"/>
    </row>
    <row r="795" spans="1:28" ht="23.1" customHeight="1" x14ac:dyDescent="0.25">
      <c r="A795" s="53" t="s">
        <v>870</v>
      </c>
      <c r="B795" s="31" t="s">
        <v>99</v>
      </c>
      <c r="C795" s="31">
        <v>78</v>
      </c>
      <c r="D795" s="31" t="s">
        <v>854</v>
      </c>
      <c r="E795" s="25" t="s">
        <v>822</v>
      </c>
      <c r="F795" s="21" t="s">
        <v>822</v>
      </c>
      <c r="G795" s="21" t="str">
        <f>VLOOKUP(D795,[6]成飞半成品!$A:$B,2,0)</f>
        <v>1#竖梁</v>
      </c>
      <c r="H795" s="31" t="s">
        <v>123</v>
      </c>
      <c r="I795" s="31">
        <v>15</v>
      </c>
      <c r="J795" s="37" t="s">
        <v>2075</v>
      </c>
      <c r="K795" s="31">
        <v>2</v>
      </c>
      <c r="L795" s="31">
        <v>2</v>
      </c>
      <c r="M795" s="37">
        <v>26</v>
      </c>
      <c r="N795" s="31">
        <v>26</v>
      </c>
      <c r="O795" s="77" t="s">
        <v>661</v>
      </c>
      <c r="P795" s="34"/>
      <c r="Q795" s="31">
        <v>130</v>
      </c>
      <c r="R795" s="31">
        <v>60</v>
      </c>
      <c r="S795" s="31"/>
      <c r="T795" s="31">
        <v>2</v>
      </c>
      <c r="U795" s="31">
        <v>60</v>
      </c>
      <c r="V795" s="31"/>
      <c r="W795" s="37">
        <v>1</v>
      </c>
      <c r="X795" s="37"/>
      <c r="Y795" s="79">
        <v>7.3</v>
      </c>
      <c r="Z795" s="31" t="s">
        <v>5</v>
      </c>
      <c r="AA795" s="37" t="s">
        <v>823</v>
      </c>
      <c r="AB795" s="37"/>
    </row>
    <row r="796" spans="1:28" ht="23.1" customHeight="1" x14ac:dyDescent="0.25">
      <c r="A796" s="53" t="s">
        <v>870</v>
      </c>
      <c r="B796" s="31" t="s">
        <v>99</v>
      </c>
      <c r="C796" s="31">
        <v>78</v>
      </c>
      <c r="D796" s="31" t="s">
        <v>821</v>
      </c>
      <c r="E796" s="25" t="s">
        <v>822</v>
      </c>
      <c r="F796" s="21" t="s">
        <v>822</v>
      </c>
      <c r="G796" s="21" t="str">
        <f>VLOOKUP(D796,[6]成飞半成品!$A:$B,2,0)</f>
        <v>1#竖梁</v>
      </c>
      <c r="H796" s="31" t="s">
        <v>123</v>
      </c>
      <c r="I796" s="31">
        <v>15</v>
      </c>
      <c r="J796" s="37" t="s">
        <v>2075</v>
      </c>
      <c r="K796" s="31">
        <v>2</v>
      </c>
      <c r="L796" s="31">
        <v>1.5</v>
      </c>
      <c r="M796" s="37">
        <v>5</v>
      </c>
      <c r="N796" s="31">
        <v>28</v>
      </c>
      <c r="O796" s="77" t="s">
        <v>661</v>
      </c>
      <c r="P796" s="34"/>
      <c r="Q796" s="31">
        <v>130</v>
      </c>
      <c r="R796" s="31">
        <v>60</v>
      </c>
      <c r="S796" s="31"/>
      <c r="T796" s="31">
        <v>2</v>
      </c>
      <c r="U796" s="31">
        <v>60</v>
      </c>
      <c r="V796" s="31"/>
      <c r="W796" s="37">
        <v>1</v>
      </c>
      <c r="X796" s="37"/>
      <c r="Y796" s="79">
        <v>6.3</v>
      </c>
      <c r="Z796" s="31" t="s">
        <v>5</v>
      </c>
      <c r="AA796" s="37" t="s">
        <v>823</v>
      </c>
      <c r="AB796" s="37"/>
    </row>
    <row r="797" spans="1:28" ht="23.1" customHeight="1" x14ac:dyDescent="0.25">
      <c r="A797" s="53" t="s">
        <v>870</v>
      </c>
      <c r="B797" s="31" t="s">
        <v>99</v>
      </c>
      <c r="C797" s="31">
        <v>57</v>
      </c>
      <c r="D797" s="31" t="s">
        <v>698</v>
      </c>
      <c r="E797" s="25" t="s">
        <v>699</v>
      </c>
      <c r="F797" s="21" t="e">
        <v>#N/A</v>
      </c>
      <c r="G797" s="21" t="e">
        <f>VLOOKUP(D797,[6]成飞半成品!$A:$B,2,0)</f>
        <v>#N/A</v>
      </c>
      <c r="H797" s="31" t="s">
        <v>123</v>
      </c>
      <c r="I797" s="31">
        <v>15</v>
      </c>
      <c r="J797" s="37" t="s">
        <v>2042</v>
      </c>
      <c r="K797" s="31">
        <v>4</v>
      </c>
      <c r="L797" s="31">
        <v>1.5</v>
      </c>
      <c r="M797" s="37">
        <v>9</v>
      </c>
      <c r="N797" s="31">
        <v>9</v>
      </c>
      <c r="O797" s="77" t="s">
        <v>418</v>
      </c>
      <c r="P797" s="34"/>
      <c r="Q797" s="31">
        <v>130</v>
      </c>
      <c r="R797" s="31"/>
      <c r="S797" s="31"/>
      <c r="T797" s="31"/>
      <c r="U797" s="31">
        <v>60</v>
      </c>
      <c r="V797" s="31"/>
      <c r="W797" s="37"/>
      <c r="X797" s="37"/>
      <c r="Y797" s="79">
        <v>3.3</v>
      </c>
      <c r="Z797" s="31" t="s">
        <v>0</v>
      </c>
      <c r="AA797" s="37"/>
      <c r="AB797" s="37"/>
    </row>
    <row r="798" spans="1:28" ht="23.1" customHeight="1" x14ac:dyDescent="0.25">
      <c r="A798" s="53" t="s">
        <v>870</v>
      </c>
      <c r="B798" s="31" t="s">
        <v>99</v>
      </c>
      <c r="C798" s="31">
        <v>57</v>
      </c>
      <c r="D798" s="31" t="s">
        <v>698</v>
      </c>
      <c r="E798" s="25" t="s">
        <v>699</v>
      </c>
      <c r="F798" s="21" t="e">
        <v>#N/A</v>
      </c>
      <c r="G798" s="21" t="e">
        <f>VLOOKUP(D798,[6]成飞半成品!$A:$B,2,0)</f>
        <v>#N/A</v>
      </c>
      <c r="H798" s="31" t="s">
        <v>123</v>
      </c>
      <c r="I798" s="31">
        <v>20</v>
      </c>
      <c r="J798" s="37" t="s">
        <v>2076</v>
      </c>
      <c r="K798" s="31"/>
      <c r="L798" s="31">
        <v>1.5</v>
      </c>
      <c r="M798" s="37">
        <v>26</v>
      </c>
      <c r="N798" s="31">
        <v>26</v>
      </c>
      <c r="O798" s="77" t="s">
        <v>219</v>
      </c>
      <c r="P798" s="34"/>
      <c r="Q798" s="31">
        <v>210</v>
      </c>
      <c r="R798" s="31"/>
      <c r="S798" s="31"/>
      <c r="T798" s="31"/>
      <c r="U798" s="31">
        <v>90</v>
      </c>
      <c r="V798" s="31"/>
      <c r="W798" s="37">
        <v>1</v>
      </c>
      <c r="X798" s="37">
        <v>2</v>
      </c>
      <c r="Y798" s="79">
        <v>8.8000000000000007</v>
      </c>
      <c r="Z798" s="31" t="s">
        <v>0</v>
      </c>
      <c r="AA798" s="37" t="s">
        <v>876</v>
      </c>
      <c r="AB798" s="25" t="s">
        <v>238</v>
      </c>
    </row>
    <row r="799" spans="1:28" ht="23.1" customHeight="1" x14ac:dyDescent="0.25">
      <c r="A799" s="53" t="s">
        <v>870</v>
      </c>
      <c r="B799" s="31" t="s">
        <v>99</v>
      </c>
      <c r="C799" s="31">
        <v>11</v>
      </c>
      <c r="D799" s="31" t="s">
        <v>2564</v>
      </c>
      <c r="E799" s="25" t="s">
        <v>691</v>
      </c>
      <c r="F799" s="21" t="s">
        <v>691</v>
      </c>
      <c r="G799" s="21" t="str">
        <f>VLOOKUP(D799,[6]成飞半成品!$A:$B,2,0)</f>
        <v>地板支撑件</v>
      </c>
      <c r="H799" s="31" t="s">
        <v>123</v>
      </c>
      <c r="I799" s="31">
        <v>25</v>
      </c>
      <c r="J799" s="37" t="s">
        <v>2054</v>
      </c>
      <c r="K799" s="31">
        <v>2</v>
      </c>
      <c r="L799" s="31">
        <v>2</v>
      </c>
      <c r="M799" s="37">
        <v>9</v>
      </c>
      <c r="N799" s="31">
        <v>9</v>
      </c>
      <c r="O799" s="77" t="s">
        <v>703</v>
      </c>
      <c r="P799" s="34"/>
      <c r="Q799" s="31">
        <v>180</v>
      </c>
      <c r="R799" s="31"/>
      <c r="S799" s="31"/>
      <c r="T799" s="31"/>
      <c r="U799" s="31">
        <v>60</v>
      </c>
      <c r="V799" s="31"/>
      <c r="W799" s="37"/>
      <c r="X799" s="37"/>
      <c r="Y799" s="79">
        <v>6</v>
      </c>
      <c r="Z799" s="31" t="s">
        <v>71</v>
      </c>
      <c r="AA799" s="37"/>
      <c r="AB799" s="37"/>
    </row>
    <row r="800" spans="1:28" ht="23.1" customHeight="1" x14ac:dyDescent="0.25">
      <c r="A800" s="53" t="s">
        <v>870</v>
      </c>
      <c r="B800" s="31" t="s">
        <v>99</v>
      </c>
      <c r="C800" s="31">
        <v>77</v>
      </c>
      <c r="D800" s="31" t="s">
        <v>211</v>
      </c>
      <c r="E800" s="25" t="s">
        <v>212</v>
      </c>
      <c r="F800" s="21" t="s">
        <v>212</v>
      </c>
      <c r="G800" s="21" t="str">
        <f>VLOOKUP(D800,[6]成飞半成品!$A:$B,2,0)</f>
        <v>压板</v>
      </c>
      <c r="H800" s="31" t="s">
        <v>123</v>
      </c>
      <c r="I800" s="31">
        <v>25</v>
      </c>
      <c r="J800" s="37" t="s">
        <v>1970</v>
      </c>
      <c r="K800" s="31">
        <v>20</v>
      </c>
      <c r="L800" s="31">
        <v>45</v>
      </c>
      <c r="M800" s="37">
        <v>26</v>
      </c>
      <c r="N800" s="31">
        <v>26</v>
      </c>
      <c r="O800" s="77" t="s">
        <v>213</v>
      </c>
      <c r="P800" s="34"/>
      <c r="Q800" s="31">
        <v>25</v>
      </c>
      <c r="R800" s="31"/>
      <c r="S800" s="31"/>
      <c r="T800" s="31"/>
      <c r="U800" s="31">
        <v>60</v>
      </c>
      <c r="V800" s="31"/>
      <c r="W800" s="37"/>
      <c r="X800" s="37">
        <v>3</v>
      </c>
      <c r="Y800" s="79">
        <v>21.8</v>
      </c>
      <c r="Z800" s="31" t="s">
        <v>24</v>
      </c>
      <c r="AA800" s="37" t="s">
        <v>877</v>
      </c>
      <c r="AB800" s="25" t="s">
        <v>238</v>
      </c>
    </row>
    <row r="801" spans="1:28" ht="23.1" customHeight="1" x14ac:dyDescent="0.25">
      <c r="A801" s="53" t="s">
        <v>870</v>
      </c>
      <c r="B801" s="31" t="s">
        <v>99</v>
      </c>
      <c r="C801" s="31">
        <v>17</v>
      </c>
      <c r="D801" s="31" t="s">
        <v>352</v>
      </c>
      <c r="E801" s="25" t="s">
        <v>353</v>
      </c>
      <c r="F801" s="21" t="e">
        <v>#N/A</v>
      </c>
      <c r="G801" s="21" t="e">
        <f>VLOOKUP(D801,[6]成飞半成品!$A:$B,2,0)</f>
        <v>#N/A</v>
      </c>
      <c r="H801" s="31" t="s">
        <v>300</v>
      </c>
      <c r="I801" s="31">
        <v>30</v>
      </c>
      <c r="J801" s="37" t="s">
        <v>2005</v>
      </c>
      <c r="K801" s="31">
        <v>1</v>
      </c>
      <c r="L801" s="31">
        <v>2</v>
      </c>
      <c r="M801" s="37">
        <v>5</v>
      </c>
      <c r="N801" s="31">
        <v>5</v>
      </c>
      <c r="O801" s="77" t="s">
        <v>140</v>
      </c>
      <c r="P801" s="34"/>
      <c r="Q801" s="31">
        <v>480</v>
      </c>
      <c r="R801" s="31"/>
      <c r="S801" s="31"/>
      <c r="T801" s="31"/>
      <c r="U801" s="31">
        <v>120</v>
      </c>
      <c r="V801" s="31"/>
      <c r="W801" s="37"/>
      <c r="X801" s="37"/>
      <c r="Y801" s="79">
        <v>16</v>
      </c>
      <c r="Z801" s="31" t="s">
        <v>14</v>
      </c>
      <c r="AA801" s="37"/>
      <c r="AB801" s="37"/>
    </row>
    <row r="802" spans="1:28" ht="23.1" customHeight="1" x14ac:dyDescent="0.25">
      <c r="A802" s="53" t="s">
        <v>870</v>
      </c>
      <c r="B802" s="31" t="s">
        <v>99</v>
      </c>
      <c r="C802" s="31">
        <v>13</v>
      </c>
      <c r="D802" s="31" t="s">
        <v>654</v>
      </c>
      <c r="E802" s="25" t="s">
        <v>246</v>
      </c>
      <c r="F802" s="21" t="s">
        <v>246</v>
      </c>
      <c r="G802" s="21" t="str">
        <f>VLOOKUP(D802,[6]成飞半成品!$A:$B,2,0)</f>
        <v>外侧轴承盖</v>
      </c>
      <c r="H802" s="31" t="s">
        <v>154</v>
      </c>
      <c r="I802" s="31">
        <v>40</v>
      </c>
      <c r="J802" s="37" t="s">
        <v>1902</v>
      </c>
      <c r="K802" s="31">
        <v>12</v>
      </c>
      <c r="L802" s="31">
        <v>4</v>
      </c>
      <c r="M802" s="37">
        <v>19</v>
      </c>
      <c r="N802" s="31">
        <v>19</v>
      </c>
      <c r="O802" s="77" t="s">
        <v>247</v>
      </c>
      <c r="P802" s="34"/>
      <c r="Q802" s="31">
        <v>230</v>
      </c>
      <c r="R802" s="31"/>
      <c r="S802" s="31"/>
      <c r="T802" s="31"/>
      <c r="U802" s="31">
        <v>60</v>
      </c>
      <c r="V802" s="31"/>
      <c r="W802" s="37"/>
      <c r="X802" s="37"/>
      <c r="Y802" s="79">
        <v>15.3</v>
      </c>
      <c r="Z802" s="31" t="s">
        <v>10</v>
      </c>
      <c r="AA802" s="37"/>
      <c r="AB802" s="37"/>
    </row>
    <row r="803" spans="1:28" ht="23.1" customHeight="1" x14ac:dyDescent="0.25">
      <c r="A803" s="53" t="s">
        <v>870</v>
      </c>
      <c r="B803" s="31" t="s">
        <v>99</v>
      </c>
      <c r="C803" s="31">
        <v>107</v>
      </c>
      <c r="D803" s="31" t="s">
        <v>173</v>
      </c>
      <c r="E803" s="25" t="s">
        <v>174</v>
      </c>
      <c r="F803" s="21" t="s">
        <v>1246</v>
      </c>
      <c r="G803" s="21" t="str">
        <f>VLOOKUP(D803,[6]成飞半成品!$A:$B,2,0)</f>
        <v>根肋后段</v>
      </c>
      <c r="H803" s="31" t="s">
        <v>154</v>
      </c>
      <c r="I803" s="31">
        <v>25</v>
      </c>
      <c r="J803" s="37" t="s">
        <v>2006</v>
      </c>
      <c r="K803" s="31">
        <v>1</v>
      </c>
      <c r="L803" s="31">
        <v>1</v>
      </c>
      <c r="M803" s="37">
        <v>26</v>
      </c>
      <c r="N803" s="31"/>
      <c r="O803" s="77" t="s">
        <v>425</v>
      </c>
      <c r="P803" s="34"/>
      <c r="Q803" s="31">
        <v>1050</v>
      </c>
      <c r="R803" s="31">
        <v>90</v>
      </c>
      <c r="S803" s="31"/>
      <c r="T803" s="31">
        <v>1</v>
      </c>
      <c r="U803" s="31">
        <v>120</v>
      </c>
      <c r="V803" s="31"/>
      <c r="W803" s="37">
        <v>1</v>
      </c>
      <c r="X803" s="37"/>
      <c r="Y803" s="79">
        <v>21</v>
      </c>
      <c r="Z803" s="31" t="s">
        <v>13</v>
      </c>
      <c r="AA803" s="37" t="s">
        <v>878</v>
      </c>
      <c r="AB803" s="25" t="s">
        <v>238</v>
      </c>
    </row>
    <row r="804" spans="1:28" ht="23.1" customHeight="1" x14ac:dyDescent="0.25">
      <c r="A804" s="53" t="s">
        <v>870</v>
      </c>
      <c r="B804" s="31" t="s">
        <v>99</v>
      </c>
      <c r="C804" s="31">
        <v>58</v>
      </c>
      <c r="D804" s="31" t="s">
        <v>211</v>
      </c>
      <c r="E804" s="25" t="s">
        <v>212</v>
      </c>
      <c r="F804" s="21" t="s">
        <v>212</v>
      </c>
      <c r="G804" s="21" t="str">
        <f>VLOOKUP(D804,[6]成飞半成品!$A:$B,2,0)</f>
        <v>压板</v>
      </c>
      <c r="H804" s="31" t="s">
        <v>123</v>
      </c>
      <c r="I804" s="31">
        <v>25</v>
      </c>
      <c r="J804" s="37" t="s">
        <v>1970</v>
      </c>
      <c r="K804" s="31"/>
      <c r="L804" s="31">
        <v>41</v>
      </c>
      <c r="M804" s="37">
        <v>26</v>
      </c>
      <c r="N804" s="31">
        <v>26</v>
      </c>
      <c r="O804" s="77" t="s">
        <v>213</v>
      </c>
      <c r="P804" s="34"/>
      <c r="Q804" s="31">
        <v>25</v>
      </c>
      <c r="R804" s="31"/>
      <c r="S804" s="31"/>
      <c r="T804" s="31"/>
      <c r="U804" s="31">
        <v>60</v>
      </c>
      <c r="V804" s="31"/>
      <c r="W804" s="37"/>
      <c r="X804" s="37"/>
      <c r="Y804" s="79">
        <v>17.100000000000001</v>
      </c>
      <c r="Z804" s="31" t="s">
        <v>24</v>
      </c>
      <c r="AA804" s="37"/>
      <c r="AB804" s="37"/>
    </row>
    <row r="805" spans="1:28" ht="23.1" customHeight="1" x14ac:dyDescent="0.25">
      <c r="A805" s="53" t="s">
        <v>870</v>
      </c>
      <c r="B805" s="31" t="s">
        <v>99</v>
      </c>
      <c r="C805" s="31">
        <v>9</v>
      </c>
      <c r="D805" s="31" t="s">
        <v>205</v>
      </c>
      <c r="E805" s="25" t="s">
        <v>206</v>
      </c>
      <c r="F805" s="21" t="s">
        <v>206</v>
      </c>
      <c r="G805" s="21" t="str">
        <f>VLOOKUP(D805,[6]成飞半成品!$A:$B,2,0)</f>
        <v>卡环</v>
      </c>
      <c r="H805" s="31" t="s">
        <v>123</v>
      </c>
      <c r="I805" s="31">
        <v>70</v>
      </c>
      <c r="J805" s="37" t="s">
        <v>2050</v>
      </c>
      <c r="K805" s="31"/>
      <c r="L805" s="31">
        <v>1</v>
      </c>
      <c r="M805" s="37">
        <v>19</v>
      </c>
      <c r="N805" s="31"/>
      <c r="O805" s="77" t="s">
        <v>550</v>
      </c>
      <c r="P805" s="34"/>
      <c r="Q805" s="31">
        <v>480</v>
      </c>
      <c r="R805" s="31"/>
      <c r="S805" s="31"/>
      <c r="T805" s="31"/>
      <c r="U805" s="31">
        <v>120</v>
      </c>
      <c r="V805" s="31"/>
      <c r="W805" s="37"/>
      <c r="X805" s="37"/>
      <c r="Y805" s="79">
        <v>8</v>
      </c>
      <c r="Z805" s="31" t="s">
        <v>14</v>
      </c>
      <c r="AA805" s="37"/>
      <c r="AB805" s="37"/>
    </row>
    <row r="806" spans="1:28" ht="23.1" customHeight="1" x14ac:dyDescent="0.25">
      <c r="A806" s="53" t="s">
        <v>870</v>
      </c>
      <c r="B806" s="31" t="s">
        <v>99</v>
      </c>
      <c r="C806" s="31">
        <v>18</v>
      </c>
      <c r="D806" s="31" t="s">
        <v>205</v>
      </c>
      <c r="E806" s="25" t="s">
        <v>206</v>
      </c>
      <c r="F806" s="21" t="s">
        <v>206</v>
      </c>
      <c r="G806" s="21" t="str">
        <f>VLOOKUP(D806,[6]成飞半成品!$A:$B,2,0)</f>
        <v>卡环</v>
      </c>
      <c r="H806" s="31" t="s">
        <v>123</v>
      </c>
      <c r="I806" s="31">
        <v>70</v>
      </c>
      <c r="J806" s="37" t="s">
        <v>2050</v>
      </c>
      <c r="K806" s="31">
        <v>2</v>
      </c>
      <c r="L806" s="31">
        <v>2</v>
      </c>
      <c r="M806" s="37">
        <v>37</v>
      </c>
      <c r="N806" s="31"/>
      <c r="O806" s="77" t="s">
        <v>879</v>
      </c>
      <c r="P806" s="34"/>
      <c r="Q806" s="31">
        <v>480</v>
      </c>
      <c r="R806" s="31"/>
      <c r="S806" s="31"/>
      <c r="T806" s="31"/>
      <c r="U806" s="31">
        <v>120</v>
      </c>
      <c r="V806" s="31"/>
      <c r="W806" s="37"/>
      <c r="X806" s="37"/>
      <c r="Y806" s="79">
        <v>16</v>
      </c>
      <c r="Z806" s="31" t="s">
        <v>14</v>
      </c>
      <c r="AA806" s="37"/>
      <c r="AB806" s="37"/>
    </row>
    <row r="807" spans="1:28" ht="23.1" customHeight="1" x14ac:dyDescent="0.25">
      <c r="A807" s="53" t="s">
        <v>870</v>
      </c>
      <c r="B807" s="31" t="s">
        <v>99</v>
      </c>
      <c r="C807" s="31">
        <v>9</v>
      </c>
      <c r="D807" s="31" t="s">
        <v>229</v>
      </c>
      <c r="E807" s="25" t="s">
        <v>230</v>
      </c>
      <c r="F807" s="21" t="s">
        <v>230</v>
      </c>
      <c r="G807" s="21" t="str">
        <f>VLOOKUP(D807,[6]成飞半成品!$A:$B,2,0)</f>
        <v>前起落架舱门结构支撑梁</v>
      </c>
      <c r="H807" s="31" t="s">
        <v>154</v>
      </c>
      <c r="I807" s="31">
        <v>30</v>
      </c>
      <c r="J807" s="37" t="s">
        <v>2058</v>
      </c>
      <c r="K807" s="31">
        <v>15</v>
      </c>
      <c r="L807" s="31">
        <v>5</v>
      </c>
      <c r="M807" s="37">
        <v>19</v>
      </c>
      <c r="N807" s="31">
        <v>37</v>
      </c>
      <c r="O807" s="77" t="s">
        <v>231</v>
      </c>
      <c r="P807" s="34"/>
      <c r="Q807" s="31">
        <v>80</v>
      </c>
      <c r="R807" s="31"/>
      <c r="S807" s="31"/>
      <c r="T807" s="31"/>
      <c r="U807" s="31">
        <v>60</v>
      </c>
      <c r="V807" s="31"/>
      <c r="W807" s="37"/>
      <c r="X807" s="37"/>
      <c r="Y807" s="79">
        <v>6.7</v>
      </c>
      <c r="Z807" s="31" t="s">
        <v>23</v>
      </c>
      <c r="AA807" s="37" t="s">
        <v>880</v>
      </c>
      <c r="AB807" s="37"/>
    </row>
    <row r="808" spans="1:28" ht="23.1" customHeight="1" x14ac:dyDescent="0.25">
      <c r="A808" s="53" t="s">
        <v>870</v>
      </c>
      <c r="B808" s="31" t="s">
        <v>99</v>
      </c>
      <c r="C808" s="31">
        <v>9</v>
      </c>
      <c r="D808" s="31" t="s">
        <v>229</v>
      </c>
      <c r="E808" s="25" t="s">
        <v>230</v>
      </c>
      <c r="F808" s="21" t="s">
        <v>230</v>
      </c>
      <c r="G808" s="21" t="str">
        <f>VLOOKUP(D808,[6]成飞半成品!$A:$B,2,0)</f>
        <v>前起落架舱门结构支撑梁</v>
      </c>
      <c r="H808" s="31" t="s">
        <v>154</v>
      </c>
      <c r="I808" s="31">
        <v>35</v>
      </c>
      <c r="J808" s="37" t="s">
        <v>2077</v>
      </c>
      <c r="K808" s="31"/>
      <c r="L808" s="31">
        <v>4</v>
      </c>
      <c r="M808" s="37">
        <v>9</v>
      </c>
      <c r="N808" s="31">
        <v>9</v>
      </c>
      <c r="O808" s="77" t="s">
        <v>231</v>
      </c>
      <c r="P808" s="34"/>
      <c r="Q808" s="31">
        <v>35</v>
      </c>
      <c r="R808" s="31"/>
      <c r="S808" s="31"/>
      <c r="T808" s="31"/>
      <c r="U808" s="31">
        <v>60</v>
      </c>
      <c r="V808" s="31"/>
      <c r="W808" s="37">
        <v>1</v>
      </c>
      <c r="X808" s="37"/>
      <c r="Y808" s="79">
        <v>3.3</v>
      </c>
      <c r="Z808" s="31" t="s">
        <v>23</v>
      </c>
      <c r="AA808" s="37" t="s">
        <v>547</v>
      </c>
      <c r="AB808" s="37"/>
    </row>
    <row r="809" spans="1:28" ht="23.1" customHeight="1" x14ac:dyDescent="0.25">
      <c r="A809" s="53" t="s">
        <v>870</v>
      </c>
      <c r="B809" s="31" t="s">
        <v>99</v>
      </c>
      <c r="C809" s="31">
        <v>55</v>
      </c>
      <c r="D809" s="31" t="s">
        <v>749</v>
      </c>
      <c r="E809" s="25" t="s">
        <v>139</v>
      </c>
      <c r="F809" s="21" t="s">
        <v>139</v>
      </c>
      <c r="G809" s="21" t="str">
        <f>VLOOKUP(D809,[6]成飞半成品!$A:$B,2,0)</f>
        <v>支座</v>
      </c>
      <c r="H809" s="31" t="s">
        <v>123</v>
      </c>
      <c r="I809" s="31">
        <v>15</v>
      </c>
      <c r="J809" s="37" t="s">
        <v>1931</v>
      </c>
      <c r="K809" s="31">
        <v>20</v>
      </c>
      <c r="L809" s="31">
        <v>40</v>
      </c>
      <c r="M809" s="37">
        <v>19</v>
      </c>
      <c r="N809" s="31">
        <v>23</v>
      </c>
      <c r="O809" s="77" t="s">
        <v>457</v>
      </c>
      <c r="P809" s="34"/>
      <c r="Q809" s="31">
        <v>25</v>
      </c>
      <c r="R809" s="31"/>
      <c r="S809" s="31"/>
      <c r="T809" s="31"/>
      <c r="U809" s="31">
        <v>60</v>
      </c>
      <c r="V809" s="31"/>
      <c r="W809" s="37"/>
      <c r="X809" s="37"/>
      <c r="Y809" s="79">
        <v>16.7</v>
      </c>
      <c r="Z809" s="31" t="s">
        <v>18</v>
      </c>
      <c r="AA809" s="37"/>
      <c r="AB809" s="37"/>
    </row>
    <row r="810" spans="1:28" ht="23.1" customHeight="1" x14ac:dyDescent="0.25">
      <c r="A810" s="53" t="s">
        <v>870</v>
      </c>
      <c r="B810" s="31" t="s">
        <v>99</v>
      </c>
      <c r="C810" s="31">
        <v>15</v>
      </c>
      <c r="D810" s="31" t="s">
        <v>592</v>
      </c>
      <c r="E810" s="25" t="s">
        <v>218</v>
      </c>
      <c r="F810" s="21" t="s">
        <v>218</v>
      </c>
      <c r="G810" s="21" t="str">
        <f>VLOOKUP(D810,[6]成飞半成品!$A:$B,2,0)</f>
        <v>横梁</v>
      </c>
      <c r="H810" s="31" t="s">
        <v>107</v>
      </c>
      <c r="I810" s="31">
        <v>40</v>
      </c>
      <c r="J810" s="37" t="s">
        <v>1915</v>
      </c>
      <c r="K810" s="31">
        <v>4</v>
      </c>
      <c r="L810" s="31">
        <v>4</v>
      </c>
      <c r="M810" s="37">
        <v>26</v>
      </c>
      <c r="N810" s="31">
        <v>26</v>
      </c>
      <c r="O810" s="77" t="s">
        <v>456</v>
      </c>
      <c r="P810" s="34"/>
      <c r="Q810" s="31">
        <v>150</v>
      </c>
      <c r="R810" s="31"/>
      <c r="S810" s="31"/>
      <c r="T810" s="31"/>
      <c r="U810" s="31">
        <v>90</v>
      </c>
      <c r="V810" s="31"/>
      <c r="W810" s="37"/>
      <c r="X810" s="37"/>
      <c r="Y810" s="79">
        <v>10</v>
      </c>
      <c r="Z810" s="31" t="s">
        <v>60</v>
      </c>
      <c r="AA810" s="37"/>
      <c r="AB810" s="37"/>
    </row>
    <row r="811" spans="1:28" ht="23.1" customHeight="1" x14ac:dyDescent="0.25">
      <c r="A811" s="53" t="s">
        <v>870</v>
      </c>
      <c r="B811" s="31" t="s">
        <v>99</v>
      </c>
      <c r="C811" s="31">
        <v>15</v>
      </c>
      <c r="D811" s="31" t="s">
        <v>592</v>
      </c>
      <c r="E811" s="25" t="s">
        <v>218</v>
      </c>
      <c r="F811" s="21" t="s">
        <v>218</v>
      </c>
      <c r="G811" s="21" t="str">
        <f>VLOOKUP(D811,[6]成飞半成品!$A:$B,2,0)</f>
        <v>横梁</v>
      </c>
      <c r="H811" s="31" t="s">
        <v>107</v>
      </c>
      <c r="I811" s="31">
        <v>45</v>
      </c>
      <c r="J811" s="37" t="s">
        <v>1927</v>
      </c>
      <c r="K811" s="31"/>
      <c r="L811" s="31">
        <v>1</v>
      </c>
      <c r="M811" s="37">
        <v>23</v>
      </c>
      <c r="N811" s="31"/>
      <c r="O811" s="77" t="s">
        <v>247</v>
      </c>
      <c r="P811" s="34"/>
      <c r="Q811" s="31">
        <v>420</v>
      </c>
      <c r="R811" s="31"/>
      <c r="S811" s="31"/>
      <c r="T811" s="31"/>
      <c r="U811" s="31">
        <v>90</v>
      </c>
      <c r="V811" s="31"/>
      <c r="W811" s="37"/>
      <c r="X811" s="37"/>
      <c r="Y811" s="79">
        <v>7</v>
      </c>
      <c r="Z811" s="31" t="s">
        <v>60</v>
      </c>
      <c r="AA811" s="37"/>
      <c r="AB811" s="37"/>
    </row>
    <row r="812" spans="1:28" ht="23.1" customHeight="1" x14ac:dyDescent="0.25">
      <c r="A812" s="53" t="s">
        <v>870</v>
      </c>
      <c r="B812" s="31" t="s">
        <v>99</v>
      </c>
      <c r="C812" s="31">
        <v>10</v>
      </c>
      <c r="D812" s="31" t="s">
        <v>517</v>
      </c>
      <c r="E812" s="25" t="s">
        <v>518</v>
      </c>
      <c r="F812" s="21" t="s">
        <v>518</v>
      </c>
      <c r="G812" s="21" t="str">
        <f>VLOOKUP(D812,[6]成飞半成品!$A:$B,2,0)</f>
        <v>带板</v>
      </c>
      <c r="H812" s="31" t="s">
        <v>300</v>
      </c>
      <c r="I812" s="31">
        <v>30</v>
      </c>
      <c r="J812" s="37" t="s">
        <v>2040</v>
      </c>
      <c r="K812" s="31">
        <v>2.2000000000000002</v>
      </c>
      <c r="L812" s="31">
        <v>2.2000000000000002</v>
      </c>
      <c r="M812" s="37">
        <v>19</v>
      </c>
      <c r="N812" s="31">
        <v>23</v>
      </c>
      <c r="O812" s="77" t="s">
        <v>881</v>
      </c>
      <c r="P812" s="34"/>
      <c r="Q812" s="31">
        <v>270</v>
      </c>
      <c r="R812" s="31"/>
      <c r="S812" s="31"/>
      <c r="T812" s="31"/>
      <c r="U812" s="31">
        <v>90</v>
      </c>
      <c r="V812" s="31"/>
      <c r="W812" s="37"/>
      <c r="X812" s="37"/>
      <c r="Y812" s="79">
        <v>9.9</v>
      </c>
      <c r="Z812" s="31" t="s">
        <v>23</v>
      </c>
      <c r="AA812" s="37"/>
      <c r="AB812" s="37"/>
    </row>
    <row r="813" spans="1:28" ht="23.1" customHeight="1" x14ac:dyDescent="0.25">
      <c r="A813" s="53" t="s">
        <v>870</v>
      </c>
      <c r="B813" s="31" t="s">
        <v>110</v>
      </c>
      <c r="C813" s="31">
        <v>58</v>
      </c>
      <c r="D813" s="31" t="s">
        <v>815</v>
      </c>
      <c r="E813" s="25" t="s">
        <v>409</v>
      </c>
      <c r="F813" s="21" t="s">
        <v>409</v>
      </c>
      <c r="G813" s="21" t="str">
        <f>VLOOKUP(D813,[6]成飞半成品!$A:$B,2,0)</f>
        <v>接头</v>
      </c>
      <c r="H813" s="31" t="s">
        <v>102</v>
      </c>
      <c r="I813" s="31">
        <v>35</v>
      </c>
      <c r="J813" s="37" t="s">
        <v>1997</v>
      </c>
      <c r="K813" s="31"/>
      <c r="L813" s="31">
        <v>1</v>
      </c>
      <c r="M813" s="37">
        <v>19</v>
      </c>
      <c r="N813" s="31"/>
      <c r="O813" s="77" t="s">
        <v>596</v>
      </c>
      <c r="P813" s="34"/>
      <c r="Q813" s="31">
        <v>40</v>
      </c>
      <c r="R813" s="31"/>
      <c r="S813" s="31"/>
      <c r="T813" s="31"/>
      <c r="U813" s="31">
        <v>90</v>
      </c>
      <c r="V813" s="31"/>
      <c r="W813" s="37">
        <v>1</v>
      </c>
      <c r="X813" s="37"/>
      <c r="Y813" s="79">
        <v>2.2000000000000002</v>
      </c>
      <c r="Z813" s="31" t="s">
        <v>0</v>
      </c>
      <c r="AA813" s="37" t="s">
        <v>882</v>
      </c>
      <c r="AB813" s="37"/>
    </row>
    <row r="814" spans="1:28" ht="23.1" customHeight="1" x14ac:dyDescent="0.25">
      <c r="A814" s="53" t="s">
        <v>870</v>
      </c>
      <c r="B814" s="31" t="s">
        <v>110</v>
      </c>
      <c r="C814" s="31">
        <v>21</v>
      </c>
      <c r="D814" s="31" t="s">
        <v>321</v>
      </c>
      <c r="E814" s="25" t="s">
        <v>322</v>
      </c>
      <c r="F814" s="21" t="s">
        <v>322</v>
      </c>
      <c r="G814" s="21" t="str">
        <f>VLOOKUP(D814,[6]成飞半成品!$A:$B,2,0)</f>
        <v>10860框</v>
      </c>
      <c r="H814" s="31" t="s">
        <v>323</v>
      </c>
      <c r="I814" s="31">
        <v>25</v>
      </c>
      <c r="J814" s="37" t="s">
        <v>2440</v>
      </c>
      <c r="K814" s="31">
        <v>2</v>
      </c>
      <c r="L814" s="31">
        <v>0.7</v>
      </c>
      <c r="M814" s="37">
        <v>9</v>
      </c>
      <c r="N814" s="31"/>
      <c r="O814" s="77" t="s">
        <v>780</v>
      </c>
      <c r="P814" s="34"/>
      <c r="Q814" s="31">
        <v>360</v>
      </c>
      <c r="R814" s="31">
        <v>120</v>
      </c>
      <c r="S814" s="31"/>
      <c r="T814" s="31"/>
      <c r="U814" s="31">
        <v>180</v>
      </c>
      <c r="V814" s="31"/>
      <c r="W814" s="37"/>
      <c r="X814" s="37"/>
      <c r="Y814" s="79">
        <v>4.2</v>
      </c>
      <c r="Z814" s="31" t="s">
        <v>49</v>
      </c>
      <c r="AA814" s="37"/>
      <c r="AB814" s="37"/>
    </row>
    <row r="815" spans="1:28" ht="23.1" customHeight="1" x14ac:dyDescent="0.25">
      <c r="A815" s="53" t="s">
        <v>870</v>
      </c>
      <c r="B815" s="31" t="s">
        <v>110</v>
      </c>
      <c r="C815" s="31">
        <v>21</v>
      </c>
      <c r="D815" s="31" t="s">
        <v>321</v>
      </c>
      <c r="E815" s="25" t="s">
        <v>322</v>
      </c>
      <c r="F815" s="21" t="s">
        <v>322</v>
      </c>
      <c r="G815" s="21" t="str">
        <f>VLOOKUP(D815,[6]成飞半成品!$A:$B,2,0)</f>
        <v>10860框</v>
      </c>
      <c r="H815" s="31" t="s">
        <v>323</v>
      </c>
      <c r="I815" s="31">
        <v>30</v>
      </c>
      <c r="J815" s="37" t="s">
        <v>2078</v>
      </c>
      <c r="K815" s="31"/>
      <c r="L815" s="31">
        <v>1.5</v>
      </c>
      <c r="M815" s="37">
        <v>26</v>
      </c>
      <c r="N815" s="31">
        <v>5</v>
      </c>
      <c r="O815" s="77" t="s">
        <v>771</v>
      </c>
      <c r="P815" s="34"/>
      <c r="Q815" s="31">
        <v>360</v>
      </c>
      <c r="R815" s="31">
        <v>120</v>
      </c>
      <c r="S815" s="31"/>
      <c r="T815" s="31">
        <v>2</v>
      </c>
      <c r="U815" s="31">
        <v>180</v>
      </c>
      <c r="V815" s="31"/>
      <c r="W815" s="37">
        <v>1</v>
      </c>
      <c r="X815" s="37"/>
      <c r="Y815" s="79">
        <v>16</v>
      </c>
      <c r="Z815" s="31" t="s">
        <v>49</v>
      </c>
      <c r="AA815" s="37" t="s">
        <v>325</v>
      </c>
      <c r="AB815" s="37"/>
    </row>
    <row r="816" spans="1:28" ht="23.1" customHeight="1" x14ac:dyDescent="0.25">
      <c r="A816" s="53" t="s">
        <v>870</v>
      </c>
      <c r="B816" s="31" t="s">
        <v>110</v>
      </c>
      <c r="C816" s="31">
        <v>23</v>
      </c>
      <c r="D816" s="31" t="s">
        <v>717</v>
      </c>
      <c r="E816" s="25" t="s">
        <v>718</v>
      </c>
      <c r="F816" s="21" t="s">
        <v>718</v>
      </c>
      <c r="G816" s="21" t="str">
        <f>VLOOKUP(D816,[6]成飞半成品!$A:$B,2,0)</f>
        <v>上边肋</v>
      </c>
      <c r="H816" s="31" t="s">
        <v>118</v>
      </c>
      <c r="I816" s="31">
        <v>45</v>
      </c>
      <c r="J816" s="37" t="s">
        <v>2028</v>
      </c>
      <c r="K816" s="31">
        <v>0.6</v>
      </c>
      <c r="L816" s="31">
        <v>0.75</v>
      </c>
      <c r="M816" s="37">
        <v>26</v>
      </c>
      <c r="N816" s="31">
        <v>28</v>
      </c>
      <c r="O816" s="77" t="s">
        <v>883</v>
      </c>
      <c r="P816" s="34"/>
      <c r="Q816" s="31">
        <v>1080</v>
      </c>
      <c r="R816" s="31">
        <v>90</v>
      </c>
      <c r="S816" s="31"/>
      <c r="T816" s="31">
        <v>1</v>
      </c>
      <c r="U816" s="31">
        <v>120</v>
      </c>
      <c r="V816" s="31"/>
      <c r="W816" s="37"/>
      <c r="X816" s="37"/>
      <c r="Y816" s="79">
        <v>15</v>
      </c>
      <c r="Z816" s="31" t="s">
        <v>22</v>
      </c>
      <c r="AA816" s="37" t="s">
        <v>145</v>
      </c>
      <c r="AB816" s="37"/>
    </row>
    <row r="817" spans="1:28" ht="23.1" customHeight="1" x14ac:dyDescent="0.25">
      <c r="A817" s="53" t="s">
        <v>870</v>
      </c>
      <c r="B817" s="31" t="s">
        <v>110</v>
      </c>
      <c r="C817" s="31">
        <v>23</v>
      </c>
      <c r="D817" s="31" t="s">
        <v>717</v>
      </c>
      <c r="E817" s="25" t="s">
        <v>718</v>
      </c>
      <c r="F817" s="21" t="s">
        <v>718</v>
      </c>
      <c r="G817" s="21" t="str">
        <f>VLOOKUP(D817,[6]成飞半成品!$A:$B,2,0)</f>
        <v>上边肋</v>
      </c>
      <c r="H817" s="31" t="s">
        <v>118</v>
      </c>
      <c r="I817" s="31">
        <v>48</v>
      </c>
      <c r="J817" s="37"/>
      <c r="K817" s="31">
        <v>1</v>
      </c>
      <c r="L817" s="31">
        <v>1</v>
      </c>
      <c r="M817" s="37"/>
      <c r="N817" s="31">
        <v>26</v>
      </c>
      <c r="O817" s="77" t="s">
        <v>884</v>
      </c>
      <c r="P817" s="34">
        <v>40</v>
      </c>
      <c r="Q817" s="31"/>
      <c r="R817" s="31"/>
      <c r="S817" s="31">
        <v>90</v>
      </c>
      <c r="T817" s="31">
        <v>1</v>
      </c>
      <c r="U817" s="31"/>
      <c r="V817" s="31"/>
      <c r="W817" s="37"/>
      <c r="X817" s="37"/>
      <c r="Y817" s="83">
        <v>2.2000000000000002</v>
      </c>
      <c r="Z817" s="31" t="s">
        <v>22</v>
      </c>
      <c r="AA817" s="37" t="s">
        <v>145</v>
      </c>
      <c r="AB817" s="37"/>
    </row>
    <row r="818" spans="1:28" ht="23.1" customHeight="1" x14ac:dyDescent="0.25">
      <c r="A818" s="53" t="s">
        <v>870</v>
      </c>
      <c r="B818" s="31" t="s">
        <v>110</v>
      </c>
      <c r="C818" s="31">
        <v>47</v>
      </c>
      <c r="D818" s="31" t="s">
        <v>826</v>
      </c>
      <c r="E818" s="25" t="s">
        <v>827</v>
      </c>
      <c r="F818" s="21" t="s">
        <v>827</v>
      </c>
      <c r="G818" s="21" t="str">
        <f>VLOOKUP(D818,[6]成飞半成品!$A:$B,2,0)</f>
        <v>BL900侧梁</v>
      </c>
      <c r="H818" s="31" t="s">
        <v>118</v>
      </c>
      <c r="I818" s="31">
        <v>15</v>
      </c>
      <c r="J818" s="37" t="s">
        <v>2071</v>
      </c>
      <c r="K818" s="31">
        <v>0.5</v>
      </c>
      <c r="L818" s="31">
        <v>0.5</v>
      </c>
      <c r="M818" s="37"/>
      <c r="N818" s="31">
        <v>5</v>
      </c>
      <c r="O818" s="77" t="s">
        <v>861</v>
      </c>
      <c r="P818" s="34"/>
      <c r="Q818" s="31">
        <v>1440</v>
      </c>
      <c r="R818" s="31">
        <v>90</v>
      </c>
      <c r="S818" s="31"/>
      <c r="T818" s="31">
        <v>1</v>
      </c>
      <c r="U818" s="31">
        <v>90</v>
      </c>
      <c r="V818" s="31"/>
      <c r="W818" s="37"/>
      <c r="X818" s="37"/>
      <c r="Y818" s="79">
        <v>13.5</v>
      </c>
      <c r="Z818" s="31" t="s">
        <v>22</v>
      </c>
      <c r="AA818" s="37" t="s">
        <v>885</v>
      </c>
      <c r="AB818" s="37"/>
    </row>
    <row r="819" spans="1:28" ht="23.1" customHeight="1" x14ac:dyDescent="0.25">
      <c r="A819" s="53" t="s">
        <v>870</v>
      </c>
      <c r="B819" s="31" t="s">
        <v>110</v>
      </c>
      <c r="C819" s="31">
        <v>108</v>
      </c>
      <c r="D819" s="31" t="s">
        <v>886</v>
      </c>
      <c r="E819" s="25" t="s">
        <v>887</v>
      </c>
      <c r="F819" s="21" t="s">
        <v>887</v>
      </c>
      <c r="G819" s="21" t="str">
        <f>VLOOKUP(D819,[6]成飞半成品!$A:$B,2,0)</f>
        <v>外侧梁</v>
      </c>
      <c r="H819" s="31" t="s">
        <v>154</v>
      </c>
      <c r="I819" s="31">
        <v>5</v>
      </c>
      <c r="J819" s="37" t="s">
        <v>1930</v>
      </c>
      <c r="K819" s="31">
        <v>1</v>
      </c>
      <c r="L819" s="31">
        <v>1</v>
      </c>
      <c r="M819" s="37"/>
      <c r="N819" s="31">
        <v>26</v>
      </c>
      <c r="O819" s="77" t="s">
        <v>159</v>
      </c>
      <c r="P819" s="34"/>
      <c r="Q819" s="31">
        <v>660</v>
      </c>
      <c r="R819" s="31">
        <v>60</v>
      </c>
      <c r="S819" s="31"/>
      <c r="T819" s="31">
        <v>1</v>
      </c>
      <c r="U819" s="31">
        <v>90</v>
      </c>
      <c r="V819" s="31"/>
      <c r="W819" s="37">
        <v>1</v>
      </c>
      <c r="X819" s="37"/>
      <c r="Y819" s="79">
        <v>13.5</v>
      </c>
      <c r="Z819" s="31" t="s">
        <v>13</v>
      </c>
      <c r="AA819" s="37" t="s">
        <v>888</v>
      </c>
      <c r="AB819" s="37"/>
    </row>
    <row r="820" spans="1:28" ht="23.1" customHeight="1" x14ac:dyDescent="0.25">
      <c r="A820" s="53" t="s">
        <v>870</v>
      </c>
      <c r="B820" s="31" t="s">
        <v>110</v>
      </c>
      <c r="C820" s="31">
        <v>108</v>
      </c>
      <c r="D820" s="31" t="s">
        <v>889</v>
      </c>
      <c r="E820" s="25" t="s">
        <v>887</v>
      </c>
      <c r="F820" s="21" t="s">
        <v>887</v>
      </c>
      <c r="G820" s="21" t="str">
        <f>VLOOKUP(D820,[6]成飞半成品!$A:$B,2,0)</f>
        <v>外侧梁</v>
      </c>
      <c r="H820" s="31" t="s">
        <v>154</v>
      </c>
      <c r="I820" s="31">
        <v>5</v>
      </c>
      <c r="J820" s="37" t="s">
        <v>1930</v>
      </c>
      <c r="K820" s="31">
        <v>1</v>
      </c>
      <c r="L820" s="31">
        <v>1</v>
      </c>
      <c r="M820" s="37"/>
      <c r="N820" s="31">
        <v>26</v>
      </c>
      <c r="O820" s="77" t="s">
        <v>159</v>
      </c>
      <c r="P820" s="34"/>
      <c r="Q820" s="31">
        <v>660</v>
      </c>
      <c r="R820" s="31">
        <v>60</v>
      </c>
      <c r="S820" s="31"/>
      <c r="T820" s="31">
        <v>1</v>
      </c>
      <c r="U820" s="31">
        <v>90</v>
      </c>
      <c r="V820" s="31"/>
      <c r="W820" s="37">
        <v>1</v>
      </c>
      <c r="X820" s="37"/>
      <c r="Y820" s="79">
        <v>13.5</v>
      </c>
      <c r="Z820" s="31" t="s">
        <v>13</v>
      </c>
      <c r="AA820" s="37" t="s">
        <v>888</v>
      </c>
      <c r="AB820" s="37"/>
    </row>
    <row r="821" spans="1:28" ht="23.1" customHeight="1" x14ac:dyDescent="0.25">
      <c r="A821" s="53" t="s">
        <v>870</v>
      </c>
      <c r="B821" s="31" t="s">
        <v>110</v>
      </c>
      <c r="C821" s="31">
        <v>22</v>
      </c>
      <c r="D821" s="31" t="s">
        <v>635</v>
      </c>
      <c r="E821" s="25" t="s">
        <v>612</v>
      </c>
      <c r="F821" s="21" t="s">
        <v>612</v>
      </c>
      <c r="G821" s="21" t="str">
        <f>VLOOKUP(D821,[6]成飞半成品!$A:$B,2,0)</f>
        <v>前梁二段</v>
      </c>
      <c r="H821" s="31" t="s">
        <v>102</v>
      </c>
      <c r="I821" s="31">
        <v>45</v>
      </c>
      <c r="J821" s="37" t="s">
        <v>2015</v>
      </c>
      <c r="K821" s="31">
        <v>0.3</v>
      </c>
      <c r="L821" s="31">
        <v>0.3</v>
      </c>
      <c r="M821" s="37"/>
      <c r="N821" s="31">
        <v>5</v>
      </c>
      <c r="O821" s="77" t="s">
        <v>613</v>
      </c>
      <c r="P821" s="34"/>
      <c r="Q821" s="31">
        <v>6000</v>
      </c>
      <c r="R821" s="31">
        <v>180</v>
      </c>
      <c r="S821" s="31"/>
      <c r="T821" s="31"/>
      <c r="U821" s="31">
        <v>180</v>
      </c>
      <c r="V821" s="31"/>
      <c r="W821" s="37"/>
      <c r="X821" s="37"/>
      <c r="Y821" s="79">
        <v>30</v>
      </c>
      <c r="Z821" s="31" t="s">
        <v>49</v>
      </c>
      <c r="AA821" s="37"/>
      <c r="AB821" s="37"/>
    </row>
    <row r="822" spans="1:28" ht="23.1" customHeight="1" x14ac:dyDescent="0.25">
      <c r="A822" s="53" t="s">
        <v>870</v>
      </c>
      <c r="B822" s="31" t="s">
        <v>110</v>
      </c>
      <c r="C822" s="31">
        <v>107</v>
      </c>
      <c r="D822" s="31" t="s">
        <v>173</v>
      </c>
      <c r="E822" s="25" t="s">
        <v>174</v>
      </c>
      <c r="F822" s="21" t="s">
        <v>1246</v>
      </c>
      <c r="G822" s="21" t="str">
        <f>VLOOKUP(D822,[6]成飞半成品!$A:$B,2,0)</f>
        <v>根肋后段</v>
      </c>
      <c r="H822" s="31" t="s">
        <v>154</v>
      </c>
      <c r="I822" s="31">
        <v>25</v>
      </c>
      <c r="J822" s="37" t="s">
        <v>2006</v>
      </c>
      <c r="K822" s="31">
        <v>1</v>
      </c>
      <c r="L822" s="31">
        <v>1</v>
      </c>
      <c r="M822" s="37"/>
      <c r="N822" s="31">
        <v>28</v>
      </c>
      <c r="O822" s="77" t="s">
        <v>890</v>
      </c>
      <c r="P822" s="34"/>
      <c r="Q822" s="31">
        <v>1050</v>
      </c>
      <c r="R822" s="31">
        <v>90</v>
      </c>
      <c r="S822" s="31"/>
      <c r="T822" s="31">
        <v>1</v>
      </c>
      <c r="U822" s="31">
        <v>120</v>
      </c>
      <c r="V822" s="31"/>
      <c r="W822" s="37"/>
      <c r="X822" s="37"/>
      <c r="Y822" s="79">
        <v>19</v>
      </c>
      <c r="Z822" s="31" t="s">
        <v>45</v>
      </c>
      <c r="AA822" s="37" t="s">
        <v>145</v>
      </c>
      <c r="AB822" s="37"/>
    </row>
    <row r="823" spans="1:28" ht="23.1" customHeight="1" x14ac:dyDescent="0.25">
      <c r="A823" s="53" t="s">
        <v>870</v>
      </c>
      <c r="B823" s="31" t="s">
        <v>110</v>
      </c>
      <c r="C823" s="31">
        <v>78</v>
      </c>
      <c r="D823" s="31" t="s">
        <v>821</v>
      </c>
      <c r="E823" s="25" t="s">
        <v>822</v>
      </c>
      <c r="F823" s="21" t="s">
        <v>822</v>
      </c>
      <c r="G823" s="21" t="str">
        <f>VLOOKUP(D823,[6]成飞半成品!$A:$B,2,0)</f>
        <v>1#竖梁</v>
      </c>
      <c r="H823" s="31" t="s">
        <v>123</v>
      </c>
      <c r="I823" s="31" t="s">
        <v>108</v>
      </c>
      <c r="J823" s="37"/>
      <c r="K823" s="31"/>
      <c r="L823" s="31">
        <v>1</v>
      </c>
      <c r="M823" s="37"/>
      <c r="N823" s="31">
        <v>37</v>
      </c>
      <c r="O823" s="77" t="s">
        <v>108</v>
      </c>
      <c r="P823" s="34"/>
      <c r="Q823" s="31"/>
      <c r="R823" s="31"/>
      <c r="S823" s="31"/>
      <c r="T823" s="31"/>
      <c r="U823" s="31"/>
      <c r="V823" s="31"/>
      <c r="W823" s="37"/>
      <c r="X823" s="37">
        <v>4</v>
      </c>
      <c r="Y823" s="79">
        <v>4</v>
      </c>
      <c r="Z823" s="31" t="s">
        <v>5</v>
      </c>
      <c r="AA823" s="37" t="s">
        <v>891</v>
      </c>
      <c r="AB823" s="25" t="s">
        <v>238</v>
      </c>
    </row>
    <row r="824" spans="1:28" ht="23.1" customHeight="1" x14ac:dyDescent="0.25">
      <c r="A824" s="53" t="s">
        <v>870</v>
      </c>
      <c r="B824" s="31" t="s">
        <v>110</v>
      </c>
      <c r="C824" s="31">
        <v>16</v>
      </c>
      <c r="D824" s="31" t="s">
        <v>892</v>
      </c>
      <c r="E824" s="25" t="s">
        <v>893</v>
      </c>
      <c r="F824" s="21" t="s">
        <v>893</v>
      </c>
      <c r="G824" s="21" t="str">
        <f>VLOOKUP(D824,[6]成飞半成品!$A:$B,2,0)</f>
        <v>连接接头</v>
      </c>
      <c r="H824" s="31" t="s">
        <v>102</v>
      </c>
      <c r="I824" s="31">
        <v>10</v>
      </c>
      <c r="J824" s="37" t="s">
        <v>1952</v>
      </c>
      <c r="K824" s="31">
        <v>10</v>
      </c>
      <c r="L824" s="31">
        <v>32</v>
      </c>
      <c r="M824" s="37">
        <v>37</v>
      </c>
      <c r="N824" s="31">
        <v>37</v>
      </c>
      <c r="O824" s="77" t="s">
        <v>596</v>
      </c>
      <c r="P824" s="34"/>
      <c r="Q824" s="31">
        <v>30</v>
      </c>
      <c r="R824" s="31"/>
      <c r="S824" s="31"/>
      <c r="T824" s="31"/>
      <c r="U824" s="31">
        <v>60</v>
      </c>
      <c r="V824" s="31"/>
      <c r="W824" s="37">
        <v>1</v>
      </c>
      <c r="X824" s="37"/>
      <c r="Y824" s="79">
        <v>17</v>
      </c>
      <c r="Z824" s="31" t="s">
        <v>71</v>
      </c>
      <c r="AA824" s="37" t="s">
        <v>704</v>
      </c>
      <c r="AB824" s="37"/>
    </row>
    <row r="825" spans="1:28" ht="23.1" customHeight="1" x14ac:dyDescent="0.25">
      <c r="A825" s="53" t="s">
        <v>870</v>
      </c>
      <c r="B825" s="31" t="s">
        <v>110</v>
      </c>
      <c r="C825" s="31">
        <v>58</v>
      </c>
      <c r="D825" s="31" t="s">
        <v>813</v>
      </c>
      <c r="E825" s="25" t="s">
        <v>409</v>
      </c>
      <c r="F825" s="21" t="s">
        <v>409</v>
      </c>
      <c r="G825" s="21" t="str">
        <f>VLOOKUP(D825,[6]成飞半成品!$A:$B,2,0)</f>
        <v>接头</v>
      </c>
      <c r="H825" s="31" t="s">
        <v>102</v>
      </c>
      <c r="I825" s="31">
        <v>35</v>
      </c>
      <c r="J825" s="37" t="s">
        <v>1997</v>
      </c>
      <c r="K825" s="31"/>
      <c r="L825" s="31">
        <v>1</v>
      </c>
      <c r="M825" s="37"/>
      <c r="N825" s="31">
        <v>26</v>
      </c>
      <c r="O825" s="77" t="s">
        <v>596</v>
      </c>
      <c r="P825" s="34"/>
      <c r="Q825" s="31">
        <v>40</v>
      </c>
      <c r="R825" s="31"/>
      <c r="S825" s="31"/>
      <c r="T825" s="31"/>
      <c r="U825" s="31">
        <v>90</v>
      </c>
      <c r="V825" s="31"/>
      <c r="W825" s="37">
        <v>1</v>
      </c>
      <c r="X825" s="37">
        <v>2</v>
      </c>
      <c r="Y825" s="79">
        <v>4.2</v>
      </c>
      <c r="Z825" s="31" t="s">
        <v>0</v>
      </c>
      <c r="AA825" s="37" t="s">
        <v>894</v>
      </c>
      <c r="AB825" s="25" t="s">
        <v>238</v>
      </c>
    </row>
    <row r="826" spans="1:28" ht="23.1" customHeight="1" x14ac:dyDescent="0.25">
      <c r="A826" s="53" t="s">
        <v>870</v>
      </c>
      <c r="B826" s="31" t="s">
        <v>137</v>
      </c>
      <c r="C826" s="31">
        <v>59</v>
      </c>
      <c r="D826" s="31" t="s">
        <v>846</v>
      </c>
      <c r="E826" s="25" t="s">
        <v>847</v>
      </c>
      <c r="F826" s="21" t="s">
        <v>847</v>
      </c>
      <c r="G826" s="21" t="str">
        <f>VLOOKUP(D826,[6]成飞半成品!$A:$B,2,0)</f>
        <v>短框连接块</v>
      </c>
      <c r="H826" s="31" t="s">
        <v>102</v>
      </c>
      <c r="I826" s="31">
        <v>25</v>
      </c>
      <c r="J826" s="37" t="s">
        <v>2079</v>
      </c>
      <c r="K826" s="31">
        <v>5</v>
      </c>
      <c r="L826" s="31">
        <v>5</v>
      </c>
      <c r="M826" s="37">
        <v>31</v>
      </c>
      <c r="N826" s="31">
        <v>31</v>
      </c>
      <c r="O826" s="77" t="s">
        <v>596</v>
      </c>
      <c r="P826" s="34"/>
      <c r="Q826" s="31">
        <v>90</v>
      </c>
      <c r="R826" s="31"/>
      <c r="S826" s="31"/>
      <c r="T826" s="31"/>
      <c r="U826" s="31">
        <v>90</v>
      </c>
      <c r="V826" s="31"/>
      <c r="W826" s="37"/>
      <c r="X826" s="37"/>
      <c r="Y826" s="79">
        <v>7.5</v>
      </c>
      <c r="Z826" s="65" t="s">
        <v>1847</v>
      </c>
      <c r="AA826" s="37"/>
      <c r="AB826" s="37"/>
    </row>
    <row r="827" spans="1:28" ht="23.1" customHeight="1" x14ac:dyDescent="0.25">
      <c r="A827" s="53" t="s">
        <v>870</v>
      </c>
      <c r="B827" s="31" t="s">
        <v>137</v>
      </c>
      <c r="C827" s="31">
        <v>59</v>
      </c>
      <c r="D827" s="31" t="s">
        <v>895</v>
      </c>
      <c r="E827" s="25" t="s">
        <v>896</v>
      </c>
      <c r="F827" s="21" t="s">
        <v>896</v>
      </c>
      <c r="G827" s="21" t="str">
        <f>VLOOKUP(D827,[6]成飞半成品!$A:$B,2,0)</f>
        <v>回收锁销接头</v>
      </c>
      <c r="H827" s="31" t="s">
        <v>102</v>
      </c>
      <c r="I827" s="31">
        <v>5</v>
      </c>
      <c r="J827" s="37" t="s">
        <v>1957</v>
      </c>
      <c r="K827" s="31">
        <v>8</v>
      </c>
      <c r="L827" s="31">
        <v>8</v>
      </c>
      <c r="M827" s="37">
        <v>31</v>
      </c>
      <c r="N827" s="31">
        <v>31</v>
      </c>
      <c r="O827" s="77" t="s">
        <v>596</v>
      </c>
      <c r="P827" s="34"/>
      <c r="Q827" s="31">
        <v>30</v>
      </c>
      <c r="R827" s="31"/>
      <c r="S827" s="31"/>
      <c r="T827" s="31"/>
      <c r="U827" s="31">
        <v>60</v>
      </c>
      <c r="V827" s="31"/>
      <c r="W827" s="37"/>
      <c r="X827" s="37">
        <v>2</v>
      </c>
      <c r="Y827" s="79">
        <v>6</v>
      </c>
      <c r="Z827" s="65" t="s">
        <v>1847</v>
      </c>
      <c r="AA827" s="37" t="s">
        <v>897</v>
      </c>
      <c r="AB827" s="37"/>
    </row>
    <row r="828" spans="1:28" ht="23.1" customHeight="1" x14ac:dyDescent="0.25">
      <c r="A828" s="53" t="s">
        <v>870</v>
      </c>
      <c r="B828" s="31" t="s">
        <v>137</v>
      </c>
      <c r="C828" s="31">
        <v>58</v>
      </c>
      <c r="D828" s="31" t="s">
        <v>815</v>
      </c>
      <c r="E828" s="25" t="s">
        <v>409</v>
      </c>
      <c r="F828" s="21" t="s">
        <v>409</v>
      </c>
      <c r="G828" s="21" t="str">
        <f>VLOOKUP(D828,[6]成飞半成品!$A:$B,2,0)</f>
        <v>接头</v>
      </c>
      <c r="H828" s="31" t="s">
        <v>102</v>
      </c>
      <c r="I828" s="31">
        <v>40</v>
      </c>
      <c r="J828" s="37" t="s">
        <v>2080</v>
      </c>
      <c r="K828" s="31">
        <v>1</v>
      </c>
      <c r="L828" s="31">
        <v>1</v>
      </c>
      <c r="M828" s="37">
        <v>23</v>
      </c>
      <c r="N828" s="31"/>
      <c r="O828" s="77" t="s">
        <v>596</v>
      </c>
      <c r="P828" s="34"/>
      <c r="Q828" s="31">
        <v>30</v>
      </c>
      <c r="R828" s="31"/>
      <c r="S828" s="31"/>
      <c r="T828" s="31"/>
      <c r="U828" s="31">
        <v>60</v>
      </c>
      <c r="V828" s="31"/>
      <c r="W828" s="37"/>
      <c r="X828" s="37">
        <v>2</v>
      </c>
      <c r="Y828" s="79">
        <v>2.5</v>
      </c>
      <c r="Z828" s="31" t="s">
        <v>7</v>
      </c>
      <c r="AA828" s="37" t="s">
        <v>898</v>
      </c>
      <c r="AB828" s="25" t="s">
        <v>238</v>
      </c>
    </row>
    <row r="829" spans="1:28" ht="23.1" customHeight="1" x14ac:dyDescent="0.25">
      <c r="A829" s="53" t="s">
        <v>796</v>
      </c>
      <c r="B829" s="31" t="s">
        <v>113</v>
      </c>
      <c r="C829" s="31">
        <v>59</v>
      </c>
      <c r="D829" s="31" t="s">
        <v>846</v>
      </c>
      <c r="E829" s="25" t="s">
        <v>847</v>
      </c>
      <c r="F829" s="21" t="s">
        <v>847</v>
      </c>
      <c r="G829" s="21" t="str">
        <f>VLOOKUP(D829,[6]成飞半成品!$A:$B,2,0)</f>
        <v>短框连接块</v>
      </c>
      <c r="H829" s="31" t="s">
        <v>102</v>
      </c>
      <c r="I829" s="31">
        <v>15</v>
      </c>
      <c r="J829" s="37" t="s">
        <v>1864</v>
      </c>
      <c r="K829" s="31"/>
      <c r="L829" s="31">
        <v>8</v>
      </c>
      <c r="M829" s="37">
        <v>31</v>
      </c>
      <c r="N829" s="31">
        <v>31</v>
      </c>
      <c r="O829" s="77" t="s">
        <v>596</v>
      </c>
      <c r="P829" s="34"/>
      <c r="Q829" s="31">
        <v>35</v>
      </c>
      <c r="R829" s="31"/>
      <c r="S829" s="31"/>
      <c r="T829" s="31"/>
      <c r="U829" s="31">
        <v>90</v>
      </c>
      <c r="V829" s="31"/>
      <c r="W829" s="37">
        <v>1</v>
      </c>
      <c r="X829" s="37">
        <v>2</v>
      </c>
      <c r="Y829" s="79">
        <v>8.1999999999999993</v>
      </c>
      <c r="Z829" s="31" t="s">
        <v>42</v>
      </c>
      <c r="AA829" s="37" t="s">
        <v>858</v>
      </c>
      <c r="AB829" s="25" t="s">
        <v>238</v>
      </c>
    </row>
    <row r="830" spans="1:28" ht="23.1" customHeight="1" x14ac:dyDescent="0.25">
      <c r="A830" s="53" t="s">
        <v>870</v>
      </c>
      <c r="B830" s="31" t="s">
        <v>137</v>
      </c>
      <c r="C830" s="31">
        <v>58</v>
      </c>
      <c r="D830" s="31" t="s">
        <v>899</v>
      </c>
      <c r="E830" s="25" t="s">
        <v>409</v>
      </c>
      <c r="F830" s="21" t="s">
        <v>409</v>
      </c>
      <c r="G830" s="21" t="str">
        <f>VLOOKUP(D830,[6]成飞半成品!$A:$B,2,0)</f>
        <v>接头</v>
      </c>
      <c r="H830" s="31" t="s">
        <v>102</v>
      </c>
      <c r="I830" s="31">
        <v>10</v>
      </c>
      <c r="J830" s="37" t="s">
        <v>1952</v>
      </c>
      <c r="K830" s="31">
        <v>1</v>
      </c>
      <c r="L830" s="31">
        <v>1</v>
      </c>
      <c r="M830" s="31">
        <v>23</v>
      </c>
      <c r="N830" s="31">
        <v>28</v>
      </c>
      <c r="O830" s="77" t="s">
        <v>596</v>
      </c>
      <c r="P830" s="34"/>
      <c r="Q830" s="31">
        <v>50</v>
      </c>
      <c r="R830" s="31"/>
      <c r="S830" s="31"/>
      <c r="T830" s="31"/>
      <c r="U830" s="31">
        <v>60</v>
      </c>
      <c r="V830" s="31"/>
      <c r="W830" s="37"/>
      <c r="X830" s="37"/>
      <c r="Y830" s="79">
        <v>0.8</v>
      </c>
      <c r="Z830" s="31" t="s">
        <v>7</v>
      </c>
      <c r="AA830" s="37"/>
      <c r="AB830" s="25" t="s">
        <v>238</v>
      </c>
    </row>
    <row r="831" spans="1:28" ht="23.1" customHeight="1" x14ac:dyDescent="0.25">
      <c r="A831" s="53" t="s">
        <v>870</v>
      </c>
      <c r="B831" s="31" t="s">
        <v>137</v>
      </c>
      <c r="C831" s="31">
        <v>57</v>
      </c>
      <c r="D831" s="31" t="s">
        <v>698</v>
      </c>
      <c r="E831" s="25" t="s">
        <v>699</v>
      </c>
      <c r="F831" s="21" t="e">
        <v>#N/A</v>
      </c>
      <c r="G831" s="21" t="e">
        <f>VLOOKUP(D831,[6]成飞半成品!$A:$B,2,0)</f>
        <v>#N/A</v>
      </c>
      <c r="H831" s="31" t="s">
        <v>123</v>
      </c>
      <c r="I831" s="31">
        <v>20</v>
      </c>
      <c r="J831" s="37" t="s">
        <v>2076</v>
      </c>
      <c r="K831" s="31">
        <v>3.5</v>
      </c>
      <c r="L831" s="31">
        <v>3.5</v>
      </c>
      <c r="M831" s="37">
        <v>28</v>
      </c>
      <c r="N831" s="31">
        <v>28</v>
      </c>
      <c r="O831" s="77" t="s">
        <v>219</v>
      </c>
      <c r="P831" s="34"/>
      <c r="Q831" s="31">
        <v>210</v>
      </c>
      <c r="R831" s="31"/>
      <c r="S831" s="31"/>
      <c r="T831" s="31"/>
      <c r="U831" s="31">
        <v>90</v>
      </c>
      <c r="V831" s="31"/>
      <c r="W831" s="37"/>
      <c r="X831" s="37"/>
      <c r="Y831" s="79">
        <v>12.3</v>
      </c>
      <c r="Z831" s="31" t="s">
        <v>7</v>
      </c>
      <c r="AA831" s="37"/>
      <c r="AB831" s="37"/>
    </row>
    <row r="832" spans="1:28" ht="23.1" customHeight="1" x14ac:dyDescent="0.25">
      <c r="A832" s="53" t="s">
        <v>870</v>
      </c>
      <c r="B832" s="31" t="s">
        <v>137</v>
      </c>
      <c r="C832" s="31">
        <v>9</v>
      </c>
      <c r="D832" s="31" t="s">
        <v>229</v>
      </c>
      <c r="E832" s="25" t="s">
        <v>230</v>
      </c>
      <c r="F832" s="21" t="s">
        <v>230</v>
      </c>
      <c r="G832" s="21" t="str">
        <f>VLOOKUP(D832,[6]成飞半成品!$A:$B,2,0)</f>
        <v>前起落架舱门结构支撑梁</v>
      </c>
      <c r="H832" s="31" t="s">
        <v>154</v>
      </c>
      <c r="I832" s="31">
        <v>35</v>
      </c>
      <c r="J832" s="37" t="s">
        <v>2077</v>
      </c>
      <c r="K832" s="31">
        <v>15</v>
      </c>
      <c r="L832" s="31">
        <v>26</v>
      </c>
      <c r="M832" s="37">
        <v>23</v>
      </c>
      <c r="N832" s="31">
        <v>23</v>
      </c>
      <c r="O832" s="77" t="s">
        <v>851</v>
      </c>
      <c r="P832" s="34"/>
      <c r="Q832" s="31">
        <v>35</v>
      </c>
      <c r="R832" s="31"/>
      <c r="S832" s="31"/>
      <c r="T832" s="31"/>
      <c r="U832" s="31">
        <v>60</v>
      </c>
      <c r="V832" s="31"/>
      <c r="W832" s="37"/>
      <c r="X832" s="37"/>
      <c r="Y832" s="79">
        <v>15.2</v>
      </c>
      <c r="Z832" s="31" t="s">
        <v>30</v>
      </c>
      <c r="AA832" s="37"/>
      <c r="AB832" s="37"/>
    </row>
    <row r="833" spans="1:28" ht="23.1" customHeight="1" x14ac:dyDescent="0.25">
      <c r="A833" s="53" t="s">
        <v>870</v>
      </c>
      <c r="B833" s="31" t="s">
        <v>137</v>
      </c>
      <c r="C833" s="31">
        <v>11</v>
      </c>
      <c r="D833" s="31" t="s">
        <v>2564</v>
      </c>
      <c r="E833" s="25" t="s">
        <v>691</v>
      </c>
      <c r="F833" s="21" t="s">
        <v>691</v>
      </c>
      <c r="G833" s="21" t="str">
        <f>VLOOKUP(D833,[6]成飞半成品!$A:$B,2,0)</f>
        <v>地板支撑件</v>
      </c>
      <c r="H833" s="31" t="s">
        <v>123</v>
      </c>
      <c r="I833" s="31">
        <v>25</v>
      </c>
      <c r="J833" s="37" t="s">
        <v>2054</v>
      </c>
      <c r="K833" s="31">
        <v>4</v>
      </c>
      <c r="L833" s="31">
        <v>4</v>
      </c>
      <c r="M833" s="37">
        <v>23</v>
      </c>
      <c r="N833" s="31">
        <v>23</v>
      </c>
      <c r="O833" s="77" t="s">
        <v>900</v>
      </c>
      <c r="P833" s="34"/>
      <c r="Q833" s="31">
        <v>180</v>
      </c>
      <c r="R833" s="31"/>
      <c r="S833" s="31"/>
      <c r="T833" s="31"/>
      <c r="U833" s="31">
        <v>60</v>
      </c>
      <c r="V833" s="31"/>
      <c r="W833" s="37"/>
      <c r="X833" s="37"/>
      <c r="Y833" s="79">
        <v>12</v>
      </c>
      <c r="Z833" s="31" t="s">
        <v>63</v>
      </c>
      <c r="AA833" s="37"/>
      <c r="AB833" s="37"/>
    </row>
    <row r="834" spans="1:28" ht="23.1" customHeight="1" x14ac:dyDescent="0.25">
      <c r="A834" s="53" t="s">
        <v>870</v>
      </c>
      <c r="B834" s="31" t="s">
        <v>137</v>
      </c>
      <c r="C834" s="31">
        <v>11</v>
      </c>
      <c r="D834" s="31" t="s">
        <v>2564</v>
      </c>
      <c r="E834" s="25" t="s">
        <v>691</v>
      </c>
      <c r="F834" s="21" t="s">
        <v>691</v>
      </c>
      <c r="G834" s="21" t="str">
        <f>VLOOKUP(D834,[6]成飞半成品!$A:$B,2,0)</f>
        <v>地板支撑件</v>
      </c>
      <c r="H834" s="31" t="s">
        <v>123</v>
      </c>
      <c r="I834" s="31">
        <v>30</v>
      </c>
      <c r="J834" s="37" t="s">
        <v>2085</v>
      </c>
      <c r="K834" s="31">
        <v>2</v>
      </c>
      <c r="L834" s="31">
        <v>2</v>
      </c>
      <c r="M834" s="37">
        <v>31</v>
      </c>
      <c r="N834" s="31">
        <v>31</v>
      </c>
      <c r="O834" s="77" t="s">
        <v>703</v>
      </c>
      <c r="P834" s="34"/>
      <c r="Q834" s="31">
        <v>100</v>
      </c>
      <c r="R834" s="31"/>
      <c r="S834" s="31"/>
      <c r="T834" s="31"/>
      <c r="U834" s="31">
        <v>60</v>
      </c>
      <c r="V834" s="31"/>
      <c r="W834" s="37"/>
      <c r="X834" s="37"/>
      <c r="Y834" s="79">
        <v>3.3</v>
      </c>
      <c r="Z834" s="31" t="s">
        <v>63</v>
      </c>
      <c r="AA834" s="37"/>
      <c r="AB834" s="37"/>
    </row>
    <row r="835" spans="1:28" ht="23.1" customHeight="1" x14ac:dyDescent="0.25">
      <c r="A835" s="53" t="s">
        <v>870</v>
      </c>
      <c r="B835" s="31" t="s">
        <v>137</v>
      </c>
      <c r="C835" s="31">
        <v>16</v>
      </c>
      <c r="D835" s="31" t="s">
        <v>892</v>
      </c>
      <c r="E835" s="25" t="s">
        <v>893</v>
      </c>
      <c r="F835" s="21" t="s">
        <v>893</v>
      </c>
      <c r="G835" s="21" t="str">
        <f>VLOOKUP(D835,[6]成飞半成品!$A:$B,2,0)</f>
        <v>连接接头</v>
      </c>
      <c r="H835" s="31" t="s">
        <v>102</v>
      </c>
      <c r="I835" s="31">
        <v>15</v>
      </c>
      <c r="J835" s="37" t="s">
        <v>1864</v>
      </c>
      <c r="K835" s="31">
        <v>20</v>
      </c>
      <c r="L835" s="31">
        <v>19</v>
      </c>
      <c r="M835" s="37">
        <v>23</v>
      </c>
      <c r="N835" s="31">
        <v>28</v>
      </c>
      <c r="O835" s="77" t="s">
        <v>596</v>
      </c>
      <c r="P835" s="34"/>
      <c r="Q835" s="31">
        <v>35</v>
      </c>
      <c r="R835" s="31"/>
      <c r="S835" s="31"/>
      <c r="T835" s="31"/>
      <c r="U835" s="31">
        <v>90</v>
      </c>
      <c r="V835" s="31"/>
      <c r="W835" s="37"/>
      <c r="X835" s="37">
        <v>2</v>
      </c>
      <c r="Y835" s="79">
        <v>13.1</v>
      </c>
      <c r="Z835" s="31" t="s">
        <v>63</v>
      </c>
      <c r="AA835" s="37" t="s">
        <v>901</v>
      </c>
      <c r="AB835" s="25" t="s">
        <v>238</v>
      </c>
    </row>
    <row r="836" spans="1:28" ht="23.1" customHeight="1" x14ac:dyDescent="0.25">
      <c r="A836" s="53" t="s">
        <v>870</v>
      </c>
      <c r="B836" s="31" t="s">
        <v>113</v>
      </c>
      <c r="C836" s="31">
        <v>77</v>
      </c>
      <c r="D836" s="31" t="s">
        <v>211</v>
      </c>
      <c r="E836" s="25" t="s">
        <v>212</v>
      </c>
      <c r="F836" s="21" t="s">
        <v>212</v>
      </c>
      <c r="G836" s="21" t="str">
        <f>VLOOKUP(D836,[6]成飞半成品!$A:$B,2,0)</f>
        <v>压板</v>
      </c>
      <c r="H836" s="85" t="s">
        <v>1839</v>
      </c>
      <c r="I836" s="31">
        <v>25</v>
      </c>
      <c r="J836" s="37" t="s">
        <v>1970</v>
      </c>
      <c r="K836" s="31">
        <v>10</v>
      </c>
      <c r="L836" s="31">
        <v>10</v>
      </c>
      <c r="M836" s="31">
        <v>23</v>
      </c>
      <c r="N836" s="31">
        <v>23</v>
      </c>
      <c r="O836" s="77" t="s">
        <v>457</v>
      </c>
      <c r="P836" s="34"/>
      <c r="Q836" s="31">
        <v>25</v>
      </c>
      <c r="R836" s="31"/>
      <c r="S836" s="31"/>
      <c r="T836" s="31"/>
      <c r="U836" s="31">
        <v>60</v>
      </c>
      <c r="V836" s="31"/>
      <c r="W836" s="37"/>
      <c r="X836" s="37"/>
      <c r="Y836" s="79">
        <v>4.2</v>
      </c>
      <c r="Z836" s="31" t="s">
        <v>15</v>
      </c>
      <c r="AA836" s="37"/>
      <c r="AB836" s="37"/>
    </row>
    <row r="837" spans="1:28" ht="23.1" customHeight="1" x14ac:dyDescent="0.25">
      <c r="A837" s="53" t="s">
        <v>870</v>
      </c>
      <c r="B837" s="31" t="s">
        <v>113</v>
      </c>
      <c r="C837" s="31">
        <v>77</v>
      </c>
      <c r="D837" s="31" t="s">
        <v>211</v>
      </c>
      <c r="E837" s="25" t="s">
        <v>212</v>
      </c>
      <c r="F837" s="21" t="s">
        <v>212</v>
      </c>
      <c r="G837" s="21" t="str">
        <f>VLOOKUP(D837,[6]成飞半成品!$A:$B,2,0)</f>
        <v>压板</v>
      </c>
      <c r="H837" s="85" t="s">
        <v>1836</v>
      </c>
      <c r="I837" s="31">
        <v>30</v>
      </c>
      <c r="J837" s="37" t="s">
        <v>2081</v>
      </c>
      <c r="K837" s="31">
        <v>20</v>
      </c>
      <c r="L837" s="31">
        <v>40</v>
      </c>
      <c r="M837" s="31">
        <v>28</v>
      </c>
      <c r="N837" s="31">
        <v>28</v>
      </c>
      <c r="O837" s="77" t="s">
        <v>213</v>
      </c>
      <c r="P837" s="34"/>
      <c r="Q837" s="31">
        <v>25</v>
      </c>
      <c r="R837" s="31"/>
      <c r="S837" s="31"/>
      <c r="T837" s="31"/>
      <c r="U837" s="31">
        <v>60</v>
      </c>
      <c r="V837" s="31"/>
      <c r="W837" s="37">
        <v>1</v>
      </c>
      <c r="X837" s="37"/>
      <c r="Y837" s="79">
        <v>17.7</v>
      </c>
      <c r="Z837" s="31" t="s">
        <v>15</v>
      </c>
      <c r="AA837" s="37" t="s">
        <v>92</v>
      </c>
      <c r="AB837" s="37"/>
    </row>
    <row r="838" spans="1:28" ht="23.1" customHeight="1" x14ac:dyDescent="0.25">
      <c r="A838" s="53" t="s">
        <v>870</v>
      </c>
      <c r="B838" s="31" t="s">
        <v>113</v>
      </c>
      <c r="C838" s="31">
        <v>12</v>
      </c>
      <c r="D838" s="31" t="s">
        <v>735</v>
      </c>
      <c r="E838" s="25" t="s">
        <v>249</v>
      </c>
      <c r="F838" s="21" t="s">
        <v>249</v>
      </c>
      <c r="G838" s="21" t="str">
        <f>VLOOKUP(D838,[6]成飞半成品!$A:$B,2,0)</f>
        <v>10060下接头</v>
      </c>
      <c r="H838" s="31" t="s">
        <v>250</v>
      </c>
      <c r="I838" s="31">
        <v>15</v>
      </c>
      <c r="J838" s="37" t="s">
        <v>1903</v>
      </c>
      <c r="K838" s="31">
        <v>1</v>
      </c>
      <c r="L838" s="31">
        <v>1.8</v>
      </c>
      <c r="M838" s="37"/>
      <c r="N838" s="31">
        <v>28</v>
      </c>
      <c r="O838" s="77" t="s">
        <v>902</v>
      </c>
      <c r="P838" s="34"/>
      <c r="Q838" s="31">
        <v>600</v>
      </c>
      <c r="R838" s="31"/>
      <c r="S838" s="31"/>
      <c r="T838" s="31"/>
      <c r="U838" s="31">
        <v>120</v>
      </c>
      <c r="V838" s="31"/>
      <c r="W838" s="37"/>
      <c r="X838" s="37"/>
      <c r="Y838" s="79">
        <v>18</v>
      </c>
      <c r="Z838" s="31" t="s">
        <v>72</v>
      </c>
      <c r="AA838" s="37"/>
      <c r="AB838" s="37"/>
    </row>
    <row r="839" spans="1:28" ht="23.1" customHeight="1" x14ac:dyDescent="0.25">
      <c r="A839" s="53" t="s">
        <v>870</v>
      </c>
      <c r="B839" s="31" t="s">
        <v>113</v>
      </c>
      <c r="C839" s="31">
        <v>58</v>
      </c>
      <c r="D839" s="31" t="s">
        <v>142</v>
      </c>
      <c r="E839" s="25" t="s">
        <v>133</v>
      </c>
      <c r="F839" s="21" t="s">
        <v>133</v>
      </c>
      <c r="G839" s="21" t="str">
        <f>VLOOKUP(D839,[6]成飞半成品!$A:$B,2,0)</f>
        <v>摇臂</v>
      </c>
      <c r="H839" s="31" t="s">
        <v>102</v>
      </c>
      <c r="I839" s="31">
        <v>55</v>
      </c>
      <c r="J839" s="37" t="s">
        <v>1865</v>
      </c>
      <c r="K839" s="31">
        <v>2</v>
      </c>
      <c r="L839" s="31">
        <v>2</v>
      </c>
      <c r="M839" s="31">
        <v>28</v>
      </c>
      <c r="N839" s="31">
        <v>28</v>
      </c>
      <c r="O839" s="77" t="s">
        <v>140</v>
      </c>
      <c r="P839" s="34"/>
      <c r="Q839" s="31">
        <v>60</v>
      </c>
      <c r="R839" s="31"/>
      <c r="S839" s="31"/>
      <c r="T839" s="31"/>
      <c r="U839" s="31">
        <v>90</v>
      </c>
      <c r="V839" s="31"/>
      <c r="W839" s="37"/>
      <c r="X839" s="37">
        <v>5</v>
      </c>
      <c r="Y839" s="79">
        <v>7</v>
      </c>
      <c r="Z839" s="31" t="s">
        <v>57</v>
      </c>
      <c r="AA839" s="37" t="s">
        <v>903</v>
      </c>
      <c r="AB839" s="25" t="s">
        <v>238</v>
      </c>
    </row>
    <row r="840" spans="1:28" ht="23.1" customHeight="1" x14ac:dyDescent="0.25">
      <c r="A840" s="53" t="s">
        <v>870</v>
      </c>
      <c r="B840" s="31" t="s">
        <v>137</v>
      </c>
      <c r="C840" s="31">
        <v>58</v>
      </c>
      <c r="D840" s="31" t="s">
        <v>899</v>
      </c>
      <c r="E840" s="25" t="s">
        <v>409</v>
      </c>
      <c r="F840" s="21" t="s">
        <v>409</v>
      </c>
      <c r="G840" s="21" t="str">
        <f>VLOOKUP(D840,[6]成飞半成品!$A:$B,2,0)</f>
        <v>接头</v>
      </c>
      <c r="H840" s="31" t="s">
        <v>102</v>
      </c>
      <c r="I840" s="31">
        <v>15</v>
      </c>
      <c r="J840" s="37" t="s">
        <v>2056</v>
      </c>
      <c r="K840" s="31">
        <v>1</v>
      </c>
      <c r="L840" s="31">
        <v>1</v>
      </c>
      <c r="M840" s="31">
        <v>23</v>
      </c>
      <c r="N840" s="31">
        <v>28</v>
      </c>
      <c r="O840" s="77" t="s">
        <v>596</v>
      </c>
      <c r="P840" s="34"/>
      <c r="Q840" s="31">
        <v>50</v>
      </c>
      <c r="R840" s="31"/>
      <c r="S840" s="31"/>
      <c r="T840" s="31"/>
      <c r="U840" s="31">
        <v>90</v>
      </c>
      <c r="V840" s="31"/>
      <c r="W840" s="37"/>
      <c r="X840" s="37"/>
      <c r="Y840" s="79">
        <v>0.8</v>
      </c>
      <c r="Z840" s="31" t="s">
        <v>7</v>
      </c>
      <c r="AA840" s="37"/>
      <c r="AB840" s="25" t="s">
        <v>238</v>
      </c>
    </row>
    <row r="841" spans="1:28" ht="23.1" customHeight="1" x14ac:dyDescent="0.25">
      <c r="A841" s="53" t="s">
        <v>870</v>
      </c>
      <c r="B841" s="31" t="s">
        <v>137</v>
      </c>
      <c r="C841" s="31">
        <v>58</v>
      </c>
      <c r="D841" s="31" t="s">
        <v>899</v>
      </c>
      <c r="E841" s="25" t="s">
        <v>409</v>
      </c>
      <c r="F841" s="21" t="s">
        <v>409</v>
      </c>
      <c r="G841" s="21" t="str">
        <f>VLOOKUP(D841,[6]成飞半成品!$A:$B,2,0)</f>
        <v>接头</v>
      </c>
      <c r="H841" s="31" t="s">
        <v>102</v>
      </c>
      <c r="I841" s="31">
        <v>20</v>
      </c>
      <c r="J841" s="37" t="s">
        <v>2082</v>
      </c>
      <c r="K841" s="31">
        <v>1</v>
      </c>
      <c r="L841" s="31">
        <v>1</v>
      </c>
      <c r="M841" s="31">
        <v>23</v>
      </c>
      <c r="N841" s="31">
        <v>28</v>
      </c>
      <c r="O841" s="77" t="s">
        <v>596</v>
      </c>
      <c r="P841" s="34"/>
      <c r="Q841" s="31">
        <v>150</v>
      </c>
      <c r="R841" s="31"/>
      <c r="S841" s="31"/>
      <c r="T841" s="31"/>
      <c r="U841" s="31">
        <v>90</v>
      </c>
      <c r="V841" s="31"/>
      <c r="W841" s="37"/>
      <c r="X841" s="37">
        <v>2</v>
      </c>
      <c r="Y841" s="79">
        <v>4.5</v>
      </c>
      <c r="Z841" s="31" t="s">
        <v>7</v>
      </c>
      <c r="AA841" s="37" t="s">
        <v>904</v>
      </c>
      <c r="AB841" s="25" t="s">
        <v>238</v>
      </c>
    </row>
    <row r="842" spans="1:28" ht="23.1" customHeight="1" x14ac:dyDescent="0.25">
      <c r="A842" s="53" t="s">
        <v>870</v>
      </c>
      <c r="B842" s="31" t="s">
        <v>113</v>
      </c>
      <c r="C842" s="31">
        <v>58</v>
      </c>
      <c r="D842" s="31" t="s">
        <v>142</v>
      </c>
      <c r="E842" s="25" t="s">
        <v>133</v>
      </c>
      <c r="F842" s="21" t="s">
        <v>133</v>
      </c>
      <c r="G842" s="21" t="str">
        <f>VLOOKUP(D842,[6]成飞半成品!$A:$B,2,0)</f>
        <v>摇臂</v>
      </c>
      <c r="H842" s="31" t="s">
        <v>102</v>
      </c>
      <c r="I842" s="31">
        <v>60</v>
      </c>
      <c r="J842" s="37" t="s">
        <v>2083</v>
      </c>
      <c r="K842" s="31">
        <v>2</v>
      </c>
      <c r="L842" s="31">
        <v>2</v>
      </c>
      <c r="M842" s="31">
        <v>19</v>
      </c>
      <c r="N842" s="31">
        <v>19</v>
      </c>
      <c r="O842" s="77" t="s">
        <v>140</v>
      </c>
      <c r="P842" s="34"/>
      <c r="Q842" s="31">
        <v>60</v>
      </c>
      <c r="R842" s="31"/>
      <c r="S842" s="31"/>
      <c r="T842" s="31"/>
      <c r="U842" s="31">
        <v>90</v>
      </c>
      <c r="V842" s="31"/>
      <c r="W842" s="37">
        <v>1</v>
      </c>
      <c r="X842" s="37">
        <v>2</v>
      </c>
      <c r="Y842" s="79">
        <v>5.5</v>
      </c>
      <c r="Z842" s="31" t="s">
        <v>57</v>
      </c>
      <c r="AA842" s="37" t="s">
        <v>905</v>
      </c>
      <c r="AB842" s="37"/>
    </row>
    <row r="843" spans="1:28" ht="23.1" customHeight="1" x14ac:dyDescent="0.25">
      <c r="A843" s="53" t="s">
        <v>870</v>
      </c>
      <c r="B843" s="31" t="s">
        <v>113</v>
      </c>
      <c r="C843" s="31">
        <v>58</v>
      </c>
      <c r="D843" s="31" t="s">
        <v>142</v>
      </c>
      <c r="E843" s="25" t="s">
        <v>133</v>
      </c>
      <c r="F843" s="21" t="s">
        <v>133</v>
      </c>
      <c r="G843" s="21" t="str">
        <f>VLOOKUP(D843,[6]成飞半成品!$A:$B,2,0)</f>
        <v>摇臂</v>
      </c>
      <c r="H843" s="31" t="s">
        <v>102</v>
      </c>
      <c r="I843" s="31">
        <v>65</v>
      </c>
      <c r="J843" s="37" t="s">
        <v>2084</v>
      </c>
      <c r="K843" s="31">
        <v>2</v>
      </c>
      <c r="L843" s="31">
        <v>2</v>
      </c>
      <c r="M843" s="31">
        <v>19</v>
      </c>
      <c r="N843" s="31">
        <v>19</v>
      </c>
      <c r="O843" s="77" t="s">
        <v>140</v>
      </c>
      <c r="P843" s="34"/>
      <c r="Q843" s="31">
        <v>30</v>
      </c>
      <c r="R843" s="31"/>
      <c r="S843" s="31"/>
      <c r="T843" s="31"/>
      <c r="U843" s="31">
        <v>90</v>
      </c>
      <c r="V843" s="31"/>
      <c r="W843" s="37">
        <v>1</v>
      </c>
      <c r="X843" s="37"/>
      <c r="Y843" s="79">
        <v>2.5</v>
      </c>
      <c r="Z843" s="31" t="s">
        <v>57</v>
      </c>
      <c r="AA843" s="37"/>
      <c r="AB843" s="37"/>
    </row>
    <row r="844" spans="1:28" ht="23.1" customHeight="1" x14ac:dyDescent="0.25">
      <c r="A844" s="53" t="s">
        <v>870</v>
      </c>
      <c r="B844" s="31" t="s">
        <v>113</v>
      </c>
      <c r="C844" s="31">
        <v>10</v>
      </c>
      <c r="D844" s="31" t="s">
        <v>517</v>
      </c>
      <c r="E844" s="25" t="s">
        <v>518</v>
      </c>
      <c r="F844" s="21" t="s">
        <v>518</v>
      </c>
      <c r="G844" s="21" t="str">
        <f>VLOOKUP(D844,[6]成飞半成品!$A:$B,2,0)</f>
        <v>带板</v>
      </c>
      <c r="H844" s="31" t="s">
        <v>300</v>
      </c>
      <c r="I844" s="31">
        <v>30</v>
      </c>
      <c r="J844" s="37" t="s">
        <v>2040</v>
      </c>
      <c r="K844" s="31">
        <v>2.2000000000000002</v>
      </c>
      <c r="L844" s="31">
        <v>3.1</v>
      </c>
      <c r="M844" s="31">
        <v>23</v>
      </c>
      <c r="N844" s="31">
        <v>28</v>
      </c>
      <c r="O844" s="77" t="s">
        <v>906</v>
      </c>
      <c r="P844" s="34"/>
      <c r="Q844" s="31">
        <v>270</v>
      </c>
      <c r="R844" s="31"/>
      <c r="S844" s="31"/>
      <c r="T844" s="31"/>
      <c r="U844" s="31">
        <v>90</v>
      </c>
      <c r="V844" s="31"/>
      <c r="W844" s="37"/>
      <c r="X844" s="37"/>
      <c r="Y844" s="79">
        <v>14</v>
      </c>
      <c r="Z844" s="31" t="s">
        <v>30</v>
      </c>
      <c r="AA844" s="37"/>
      <c r="AB844" s="37"/>
    </row>
    <row r="845" spans="1:28" ht="23.1" customHeight="1" x14ac:dyDescent="0.25">
      <c r="A845" s="53" t="s">
        <v>870</v>
      </c>
      <c r="B845" s="31" t="s">
        <v>113</v>
      </c>
      <c r="C845" s="31">
        <v>108</v>
      </c>
      <c r="D845" s="31" t="s">
        <v>886</v>
      </c>
      <c r="E845" s="25" t="s">
        <v>887</v>
      </c>
      <c r="F845" s="21" t="s">
        <v>887</v>
      </c>
      <c r="G845" s="21" t="str">
        <f>VLOOKUP(D845,[6]成飞半成品!$A:$B,2,0)</f>
        <v>外侧梁</v>
      </c>
      <c r="H845" s="31" t="s">
        <v>154</v>
      </c>
      <c r="I845" s="31">
        <v>5</v>
      </c>
      <c r="J845" s="37" t="s">
        <v>1930</v>
      </c>
      <c r="K845" s="31">
        <v>1</v>
      </c>
      <c r="L845" s="31">
        <v>0.5</v>
      </c>
      <c r="M845" s="37"/>
      <c r="N845" s="31">
        <v>28</v>
      </c>
      <c r="O845" s="77" t="s">
        <v>159</v>
      </c>
      <c r="P845" s="34"/>
      <c r="Q845" s="31">
        <v>660</v>
      </c>
      <c r="R845" s="31">
        <v>60</v>
      </c>
      <c r="S845" s="31"/>
      <c r="T845" s="31"/>
      <c r="U845" s="31">
        <v>90</v>
      </c>
      <c r="V845" s="31"/>
      <c r="W845" s="37"/>
      <c r="X845" s="37"/>
      <c r="Y845" s="79">
        <v>5.5</v>
      </c>
      <c r="Z845" s="31" t="s">
        <v>45</v>
      </c>
      <c r="AA845" s="37"/>
      <c r="AB845" s="37"/>
    </row>
    <row r="846" spans="1:28" ht="23.1" customHeight="1" x14ac:dyDescent="0.25">
      <c r="A846" s="53" t="s">
        <v>870</v>
      </c>
      <c r="B846" s="31" t="s">
        <v>113</v>
      </c>
      <c r="C846" s="31">
        <v>108</v>
      </c>
      <c r="D846" s="31" t="s">
        <v>889</v>
      </c>
      <c r="E846" s="25" t="s">
        <v>887</v>
      </c>
      <c r="F846" s="21" t="s">
        <v>887</v>
      </c>
      <c r="G846" s="21" t="str">
        <f>VLOOKUP(D846,[6]成飞半成品!$A:$B,2,0)</f>
        <v>外侧梁</v>
      </c>
      <c r="H846" s="31" t="s">
        <v>154</v>
      </c>
      <c r="I846" s="31">
        <v>10</v>
      </c>
      <c r="J846" s="37" t="s">
        <v>1916</v>
      </c>
      <c r="K846" s="31">
        <v>1</v>
      </c>
      <c r="L846" s="31">
        <v>1</v>
      </c>
      <c r="M846" s="37"/>
      <c r="N846" s="31">
        <v>28</v>
      </c>
      <c r="O846" s="77" t="s">
        <v>159</v>
      </c>
      <c r="P846" s="34"/>
      <c r="Q846" s="31">
        <v>720</v>
      </c>
      <c r="R846" s="31">
        <v>60</v>
      </c>
      <c r="S846" s="31"/>
      <c r="T846" s="31">
        <v>1</v>
      </c>
      <c r="U846" s="31">
        <v>90</v>
      </c>
      <c r="V846" s="31"/>
      <c r="W846" s="37">
        <v>1</v>
      </c>
      <c r="X846" s="37"/>
      <c r="Y846" s="79">
        <v>14.5</v>
      </c>
      <c r="Z846" s="31" t="s">
        <v>45</v>
      </c>
      <c r="AA846" s="37" t="s">
        <v>907</v>
      </c>
      <c r="AB846" s="37"/>
    </row>
    <row r="847" spans="1:28" ht="23.1" customHeight="1" x14ac:dyDescent="0.25">
      <c r="A847" s="53" t="s">
        <v>870</v>
      </c>
      <c r="B847" s="31" t="s">
        <v>113</v>
      </c>
      <c r="C847" s="31">
        <v>78</v>
      </c>
      <c r="D847" s="31" t="s">
        <v>821</v>
      </c>
      <c r="E847" s="25" t="s">
        <v>822</v>
      </c>
      <c r="F847" s="21" t="s">
        <v>822</v>
      </c>
      <c r="G847" s="21" t="str">
        <f>VLOOKUP(D847,[6]成飞半成品!$A:$B,2,0)</f>
        <v>1#竖梁</v>
      </c>
      <c r="H847" s="31" t="s">
        <v>123</v>
      </c>
      <c r="I847" s="31">
        <v>15</v>
      </c>
      <c r="J847" s="37" t="s">
        <v>2075</v>
      </c>
      <c r="K847" s="31">
        <v>0.5</v>
      </c>
      <c r="L847" s="31">
        <v>0.5</v>
      </c>
      <c r="M847" s="37"/>
      <c r="N847" s="31">
        <v>28</v>
      </c>
      <c r="O847" s="77" t="s">
        <v>410</v>
      </c>
      <c r="P847" s="34"/>
      <c r="Q847" s="31">
        <v>130</v>
      </c>
      <c r="R847" s="31">
        <v>60</v>
      </c>
      <c r="S847" s="31"/>
      <c r="T847" s="31">
        <v>2</v>
      </c>
      <c r="U847" s="31">
        <v>60</v>
      </c>
      <c r="V847" s="31"/>
      <c r="W847" s="37"/>
      <c r="X847" s="37"/>
      <c r="Y847" s="79">
        <v>3.1</v>
      </c>
      <c r="Z847" s="31" t="s">
        <v>19</v>
      </c>
      <c r="AA847" s="37"/>
      <c r="AB847" s="37"/>
    </row>
    <row r="848" spans="1:28" ht="23.1" customHeight="1" x14ac:dyDescent="0.25">
      <c r="A848" s="53" t="s">
        <v>870</v>
      </c>
      <c r="B848" s="31" t="s">
        <v>113</v>
      </c>
      <c r="C848" s="31">
        <v>78</v>
      </c>
      <c r="D848" s="31" t="s">
        <v>854</v>
      </c>
      <c r="E848" s="25" t="s">
        <v>822</v>
      </c>
      <c r="F848" s="21" t="s">
        <v>822</v>
      </c>
      <c r="G848" s="21" t="str">
        <f>VLOOKUP(D848,[6]成飞半成品!$A:$B,2,0)</f>
        <v>1#竖梁</v>
      </c>
      <c r="H848" s="31" t="s">
        <v>123</v>
      </c>
      <c r="I848" s="31">
        <v>25</v>
      </c>
      <c r="J848" s="37" t="s">
        <v>2054</v>
      </c>
      <c r="K848" s="31">
        <v>2</v>
      </c>
      <c r="L848" s="31">
        <v>2</v>
      </c>
      <c r="M848" s="31">
        <v>28</v>
      </c>
      <c r="N848" s="31">
        <v>28</v>
      </c>
      <c r="O848" s="77" t="s">
        <v>661</v>
      </c>
      <c r="P848" s="34"/>
      <c r="Q848" s="31">
        <v>120</v>
      </c>
      <c r="R848" s="31">
        <v>60</v>
      </c>
      <c r="S848" s="31"/>
      <c r="T848" s="31">
        <v>2</v>
      </c>
      <c r="U848" s="31">
        <v>60</v>
      </c>
      <c r="V848" s="31"/>
      <c r="W848" s="37"/>
      <c r="X848" s="37"/>
      <c r="Y848" s="79">
        <v>6</v>
      </c>
      <c r="Z848" s="31" t="s">
        <v>19</v>
      </c>
      <c r="AA848" s="37" t="s">
        <v>908</v>
      </c>
      <c r="AB848" s="37"/>
    </row>
    <row r="849" spans="1:28" ht="23.1" customHeight="1" x14ac:dyDescent="0.25">
      <c r="A849" s="53" t="s">
        <v>870</v>
      </c>
      <c r="B849" s="31" t="s">
        <v>113</v>
      </c>
      <c r="C849" s="31">
        <v>107</v>
      </c>
      <c r="D849" s="31" t="s">
        <v>173</v>
      </c>
      <c r="E849" s="25" t="s">
        <v>174</v>
      </c>
      <c r="F849" s="21" t="s">
        <v>1246</v>
      </c>
      <c r="G849" s="21" t="str">
        <f>VLOOKUP(D849,[6]成飞半成品!$A:$B,2,0)</f>
        <v>根肋后段</v>
      </c>
      <c r="H849" s="31" t="s">
        <v>154</v>
      </c>
      <c r="I849" s="31">
        <v>25</v>
      </c>
      <c r="J849" s="37" t="s">
        <v>2006</v>
      </c>
      <c r="K849" s="31">
        <v>1</v>
      </c>
      <c r="L849" s="31">
        <v>1</v>
      </c>
      <c r="M849" s="37"/>
      <c r="N849" s="31">
        <v>28</v>
      </c>
      <c r="O849" s="77" t="s">
        <v>890</v>
      </c>
      <c r="P849" s="34"/>
      <c r="Q849" s="31">
        <v>1050</v>
      </c>
      <c r="R849" s="31">
        <v>90</v>
      </c>
      <c r="S849" s="31"/>
      <c r="T849" s="31">
        <v>1</v>
      </c>
      <c r="U849" s="31">
        <v>120</v>
      </c>
      <c r="V849" s="31"/>
      <c r="W849" s="37"/>
      <c r="X849" s="37"/>
      <c r="Y849" s="79">
        <v>19</v>
      </c>
      <c r="Z849" s="31" t="s">
        <v>45</v>
      </c>
      <c r="AA849" s="37" t="s">
        <v>145</v>
      </c>
      <c r="AB849" s="37"/>
    </row>
    <row r="850" spans="1:28" ht="23.1" customHeight="1" x14ac:dyDescent="0.25">
      <c r="A850" s="53" t="s">
        <v>909</v>
      </c>
      <c r="B850" s="10" t="s">
        <v>110</v>
      </c>
      <c r="C850" s="10">
        <v>12</v>
      </c>
      <c r="D850" s="10" t="s">
        <v>735</v>
      </c>
      <c r="E850" s="41" t="s">
        <v>249</v>
      </c>
      <c r="F850" s="21" t="s">
        <v>249</v>
      </c>
      <c r="G850" s="21" t="str">
        <f>VLOOKUP(D850,[6]成飞半成品!$A:$B,2,0)</f>
        <v>10060下接头</v>
      </c>
      <c r="H850" s="10" t="s">
        <v>250</v>
      </c>
      <c r="I850" s="10">
        <v>15</v>
      </c>
      <c r="J850" s="10" t="s">
        <v>1903</v>
      </c>
      <c r="K850" s="10">
        <v>1</v>
      </c>
      <c r="L850" s="10">
        <v>1.5</v>
      </c>
      <c r="M850" s="10">
        <v>37</v>
      </c>
      <c r="N850" s="10">
        <v>23</v>
      </c>
      <c r="O850" s="55" t="s">
        <v>910</v>
      </c>
      <c r="Q850" s="10">
        <v>600</v>
      </c>
      <c r="U850" s="10">
        <v>120</v>
      </c>
      <c r="Y850" s="79">
        <v>15</v>
      </c>
      <c r="Z850" s="10" t="s">
        <v>10</v>
      </c>
    </row>
    <row r="851" spans="1:28" ht="23.1" customHeight="1" x14ac:dyDescent="0.25">
      <c r="A851" s="53" t="s">
        <v>909</v>
      </c>
      <c r="B851" s="10" t="s">
        <v>110</v>
      </c>
      <c r="C851" s="10">
        <v>13</v>
      </c>
      <c r="D851" s="10" t="s">
        <v>654</v>
      </c>
      <c r="E851" s="41" t="s">
        <v>246</v>
      </c>
      <c r="F851" s="21" t="s">
        <v>246</v>
      </c>
      <c r="G851" s="21" t="str">
        <f>VLOOKUP(D851,[6]成飞半成品!$A:$B,2,0)</f>
        <v>外侧轴承盖</v>
      </c>
      <c r="H851" s="10" t="s">
        <v>154</v>
      </c>
      <c r="I851" s="10">
        <v>40</v>
      </c>
      <c r="J851" s="10" t="s">
        <v>1902</v>
      </c>
      <c r="K851" s="10">
        <v>3.5</v>
      </c>
      <c r="L851" s="10">
        <v>4</v>
      </c>
      <c r="M851" s="14">
        <v>9</v>
      </c>
      <c r="N851" s="14">
        <v>23</v>
      </c>
      <c r="O851" s="55" t="s">
        <v>247</v>
      </c>
      <c r="Q851" s="10">
        <v>230</v>
      </c>
      <c r="U851" s="10">
        <v>60</v>
      </c>
      <c r="W851" s="14"/>
      <c r="Y851" s="79">
        <v>15.3</v>
      </c>
      <c r="Z851" s="10" t="s">
        <v>10</v>
      </c>
    </row>
    <row r="852" spans="1:28" ht="23.1" customHeight="1" x14ac:dyDescent="0.25">
      <c r="A852" s="53" t="s">
        <v>909</v>
      </c>
      <c r="B852" s="10" t="s">
        <v>110</v>
      </c>
      <c r="C852" s="10">
        <v>9</v>
      </c>
      <c r="D852" s="10" t="s">
        <v>911</v>
      </c>
      <c r="E852" s="41" t="s">
        <v>912</v>
      </c>
      <c r="F852" s="21" t="s">
        <v>912</v>
      </c>
      <c r="G852" s="21" t="str">
        <f>VLOOKUP(D852,[6]成飞半成品!$A:$B,2,0)</f>
        <v>安装支座</v>
      </c>
      <c r="H852" s="10" t="s">
        <v>154</v>
      </c>
      <c r="I852" s="10">
        <v>5</v>
      </c>
      <c r="J852" s="10" t="s">
        <v>2060</v>
      </c>
      <c r="K852" s="10">
        <v>12</v>
      </c>
      <c r="L852" s="10">
        <v>22</v>
      </c>
      <c r="M852" s="14">
        <v>26</v>
      </c>
      <c r="N852" s="14">
        <v>26</v>
      </c>
      <c r="O852" s="55" t="s">
        <v>913</v>
      </c>
      <c r="Q852" s="10">
        <v>50</v>
      </c>
      <c r="U852" s="10">
        <v>60</v>
      </c>
      <c r="W852" s="14">
        <v>1</v>
      </c>
      <c r="Y852" s="79">
        <v>19.3</v>
      </c>
      <c r="Z852" s="10" t="s">
        <v>23</v>
      </c>
    </row>
    <row r="853" spans="1:28" ht="23.1" customHeight="1" x14ac:dyDescent="0.25">
      <c r="A853" s="53" t="s">
        <v>909</v>
      </c>
      <c r="B853" s="10" t="s">
        <v>110</v>
      </c>
      <c r="C853" s="10">
        <v>10</v>
      </c>
      <c r="D853" s="10" t="s">
        <v>517</v>
      </c>
      <c r="E853" s="41" t="s">
        <v>518</v>
      </c>
      <c r="F853" s="21" t="s">
        <v>518</v>
      </c>
      <c r="G853" s="21" t="str">
        <f>VLOOKUP(D853,[6]成飞半成品!$A:$B,2,0)</f>
        <v>带板</v>
      </c>
      <c r="H853" s="10" t="s">
        <v>300</v>
      </c>
      <c r="I853" s="10">
        <v>30</v>
      </c>
      <c r="J853" s="10" t="s">
        <v>2040</v>
      </c>
      <c r="K853" s="10">
        <v>2.2000000000000002</v>
      </c>
      <c r="L853" s="10">
        <v>2</v>
      </c>
      <c r="M853" s="14">
        <v>23</v>
      </c>
      <c r="N853" s="14">
        <v>37</v>
      </c>
      <c r="O853" s="55" t="s">
        <v>914</v>
      </c>
      <c r="Q853" s="10">
        <v>270</v>
      </c>
      <c r="U853" s="10">
        <v>90</v>
      </c>
      <c r="W853" s="14"/>
      <c r="Y853" s="79">
        <v>9</v>
      </c>
      <c r="Z853" s="10" t="s">
        <v>23</v>
      </c>
    </row>
    <row r="854" spans="1:28" ht="23.1" customHeight="1" x14ac:dyDescent="0.25">
      <c r="A854" s="53" t="s">
        <v>909</v>
      </c>
      <c r="B854" s="10" t="s">
        <v>110</v>
      </c>
      <c r="C854" s="10">
        <v>11</v>
      </c>
      <c r="D854" s="10" t="s">
        <v>2565</v>
      </c>
      <c r="E854" s="41" t="s">
        <v>691</v>
      </c>
      <c r="F854" s="21" t="s">
        <v>691</v>
      </c>
      <c r="G854" s="21" t="str">
        <f>VLOOKUP(D854,[6]成飞半成品!$A:$B,2,0)</f>
        <v>地板嵌入接头</v>
      </c>
      <c r="H854" s="10" t="s">
        <v>123</v>
      </c>
      <c r="I854" s="10">
        <v>30</v>
      </c>
      <c r="J854" s="10" t="s">
        <v>2085</v>
      </c>
      <c r="K854" s="10">
        <v>5</v>
      </c>
      <c r="L854" s="10">
        <v>2</v>
      </c>
      <c r="M854" s="14">
        <v>37</v>
      </c>
      <c r="N854" s="14">
        <v>37</v>
      </c>
      <c r="O854" s="55" t="s">
        <v>915</v>
      </c>
      <c r="Q854" s="10">
        <v>100</v>
      </c>
      <c r="U854" s="10">
        <v>60</v>
      </c>
      <c r="W854" s="14"/>
      <c r="Y854" s="79">
        <v>3.3</v>
      </c>
      <c r="Z854" s="10" t="s">
        <v>71</v>
      </c>
    </row>
    <row r="855" spans="1:28" ht="23.1" customHeight="1" x14ac:dyDescent="0.25">
      <c r="A855" s="53" t="s">
        <v>909</v>
      </c>
      <c r="B855" s="10" t="s">
        <v>110</v>
      </c>
      <c r="C855" s="10">
        <v>11</v>
      </c>
      <c r="D855" s="10" t="s">
        <v>2565</v>
      </c>
      <c r="E855" s="41" t="s">
        <v>691</v>
      </c>
      <c r="F855" s="21" t="s">
        <v>691</v>
      </c>
      <c r="G855" s="21" t="str">
        <f>VLOOKUP(D855,[6]成飞半成品!$A:$B,2,0)</f>
        <v>地板嵌入接头</v>
      </c>
      <c r="H855" s="10" t="s">
        <v>123</v>
      </c>
      <c r="I855" s="10">
        <v>35</v>
      </c>
      <c r="J855" s="10" t="s">
        <v>2086</v>
      </c>
      <c r="K855" s="10">
        <v>0</v>
      </c>
      <c r="L855" s="10">
        <v>0.7</v>
      </c>
      <c r="M855" s="14">
        <v>23</v>
      </c>
      <c r="N855" s="14"/>
      <c r="O855" s="55" t="s">
        <v>703</v>
      </c>
      <c r="Q855" s="10">
        <v>410</v>
      </c>
      <c r="U855" s="10">
        <v>90</v>
      </c>
      <c r="W855" s="14">
        <v>1</v>
      </c>
      <c r="Y855" s="79">
        <v>6.3</v>
      </c>
      <c r="Z855" s="10" t="s">
        <v>71</v>
      </c>
    </row>
    <row r="856" spans="1:28" ht="23.1" customHeight="1" x14ac:dyDescent="0.25">
      <c r="A856" s="53" t="s">
        <v>909</v>
      </c>
      <c r="B856" s="10" t="s">
        <v>110</v>
      </c>
      <c r="C856" s="10">
        <v>16</v>
      </c>
      <c r="D856" s="10" t="s">
        <v>892</v>
      </c>
      <c r="E856" s="41" t="s">
        <v>893</v>
      </c>
      <c r="F856" s="21" t="s">
        <v>893</v>
      </c>
      <c r="G856" s="21" t="str">
        <f>VLOOKUP(D856,[6]成飞半成品!$A:$B,2,0)</f>
        <v>连接接头</v>
      </c>
      <c r="H856" s="10" t="s">
        <v>102</v>
      </c>
      <c r="I856" s="10">
        <v>20</v>
      </c>
      <c r="J856" s="10" t="s">
        <v>2217</v>
      </c>
      <c r="K856" s="10">
        <v>22</v>
      </c>
      <c r="L856" s="10">
        <v>3</v>
      </c>
      <c r="M856" s="14">
        <v>26</v>
      </c>
      <c r="N856" s="14">
        <v>26</v>
      </c>
      <c r="O856" s="55" t="s">
        <v>596</v>
      </c>
      <c r="Q856" s="10">
        <v>25</v>
      </c>
      <c r="U856" s="10">
        <v>60</v>
      </c>
      <c r="W856" s="14"/>
      <c r="Y856" s="79">
        <v>1.3</v>
      </c>
      <c r="Z856" s="10" t="s">
        <v>71</v>
      </c>
    </row>
    <row r="857" spans="1:28" ht="23.1" customHeight="1" x14ac:dyDescent="0.25">
      <c r="A857" s="53" t="s">
        <v>909</v>
      </c>
      <c r="B857" s="10" t="s">
        <v>110</v>
      </c>
      <c r="C857" s="10">
        <v>17</v>
      </c>
      <c r="D857" s="10" t="s">
        <v>916</v>
      </c>
      <c r="E857" s="41" t="s">
        <v>917</v>
      </c>
      <c r="F857" s="21" t="s">
        <v>917</v>
      </c>
      <c r="G857" s="21" t="str">
        <f>VLOOKUP(D857,[6]成飞半成品!$A:$B,2,0)</f>
        <v>座子</v>
      </c>
      <c r="H857" s="10" t="s">
        <v>250</v>
      </c>
      <c r="I857" s="10">
        <v>10</v>
      </c>
      <c r="J857" s="10" t="s">
        <v>1916</v>
      </c>
      <c r="L857" s="10">
        <v>20</v>
      </c>
      <c r="M857" s="14">
        <v>9</v>
      </c>
      <c r="N857" s="14">
        <v>9</v>
      </c>
      <c r="O857" s="55" t="s">
        <v>247</v>
      </c>
      <c r="Q857" s="10">
        <v>30</v>
      </c>
      <c r="U857" s="10">
        <v>60</v>
      </c>
      <c r="W857" s="14">
        <v>1</v>
      </c>
      <c r="Y857" s="79">
        <v>11</v>
      </c>
      <c r="Z857" s="10" t="s">
        <v>14</v>
      </c>
    </row>
    <row r="858" spans="1:28" ht="23.1" customHeight="1" x14ac:dyDescent="0.25">
      <c r="A858" s="53" t="s">
        <v>909</v>
      </c>
      <c r="B858" s="10" t="s">
        <v>110</v>
      </c>
      <c r="C858" s="10">
        <v>17</v>
      </c>
      <c r="D858" s="10" t="s">
        <v>916</v>
      </c>
      <c r="E858" s="41" t="s">
        <v>917</v>
      </c>
      <c r="F858" s="21" t="s">
        <v>917</v>
      </c>
      <c r="G858" s="21" t="str">
        <f>VLOOKUP(D858,[6]成飞半成品!$A:$B,2,0)</f>
        <v>座子</v>
      </c>
      <c r="H858" s="10" t="s">
        <v>250</v>
      </c>
      <c r="I858" s="10">
        <v>15</v>
      </c>
      <c r="J858" s="10" t="s">
        <v>2088</v>
      </c>
      <c r="L858" s="10">
        <v>10</v>
      </c>
      <c r="M858" s="14">
        <v>26</v>
      </c>
      <c r="N858" s="14">
        <v>5</v>
      </c>
      <c r="O858" s="55" t="s">
        <v>247</v>
      </c>
      <c r="Q858" s="10">
        <v>45</v>
      </c>
      <c r="U858" s="10">
        <v>60</v>
      </c>
      <c r="W858" s="14">
        <v>1</v>
      </c>
      <c r="Y858" s="79">
        <v>8.5</v>
      </c>
      <c r="Z858" s="10" t="s">
        <v>14</v>
      </c>
    </row>
    <row r="859" spans="1:28" ht="23.1" customHeight="1" x14ac:dyDescent="0.25">
      <c r="A859" s="53" t="s">
        <v>909</v>
      </c>
      <c r="B859" s="10" t="s">
        <v>110</v>
      </c>
      <c r="C859" s="10">
        <v>18</v>
      </c>
      <c r="D859" s="10" t="s">
        <v>918</v>
      </c>
      <c r="E859" s="41" t="s">
        <v>919</v>
      </c>
      <c r="F859" s="21" t="s">
        <v>919</v>
      </c>
      <c r="G859" s="21" t="str">
        <f>VLOOKUP(D859,[6]成飞半成品!$A:$B,2,0)</f>
        <v>雷达罩锁支座</v>
      </c>
      <c r="H859" s="10" t="s">
        <v>323</v>
      </c>
      <c r="I859" s="10">
        <v>5</v>
      </c>
      <c r="J859" s="10" t="s">
        <v>1930</v>
      </c>
      <c r="K859" s="10">
        <v>5</v>
      </c>
      <c r="L859" s="10">
        <v>10</v>
      </c>
      <c r="M859" s="14">
        <v>19</v>
      </c>
      <c r="N859" s="14">
        <v>19</v>
      </c>
      <c r="O859" s="55" t="s">
        <v>778</v>
      </c>
      <c r="Q859" s="10">
        <v>40</v>
      </c>
      <c r="U859" s="10">
        <v>60</v>
      </c>
      <c r="W859" s="14">
        <v>1</v>
      </c>
      <c r="Y859" s="79">
        <v>7.7</v>
      </c>
      <c r="Z859" s="10" t="s">
        <v>14</v>
      </c>
    </row>
    <row r="860" spans="1:28" ht="23.1" customHeight="1" x14ac:dyDescent="0.25">
      <c r="A860" s="53" t="s">
        <v>909</v>
      </c>
      <c r="B860" s="10" t="s">
        <v>110</v>
      </c>
      <c r="C860" s="10">
        <v>18</v>
      </c>
      <c r="D860" s="10" t="s">
        <v>920</v>
      </c>
      <c r="E860" s="41" t="s">
        <v>919</v>
      </c>
      <c r="F860" s="21" t="s">
        <v>919</v>
      </c>
      <c r="G860" s="21" t="str">
        <f>VLOOKUP(D860,[6]成飞半成品!$A:$B,2,0)</f>
        <v>雷达罩锁支座</v>
      </c>
      <c r="H860" s="10" t="s">
        <v>323</v>
      </c>
      <c r="I860" s="10">
        <v>5</v>
      </c>
      <c r="J860" s="10" t="s">
        <v>1930</v>
      </c>
      <c r="K860" s="10">
        <v>5</v>
      </c>
      <c r="L860" s="10">
        <v>10</v>
      </c>
      <c r="M860" s="14">
        <v>19</v>
      </c>
      <c r="N860" s="14">
        <v>19</v>
      </c>
      <c r="O860" s="55" t="s">
        <v>860</v>
      </c>
      <c r="Q860" s="10">
        <v>40</v>
      </c>
      <c r="U860" s="10">
        <v>60</v>
      </c>
      <c r="W860" s="14">
        <v>1</v>
      </c>
      <c r="Y860" s="79">
        <v>7.7</v>
      </c>
      <c r="Z860" s="10" t="s">
        <v>14</v>
      </c>
    </row>
    <row r="861" spans="1:28" ht="23.1" customHeight="1" x14ac:dyDescent="0.25">
      <c r="A861" s="53" t="s">
        <v>909</v>
      </c>
      <c r="B861" s="10" t="s">
        <v>110</v>
      </c>
      <c r="C861" s="10">
        <v>18</v>
      </c>
      <c r="D861" s="10" t="s">
        <v>921</v>
      </c>
      <c r="E861" s="41" t="s">
        <v>919</v>
      </c>
      <c r="F861" s="21" t="s">
        <v>919</v>
      </c>
      <c r="G861" s="21" t="str">
        <f>VLOOKUP(D861,[6]成飞半成品!$A:$B,2,0)</f>
        <v>雷达罩锁支座</v>
      </c>
      <c r="H861" s="10" t="s">
        <v>323</v>
      </c>
      <c r="I861" s="10">
        <v>5</v>
      </c>
      <c r="J861" s="10" t="s">
        <v>1930</v>
      </c>
      <c r="K861" s="10">
        <v>1</v>
      </c>
      <c r="L861" s="10">
        <v>10</v>
      </c>
      <c r="M861" s="14">
        <v>19</v>
      </c>
      <c r="N861" s="14">
        <v>19</v>
      </c>
      <c r="O861" s="55" t="s">
        <v>780</v>
      </c>
      <c r="Q861" s="10">
        <v>40</v>
      </c>
      <c r="U861" s="10">
        <v>60</v>
      </c>
      <c r="W861" s="14">
        <v>1</v>
      </c>
      <c r="Y861" s="79">
        <v>7.7</v>
      </c>
      <c r="Z861" s="10" t="s">
        <v>14</v>
      </c>
    </row>
    <row r="862" spans="1:28" ht="23.1" customHeight="1" x14ac:dyDescent="0.25">
      <c r="A862" s="53" t="s">
        <v>909</v>
      </c>
      <c r="B862" s="10" t="s">
        <v>110</v>
      </c>
      <c r="C862" s="10">
        <v>56</v>
      </c>
      <c r="D862" s="10" t="s">
        <v>273</v>
      </c>
      <c r="E862" s="41" t="s">
        <v>274</v>
      </c>
      <c r="F862" s="21" t="s">
        <v>274</v>
      </c>
      <c r="G862" s="21" t="str">
        <f>VLOOKUP(D862,[6]成飞半成品!$A:$B,2,0)</f>
        <v>前起落架水平接头</v>
      </c>
      <c r="M862" s="14"/>
      <c r="N862" s="14"/>
      <c r="O862" s="55" t="s">
        <v>275</v>
      </c>
      <c r="W862" s="14"/>
      <c r="X862" s="14">
        <v>10</v>
      </c>
      <c r="Y862" s="79">
        <v>10</v>
      </c>
      <c r="Z862" s="10" t="s">
        <v>18</v>
      </c>
      <c r="AA862" s="14" t="s">
        <v>922</v>
      </c>
      <c r="AB862" s="14" t="s">
        <v>238</v>
      </c>
    </row>
    <row r="863" spans="1:28" ht="23.1" customHeight="1" x14ac:dyDescent="0.25">
      <c r="A863" s="53" t="s">
        <v>909</v>
      </c>
      <c r="B863" s="10" t="s">
        <v>110</v>
      </c>
      <c r="C863" s="10">
        <v>55</v>
      </c>
      <c r="D863" s="10" t="s">
        <v>923</v>
      </c>
      <c r="E863" s="41" t="s">
        <v>139</v>
      </c>
      <c r="F863" s="21" t="s">
        <v>139</v>
      </c>
      <c r="G863" s="21" t="str">
        <f>VLOOKUP(D863,[6]成飞半成品!$A:$B,2,0)</f>
        <v>支座</v>
      </c>
      <c r="H863" s="10" t="s">
        <v>250</v>
      </c>
      <c r="I863" s="10">
        <v>15</v>
      </c>
      <c r="J863" s="10" t="s">
        <v>1946</v>
      </c>
      <c r="K863" s="10">
        <v>22</v>
      </c>
      <c r="L863" s="10">
        <v>16</v>
      </c>
      <c r="M863" s="14">
        <v>5</v>
      </c>
      <c r="N863" s="14">
        <v>5</v>
      </c>
      <c r="O863" s="55" t="s">
        <v>131</v>
      </c>
      <c r="Q863" s="10">
        <v>45</v>
      </c>
      <c r="U863" s="10">
        <v>60</v>
      </c>
      <c r="W863" s="14"/>
      <c r="Y863" s="79">
        <v>12</v>
      </c>
      <c r="Z863" s="10" t="s">
        <v>18</v>
      </c>
    </row>
    <row r="864" spans="1:28" ht="23.1" customHeight="1" x14ac:dyDescent="0.25">
      <c r="A864" s="53" t="s">
        <v>909</v>
      </c>
      <c r="B864" s="10" t="s">
        <v>110</v>
      </c>
      <c r="C864" s="10">
        <v>55</v>
      </c>
      <c r="D864" s="10" t="s">
        <v>923</v>
      </c>
      <c r="E864" s="41" t="s">
        <v>139</v>
      </c>
      <c r="F864" s="21" t="s">
        <v>139</v>
      </c>
      <c r="G864" s="21" t="str">
        <f>VLOOKUP(D864,[6]成飞半成品!$A:$B,2,0)</f>
        <v>支座</v>
      </c>
      <c r="H864" s="10" t="s">
        <v>250</v>
      </c>
      <c r="I864" s="10">
        <v>20</v>
      </c>
      <c r="J864" s="10" t="s">
        <v>2089</v>
      </c>
      <c r="K864" s="10">
        <v>22</v>
      </c>
      <c r="L864" s="10">
        <v>22</v>
      </c>
      <c r="M864" s="14">
        <v>5</v>
      </c>
      <c r="N864" s="14">
        <v>5</v>
      </c>
      <c r="O864" s="55" t="s">
        <v>131</v>
      </c>
      <c r="Q864" s="10">
        <v>10</v>
      </c>
      <c r="W864" s="14"/>
      <c r="Y864" s="79">
        <v>3.7</v>
      </c>
      <c r="Z864" s="10" t="s">
        <v>18</v>
      </c>
    </row>
    <row r="865" spans="1:28" ht="23.1" customHeight="1" x14ac:dyDescent="0.25">
      <c r="A865" s="53" t="s">
        <v>909</v>
      </c>
      <c r="B865" s="10" t="s">
        <v>110</v>
      </c>
      <c r="C865" s="10">
        <v>57</v>
      </c>
      <c r="D865" s="10" t="s">
        <v>698</v>
      </c>
      <c r="E865" s="41" t="s">
        <v>699</v>
      </c>
      <c r="F865" s="21" t="e">
        <v>#N/A</v>
      </c>
      <c r="G865" s="21" t="e">
        <f>VLOOKUP(D865,[6]成飞半成品!$A:$B,2,0)</f>
        <v>#N/A</v>
      </c>
      <c r="H865" s="10" t="s">
        <v>123</v>
      </c>
      <c r="I865" s="10">
        <v>20</v>
      </c>
      <c r="J865" s="10" t="s">
        <v>2076</v>
      </c>
      <c r="K865" s="10">
        <v>3.5</v>
      </c>
      <c r="L865" s="10">
        <v>3.7</v>
      </c>
      <c r="M865" s="14">
        <v>9</v>
      </c>
      <c r="N865" s="14">
        <v>9</v>
      </c>
      <c r="O865" s="55" t="s">
        <v>509</v>
      </c>
      <c r="Q865" s="10">
        <v>210</v>
      </c>
      <c r="U865" s="10">
        <v>90</v>
      </c>
      <c r="W865" s="14"/>
      <c r="Y865" s="79">
        <v>13</v>
      </c>
      <c r="Z865" s="10" t="s">
        <v>0</v>
      </c>
    </row>
    <row r="866" spans="1:28" ht="23.1" customHeight="1" x14ac:dyDescent="0.25">
      <c r="A866" s="53" t="s">
        <v>909</v>
      </c>
      <c r="B866" s="10" t="s">
        <v>110</v>
      </c>
      <c r="C866" s="10">
        <v>58</v>
      </c>
      <c r="D866" s="10" t="s">
        <v>899</v>
      </c>
      <c r="E866" s="41" t="s">
        <v>409</v>
      </c>
      <c r="F866" s="21" t="s">
        <v>409</v>
      </c>
      <c r="G866" s="21" t="str">
        <f>VLOOKUP(D866,[6]成飞半成品!$A:$B,2,0)</f>
        <v>接头</v>
      </c>
      <c r="H866" s="10" t="s">
        <v>102</v>
      </c>
      <c r="I866" s="10">
        <v>30</v>
      </c>
      <c r="J866" s="10" t="s">
        <v>1992</v>
      </c>
      <c r="K866" s="10">
        <v>1</v>
      </c>
      <c r="L866" s="10">
        <v>1</v>
      </c>
      <c r="M866" s="14">
        <v>9</v>
      </c>
      <c r="N866" s="14">
        <v>23</v>
      </c>
      <c r="O866" s="55" t="s">
        <v>596</v>
      </c>
      <c r="Q866" s="10">
        <v>120</v>
      </c>
      <c r="U866" s="10">
        <v>60</v>
      </c>
      <c r="W866" s="14">
        <v>1</v>
      </c>
      <c r="Y866" s="79">
        <v>3</v>
      </c>
      <c r="Z866" s="10" t="s">
        <v>0</v>
      </c>
      <c r="AB866" s="25"/>
    </row>
    <row r="867" spans="1:28" ht="23.1" customHeight="1" x14ac:dyDescent="0.25">
      <c r="A867" s="53" t="s">
        <v>909</v>
      </c>
      <c r="B867" s="10" t="s">
        <v>110</v>
      </c>
      <c r="C867" s="10">
        <v>58</v>
      </c>
      <c r="D867" s="10" t="s">
        <v>899</v>
      </c>
      <c r="E867" s="41" t="s">
        <v>409</v>
      </c>
      <c r="F867" s="21" t="s">
        <v>409</v>
      </c>
      <c r="G867" s="21" t="str">
        <f>VLOOKUP(D867,[6]成飞半成品!$A:$B,2,0)</f>
        <v>接头</v>
      </c>
      <c r="H867" s="10" t="s">
        <v>102</v>
      </c>
      <c r="I867" s="10">
        <v>30</v>
      </c>
      <c r="J867" s="10" t="s">
        <v>1992</v>
      </c>
      <c r="K867" s="10">
        <v>1</v>
      </c>
      <c r="L867" s="10">
        <v>0.4</v>
      </c>
      <c r="M867" s="14">
        <v>9</v>
      </c>
      <c r="N867" s="14">
        <v>23</v>
      </c>
      <c r="O867" s="55" t="s">
        <v>596</v>
      </c>
      <c r="Q867" s="10">
        <v>120</v>
      </c>
      <c r="U867" s="10">
        <v>60</v>
      </c>
      <c r="W867" s="14">
        <v>1</v>
      </c>
      <c r="Y867" s="79">
        <v>1.8</v>
      </c>
      <c r="Z867" s="10" t="s">
        <v>0</v>
      </c>
      <c r="AB867" s="25"/>
    </row>
    <row r="868" spans="1:28" ht="23.1" customHeight="1" x14ac:dyDescent="0.25">
      <c r="A868" s="53" t="s">
        <v>909</v>
      </c>
      <c r="B868" s="10" t="s">
        <v>110</v>
      </c>
      <c r="C868" s="10">
        <v>59</v>
      </c>
      <c r="D868" s="10" t="s">
        <v>924</v>
      </c>
      <c r="E868" s="41" t="s">
        <v>409</v>
      </c>
      <c r="F868" s="21" t="s">
        <v>409</v>
      </c>
      <c r="G868" s="21" t="str">
        <f>VLOOKUP(D868,[6]成飞半成品!$A:$B,2,0)</f>
        <v>接头</v>
      </c>
      <c r="H868" s="10" t="s">
        <v>102</v>
      </c>
      <c r="I868" s="10">
        <v>10</v>
      </c>
      <c r="J868" s="10" t="s">
        <v>2090</v>
      </c>
      <c r="K868" s="10">
        <v>8</v>
      </c>
      <c r="L868" s="10">
        <v>8</v>
      </c>
      <c r="M868" s="14">
        <v>26</v>
      </c>
      <c r="N868" s="14">
        <v>9</v>
      </c>
      <c r="O868" s="55" t="s">
        <v>925</v>
      </c>
      <c r="Q868" s="10">
        <v>45</v>
      </c>
      <c r="U868" s="10">
        <v>60</v>
      </c>
      <c r="W868" s="14">
        <v>1</v>
      </c>
      <c r="X868" s="14">
        <v>2</v>
      </c>
      <c r="Y868" s="79">
        <v>9</v>
      </c>
      <c r="Z868" s="10" t="s">
        <v>6</v>
      </c>
      <c r="AA868" s="14" t="s">
        <v>926</v>
      </c>
      <c r="AB868" s="25" t="s">
        <v>238</v>
      </c>
    </row>
    <row r="869" spans="1:28" ht="23.1" customHeight="1" x14ac:dyDescent="0.25">
      <c r="A869" s="53" t="s">
        <v>909</v>
      </c>
      <c r="B869" s="10" t="s">
        <v>110</v>
      </c>
      <c r="C869" s="10">
        <v>59</v>
      </c>
      <c r="D869" s="10" t="s">
        <v>924</v>
      </c>
      <c r="E869" s="41" t="s">
        <v>409</v>
      </c>
      <c r="F869" s="21" t="s">
        <v>409</v>
      </c>
      <c r="G869" s="21" t="str">
        <f>VLOOKUP(D869,[6]成飞半成品!$A:$B,2,0)</f>
        <v>接头</v>
      </c>
      <c r="H869" s="10" t="s">
        <v>102</v>
      </c>
      <c r="I869" s="10">
        <v>15</v>
      </c>
      <c r="J869" s="10" t="s">
        <v>2091</v>
      </c>
      <c r="K869" s="10">
        <v>2</v>
      </c>
      <c r="L869" s="10">
        <v>5</v>
      </c>
      <c r="M869" s="14">
        <v>26</v>
      </c>
      <c r="N869" s="14">
        <v>26</v>
      </c>
      <c r="O869" s="55" t="s">
        <v>925</v>
      </c>
      <c r="Q869" s="10">
        <v>45</v>
      </c>
      <c r="U869" s="10">
        <v>60</v>
      </c>
      <c r="W869" s="14">
        <v>1</v>
      </c>
      <c r="X869" s="14">
        <v>2</v>
      </c>
      <c r="Y869" s="79">
        <v>6.8</v>
      </c>
      <c r="Z869" s="10" t="s">
        <v>6</v>
      </c>
      <c r="AA869" s="14" t="s">
        <v>926</v>
      </c>
      <c r="AB869" s="25" t="s">
        <v>238</v>
      </c>
    </row>
    <row r="870" spans="1:28" ht="23.1" customHeight="1" x14ac:dyDescent="0.25">
      <c r="A870" s="53" t="s">
        <v>909</v>
      </c>
      <c r="B870" s="10" t="s">
        <v>110</v>
      </c>
      <c r="C870" s="10">
        <v>77</v>
      </c>
      <c r="D870" s="10" t="s">
        <v>211</v>
      </c>
      <c r="E870" s="41" t="s">
        <v>212</v>
      </c>
      <c r="F870" s="21" t="s">
        <v>212</v>
      </c>
      <c r="G870" s="21" t="str">
        <f>VLOOKUP(D870,[6]成飞半成品!$A:$B,2,0)</f>
        <v>压板</v>
      </c>
      <c r="H870" s="10" t="s">
        <v>123</v>
      </c>
      <c r="I870" s="10">
        <v>30</v>
      </c>
      <c r="J870" s="10" t="s">
        <v>2081</v>
      </c>
      <c r="K870" s="10">
        <v>30</v>
      </c>
      <c r="L870" s="10">
        <v>20</v>
      </c>
      <c r="M870" s="14">
        <v>9</v>
      </c>
      <c r="N870" s="14">
        <v>19</v>
      </c>
      <c r="O870" s="55" t="s">
        <v>927</v>
      </c>
      <c r="Q870" s="10">
        <v>25</v>
      </c>
      <c r="U870" s="10">
        <v>60</v>
      </c>
      <c r="W870" s="14"/>
      <c r="Y870" s="79">
        <v>8.3000000000000007</v>
      </c>
      <c r="Z870" s="10" t="s">
        <v>12</v>
      </c>
    </row>
    <row r="871" spans="1:28" ht="23.1" customHeight="1" x14ac:dyDescent="0.25">
      <c r="A871" s="53" t="s">
        <v>909</v>
      </c>
      <c r="B871" s="10" t="s">
        <v>110</v>
      </c>
      <c r="C871" s="10">
        <v>78</v>
      </c>
      <c r="D871" s="10" t="s">
        <v>821</v>
      </c>
      <c r="E871" s="41" t="s">
        <v>822</v>
      </c>
      <c r="F871" s="21" t="s">
        <v>822</v>
      </c>
      <c r="G871" s="21" t="str">
        <f>VLOOKUP(D871,[6]成飞半成品!$A:$B,2,0)</f>
        <v>1#竖梁</v>
      </c>
      <c r="H871" s="10" t="s">
        <v>123</v>
      </c>
      <c r="I871" s="10">
        <v>30</v>
      </c>
      <c r="J871" s="10" t="s">
        <v>2092</v>
      </c>
      <c r="K871" s="10">
        <v>2</v>
      </c>
      <c r="L871" s="10">
        <v>2</v>
      </c>
      <c r="M871" s="14">
        <v>26</v>
      </c>
      <c r="N871" s="14">
        <v>26</v>
      </c>
      <c r="O871" s="55" t="s">
        <v>393</v>
      </c>
      <c r="Q871" s="10">
        <v>180</v>
      </c>
      <c r="R871" s="10">
        <v>60</v>
      </c>
      <c r="T871" s="10">
        <v>2</v>
      </c>
      <c r="U871" s="10">
        <v>90</v>
      </c>
      <c r="W871" s="14">
        <v>1</v>
      </c>
      <c r="Y871" s="79">
        <v>9.5</v>
      </c>
      <c r="Z871" s="10" t="s">
        <v>5</v>
      </c>
    </row>
    <row r="872" spans="1:28" ht="23.1" customHeight="1" x14ac:dyDescent="0.25">
      <c r="A872" s="53" t="s">
        <v>909</v>
      </c>
      <c r="B872" s="10" t="s">
        <v>110</v>
      </c>
      <c r="C872" s="10">
        <v>78</v>
      </c>
      <c r="D872" s="10" t="s">
        <v>854</v>
      </c>
      <c r="E872" s="41" t="s">
        <v>822</v>
      </c>
      <c r="F872" s="21" t="s">
        <v>822</v>
      </c>
      <c r="G872" s="21" t="str">
        <f>VLOOKUP(D872,[6]成飞半成品!$A:$B,2,0)</f>
        <v>1#竖梁</v>
      </c>
      <c r="H872" s="10" t="s">
        <v>123</v>
      </c>
      <c r="I872" s="10">
        <v>30</v>
      </c>
      <c r="J872" s="10" t="s">
        <v>2092</v>
      </c>
      <c r="K872" s="10">
        <v>0.5</v>
      </c>
      <c r="L872" s="10">
        <v>2</v>
      </c>
      <c r="M872" s="14">
        <v>37</v>
      </c>
      <c r="N872" s="14">
        <v>23</v>
      </c>
      <c r="O872" s="55" t="s">
        <v>661</v>
      </c>
      <c r="Q872" s="10">
        <v>180</v>
      </c>
      <c r="R872" s="10">
        <v>60</v>
      </c>
      <c r="T872" s="10">
        <v>2</v>
      </c>
      <c r="U872" s="10">
        <v>90</v>
      </c>
      <c r="W872" s="14">
        <v>1</v>
      </c>
      <c r="X872" s="10">
        <v>2</v>
      </c>
      <c r="Y872" s="79">
        <v>11.5</v>
      </c>
      <c r="Z872" s="10" t="s">
        <v>5</v>
      </c>
      <c r="AA872" s="14" t="s">
        <v>926</v>
      </c>
      <c r="AB872" s="25" t="s">
        <v>238</v>
      </c>
    </row>
    <row r="873" spans="1:28" ht="23.1" customHeight="1" x14ac:dyDescent="0.25">
      <c r="A873" s="53" t="s">
        <v>909</v>
      </c>
      <c r="B873" s="10" t="s">
        <v>110</v>
      </c>
      <c r="C873" s="10">
        <v>79</v>
      </c>
      <c r="D873" s="10" t="s">
        <v>152</v>
      </c>
      <c r="E873" s="41" t="s">
        <v>153</v>
      </c>
      <c r="F873" s="21" t="s">
        <v>1247</v>
      </c>
      <c r="G873" s="21" t="str">
        <f>VLOOKUP(D873,[6]成飞半成品!$A:$B,2,0)</f>
        <v>根肋前段</v>
      </c>
      <c r="H873" s="10" t="s">
        <v>154</v>
      </c>
      <c r="I873" s="10">
        <v>25</v>
      </c>
      <c r="J873" s="10" t="s">
        <v>2017</v>
      </c>
      <c r="K873" s="10">
        <v>0.7</v>
      </c>
      <c r="L873" s="10">
        <v>0.7</v>
      </c>
      <c r="M873" s="14">
        <v>23</v>
      </c>
      <c r="N873" s="14"/>
      <c r="O873" s="55" t="s">
        <v>421</v>
      </c>
      <c r="Q873" s="10">
        <v>1260</v>
      </c>
      <c r="R873" s="10">
        <v>90</v>
      </c>
      <c r="U873" s="10">
        <v>120</v>
      </c>
      <c r="W873" s="14"/>
      <c r="Y873" s="79">
        <v>14.7</v>
      </c>
      <c r="Z873" s="10" t="s">
        <v>5</v>
      </c>
    </row>
    <row r="874" spans="1:28" ht="23.1" customHeight="1" x14ac:dyDescent="0.25">
      <c r="A874" s="53" t="s">
        <v>909</v>
      </c>
      <c r="B874" s="10" t="s">
        <v>110</v>
      </c>
      <c r="C874" s="10">
        <v>107</v>
      </c>
      <c r="D874" s="10" t="s">
        <v>173</v>
      </c>
      <c r="E874" s="41" t="s">
        <v>174</v>
      </c>
      <c r="F874" s="21" t="s">
        <v>1246</v>
      </c>
      <c r="G874" s="21" t="str">
        <f>VLOOKUP(D874,[6]成飞半成品!$A:$B,2,0)</f>
        <v>根肋后段</v>
      </c>
      <c r="H874" s="10" t="s">
        <v>154</v>
      </c>
      <c r="I874" s="10">
        <v>40</v>
      </c>
      <c r="J874" s="10" t="s">
        <v>2093</v>
      </c>
      <c r="K874" s="10">
        <v>1</v>
      </c>
      <c r="L874" s="10">
        <v>3</v>
      </c>
      <c r="M874" s="14">
        <v>26</v>
      </c>
      <c r="N874" s="14">
        <v>26</v>
      </c>
      <c r="O874" s="55" t="s">
        <v>928</v>
      </c>
      <c r="Q874" s="10">
        <v>240</v>
      </c>
      <c r="R874" s="10">
        <v>90</v>
      </c>
      <c r="T874" s="10">
        <v>3</v>
      </c>
      <c r="U874" s="10">
        <v>120</v>
      </c>
      <c r="W874" s="14">
        <v>1</v>
      </c>
      <c r="X874" s="10">
        <v>2</v>
      </c>
      <c r="Y874" s="79">
        <v>20.5</v>
      </c>
      <c r="Z874" s="10" t="s">
        <v>13</v>
      </c>
      <c r="AA874" s="14" t="s">
        <v>929</v>
      </c>
      <c r="AB874" s="25" t="s">
        <v>238</v>
      </c>
    </row>
    <row r="875" spans="1:28" ht="23.1" customHeight="1" x14ac:dyDescent="0.25">
      <c r="A875" s="53" t="s">
        <v>909</v>
      </c>
      <c r="B875" s="10" t="s">
        <v>110</v>
      </c>
      <c r="C875" s="10">
        <v>108</v>
      </c>
      <c r="D875" s="10" t="s">
        <v>886</v>
      </c>
      <c r="E875" s="41" t="s">
        <v>887</v>
      </c>
      <c r="F875" s="21" t="s">
        <v>887</v>
      </c>
      <c r="G875" s="21" t="str">
        <f>VLOOKUP(D875,[6]成飞半成品!$A:$B,2,0)</f>
        <v>外侧梁</v>
      </c>
      <c r="H875" s="10" t="s">
        <v>154</v>
      </c>
      <c r="I875" s="10">
        <v>10</v>
      </c>
      <c r="J875" s="10" t="s">
        <v>2315</v>
      </c>
      <c r="K875" s="10">
        <v>1</v>
      </c>
      <c r="L875" s="10">
        <v>1</v>
      </c>
      <c r="M875" s="14">
        <v>23</v>
      </c>
      <c r="N875" s="14"/>
      <c r="O875" s="55" t="s">
        <v>930</v>
      </c>
      <c r="Q875" s="10">
        <v>720</v>
      </c>
      <c r="R875" s="10">
        <v>60</v>
      </c>
      <c r="T875" s="10">
        <v>1</v>
      </c>
      <c r="U875" s="10">
        <v>90</v>
      </c>
      <c r="W875" s="14"/>
      <c r="Y875" s="79">
        <v>13</v>
      </c>
      <c r="Z875" s="10" t="s">
        <v>13</v>
      </c>
    </row>
    <row r="876" spans="1:28" ht="23.1" customHeight="1" x14ac:dyDescent="0.25">
      <c r="A876" s="53" t="s">
        <v>909</v>
      </c>
      <c r="B876" s="10" t="s">
        <v>110</v>
      </c>
      <c r="C876" s="10">
        <v>108</v>
      </c>
      <c r="D876" s="10" t="s">
        <v>889</v>
      </c>
      <c r="E876" s="41" t="s">
        <v>887</v>
      </c>
      <c r="F876" s="21" t="s">
        <v>887</v>
      </c>
      <c r="G876" s="21" t="str">
        <f>VLOOKUP(D876,[6]成飞半成品!$A:$B,2,0)</f>
        <v>外侧梁</v>
      </c>
      <c r="H876" s="10" t="s">
        <v>154</v>
      </c>
      <c r="I876" s="10">
        <v>10</v>
      </c>
      <c r="J876" s="10" t="s">
        <v>1916</v>
      </c>
      <c r="K876" s="10">
        <v>1</v>
      </c>
      <c r="L876" s="10">
        <v>1</v>
      </c>
      <c r="M876" s="14">
        <v>26</v>
      </c>
      <c r="N876" s="14"/>
      <c r="O876" s="55" t="s">
        <v>930</v>
      </c>
      <c r="Q876" s="10">
        <v>720</v>
      </c>
      <c r="R876" s="10">
        <v>60</v>
      </c>
      <c r="T876" s="10">
        <v>1</v>
      </c>
      <c r="U876" s="10">
        <v>90</v>
      </c>
      <c r="W876" s="14"/>
      <c r="Y876" s="79">
        <v>13</v>
      </c>
      <c r="Z876" s="10" t="s">
        <v>13</v>
      </c>
    </row>
    <row r="877" spans="1:28" ht="23.1" customHeight="1" x14ac:dyDescent="0.25">
      <c r="A877" s="53" t="s">
        <v>909</v>
      </c>
      <c r="B877" s="10" t="s">
        <v>110</v>
      </c>
      <c r="C877" s="10">
        <v>91</v>
      </c>
      <c r="D877" s="10" t="s">
        <v>931</v>
      </c>
      <c r="E877" s="41" t="s">
        <v>932</v>
      </c>
      <c r="F877" s="21" t="s">
        <v>932</v>
      </c>
      <c r="G877" s="21" t="str">
        <f>VLOOKUP(D877,[6]成飞半成品!$A:$B,2,0)</f>
        <v>中推力销支座接头</v>
      </c>
      <c r="H877" s="10" t="s">
        <v>154</v>
      </c>
      <c r="I877" s="10">
        <v>60</v>
      </c>
      <c r="J877" s="10" t="s">
        <v>2095</v>
      </c>
      <c r="K877" s="10">
        <v>0.5</v>
      </c>
      <c r="L877" s="10">
        <v>0.5</v>
      </c>
      <c r="M877" s="14">
        <v>23</v>
      </c>
      <c r="N877" s="14"/>
      <c r="O877" s="55" t="s">
        <v>930</v>
      </c>
      <c r="Q877" s="10">
        <v>1000</v>
      </c>
      <c r="T877" s="10">
        <v>1</v>
      </c>
      <c r="U877" s="10">
        <v>90</v>
      </c>
      <c r="W877" s="14">
        <v>1</v>
      </c>
      <c r="X877" s="10">
        <v>3</v>
      </c>
      <c r="Y877" s="79">
        <v>12.8</v>
      </c>
      <c r="Z877" s="10" t="s">
        <v>68</v>
      </c>
      <c r="AA877" s="14" t="s">
        <v>933</v>
      </c>
    </row>
    <row r="878" spans="1:28" ht="23.1" customHeight="1" x14ac:dyDescent="0.25">
      <c r="A878" s="53" t="s">
        <v>909</v>
      </c>
      <c r="B878" s="10" t="s">
        <v>110</v>
      </c>
      <c r="C878" s="10">
        <v>84</v>
      </c>
      <c r="D878" s="47" t="s">
        <v>423</v>
      </c>
      <c r="E878" s="41" t="s">
        <v>424</v>
      </c>
      <c r="F878" s="21" t="s">
        <v>424</v>
      </c>
      <c r="G878" s="21" t="str">
        <f>VLOOKUP(D878,[6]成飞半成品!$A:$B,2,0)</f>
        <v>后梁四段</v>
      </c>
      <c r="H878" s="10" t="s">
        <v>107</v>
      </c>
      <c r="I878" s="10">
        <v>38</v>
      </c>
      <c r="K878" s="10">
        <v>3</v>
      </c>
      <c r="L878" s="10">
        <v>3</v>
      </c>
      <c r="M878" s="14">
        <v>5</v>
      </c>
      <c r="N878" s="14">
        <v>5</v>
      </c>
      <c r="O878" s="55" t="s">
        <v>934</v>
      </c>
      <c r="P878" s="10">
        <v>90</v>
      </c>
      <c r="S878" s="10">
        <v>30</v>
      </c>
      <c r="T878" s="10">
        <v>3</v>
      </c>
      <c r="V878" s="10">
        <v>120</v>
      </c>
      <c r="W878" s="14">
        <v>1</v>
      </c>
      <c r="Y878" s="83">
        <v>8</v>
      </c>
      <c r="Z878" s="10" t="s">
        <v>68</v>
      </c>
    </row>
    <row r="879" spans="1:28" ht="23.1" customHeight="1" x14ac:dyDescent="0.25">
      <c r="A879" s="53" t="s">
        <v>909</v>
      </c>
      <c r="B879" s="10" t="s">
        <v>110</v>
      </c>
      <c r="C879" s="10">
        <v>84</v>
      </c>
      <c r="D879" s="10" t="s">
        <v>423</v>
      </c>
      <c r="E879" s="41" t="s">
        <v>424</v>
      </c>
      <c r="F879" s="21" t="s">
        <v>424</v>
      </c>
      <c r="G879" s="21" t="str">
        <f>VLOOKUP(D879,[6]成飞半成品!$A:$B,2,0)</f>
        <v>后梁四段</v>
      </c>
      <c r="H879" s="10" t="s">
        <v>107</v>
      </c>
      <c r="I879" s="10">
        <v>40</v>
      </c>
      <c r="J879" s="10" t="s">
        <v>2096</v>
      </c>
      <c r="K879" s="10">
        <v>3</v>
      </c>
      <c r="L879" s="10">
        <v>3</v>
      </c>
      <c r="M879" s="14">
        <v>5</v>
      </c>
      <c r="N879" s="14">
        <v>5</v>
      </c>
      <c r="O879" s="55" t="s">
        <v>935</v>
      </c>
      <c r="Q879" s="10">
        <v>360</v>
      </c>
      <c r="R879" s="10">
        <v>30</v>
      </c>
      <c r="T879" s="10">
        <v>3</v>
      </c>
      <c r="U879" s="10">
        <v>120</v>
      </c>
      <c r="W879" s="14"/>
      <c r="Y879" s="79">
        <v>19.5</v>
      </c>
      <c r="Z879" s="10" t="s">
        <v>68</v>
      </c>
    </row>
    <row r="880" spans="1:28" ht="23.1" customHeight="1" x14ac:dyDescent="0.25">
      <c r="A880" s="53" t="s">
        <v>909</v>
      </c>
      <c r="B880" s="10" t="s">
        <v>110</v>
      </c>
      <c r="C880" s="10">
        <v>121</v>
      </c>
      <c r="D880" s="31" t="s">
        <v>2566</v>
      </c>
      <c r="E880" s="41" t="s">
        <v>605</v>
      </c>
      <c r="F880" s="21" t="s">
        <v>605</v>
      </c>
      <c r="G880" s="21" t="str">
        <f>VLOOKUP(D880,[6]成飞半成品!$A:$B,2,0)</f>
        <v>固定前缘边肋</v>
      </c>
      <c r="H880" s="10" t="s">
        <v>107</v>
      </c>
      <c r="I880" s="10">
        <v>55</v>
      </c>
      <c r="J880" s="10" t="s">
        <v>2097</v>
      </c>
      <c r="K880" s="10">
        <v>3</v>
      </c>
      <c r="L880" s="10">
        <v>0.7</v>
      </c>
      <c r="M880" s="14">
        <v>5</v>
      </c>
      <c r="N880" s="14"/>
      <c r="O880" s="55" t="s">
        <v>545</v>
      </c>
      <c r="Q880" s="10">
        <v>1040</v>
      </c>
      <c r="R880" s="10">
        <v>60</v>
      </c>
      <c r="T880" s="10">
        <v>1</v>
      </c>
      <c r="U880" s="10">
        <v>120</v>
      </c>
      <c r="W880" s="14">
        <v>1</v>
      </c>
      <c r="X880" s="10">
        <v>2</v>
      </c>
      <c r="Y880" s="79">
        <v>17.100000000000001</v>
      </c>
      <c r="Z880" s="10" t="s">
        <v>68</v>
      </c>
      <c r="AA880" s="14" t="s">
        <v>936</v>
      </c>
    </row>
    <row r="881" spans="1:28" ht="23.1" customHeight="1" x14ac:dyDescent="0.25">
      <c r="A881" s="53" t="s">
        <v>909</v>
      </c>
      <c r="B881" s="10" t="s">
        <v>110</v>
      </c>
      <c r="C881" s="10">
        <v>119</v>
      </c>
      <c r="D881" s="65" t="s">
        <v>2551</v>
      </c>
      <c r="E881" s="41" t="s">
        <v>938</v>
      </c>
      <c r="F881" s="21" t="s">
        <v>938</v>
      </c>
      <c r="G881" s="21" t="str">
        <f>VLOOKUP(D881,[6]成飞半成品!$A:$B,2,0)</f>
        <v>工装</v>
      </c>
      <c r="H881" s="47" t="s">
        <v>939</v>
      </c>
      <c r="I881" s="10">
        <v>55</v>
      </c>
      <c r="J881" s="10" t="s">
        <v>2004</v>
      </c>
      <c r="K881" s="10">
        <v>0.3</v>
      </c>
      <c r="L881" s="10">
        <v>0.8</v>
      </c>
      <c r="M881" s="14">
        <v>23</v>
      </c>
      <c r="N881" s="14"/>
      <c r="O881" s="55" t="s">
        <v>940</v>
      </c>
      <c r="Q881" s="10">
        <v>600</v>
      </c>
      <c r="R881" s="10">
        <v>60</v>
      </c>
      <c r="T881" s="10">
        <v>1</v>
      </c>
      <c r="U881" s="10">
        <v>90</v>
      </c>
      <c r="W881" s="14">
        <v>1</v>
      </c>
      <c r="X881" s="10">
        <v>2</v>
      </c>
      <c r="Y881" s="79">
        <v>12.5</v>
      </c>
      <c r="Z881" s="10" t="s">
        <v>68</v>
      </c>
      <c r="AA881" s="14" t="s">
        <v>941</v>
      </c>
    </row>
    <row r="882" spans="1:28" ht="23.1" customHeight="1" x14ac:dyDescent="0.25">
      <c r="A882" s="53" t="s">
        <v>909</v>
      </c>
      <c r="B882" s="10" t="s">
        <v>110</v>
      </c>
      <c r="C882" s="10">
        <v>24</v>
      </c>
      <c r="D882" s="10" t="s">
        <v>776</v>
      </c>
      <c r="E882" s="41" t="s">
        <v>777</v>
      </c>
      <c r="F882" s="21" t="s">
        <v>777</v>
      </c>
      <c r="G882" s="21" t="str">
        <f>VLOOKUP(D882,[6]成飞半成品!$A:$B,2,0)</f>
        <v>BL280侧壁（左件）</v>
      </c>
      <c r="H882" s="10" t="s">
        <v>107</v>
      </c>
      <c r="I882" s="10">
        <v>30</v>
      </c>
      <c r="J882" s="10" t="s">
        <v>2061</v>
      </c>
      <c r="K882" s="10">
        <v>0.6</v>
      </c>
      <c r="L882" s="10">
        <v>0.6</v>
      </c>
      <c r="M882" s="14">
        <v>5</v>
      </c>
      <c r="N882" s="14"/>
      <c r="O882" s="55" t="s">
        <v>778</v>
      </c>
      <c r="Q882" s="10">
        <v>1700</v>
      </c>
      <c r="R882" s="10">
        <v>120</v>
      </c>
      <c r="U882" s="10">
        <v>210</v>
      </c>
      <c r="W882" s="14"/>
      <c r="Y882" s="79">
        <v>17</v>
      </c>
      <c r="Z882" s="10" t="s">
        <v>68</v>
      </c>
    </row>
    <row r="883" spans="1:28" ht="23.1" customHeight="1" x14ac:dyDescent="0.25">
      <c r="A883" s="53" t="s">
        <v>909</v>
      </c>
      <c r="B883" s="10" t="s">
        <v>110</v>
      </c>
      <c r="C883" s="10">
        <v>69</v>
      </c>
      <c r="D883" s="10" t="s">
        <v>787</v>
      </c>
      <c r="E883" s="41" t="s">
        <v>788</v>
      </c>
      <c r="F883" s="21" t="s">
        <v>788</v>
      </c>
      <c r="G883" s="21" t="str">
        <f>VLOOKUP(D883,[6]成飞半成品!$A:$B,2,0)</f>
        <v>根肋二段</v>
      </c>
      <c r="H883" s="10" t="s">
        <v>123</v>
      </c>
      <c r="I883" s="10">
        <v>50</v>
      </c>
      <c r="J883" s="10" t="s">
        <v>2051</v>
      </c>
      <c r="K883" s="10">
        <v>3</v>
      </c>
      <c r="L883" s="10">
        <v>8</v>
      </c>
      <c r="M883" s="14">
        <v>37</v>
      </c>
      <c r="N883" s="14">
        <v>28</v>
      </c>
      <c r="O883" s="55" t="s">
        <v>942</v>
      </c>
      <c r="Q883" s="10">
        <v>120</v>
      </c>
      <c r="R883" s="10">
        <v>60</v>
      </c>
      <c r="T883" s="10">
        <v>8</v>
      </c>
      <c r="U883" s="10">
        <v>90</v>
      </c>
      <c r="W883" s="14">
        <v>1</v>
      </c>
      <c r="X883" s="10">
        <v>5</v>
      </c>
      <c r="Y883" s="79">
        <v>30.5</v>
      </c>
      <c r="Z883" s="10" t="s">
        <v>68</v>
      </c>
      <c r="AA883" s="14" t="s">
        <v>943</v>
      </c>
    </row>
    <row r="884" spans="1:28" ht="23.1" customHeight="1" x14ac:dyDescent="0.25">
      <c r="A884" s="53" t="s">
        <v>909</v>
      </c>
      <c r="B884" s="10" t="s">
        <v>110</v>
      </c>
      <c r="C884" s="10">
        <v>9</v>
      </c>
      <c r="D884" s="10" t="s">
        <v>229</v>
      </c>
      <c r="E884" s="41" t="s">
        <v>230</v>
      </c>
      <c r="F884" s="21" t="s">
        <v>230</v>
      </c>
      <c r="G884" s="21" t="str">
        <f>VLOOKUP(D884,[6]成飞半成品!$A:$B,2,0)</f>
        <v>前起落架舱门结构支撑梁</v>
      </c>
      <c r="H884" s="10" t="s">
        <v>154</v>
      </c>
      <c r="I884" s="10">
        <v>10</v>
      </c>
      <c r="J884" s="10" t="s">
        <v>2023</v>
      </c>
      <c r="K884" s="10">
        <v>13</v>
      </c>
      <c r="L884" s="10">
        <v>13</v>
      </c>
      <c r="M884" s="14">
        <v>5</v>
      </c>
      <c r="N884" s="14">
        <v>5</v>
      </c>
      <c r="O884" s="55" t="s">
        <v>944</v>
      </c>
      <c r="Q884" s="10">
        <v>45</v>
      </c>
      <c r="U884" s="10">
        <v>60</v>
      </c>
      <c r="W884" s="14">
        <v>1</v>
      </c>
      <c r="X884" s="14">
        <v>2</v>
      </c>
      <c r="Y884" s="79">
        <v>12.8</v>
      </c>
      <c r="Z884" s="10" t="s">
        <v>30</v>
      </c>
      <c r="AA884" s="14" t="s">
        <v>926</v>
      </c>
      <c r="AB884" s="25" t="s">
        <v>238</v>
      </c>
    </row>
    <row r="885" spans="1:28" ht="23.1" customHeight="1" x14ac:dyDescent="0.25">
      <c r="A885" s="53" t="s">
        <v>909</v>
      </c>
      <c r="B885" s="10" t="s">
        <v>137</v>
      </c>
      <c r="C885" s="10">
        <v>18</v>
      </c>
      <c r="D885" s="10" t="s">
        <v>911</v>
      </c>
      <c r="E885" s="41" t="s">
        <v>912</v>
      </c>
      <c r="F885" s="21" t="s">
        <v>912</v>
      </c>
      <c r="G885" s="21" t="str">
        <f>VLOOKUP(D885,[6]成飞半成品!$A:$B,2,0)</f>
        <v>安装支座</v>
      </c>
      <c r="H885" s="10" t="s">
        <v>154</v>
      </c>
      <c r="I885" s="10">
        <v>10</v>
      </c>
      <c r="J885" s="10" t="s">
        <v>2098</v>
      </c>
      <c r="L885" s="10">
        <v>9</v>
      </c>
      <c r="M885" s="14">
        <v>5</v>
      </c>
      <c r="N885" s="14">
        <v>5</v>
      </c>
      <c r="O885" s="55" t="s">
        <v>216</v>
      </c>
      <c r="Q885" s="10">
        <v>55</v>
      </c>
      <c r="U885" s="10">
        <v>60</v>
      </c>
      <c r="W885" s="14"/>
      <c r="X885" s="14">
        <v>3</v>
      </c>
      <c r="Y885" s="79">
        <v>11.3</v>
      </c>
      <c r="Z885" s="10" t="s">
        <v>30</v>
      </c>
      <c r="AA885" s="14" t="s">
        <v>945</v>
      </c>
      <c r="AB885" s="25" t="s">
        <v>238</v>
      </c>
    </row>
    <row r="886" spans="1:28" ht="23.1" customHeight="1" x14ac:dyDescent="0.25">
      <c r="A886" s="53" t="s">
        <v>909</v>
      </c>
      <c r="B886" s="10" t="s">
        <v>137</v>
      </c>
      <c r="C886" s="10">
        <v>10</v>
      </c>
      <c r="D886" s="10" t="s">
        <v>946</v>
      </c>
      <c r="E886" s="41" t="s">
        <v>947</v>
      </c>
      <c r="F886" s="21" t="s">
        <v>947</v>
      </c>
      <c r="G886" s="21" t="str">
        <f>VLOOKUP(D886,[6]成飞半成品!$A:$B,2,0)</f>
        <v>5755横框</v>
      </c>
      <c r="H886" s="10" t="s">
        <v>300</v>
      </c>
      <c r="I886" s="10">
        <v>5</v>
      </c>
      <c r="J886" s="10" t="s">
        <v>1930</v>
      </c>
      <c r="K886" s="10">
        <v>7</v>
      </c>
      <c r="L886" s="10">
        <v>10</v>
      </c>
      <c r="M886" s="14">
        <v>5</v>
      </c>
      <c r="N886" s="14">
        <v>5</v>
      </c>
      <c r="O886" s="55" t="s">
        <v>948</v>
      </c>
      <c r="Q886" s="10">
        <v>90</v>
      </c>
      <c r="U886" s="10">
        <v>60</v>
      </c>
      <c r="W886" s="14">
        <v>1</v>
      </c>
      <c r="X886" s="14">
        <v>2</v>
      </c>
      <c r="Y886" s="79">
        <v>18</v>
      </c>
      <c r="Z886" s="10" t="s">
        <v>30</v>
      </c>
      <c r="AA886" s="14" t="s">
        <v>949</v>
      </c>
      <c r="AB886" s="25" t="s">
        <v>238</v>
      </c>
    </row>
    <row r="887" spans="1:28" ht="23.1" customHeight="1" x14ac:dyDescent="0.25">
      <c r="A887" s="53" t="s">
        <v>909</v>
      </c>
      <c r="B887" s="10" t="s">
        <v>113</v>
      </c>
      <c r="C887" s="10">
        <v>58</v>
      </c>
      <c r="D887" s="10" t="s">
        <v>946</v>
      </c>
      <c r="E887" s="41" t="s">
        <v>947</v>
      </c>
      <c r="F887" s="21" t="s">
        <v>947</v>
      </c>
      <c r="G887" s="21" t="str">
        <f>VLOOKUP(D887,[6]成飞半成品!$A:$B,2,0)</f>
        <v>5755横框</v>
      </c>
      <c r="H887" s="10" t="s">
        <v>300</v>
      </c>
      <c r="I887" s="10">
        <v>10</v>
      </c>
      <c r="J887" s="10" t="s">
        <v>1949</v>
      </c>
      <c r="L887" s="10">
        <v>10</v>
      </c>
      <c r="M887" s="14">
        <v>5</v>
      </c>
      <c r="N887" s="14">
        <v>5</v>
      </c>
      <c r="O887" s="55" t="s">
        <v>948</v>
      </c>
      <c r="Q887" s="10">
        <v>60</v>
      </c>
      <c r="U887" s="10">
        <v>60</v>
      </c>
      <c r="W887" s="14">
        <v>1</v>
      </c>
      <c r="X887" s="14">
        <v>2</v>
      </c>
      <c r="Y887" s="79">
        <v>13</v>
      </c>
      <c r="Z887" s="10" t="s">
        <v>30</v>
      </c>
      <c r="AA887" s="14" t="s">
        <v>926</v>
      </c>
      <c r="AB887" s="25" t="s">
        <v>238</v>
      </c>
    </row>
    <row r="888" spans="1:28" ht="23.1" customHeight="1" x14ac:dyDescent="0.25">
      <c r="A888" s="53" t="s">
        <v>909</v>
      </c>
      <c r="B888" s="10" t="s">
        <v>137</v>
      </c>
      <c r="C888" s="10">
        <v>59</v>
      </c>
      <c r="D888" s="10" t="s">
        <v>924</v>
      </c>
      <c r="E888" s="41" t="s">
        <v>409</v>
      </c>
      <c r="F888" s="21" t="s">
        <v>409</v>
      </c>
      <c r="G888" s="21" t="str">
        <f>VLOOKUP(D888,[6]成飞半成品!$A:$B,2,0)</f>
        <v>接头</v>
      </c>
      <c r="H888" s="10" t="s">
        <v>102</v>
      </c>
      <c r="I888" s="10">
        <v>15</v>
      </c>
      <c r="J888" s="10" t="s">
        <v>2091</v>
      </c>
      <c r="K888" s="10">
        <v>3</v>
      </c>
      <c r="L888" s="10">
        <v>3</v>
      </c>
      <c r="M888" s="14">
        <v>5</v>
      </c>
      <c r="N888" s="14">
        <v>5</v>
      </c>
      <c r="O888" s="55" t="s">
        <v>950</v>
      </c>
      <c r="Q888" s="10">
        <v>45</v>
      </c>
      <c r="U888" s="10">
        <v>60</v>
      </c>
      <c r="W888" s="14"/>
      <c r="Y888" s="79">
        <v>2.2999999999999998</v>
      </c>
      <c r="Z888" s="65" t="s">
        <v>1847</v>
      </c>
    </row>
    <row r="889" spans="1:28" ht="23.1" customHeight="1" x14ac:dyDescent="0.25">
      <c r="A889" s="53" t="s">
        <v>909</v>
      </c>
      <c r="B889" s="10" t="s">
        <v>137</v>
      </c>
      <c r="C889" s="10">
        <v>59</v>
      </c>
      <c r="D889" s="10" t="s">
        <v>924</v>
      </c>
      <c r="E889" s="41" t="s">
        <v>409</v>
      </c>
      <c r="F889" s="21" t="s">
        <v>409</v>
      </c>
      <c r="G889" s="21" t="str">
        <f>VLOOKUP(D889,[6]成飞半成品!$A:$B,2,0)</f>
        <v>接头</v>
      </c>
      <c r="H889" s="10" t="s">
        <v>102</v>
      </c>
      <c r="I889" s="10">
        <v>20</v>
      </c>
      <c r="J889" s="10" t="s">
        <v>2099</v>
      </c>
      <c r="K889" s="10">
        <v>8</v>
      </c>
      <c r="L889" s="10">
        <v>8</v>
      </c>
      <c r="M889" s="14">
        <v>5</v>
      </c>
      <c r="N889" s="14">
        <v>28</v>
      </c>
      <c r="O889" s="55" t="s">
        <v>925</v>
      </c>
      <c r="Q889" s="10">
        <v>60</v>
      </c>
      <c r="U889" s="10">
        <v>60</v>
      </c>
      <c r="W889" s="14">
        <v>1</v>
      </c>
      <c r="Y889" s="79">
        <v>9</v>
      </c>
      <c r="Z889" s="65" t="s">
        <v>1847</v>
      </c>
    </row>
    <row r="890" spans="1:28" ht="23.1" customHeight="1" x14ac:dyDescent="0.25">
      <c r="A890" s="53" t="s">
        <v>909</v>
      </c>
      <c r="B890" s="10" t="s">
        <v>110</v>
      </c>
      <c r="C890" s="10">
        <v>15</v>
      </c>
      <c r="D890" s="10" t="s">
        <v>217</v>
      </c>
      <c r="E890" s="41" t="s">
        <v>218</v>
      </c>
      <c r="F890" s="21" t="s">
        <v>218</v>
      </c>
      <c r="G890" s="21" t="str">
        <f>VLOOKUP(D890,[6]成飞半成品!$A:$B,2,0)</f>
        <v>横梁</v>
      </c>
      <c r="H890" s="10" t="s">
        <v>107</v>
      </c>
      <c r="I890" s="10">
        <v>45</v>
      </c>
      <c r="J890" s="10" t="s">
        <v>1927</v>
      </c>
      <c r="K890" s="10">
        <v>1.5</v>
      </c>
      <c r="L890" s="10">
        <v>3</v>
      </c>
      <c r="M890" s="14">
        <v>37</v>
      </c>
      <c r="N890" s="14">
        <v>5</v>
      </c>
      <c r="O890" s="55" t="s">
        <v>456</v>
      </c>
      <c r="Q890" s="10">
        <v>420</v>
      </c>
      <c r="U890" s="10">
        <v>90</v>
      </c>
      <c r="W890" s="14"/>
      <c r="Y890" s="79">
        <v>21</v>
      </c>
      <c r="Z890" s="10" t="s">
        <v>60</v>
      </c>
    </row>
    <row r="891" spans="1:28" ht="23.1" customHeight="1" x14ac:dyDescent="0.25">
      <c r="A891" s="53" t="s">
        <v>909</v>
      </c>
      <c r="B891" s="10" t="s">
        <v>110</v>
      </c>
      <c r="C891" s="10">
        <v>14</v>
      </c>
      <c r="D891" s="10" t="s">
        <v>235</v>
      </c>
      <c r="E891" s="41" t="s">
        <v>236</v>
      </c>
      <c r="F891" s="21" t="s">
        <v>236</v>
      </c>
      <c r="G891" s="21" t="str">
        <f>VLOOKUP(D891,[6]成飞半成品!$A:$B,2,0)</f>
        <v>右外侧接头</v>
      </c>
      <c r="H891" s="10" t="s">
        <v>154</v>
      </c>
      <c r="I891" s="10">
        <v>50</v>
      </c>
      <c r="J891" s="10" t="s">
        <v>1899</v>
      </c>
      <c r="K891" s="10">
        <v>0.2</v>
      </c>
      <c r="L891" s="10">
        <v>0.2</v>
      </c>
      <c r="M891" s="14">
        <v>37</v>
      </c>
      <c r="N891" s="14"/>
      <c r="O891" s="55" t="s">
        <v>234</v>
      </c>
      <c r="Q891" s="10">
        <v>2640</v>
      </c>
      <c r="U891" s="10">
        <v>90</v>
      </c>
      <c r="W891" s="14"/>
      <c r="Y891" s="79">
        <v>8.8000000000000007</v>
      </c>
      <c r="Z891" s="10" t="s">
        <v>60</v>
      </c>
    </row>
    <row r="892" spans="1:28" ht="23.1" customHeight="1" x14ac:dyDescent="0.25">
      <c r="A892" s="53" t="s">
        <v>909</v>
      </c>
      <c r="B892" s="10" t="s">
        <v>110</v>
      </c>
      <c r="C892" s="10">
        <v>14</v>
      </c>
      <c r="D892" s="10" t="s">
        <v>235</v>
      </c>
      <c r="E892" s="41" t="s">
        <v>236</v>
      </c>
      <c r="F892" s="21" t="s">
        <v>236</v>
      </c>
      <c r="G892" s="21" t="str">
        <f>VLOOKUP(D892,[6]成飞半成品!$A:$B,2,0)</f>
        <v>右外侧接头</v>
      </c>
      <c r="H892" s="10" t="s">
        <v>154</v>
      </c>
      <c r="I892" s="10">
        <v>60</v>
      </c>
      <c r="J892" s="10" t="s">
        <v>1968</v>
      </c>
      <c r="K892" s="10">
        <v>1</v>
      </c>
      <c r="L892" s="10">
        <v>1</v>
      </c>
      <c r="M892" s="14">
        <v>26</v>
      </c>
      <c r="N892" s="14"/>
      <c r="O892" s="55" t="s">
        <v>234</v>
      </c>
      <c r="Q892" s="10">
        <v>660</v>
      </c>
      <c r="U892" s="10">
        <v>90</v>
      </c>
      <c r="W892" s="14">
        <v>1</v>
      </c>
      <c r="Y892" s="79">
        <v>12.5</v>
      </c>
      <c r="Z892" s="10" t="s">
        <v>60</v>
      </c>
    </row>
    <row r="893" spans="1:28" ht="23.1" customHeight="1" x14ac:dyDescent="0.25">
      <c r="A893" s="53" t="s">
        <v>909</v>
      </c>
      <c r="B893" s="10" t="s">
        <v>110</v>
      </c>
      <c r="C893" s="10">
        <v>14</v>
      </c>
      <c r="D893" s="10" t="s">
        <v>235</v>
      </c>
      <c r="E893" s="41" t="s">
        <v>236</v>
      </c>
      <c r="F893" s="21" t="s">
        <v>236</v>
      </c>
      <c r="G893" s="21" t="str">
        <f>VLOOKUP(D893,[6]成飞半成品!$A:$B,2,0)</f>
        <v>右外侧接头</v>
      </c>
      <c r="H893" s="10" t="s">
        <v>154</v>
      </c>
      <c r="I893" s="10">
        <v>65</v>
      </c>
      <c r="J893" s="10" t="s">
        <v>1982</v>
      </c>
      <c r="L893" s="10">
        <v>0.3</v>
      </c>
      <c r="M893" s="14">
        <v>23</v>
      </c>
      <c r="N893" s="14"/>
      <c r="O893" s="55" t="s">
        <v>234</v>
      </c>
      <c r="Q893" s="10">
        <v>600</v>
      </c>
      <c r="U893" s="10">
        <v>120</v>
      </c>
      <c r="W893" s="14">
        <v>1</v>
      </c>
      <c r="Y893" s="79">
        <v>5</v>
      </c>
      <c r="Z893" s="10" t="s">
        <v>60</v>
      </c>
    </row>
    <row r="894" spans="1:28" ht="23.1" customHeight="1" x14ac:dyDescent="0.25">
      <c r="A894" s="53" t="s">
        <v>909</v>
      </c>
      <c r="B894" s="10" t="s">
        <v>110</v>
      </c>
      <c r="C894" s="10">
        <v>22</v>
      </c>
      <c r="D894" s="10" t="s">
        <v>611</v>
      </c>
      <c r="E894" s="41" t="s">
        <v>612</v>
      </c>
      <c r="F894" s="21" t="s">
        <v>612</v>
      </c>
      <c r="G894" s="21" t="str">
        <f>VLOOKUP(D894,[6]成飞半成品!$A:$B,2,0)</f>
        <v>前梁二段</v>
      </c>
      <c r="H894" s="10" t="s">
        <v>102</v>
      </c>
      <c r="I894" s="10">
        <v>5</v>
      </c>
      <c r="J894" s="10" t="s">
        <v>1957</v>
      </c>
      <c r="K894" s="10">
        <v>5</v>
      </c>
      <c r="L894" s="10">
        <v>0.3</v>
      </c>
      <c r="M894" s="14">
        <v>37</v>
      </c>
      <c r="N894" s="14">
        <v>37</v>
      </c>
      <c r="O894" s="55" t="s">
        <v>159</v>
      </c>
      <c r="Q894" s="10">
        <v>2400</v>
      </c>
      <c r="R894" s="10">
        <v>210</v>
      </c>
      <c r="U894" s="10">
        <v>210</v>
      </c>
      <c r="W894" s="14"/>
      <c r="Y894" s="79">
        <v>12</v>
      </c>
      <c r="Z894" s="10" t="s">
        <v>49</v>
      </c>
    </row>
    <row r="895" spans="1:28" ht="23.1" customHeight="1" x14ac:dyDescent="0.25">
      <c r="A895" s="53" t="s">
        <v>909</v>
      </c>
      <c r="B895" s="10" t="s">
        <v>110</v>
      </c>
      <c r="C895" s="10">
        <v>22</v>
      </c>
      <c r="D895" s="10" t="s">
        <v>611</v>
      </c>
      <c r="E895" s="41" t="s">
        <v>612</v>
      </c>
      <c r="F895" s="21" t="s">
        <v>612</v>
      </c>
      <c r="G895" s="21" t="str">
        <f>VLOOKUP(D895,[6]成飞半成品!$A:$B,2,0)</f>
        <v>前梁二段</v>
      </c>
      <c r="H895" s="10" t="s">
        <v>102</v>
      </c>
      <c r="I895" s="10">
        <v>5</v>
      </c>
      <c r="J895" s="10" t="s">
        <v>1957</v>
      </c>
      <c r="L895" s="10">
        <v>0.3</v>
      </c>
      <c r="M895" s="14">
        <v>28</v>
      </c>
      <c r="N895" s="14"/>
      <c r="O895" s="55" t="s">
        <v>930</v>
      </c>
      <c r="Q895" s="10">
        <v>2400</v>
      </c>
      <c r="R895" s="10">
        <v>210</v>
      </c>
      <c r="T895" s="10">
        <v>1</v>
      </c>
      <c r="U895" s="10">
        <v>210</v>
      </c>
      <c r="W895" s="14"/>
      <c r="Y895" s="79">
        <v>15.5</v>
      </c>
      <c r="Z895" s="10" t="s">
        <v>49</v>
      </c>
    </row>
    <row r="896" spans="1:28" ht="23.1" customHeight="1" x14ac:dyDescent="0.25">
      <c r="A896" s="53" t="s">
        <v>909</v>
      </c>
      <c r="B896" s="10" t="s">
        <v>110</v>
      </c>
      <c r="C896" s="10">
        <v>21</v>
      </c>
      <c r="D896" s="10" t="s">
        <v>321</v>
      </c>
      <c r="E896" s="41" t="s">
        <v>322</v>
      </c>
      <c r="F896" s="21" t="s">
        <v>322</v>
      </c>
      <c r="G896" s="21" t="str">
        <f>VLOOKUP(D896,[6]成飞半成品!$A:$B,2,0)</f>
        <v>10860框</v>
      </c>
      <c r="H896" s="10" t="s">
        <v>323</v>
      </c>
      <c r="I896" s="10">
        <v>35</v>
      </c>
      <c r="J896" s="10" t="s">
        <v>1925</v>
      </c>
      <c r="K896" s="10">
        <v>0.4</v>
      </c>
      <c r="L896" s="10">
        <v>0.4</v>
      </c>
      <c r="M896" s="14">
        <v>26</v>
      </c>
      <c r="N896" s="14"/>
      <c r="O896" s="55" t="s">
        <v>860</v>
      </c>
      <c r="Q896" s="10">
        <v>480</v>
      </c>
      <c r="R896" s="10">
        <v>120</v>
      </c>
      <c r="U896" s="10">
        <v>180</v>
      </c>
      <c r="W896" s="14"/>
      <c r="Y896" s="79">
        <v>3.2</v>
      </c>
      <c r="Z896" s="10" t="s">
        <v>49</v>
      </c>
    </row>
    <row r="897" spans="1:28" ht="23.1" customHeight="1" x14ac:dyDescent="0.25">
      <c r="A897" s="53" t="s">
        <v>909</v>
      </c>
      <c r="B897" s="10" t="s">
        <v>110</v>
      </c>
      <c r="C897" s="10">
        <v>21</v>
      </c>
      <c r="D897" s="10" t="s">
        <v>321</v>
      </c>
      <c r="E897" s="41" t="s">
        <v>322</v>
      </c>
      <c r="F897" s="21" t="s">
        <v>322</v>
      </c>
      <c r="G897" s="21" t="str">
        <f>VLOOKUP(D897,[6]成飞半成品!$A:$B,2,0)</f>
        <v>10860框</v>
      </c>
      <c r="H897" s="10" t="s">
        <v>323</v>
      </c>
      <c r="I897" s="10">
        <v>40</v>
      </c>
      <c r="J897" s="10" t="s">
        <v>1969</v>
      </c>
      <c r="K897" s="10">
        <v>1</v>
      </c>
      <c r="L897" s="10">
        <v>1.9</v>
      </c>
      <c r="M897" s="14">
        <v>26</v>
      </c>
      <c r="N897" s="14">
        <v>5</v>
      </c>
      <c r="O897" s="55" t="s">
        <v>951</v>
      </c>
      <c r="Q897" s="10">
        <v>390</v>
      </c>
      <c r="R897" s="10">
        <v>120</v>
      </c>
      <c r="T897" s="10">
        <v>2</v>
      </c>
      <c r="U897" s="10">
        <v>180</v>
      </c>
      <c r="W897" s="14">
        <v>1</v>
      </c>
      <c r="Y897" s="79">
        <v>19.399999999999999</v>
      </c>
      <c r="Z897" s="10" t="s">
        <v>49</v>
      </c>
    </row>
    <row r="898" spans="1:28" ht="23.1" customHeight="1" x14ac:dyDescent="0.25">
      <c r="A898" s="53" t="s">
        <v>909</v>
      </c>
      <c r="B898" s="10" t="s">
        <v>110</v>
      </c>
      <c r="C898" s="10">
        <v>23</v>
      </c>
      <c r="D898" s="10" t="s">
        <v>717</v>
      </c>
      <c r="E898" s="41" t="s">
        <v>718</v>
      </c>
      <c r="F898" s="21" t="s">
        <v>718</v>
      </c>
      <c r="G898" s="21" t="str">
        <f>VLOOKUP(D898,[6]成飞半成品!$A:$B,2,0)</f>
        <v>上边肋</v>
      </c>
      <c r="H898" s="10" t="s">
        <v>118</v>
      </c>
      <c r="I898" s="10">
        <v>45</v>
      </c>
      <c r="J898" s="10" t="s">
        <v>2028</v>
      </c>
      <c r="K898" s="10">
        <v>0.6</v>
      </c>
      <c r="L898" s="10">
        <v>0.3</v>
      </c>
      <c r="M898" s="14">
        <v>26</v>
      </c>
      <c r="N898" s="14"/>
      <c r="O898" s="55" t="s">
        <v>952</v>
      </c>
      <c r="Q898" s="10">
        <v>1080</v>
      </c>
      <c r="R898" s="10">
        <v>90</v>
      </c>
      <c r="U898" s="10">
        <v>120</v>
      </c>
      <c r="W898" s="14"/>
      <c r="X898" s="14">
        <v>2</v>
      </c>
      <c r="Y898" s="79">
        <v>7.4</v>
      </c>
      <c r="Z898" s="10" t="s">
        <v>22</v>
      </c>
      <c r="AA898" s="14" t="s">
        <v>953</v>
      </c>
    </row>
    <row r="899" spans="1:28" ht="23.1" customHeight="1" x14ac:dyDescent="0.25">
      <c r="A899" s="53" t="s">
        <v>909</v>
      </c>
      <c r="B899" s="10" t="s">
        <v>110</v>
      </c>
      <c r="C899" s="10">
        <v>23</v>
      </c>
      <c r="D899" s="10" t="s">
        <v>717</v>
      </c>
      <c r="E899" s="41" t="s">
        <v>718</v>
      </c>
      <c r="F899" s="21" t="s">
        <v>718</v>
      </c>
      <c r="G899" s="21" t="str">
        <f>VLOOKUP(D899,[6]成飞半成品!$A:$B,2,0)</f>
        <v>上边肋</v>
      </c>
      <c r="H899" s="10" t="s">
        <v>118</v>
      </c>
      <c r="I899" s="10">
        <v>48</v>
      </c>
      <c r="K899" s="10">
        <v>1</v>
      </c>
      <c r="L899" s="10">
        <v>1</v>
      </c>
      <c r="M899" s="14">
        <v>26</v>
      </c>
      <c r="N899" s="14"/>
      <c r="O899" s="55" t="s">
        <v>952</v>
      </c>
      <c r="P899" s="10">
        <v>40</v>
      </c>
      <c r="S899" s="10">
        <v>90</v>
      </c>
      <c r="T899" s="10">
        <v>1</v>
      </c>
      <c r="W899" s="14"/>
      <c r="Y899" s="83">
        <v>2.2000000000000002</v>
      </c>
      <c r="Z899" s="10" t="s">
        <v>22</v>
      </c>
    </row>
    <row r="900" spans="1:28" ht="23.1" customHeight="1" x14ac:dyDescent="0.25">
      <c r="A900" s="53" t="s">
        <v>909</v>
      </c>
      <c r="B900" s="10" t="s">
        <v>110</v>
      </c>
      <c r="C900" s="10">
        <v>47</v>
      </c>
      <c r="D900" s="10" t="s">
        <v>826</v>
      </c>
      <c r="E900" s="41" t="s">
        <v>827</v>
      </c>
      <c r="F900" s="21" t="s">
        <v>827</v>
      </c>
      <c r="G900" s="21" t="str">
        <f>VLOOKUP(D900,[6]成飞半成品!$A:$B,2,0)</f>
        <v>BL900侧梁</v>
      </c>
      <c r="H900" s="10" t="s">
        <v>118</v>
      </c>
      <c r="I900" s="10">
        <v>15</v>
      </c>
      <c r="J900" s="10" t="s">
        <v>2071</v>
      </c>
      <c r="K900" s="10">
        <v>0.6</v>
      </c>
      <c r="L900" s="10">
        <v>0.6</v>
      </c>
      <c r="M900" s="14">
        <v>26</v>
      </c>
      <c r="N900" s="14">
        <v>9</v>
      </c>
      <c r="O900" s="55" t="s">
        <v>954</v>
      </c>
      <c r="Q900" s="10">
        <v>1440</v>
      </c>
      <c r="R900" s="10">
        <v>90</v>
      </c>
      <c r="T900" s="10">
        <v>1</v>
      </c>
      <c r="U900" s="10">
        <v>90</v>
      </c>
      <c r="W900" s="14"/>
      <c r="Y900" s="79">
        <v>15.9</v>
      </c>
      <c r="Z900" s="10" t="s">
        <v>22</v>
      </c>
    </row>
    <row r="901" spans="1:28" ht="23.1" customHeight="1" x14ac:dyDescent="0.25">
      <c r="A901" s="53" t="s">
        <v>909</v>
      </c>
      <c r="B901" s="10" t="s">
        <v>110</v>
      </c>
      <c r="C901" s="10">
        <v>47</v>
      </c>
      <c r="D901" s="10" t="s">
        <v>790</v>
      </c>
      <c r="E901" s="41" t="s">
        <v>791</v>
      </c>
      <c r="F901" s="21" t="e">
        <v>#N/A</v>
      </c>
      <c r="G901" s="21" t="e">
        <f>VLOOKUP(D901,[6]成飞半成品!$A:$B,2,0)</f>
        <v>#N/A</v>
      </c>
      <c r="H901" s="10" t="s">
        <v>118</v>
      </c>
      <c r="I901" s="10">
        <v>10</v>
      </c>
      <c r="J901" s="10" t="s">
        <v>1916</v>
      </c>
      <c r="K901" s="10">
        <v>2</v>
      </c>
      <c r="L901" s="10">
        <v>2</v>
      </c>
      <c r="M901" s="14">
        <v>23</v>
      </c>
      <c r="N901" s="14">
        <v>23</v>
      </c>
      <c r="O901" s="55" t="s">
        <v>419</v>
      </c>
      <c r="Q901" s="10">
        <v>90</v>
      </c>
      <c r="R901" s="10">
        <v>60</v>
      </c>
      <c r="T901" s="10">
        <v>2</v>
      </c>
      <c r="U901" s="10">
        <v>60</v>
      </c>
      <c r="W901" s="14">
        <v>1</v>
      </c>
      <c r="X901" s="10">
        <v>3</v>
      </c>
      <c r="Y901" s="79">
        <v>9</v>
      </c>
      <c r="Z901" s="10" t="s">
        <v>22</v>
      </c>
      <c r="AA901" s="14" t="s">
        <v>955</v>
      </c>
    </row>
    <row r="902" spans="1:28" ht="23.1" customHeight="1" x14ac:dyDescent="0.25">
      <c r="A902" s="53" t="s">
        <v>909</v>
      </c>
      <c r="B902" s="10" t="s">
        <v>137</v>
      </c>
      <c r="C902" s="10">
        <v>18</v>
      </c>
      <c r="D902" s="85" t="s">
        <v>2551</v>
      </c>
      <c r="E902" s="41" t="s">
        <v>599</v>
      </c>
      <c r="F902" s="21" t="e">
        <v>#N/A</v>
      </c>
      <c r="G902" s="21" t="str">
        <f>VLOOKUP(D902,[6]成飞半成品!$A:$B,2,0)</f>
        <v>工装</v>
      </c>
      <c r="H902" s="10" t="s">
        <v>102</v>
      </c>
      <c r="I902" s="10">
        <v>30</v>
      </c>
      <c r="K902" s="10">
        <v>1</v>
      </c>
      <c r="L902" s="10">
        <v>0.5</v>
      </c>
      <c r="M902" s="14"/>
      <c r="N902" s="14"/>
      <c r="O902" s="55" t="s">
        <v>108</v>
      </c>
      <c r="W902" s="14"/>
      <c r="X902" s="14">
        <v>15</v>
      </c>
      <c r="Y902" s="79">
        <v>15</v>
      </c>
      <c r="Z902" s="10" t="s">
        <v>16</v>
      </c>
      <c r="AA902" s="14" t="s">
        <v>956</v>
      </c>
      <c r="AB902" s="14" t="s">
        <v>957</v>
      </c>
    </row>
    <row r="903" spans="1:28" ht="23.1" customHeight="1" x14ac:dyDescent="0.25">
      <c r="A903" s="53" t="s">
        <v>909</v>
      </c>
      <c r="B903" s="10" t="s">
        <v>137</v>
      </c>
      <c r="C903" s="10">
        <v>16</v>
      </c>
      <c r="D903" s="10" t="s">
        <v>958</v>
      </c>
      <c r="E903" s="41" t="s">
        <v>317</v>
      </c>
      <c r="F903" s="21" t="s">
        <v>317</v>
      </c>
      <c r="G903" s="21" t="str">
        <f>VLOOKUP(D903,[6]成飞半成品!$A:$B,2,0)</f>
        <v>角盒</v>
      </c>
      <c r="H903" s="10" t="s">
        <v>154</v>
      </c>
      <c r="I903" s="10">
        <v>20</v>
      </c>
      <c r="J903" s="10" t="s">
        <v>1975</v>
      </c>
      <c r="K903" s="10">
        <v>2</v>
      </c>
      <c r="L903" s="10">
        <v>2</v>
      </c>
      <c r="M903" s="14"/>
      <c r="N903" s="14"/>
      <c r="O903" s="55" t="s">
        <v>438</v>
      </c>
      <c r="Q903" s="10">
        <v>240</v>
      </c>
      <c r="U903" s="10">
        <v>120</v>
      </c>
      <c r="W903" s="14">
        <v>1</v>
      </c>
      <c r="X903" s="14">
        <v>2</v>
      </c>
      <c r="Y903" s="79">
        <v>12</v>
      </c>
      <c r="Z903" s="10" t="s">
        <v>63</v>
      </c>
      <c r="AA903" s="14" t="s">
        <v>926</v>
      </c>
      <c r="AB903" s="25" t="s">
        <v>238</v>
      </c>
    </row>
    <row r="904" spans="1:28" ht="23.1" customHeight="1" x14ac:dyDescent="0.25">
      <c r="A904" s="53" t="s">
        <v>909</v>
      </c>
      <c r="B904" s="10" t="s">
        <v>137</v>
      </c>
      <c r="C904" s="10">
        <v>16</v>
      </c>
      <c r="D904" s="85" t="s">
        <v>2551</v>
      </c>
      <c r="E904" s="41" t="s">
        <v>960</v>
      </c>
      <c r="F904" s="21" t="e">
        <v>#N/A</v>
      </c>
      <c r="G904" s="21" t="str">
        <f>VLOOKUP(D904,[6]成飞半成品!$A:$B,2,0)</f>
        <v>工装</v>
      </c>
      <c r="H904" s="10" t="s">
        <v>102</v>
      </c>
      <c r="I904" s="10">
        <v>5</v>
      </c>
      <c r="K904" s="10">
        <v>3</v>
      </c>
      <c r="L904" s="10">
        <v>0.5</v>
      </c>
      <c r="M904" s="14"/>
      <c r="N904" s="14"/>
      <c r="O904" s="55" t="e">
        <v>#N/A</v>
      </c>
      <c r="W904" s="14">
        <v>1</v>
      </c>
      <c r="X904" s="14">
        <v>5</v>
      </c>
      <c r="Y904" s="79">
        <v>5</v>
      </c>
      <c r="Z904" s="10" t="s">
        <v>63</v>
      </c>
      <c r="AA904" s="14" t="s">
        <v>961</v>
      </c>
      <c r="AB904" s="14" t="s">
        <v>957</v>
      </c>
    </row>
    <row r="905" spans="1:28" ht="23.1" customHeight="1" x14ac:dyDescent="0.25">
      <c r="A905" s="53" t="s">
        <v>909</v>
      </c>
      <c r="B905" s="10" t="s">
        <v>137</v>
      </c>
      <c r="C905" s="10">
        <v>58</v>
      </c>
      <c r="D905" s="10" t="s">
        <v>142</v>
      </c>
      <c r="E905" s="41" t="s">
        <v>133</v>
      </c>
      <c r="F905" s="21" t="s">
        <v>133</v>
      </c>
      <c r="G905" s="21" t="str">
        <f>VLOOKUP(D905,[6]成飞半成品!$A:$B,2,0)</f>
        <v>摇臂</v>
      </c>
      <c r="H905" s="10" t="s">
        <v>102</v>
      </c>
      <c r="I905" s="10">
        <v>65</v>
      </c>
      <c r="J905" s="10" t="s">
        <v>2084</v>
      </c>
      <c r="K905" s="10">
        <v>2</v>
      </c>
      <c r="L905" s="10">
        <v>2</v>
      </c>
      <c r="M905" s="14">
        <v>5</v>
      </c>
      <c r="N905" s="14">
        <v>5</v>
      </c>
      <c r="O905" s="55" t="s">
        <v>140</v>
      </c>
      <c r="Q905" s="10">
        <v>30</v>
      </c>
      <c r="U905" s="10">
        <v>90</v>
      </c>
      <c r="W905" s="14">
        <v>1</v>
      </c>
      <c r="X905" s="14">
        <v>12</v>
      </c>
      <c r="Y905" s="79">
        <v>14.5</v>
      </c>
      <c r="Z905" s="10" t="s">
        <v>7</v>
      </c>
      <c r="AA905" s="14" t="s">
        <v>962</v>
      </c>
      <c r="AB905" s="25" t="s">
        <v>238</v>
      </c>
    </row>
    <row r="906" spans="1:28" ht="23.1" customHeight="1" x14ac:dyDescent="0.25">
      <c r="A906" s="53" t="s">
        <v>909</v>
      </c>
      <c r="B906" s="10" t="s">
        <v>137</v>
      </c>
      <c r="C906" s="10">
        <v>11</v>
      </c>
      <c r="D906" s="10" t="s">
        <v>2565</v>
      </c>
      <c r="E906" s="41" t="s">
        <v>691</v>
      </c>
      <c r="F906" s="21" t="s">
        <v>691</v>
      </c>
      <c r="G906" s="21" t="str">
        <f>VLOOKUP(D906,[6]成飞半成品!$A:$B,2,0)</f>
        <v>地板嵌入接头</v>
      </c>
      <c r="H906" s="10" t="s">
        <v>123</v>
      </c>
      <c r="I906" s="10">
        <v>35</v>
      </c>
      <c r="J906" s="10" t="s">
        <v>2086</v>
      </c>
      <c r="K906" s="10">
        <v>1.3</v>
      </c>
      <c r="L906" s="10">
        <v>2.2999999999999998</v>
      </c>
      <c r="M906" s="14">
        <v>23</v>
      </c>
      <c r="N906" s="14">
        <v>28</v>
      </c>
      <c r="O906" s="55" t="s">
        <v>840</v>
      </c>
      <c r="Q906" s="10">
        <v>410</v>
      </c>
      <c r="U906" s="10">
        <v>90</v>
      </c>
      <c r="W906" s="14"/>
      <c r="Y906" s="79">
        <v>15.7</v>
      </c>
      <c r="Z906" s="10" t="s">
        <v>63</v>
      </c>
    </row>
    <row r="907" spans="1:28" ht="23.1" customHeight="1" x14ac:dyDescent="0.25">
      <c r="A907" s="53" t="s">
        <v>909</v>
      </c>
      <c r="B907" s="10" t="s">
        <v>137</v>
      </c>
      <c r="C907" s="10">
        <v>57</v>
      </c>
      <c r="D907" s="10" t="s">
        <v>698</v>
      </c>
      <c r="E907" s="41" t="s">
        <v>699</v>
      </c>
      <c r="F907" s="21" t="e">
        <v>#N/A</v>
      </c>
      <c r="G907" s="21" t="e">
        <f>VLOOKUP(D907,[6]成飞半成品!$A:$B,2,0)</f>
        <v>#N/A</v>
      </c>
      <c r="H907" s="10" t="s">
        <v>123</v>
      </c>
      <c r="I907" s="10">
        <v>20</v>
      </c>
      <c r="J907" s="10" t="s">
        <v>2076</v>
      </c>
      <c r="K907" s="10">
        <v>3</v>
      </c>
      <c r="L907" s="10">
        <v>3.3</v>
      </c>
      <c r="M907" s="14">
        <v>28</v>
      </c>
      <c r="N907" s="14">
        <v>28</v>
      </c>
      <c r="O907" s="55" t="s">
        <v>506</v>
      </c>
      <c r="Q907" s="10">
        <v>210</v>
      </c>
      <c r="U907" s="10">
        <v>90</v>
      </c>
      <c r="W907" s="14"/>
      <c r="Y907" s="79">
        <v>11.6</v>
      </c>
      <c r="Z907" s="10" t="s">
        <v>7</v>
      </c>
    </row>
    <row r="908" spans="1:28" ht="23.1" customHeight="1" x14ac:dyDescent="0.25">
      <c r="A908" s="53" t="s">
        <v>909</v>
      </c>
      <c r="B908" s="10" t="s">
        <v>137</v>
      </c>
      <c r="C908" s="10">
        <v>17</v>
      </c>
      <c r="D908" s="10" t="s">
        <v>916</v>
      </c>
      <c r="E908" s="41" t="s">
        <v>917</v>
      </c>
      <c r="F908" s="21" t="s">
        <v>917</v>
      </c>
      <c r="G908" s="21" t="str">
        <f>VLOOKUP(D908,[6]成飞半成品!$A:$B,2,0)</f>
        <v>座子</v>
      </c>
      <c r="H908" s="10" t="s">
        <v>250</v>
      </c>
      <c r="I908" s="10">
        <v>15</v>
      </c>
      <c r="J908" s="10" t="s">
        <v>2088</v>
      </c>
      <c r="K908" s="10">
        <v>10</v>
      </c>
      <c r="L908" s="10">
        <v>10</v>
      </c>
      <c r="M908" s="14">
        <v>5</v>
      </c>
      <c r="N908" s="14">
        <v>5</v>
      </c>
      <c r="O908" s="55" t="s">
        <v>247</v>
      </c>
      <c r="Q908" s="10">
        <v>45</v>
      </c>
      <c r="U908" s="10">
        <v>60</v>
      </c>
      <c r="W908" s="14"/>
      <c r="Y908" s="79">
        <v>7.5</v>
      </c>
      <c r="Z908" s="10" t="s">
        <v>16</v>
      </c>
    </row>
    <row r="909" spans="1:28" ht="23.1" customHeight="1" x14ac:dyDescent="0.25">
      <c r="A909" s="53" t="s">
        <v>909</v>
      </c>
      <c r="B909" s="10" t="s">
        <v>137</v>
      </c>
      <c r="C909" s="10">
        <v>17</v>
      </c>
      <c r="D909" s="10" t="s">
        <v>916</v>
      </c>
      <c r="E909" s="41" t="s">
        <v>917</v>
      </c>
      <c r="F909" s="21" t="s">
        <v>917</v>
      </c>
      <c r="G909" s="21" t="str">
        <f>VLOOKUP(D909,[6]成飞半成品!$A:$B,2,0)</f>
        <v>座子</v>
      </c>
      <c r="H909" s="10" t="s">
        <v>250</v>
      </c>
      <c r="I909" s="10">
        <v>20</v>
      </c>
      <c r="J909" s="10" t="s">
        <v>2100</v>
      </c>
      <c r="K909" s="10">
        <v>5</v>
      </c>
      <c r="L909" s="10">
        <v>20</v>
      </c>
      <c r="M909" s="14">
        <v>5</v>
      </c>
      <c r="N909" s="14">
        <v>28</v>
      </c>
      <c r="O909" s="55" t="s">
        <v>247</v>
      </c>
      <c r="Q909" s="10">
        <v>40</v>
      </c>
      <c r="U909" s="10">
        <v>60</v>
      </c>
      <c r="W909" s="14">
        <v>1</v>
      </c>
      <c r="Y909" s="79">
        <v>14.3</v>
      </c>
      <c r="Z909" s="10" t="s">
        <v>16</v>
      </c>
    </row>
    <row r="910" spans="1:28" ht="23.1" customHeight="1" x14ac:dyDescent="0.25">
      <c r="A910" s="53" t="s">
        <v>909</v>
      </c>
      <c r="B910" s="10" t="s">
        <v>113</v>
      </c>
      <c r="C910" s="10">
        <v>58</v>
      </c>
      <c r="D910" s="10" t="s">
        <v>899</v>
      </c>
      <c r="E910" s="41" t="s">
        <v>409</v>
      </c>
      <c r="F910" s="21" t="s">
        <v>409</v>
      </c>
      <c r="G910" s="21" t="str">
        <f>VLOOKUP(D910,[6]成飞半成品!$A:$B,2,0)</f>
        <v>接头</v>
      </c>
      <c r="H910" s="10" t="s">
        <v>102</v>
      </c>
      <c r="I910" s="10">
        <v>50</v>
      </c>
      <c r="J910" s="10" t="s">
        <v>2000</v>
      </c>
      <c r="K910" s="10">
        <v>2</v>
      </c>
      <c r="L910" s="10">
        <v>2</v>
      </c>
      <c r="M910" s="14">
        <v>28</v>
      </c>
      <c r="N910" s="14">
        <v>31</v>
      </c>
      <c r="O910" s="55" t="s">
        <v>596</v>
      </c>
      <c r="Q910" s="10">
        <v>30</v>
      </c>
      <c r="U910" s="10">
        <v>60</v>
      </c>
      <c r="W910" s="14">
        <v>1</v>
      </c>
      <c r="X910" s="14">
        <v>4</v>
      </c>
      <c r="Y910" s="79">
        <v>6</v>
      </c>
      <c r="Z910" s="10" t="s">
        <v>57</v>
      </c>
      <c r="AA910" s="14" t="s">
        <v>963</v>
      </c>
      <c r="AB910" s="25" t="s">
        <v>238</v>
      </c>
    </row>
    <row r="911" spans="1:28" ht="23.1" customHeight="1" x14ac:dyDescent="0.25">
      <c r="A911" s="53" t="s">
        <v>909</v>
      </c>
      <c r="B911" s="10" t="s">
        <v>113</v>
      </c>
      <c r="C911" s="10">
        <v>58</v>
      </c>
      <c r="D911" s="10" t="s">
        <v>899</v>
      </c>
      <c r="E911" s="41" t="s">
        <v>409</v>
      </c>
      <c r="F911" s="21" t="s">
        <v>409</v>
      </c>
      <c r="G911" s="21" t="str">
        <f>VLOOKUP(D911,[6]成飞半成品!$A:$B,2,0)</f>
        <v>接头</v>
      </c>
      <c r="H911" s="10" t="s">
        <v>102</v>
      </c>
      <c r="I911" s="10">
        <v>50</v>
      </c>
      <c r="J911" s="10" t="s">
        <v>2441</v>
      </c>
      <c r="K911" s="10">
        <v>1</v>
      </c>
      <c r="L911" s="10">
        <v>1</v>
      </c>
      <c r="M911" s="14">
        <v>31</v>
      </c>
      <c r="N911" s="14">
        <v>31</v>
      </c>
      <c r="O911" s="55" t="s">
        <v>596</v>
      </c>
      <c r="Q911" s="10">
        <v>30</v>
      </c>
      <c r="U911" s="10">
        <v>60</v>
      </c>
      <c r="W911" s="14">
        <v>1</v>
      </c>
      <c r="Y911" s="79">
        <v>1.5</v>
      </c>
      <c r="Z911" s="10" t="s">
        <v>57</v>
      </c>
    </row>
    <row r="912" spans="1:28" ht="23.1" customHeight="1" x14ac:dyDescent="0.25">
      <c r="A912" s="53" t="s">
        <v>909</v>
      </c>
      <c r="B912" s="10" t="s">
        <v>113</v>
      </c>
      <c r="C912" s="10">
        <v>18</v>
      </c>
      <c r="D912" s="10" t="s">
        <v>964</v>
      </c>
      <c r="E912" s="41" t="s">
        <v>965</v>
      </c>
      <c r="F912" s="21" t="s">
        <v>965</v>
      </c>
      <c r="G912" s="21" t="str">
        <f>VLOOKUP(D912,[6]成飞半成品!$A:$B,2,0)</f>
        <v>螺栓</v>
      </c>
      <c r="H912" s="10" t="s">
        <v>154</v>
      </c>
      <c r="I912" s="10">
        <v>20</v>
      </c>
      <c r="J912" s="10" t="s">
        <v>1978</v>
      </c>
      <c r="L912" s="10">
        <v>20</v>
      </c>
      <c r="M912" s="14">
        <v>31</v>
      </c>
      <c r="N912" s="14">
        <v>31</v>
      </c>
      <c r="O912" s="55" t="s">
        <v>247</v>
      </c>
      <c r="Q912" s="10">
        <v>25</v>
      </c>
      <c r="U912" s="10">
        <v>90</v>
      </c>
      <c r="W912" s="14">
        <v>1</v>
      </c>
      <c r="X912" s="14">
        <v>2</v>
      </c>
      <c r="Y912" s="79">
        <v>11.8</v>
      </c>
      <c r="Z912" s="10" t="s">
        <v>42</v>
      </c>
      <c r="AA912" s="14" t="s">
        <v>926</v>
      </c>
      <c r="AB912" s="25" t="s">
        <v>238</v>
      </c>
    </row>
    <row r="913" spans="1:28" ht="23.1" customHeight="1" x14ac:dyDescent="0.25">
      <c r="A913" s="53" t="s">
        <v>909</v>
      </c>
      <c r="B913" s="10" t="s">
        <v>113</v>
      </c>
      <c r="C913" s="10">
        <v>59</v>
      </c>
      <c r="D913" s="10" t="s">
        <v>966</v>
      </c>
      <c r="E913" s="41" t="s">
        <v>967</v>
      </c>
      <c r="F913" s="21" t="s">
        <v>967</v>
      </c>
      <c r="G913" s="21" t="str">
        <f>VLOOKUP(D913,[6]成飞半成品!$A:$B,2,0)</f>
        <v>Z支架</v>
      </c>
      <c r="H913" s="10" t="s">
        <v>154</v>
      </c>
      <c r="I913" s="10">
        <v>53</v>
      </c>
      <c r="K913" s="10">
        <v>33</v>
      </c>
      <c r="L913" s="10">
        <v>33</v>
      </c>
      <c r="M913" s="14">
        <v>31</v>
      </c>
      <c r="N913" s="14">
        <v>31</v>
      </c>
      <c r="O913" s="55" t="s">
        <v>247</v>
      </c>
      <c r="W913" s="14">
        <v>1</v>
      </c>
      <c r="X913" s="14">
        <v>2</v>
      </c>
      <c r="Y913" s="83">
        <v>2</v>
      </c>
      <c r="Z913" s="10" t="s">
        <v>42</v>
      </c>
      <c r="AA913" s="14" t="s">
        <v>926</v>
      </c>
      <c r="AB913" s="25" t="s">
        <v>238</v>
      </c>
    </row>
    <row r="914" spans="1:28" ht="23.1" customHeight="1" x14ac:dyDescent="0.25">
      <c r="A914" s="53" t="s">
        <v>909</v>
      </c>
      <c r="B914" s="10" t="s">
        <v>113</v>
      </c>
      <c r="C914" s="10">
        <v>15</v>
      </c>
      <c r="D914" s="10" t="s">
        <v>592</v>
      </c>
      <c r="E914" s="41" t="s">
        <v>218</v>
      </c>
      <c r="F914" s="21" t="s">
        <v>218</v>
      </c>
      <c r="G914" s="21" t="str">
        <f>VLOOKUP(D914,[6]成飞半成品!$A:$B,2,0)</f>
        <v>横梁</v>
      </c>
      <c r="H914" s="10" t="s">
        <v>107</v>
      </c>
      <c r="I914" s="10">
        <v>45</v>
      </c>
      <c r="J914" s="10" t="s">
        <v>1927</v>
      </c>
      <c r="K914" s="10">
        <v>1.5</v>
      </c>
      <c r="L914" s="10">
        <v>3</v>
      </c>
      <c r="M914" s="14">
        <v>23</v>
      </c>
      <c r="N914" s="14">
        <v>37</v>
      </c>
      <c r="O914" s="55" t="s">
        <v>456</v>
      </c>
      <c r="Q914" s="10">
        <v>420</v>
      </c>
      <c r="U914" s="10">
        <v>90</v>
      </c>
      <c r="W914" s="14"/>
      <c r="Y914" s="79">
        <v>21</v>
      </c>
      <c r="Z914" s="10" t="s">
        <v>31</v>
      </c>
    </row>
    <row r="915" spans="1:28" ht="23.1" customHeight="1" x14ac:dyDescent="0.25">
      <c r="A915" s="53" t="s">
        <v>909</v>
      </c>
      <c r="B915" s="10" t="s">
        <v>113</v>
      </c>
      <c r="C915" s="10">
        <v>77</v>
      </c>
      <c r="D915" s="10" t="s">
        <v>968</v>
      </c>
      <c r="E915" s="41" t="s">
        <v>969</v>
      </c>
      <c r="F915" s="21" t="s">
        <v>969</v>
      </c>
      <c r="G915" s="21" t="str">
        <f>VLOOKUP(D915,[6]成飞半成品!$A:$B,2,0)</f>
        <v>四通接头</v>
      </c>
      <c r="H915" s="10" t="s">
        <v>154</v>
      </c>
      <c r="I915" s="10">
        <v>70</v>
      </c>
      <c r="J915" s="10" t="s">
        <v>2101</v>
      </c>
      <c r="K915" s="10">
        <v>20</v>
      </c>
      <c r="L915" s="10">
        <v>14</v>
      </c>
      <c r="M915" s="14">
        <v>31</v>
      </c>
      <c r="N915" s="14">
        <v>31</v>
      </c>
      <c r="O915" s="55" t="s">
        <v>247</v>
      </c>
      <c r="Q915" s="10">
        <v>40</v>
      </c>
      <c r="U915" s="10">
        <v>60</v>
      </c>
      <c r="W915" s="14"/>
      <c r="X915" s="14">
        <v>3</v>
      </c>
      <c r="Y915" s="79">
        <v>12.3</v>
      </c>
      <c r="Z915" s="10" t="s">
        <v>15</v>
      </c>
      <c r="AA915" s="14" t="s">
        <v>970</v>
      </c>
      <c r="AB915" s="25" t="s">
        <v>238</v>
      </c>
    </row>
    <row r="916" spans="1:28" ht="23.1" customHeight="1" x14ac:dyDescent="0.25">
      <c r="A916" s="53" t="s">
        <v>909</v>
      </c>
      <c r="B916" s="10" t="s">
        <v>113</v>
      </c>
      <c r="C916" s="10">
        <v>77</v>
      </c>
      <c r="D916" s="10" t="s">
        <v>968</v>
      </c>
      <c r="E916" s="41" t="s">
        <v>969</v>
      </c>
      <c r="F916" s="21" t="s">
        <v>969</v>
      </c>
      <c r="G916" s="21" t="str">
        <f>VLOOKUP(D916,[6]成飞半成品!$A:$B,2,0)</f>
        <v>四通接头</v>
      </c>
      <c r="H916" s="10" t="s">
        <v>154</v>
      </c>
      <c r="I916" s="10">
        <v>70</v>
      </c>
      <c r="J916" s="10" t="s">
        <v>2101</v>
      </c>
      <c r="K916" s="10">
        <v>2</v>
      </c>
      <c r="L916" s="10">
        <v>1</v>
      </c>
      <c r="M916" s="14">
        <v>31</v>
      </c>
      <c r="N916" s="14"/>
      <c r="O916" s="55" t="s">
        <v>164</v>
      </c>
      <c r="Q916" s="10">
        <v>40</v>
      </c>
      <c r="U916" s="10">
        <v>60</v>
      </c>
      <c r="W916" s="14"/>
      <c r="Y916" s="79">
        <v>0.7</v>
      </c>
      <c r="Z916" s="10" t="s">
        <v>15</v>
      </c>
    </row>
    <row r="917" spans="1:28" ht="23.1" customHeight="1" x14ac:dyDescent="0.25">
      <c r="A917" s="53" t="s">
        <v>909</v>
      </c>
      <c r="B917" s="10" t="s">
        <v>113</v>
      </c>
      <c r="C917" s="10">
        <v>77</v>
      </c>
      <c r="D917" s="10" t="s">
        <v>211</v>
      </c>
      <c r="E917" s="41" t="s">
        <v>212</v>
      </c>
      <c r="F917" s="21" t="s">
        <v>212</v>
      </c>
      <c r="G917" s="21" t="str">
        <f>VLOOKUP(D917,[6]成飞半成品!$A:$B,2,0)</f>
        <v>压板</v>
      </c>
      <c r="H917" s="10" t="s">
        <v>123</v>
      </c>
      <c r="I917" s="10">
        <v>30</v>
      </c>
      <c r="J917" s="10" t="s">
        <v>2081</v>
      </c>
      <c r="L917" s="10">
        <v>18</v>
      </c>
      <c r="M917" s="14">
        <v>31</v>
      </c>
      <c r="N917" s="14">
        <v>31</v>
      </c>
      <c r="O917" s="55" t="s">
        <v>652</v>
      </c>
      <c r="Q917" s="10">
        <v>25</v>
      </c>
      <c r="U917" s="10">
        <v>60</v>
      </c>
      <c r="W917" s="14"/>
      <c r="Y917" s="79">
        <v>7.5</v>
      </c>
      <c r="Z917" s="10" t="s">
        <v>15</v>
      </c>
    </row>
    <row r="918" spans="1:28" ht="23.1" customHeight="1" x14ac:dyDescent="0.25">
      <c r="A918" s="53" t="s">
        <v>909</v>
      </c>
      <c r="B918" s="10" t="s">
        <v>113</v>
      </c>
      <c r="C918" s="10">
        <v>77</v>
      </c>
      <c r="D918" s="10" t="s">
        <v>211</v>
      </c>
      <c r="E918" s="41" t="s">
        <v>212</v>
      </c>
      <c r="F918" s="21" t="s">
        <v>212</v>
      </c>
      <c r="G918" s="21" t="str">
        <f>VLOOKUP(D918,[6]成飞半成品!$A:$B,2,0)</f>
        <v>压板</v>
      </c>
      <c r="H918" s="10" t="s">
        <v>123</v>
      </c>
      <c r="I918" s="10">
        <v>30</v>
      </c>
      <c r="J918" s="10" t="s">
        <v>2081</v>
      </c>
      <c r="L918" s="10">
        <v>28</v>
      </c>
      <c r="M918" s="14">
        <v>9</v>
      </c>
      <c r="N918" s="14">
        <v>9</v>
      </c>
      <c r="O918" s="55" t="s">
        <v>971</v>
      </c>
      <c r="Q918" s="10">
        <v>25</v>
      </c>
      <c r="U918" s="10">
        <v>60</v>
      </c>
      <c r="W918" s="14"/>
      <c r="Y918" s="79">
        <v>11.7</v>
      </c>
      <c r="Z918" s="10" t="s">
        <v>15</v>
      </c>
    </row>
    <row r="919" spans="1:28" ht="23.1" customHeight="1" x14ac:dyDescent="0.25">
      <c r="A919" s="53" t="s">
        <v>909</v>
      </c>
      <c r="B919" s="10" t="s">
        <v>113</v>
      </c>
      <c r="C919" s="10">
        <v>24</v>
      </c>
      <c r="D919" s="10" t="s">
        <v>776</v>
      </c>
      <c r="E919" s="41" t="s">
        <v>777</v>
      </c>
      <c r="F919" s="21" t="s">
        <v>777</v>
      </c>
      <c r="G919" s="21" t="str">
        <f>VLOOKUP(D919,[6]成飞半成品!$A:$B,2,0)</f>
        <v>BL280侧壁（左件）</v>
      </c>
      <c r="H919" s="10" t="s">
        <v>107</v>
      </c>
      <c r="I919" s="10">
        <v>30</v>
      </c>
      <c r="J919" s="10" t="s">
        <v>2061</v>
      </c>
      <c r="K919" s="10">
        <v>0.6</v>
      </c>
      <c r="L919" s="10">
        <v>0.6</v>
      </c>
      <c r="M919" s="14">
        <v>5</v>
      </c>
      <c r="N919" s="14">
        <v>37</v>
      </c>
      <c r="O919" s="55" t="s">
        <v>972</v>
      </c>
      <c r="Q919" s="10">
        <v>1700</v>
      </c>
      <c r="R919" s="10">
        <v>120</v>
      </c>
      <c r="T919" s="10">
        <v>1</v>
      </c>
      <c r="U919" s="10">
        <v>210</v>
      </c>
      <c r="W919" s="14"/>
      <c r="Y919" s="79">
        <v>19</v>
      </c>
      <c r="Z919" s="10" t="s">
        <v>52</v>
      </c>
    </row>
    <row r="920" spans="1:28" ht="23.1" customHeight="1" x14ac:dyDescent="0.25">
      <c r="A920" s="53" t="s">
        <v>909</v>
      </c>
      <c r="B920" s="10" t="s">
        <v>113</v>
      </c>
      <c r="C920" s="10">
        <v>69</v>
      </c>
      <c r="D920" s="10" t="s">
        <v>787</v>
      </c>
      <c r="E920" s="41" t="s">
        <v>788</v>
      </c>
      <c r="F920" s="21" t="s">
        <v>788</v>
      </c>
      <c r="G920" s="21" t="str">
        <f>VLOOKUP(D920,[6]成飞半成品!$A:$B,2,0)</f>
        <v>根肋二段</v>
      </c>
      <c r="H920" s="10" t="s">
        <v>123</v>
      </c>
      <c r="I920" s="10">
        <v>35</v>
      </c>
      <c r="J920" s="10" t="s">
        <v>2073</v>
      </c>
      <c r="K920" s="10">
        <v>6</v>
      </c>
      <c r="L920" s="10">
        <v>6</v>
      </c>
      <c r="M920" s="14">
        <v>28</v>
      </c>
      <c r="N920" s="14">
        <v>28</v>
      </c>
      <c r="O920" s="55" t="s">
        <v>973</v>
      </c>
      <c r="Q920" s="10">
        <v>90</v>
      </c>
      <c r="R920" s="10">
        <v>60</v>
      </c>
      <c r="T920" s="10">
        <v>6</v>
      </c>
      <c r="U920" s="10">
        <v>60</v>
      </c>
      <c r="W920" s="14"/>
      <c r="Y920" s="79">
        <v>15</v>
      </c>
      <c r="Z920" s="10" t="s">
        <v>52</v>
      </c>
    </row>
    <row r="921" spans="1:28" ht="23.1" customHeight="1" x14ac:dyDescent="0.25">
      <c r="A921" s="53" t="s">
        <v>909</v>
      </c>
      <c r="B921" s="10" t="s">
        <v>113</v>
      </c>
      <c r="C921" s="10">
        <v>69</v>
      </c>
      <c r="D921" s="10" t="s">
        <v>787</v>
      </c>
      <c r="E921" s="41" t="s">
        <v>788</v>
      </c>
      <c r="F921" s="21" t="s">
        <v>788</v>
      </c>
      <c r="G921" s="21" t="str">
        <f>VLOOKUP(D921,[6]成飞半成品!$A:$B,2,0)</f>
        <v>根肋二段</v>
      </c>
      <c r="H921" s="10" t="s">
        <v>123</v>
      </c>
      <c r="I921" s="10">
        <v>35</v>
      </c>
      <c r="J921" s="10" t="s">
        <v>2073</v>
      </c>
      <c r="M921" s="14"/>
      <c r="N921" s="14"/>
      <c r="O921" s="55" t="s">
        <v>974</v>
      </c>
      <c r="Q921" s="10">
        <v>90</v>
      </c>
      <c r="R921" s="10">
        <v>60</v>
      </c>
      <c r="T921" s="10">
        <v>1</v>
      </c>
      <c r="U921" s="10">
        <v>60</v>
      </c>
      <c r="W921" s="14"/>
      <c r="X921" s="14">
        <v>5</v>
      </c>
      <c r="Y921" s="79">
        <v>6</v>
      </c>
      <c r="Z921" s="10" t="s">
        <v>52</v>
      </c>
      <c r="AA921" s="14" t="s">
        <v>975</v>
      </c>
    </row>
    <row r="922" spans="1:28" ht="23.1" customHeight="1" x14ac:dyDescent="0.25">
      <c r="A922" s="53" t="s">
        <v>909</v>
      </c>
      <c r="B922" s="10" t="s">
        <v>113</v>
      </c>
      <c r="C922" s="10">
        <v>91</v>
      </c>
      <c r="D922" s="10" t="s">
        <v>931</v>
      </c>
      <c r="E922" s="41" t="s">
        <v>932</v>
      </c>
      <c r="F922" s="21" t="s">
        <v>932</v>
      </c>
      <c r="G922" s="21" t="str">
        <f>VLOOKUP(D922,[6]成飞半成品!$A:$B,2,0)</f>
        <v>中推力销支座接头</v>
      </c>
      <c r="H922" s="10" t="s">
        <v>154</v>
      </c>
      <c r="I922" s="10">
        <v>60</v>
      </c>
      <c r="J922" s="10" t="s">
        <v>2095</v>
      </c>
      <c r="K922" s="10">
        <v>0.5</v>
      </c>
      <c r="L922" s="10">
        <v>0.1</v>
      </c>
      <c r="M922" s="14">
        <v>23</v>
      </c>
      <c r="N922" s="14"/>
      <c r="O922" s="55" t="s">
        <v>108</v>
      </c>
      <c r="Q922" s="10">
        <v>1000</v>
      </c>
      <c r="U922" s="10">
        <v>90</v>
      </c>
      <c r="W922" s="14">
        <v>1</v>
      </c>
      <c r="X922" s="14">
        <v>4</v>
      </c>
      <c r="Y922" s="79">
        <v>7.2</v>
      </c>
      <c r="Z922" s="10" t="s">
        <v>52</v>
      </c>
      <c r="AA922" s="14" t="s">
        <v>976</v>
      </c>
    </row>
    <row r="923" spans="1:28" ht="23.1" customHeight="1" x14ac:dyDescent="0.25">
      <c r="A923" s="53" t="s">
        <v>909</v>
      </c>
      <c r="B923" s="10" t="s">
        <v>113</v>
      </c>
      <c r="C923" s="10">
        <v>84</v>
      </c>
      <c r="D923" s="10" t="s">
        <v>423</v>
      </c>
      <c r="E923" s="41" t="s">
        <v>424</v>
      </c>
      <c r="F923" s="21" t="s">
        <v>424</v>
      </c>
      <c r="G923" s="21" t="str">
        <f>VLOOKUP(D923,[6]成飞半成品!$A:$B,2,0)</f>
        <v>后梁四段</v>
      </c>
      <c r="H923" s="10" t="s">
        <v>107</v>
      </c>
      <c r="I923" s="10">
        <v>38</v>
      </c>
      <c r="K923" s="10">
        <v>3</v>
      </c>
      <c r="L923" s="10">
        <v>3</v>
      </c>
      <c r="M923" s="14">
        <v>23</v>
      </c>
      <c r="N923" s="14">
        <v>26</v>
      </c>
      <c r="O923" s="55" t="s">
        <v>977</v>
      </c>
      <c r="P923" s="10">
        <v>90</v>
      </c>
      <c r="S923" s="10">
        <v>30</v>
      </c>
      <c r="T923" s="10">
        <v>3</v>
      </c>
      <c r="W923" s="14"/>
      <c r="Y923" s="83">
        <v>6</v>
      </c>
      <c r="Z923" s="10" t="s">
        <v>52</v>
      </c>
    </row>
    <row r="924" spans="1:28" ht="23.1" customHeight="1" x14ac:dyDescent="0.25">
      <c r="A924" s="53" t="s">
        <v>909</v>
      </c>
      <c r="B924" s="10" t="s">
        <v>113</v>
      </c>
      <c r="C924" s="10">
        <v>84</v>
      </c>
      <c r="D924" s="10" t="s">
        <v>423</v>
      </c>
      <c r="E924" s="41" t="s">
        <v>424</v>
      </c>
      <c r="F924" s="21" t="s">
        <v>424</v>
      </c>
      <c r="G924" s="21" t="str">
        <f>VLOOKUP(D924,[6]成飞半成品!$A:$B,2,0)</f>
        <v>后梁四段</v>
      </c>
      <c r="H924" s="10" t="s">
        <v>107</v>
      </c>
      <c r="I924" s="10">
        <v>40</v>
      </c>
      <c r="J924" s="10" t="s">
        <v>2096</v>
      </c>
      <c r="L924" s="10">
        <v>3</v>
      </c>
      <c r="M924" s="14">
        <v>23</v>
      </c>
      <c r="N924" s="14">
        <v>26</v>
      </c>
      <c r="O924" s="55" t="s">
        <v>977</v>
      </c>
      <c r="Q924" s="10">
        <v>360</v>
      </c>
      <c r="R924" s="10">
        <v>30</v>
      </c>
      <c r="T924" s="10">
        <v>3</v>
      </c>
      <c r="U924" s="10">
        <v>120</v>
      </c>
      <c r="W924" s="14"/>
      <c r="Y924" s="79">
        <v>19.5</v>
      </c>
      <c r="Z924" s="10" t="s">
        <v>52</v>
      </c>
    </row>
    <row r="925" spans="1:28" ht="23.1" customHeight="1" x14ac:dyDescent="0.25">
      <c r="A925" s="53" t="s">
        <v>909</v>
      </c>
      <c r="B925" s="10" t="s">
        <v>113</v>
      </c>
      <c r="C925" s="10">
        <v>119</v>
      </c>
      <c r="D925" s="10" t="s">
        <v>2560</v>
      </c>
      <c r="E925" s="41" t="s">
        <v>979</v>
      </c>
      <c r="F925" s="21" t="s">
        <v>979</v>
      </c>
      <c r="G925" s="21" t="str">
        <f>VLOOKUP(D925,[6]成飞半成品!$A:$B,2,0)</f>
        <v>翼尖接头</v>
      </c>
      <c r="H925" s="10" t="s">
        <v>154</v>
      </c>
      <c r="I925" s="10">
        <v>55</v>
      </c>
      <c r="J925" s="10" t="s">
        <v>2010</v>
      </c>
      <c r="K925" s="10">
        <v>3.5</v>
      </c>
      <c r="L925" s="10">
        <v>2.8</v>
      </c>
      <c r="M925" s="14">
        <v>23</v>
      </c>
      <c r="N925" s="14">
        <v>28</v>
      </c>
      <c r="O925" s="55" t="s">
        <v>980</v>
      </c>
      <c r="Q925" s="10">
        <v>540</v>
      </c>
      <c r="R925" s="10">
        <v>180</v>
      </c>
      <c r="T925" s="10">
        <v>3</v>
      </c>
      <c r="U925" s="10">
        <v>120</v>
      </c>
      <c r="W925" s="14"/>
      <c r="Y925" s="79">
        <v>34.200000000000003</v>
      </c>
      <c r="Z925" s="10" t="s">
        <v>52</v>
      </c>
    </row>
    <row r="926" spans="1:28" ht="23.1" customHeight="1" x14ac:dyDescent="0.25">
      <c r="A926" s="53" t="s">
        <v>909</v>
      </c>
      <c r="B926" s="10" t="s">
        <v>113</v>
      </c>
      <c r="C926" s="10">
        <v>121</v>
      </c>
      <c r="D926" s="31" t="s">
        <v>2566</v>
      </c>
      <c r="E926" s="41" t="s">
        <v>605</v>
      </c>
      <c r="F926" s="21" t="s">
        <v>605</v>
      </c>
      <c r="G926" s="21" t="str">
        <f>VLOOKUP(D926,[6]成飞半成品!$A:$B,2,0)</f>
        <v>固定前缘边肋</v>
      </c>
      <c r="H926" s="10" t="s">
        <v>107</v>
      </c>
      <c r="I926" s="10">
        <v>55</v>
      </c>
      <c r="J926" s="10" t="s">
        <v>2097</v>
      </c>
      <c r="K926" s="10">
        <v>0.3</v>
      </c>
      <c r="L926" s="10">
        <v>0.3</v>
      </c>
      <c r="M926" s="14">
        <v>5</v>
      </c>
      <c r="N926" s="14"/>
      <c r="O926" s="55" t="s">
        <v>545</v>
      </c>
      <c r="Q926" s="10">
        <v>1040</v>
      </c>
      <c r="R926" s="10">
        <v>60</v>
      </c>
      <c r="U926" s="10">
        <v>120</v>
      </c>
      <c r="W926" s="14"/>
      <c r="Y926" s="79">
        <v>5.2</v>
      </c>
      <c r="Z926" s="10" t="s">
        <v>52</v>
      </c>
    </row>
    <row r="927" spans="1:28" ht="23.1" customHeight="1" x14ac:dyDescent="0.25">
      <c r="A927" s="53" t="s">
        <v>909</v>
      </c>
      <c r="B927" s="10" t="s">
        <v>113</v>
      </c>
      <c r="C927" s="10">
        <v>121</v>
      </c>
      <c r="D927" s="10" t="s">
        <v>981</v>
      </c>
      <c r="E927" s="41" t="s">
        <v>982</v>
      </c>
      <c r="F927" s="21" t="s">
        <v>982</v>
      </c>
      <c r="G927" s="21" t="str">
        <f>VLOOKUP(D927,[6]成飞半成品!$A:$B,2,0)</f>
        <v>纵向加强件</v>
      </c>
      <c r="H927" s="10" t="s">
        <v>250</v>
      </c>
      <c r="I927" s="10">
        <v>50</v>
      </c>
      <c r="J927" s="10" t="s">
        <v>2102</v>
      </c>
      <c r="M927" s="14"/>
      <c r="N927" s="14"/>
      <c r="O927" s="55" t="s">
        <v>199</v>
      </c>
      <c r="Q927" s="10">
        <v>660</v>
      </c>
      <c r="R927" s="10">
        <v>60</v>
      </c>
      <c r="U927" s="10">
        <v>120</v>
      </c>
      <c r="W927" s="14"/>
      <c r="X927" s="14">
        <v>5</v>
      </c>
      <c r="Y927" s="83">
        <v>5</v>
      </c>
      <c r="Z927" s="10" t="s">
        <v>52</v>
      </c>
      <c r="AA927" s="14" t="s">
        <v>983</v>
      </c>
    </row>
    <row r="928" spans="1:28" ht="23.1" customHeight="1" x14ac:dyDescent="0.25">
      <c r="A928" s="53" t="s">
        <v>909</v>
      </c>
      <c r="B928" s="10" t="s">
        <v>113</v>
      </c>
      <c r="C928" s="10">
        <v>23</v>
      </c>
      <c r="D928" s="10" t="s">
        <v>2555</v>
      </c>
      <c r="E928" s="41" t="s">
        <v>791</v>
      </c>
      <c r="F928" s="21" t="s">
        <v>791</v>
      </c>
      <c r="G928" s="21" t="str">
        <f>VLOOKUP(D928,[6]成飞半成品!$A:$B,2,0)</f>
        <v>8270左隔框</v>
      </c>
      <c r="H928" s="10" t="s">
        <v>118</v>
      </c>
      <c r="I928" s="10">
        <v>70</v>
      </c>
      <c r="J928" s="10" t="s">
        <v>2103</v>
      </c>
      <c r="K928" s="10">
        <v>2</v>
      </c>
      <c r="L928" s="10">
        <v>2</v>
      </c>
      <c r="M928" s="14">
        <v>23</v>
      </c>
      <c r="N928" s="14">
        <v>23</v>
      </c>
      <c r="O928" s="55" t="s">
        <v>985</v>
      </c>
      <c r="Q928" s="10">
        <v>60</v>
      </c>
      <c r="R928" s="10">
        <v>60</v>
      </c>
      <c r="T928" s="10">
        <v>2</v>
      </c>
      <c r="U928" s="10">
        <v>60</v>
      </c>
      <c r="W928" s="14"/>
      <c r="Y928" s="79">
        <v>4</v>
      </c>
      <c r="Z928" s="10" t="s">
        <v>33</v>
      </c>
    </row>
    <row r="929" spans="1:28" ht="23.1" customHeight="1" x14ac:dyDescent="0.25">
      <c r="A929" s="53" t="s">
        <v>909</v>
      </c>
      <c r="B929" s="10" t="s">
        <v>113</v>
      </c>
      <c r="C929" s="10">
        <v>23</v>
      </c>
      <c r="D929" s="10" t="s">
        <v>2556</v>
      </c>
      <c r="E929" s="41" t="s">
        <v>791</v>
      </c>
      <c r="F929" s="21" t="s">
        <v>791</v>
      </c>
      <c r="G929" s="21" t="str">
        <f>VLOOKUP(D929,[6]成飞半成品!$A:$B,2,0)</f>
        <v>8270右隔框</v>
      </c>
      <c r="H929" s="10" t="s">
        <v>118</v>
      </c>
      <c r="I929" s="10">
        <v>70</v>
      </c>
      <c r="J929" s="10" t="s">
        <v>2103</v>
      </c>
      <c r="K929" s="10">
        <v>2</v>
      </c>
      <c r="L929" s="10">
        <v>2</v>
      </c>
      <c r="M929" s="14">
        <v>23</v>
      </c>
      <c r="N929" s="14">
        <v>23</v>
      </c>
      <c r="O929" s="55" t="s">
        <v>985</v>
      </c>
      <c r="Q929" s="10">
        <v>60</v>
      </c>
      <c r="R929" s="10">
        <v>60</v>
      </c>
      <c r="T929" s="10">
        <v>2</v>
      </c>
      <c r="U929" s="10">
        <v>60</v>
      </c>
      <c r="W929" s="14"/>
      <c r="Y929" s="79">
        <v>4</v>
      </c>
      <c r="Z929" s="10" t="s">
        <v>33</v>
      </c>
    </row>
    <row r="930" spans="1:28" ht="23.1" customHeight="1" x14ac:dyDescent="0.25">
      <c r="A930" s="53" t="s">
        <v>909</v>
      </c>
      <c r="B930" s="10" t="s">
        <v>113</v>
      </c>
      <c r="C930" s="10">
        <v>23</v>
      </c>
      <c r="D930" s="10" t="s">
        <v>987</v>
      </c>
      <c r="E930" s="41" t="s">
        <v>988</v>
      </c>
      <c r="F930" s="21" t="s">
        <v>988</v>
      </c>
      <c r="G930" s="21" t="str">
        <f>VLOOKUP(D930,[6]成飞半成品!$A:$B,2,0)</f>
        <v>8270左隔框</v>
      </c>
      <c r="H930" s="10" t="s">
        <v>118</v>
      </c>
      <c r="I930" s="10">
        <v>5</v>
      </c>
      <c r="J930" s="10" t="s">
        <v>1930</v>
      </c>
      <c r="K930" s="10">
        <v>3</v>
      </c>
      <c r="L930" s="10">
        <v>3</v>
      </c>
      <c r="M930" s="14">
        <v>28</v>
      </c>
      <c r="N930" s="14">
        <v>28</v>
      </c>
      <c r="O930" s="55" t="s">
        <v>989</v>
      </c>
      <c r="Q930" s="10">
        <v>150</v>
      </c>
      <c r="R930" s="10">
        <v>60</v>
      </c>
      <c r="T930" s="10">
        <v>3</v>
      </c>
      <c r="U930" s="10">
        <v>60</v>
      </c>
      <c r="W930" s="14">
        <v>1</v>
      </c>
      <c r="Y930" s="79">
        <v>11.5</v>
      </c>
      <c r="Z930" s="10" t="s">
        <v>33</v>
      </c>
    </row>
    <row r="931" spans="1:28" ht="23.1" customHeight="1" x14ac:dyDescent="0.25">
      <c r="A931" s="53" t="s">
        <v>909</v>
      </c>
      <c r="B931" s="10" t="s">
        <v>113</v>
      </c>
      <c r="C931" s="10">
        <v>23</v>
      </c>
      <c r="D931" s="10" t="s">
        <v>990</v>
      </c>
      <c r="E931" s="41" t="s">
        <v>991</v>
      </c>
      <c r="F931" s="21" t="s">
        <v>991</v>
      </c>
      <c r="G931" s="21" t="str">
        <f>VLOOKUP(D931,[6]成飞半成品!$A:$B,2,0)</f>
        <v>8270右隔框</v>
      </c>
      <c r="H931" s="10" t="s">
        <v>118</v>
      </c>
      <c r="I931" s="10">
        <v>5</v>
      </c>
      <c r="J931" s="10" t="s">
        <v>1930</v>
      </c>
      <c r="K931" s="10">
        <v>3</v>
      </c>
      <c r="L931" s="10">
        <v>3</v>
      </c>
      <c r="M931" s="14">
        <v>28</v>
      </c>
      <c r="N931" s="14">
        <v>28</v>
      </c>
      <c r="O931" s="55" t="s">
        <v>989</v>
      </c>
      <c r="Q931" s="10">
        <v>150</v>
      </c>
      <c r="R931" s="10">
        <v>60</v>
      </c>
      <c r="T931" s="10">
        <v>3</v>
      </c>
      <c r="U931" s="10">
        <v>60</v>
      </c>
      <c r="W931" s="14">
        <v>1</v>
      </c>
      <c r="Y931" s="79">
        <v>11.5</v>
      </c>
      <c r="Z931" s="10" t="s">
        <v>33</v>
      </c>
    </row>
    <row r="932" spans="1:28" ht="23.1" customHeight="1" x14ac:dyDescent="0.25">
      <c r="A932" s="53" t="s">
        <v>909</v>
      </c>
      <c r="B932" s="10" t="s">
        <v>113</v>
      </c>
      <c r="C932" s="10">
        <v>47</v>
      </c>
      <c r="D932" s="10" t="s">
        <v>826</v>
      </c>
      <c r="E932" s="41" t="s">
        <v>827</v>
      </c>
      <c r="F932" s="21" t="s">
        <v>827</v>
      </c>
      <c r="G932" s="21" t="str">
        <f>VLOOKUP(D932,[6]成飞半成品!$A:$B,2,0)</f>
        <v>BL900侧梁</v>
      </c>
      <c r="H932" s="10" t="s">
        <v>118</v>
      </c>
      <c r="I932" s="10">
        <v>15</v>
      </c>
      <c r="J932" s="10" t="s">
        <v>2071</v>
      </c>
      <c r="K932" s="10">
        <v>0.5</v>
      </c>
      <c r="L932" s="10">
        <v>0.6</v>
      </c>
      <c r="M932" s="14">
        <v>9</v>
      </c>
      <c r="N932" s="14"/>
      <c r="O932" s="55" t="s">
        <v>860</v>
      </c>
      <c r="Q932" s="10">
        <v>1440</v>
      </c>
      <c r="R932" s="10">
        <v>90</v>
      </c>
      <c r="U932" s="10">
        <v>90</v>
      </c>
      <c r="W932" s="14"/>
      <c r="Y932" s="79">
        <v>14.4</v>
      </c>
      <c r="Z932" s="10" t="s">
        <v>33</v>
      </c>
    </row>
    <row r="933" spans="1:28" ht="23.1" customHeight="1" x14ac:dyDescent="0.25">
      <c r="A933" s="53" t="s">
        <v>909</v>
      </c>
      <c r="B933" s="10" t="s">
        <v>113</v>
      </c>
      <c r="C933" s="10">
        <v>17</v>
      </c>
      <c r="D933" s="10" t="s">
        <v>916</v>
      </c>
      <c r="E933" s="41" t="s">
        <v>917</v>
      </c>
      <c r="F933" s="21" t="s">
        <v>917</v>
      </c>
      <c r="G933" s="21" t="str">
        <f>VLOOKUP(D933,[6]成飞半成品!$A:$B,2,0)</f>
        <v>座子</v>
      </c>
      <c r="H933" s="10" t="s">
        <v>250</v>
      </c>
      <c r="I933" s="10">
        <v>25</v>
      </c>
      <c r="J933" s="10" t="s">
        <v>2442</v>
      </c>
      <c r="L933" s="10">
        <v>6</v>
      </c>
      <c r="M933" s="14">
        <v>31</v>
      </c>
      <c r="N933" s="14">
        <v>19</v>
      </c>
      <c r="O933" s="55" t="s">
        <v>247</v>
      </c>
      <c r="Q933" s="10">
        <v>100</v>
      </c>
      <c r="U933" s="10">
        <v>60</v>
      </c>
      <c r="W933" s="14">
        <v>1</v>
      </c>
      <c r="Y933" s="79">
        <v>11</v>
      </c>
      <c r="Z933" s="10" t="s">
        <v>43</v>
      </c>
    </row>
    <row r="934" spans="1:28" ht="23.1" customHeight="1" x14ac:dyDescent="0.25">
      <c r="A934" s="53" t="s">
        <v>909</v>
      </c>
      <c r="B934" s="10" t="s">
        <v>113</v>
      </c>
      <c r="C934" s="10">
        <v>57</v>
      </c>
      <c r="D934" s="10" t="s">
        <v>698</v>
      </c>
      <c r="E934" s="41" t="s">
        <v>699</v>
      </c>
      <c r="F934" s="21" t="e">
        <v>#N/A</v>
      </c>
      <c r="G934" s="21" t="e">
        <f>VLOOKUP(D934,[6]成飞半成品!$A:$B,2,0)</f>
        <v>#N/A</v>
      </c>
      <c r="H934" s="10" t="s">
        <v>123</v>
      </c>
      <c r="I934" s="10">
        <v>20</v>
      </c>
      <c r="J934" s="10" t="s">
        <v>2076</v>
      </c>
      <c r="K934" s="10">
        <v>3</v>
      </c>
      <c r="L934" s="10">
        <v>3.5</v>
      </c>
      <c r="M934" s="14">
        <v>28</v>
      </c>
      <c r="N934" s="14">
        <v>26</v>
      </c>
      <c r="O934" s="55" t="s">
        <v>914</v>
      </c>
      <c r="Q934" s="10">
        <v>210</v>
      </c>
      <c r="U934" s="10">
        <v>90</v>
      </c>
      <c r="W934" s="14"/>
      <c r="Y934" s="79">
        <v>12.3</v>
      </c>
      <c r="Z934" s="10" t="s">
        <v>57</v>
      </c>
    </row>
    <row r="935" spans="1:28" ht="23.1" customHeight="1" x14ac:dyDescent="0.25">
      <c r="A935" s="53" t="s">
        <v>909</v>
      </c>
      <c r="B935" s="10" t="s">
        <v>113</v>
      </c>
      <c r="C935" s="10">
        <v>108</v>
      </c>
      <c r="D935" s="10" t="s">
        <v>992</v>
      </c>
      <c r="E935" s="41" t="s">
        <v>993</v>
      </c>
      <c r="F935" s="21" t="s">
        <v>993</v>
      </c>
      <c r="G935" s="21" t="str">
        <f>VLOOKUP(D935,[6]成飞半成品!$A:$B,2,0)</f>
        <v>内侧梁</v>
      </c>
      <c r="H935" s="10" t="s">
        <v>154</v>
      </c>
      <c r="I935" s="10">
        <v>5</v>
      </c>
      <c r="J935" s="10" t="s">
        <v>1957</v>
      </c>
      <c r="K935" s="10">
        <v>1</v>
      </c>
      <c r="L935" s="10">
        <v>1</v>
      </c>
      <c r="M935" s="14">
        <v>26</v>
      </c>
      <c r="N935" s="14"/>
      <c r="O935" s="55" t="s">
        <v>159</v>
      </c>
      <c r="Q935" s="10">
        <v>720</v>
      </c>
      <c r="R935" s="10">
        <v>60</v>
      </c>
      <c r="T935" s="10">
        <v>1</v>
      </c>
      <c r="U935" s="10">
        <v>90</v>
      </c>
      <c r="W935" s="14">
        <v>1</v>
      </c>
      <c r="Y935" s="79">
        <v>14.5</v>
      </c>
      <c r="Z935" s="10" t="s">
        <v>45</v>
      </c>
    </row>
    <row r="936" spans="1:28" ht="23.1" customHeight="1" x14ac:dyDescent="0.25">
      <c r="A936" s="53" t="s">
        <v>909</v>
      </c>
      <c r="B936" s="10" t="s">
        <v>113</v>
      </c>
      <c r="C936" s="10">
        <v>18</v>
      </c>
      <c r="D936" s="85" t="s">
        <v>2551</v>
      </c>
      <c r="E936" s="41" t="s">
        <v>599</v>
      </c>
      <c r="F936" s="21" t="e">
        <v>#N/A</v>
      </c>
      <c r="G936" s="21" t="str">
        <f>VLOOKUP(D936,[6]成飞半成品!$A:$B,2,0)</f>
        <v>工装</v>
      </c>
      <c r="I936" s="10">
        <v>30</v>
      </c>
      <c r="L936" s="10">
        <v>0.5</v>
      </c>
      <c r="M936" s="14"/>
      <c r="N936" s="14"/>
      <c r="O936" s="55" t="s">
        <v>108</v>
      </c>
      <c r="W936" s="14"/>
      <c r="X936" s="14">
        <v>8</v>
      </c>
      <c r="Y936" s="79">
        <v>8</v>
      </c>
      <c r="Z936" s="10" t="s">
        <v>43</v>
      </c>
      <c r="AA936" s="14" t="s">
        <v>994</v>
      </c>
      <c r="AB936" s="14" t="s">
        <v>957</v>
      </c>
    </row>
    <row r="937" spans="1:28" ht="23.1" customHeight="1" x14ac:dyDescent="0.25">
      <c r="A937" s="53" t="s">
        <v>909</v>
      </c>
      <c r="B937" s="10" t="s">
        <v>113</v>
      </c>
      <c r="C937" s="10">
        <v>11</v>
      </c>
      <c r="D937" s="85" t="s">
        <v>2551</v>
      </c>
      <c r="E937" s="41" t="s">
        <v>996</v>
      </c>
      <c r="F937" s="21" t="e">
        <v>#N/A</v>
      </c>
      <c r="G937" s="21" t="str">
        <f>VLOOKUP(D937,[6]成飞半成品!$A:$B,2,0)</f>
        <v>工装</v>
      </c>
      <c r="H937" s="10" t="s">
        <v>102</v>
      </c>
      <c r="L937" s="10">
        <v>2</v>
      </c>
      <c r="M937" s="14"/>
      <c r="N937" s="14"/>
      <c r="O937" s="55" t="s">
        <v>108</v>
      </c>
      <c r="W937" s="14"/>
      <c r="X937" s="14">
        <v>15</v>
      </c>
      <c r="Y937" s="79">
        <v>15</v>
      </c>
      <c r="Z937" s="10" t="s">
        <v>38</v>
      </c>
      <c r="AA937" s="14" t="s">
        <v>997</v>
      </c>
      <c r="AB937" s="14" t="s">
        <v>957</v>
      </c>
    </row>
    <row r="938" spans="1:28" ht="23.1" customHeight="1" x14ac:dyDescent="0.25">
      <c r="A938" s="53" t="s">
        <v>909</v>
      </c>
      <c r="B938" s="10" t="s">
        <v>113</v>
      </c>
      <c r="C938" s="10">
        <v>13</v>
      </c>
      <c r="D938" s="10" t="s">
        <v>654</v>
      </c>
      <c r="E938" s="41" t="s">
        <v>246</v>
      </c>
      <c r="F938" s="21" t="s">
        <v>246</v>
      </c>
      <c r="G938" s="21" t="str">
        <f>VLOOKUP(D938,[6]成飞半成品!$A:$B,2,0)</f>
        <v>外侧轴承盖</v>
      </c>
      <c r="H938" s="10" t="s">
        <v>154</v>
      </c>
      <c r="I938" s="10">
        <v>40</v>
      </c>
      <c r="J938" s="10" t="s">
        <v>1902</v>
      </c>
      <c r="K938" s="10">
        <v>1</v>
      </c>
      <c r="L938" s="10">
        <v>1</v>
      </c>
      <c r="M938" s="14">
        <v>23</v>
      </c>
      <c r="N938" s="14"/>
      <c r="O938" s="55" t="s">
        <v>247</v>
      </c>
      <c r="Q938" s="10">
        <v>230</v>
      </c>
      <c r="U938" s="10">
        <v>60</v>
      </c>
      <c r="W938" s="14"/>
      <c r="Y938" s="79">
        <v>3.8</v>
      </c>
      <c r="Z938" s="10" t="s">
        <v>72</v>
      </c>
    </row>
    <row r="939" spans="1:28" ht="23.1" customHeight="1" x14ac:dyDescent="0.25">
      <c r="A939" s="53" t="s">
        <v>909</v>
      </c>
      <c r="B939" s="10" t="s">
        <v>113</v>
      </c>
      <c r="C939" s="10">
        <v>13</v>
      </c>
      <c r="D939" s="10" t="s">
        <v>654</v>
      </c>
      <c r="E939" s="41" t="s">
        <v>246</v>
      </c>
      <c r="F939" s="21" t="s">
        <v>246</v>
      </c>
      <c r="G939" s="21" t="str">
        <f>VLOOKUP(D939,[6]成飞半成品!$A:$B,2,0)</f>
        <v>外侧轴承盖</v>
      </c>
      <c r="H939" s="10" t="s">
        <v>154</v>
      </c>
      <c r="I939" s="10">
        <v>45</v>
      </c>
      <c r="J939" s="10" t="s">
        <v>1954</v>
      </c>
      <c r="K939" s="10">
        <v>2</v>
      </c>
      <c r="L939" s="10">
        <v>3</v>
      </c>
      <c r="M939" s="14">
        <v>31</v>
      </c>
      <c r="N939" s="14">
        <v>19</v>
      </c>
      <c r="O939" s="55" t="s">
        <v>247</v>
      </c>
      <c r="Q939" s="10">
        <v>250</v>
      </c>
      <c r="U939" s="10">
        <v>60</v>
      </c>
      <c r="W939" s="14">
        <v>1</v>
      </c>
      <c r="Y939" s="79">
        <v>13.5</v>
      </c>
      <c r="Z939" s="10" t="s">
        <v>72</v>
      </c>
    </row>
    <row r="940" spans="1:28" ht="23.1" customHeight="1" x14ac:dyDescent="0.25">
      <c r="A940" s="53" t="s">
        <v>909</v>
      </c>
      <c r="B940" s="10" t="s">
        <v>113</v>
      </c>
      <c r="C940" s="10">
        <v>12</v>
      </c>
      <c r="D940" s="10" t="s">
        <v>735</v>
      </c>
      <c r="E940" s="41" t="s">
        <v>249</v>
      </c>
      <c r="F940" s="21" t="s">
        <v>249</v>
      </c>
      <c r="G940" s="21" t="str">
        <f>VLOOKUP(D940,[6]成飞半成品!$A:$B,2,0)</f>
        <v>10060下接头</v>
      </c>
      <c r="H940" s="10" t="s">
        <v>250</v>
      </c>
      <c r="I940" s="10">
        <v>15</v>
      </c>
      <c r="J940" s="10" t="s">
        <v>1903</v>
      </c>
      <c r="K940" s="10">
        <v>1.5</v>
      </c>
      <c r="L940" s="10">
        <v>1.5</v>
      </c>
      <c r="M940" s="14">
        <v>23</v>
      </c>
      <c r="N940" s="14">
        <v>19</v>
      </c>
      <c r="O940" s="55" t="s">
        <v>998</v>
      </c>
      <c r="Q940" s="10">
        <v>600</v>
      </c>
      <c r="U940" s="10">
        <v>120</v>
      </c>
      <c r="W940" s="14"/>
      <c r="Y940" s="79">
        <v>15</v>
      </c>
      <c r="Z940" s="10" t="s">
        <v>72</v>
      </c>
    </row>
    <row r="941" spans="1:28" ht="23.1" customHeight="1" x14ac:dyDescent="0.25">
      <c r="A941" s="53" t="s">
        <v>909</v>
      </c>
      <c r="B941" s="10" t="s">
        <v>113</v>
      </c>
      <c r="C941" s="10">
        <v>22</v>
      </c>
      <c r="D941" s="10" t="s">
        <v>635</v>
      </c>
      <c r="E941" s="41" t="s">
        <v>612</v>
      </c>
      <c r="F941" s="21" t="s">
        <v>612</v>
      </c>
      <c r="G941" s="21" t="str">
        <f>VLOOKUP(D941,[6]成飞半成品!$A:$B,2,0)</f>
        <v>前梁二段</v>
      </c>
      <c r="H941" s="10" t="s">
        <v>102</v>
      </c>
      <c r="I941" s="10">
        <v>5</v>
      </c>
      <c r="J941" s="10" t="s">
        <v>1957</v>
      </c>
      <c r="K941" s="10">
        <v>0.7</v>
      </c>
      <c r="L941" s="10">
        <v>0.7</v>
      </c>
      <c r="M941" s="14">
        <v>28</v>
      </c>
      <c r="N941" s="14"/>
      <c r="O941" s="55" t="s">
        <v>234</v>
      </c>
      <c r="Q941" s="10">
        <v>2400</v>
      </c>
      <c r="R941" s="10">
        <v>210</v>
      </c>
      <c r="U941" s="10">
        <v>210</v>
      </c>
      <c r="W941" s="14"/>
      <c r="Y941" s="79">
        <v>28</v>
      </c>
      <c r="Z941" s="10" t="s">
        <v>58</v>
      </c>
    </row>
    <row r="942" spans="1:28" ht="23.1" customHeight="1" x14ac:dyDescent="0.25">
      <c r="A942" s="53" t="s">
        <v>909</v>
      </c>
      <c r="B942" s="10" t="s">
        <v>113</v>
      </c>
      <c r="C942" s="10">
        <v>22</v>
      </c>
      <c r="D942" s="10" t="s">
        <v>635</v>
      </c>
      <c r="E942" s="41" t="s">
        <v>612</v>
      </c>
      <c r="F942" s="21" t="s">
        <v>612</v>
      </c>
      <c r="G942" s="21" t="str">
        <f>VLOOKUP(D942,[6]成飞半成品!$A:$B,2,0)</f>
        <v>前梁二段</v>
      </c>
      <c r="H942" s="10" t="s">
        <v>102</v>
      </c>
      <c r="I942" s="10">
        <v>45</v>
      </c>
      <c r="J942" s="10" t="s">
        <v>2015</v>
      </c>
      <c r="K942" s="10">
        <v>0.3</v>
      </c>
      <c r="L942" s="10">
        <v>0.1</v>
      </c>
      <c r="M942" s="14">
        <v>5</v>
      </c>
      <c r="N942" s="14"/>
      <c r="O942" s="55" t="s">
        <v>999</v>
      </c>
      <c r="Q942" s="10">
        <v>6000</v>
      </c>
      <c r="R942" s="10">
        <v>180</v>
      </c>
      <c r="U942" s="10">
        <v>180</v>
      </c>
      <c r="W942" s="14"/>
      <c r="Y942" s="79">
        <v>10</v>
      </c>
      <c r="Z942" s="10" t="s">
        <v>58</v>
      </c>
    </row>
    <row r="943" spans="1:28" ht="23.1" customHeight="1" x14ac:dyDescent="0.25">
      <c r="A943" s="53" t="s">
        <v>909</v>
      </c>
      <c r="B943" s="10" t="s">
        <v>113</v>
      </c>
      <c r="C943" s="10">
        <v>22</v>
      </c>
      <c r="D943" s="10" t="s">
        <v>611</v>
      </c>
      <c r="E943" s="41" t="s">
        <v>612</v>
      </c>
      <c r="F943" s="21" t="s">
        <v>612</v>
      </c>
      <c r="G943" s="21" t="str">
        <f>VLOOKUP(D943,[6]成飞半成品!$A:$B,2,0)</f>
        <v>前梁二段</v>
      </c>
      <c r="H943" s="10" t="s">
        <v>102</v>
      </c>
      <c r="I943" s="10">
        <v>5</v>
      </c>
      <c r="J943" s="10" t="s">
        <v>1957</v>
      </c>
      <c r="L943" s="10">
        <v>0.7</v>
      </c>
      <c r="M943" s="14">
        <v>37</v>
      </c>
      <c r="N943" s="14"/>
      <c r="O943" s="55" t="s">
        <v>159</v>
      </c>
      <c r="Q943" s="10">
        <v>2400</v>
      </c>
      <c r="R943" s="10">
        <v>210</v>
      </c>
      <c r="T943" s="10">
        <v>1</v>
      </c>
      <c r="U943" s="10">
        <v>210</v>
      </c>
      <c r="W943" s="14">
        <v>1</v>
      </c>
      <c r="Y943" s="79">
        <v>35</v>
      </c>
      <c r="Z943" s="10" t="s">
        <v>58</v>
      </c>
    </row>
    <row r="944" spans="1:28" ht="23.1" customHeight="1" x14ac:dyDescent="0.25">
      <c r="A944" s="53" t="s">
        <v>909</v>
      </c>
      <c r="B944" s="10" t="s">
        <v>113</v>
      </c>
      <c r="C944" s="10">
        <v>21</v>
      </c>
      <c r="D944" s="10" t="s">
        <v>321</v>
      </c>
      <c r="E944" s="41" t="s">
        <v>322</v>
      </c>
      <c r="F944" s="21" t="s">
        <v>322</v>
      </c>
      <c r="G944" s="21" t="str">
        <f>VLOOKUP(D944,[6]成飞半成品!$A:$B,2,0)</f>
        <v>10860框</v>
      </c>
      <c r="H944" s="10" t="s">
        <v>323</v>
      </c>
      <c r="I944" s="10">
        <v>40</v>
      </c>
      <c r="J944" s="10" t="s">
        <v>2443</v>
      </c>
      <c r="K944" s="10">
        <v>0.3</v>
      </c>
      <c r="L944" s="10">
        <v>0.1</v>
      </c>
      <c r="M944" s="14">
        <v>5</v>
      </c>
      <c r="N944" s="14"/>
      <c r="O944" s="55" t="s">
        <v>860</v>
      </c>
      <c r="Q944" s="10">
        <v>390</v>
      </c>
      <c r="R944" s="10">
        <v>120</v>
      </c>
      <c r="U944" s="10">
        <v>180</v>
      </c>
      <c r="W944" s="14"/>
      <c r="Y944" s="79">
        <v>0.7</v>
      </c>
      <c r="Z944" s="10" t="s">
        <v>58</v>
      </c>
    </row>
    <row r="945" spans="1:28" ht="23.1" customHeight="1" x14ac:dyDescent="0.25">
      <c r="A945" s="53" t="s">
        <v>909</v>
      </c>
      <c r="B945" s="10" t="s">
        <v>113</v>
      </c>
      <c r="C945" s="10">
        <v>21</v>
      </c>
      <c r="D945" s="10" t="s">
        <v>321</v>
      </c>
      <c r="E945" s="41" t="s">
        <v>322</v>
      </c>
      <c r="F945" s="21" t="s">
        <v>322</v>
      </c>
      <c r="G945" s="21" t="str">
        <f>VLOOKUP(D945,[6]成飞半成品!$A:$B,2,0)</f>
        <v>10860框</v>
      </c>
      <c r="H945" s="10" t="s">
        <v>323</v>
      </c>
      <c r="I945" s="10">
        <v>25</v>
      </c>
      <c r="J945" s="10" t="s">
        <v>2074</v>
      </c>
      <c r="K945" s="10">
        <v>1</v>
      </c>
      <c r="L945" s="10">
        <v>2</v>
      </c>
      <c r="M945" s="14">
        <v>28</v>
      </c>
      <c r="N945" s="14">
        <v>28</v>
      </c>
      <c r="O945" s="55" t="s">
        <v>1000</v>
      </c>
      <c r="Q945" s="10">
        <v>360</v>
      </c>
      <c r="R945" s="10">
        <v>120</v>
      </c>
      <c r="T945" s="10">
        <v>2</v>
      </c>
      <c r="U945" s="10">
        <v>180</v>
      </c>
      <c r="W945" s="14">
        <v>1</v>
      </c>
      <c r="Y945" s="79">
        <v>19</v>
      </c>
      <c r="Z945" s="10" t="s">
        <v>58</v>
      </c>
    </row>
    <row r="946" spans="1:28" ht="23.1" customHeight="1" x14ac:dyDescent="0.25">
      <c r="A946" s="53" t="s">
        <v>909</v>
      </c>
      <c r="B946" s="10" t="s">
        <v>113</v>
      </c>
      <c r="C946" s="10">
        <v>11</v>
      </c>
      <c r="D946" s="10" t="s">
        <v>2565</v>
      </c>
      <c r="E946" s="41" t="s">
        <v>691</v>
      </c>
      <c r="F946" s="21" t="s">
        <v>691</v>
      </c>
      <c r="G946" s="21" t="str">
        <f>VLOOKUP(D946,[6]成飞半成品!$A:$B,2,0)</f>
        <v>地板嵌入接头</v>
      </c>
      <c r="H946" s="10" t="s">
        <v>123</v>
      </c>
      <c r="I946" s="10">
        <v>35</v>
      </c>
      <c r="J946" s="10" t="s">
        <v>2444</v>
      </c>
      <c r="K946" s="10">
        <v>1.3</v>
      </c>
      <c r="L946" s="10">
        <v>2</v>
      </c>
      <c r="M946" s="14">
        <v>9</v>
      </c>
      <c r="N946" s="14">
        <v>9</v>
      </c>
      <c r="O946" s="55" t="s">
        <v>1001</v>
      </c>
      <c r="Q946" s="10">
        <v>410</v>
      </c>
      <c r="U946" s="10">
        <v>90</v>
      </c>
      <c r="W946" s="14"/>
      <c r="Y946" s="79">
        <v>13.7</v>
      </c>
      <c r="Z946" s="10" t="s">
        <v>38</v>
      </c>
    </row>
    <row r="947" spans="1:28" ht="23.1" customHeight="1" x14ac:dyDescent="0.25">
      <c r="A947" s="53" t="s">
        <v>1002</v>
      </c>
      <c r="B947" s="10" t="s">
        <v>110</v>
      </c>
      <c r="C947" s="10">
        <v>21</v>
      </c>
      <c r="D947" s="10" t="s">
        <v>321</v>
      </c>
      <c r="E947" s="41" t="s">
        <v>322</v>
      </c>
      <c r="F947" s="21" t="s">
        <v>322</v>
      </c>
      <c r="G947" s="21" t="str">
        <f>VLOOKUP(D947,[6]成飞半成品!$A:$B,2,0)</f>
        <v>10860框</v>
      </c>
      <c r="H947" s="10" t="s">
        <v>323</v>
      </c>
      <c r="I947" s="10">
        <v>30</v>
      </c>
      <c r="J947" s="10" t="s">
        <v>2078</v>
      </c>
      <c r="K947" s="10">
        <v>0.7</v>
      </c>
      <c r="L947" s="10">
        <v>0.7</v>
      </c>
      <c r="M947" s="14">
        <v>9</v>
      </c>
      <c r="N947" s="14"/>
      <c r="O947" s="55" t="s">
        <v>1003</v>
      </c>
      <c r="Q947" s="10">
        <v>360</v>
      </c>
      <c r="R947" s="10">
        <v>120</v>
      </c>
      <c r="U947" s="10">
        <v>180</v>
      </c>
      <c r="W947" s="14"/>
      <c r="Y947" s="79">
        <v>4.2</v>
      </c>
      <c r="Z947" s="10" t="s">
        <v>49</v>
      </c>
    </row>
    <row r="948" spans="1:28" ht="23.1" customHeight="1" x14ac:dyDescent="0.25">
      <c r="A948" s="53" t="s">
        <v>1002</v>
      </c>
      <c r="B948" s="10" t="s">
        <v>110</v>
      </c>
      <c r="C948" s="10">
        <v>21</v>
      </c>
      <c r="D948" s="10" t="s">
        <v>321</v>
      </c>
      <c r="E948" s="41" t="s">
        <v>322</v>
      </c>
      <c r="F948" s="21" t="s">
        <v>322</v>
      </c>
      <c r="G948" s="21" t="str">
        <f>VLOOKUP(D948,[6]成飞半成品!$A:$B,2,0)</f>
        <v>10860框</v>
      </c>
      <c r="H948" s="10" t="s">
        <v>323</v>
      </c>
      <c r="I948" s="10">
        <v>50</v>
      </c>
      <c r="J948" s="10" t="s">
        <v>1986</v>
      </c>
      <c r="K948" s="10">
        <v>0.5</v>
      </c>
      <c r="L948" s="10">
        <v>0.7</v>
      </c>
      <c r="M948" s="14">
        <v>5</v>
      </c>
      <c r="N948" s="14"/>
      <c r="O948" s="55" t="s">
        <v>860</v>
      </c>
      <c r="Q948" s="10">
        <v>630</v>
      </c>
      <c r="R948" s="10">
        <v>120</v>
      </c>
      <c r="U948" s="10">
        <v>180</v>
      </c>
      <c r="W948" s="14"/>
      <c r="Y948" s="79">
        <v>7.4</v>
      </c>
      <c r="Z948" s="10" t="s">
        <v>49</v>
      </c>
    </row>
    <row r="949" spans="1:28" ht="23.1" customHeight="1" x14ac:dyDescent="0.25">
      <c r="A949" s="53" t="s">
        <v>1002</v>
      </c>
      <c r="B949" s="10" t="s">
        <v>110</v>
      </c>
      <c r="C949" s="10">
        <v>22</v>
      </c>
      <c r="D949" s="10" t="s">
        <v>611</v>
      </c>
      <c r="E949" s="41" t="s">
        <v>612</v>
      </c>
      <c r="F949" s="21" t="s">
        <v>612</v>
      </c>
      <c r="G949" s="21" t="str">
        <f>VLOOKUP(D949,[6]成飞半成品!$A:$B,2,0)</f>
        <v>前梁二段</v>
      </c>
      <c r="H949" s="10" t="s">
        <v>102</v>
      </c>
      <c r="I949" s="10">
        <v>5</v>
      </c>
      <c r="J949" s="10" t="s">
        <v>1957</v>
      </c>
      <c r="K949" s="10">
        <v>0.6</v>
      </c>
      <c r="L949" s="10">
        <v>0.6</v>
      </c>
      <c r="M949" s="14">
        <v>31</v>
      </c>
      <c r="N949" s="14"/>
      <c r="O949" s="55" t="s">
        <v>234</v>
      </c>
      <c r="Q949" s="10">
        <v>2400</v>
      </c>
      <c r="R949" s="10">
        <v>210</v>
      </c>
      <c r="T949" s="10">
        <v>1</v>
      </c>
      <c r="U949" s="10">
        <v>210</v>
      </c>
      <c r="W949" s="14">
        <v>1</v>
      </c>
      <c r="Y949" s="79">
        <v>31</v>
      </c>
      <c r="Z949" s="10" t="s">
        <v>49</v>
      </c>
    </row>
    <row r="950" spans="1:28" ht="23.1" customHeight="1" x14ac:dyDescent="0.25">
      <c r="A950" s="53" t="s">
        <v>1002</v>
      </c>
      <c r="B950" s="10" t="s">
        <v>110</v>
      </c>
      <c r="C950" s="10">
        <v>57</v>
      </c>
      <c r="D950" s="10" t="s">
        <v>698</v>
      </c>
      <c r="E950" s="41" t="s">
        <v>699</v>
      </c>
      <c r="F950" s="21" t="e">
        <v>#N/A</v>
      </c>
      <c r="G950" s="21" t="e">
        <f>VLOOKUP(D950,[6]成飞半成品!$A:$B,2,0)</f>
        <v>#N/A</v>
      </c>
      <c r="H950" s="10" t="s">
        <v>123</v>
      </c>
      <c r="I950" s="10">
        <v>20</v>
      </c>
      <c r="J950" s="10" t="s">
        <v>2076</v>
      </c>
      <c r="K950" s="10">
        <v>2</v>
      </c>
      <c r="L950" s="10">
        <v>1.5</v>
      </c>
      <c r="M950" s="14">
        <v>26</v>
      </c>
      <c r="N950" s="14">
        <v>26</v>
      </c>
      <c r="O950" s="55" t="s">
        <v>1004</v>
      </c>
      <c r="Q950" s="10">
        <v>210</v>
      </c>
      <c r="U950" s="10">
        <v>90</v>
      </c>
      <c r="W950" s="14"/>
      <c r="Y950" s="79">
        <v>5.3</v>
      </c>
      <c r="Z950" s="10" t="s">
        <v>0</v>
      </c>
    </row>
    <row r="951" spans="1:28" ht="23.1" customHeight="1" x14ac:dyDescent="0.25">
      <c r="A951" s="53" t="s">
        <v>1002</v>
      </c>
      <c r="B951" s="10" t="s">
        <v>110</v>
      </c>
      <c r="C951" s="10">
        <v>58</v>
      </c>
      <c r="D951" s="10" t="s">
        <v>899</v>
      </c>
      <c r="E951" s="41" t="s">
        <v>409</v>
      </c>
      <c r="F951" s="21" t="s">
        <v>409</v>
      </c>
      <c r="G951" s="21" t="str">
        <f>VLOOKUP(D951,[6]成飞半成品!$A:$B,2,0)</f>
        <v>接头</v>
      </c>
      <c r="H951" s="10" t="s">
        <v>102</v>
      </c>
      <c r="I951" s="10">
        <v>40</v>
      </c>
      <c r="J951" s="10" t="s">
        <v>2080</v>
      </c>
      <c r="L951" s="10">
        <v>1</v>
      </c>
      <c r="M951" s="14">
        <v>9</v>
      </c>
      <c r="N951" s="14"/>
      <c r="O951" s="55" t="s">
        <v>596</v>
      </c>
      <c r="Q951" s="10">
        <v>20</v>
      </c>
      <c r="U951" s="10">
        <v>60</v>
      </c>
      <c r="W951" s="14">
        <v>1</v>
      </c>
      <c r="Y951" s="79">
        <v>1.3</v>
      </c>
      <c r="Z951" s="10" t="s">
        <v>0</v>
      </c>
    </row>
    <row r="952" spans="1:28" ht="23.1" customHeight="1" x14ac:dyDescent="0.25">
      <c r="A952" s="53" t="s">
        <v>1002</v>
      </c>
      <c r="B952" s="10" t="s">
        <v>110</v>
      </c>
      <c r="C952" s="10">
        <v>58</v>
      </c>
      <c r="D952" s="10" t="s">
        <v>899</v>
      </c>
      <c r="E952" s="41" t="s">
        <v>409</v>
      </c>
      <c r="F952" s="21" t="s">
        <v>409</v>
      </c>
      <c r="G952" s="21" t="str">
        <f>VLOOKUP(D952,[6]成飞半成品!$A:$B,2,0)</f>
        <v>接头</v>
      </c>
      <c r="H952" s="10" t="s">
        <v>102</v>
      </c>
      <c r="I952" s="10">
        <v>50</v>
      </c>
      <c r="J952" s="10" t="s">
        <v>2000</v>
      </c>
      <c r="L952" s="10">
        <v>1</v>
      </c>
      <c r="M952" s="14">
        <v>9</v>
      </c>
      <c r="N952" s="14"/>
      <c r="O952" s="55" t="s">
        <v>596</v>
      </c>
      <c r="Q952" s="10">
        <v>30</v>
      </c>
      <c r="U952" s="10">
        <v>60</v>
      </c>
      <c r="W952" s="14">
        <v>1</v>
      </c>
      <c r="X952" s="14">
        <v>3</v>
      </c>
      <c r="Y952" s="79">
        <v>4.5</v>
      </c>
      <c r="Z952" s="10" t="s">
        <v>0</v>
      </c>
      <c r="AA952" s="14" t="s">
        <v>955</v>
      </c>
      <c r="AB952" s="25" t="s">
        <v>238</v>
      </c>
    </row>
    <row r="953" spans="1:28" ht="23.1" customHeight="1" x14ac:dyDescent="0.25">
      <c r="A953" s="53" t="s">
        <v>1002</v>
      </c>
      <c r="B953" s="10" t="s">
        <v>110</v>
      </c>
      <c r="C953" s="10">
        <v>58</v>
      </c>
      <c r="D953" s="10" t="s">
        <v>899</v>
      </c>
      <c r="E953" s="41" t="s">
        <v>409</v>
      </c>
      <c r="F953" s="21" t="s">
        <v>409</v>
      </c>
      <c r="G953" s="21" t="str">
        <f>VLOOKUP(D953,[6]成飞半成品!$A:$B,2,0)</f>
        <v>接头</v>
      </c>
      <c r="H953" s="10" t="s">
        <v>102</v>
      </c>
      <c r="I953" s="10">
        <v>55</v>
      </c>
      <c r="J953" s="10" t="s">
        <v>2105</v>
      </c>
      <c r="L953" s="10">
        <v>1</v>
      </c>
      <c r="M953" s="14">
        <v>26</v>
      </c>
      <c r="N953" s="14"/>
      <c r="O953" s="55" t="s">
        <v>596</v>
      </c>
      <c r="Q953" s="10">
        <v>30</v>
      </c>
      <c r="U953" s="10">
        <v>60</v>
      </c>
      <c r="W953" s="14">
        <v>1</v>
      </c>
      <c r="X953" s="14">
        <v>2</v>
      </c>
      <c r="Y953" s="79">
        <v>3.5</v>
      </c>
      <c r="Z953" s="10" t="s">
        <v>0</v>
      </c>
      <c r="AA953" s="14" t="s">
        <v>926</v>
      </c>
      <c r="AB953" s="25" t="s">
        <v>238</v>
      </c>
    </row>
    <row r="954" spans="1:28" ht="23.1" customHeight="1" x14ac:dyDescent="0.25">
      <c r="A954" s="53" t="s">
        <v>1002</v>
      </c>
      <c r="B954" s="10" t="s">
        <v>110</v>
      </c>
      <c r="C954" s="10">
        <v>59</v>
      </c>
      <c r="D954" s="10" t="s">
        <v>753</v>
      </c>
      <c r="E954" s="41" t="s">
        <v>409</v>
      </c>
      <c r="F954" s="21" t="s">
        <v>409</v>
      </c>
      <c r="G954" s="21" t="str">
        <f>VLOOKUP(D954,[6]成飞半成品!$A:$B,2,0)</f>
        <v>接头</v>
      </c>
      <c r="H954" s="10" t="s">
        <v>102</v>
      </c>
      <c r="I954" s="10">
        <v>20</v>
      </c>
      <c r="J954" s="10" t="s">
        <v>2106</v>
      </c>
      <c r="L954" s="10">
        <v>8</v>
      </c>
      <c r="M954" s="14">
        <v>19</v>
      </c>
      <c r="N954" s="14">
        <v>26</v>
      </c>
      <c r="O954" s="55" t="s">
        <v>596</v>
      </c>
      <c r="Q954" s="10">
        <v>25</v>
      </c>
      <c r="U954" s="10">
        <v>60</v>
      </c>
      <c r="W954" s="14">
        <v>1</v>
      </c>
      <c r="X954" s="14">
        <v>5</v>
      </c>
      <c r="Y954" s="79">
        <v>9.3000000000000007</v>
      </c>
      <c r="Z954" s="10" t="s">
        <v>6</v>
      </c>
      <c r="AA954" s="14" t="s">
        <v>1005</v>
      </c>
      <c r="AB954" s="14" t="s">
        <v>957</v>
      </c>
    </row>
    <row r="955" spans="1:28" ht="23.1" customHeight="1" x14ac:dyDescent="0.25">
      <c r="A955" s="53" t="s">
        <v>1002</v>
      </c>
      <c r="B955" s="10" t="s">
        <v>110</v>
      </c>
      <c r="C955" s="10">
        <v>14</v>
      </c>
      <c r="D955" s="10" t="s">
        <v>235</v>
      </c>
      <c r="E955" s="41" t="s">
        <v>236</v>
      </c>
      <c r="F955" s="21" t="s">
        <v>236</v>
      </c>
      <c r="G955" s="21" t="str">
        <f>VLOOKUP(D955,[6]成飞半成品!$A:$B,2,0)</f>
        <v>右外侧接头</v>
      </c>
      <c r="H955" s="10" t="s">
        <v>154</v>
      </c>
      <c r="I955" s="10">
        <v>70</v>
      </c>
      <c r="J955" s="10" t="s">
        <v>1995</v>
      </c>
      <c r="K955" s="10">
        <v>0.7</v>
      </c>
      <c r="L955" s="10">
        <v>0.4</v>
      </c>
      <c r="M955" s="14">
        <v>9</v>
      </c>
      <c r="N955" s="14"/>
      <c r="O955" s="55" t="s">
        <v>234</v>
      </c>
      <c r="Q955" s="10">
        <v>1320</v>
      </c>
      <c r="U955" s="10">
        <v>120</v>
      </c>
      <c r="W955" s="14"/>
      <c r="Y955" s="79">
        <v>8.8000000000000007</v>
      </c>
      <c r="Z955" s="10" t="s">
        <v>60</v>
      </c>
    </row>
    <row r="956" spans="1:28" ht="23.1" customHeight="1" x14ac:dyDescent="0.25">
      <c r="A956" s="53" t="s">
        <v>1002</v>
      </c>
      <c r="B956" s="10" t="s">
        <v>110</v>
      </c>
      <c r="C956" s="10">
        <v>14</v>
      </c>
      <c r="D956" s="10" t="s">
        <v>235</v>
      </c>
      <c r="E956" s="41" t="s">
        <v>236</v>
      </c>
      <c r="F956" s="21" t="s">
        <v>236</v>
      </c>
      <c r="G956" s="21" t="str">
        <f>VLOOKUP(D956,[6]成飞半成品!$A:$B,2,0)</f>
        <v>右外侧接头</v>
      </c>
      <c r="H956" s="10" t="s">
        <v>154</v>
      </c>
      <c r="I956" s="10">
        <v>75</v>
      </c>
      <c r="J956" s="10" t="s">
        <v>2041</v>
      </c>
      <c r="L956" s="10">
        <v>1</v>
      </c>
      <c r="M956" s="14">
        <v>23</v>
      </c>
      <c r="N956" s="14"/>
      <c r="O956" s="55" t="s">
        <v>234</v>
      </c>
      <c r="Q956" s="10">
        <v>300</v>
      </c>
      <c r="U956" s="10">
        <v>120</v>
      </c>
      <c r="W956" s="14">
        <v>1</v>
      </c>
      <c r="X956" s="14">
        <v>3</v>
      </c>
      <c r="Y956" s="79">
        <v>10</v>
      </c>
      <c r="Z956" s="10" t="s">
        <v>60</v>
      </c>
      <c r="AA956" s="14" t="s">
        <v>1006</v>
      </c>
    </row>
    <row r="957" spans="1:28" ht="23.1" customHeight="1" x14ac:dyDescent="0.25">
      <c r="A957" s="53" t="s">
        <v>1002</v>
      </c>
      <c r="B957" s="10" t="s">
        <v>110</v>
      </c>
      <c r="C957" s="10">
        <v>14</v>
      </c>
      <c r="D957" s="10" t="s">
        <v>116</v>
      </c>
      <c r="E957" s="41" t="s">
        <v>117</v>
      </c>
      <c r="F957" s="21" t="s">
        <v>117</v>
      </c>
      <c r="G957" s="21" t="str">
        <f>VLOOKUP(D957,[6]成飞半成品!$A:$B,2,0)</f>
        <v>7820~8270侧上梁</v>
      </c>
      <c r="H957" s="10" t="s">
        <v>118</v>
      </c>
      <c r="I957" s="10">
        <v>5</v>
      </c>
      <c r="J957" s="10" t="s">
        <v>1930</v>
      </c>
      <c r="L957" s="10">
        <v>6</v>
      </c>
      <c r="M957" s="14">
        <v>19</v>
      </c>
      <c r="N957" s="14">
        <v>19</v>
      </c>
      <c r="O957" s="55" t="s">
        <v>256</v>
      </c>
      <c r="Q957" s="10">
        <v>80</v>
      </c>
      <c r="U957" s="10">
        <v>60</v>
      </c>
      <c r="W957" s="14"/>
      <c r="Y957" s="79">
        <v>8</v>
      </c>
      <c r="Z957" s="10" t="s">
        <v>60</v>
      </c>
    </row>
    <row r="958" spans="1:28" ht="23.1" customHeight="1" x14ac:dyDescent="0.25">
      <c r="A958" s="53" t="s">
        <v>1002</v>
      </c>
      <c r="B958" s="10" t="s">
        <v>110</v>
      </c>
      <c r="C958" s="10">
        <v>14</v>
      </c>
      <c r="D958" s="10" t="s">
        <v>116</v>
      </c>
      <c r="E958" s="41" t="s">
        <v>117</v>
      </c>
      <c r="F958" s="21" t="s">
        <v>117</v>
      </c>
      <c r="G958" s="21" t="str">
        <f>VLOOKUP(D958,[6]成飞半成品!$A:$B,2,0)</f>
        <v>7820~8270侧上梁</v>
      </c>
      <c r="H958" s="10" t="s">
        <v>118</v>
      </c>
      <c r="I958" s="10">
        <v>7</v>
      </c>
      <c r="L958" s="10">
        <v>6</v>
      </c>
      <c r="M958" s="14">
        <v>19</v>
      </c>
      <c r="N958" s="14">
        <v>19</v>
      </c>
      <c r="O958" s="55" t="s">
        <v>256</v>
      </c>
      <c r="P958" s="10">
        <v>80</v>
      </c>
      <c r="W958" s="14"/>
      <c r="Y958" s="83">
        <v>8</v>
      </c>
      <c r="Z958" s="10" t="s">
        <v>60</v>
      </c>
    </row>
    <row r="959" spans="1:28" ht="23.1" customHeight="1" x14ac:dyDescent="0.25">
      <c r="A959" s="53" t="s">
        <v>1002</v>
      </c>
      <c r="B959" s="10" t="s">
        <v>110</v>
      </c>
      <c r="C959" s="10">
        <v>14</v>
      </c>
      <c r="D959" s="10" t="s">
        <v>116</v>
      </c>
      <c r="E959" s="41" t="s">
        <v>117</v>
      </c>
      <c r="F959" s="21" t="s">
        <v>117</v>
      </c>
      <c r="G959" s="21" t="str">
        <f>VLOOKUP(D959,[6]成飞半成品!$A:$B,2,0)</f>
        <v>7820~8270侧上梁</v>
      </c>
      <c r="H959" s="10" t="s">
        <v>118</v>
      </c>
      <c r="I959" s="10">
        <v>8</v>
      </c>
      <c r="L959" s="10">
        <v>6</v>
      </c>
      <c r="M959" s="14">
        <v>19</v>
      </c>
      <c r="N959" s="14">
        <v>19</v>
      </c>
      <c r="O959" s="55" t="s">
        <v>256</v>
      </c>
      <c r="P959" s="10">
        <v>90</v>
      </c>
      <c r="W959" s="14"/>
      <c r="Y959" s="83">
        <v>9</v>
      </c>
      <c r="Z959" s="10" t="s">
        <v>60</v>
      </c>
    </row>
    <row r="960" spans="1:28" ht="23.1" customHeight="1" x14ac:dyDescent="0.25">
      <c r="A960" s="53" t="s">
        <v>1002</v>
      </c>
      <c r="B960" s="10" t="s">
        <v>110</v>
      </c>
      <c r="C960" s="10">
        <v>15</v>
      </c>
      <c r="D960" s="10" t="s">
        <v>116</v>
      </c>
      <c r="E960" s="41" t="s">
        <v>117</v>
      </c>
      <c r="F960" s="21" t="s">
        <v>117</v>
      </c>
      <c r="G960" s="21" t="str">
        <f>VLOOKUP(D960,[6]成飞半成品!$A:$B,2,0)</f>
        <v>7820~8270侧上梁</v>
      </c>
      <c r="H960" s="10" t="s">
        <v>118</v>
      </c>
      <c r="I960" s="10">
        <v>5</v>
      </c>
      <c r="J960" s="10" t="s">
        <v>1930</v>
      </c>
      <c r="L960" s="10">
        <v>6</v>
      </c>
      <c r="M960" s="14">
        <v>19</v>
      </c>
      <c r="N960" s="14">
        <v>19</v>
      </c>
      <c r="O960" s="55" t="s">
        <v>256</v>
      </c>
      <c r="Q960" s="10">
        <v>80</v>
      </c>
      <c r="U960" s="10">
        <v>60</v>
      </c>
      <c r="W960" s="14">
        <v>1</v>
      </c>
      <c r="Y960" s="79">
        <v>9</v>
      </c>
      <c r="Z960" s="10" t="s">
        <v>60</v>
      </c>
    </row>
    <row r="961" spans="1:28" ht="23.1" customHeight="1" x14ac:dyDescent="0.25">
      <c r="A961" s="53" t="s">
        <v>1002</v>
      </c>
      <c r="B961" s="10" t="s">
        <v>110</v>
      </c>
      <c r="C961" s="10">
        <v>15</v>
      </c>
      <c r="D961" s="10" t="s">
        <v>116</v>
      </c>
      <c r="E961" s="41" t="s">
        <v>117</v>
      </c>
      <c r="F961" s="21" t="s">
        <v>117</v>
      </c>
      <c r="G961" s="21" t="str">
        <f>VLOOKUP(D961,[6]成飞半成品!$A:$B,2,0)</f>
        <v>7820~8270侧上梁</v>
      </c>
      <c r="H961" s="10" t="s">
        <v>118</v>
      </c>
      <c r="I961" s="10">
        <v>7</v>
      </c>
      <c r="L961" s="10">
        <v>6</v>
      </c>
      <c r="M961" s="14">
        <v>19</v>
      </c>
      <c r="N961" s="14">
        <v>19</v>
      </c>
      <c r="O961" s="55" t="s">
        <v>256</v>
      </c>
      <c r="P961" s="10">
        <v>80</v>
      </c>
      <c r="U961" s="10">
        <v>60</v>
      </c>
      <c r="W961" s="14">
        <v>1</v>
      </c>
      <c r="Y961" s="83">
        <v>8</v>
      </c>
      <c r="Z961" s="10" t="s">
        <v>60</v>
      </c>
    </row>
    <row r="962" spans="1:28" ht="23.1" customHeight="1" x14ac:dyDescent="0.25">
      <c r="A962" s="53" t="s">
        <v>1002</v>
      </c>
      <c r="B962" s="10" t="s">
        <v>110</v>
      </c>
      <c r="C962" s="10">
        <v>15</v>
      </c>
      <c r="D962" s="10" t="s">
        <v>116</v>
      </c>
      <c r="E962" s="41" t="s">
        <v>117</v>
      </c>
      <c r="F962" s="21" t="s">
        <v>117</v>
      </c>
      <c r="G962" s="21" t="str">
        <f>VLOOKUP(D962,[6]成飞半成品!$A:$B,2,0)</f>
        <v>7820~8270侧上梁</v>
      </c>
      <c r="H962" s="10" t="s">
        <v>118</v>
      </c>
      <c r="I962" s="10">
        <v>8</v>
      </c>
      <c r="L962" s="10">
        <v>6</v>
      </c>
      <c r="M962" s="14">
        <v>19</v>
      </c>
      <c r="N962" s="14">
        <v>19</v>
      </c>
      <c r="O962" s="55" t="s">
        <v>256</v>
      </c>
      <c r="P962" s="10">
        <v>90</v>
      </c>
      <c r="U962" s="10">
        <v>60</v>
      </c>
      <c r="W962" s="14">
        <v>1</v>
      </c>
      <c r="Y962" s="83">
        <v>9</v>
      </c>
      <c r="Z962" s="10" t="s">
        <v>60</v>
      </c>
    </row>
    <row r="963" spans="1:28" ht="23.1" customHeight="1" x14ac:dyDescent="0.25">
      <c r="A963" s="53" t="s">
        <v>1002</v>
      </c>
      <c r="B963" s="10" t="s">
        <v>110</v>
      </c>
      <c r="C963" s="10">
        <v>47</v>
      </c>
      <c r="D963" s="10" t="s">
        <v>826</v>
      </c>
      <c r="E963" s="41" t="s">
        <v>827</v>
      </c>
      <c r="F963" s="21" t="s">
        <v>827</v>
      </c>
      <c r="G963" s="21" t="str">
        <f>VLOOKUP(D963,[6]成飞半成品!$A:$B,2,0)</f>
        <v>BL900侧梁</v>
      </c>
      <c r="H963" s="10" t="s">
        <v>118</v>
      </c>
      <c r="I963" s="10">
        <v>15</v>
      </c>
      <c r="J963" s="10" t="s">
        <v>2071</v>
      </c>
      <c r="K963" s="10">
        <v>0.1</v>
      </c>
      <c r="L963" s="10">
        <v>0.1</v>
      </c>
      <c r="M963" s="14">
        <v>9</v>
      </c>
      <c r="N963" s="14"/>
      <c r="O963" s="55" t="s">
        <v>1007</v>
      </c>
      <c r="Q963" s="10">
        <v>1440</v>
      </c>
      <c r="R963" s="10">
        <v>90</v>
      </c>
      <c r="U963" s="10">
        <v>90</v>
      </c>
      <c r="W963" s="14"/>
      <c r="Y963" s="79">
        <v>2.4</v>
      </c>
      <c r="Z963" s="10" t="s">
        <v>22</v>
      </c>
    </row>
    <row r="964" spans="1:28" ht="23.1" customHeight="1" x14ac:dyDescent="0.25">
      <c r="A964" s="53" t="s">
        <v>1002</v>
      </c>
      <c r="B964" s="10" t="s">
        <v>110</v>
      </c>
      <c r="C964" s="10">
        <v>47</v>
      </c>
      <c r="D964" s="10" t="s">
        <v>826</v>
      </c>
      <c r="E964" s="41" t="s">
        <v>827</v>
      </c>
      <c r="F964" s="21" t="s">
        <v>827</v>
      </c>
      <c r="G964" s="21" t="str">
        <f>VLOOKUP(D964,[6]成飞半成品!$A:$B,2,0)</f>
        <v>BL900侧梁</v>
      </c>
      <c r="H964" s="10" t="s">
        <v>118</v>
      </c>
      <c r="I964" s="10">
        <v>20</v>
      </c>
      <c r="J964" s="10" t="s">
        <v>2107</v>
      </c>
      <c r="K964" s="10">
        <v>0.8</v>
      </c>
      <c r="L964" s="10">
        <v>0.8</v>
      </c>
      <c r="M964" s="14">
        <v>28</v>
      </c>
      <c r="N964" s="14"/>
      <c r="O964" s="55" t="s">
        <v>780</v>
      </c>
      <c r="Q964" s="10">
        <v>780</v>
      </c>
      <c r="R964" s="10">
        <v>90</v>
      </c>
      <c r="T964" s="10">
        <v>1</v>
      </c>
      <c r="U964" s="10">
        <v>60</v>
      </c>
      <c r="W964" s="14">
        <v>1</v>
      </c>
      <c r="Y964" s="79">
        <v>12.9</v>
      </c>
      <c r="Z964" s="10" t="s">
        <v>22</v>
      </c>
    </row>
    <row r="965" spans="1:28" ht="23.1" customHeight="1" x14ac:dyDescent="0.25">
      <c r="A965" s="53" t="s">
        <v>1002</v>
      </c>
      <c r="B965" s="10" t="s">
        <v>110</v>
      </c>
      <c r="C965" s="10">
        <v>23</v>
      </c>
      <c r="D965" s="10" t="s">
        <v>990</v>
      </c>
      <c r="E965" s="41" t="s">
        <v>991</v>
      </c>
      <c r="F965" s="21" t="s">
        <v>991</v>
      </c>
      <c r="G965" s="21" t="str">
        <f>VLOOKUP(D965,[6]成飞半成品!$A:$B,2,0)</f>
        <v>8270右隔框</v>
      </c>
      <c r="H965" s="10" t="s">
        <v>118</v>
      </c>
      <c r="I965" s="10">
        <v>10</v>
      </c>
      <c r="J965" s="10" t="s">
        <v>2108</v>
      </c>
      <c r="K965" s="10">
        <v>3</v>
      </c>
      <c r="L965" s="10">
        <v>3</v>
      </c>
      <c r="M965" s="14">
        <v>9</v>
      </c>
      <c r="N965" s="14">
        <v>9</v>
      </c>
      <c r="O965" s="55" t="s">
        <v>1008</v>
      </c>
      <c r="Q965" s="10">
        <v>150</v>
      </c>
      <c r="R965" s="10">
        <v>60</v>
      </c>
      <c r="T965" s="10">
        <v>3</v>
      </c>
      <c r="U965" s="10">
        <v>90</v>
      </c>
      <c r="W965" s="14">
        <v>1</v>
      </c>
      <c r="X965" s="14">
        <v>2</v>
      </c>
      <c r="Y965" s="79">
        <v>14</v>
      </c>
      <c r="Z965" s="10" t="s">
        <v>22</v>
      </c>
      <c r="AA965" s="14" t="s">
        <v>953</v>
      </c>
    </row>
    <row r="966" spans="1:28" ht="23.1" customHeight="1" x14ac:dyDescent="0.25">
      <c r="A966" s="53" t="s">
        <v>1002</v>
      </c>
      <c r="B966" s="10" t="s">
        <v>110</v>
      </c>
      <c r="C966" s="10">
        <v>23</v>
      </c>
      <c r="D966" s="10" t="s">
        <v>987</v>
      </c>
      <c r="E966" s="41" t="s">
        <v>988</v>
      </c>
      <c r="F966" s="21" t="s">
        <v>988</v>
      </c>
      <c r="G966" s="21" t="str">
        <f>VLOOKUP(D966,[6]成飞半成品!$A:$B,2,0)</f>
        <v>8270左隔框</v>
      </c>
      <c r="H966" s="10" t="s">
        <v>118</v>
      </c>
      <c r="I966" s="10">
        <v>10</v>
      </c>
      <c r="J966" s="10" t="s">
        <v>2108</v>
      </c>
      <c r="K966" s="10">
        <v>1</v>
      </c>
      <c r="L966" s="10">
        <v>3</v>
      </c>
      <c r="M966" s="14">
        <v>9</v>
      </c>
      <c r="N966" s="14">
        <v>5</v>
      </c>
      <c r="O966" s="55" t="s">
        <v>256</v>
      </c>
      <c r="Q966" s="10">
        <v>150</v>
      </c>
      <c r="R966" s="10">
        <v>60</v>
      </c>
      <c r="T966" s="10">
        <v>3</v>
      </c>
      <c r="U966" s="10">
        <v>90</v>
      </c>
      <c r="W966" s="14">
        <v>1</v>
      </c>
      <c r="Y966" s="79">
        <v>12</v>
      </c>
      <c r="Z966" s="10" t="s">
        <v>22</v>
      </c>
    </row>
    <row r="967" spans="1:28" ht="23.1" customHeight="1" x14ac:dyDescent="0.25">
      <c r="A967" s="53" t="s">
        <v>1002</v>
      </c>
      <c r="B967" s="10" t="s">
        <v>110</v>
      </c>
      <c r="C967" s="10">
        <v>78</v>
      </c>
      <c r="D967" s="10" t="s">
        <v>132</v>
      </c>
      <c r="E967" s="41" t="s">
        <v>133</v>
      </c>
      <c r="F967" s="21" t="s">
        <v>133</v>
      </c>
      <c r="G967" s="21" t="str">
        <f>VLOOKUP(D967,[6]成飞半成品!$A:$B,2,0)</f>
        <v>摇臂</v>
      </c>
      <c r="H967" s="10" t="s">
        <v>102</v>
      </c>
      <c r="I967" s="10">
        <v>83</v>
      </c>
      <c r="K967" s="10">
        <v>1</v>
      </c>
      <c r="L967" s="10">
        <v>1</v>
      </c>
      <c r="M967" s="14">
        <v>5</v>
      </c>
      <c r="N967" s="14"/>
      <c r="O967" s="55" t="s">
        <v>103</v>
      </c>
      <c r="T967" s="10">
        <v>1</v>
      </c>
      <c r="W967" s="14">
        <v>1</v>
      </c>
      <c r="X967" s="14">
        <v>18</v>
      </c>
      <c r="Y967" s="83">
        <v>18</v>
      </c>
      <c r="Z967" s="10" t="s">
        <v>5</v>
      </c>
      <c r="AA967" s="14" t="s">
        <v>1009</v>
      </c>
      <c r="AB967" s="14" t="s">
        <v>957</v>
      </c>
    </row>
    <row r="968" spans="1:28" ht="23.1" customHeight="1" x14ac:dyDescent="0.25">
      <c r="A968" s="53" t="s">
        <v>1002</v>
      </c>
      <c r="B968" s="10" t="s">
        <v>110</v>
      </c>
      <c r="C968" s="10">
        <v>78</v>
      </c>
      <c r="D968" s="10" t="s">
        <v>261</v>
      </c>
      <c r="E968" s="41" t="s">
        <v>133</v>
      </c>
      <c r="F968" s="21" t="s">
        <v>133</v>
      </c>
      <c r="G968" s="21" t="str">
        <f>VLOOKUP(D968,[6]成飞半成品!$A:$B,2,0)</f>
        <v>摇臂</v>
      </c>
      <c r="H968" s="10" t="s">
        <v>102</v>
      </c>
      <c r="I968" s="10">
        <v>83</v>
      </c>
      <c r="K968" s="10">
        <v>1</v>
      </c>
      <c r="L968" s="10">
        <v>1</v>
      </c>
      <c r="M968" s="14">
        <v>5</v>
      </c>
      <c r="N968" s="14"/>
      <c r="O968" s="55" t="s">
        <v>103</v>
      </c>
      <c r="T968" s="10">
        <v>1</v>
      </c>
      <c r="W968" s="14">
        <v>1</v>
      </c>
      <c r="X968" s="14">
        <v>2</v>
      </c>
      <c r="Y968" s="83">
        <v>2</v>
      </c>
      <c r="Z968" s="10" t="s">
        <v>5</v>
      </c>
      <c r="AA968" s="14" t="s">
        <v>1010</v>
      </c>
      <c r="AB968" s="25" t="s">
        <v>238</v>
      </c>
    </row>
    <row r="969" spans="1:28" ht="23.1" customHeight="1" x14ac:dyDescent="0.25">
      <c r="A969" s="53" t="s">
        <v>1002</v>
      </c>
      <c r="B969" s="10" t="s">
        <v>110</v>
      </c>
      <c r="C969" s="10">
        <v>84</v>
      </c>
      <c r="D969" s="10" t="s">
        <v>423</v>
      </c>
      <c r="E969" s="41" t="s">
        <v>424</v>
      </c>
      <c r="F969" s="21" t="s">
        <v>424</v>
      </c>
      <c r="G969" s="21" t="str">
        <f>VLOOKUP(D969,[6]成飞半成品!$A:$B,2,0)</f>
        <v>后梁四段</v>
      </c>
      <c r="H969" s="10" t="s">
        <v>107</v>
      </c>
      <c r="I969" s="10">
        <v>38</v>
      </c>
      <c r="K969" s="10">
        <v>1</v>
      </c>
      <c r="L969" s="10">
        <v>1</v>
      </c>
      <c r="M969" s="14">
        <v>37</v>
      </c>
      <c r="N969" s="14">
        <v>37</v>
      </c>
      <c r="O969" s="55" t="s">
        <v>780</v>
      </c>
      <c r="P969" s="10">
        <v>90</v>
      </c>
      <c r="S969" s="10">
        <v>30</v>
      </c>
      <c r="T969" s="10">
        <v>1</v>
      </c>
      <c r="W969" s="14"/>
      <c r="X969" s="14">
        <v>3</v>
      </c>
      <c r="Y969" s="83">
        <v>5</v>
      </c>
      <c r="Z969" s="10" t="s">
        <v>68</v>
      </c>
      <c r="AA969" s="14" t="s">
        <v>1011</v>
      </c>
    </row>
    <row r="970" spans="1:28" ht="23.1" customHeight="1" x14ac:dyDescent="0.25">
      <c r="A970" s="53" t="s">
        <v>1002</v>
      </c>
      <c r="B970" s="10" t="s">
        <v>110</v>
      </c>
      <c r="C970" s="10">
        <v>84</v>
      </c>
      <c r="D970" s="10" t="s">
        <v>423</v>
      </c>
      <c r="E970" s="41" t="s">
        <v>424</v>
      </c>
      <c r="F970" s="21" t="s">
        <v>424</v>
      </c>
      <c r="G970" s="21" t="str">
        <f>VLOOKUP(D970,[6]成飞半成品!$A:$B,2,0)</f>
        <v>后梁四段</v>
      </c>
      <c r="H970" s="10" t="s">
        <v>107</v>
      </c>
      <c r="I970" s="10">
        <v>40</v>
      </c>
      <c r="J970" s="10" t="s">
        <v>2096</v>
      </c>
      <c r="K970" s="10">
        <v>1</v>
      </c>
      <c r="L970" s="10">
        <v>1</v>
      </c>
      <c r="M970" s="14">
        <v>37</v>
      </c>
      <c r="N970" s="14">
        <v>37</v>
      </c>
      <c r="Q970" s="10">
        <v>360</v>
      </c>
      <c r="R970" s="10">
        <v>30</v>
      </c>
      <c r="U970" s="10">
        <v>120</v>
      </c>
      <c r="W970" s="14"/>
      <c r="Y970" s="79">
        <v>6</v>
      </c>
      <c r="Z970" s="10" t="s">
        <v>68</v>
      </c>
    </row>
    <row r="971" spans="1:28" ht="23.1" customHeight="1" x14ac:dyDescent="0.25">
      <c r="A971" s="53" t="s">
        <v>1002</v>
      </c>
      <c r="B971" s="10" t="s">
        <v>110</v>
      </c>
      <c r="C971" s="10">
        <v>84</v>
      </c>
      <c r="D971" s="10" t="s">
        <v>958</v>
      </c>
      <c r="E971" s="41" t="s">
        <v>317</v>
      </c>
      <c r="F971" s="21" t="s">
        <v>317</v>
      </c>
      <c r="G971" s="21" t="str">
        <f>VLOOKUP(D971,[6]成飞半成品!$A:$B,2,0)</f>
        <v>角盒</v>
      </c>
      <c r="H971" s="10" t="s">
        <v>154</v>
      </c>
      <c r="I971" s="10">
        <v>30</v>
      </c>
      <c r="J971" s="10" t="s">
        <v>2072</v>
      </c>
      <c r="K971" s="10">
        <v>0.6</v>
      </c>
      <c r="L971" s="10">
        <v>0.8</v>
      </c>
      <c r="M971" s="14">
        <v>5</v>
      </c>
      <c r="N971" s="14"/>
      <c r="O971" s="55" t="s">
        <v>159</v>
      </c>
      <c r="Q971" s="10">
        <v>600</v>
      </c>
      <c r="R971" s="10">
        <v>60</v>
      </c>
      <c r="U971" s="10">
        <v>120</v>
      </c>
      <c r="W971" s="14"/>
      <c r="Y971" s="79">
        <v>8</v>
      </c>
      <c r="Z971" s="10" t="s">
        <v>68</v>
      </c>
    </row>
    <row r="972" spans="1:28" ht="23.1" customHeight="1" x14ac:dyDescent="0.25">
      <c r="A972" s="53" t="s">
        <v>1002</v>
      </c>
      <c r="B972" s="10" t="s">
        <v>110</v>
      </c>
      <c r="C972" s="10">
        <v>69</v>
      </c>
      <c r="D972" s="10" t="s">
        <v>2557</v>
      </c>
      <c r="E972" s="41" t="s">
        <v>1013</v>
      </c>
      <c r="F972" s="21" t="s">
        <v>1013</v>
      </c>
      <c r="G972" s="21" t="str">
        <f>VLOOKUP(D972,[6]成飞半成品!$A:$B,2,0)</f>
        <v>9350-11140左侧上梁</v>
      </c>
      <c r="H972" s="10" t="s">
        <v>250</v>
      </c>
      <c r="I972" s="10">
        <v>35</v>
      </c>
      <c r="J972" s="10" t="s">
        <v>2109</v>
      </c>
      <c r="K972" s="10">
        <v>6</v>
      </c>
      <c r="L972" s="10">
        <v>6</v>
      </c>
      <c r="M972" s="14">
        <v>9</v>
      </c>
      <c r="N972" s="14">
        <v>28</v>
      </c>
      <c r="O972" s="55" t="s">
        <v>1014</v>
      </c>
      <c r="Q972" s="10">
        <v>120</v>
      </c>
      <c r="R972" s="10">
        <v>60</v>
      </c>
      <c r="T972" s="10">
        <v>6</v>
      </c>
      <c r="U972" s="10">
        <v>120</v>
      </c>
      <c r="W972" s="14">
        <v>1</v>
      </c>
      <c r="X972" s="10">
        <v>4</v>
      </c>
      <c r="Y972" s="79">
        <v>24</v>
      </c>
      <c r="Z972" s="10" t="s">
        <v>68</v>
      </c>
      <c r="AA972" s="14" t="s">
        <v>1015</v>
      </c>
    </row>
    <row r="973" spans="1:28" ht="23.1" customHeight="1" x14ac:dyDescent="0.25">
      <c r="A973" s="53" t="s">
        <v>1002</v>
      </c>
      <c r="B973" s="10" t="s">
        <v>110</v>
      </c>
      <c r="C973" s="10">
        <v>69</v>
      </c>
      <c r="D973" s="10" t="s">
        <v>2557</v>
      </c>
      <c r="E973" s="41" t="s">
        <v>1013</v>
      </c>
      <c r="F973" s="21" t="s">
        <v>1013</v>
      </c>
      <c r="G973" s="21" t="str">
        <f>VLOOKUP(D973,[6]成飞半成品!$A:$B,2,0)</f>
        <v>9350-11140左侧上梁</v>
      </c>
      <c r="H973" s="10" t="s">
        <v>250</v>
      </c>
      <c r="I973" s="10">
        <v>35</v>
      </c>
      <c r="J973" s="10" t="s">
        <v>2109</v>
      </c>
      <c r="L973" s="10">
        <v>1</v>
      </c>
      <c r="M973" s="14">
        <v>37</v>
      </c>
      <c r="N973" s="14"/>
      <c r="O973" s="55" t="s">
        <v>1014</v>
      </c>
      <c r="Q973" s="10">
        <v>120</v>
      </c>
      <c r="R973" s="10">
        <v>60</v>
      </c>
      <c r="T973" s="10">
        <v>1</v>
      </c>
      <c r="U973" s="10">
        <v>120</v>
      </c>
      <c r="W973" s="14"/>
      <c r="Y973" s="79">
        <v>3</v>
      </c>
      <c r="Z973" s="10" t="s">
        <v>68</v>
      </c>
    </row>
    <row r="974" spans="1:28" ht="23.1" customHeight="1" x14ac:dyDescent="0.25">
      <c r="A974" s="53" t="s">
        <v>1002</v>
      </c>
      <c r="B974" s="10" t="s">
        <v>110</v>
      </c>
      <c r="C974" s="10">
        <v>91</v>
      </c>
      <c r="D974" s="10" t="s">
        <v>931</v>
      </c>
      <c r="E974" s="41" t="s">
        <v>932</v>
      </c>
      <c r="F974" s="21" t="s">
        <v>932</v>
      </c>
      <c r="G974" s="21" t="str">
        <f>VLOOKUP(D974,[6]成飞半成品!$A:$B,2,0)</f>
        <v>中推力销支座接头</v>
      </c>
      <c r="H974" s="10" t="s">
        <v>154</v>
      </c>
      <c r="I974" s="10">
        <v>60</v>
      </c>
      <c r="J974" s="10" t="s">
        <v>2095</v>
      </c>
      <c r="K974" s="10">
        <v>0.4</v>
      </c>
      <c r="L974" s="10">
        <v>0.4</v>
      </c>
      <c r="M974" s="14">
        <v>23</v>
      </c>
      <c r="N974" s="14">
        <v>5</v>
      </c>
      <c r="O974" s="55" t="s">
        <v>930</v>
      </c>
      <c r="Q974" s="10">
        <v>1000</v>
      </c>
      <c r="U974" s="10">
        <v>90</v>
      </c>
      <c r="W974" s="14"/>
      <c r="X974" s="14">
        <v>3</v>
      </c>
      <c r="Y974" s="79">
        <v>9.6999999999999993</v>
      </c>
      <c r="Z974" s="10" t="s">
        <v>68</v>
      </c>
      <c r="AA974" s="14" t="s">
        <v>1011</v>
      </c>
    </row>
    <row r="975" spans="1:28" ht="23.1" customHeight="1" x14ac:dyDescent="0.25">
      <c r="A975" s="53" t="s">
        <v>1002</v>
      </c>
      <c r="B975" s="10" t="s">
        <v>110</v>
      </c>
      <c r="C975" s="10">
        <v>91</v>
      </c>
      <c r="D975" s="47" t="s">
        <v>254</v>
      </c>
      <c r="E975" s="41" t="s">
        <v>1016</v>
      </c>
      <c r="F975" s="21" t="s">
        <v>1016</v>
      </c>
      <c r="G975" s="21" t="str">
        <f>VLOOKUP(D975,[6]成飞半成品!$A:$B,2,0)</f>
        <v>9350-11140右侧上梁</v>
      </c>
      <c r="H975" s="31" t="s">
        <v>375</v>
      </c>
      <c r="I975" s="10">
        <v>40</v>
      </c>
      <c r="J975" s="10" t="s">
        <v>2110</v>
      </c>
      <c r="M975" s="14"/>
      <c r="N975" s="14"/>
      <c r="O975" s="55" t="s">
        <v>1017</v>
      </c>
      <c r="Q975" s="10">
        <v>3000</v>
      </c>
      <c r="R975" s="10">
        <v>90</v>
      </c>
      <c r="U975" s="10">
        <v>120</v>
      </c>
      <c r="W975" s="14"/>
      <c r="X975" s="14">
        <v>5</v>
      </c>
      <c r="Y975" s="79">
        <v>5</v>
      </c>
      <c r="Z975" s="10" t="s">
        <v>68</v>
      </c>
      <c r="AA975" s="14" t="s">
        <v>943</v>
      </c>
    </row>
    <row r="976" spans="1:28" ht="23.1" customHeight="1" x14ac:dyDescent="0.25">
      <c r="A976" s="53" t="s">
        <v>1002</v>
      </c>
      <c r="B976" s="10" t="s">
        <v>110</v>
      </c>
      <c r="C976" s="10">
        <v>24</v>
      </c>
      <c r="D976" s="10" t="s">
        <v>776</v>
      </c>
      <c r="E976" s="41" t="s">
        <v>777</v>
      </c>
      <c r="F976" s="21" t="s">
        <v>777</v>
      </c>
      <c r="G976" s="21" t="str">
        <f>VLOOKUP(D976,[6]成飞半成品!$A:$B,2,0)</f>
        <v>BL280侧壁（左件）</v>
      </c>
      <c r="H976" s="10" t="s">
        <v>107</v>
      </c>
      <c r="I976" s="10">
        <v>30</v>
      </c>
      <c r="J976" s="10" t="s">
        <v>2061</v>
      </c>
      <c r="K976" s="10">
        <v>0.4</v>
      </c>
      <c r="L976" s="10">
        <v>0.6</v>
      </c>
      <c r="M976" s="14">
        <v>37</v>
      </c>
      <c r="N976" s="14"/>
      <c r="O976" s="55" t="s">
        <v>840</v>
      </c>
      <c r="Q976" s="10">
        <v>1700</v>
      </c>
      <c r="R976" s="10">
        <v>120</v>
      </c>
      <c r="U976" s="10">
        <v>210</v>
      </c>
      <c r="W976" s="14"/>
      <c r="Y976" s="79">
        <v>17</v>
      </c>
      <c r="Z976" s="10" t="s">
        <v>68</v>
      </c>
    </row>
    <row r="977" spans="1:28" ht="23.1" customHeight="1" x14ac:dyDescent="0.25">
      <c r="A977" s="53" t="s">
        <v>1002</v>
      </c>
      <c r="B977" s="10" t="s">
        <v>110</v>
      </c>
      <c r="C977" s="10">
        <v>24</v>
      </c>
      <c r="D977" s="10" t="s">
        <v>776</v>
      </c>
      <c r="E977" s="41" t="s">
        <v>777</v>
      </c>
      <c r="F977" s="21" t="s">
        <v>777</v>
      </c>
      <c r="G977" s="21" t="str">
        <f>VLOOKUP(D977,[6]成飞半成品!$A:$B,2,0)</f>
        <v>BL280侧壁（左件）</v>
      </c>
      <c r="H977" s="10" t="s">
        <v>107</v>
      </c>
      <c r="I977" s="10">
        <v>25</v>
      </c>
      <c r="J977" s="10" t="s">
        <v>2035</v>
      </c>
      <c r="K977" s="10">
        <v>1</v>
      </c>
      <c r="L977" s="10">
        <v>0.6</v>
      </c>
      <c r="M977" s="14">
        <v>28</v>
      </c>
      <c r="N977" s="14"/>
      <c r="O977" s="55" t="s">
        <v>1001</v>
      </c>
      <c r="Q977" s="10">
        <v>840</v>
      </c>
      <c r="R977" s="10">
        <v>120</v>
      </c>
      <c r="T977" s="10">
        <v>1</v>
      </c>
      <c r="U977" s="10">
        <v>150</v>
      </c>
      <c r="W977" s="14">
        <v>1</v>
      </c>
      <c r="Y977" s="79">
        <v>12.9</v>
      </c>
      <c r="Z977" s="10" t="s">
        <v>68</v>
      </c>
    </row>
    <row r="978" spans="1:28" ht="23.1" customHeight="1" x14ac:dyDescent="0.25">
      <c r="A978" s="53" t="s">
        <v>1002</v>
      </c>
      <c r="B978" s="10" t="s">
        <v>110</v>
      </c>
      <c r="C978" s="10">
        <v>121</v>
      </c>
      <c r="D978" s="10" t="s">
        <v>981</v>
      </c>
      <c r="E978" s="41" t="s">
        <v>982</v>
      </c>
      <c r="F978" s="21" t="s">
        <v>982</v>
      </c>
      <c r="G978" s="21" t="str">
        <f>VLOOKUP(D978,[6]成飞半成品!$A:$B,2,0)</f>
        <v>纵向加强件</v>
      </c>
      <c r="H978" s="10" t="s">
        <v>250</v>
      </c>
      <c r="I978" s="10">
        <v>50</v>
      </c>
      <c r="J978" s="10" t="s">
        <v>2102</v>
      </c>
      <c r="K978" s="10">
        <v>1</v>
      </c>
      <c r="L978" s="10">
        <v>1</v>
      </c>
      <c r="M978" s="14">
        <v>28</v>
      </c>
      <c r="N978" s="14"/>
      <c r="O978" s="55" t="s">
        <v>199</v>
      </c>
      <c r="Q978" s="10">
        <v>660</v>
      </c>
      <c r="R978" s="10">
        <v>60</v>
      </c>
      <c r="T978" s="10">
        <v>1</v>
      </c>
      <c r="U978" s="10">
        <v>120</v>
      </c>
      <c r="W978" s="14">
        <v>1</v>
      </c>
      <c r="X978" s="10">
        <v>4</v>
      </c>
      <c r="Y978" s="79">
        <v>18</v>
      </c>
      <c r="Z978" s="10" t="s">
        <v>68</v>
      </c>
      <c r="AA978" s="14" t="s">
        <v>1015</v>
      </c>
    </row>
    <row r="979" spans="1:28" ht="23.1" customHeight="1" x14ac:dyDescent="0.25">
      <c r="A979" s="53" t="s">
        <v>1002</v>
      </c>
      <c r="B979" s="10" t="s">
        <v>110</v>
      </c>
      <c r="C979" s="10">
        <v>119</v>
      </c>
      <c r="D979" s="10" t="s">
        <v>2560</v>
      </c>
      <c r="E979" s="41" t="s">
        <v>979</v>
      </c>
      <c r="F979" s="21" t="s">
        <v>979</v>
      </c>
      <c r="G979" s="21" t="str">
        <f>VLOOKUP(D979,[6]成飞半成品!$A:$B,2,0)</f>
        <v>翼尖接头</v>
      </c>
      <c r="H979" s="10" t="s">
        <v>154</v>
      </c>
      <c r="I979" s="10">
        <v>55</v>
      </c>
      <c r="J979" s="10" t="s">
        <v>2010</v>
      </c>
      <c r="K979" s="10">
        <v>0.5</v>
      </c>
      <c r="L979" s="10">
        <v>0.4</v>
      </c>
      <c r="M979" s="14">
        <v>23</v>
      </c>
      <c r="N979" s="14"/>
      <c r="O979" s="55" t="s">
        <v>285</v>
      </c>
      <c r="Q979" s="10">
        <v>540</v>
      </c>
      <c r="R979" s="10">
        <v>180</v>
      </c>
      <c r="U979" s="10">
        <v>120</v>
      </c>
      <c r="W979" s="14">
        <v>1</v>
      </c>
      <c r="X979" s="14">
        <v>4</v>
      </c>
      <c r="Y979" s="79">
        <v>9.6</v>
      </c>
      <c r="Z979" s="10" t="s">
        <v>68</v>
      </c>
      <c r="AA979" s="14" t="s">
        <v>1015</v>
      </c>
    </row>
    <row r="980" spans="1:28" ht="23.1" customHeight="1" x14ac:dyDescent="0.25">
      <c r="A980" s="53" t="s">
        <v>1002</v>
      </c>
      <c r="B980" s="10" t="s">
        <v>110</v>
      </c>
      <c r="C980" s="10">
        <v>119</v>
      </c>
      <c r="D980" s="25" t="s">
        <v>294</v>
      </c>
      <c r="E980" s="41" t="s">
        <v>284</v>
      </c>
      <c r="F980" s="21" t="s">
        <v>284</v>
      </c>
      <c r="G980" s="21" t="str">
        <f>VLOOKUP(D980,[6]成飞半成品!$A:$B,2,0)</f>
        <v>梁（左件）</v>
      </c>
      <c r="H980" s="10" t="s">
        <v>154</v>
      </c>
      <c r="I980" s="10">
        <v>55</v>
      </c>
      <c r="J980" s="10" t="s">
        <v>2010</v>
      </c>
      <c r="K980" s="10">
        <v>0.5</v>
      </c>
      <c r="L980" s="10">
        <v>1.8</v>
      </c>
      <c r="M980" s="14">
        <v>23</v>
      </c>
      <c r="N980" s="14">
        <v>5</v>
      </c>
      <c r="O980" s="55" t="s">
        <v>1018</v>
      </c>
      <c r="Q980" s="10">
        <v>540</v>
      </c>
      <c r="R980" s="10">
        <v>180</v>
      </c>
      <c r="T980" s="10">
        <v>2</v>
      </c>
      <c r="U980" s="10">
        <v>120</v>
      </c>
      <c r="W980" s="14">
        <v>1</v>
      </c>
      <c r="Y980" s="79">
        <v>24.2</v>
      </c>
      <c r="Z980" s="10" t="s">
        <v>68</v>
      </c>
    </row>
    <row r="981" spans="1:28" ht="23.1" customHeight="1" x14ac:dyDescent="0.25">
      <c r="A981" s="53" t="s">
        <v>1002</v>
      </c>
      <c r="B981" s="10" t="s">
        <v>110</v>
      </c>
      <c r="C981" s="10">
        <v>56</v>
      </c>
      <c r="D981" s="10" t="s">
        <v>273</v>
      </c>
      <c r="E981" s="41" t="s">
        <v>274</v>
      </c>
      <c r="F981" s="21" t="s">
        <v>274</v>
      </c>
      <c r="G981" s="21" t="str">
        <f>VLOOKUP(D981,[6]成飞半成品!$A:$B,2,0)</f>
        <v>前起落架水平接头</v>
      </c>
      <c r="H981" s="10" t="s">
        <v>102</v>
      </c>
      <c r="I981" s="10">
        <v>37</v>
      </c>
      <c r="L981" s="10">
        <v>20</v>
      </c>
      <c r="M981" s="14">
        <v>26</v>
      </c>
      <c r="N981" s="14"/>
      <c r="O981" s="55" t="s">
        <v>275</v>
      </c>
      <c r="P981" s="10">
        <v>10</v>
      </c>
      <c r="W981" s="14"/>
      <c r="Y981" s="83">
        <v>3.3</v>
      </c>
      <c r="Z981" s="10" t="s">
        <v>18</v>
      </c>
    </row>
    <row r="982" spans="1:28" ht="23.1" customHeight="1" x14ac:dyDescent="0.25">
      <c r="A982" s="53" t="s">
        <v>1002</v>
      </c>
      <c r="B982" s="10" t="s">
        <v>110</v>
      </c>
      <c r="C982" s="10">
        <v>56</v>
      </c>
      <c r="D982" s="10" t="s">
        <v>273</v>
      </c>
      <c r="E982" s="41" t="s">
        <v>274</v>
      </c>
      <c r="F982" s="21" t="s">
        <v>274</v>
      </c>
      <c r="G982" s="21" t="str">
        <f>VLOOKUP(D982,[6]成飞半成品!$A:$B,2,0)</f>
        <v>前起落架水平接头</v>
      </c>
      <c r="H982" s="10" t="s">
        <v>102</v>
      </c>
      <c r="I982" s="10">
        <v>38</v>
      </c>
      <c r="L982" s="10">
        <v>9</v>
      </c>
      <c r="M982" s="14"/>
      <c r="N982" s="14"/>
      <c r="O982" s="55" t="s">
        <v>275</v>
      </c>
      <c r="P982" s="10">
        <v>40</v>
      </c>
      <c r="V982" s="10">
        <v>60</v>
      </c>
      <c r="W982" s="14">
        <v>1</v>
      </c>
      <c r="Y982" s="83">
        <v>7</v>
      </c>
      <c r="Z982" s="10" t="s">
        <v>18</v>
      </c>
    </row>
    <row r="983" spans="1:28" ht="23.1" customHeight="1" x14ac:dyDescent="0.25">
      <c r="A983" s="53" t="s">
        <v>1002</v>
      </c>
      <c r="B983" s="10" t="s">
        <v>110</v>
      </c>
      <c r="C983" s="10">
        <v>107</v>
      </c>
      <c r="D983" s="10" t="s">
        <v>173</v>
      </c>
      <c r="E983" s="41" t="s">
        <v>174</v>
      </c>
      <c r="F983" s="21" t="s">
        <v>1246</v>
      </c>
      <c r="G983" s="21" t="str">
        <f>VLOOKUP(D983,[6]成飞半成品!$A:$B,2,0)</f>
        <v>根肋后段</v>
      </c>
      <c r="H983" s="10" t="s">
        <v>154</v>
      </c>
      <c r="I983" s="10">
        <v>45</v>
      </c>
      <c r="J983" s="10" t="s">
        <v>1866</v>
      </c>
      <c r="K983" s="10">
        <v>1</v>
      </c>
      <c r="L983" s="10">
        <v>0.6</v>
      </c>
      <c r="M983" s="14">
        <v>26</v>
      </c>
      <c r="N983" s="14">
        <v>26</v>
      </c>
      <c r="O983" s="55" t="s">
        <v>928</v>
      </c>
      <c r="Q983" s="10">
        <v>1900</v>
      </c>
      <c r="R983" s="10">
        <v>90</v>
      </c>
      <c r="T983" s="10">
        <v>1</v>
      </c>
      <c r="U983" s="10">
        <v>180</v>
      </c>
      <c r="W983" s="14"/>
      <c r="Y983" s="79">
        <v>20.5</v>
      </c>
      <c r="Z983" s="10" t="s">
        <v>13</v>
      </c>
    </row>
    <row r="984" spans="1:28" ht="23.1" customHeight="1" x14ac:dyDescent="0.25">
      <c r="A984" s="53" t="s">
        <v>1002</v>
      </c>
      <c r="B984" s="10" t="s">
        <v>110</v>
      </c>
      <c r="C984" s="10">
        <v>13</v>
      </c>
      <c r="D984" s="10" t="s">
        <v>654</v>
      </c>
      <c r="E984" s="41" t="s">
        <v>246</v>
      </c>
      <c r="F984" s="21" t="s">
        <v>246</v>
      </c>
      <c r="G984" s="21" t="str">
        <f>VLOOKUP(D984,[6]成飞半成品!$A:$B,2,0)</f>
        <v>外侧轴承盖</v>
      </c>
      <c r="H984" s="10" t="s">
        <v>154</v>
      </c>
      <c r="I984" s="10">
        <v>45</v>
      </c>
      <c r="J984" s="10" t="s">
        <v>1954</v>
      </c>
      <c r="K984" s="10">
        <v>3</v>
      </c>
      <c r="L984" s="10">
        <v>4</v>
      </c>
      <c r="M984" s="14">
        <v>26</v>
      </c>
      <c r="N984" s="14">
        <v>23</v>
      </c>
      <c r="O984" s="55" t="s">
        <v>247</v>
      </c>
      <c r="Q984" s="10">
        <v>250</v>
      </c>
      <c r="U984" s="10">
        <v>60</v>
      </c>
      <c r="W984" s="14"/>
      <c r="Y984" s="79">
        <v>16.7</v>
      </c>
      <c r="Z984" s="10" t="s">
        <v>10</v>
      </c>
    </row>
    <row r="985" spans="1:28" ht="23.1" customHeight="1" x14ac:dyDescent="0.25">
      <c r="A985" s="53" t="s">
        <v>1002</v>
      </c>
      <c r="B985" s="10" t="s">
        <v>110</v>
      </c>
      <c r="C985" s="10">
        <v>16</v>
      </c>
      <c r="D985" s="85" t="s">
        <v>2551</v>
      </c>
      <c r="E985" s="41" t="s">
        <v>960</v>
      </c>
      <c r="F985" s="21" t="e">
        <v>#N/A</v>
      </c>
      <c r="G985" s="21" t="str">
        <f>VLOOKUP(D985,[6]成飞半成品!$A:$B,2,0)</f>
        <v>工装</v>
      </c>
      <c r="H985" s="10" t="s">
        <v>102</v>
      </c>
      <c r="I985" s="10">
        <v>5</v>
      </c>
      <c r="L985" s="10">
        <v>1</v>
      </c>
      <c r="M985" s="14">
        <v>26</v>
      </c>
      <c r="N985" s="14"/>
      <c r="O985" s="55" t="s">
        <v>108</v>
      </c>
      <c r="W985" s="14"/>
      <c r="X985" s="14">
        <v>6</v>
      </c>
      <c r="Y985" s="79">
        <v>6</v>
      </c>
      <c r="Z985" s="10" t="s">
        <v>71</v>
      </c>
      <c r="AA985" s="14" t="s">
        <v>1019</v>
      </c>
      <c r="AB985" s="14" t="s">
        <v>957</v>
      </c>
    </row>
    <row r="986" spans="1:28" ht="23.1" customHeight="1" x14ac:dyDescent="0.25">
      <c r="A986" s="53" t="s">
        <v>1002</v>
      </c>
      <c r="B986" s="10" t="s">
        <v>110</v>
      </c>
      <c r="C986" s="10">
        <v>18</v>
      </c>
      <c r="D986" s="85" t="s">
        <v>2551</v>
      </c>
      <c r="E986" s="41" t="s">
        <v>1020</v>
      </c>
      <c r="F986" s="21" t="e">
        <v>#N/A</v>
      </c>
      <c r="G986" s="21" t="str">
        <f>VLOOKUP(D986,[6]成飞半成品!$A:$B,2,0)</f>
        <v>工装</v>
      </c>
      <c r="H986" s="10" t="s">
        <v>102</v>
      </c>
      <c r="I986" s="10">
        <v>30</v>
      </c>
      <c r="M986" s="14"/>
      <c r="N986" s="14"/>
      <c r="O986" s="55" t="s">
        <v>108</v>
      </c>
      <c r="W986" s="14"/>
      <c r="X986" s="14">
        <v>15</v>
      </c>
      <c r="Y986" s="79">
        <v>15</v>
      </c>
      <c r="Z986" s="10" t="s">
        <v>14</v>
      </c>
      <c r="AA986" s="14" t="s">
        <v>997</v>
      </c>
      <c r="AB986" s="14" t="s">
        <v>957</v>
      </c>
    </row>
    <row r="987" spans="1:28" ht="23.1" customHeight="1" x14ac:dyDescent="0.25">
      <c r="A987" s="53" t="s">
        <v>1002</v>
      </c>
      <c r="B987" s="10" t="s">
        <v>110</v>
      </c>
      <c r="C987" s="10">
        <v>18</v>
      </c>
      <c r="D987" s="85" t="s">
        <v>2551</v>
      </c>
      <c r="E987" s="41" t="s">
        <v>1020</v>
      </c>
      <c r="F987" s="21" t="e">
        <v>#N/A</v>
      </c>
      <c r="G987" s="21" t="str">
        <f>VLOOKUP(D987,[6]成飞半成品!$A:$B,2,0)</f>
        <v>工装</v>
      </c>
      <c r="H987" s="10" t="s">
        <v>102</v>
      </c>
      <c r="I987" s="10">
        <v>40</v>
      </c>
      <c r="M987" s="14"/>
      <c r="N987" s="14"/>
      <c r="O987" s="55" t="s">
        <v>108</v>
      </c>
      <c r="W987" s="14"/>
      <c r="X987" s="14">
        <v>3</v>
      </c>
      <c r="Y987" s="79">
        <v>3</v>
      </c>
      <c r="Z987" s="10" t="s">
        <v>14</v>
      </c>
      <c r="AA987" s="14" t="s">
        <v>1021</v>
      </c>
      <c r="AB987" s="25" t="s">
        <v>238</v>
      </c>
    </row>
    <row r="988" spans="1:28" ht="23.1" customHeight="1" x14ac:dyDescent="0.25">
      <c r="A988" s="53" t="s">
        <v>1002</v>
      </c>
      <c r="B988" s="10" t="s">
        <v>110</v>
      </c>
      <c r="C988" s="10">
        <v>17</v>
      </c>
      <c r="D988" s="10" t="s">
        <v>916</v>
      </c>
      <c r="E988" s="41" t="s">
        <v>917</v>
      </c>
      <c r="F988" s="21" t="s">
        <v>917</v>
      </c>
      <c r="G988" s="21" t="str">
        <f>VLOOKUP(D988,[6]成飞半成品!$A:$B,2,0)</f>
        <v>座子</v>
      </c>
      <c r="H988" s="10" t="s">
        <v>250</v>
      </c>
      <c r="I988" s="10">
        <v>25</v>
      </c>
      <c r="J988" s="10" t="s">
        <v>2104</v>
      </c>
      <c r="K988" s="10">
        <v>6</v>
      </c>
      <c r="L988" s="10">
        <v>7</v>
      </c>
      <c r="M988" s="14">
        <v>19</v>
      </c>
      <c r="N988" s="14">
        <v>19</v>
      </c>
      <c r="O988" s="55" t="s">
        <v>247</v>
      </c>
      <c r="Q988" s="10">
        <v>100</v>
      </c>
      <c r="U988" s="10">
        <v>60</v>
      </c>
      <c r="W988" s="14"/>
      <c r="Y988" s="79">
        <v>11.7</v>
      </c>
      <c r="Z988" s="10" t="s">
        <v>14</v>
      </c>
    </row>
    <row r="989" spans="1:28" ht="23.1" customHeight="1" x14ac:dyDescent="0.25">
      <c r="A989" s="53" t="s">
        <v>1002</v>
      </c>
      <c r="B989" s="10" t="s">
        <v>110</v>
      </c>
      <c r="C989" s="10">
        <v>9</v>
      </c>
      <c r="D989" s="10" t="s">
        <v>911</v>
      </c>
      <c r="E989" s="41" t="s">
        <v>912</v>
      </c>
      <c r="F989" s="21" t="s">
        <v>912</v>
      </c>
      <c r="G989" s="21" t="str">
        <f>VLOOKUP(D989,[6]成飞半成品!$A:$B,2,0)</f>
        <v>安装支座</v>
      </c>
      <c r="H989" s="10" t="s">
        <v>154</v>
      </c>
      <c r="I989" s="10">
        <v>15</v>
      </c>
      <c r="J989" s="10" t="s">
        <v>2111</v>
      </c>
      <c r="K989" s="10">
        <v>5</v>
      </c>
      <c r="L989" s="10">
        <v>6.5</v>
      </c>
      <c r="M989" s="14">
        <v>26</v>
      </c>
      <c r="N989" s="14">
        <v>26</v>
      </c>
      <c r="O989" s="55" t="s">
        <v>1022</v>
      </c>
      <c r="Q989" s="10">
        <v>100</v>
      </c>
      <c r="U989" s="10">
        <v>60</v>
      </c>
      <c r="W989" s="14">
        <v>1</v>
      </c>
      <c r="Y989" s="79">
        <v>11.8</v>
      </c>
      <c r="Z989" s="10" t="s">
        <v>23</v>
      </c>
    </row>
    <row r="990" spans="1:28" ht="23.1" customHeight="1" x14ac:dyDescent="0.25">
      <c r="A990" s="53" t="s">
        <v>1002</v>
      </c>
      <c r="B990" s="10" t="s">
        <v>110</v>
      </c>
      <c r="C990" s="10">
        <v>16</v>
      </c>
      <c r="D990" s="10" t="s">
        <v>892</v>
      </c>
      <c r="E990" s="41" t="s">
        <v>893</v>
      </c>
      <c r="F990" s="21" t="s">
        <v>893</v>
      </c>
      <c r="G990" s="21" t="str">
        <f>VLOOKUP(D990,[6]成飞半成品!$A:$B,2,0)</f>
        <v>连接接头</v>
      </c>
      <c r="H990" s="10" t="s">
        <v>102</v>
      </c>
      <c r="I990" s="10">
        <v>20</v>
      </c>
      <c r="J990" s="10" t="s">
        <v>2087</v>
      </c>
      <c r="L990" s="10">
        <v>7</v>
      </c>
      <c r="M990" s="14">
        <v>26</v>
      </c>
      <c r="N990" s="14">
        <v>37</v>
      </c>
      <c r="O990" s="55" t="s">
        <v>596</v>
      </c>
      <c r="Q990" s="10">
        <v>25</v>
      </c>
      <c r="U990" s="10">
        <v>60</v>
      </c>
      <c r="W990" s="14">
        <v>1</v>
      </c>
      <c r="X990" s="14">
        <v>2</v>
      </c>
      <c r="Y990" s="79">
        <v>5.9</v>
      </c>
      <c r="Z990" s="10" t="s">
        <v>71</v>
      </c>
      <c r="AA990" s="14" t="s">
        <v>926</v>
      </c>
      <c r="AB990" s="25" t="s">
        <v>238</v>
      </c>
    </row>
    <row r="991" spans="1:28" ht="23.1" customHeight="1" x14ac:dyDescent="0.25">
      <c r="A991" s="53" t="s">
        <v>1002</v>
      </c>
      <c r="B991" s="10" t="s">
        <v>110</v>
      </c>
      <c r="C991" s="10">
        <v>11</v>
      </c>
      <c r="D991" s="10" t="s">
        <v>2565</v>
      </c>
      <c r="E991" s="41" t="s">
        <v>691</v>
      </c>
      <c r="F991" s="21" t="s">
        <v>691</v>
      </c>
      <c r="G991" s="21" t="str">
        <f>VLOOKUP(D991,[6]成飞半成品!$A:$B,2,0)</f>
        <v>地板嵌入接头</v>
      </c>
      <c r="H991" s="10" t="s">
        <v>123</v>
      </c>
      <c r="I991" s="10">
        <v>35</v>
      </c>
      <c r="J991" s="10" t="s">
        <v>2086</v>
      </c>
      <c r="K991" s="10">
        <v>1.3</v>
      </c>
      <c r="L991" s="10">
        <v>2</v>
      </c>
      <c r="M991" s="14">
        <v>9</v>
      </c>
      <c r="N991" s="14">
        <v>26</v>
      </c>
      <c r="O991" s="55" t="s">
        <v>801</v>
      </c>
      <c r="Q991" s="10">
        <v>410</v>
      </c>
      <c r="U991" s="10">
        <v>90</v>
      </c>
      <c r="W991" s="14"/>
      <c r="Y991" s="79">
        <v>13.7</v>
      </c>
      <c r="Z991" s="10" t="s">
        <v>71</v>
      </c>
    </row>
    <row r="992" spans="1:28" ht="23.1" customHeight="1" x14ac:dyDescent="0.25">
      <c r="A992" s="53" t="s">
        <v>1002</v>
      </c>
      <c r="B992" s="10" t="s">
        <v>110</v>
      </c>
      <c r="C992" s="10">
        <v>12</v>
      </c>
      <c r="D992" s="10" t="s">
        <v>735</v>
      </c>
      <c r="E992" s="41" t="s">
        <v>249</v>
      </c>
      <c r="F992" s="21" t="s">
        <v>249</v>
      </c>
      <c r="G992" s="21" t="str">
        <f>VLOOKUP(D992,[6]成飞半成品!$A:$B,2,0)</f>
        <v>10060下接头</v>
      </c>
      <c r="H992" s="10" t="s">
        <v>250</v>
      </c>
      <c r="I992" s="10">
        <v>20</v>
      </c>
      <c r="J992" s="10" t="s">
        <v>2445</v>
      </c>
      <c r="K992" s="10">
        <v>12</v>
      </c>
      <c r="L992" s="10">
        <v>12</v>
      </c>
      <c r="M992" s="14">
        <v>26</v>
      </c>
      <c r="N992" s="14">
        <v>5</v>
      </c>
      <c r="O992" s="55" t="s">
        <v>736</v>
      </c>
      <c r="Q992" s="10">
        <v>40</v>
      </c>
      <c r="R992" s="10">
        <v>60</v>
      </c>
      <c r="U992" s="10">
        <v>90</v>
      </c>
      <c r="W992" s="14">
        <v>1</v>
      </c>
      <c r="X992" s="14">
        <v>2</v>
      </c>
      <c r="Y992" s="79">
        <v>11.5</v>
      </c>
      <c r="Z992" s="10" t="s">
        <v>10</v>
      </c>
      <c r="AA992" s="14" t="s">
        <v>941</v>
      </c>
      <c r="AB992" s="25" t="s">
        <v>238</v>
      </c>
    </row>
    <row r="993" spans="1:28" ht="23.1" customHeight="1" x14ac:dyDescent="0.25">
      <c r="A993" s="53" t="s">
        <v>1002</v>
      </c>
      <c r="B993" s="10" t="s">
        <v>110</v>
      </c>
      <c r="C993" s="10">
        <v>12</v>
      </c>
      <c r="D993" s="10" t="s">
        <v>735</v>
      </c>
      <c r="E993" s="41" t="s">
        <v>249</v>
      </c>
      <c r="F993" s="21" t="s">
        <v>249</v>
      </c>
      <c r="G993" s="21" t="str">
        <f>VLOOKUP(D993,[6]成飞半成品!$A:$B,2,0)</f>
        <v>10060下接头</v>
      </c>
      <c r="H993" s="10" t="s">
        <v>250</v>
      </c>
      <c r="I993" s="10">
        <v>23</v>
      </c>
      <c r="K993" s="10">
        <v>12</v>
      </c>
      <c r="L993" s="10">
        <v>12</v>
      </c>
      <c r="M993" s="14">
        <v>26</v>
      </c>
      <c r="N993" s="14">
        <v>5</v>
      </c>
      <c r="O993" s="55" t="s">
        <v>736</v>
      </c>
      <c r="P993" s="10">
        <v>15</v>
      </c>
      <c r="S993" s="10">
        <v>60</v>
      </c>
      <c r="V993" s="10">
        <v>120</v>
      </c>
      <c r="W993" s="14">
        <v>1</v>
      </c>
      <c r="X993" s="10">
        <v>2</v>
      </c>
      <c r="Y993" s="83">
        <v>7</v>
      </c>
      <c r="Z993" s="10" t="s">
        <v>10</v>
      </c>
      <c r="AA993" s="14" t="s">
        <v>637</v>
      </c>
    </row>
    <row r="994" spans="1:28" ht="23.1" customHeight="1" x14ac:dyDescent="0.25">
      <c r="A994" s="53" t="s">
        <v>1002</v>
      </c>
      <c r="B994" s="10" t="s">
        <v>110</v>
      </c>
      <c r="C994" s="10">
        <v>10</v>
      </c>
      <c r="D994" s="10" t="s">
        <v>946</v>
      </c>
      <c r="E994" s="41" t="s">
        <v>947</v>
      </c>
      <c r="F994" s="21" t="s">
        <v>947</v>
      </c>
      <c r="G994" s="21" t="str">
        <f>VLOOKUP(D994,[6]成飞半成品!$A:$B,2,0)</f>
        <v>5755横框</v>
      </c>
      <c r="H994" s="10" t="s">
        <v>300</v>
      </c>
      <c r="I994" s="10">
        <v>15</v>
      </c>
      <c r="J994" s="10" t="s">
        <v>2112</v>
      </c>
      <c r="K994" s="10">
        <v>3</v>
      </c>
      <c r="L994" s="10">
        <v>8</v>
      </c>
      <c r="M994" s="14">
        <v>37</v>
      </c>
      <c r="N994" s="14">
        <v>37</v>
      </c>
      <c r="O994" s="55" t="s">
        <v>1023</v>
      </c>
      <c r="Q994" s="10">
        <v>80</v>
      </c>
      <c r="U994" s="10">
        <v>60</v>
      </c>
      <c r="W994" s="14">
        <v>1</v>
      </c>
      <c r="Y994" s="79">
        <v>11.7</v>
      </c>
      <c r="Z994" s="10" t="s">
        <v>23</v>
      </c>
    </row>
    <row r="995" spans="1:28" ht="23.1" customHeight="1" x14ac:dyDescent="0.25">
      <c r="A995" s="53" t="s">
        <v>1002</v>
      </c>
      <c r="B995" s="10" t="s">
        <v>110</v>
      </c>
      <c r="C995" s="10">
        <v>77</v>
      </c>
      <c r="D995" s="25" t="s">
        <v>2551</v>
      </c>
      <c r="E995" s="41" t="s">
        <v>1025</v>
      </c>
      <c r="F995" s="21" t="e">
        <v>#N/A</v>
      </c>
      <c r="G995" s="21" t="str">
        <f>VLOOKUP(D995,[6]成飞半成品!$A:$B,2,0)</f>
        <v>工装</v>
      </c>
      <c r="H995" s="10" t="s">
        <v>102</v>
      </c>
      <c r="I995" s="10">
        <v>15</v>
      </c>
      <c r="L995" s="10">
        <v>1</v>
      </c>
      <c r="M995" s="14"/>
      <c r="N995" s="14"/>
      <c r="O995" s="55" t="s">
        <v>108</v>
      </c>
      <c r="W995" s="14"/>
      <c r="X995" s="14">
        <v>5</v>
      </c>
      <c r="Y995" s="79">
        <v>5</v>
      </c>
      <c r="Z995" s="10" t="s">
        <v>24</v>
      </c>
      <c r="AA995" s="14" t="s">
        <v>1026</v>
      </c>
      <c r="AB995" s="14" t="s">
        <v>957</v>
      </c>
    </row>
    <row r="996" spans="1:28" ht="23.1" customHeight="1" x14ac:dyDescent="0.25">
      <c r="A996" s="53" t="s">
        <v>1002</v>
      </c>
      <c r="B996" s="10" t="s">
        <v>110</v>
      </c>
      <c r="C996" s="10">
        <v>77</v>
      </c>
      <c r="D996" s="10" t="s">
        <v>968</v>
      </c>
      <c r="E996" s="41" t="s">
        <v>969</v>
      </c>
      <c r="F996" s="21" t="s">
        <v>969</v>
      </c>
      <c r="G996" s="21" t="str">
        <f>VLOOKUP(D996,[6]成飞半成品!$A:$B,2,0)</f>
        <v>四通接头</v>
      </c>
      <c r="H996" s="10" t="s">
        <v>154</v>
      </c>
      <c r="I996" s="10">
        <v>75</v>
      </c>
      <c r="J996" s="10" t="s">
        <v>2446</v>
      </c>
      <c r="K996" s="10">
        <v>20</v>
      </c>
      <c r="L996" s="10">
        <v>1</v>
      </c>
      <c r="M996" s="14">
        <v>23</v>
      </c>
      <c r="N996" s="14"/>
      <c r="O996" s="55" t="s">
        <v>164</v>
      </c>
      <c r="Q996" s="10">
        <v>30</v>
      </c>
      <c r="U996" s="10">
        <v>60</v>
      </c>
      <c r="W996" s="14">
        <v>1</v>
      </c>
      <c r="X996" s="14">
        <v>2</v>
      </c>
      <c r="Y996" s="79">
        <v>3.5</v>
      </c>
      <c r="Z996" s="10" t="s">
        <v>24</v>
      </c>
      <c r="AA996" s="14" t="s">
        <v>926</v>
      </c>
      <c r="AB996" s="25" t="s">
        <v>238</v>
      </c>
    </row>
    <row r="997" spans="1:28" ht="23.1" customHeight="1" x14ac:dyDescent="0.25">
      <c r="A997" s="53" t="s">
        <v>1002</v>
      </c>
      <c r="B997" s="10" t="s">
        <v>110</v>
      </c>
      <c r="C997" s="10">
        <v>77</v>
      </c>
      <c r="D997" s="10" t="s">
        <v>968</v>
      </c>
      <c r="E997" s="41" t="s">
        <v>969</v>
      </c>
      <c r="F997" s="21" t="s">
        <v>969</v>
      </c>
      <c r="G997" s="21" t="str">
        <f>VLOOKUP(D997,[6]成飞半成品!$A:$B,2,0)</f>
        <v>四通接头</v>
      </c>
      <c r="H997" s="10" t="s">
        <v>154</v>
      </c>
      <c r="I997" s="10">
        <v>70</v>
      </c>
      <c r="J997" s="10" t="s">
        <v>2101</v>
      </c>
      <c r="L997" s="10">
        <v>5</v>
      </c>
      <c r="M997" s="14">
        <v>19</v>
      </c>
      <c r="N997" s="14">
        <v>19</v>
      </c>
      <c r="O997" s="55" t="s">
        <v>164</v>
      </c>
      <c r="Q997" s="10">
        <v>40</v>
      </c>
      <c r="U997" s="10">
        <v>60</v>
      </c>
      <c r="W997" s="14"/>
      <c r="Y997" s="79">
        <v>3.3</v>
      </c>
      <c r="Z997" s="10" t="s">
        <v>24</v>
      </c>
    </row>
    <row r="998" spans="1:28" ht="23.1" customHeight="1" x14ac:dyDescent="0.25">
      <c r="A998" s="53" t="s">
        <v>1002</v>
      </c>
      <c r="B998" s="10" t="s">
        <v>137</v>
      </c>
      <c r="C998" s="10">
        <v>59</v>
      </c>
      <c r="D998" s="10" t="s">
        <v>924</v>
      </c>
      <c r="E998" s="41" t="s">
        <v>409</v>
      </c>
      <c r="F998" s="21" t="s">
        <v>409</v>
      </c>
      <c r="G998" s="21" t="str">
        <f>VLOOKUP(D998,[6]成飞半成品!$A:$B,2,0)</f>
        <v>接头</v>
      </c>
      <c r="H998" s="10" t="s">
        <v>102</v>
      </c>
      <c r="I998" s="10">
        <v>25</v>
      </c>
      <c r="J998" s="10" t="s">
        <v>2113</v>
      </c>
      <c r="K998" s="10">
        <v>8</v>
      </c>
      <c r="L998" s="10">
        <v>8</v>
      </c>
      <c r="M998" s="14">
        <v>23</v>
      </c>
      <c r="N998" s="14">
        <v>28</v>
      </c>
      <c r="O998" s="55" t="s">
        <v>596</v>
      </c>
      <c r="Q998" s="10">
        <v>120</v>
      </c>
      <c r="R998" s="10">
        <v>60</v>
      </c>
      <c r="U998" s="10">
        <v>120</v>
      </c>
      <c r="W998" s="14">
        <v>1</v>
      </c>
      <c r="X998" s="14">
        <v>3</v>
      </c>
      <c r="Y998" s="79">
        <v>21</v>
      </c>
      <c r="Z998" s="65" t="s">
        <v>1847</v>
      </c>
      <c r="AA998" s="14" t="s">
        <v>1027</v>
      </c>
      <c r="AB998" s="25" t="s">
        <v>238</v>
      </c>
    </row>
    <row r="999" spans="1:28" ht="23.1" customHeight="1" x14ac:dyDescent="0.25">
      <c r="A999" s="53" t="s">
        <v>1002</v>
      </c>
      <c r="B999" s="10" t="s">
        <v>137</v>
      </c>
      <c r="C999" s="10">
        <v>18</v>
      </c>
      <c r="D999" s="25" t="s">
        <v>2551</v>
      </c>
      <c r="E999" s="41" t="s">
        <v>1028</v>
      </c>
      <c r="F999" s="21" t="e">
        <v>#N/A</v>
      </c>
      <c r="G999" s="21" t="str">
        <f>VLOOKUP(D999,[6]成飞半成品!$A:$B,2,0)</f>
        <v>工装</v>
      </c>
      <c r="H999" s="10" t="s">
        <v>102</v>
      </c>
      <c r="I999" s="10">
        <v>40</v>
      </c>
      <c r="K999" s="10">
        <v>1</v>
      </c>
      <c r="L999" s="10">
        <v>1</v>
      </c>
      <c r="M999" s="14"/>
      <c r="N999" s="14"/>
      <c r="O999" s="55" t="s">
        <v>108</v>
      </c>
      <c r="W999" s="14">
        <v>1</v>
      </c>
      <c r="X999" s="14">
        <v>15</v>
      </c>
      <c r="Y999" s="79">
        <v>15</v>
      </c>
      <c r="Z999" s="10" t="s">
        <v>16</v>
      </c>
      <c r="AA999" s="14" t="s">
        <v>1029</v>
      </c>
      <c r="AB999" s="14" t="s">
        <v>957</v>
      </c>
    </row>
    <row r="1000" spans="1:28" ht="23.1" customHeight="1" x14ac:dyDescent="0.25">
      <c r="A1000" s="53" t="s">
        <v>1002</v>
      </c>
      <c r="B1000" s="10" t="s">
        <v>137</v>
      </c>
      <c r="C1000" s="10">
        <v>18</v>
      </c>
      <c r="D1000" s="10" t="s">
        <v>1030</v>
      </c>
      <c r="E1000" s="41" t="s">
        <v>919</v>
      </c>
      <c r="F1000" s="21" t="s">
        <v>919</v>
      </c>
      <c r="G1000" s="21" t="str">
        <f>VLOOKUP(D1000,[6]成飞半成品!$A:$B,2,0)</f>
        <v>雷达罩锁支座</v>
      </c>
      <c r="H1000" s="10" t="s">
        <v>323</v>
      </c>
      <c r="I1000" s="10">
        <v>5</v>
      </c>
      <c r="J1000" s="10" t="s">
        <v>1930</v>
      </c>
      <c r="K1000" s="10">
        <v>5</v>
      </c>
      <c r="L1000" s="10">
        <v>3</v>
      </c>
      <c r="M1000" s="14">
        <v>31</v>
      </c>
      <c r="N1000" s="14">
        <v>31</v>
      </c>
      <c r="O1000" s="55" t="s">
        <v>780</v>
      </c>
      <c r="Q1000" s="10">
        <v>40</v>
      </c>
      <c r="U1000" s="10">
        <v>60</v>
      </c>
      <c r="W1000" s="14">
        <v>1</v>
      </c>
      <c r="Y1000" s="79">
        <v>3</v>
      </c>
      <c r="Z1000" s="10" t="s">
        <v>16</v>
      </c>
    </row>
    <row r="1001" spans="1:28" ht="23.1" customHeight="1" x14ac:dyDescent="0.25">
      <c r="A1001" s="53" t="s">
        <v>1002</v>
      </c>
      <c r="B1001" s="10" t="s">
        <v>137</v>
      </c>
      <c r="C1001" s="10">
        <v>57</v>
      </c>
      <c r="D1001" s="10" t="s">
        <v>1031</v>
      </c>
      <c r="E1001" s="41" t="s">
        <v>1032</v>
      </c>
      <c r="F1001" s="21" t="s">
        <v>1032</v>
      </c>
      <c r="G1001" s="21" t="str">
        <f>VLOOKUP(D1001,[6]成飞半成品!$A:$B,2,0)</f>
        <v>前上大梁（左）</v>
      </c>
      <c r="H1001" s="10" t="s">
        <v>107</v>
      </c>
      <c r="I1001" s="10">
        <v>10</v>
      </c>
      <c r="J1001" s="10" t="s">
        <v>2024</v>
      </c>
      <c r="K1001" s="10">
        <v>10</v>
      </c>
      <c r="L1001" s="10">
        <v>12</v>
      </c>
      <c r="M1001" s="14">
        <v>28</v>
      </c>
      <c r="N1001" s="14">
        <v>28</v>
      </c>
      <c r="O1001" s="55" t="s">
        <v>1033</v>
      </c>
      <c r="Q1001" s="10">
        <v>90</v>
      </c>
      <c r="U1001" s="10">
        <v>90</v>
      </c>
      <c r="W1001" s="14">
        <v>1</v>
      </c>
      <c r="Y1001" s="79">
        <v>19.5</v>
      </c>
      <c r="Z1001" s="10" t="s">
        <v>7</v>
      </c>
    </row>
    <row r="1002" spans="1:28" ht="23.1" customHeight="1" x14ac:dyDescent="0.25">
      <c r="A1002" s="53" t="s">
        <v>1002</v>
      </c>
      <c r="B1002" s="10" t="s">
        <v>137</v>
      </c>
      <c r="C1002" s="10">
        <v>16</v>
      </c>
      <c r="D1002" s="10" t="s">
        <v>892</v>
      </c>
      <c r="E1002" s="41" t="s">
        <v>893</v>
      </c>
      <c r="F1002" s="21" t="s">
        <v>893</v>
      </c>
      <c r="G1002" s="21" t="str">
        <f>VLOOKUP(D1002,[6]成飞半成品!$A:$B,2,0)</f>
        <v>连接接头</v>
      </c>
      <c r="H1002" s="10" t="s">
        <v>102</v>
      </c>
      <c r="I1002" s="10">
        <v>20</v>
      </c>
      <c r="J1002" s="10" t="s">
        <v>2447</v>
      </c>
      <c r="K1002" s="10">
        <v>31</v>
      </c>
      <c r="L1002" s="10">
        <v>17</v>
      </c>
      <c r="M1002" s="14">
        <v>5</v>
      </c>
      <c r="N1002" s="14">
        <v>5</v>
      </c>
      <c r="O1002" s="55" t="s">
        <v>596</v>
      </c>
      <c r="Q1002" s="10">
        <v>25</v>
      </c>
      <c r="U1002" s="10">
        <v>60</v>
      </c>
      <c r="W1002" s="14"/>
      <c r="Y1002" s="79">
        <v>7.1</v>
      </c>
      <c r="Z1002" s="10" t="s">
        <v>63</v>
      </c>
    </row>
    <row r="1003" spans="1:28" ht="23.1" customHeight="1" x14ac:dyDescent="0.25">
      <c r="A1003" s="53" t="s">
        <v>1002</v>
      </c>
      <c r="B1003" s="10" t="s">
        <v>137</v>
      </c>
      <c r="C1003" s="10">
        <v>16</v>
      </c>
      <c r="D1003" s="10" t="s">
        <v>892</v>
      </c>
      <c r="E1003" s="41" t="s">
        <v>893</v>
      </c>
      <c r="F1003" s="21" t="s">
        <v>893</v>
      </c>
      <c r="G1003" s="21" t="str">
        <f>VLOOKUP(D1003,[6]成飞半成品!$A:$B,2,0)</f>
        <v>连接接头</v>
      </c>
      <c r="H1003" s="10" t="s">
        <v>102</v>
      </c>
      <c r="I1003" s="10">
        <v>25</v>
      </c>
      <c r="J1003" s="10" t="s">
        <v>1850</v>
      </c>
      <c r="K1003" s="10">
        <v>10</v>
      </c>
      <c r="L1003" s="10">
        <v>20</v>
      </c>
      <c r="M1003" s="14">
        <v>5</v>
      </c>
      <c r="N1003" s="14">
        <v>28</v>
      </c>
      <c r="O1003" s="55" t="s">
        <v>596</v>
      </c>
      <c r="Q1003" s="10">
        <v>20</v>
      </c>
      <c r="U1003" s="10">
        <v>60</v>
      </c>
      <c r="W1003" s="14">
        <v>1</v>
      </c>
      <c r="X1003" s="14">
        <v>3</v>
      </c>
      <c r="Y1003" s="79">
        <v>10.7</v>
      </c>
      <c r="Z1003" s="10" t="s">
        <v>63</v>
      </c>
      <c r="AA1003" s="14" t="s">
        <v>1034</v>
      </c>
      <c r="AB1003" s="25" t="s">
        <v>238</v>
      </c>
    </row>
    <row r="1004" spans="1:28" ht="23.1" customHeight="1" x14ac:dyDescent="0.25">
      <c r="A1004" s="53" t="s">
        <v>1002</v>
      </c>
      <c r="B1004" s="10" t="s">
        <v>137</v>
      </c>
      <c r="C1004" s="10">
        <v>11</v>
      </c>
      <c r="D1004" s="10" t="s">
        <v>2561</v>
      </c>
      <c r="E1004" s="41" t="s">
        <v>691</v>
      </c>
      <c r="F1004" s="21" t="s">
        <v>691</v>
      </c>
      <c r="G1004" s="21" t="str">
        <f>VLOOKUP(D1004,[6]成飞半成品!$A:$B,2,0)</f>
        <v>地板支撑件</v>
      </c>
      <c r="H1004" s="10" t="s">
        <v>123</v>
      </c>
      <c r="I1004" s="10">
        <v>35</v>
      </c>
      <c r="J1004" s="10" t="s">
        <v>2086</v>
      </c>
      <c r="K1004" s="10">
        <v>1.3</v>
      </c>
      <c r="L1004" s="10">
        <v>2</v>
      </c>
      <c r="M1004" s="14">
        <v>28</v>
      </c>
      <c r="N1004" s="14">
        <v>28</v>
      </c>
      <c r="O1004" s="55" t="s">
        <v>1035</v>
      </c>
      <c r="Q1004" s="10">
        <v>410</v>
      </c>
      <c r="U1004" s="10">
        <v>90</v>
      </c>
      <c r="W1004" s="14"/>
      <c r="Y1004" s="79">
        <v>13.7</v>
      </c>
      <c r="Z1004" s="10" t="s">
        <v>63</v>
      </c>
    </row>
    <row r="1005" spans="1:28" ht="23.1" customHeight="1" x14ac:dyDescent="0.25">
      <c r="A1005" s="53" t="s">
        <v>1002</v>
      </c>
      <c r="B1005" s="10" t="s">
        <v>137</v>
      </c>
      <c r="C1005" s="10">
        <v>17</v>
      </c>
      <c r="D1005" s="10" t="s">
        <v>916</v>
      </c>
      <c r="E1005" s="41" t="s">
        <v>917</v>
      </c>
      <c r="F1005" s="21" t="s">
        <v>917</v>
      </c>
      <c r="G1005" s="21" t="str">
        <f>VLOOKUP(D1005,[6]成飞半成品!$A:$B,2,0)</f>
        <v>座子</v>
      </c>
      <c r="H1005" s="10" t="s">
        <v>250</v>
      </c>
      <c r="I1005" s="10">
        <v>25</v>
      </c>
      <c r="J1005" s="10" t="s">
        <v>2104</v>
      </c>
      <c r="K1005" s="10">
        <v>6</v>
      </c>
      <c r="L1005" s="10">
        <v>7</v>
      </c>
      <c r="M1005" s="14">
        <v>31</v>
      </c>
      <c r="N1005" s="14">
        <v>31</v>
      </c>
      <c r="O1005" s="55" t="s">
        <v>247</v>
      </c>
      <c r="Q1005" s="10">
        <v>100</v>
      </c>
      <c r="U1005" s="10">
        <v>60</v>
      </c>
      <c r="W1005" s="14"/>
      <c r="Y1005" s="79">
        <v>11.7</v>
      </c>
      <c r="Z1005" s="10" t="s">
        <v>16</v>
      </c>
    </row>
    <row r="1006" spans="1:28" ht="23.1" customHeight="1" x14ac:dyDescent="0.25">
      <c r="A1006" s="53" t="s">
        <v>1002</v>
      </c>
      <c r="B1006" s="10" t="s">
        <v>113</v>
      </c>
      <c r="C1006" s="10">
        <v>18</v>
      </c>
      <c r="D1006" s="10" t="s">
        <v>1030</v>
      </c>
      <c r="E1006" s="41" t="s">
        <v>919</v>
      </c>
      <c r="F1006" s="21" t="s">
        <v>919</v>
      </c>
      <c r="G1006" s="21" t="str">
        <f>VLOOKUP(D1006,[6]成飞半成品!$A:$B,2,0)</f>
        <v>雷达罩锁支座</v>
      </c>
      <c r="H1006" s="10" t="s">
        <v>323</v>
      </c>
      <c r="I1006" s="10">
        <v>5</v>
      </c>
      <c r="J1006" s="10" t="s">
        <v>2448</v>
      </c>
      <c r="K1006" s="10">
        <v>5</v>
      </c>
      <c r="L1006" s="10">
        <v>7</v>
      </c>
      <c r="M1006" s="14">
        <v>31</v>
      </c>
      <c r="N1006" s="14">
        <v>31</v>
      </c>
      <c r="O1006" s="55" t="s">
        <v>780</v>
      </c>
      <c r="Q1006" s="10">
        <v>40</v>
      </c>
      <c r="U1006" s="10">
        <v>60</v>
      </c>
      <c r="W1006" s="14"/>
      <c r="Y1006" s="79">
        <v>4.7</v>
      </c>
      <c r="Z1006" s="10" t="s">
        <v>43</v>
      </c>
    </row>
    <row r="1007" spans="1:28" ht="23.1" customHeight="1" x14ac:dyDescent="0.25">
      <c r="A1007" s="53" t="s">
        <v>1002</v>
      </c>
      <c r="B1007" s="10" t="s">
        <v>113</v>
      </c>
      <c r="C1007" s="10">
        <v>18</v>
      </c>
      <c r="D1007" s="10" t="s">
        <v>1030</v>
      </c>
      <c r="E1007" s="41" t="s">
        <v>919</v>
      </c>
      <c r="F1007" s="21" t="s">
        <v>919</v>
      </c>
      <c r="G1007" s="21" t="str">
        <f>VLOOKUP(D1007,[6]成飞半成品!$A:$B,2,0)</f>
        <v>雷达罩锁支座</v>
      </c>
      <c r="H1007" s="10" t="s">
        <v>323</v>
      </c>
      <c r="I1007" s="10">
        <v>10</v>
      </c>
      <c r="J1007" s="10" t="s">
        <v>2114</v>
      </c>
      <c r="K1007" s="10">
        <v>7</v>
      </c>
      <c r="L1007" s="10">
        <v>10</v>
      </c>
      <c r="M1007" s="14">
        <v>31</v>
      </c>
      <c r="N1007" s="14">
        <v>19</v>
      </c>
      <c r="O1007" s="55" t="s">
        <v>780</v>
      </c>
      <c r="Q1007" s="10">
        <v>60</v>
      </c>
      <c r="U1007" s="10">
        <v>90</v>
      </c>
      <c r="W1007" s="14">
        <v>1</v>
      </c>
      <c r="Y1007" s="79">
        <v>11.5</v>
      </c>
      <c r="Z1007" s="10" t="s">
        <v>43</v>
      </c>
    </row>
    <row r="1008" spans="1:28" ht="23.1" customHeight="1" x14ac:dyDescent="0.25">
      <c r="A1008" s="53" t="s">
        <v>1002</v>
      </c>
      <c r="B1008" s="10" t="s">
        <v>113</v>
      </c>
      <c r="C1008" s="10">
        <v>21</v>
      </c>
      <c r="D1008" s="10" t="s">
        <v>321</v>
      </c>
      <c r="E1008" s="41" t="s">
        <v>322</v>
      </c>
      <c r="F1008" s="21" t="s">
        <v>322</v>
      </c>
      <c r="G1008" s="21" t="str">
        <f>VLOOKUP(D1008,[6]成飞半成品!$A:$B,2,0)</f>
        <v>10860框</v>
      </c>
      <c r="H1008" s="10" t="s">
        <v>323</v>
      </c>
      <c r="I1008" s="10">
        <v>50</v>
      </c>
      <c r="J1008" s="10" t="s">
        <v>1986</v>
      </c>
      <c r="K1008" s="10">
        <v>0.3</v>
      </c>
      <c r="L1008" s="10">
        <v>0.3</v>
      </c>
      <c r="M1008" s="14">
        <v>5</v>
      </c>
      <c r="N1008" s="14"/>
      <c r="O1008" s="55" t="s">
        <v>860</v>
      </c>
      <c r="Q1008" s="10">
        <v>630</v>
      </c>
      <c r="R1008" s="10">
        <v>120</v>
      </c>
      <c r="U1008" s="10">
        <v>180</v>
      </c>
      <c r="W1008" s="14"/>
      <c r="Y1008" s="79">
        <v>3.2</v>
      </c>
      <c r="Z1008" s="10" t="s">
        <v>58</v>
      </c>
    </row>
    <row r="1009" spans="1:28" ht="23.1" customHeight="1" x14ac:dyDescent="0.25">
      <c r="A1009" s="53" t="s">
        <v>1002</v>
      </c>
      <c r="B1009" s="10" t="s">
        <v>113</v>
      </c>
      <c r="C1009" s="10">
        <v>21</v>
      </c>
      <c r="D1009" s="10" t="s">
        <v>321</v>
      </c>
      <c r="E1009" s="41" t="s">
        <v>322</v>
      </c>
      <c r="F1009" s="21" t="s">
        <v>322</v>
      </c>
      <c r="G1009" s="21" t="str">
        <f>VLOOKUP(D1009,[6]成飞半成品!$A:$B,2,0)</f>
        <v>10860框</v>
      </c>
      <c r="H1009" s="10" t="s">
        <v>323</v>
      </c>
      <c r="I1009" s="10">
        <v>55</v>
      </c>
      <c r="J1009" s="10" t="s">
        <v>2004</v>
      </c>
      <c r="K1009" s="10">
        <v>0.6</v>
      </c>
      <c r="L1009" s="10">
        <v>0.9</v>
      </c>
      <c r="M1009" s="14">
        <v>19</v>
      </c>
      <c r="N1009" s="14">
        <v>19</v>
      </c>
      <c r="O1009" s="55">
        <v>1</v>
      </c>
      <c r="Q1009" s="10">
        <v>660</v>
      </c>
      <c r="R1009" s="10">
        <v>120</v>
      </c>
      <c r="T1009" s="10">
        <v>1</v>
      </c>
      <c r="U1009" s="10">
        <v>180</v>
      </c>
      <c r="W1009" s="14"/>
      <c r="Y1009" s="79">
        <v>11.9</v>
      </c>
      <c r="Z1009" s="10" t="s">
        <v>58</v>
      </c>
    </row>
    <row r="1010" spans="1:28" ht="23.1" customHeight="1" x14ac:dyDescent="0.25">
      <c r="A1010" s="53" t="s">
        <v>1002</v>
      </c>
      <c r="B1010" s="10" t="s">
        <v>113</v>
      </c>
      <c r="C1010" s="10">
        <v>13</v>
      </c>
      <c r="D1010" s="10" t="s">
        <v>654</v>
      </c>
      <c r="E1010" s="41" t="s">
        <v>246</v>
      </c>
      <c r="F1010" s="21" t="s">
        <v>246</v>
      </c>
      <c r="G1010" s="21" t="str">
        <f>VLOOKUP(D1010,[6]成飞半成品!$A:$B,2,0)</f>
        <v>外侧轴承盖</v>
      </c>
      <c r="H1010" s="10" t="s">
        <v>154</v>
      </c>
      <c r="I1010" s="10">
        <v>45</v>
      </c>
      <c r="J1010" s="10" t="s">
        <v>1954</v>
      </c>
      <c r="K1010" s="10">
        <v>3</v>
      </c>
      <c r="L1010" s="10">
        <v>4</v>
      </c>
      <c r="M1010" s="14">
        <v>23</v>
      </c>
      <c r="N1010" s="14">
        <v>19</v>
      </c>
      <c r="O1010" s="55" t="s">
        <v>247</v>
      </c>
      <c r="Q1010" s="10">
        <v>250</v>
      </c>
      <c r="U1010" s="10">
        <v>60</v>
      </c>
      <c r="W1010" s="14"/>
      <c r="Y1010" s="79">
        <v>16.7</v>
      </c>
      <c r="Z1010" s="10" t="s">
        <v>72</v>
      </c>
    </row>
    <row r="1011" spans="1:28" ht="23.1" customHeight="1" x14ac:dyDescent="0.25">
      <c r="A1011" s="53" t="s">
        <v>1002</v>
      </c>
      <c r="B1011" s="10" t="s">
        <v>113</v>
      </c>
      <c r="C1011" s="10">
        <v>12</v>
      </c>
      <c r="D1011" s="10" t="s">
        <v>735</v>
      </c>
      <c r="E1011" s="41" t="s">
        <v>249</v>
      </c>
      <c r="F1011" s="21" t="s">
        <v>249</v>
      </c>
      <c r="G1011" s="21" t="str">
        <f>VLOOKUP(D1011,[6]成飞半成品!$A:$B,2,0)</f>
        <v>10060下接头</v>
      </c>
      <c r="H1011" s="10" t="s">
        <v>250</v>
      </c>
      <c r="I1011" s="10">
        <v>25</v>
      </c>
      <c r="J1011" s="10" t="s">
        <v>1923</v>
      </c>
      <c r="K1011" s="10">
        <v>1</v>
      </c>
      <c r="L1011" s="10">
        <v>1</v>
      </c>
      <c r="M1011" s="14">
        <v>19</v>
      </c>
      <c r="N1011" s="14">
        <v>19</v>
      </c>
      <c r="O1011" s="55" t="s">
        <v>1036</v>
      </c>
      <c r="Q1011" s="10">
        <v>1080</v>
      </c>
      <c r="U1011" s="10">
        <v>120</v>
      </c>
      <c r="W1011" s="14">
        <v>1</v>
      </c>
      <c r="Y1011" s="79">
        <v>20</v>
      </c>
      <c r="Z1011" s="10" t="s">
        <v>72</v>
      </c>
    </row>
    <row r="1012" spans="1:28" ht="23.1" customHeight="1" x14ac:dyDescent="0.25">
      <c r="A1012" s="53" t="s">
        <v>1002</v>
      </c>
      <c r="B1012" s="10" t="s">
        <v>113</v>
      </c>
      <c r="C1012" s="10">
        <v>107</v>
      </c>
      <c r="D1012" s="10" t="s">
        <v>173</v>
      </c>
      <c r="E1012" s="41" t="s">
        <v>174</v>
      </c>
      <c r="F1012" s="21" t="s">
        <v>1246</v>
      </c>
      <c r="G1012" s="21" t="str">
        <f>VLOOKUP(D1012,[6]成飞半成品!$A:$B,2,0)</f>
        <v>根肋后段</v>
      </c>
      <c r="H1012" s="10" t="s">
        <v>154</v>
      </c>
      <c r="I1012" s="10">
        <v>45</v>
      </c>
      <c r="J1012" s="10" t="s">
        <v>1866</v>
      </c>
      <c r="K1012" s="10">
        <v>1</v>
      </c>
      <c r="L1012" s="10">
        <v>0.6</v>
      </c>
      <c r="M1012" s="14">
        <v>26</v>
      </c>
      <c r="N1012" s="14"/>
      <c r="O1012" s="55" t="s">
        <v>1037</v>
      </c>
      <c r="Q1012" s="10">
        <v>1900</v>
      </c>
      <c r="R1012" s="10">
        <v>90</v>
      </c>
      <c r="U1012" s="10">
        <v>180</v>
      </c>
      <c r="W1012" s="14"/>
      <c r="Y1012" s="79">
        <v>19</v>
      </c>
      <c r="Z1012" s="10" t="s">
        <v>45</v>
      </c>
    </row>
    <row r="1013" spans="1:28" ht="23.1" customHeight="1" x14ac:dyDescent="0.25">
      <c r="A1013" s="53" t="s">
        <v>1002</v>
      </c>
      <c r="B1013" s="10" t="s">
        <v>113</v>
      </c>
      <c r="C1013" s="10">
        <v>59</v>
      </c>
      <c r="D1013" s="10" t="s">
        <v>753</v>
      </c>
      <c r="E1013" s="41" t="s">
        <v>409</v>
      </c>
      <c r="F1013" s="21" t="s">
        <v>409</v>
      </c>
      <c r="G1013" s="21" t="str">
        <f>VLOOKUP(D1013,[6]成飞半成品!$A:$B,2,0)</f>
        <v>接头</v>
      </c>
      <c r="H1013" s="10" t="s">
        <v>102</v>
      </c>
      <c r="I1013" s="10">
        <v>15</v>
      </c>
      <c r="J1013" s="10" t="s">
        <v>2115</v>
      </c>
      <c r="K1013" s="10">
        <v>7</v>
      </c>
      <c r="L1013" s="10">
        <v>8</v>
      </c>
      <c r="M1013" s="14">
        <v>31</v>
      </c>
      <c r="N1013" s="14">
        <v>28</v>
      </c>
      <c r="O1013" s="55" t="s">
        <v>596</v>
      </c>
      <c r="W1013" s="14">
        <v>1</v>
      </c>
      <c r="X1013" s="14">
        <v>2</v>
      </c>
      <c r="Y1013" s="79">
        <v>2</v>
      </c>
      <c r="Z1013" s="10" t="s">
        <v>42</v>
      </c>
      <c r="AA1013" s="14" t="s">
        <v>1038</v>
      </c>
      <c r="AB1013" s="25" t="s">
        <v>238</v>
      </c>
    </row>
    <row r="1014" spans="1:28" ht="23.1" customHeight="1" x14ac:dyDescent="0.25">
      <c r="A1014" s="53" t="s">
        <v>1002</v>
      </c>
      <c r="B1014" s="10" t="s">
        <v>113</v>
      </c>
      <c r="C1014" s="10">
        <v>15</v>
      </c>
      <c r="D1014" s="10" t="s">
        <v>116</v>
      </c>
      <c r="E1014" s="41" t="s">
        <v>117</v>
      </c>
      <c r="F1014" s="21" t="s">
        <v>117</v>
      </c>
      <c r="G1014" s="21" t="str">
        <f>VLOOKUP(D1014,[6]成飞半成品!$A:$B,2,0)</f>
        <v>7820~8270侧上梁</v>
      </c>
      <c r="H1014" s="10" t="s">
        <v>118</v>
      </c>
      <c r="I1014" s="10">
        <v>10</v>
      </c>
      <c r="J1014" s="10" t="s">
        <v>1867</v>
      </c>
      <c r="K1014" s="10">
        <v>5</v>
      </c>
      <c r="L1014" s="10">
        <v>11</v>
      </c>
      <c r="M1014" s="14">
        <v>5</v>
      </c>
      <c r="N1014" s="14">
        <v>31</v>
      </c>
      <c r="O1014" s="55" t="s">
        <v>1041</v>
      </c>
      <c r="Q1014" s="10">
        <v>100</v>
      </c>
      <c r="U1014" s="10">
        <v>90</v>
      </c>
      <c r="W1014" s="14">
        <v>1</v>
      </c>
      <c r="Y1014" s="79">
        <v>19.8</v>
      </c>
      <c r="Z1014" s="10" t="s">
        <v>31</v>
      </c>
    </row>
    <row r="1015" spans="1:28" ht="23.1" customHeight="1" x14ac:dyDescent="0.25">
      <c r="A1015" s="53" t="s">
        <v>1002</v>
      </c>
      <c r="B1015" s="10" t="s">
        <v>113</v>
      </c>
      <c r="C1015" s="10">
        <v>15</v>
      </c>
      <c r="D1015" s="10" t="s">
        <v>116</v>
      </c>
      <c r="E1015" s="41" t="s">
        <v>117</v>
      </c>
      <c r="F1015" s="21" t="s">
        <v>117</v>
      </c>
      <c r="G1015" s="21" t="str">
        <f>VLOOKUP(D1015,[6]成飞半成品!$A:$B,2,0)</f>
        <v>7820~8270侧上梁</v>
      </c>
      <c r="H1015" s="10" t="s">
        <v>118</v>
      </c>
      <c r="I1015" s="10">
        <v>10</v>
      </c>
      <c r="J1015" s="10" t="s">
        <v>1867</v>
      </c>
      <c r="L1015" s="10">
        <v>1</v>
      </c>
      <c r="M1015" s="14">
        <v>31</v>
      </c>
      <c r="N1015" s="14"/>
      <c r="O1015" s="55" t="s">
        <v>128</v>
      </c>
      <c r="Q1015" s="10">
        <v>100</v>
      </c>
      <c r="U1015" s="10">
        <v>90</v>
      </c>
      <c r="W1015" s="14">
        <v>1</v>
      </c>
      <c r="Y1015" s="79">
        <v>3.2</v>
      </c>
      <c r="Z1015" s="10" t="s">
        <v>31</v>
      </c>
    </row>
    <row r="1016" spans="1:28" ht="23.1" customHeight="1" x14ac:dyDescent="0.25">
      <c r="A1016" s="53" t="s">
        <v>1002</v>
      </c>
      <c r="B1016" s="10" t="s">
        <v>113</v>
      </c>
      <c r="C1016" s="10">
        <v>57</v>
      </c>
      <c r="D1016" s="10" t="s">
        <v>1042</v>
      </c>
      <c r="E1016" s="41" t="s">
        <v>1032</v>
      </c>
      <c r="F1016" s="21" t="s">
        <v>1281</v>
      </c>
      <c r="G1016" s="21" t="str">
        <f>VLOOKUP(D1016,[6]成飞半成品!$A:$B,2,0)</f>
        <v>前上大梁（右）</v>
      </c>
      <c r="H1016" s="65" t="s">
        <v>1837</v>
      </c>
      <c r="I1016" s="10">
        <v>5</v>
      </c>
      <c r="J1016" s="65" t="s">
        <v>1930</v>
      </c>
      <c r="L1016" s="10">
        <v>8</v>
      </c>
      <c r="M1016" s="14">
        <v>28</v>
      </c>
      <c r="N1016" s="14">
        <v>28</v>
      </c>
      <c r="O1016" s="55" t="s">
        <v>1043</v>
      </c>
      <c r="Q1016" s="10">
        <v>120</v>
      </c>
      <c r="U1016" s="10">
        <v>60</v>
      </c>
      <c r="W1016" s="14">
        <v>1</v>
      </c>
      <c r="Y1016" s="79">
        <v>17</v>
      </c>
      <c r="Z1016" s="10" t="s">
        <v>57</v>
      </c>
    </row>
    <row r="1017" spans="1:28" ht="23.1" customHeight="1" x14ac:dyDescent="0.25">
      <c r="A1017" s="53" t="s">
        <v>1002</v>
      </c>
      <c r="B1017" s="10" t="s">
        <v>113</v>
      </c>
      <c r="C1017" s="10">
        <v>57</v>
      </c>
      <c r="D1017" s="10" t="s">
        <v>1042</v>
      </c>
      <c r="E1017" s="41" t="s">
        <v>1032</v>
      </c>
      <c r="F1017" s="21" t="s">
        <v>1281</v>
      </c>
      <c r="G1017" s="21" t="str">
        <f>VLOOKUP(D1017,[6]成飞半成品!$A:$B,2,0)</f>
        <v>前上大梁（右）</v>
      </c>
      <c r="H1017" s="65" t="s">
        <v>1837</v>
      </c>
      <c r="I1017" s="10">
        <v>10</v>
      </c>
      <c r="J1017" s="10" t="s">
        <v>2024</v>
      </c>
      <c r="L1017" s="10">
        <v>4</v>
      </c>
      <c r="M1017" s="14"/>
      <c r="N1017" s="14">
        <v>26</v>
      </c>
      <c r="O1017" s="55" t="s">
        <v>1043</v>
      </c>
      <c r="Q1017" s="10">
        <v>90</v>
      </c>
      <c r="U1017" s="10">
        <v>90</v>
      </c>
      <c r="W1017" s="14">
        <v>1</v>
      </c>
      <c r="X1017" s="14">
        <v>1.5</v>
      </c>
      <c r="Y1017" s="79">
        <v>9</v>
      </c>
      <c r="Z1017" s="10" t="s">
        <v>57</v>
      </c>
      <c r="AA1017" s="14" t="s">
        <v>1044</v>
      </c>
      <c r="AB1017" s="25" t="s">
        <v>238</v>
      </c>
    </row>
    <row r="1018" spans="1:28" ht="23.1" customHeight="1" x14ac:dyDescent="0.25">
      <c r="A1018" s="53" t="s">
        <v>1002</v>
      </c>
      <c r="B1018" s="10" t="s">
        <v>113</v>
      </c>
      <c r="C1018" s="10">
        <v>77</v>
      </c>
      <c r="D1018" s="10" t="s">
        <v>968</v>
      </c>
      <c r="E1018" s="41" t="s">
        <v>969</v>
      </c>
      <c r="F1018" s="21" t="s">
        <v>969</v>
      </c>
      <c r="G1018" s="21" t="str">
        <f>VLOOKUP(D1018,[6]成飞半成品!$A:$B,2,0)</f>
        <v>四通接头</v>
      </c>
      <c r="H1018" s="10" t="s">
        <v>154</v>
      </c>
      <c r="I1018" s="10">
        <v>75</v>
      </c>
      <c r="J1018" s="10" t="s">
        <v>2041</v>
      </c>
      <c r="K1018" s="10">
        <v>15</v>
      </c>
      <c r="L1018" s="10">
        <v>19</v>
      </c>
      <c r="M1018" s="14">
        <v>5</v>
      </c>
      <c r="N1018" s="14">
        <v>31</v>
      </c>
      <c r="O1018" s="55" t="s">
        <v>247</v>
      </c>
      <c r="Q1018" s="10">
        <v>30</v>
      </c>
      <c r="U1018" s="10">
        <v>60</v>
      </c>
      <c r="W1018" s="14"/>
      <c r="Y1018" s="79">
        <v>9.5</v>
      </c>
      <c r="Z1018" s="10" t="s">
        <v>15</v>
      </c>
    </row>
    <row r="1019" spans="1:28" ht="23.1" customHeight="1" x14ac:dyDescent="0.25">
      <c r="A1019" s="53" t="s">
        <v>1002</v>
      </c>
      <c r="B1019" s="10" t="s">
        <v>113</v>
      </c>
      <c r="C1019" s="10">
        <v>17</v>
      </c>
      <c r="D1019" s="10" t="s">
        <v>916</v>
      </c>
      <c r="E1019" s="41" t="s">
        <v>917</v>
      </c>
      <c r="F1019" s="21" t="s">
        <v>917</v>
      </c>
      <c r="G1019" s="21" t="str">
        <f>VLOOKUP(D1019,[6]成飞半成品!$A:$B,2,0)</f>
        <v>座子</v>
      </c>
      <c r="H1019" s="10" t="s">
        <v>250</v>
      </c>
      <c r="I1019" s="10">
        <v>30</v>
      </c>
      <c r="J1019" s="10" t="s">
        <v>2116</v>
      </c>
      <c r="K1019" s="10">
        <v>20</v>
      </c>
      <c r="L1019" s="10">
        <v>20</v>
      </c>
      <c r="M1019" s="14">
        <v>31</v>
      </c>
      <c r="N1019" s="14">
        <v>26</v>
      </c>
      <c r="O1019" s="55" t="s">
        <v>247</v>
      </c>
      <c r="Q1019" s="10">
        <v>35</v>
      </c>
      <c r="U1019" s="10">
        <v>60</v>
      </c>
      <c r="W1019" s="14">
        <v>1</v>
      </c>
      <c r="Y1019" s="79">
        <v>12.7</v>
      </c>
      <c r="Z1019" s="10" t="s">
        <v>43</v>
      </c>
    </row>
    <row r="1020" spans="1:28" ht="23.1" customHeight="1" x14ac:dyDescent="0.25">
      <c r="A1020" s="53" t="s">
        <v>1002</v>
      </c>
      <c r="B1020" s="10" t="s">
        <v>113</v>
      </c>
      <c r="C1020" s="10">
        <v>16</v>
      </c>
      <c r="D1020" s="10" t="s">
        <v>892</v>
      </c>
      <c r="E1020" s="41" t="s">
        <v>893</v>
      </c>
      <c r="F1020" s="21" t="s">
        <v>893</v>
      </c>
      <c r="G1020" s="21" t="str">
        <f>VLOOKUP(D1020,[6]成飞半成品!$A:$B,2,0)</f>
        <v>连接接头</v>
      </c>
      <c r="H1020" s="10" t="s">
        <v>102</v>
      </c>
      <c r="I1020" s="10">
        <v>25</v>
      </c>
      <c r="J1020" s="10" t="s">
        <v>1850</v>
      </c>
      <c r="K1020" s="10">
        <v>21</v>
      </c>
      <c r="L1020" s="10">
        <v>11</v>
      </c>
      <c r="M1020" s="14">
        <v>31</v>
      </c>
      <c r="N1020" s="14">
        <v>28</v>
      </c>
      <c r="O1020" s="55" t="s">
        <v>596</v>
      </c>
      <c r="Q1020" s="10">
        <v>20</v>
      </c>
      <c r="U1020" s="10">
        <v>60</v>
      </c>
      <c r="W1020" s="14"/>
      <c r="Y1020" s="79">
        <v>3.7</v>
      </c>
      <c r="Z1020" s="10" t="s">
        <v>38</v>
      </c>
    </row>
    <row r="1021" spans="1:28" ht="23.1" customHeight="1" x14ac:dyDescent="0.25">
      <c r="A1021" s="53" t="s">
        <v>1002</v>
      </c>
      <c r="B1021" s="10" t="s">
        <v>113</v>
      </c>
      <c r="C1021" s="10">
        <v>16</v>
      </c>
      <c r="D1021" s="10" t="s">
        <v>1045</v>
      </c>
      <c r="E1021" s="41" t="s">
        <v>409</v>
      </c>
      <c r="F1021" s="21" t="s">
        <v>409</v>
      </c>
      <c r="G1021" s="21" t="str">
        <f>VLOOKUP(D1021,[6]成飞半成品!$A:$B,2,0)</f>
        <v>接头</v>
      </c>
      <c r="H1021" s="10" t="s">
        <v>102</v>
      </c>
      <c r="I1021" s="10">
        <v>5</v>
      </c>
      <c r="J1021" s="10" t="s">
        <v>1957</v>
      </c>
      <c r="K1021" s="10">
        <v>8</v>
      </c>
      <c r="L1021" s="10">
        <v>8</v>
      </c>
      <c r="M1021" s="14">
        <v>31</v>
      </c>
      <c r="N1021" s="14">
        <v>9</v>
      </c>
      <c r="O1021" s="55" t="s">
        <v>596</v>
      </c>
      <c r="Q1021" s="10">
        <v>40</v>
      </c>
      <c r="U1021" s="10">
        <v>60</v>
      </c>
      <c r="W1021" s="14"/>
      <c r="Y1021" s="79">
        <v>5.3</v>
      </c>
      <c r="Z1021" s="10" t="s">
        <v>38</v>
      </c>
    </row>
    <row r="1022" spans="1:28" ht="23.1" customHeight="1" x14ac:dyDescent="0.25">
      <c r="A1022" s="53" t="s">
        <v>1002</v>
      </c>
      <c r="B1022" s="10" t="s">
        <v>113</v>
      </c>
      <c r="C1022" s="10">
        <v>11</v>
      </c>
      <c r="D1022" s="10" t="s">
        <v>2561</v>
      </c>
      <c r="E1022" s="41" t="s">
        <v>691</v>
      </c>
      <c r="F1022" s="21" t="s">
        <v>691</v>
      </c>
      <c r="G1022" s="21" t="str">
        <f>VLOOKUP(D1022,[6]成飞半成品!$A:$B,2,0)</f>
        <v>地板支撑件</v>
      </c>
      <c r="H1022" s="10" t="s">
        <v>123</v>
      </c>
      <c r="I1022" s="10">
        <v>35</v>
      </c>
      <c r="J1022" s="10" t="s">
        <v>2086</v>
      </c>
      <c r="K1022" s="10">
        <v>1.3</v>
      </c>
      <c r="L1022" s="10">
        <v>2</v>
      </c>
      <c r="M1022" s="14">
        <v>9</v>
      </c>
      <c r="N1022" s="14">
        <v>9</v>
      </c>
      <c r="O1022" s="55" t="s">
        <v>1046</v>
      </c>
      <c r="Q1022" s="10">
        <v>410</v>
      </c>
      <c r="U1022" s="10">
        <v>90</v>
      </c>
      <c r="W1022" s="14"/>
      <c r="Y1022" s="79">
        <v>13.7</v>
      </c>
      <c r="Z1022" s="10" t="s">
        <v>38</v>
      </c>
    </row>
    <row r="1023" spans="1:28" ht="23.1" customHeight="1" x14ac:dyDescent="0.25">
      <c r="A1023" s="53" t="s">
        <v>1002</v>
      </c>
      <c r="B1023" s="10" t="s">
        <v>113</v>
      </c>
      <c r="C1023" s="10">
        <v>58</v>
      </c>
      <c r="D1023" s="10" t="s">
        <v>1047</v>
      </c>
      <c r="E1023" s="41" t="s">
        <v>424</v>
      </c>
      <c r="F1023" s="21" t="s">
        <v>424</v>
      </c>
      <c r="G1023" s="21" t="str">
        <f>VLOOKUP(D1023,[6]成飞半成品!$A:$B,2,0)</f>
        <v>后梁四段</v>
      </c>
      <c r="H1023" s="10" t="s">
        <v>107</v>
      </c>
      <c r="I1023" s="10">
        <v>10</v>
      </c>
      <c r="J1023" s="10" t="s">
        <v>1949</v>
      </c>
      <c r="K1023" s="10">
        <v>10</v>
      </c>
      <c r="L1023" s="10">
        <v>7</v>
      </c>
      <c r="M1023" s="14">
        <v>28</v>
      </c>
      <c r="N1023" s="14">
        <v>28</v>
      </c>
      <c r="O1023" s="55" t="s">
        <v>1048</v>
      </c>
      <c r="Q1023" s="10">
        <v>60</v>
      </c>
      <c r="U1023" s="10">
        <v>100</v>
      </c>
      <c r="W1023" s="14">
        <v>1</v>
      </c>
      <c r="X1023" s="14">
        <v>2</v>
      </c>
      <c r="Y1023" s="79">
        <v>10.7</v>
      </c>
      <c r="Z1023" s="10" t="s">
        <v>57</v>
      </c>
      <c r="AA1023" s="14" t="s">
        <v>1038</v>
      </c>
      <c r="AB1023" s="25" t="s">
        <v>238</v>
      </c>
    </row>
    <row r="1024" spans="1:28" ht="23.1" customHeight="1" x14ac:dyDescent="0.25">
      <c r="A1024" s="53" t="s">
        <v>1002</v>
      </c>
      <c r="B1024" s="10" t="s">
        <v>113</v>
      </c>
      <c r="C1024" s="10">
        <v>58</v>
      </c>
      <c r="D1024" s="10" t="s">
        <v>1047</v>
      </c>
      <c r="E1024" s="41" t="s">
        <v>424</v>
      </c>
      <c r="F1024" s="21" t="s">
        <v>424</v>
      </c>
      <c r="G1024" s="21" t="str">
        <f>VLOOKUP(D1024,[6]成飞半成品!$A:$B,2,0)</f>
        <v>后梁四段</v>
      </c>
      <c r="H1024" s="10" t="s">
        <v>107</v>
      </c>
      <c r="I1024" s="10">
        <v>15</v>
      </c>
      <c r="J1024" s="10" t="s">
        <v>1961</v>
      </c>
      <c r="L1024" s="10">
        <v>0.5</v>
      </c>
      <c r="M1024" s="14">
        <v>9</v>
      </c>
      <c r="N1024" s="14"/>
      <c r="O1024" s="55" t="s">
        <v>1049</v>
      </c>
      <c r="Q1024" s="10">
        <v>150</v>
      </c>
      <c r="U1024" s="10">
        <v>100</v>
      </c>
      <c r="W1024" s="14">
        <v>1</v>
      </c>
      <c r="X1024" s="14">
        <v>2</v>
      </c>
      <c r="Y1024" s="79">
        <v>4.9000000000000004</v>
      </c>
      <c r="Z1024" s="10" t="s">
        <v>57</v>
      </c>
      <c r="AA1024" s="14" t="s">
        <v>926</v>
      </c>
      <c r="AB1024" s="25" t="s">
        <v>238</v>
      </c>
    </row>
    <row r="1025" spans="1:28" s="51" customFormat="1" ht="23.1" customHeight="1" x14ac:dyDescent="0.25">
      <c r="A1025" s="53" t="s">
        <v>796</v>
      </c>
      <c r="B1025" s="47" t="s">
        <v>113</v>
      </c>
      <c r="C1025" s="47">
        <v>9</v>
      </c>
      <c r="D1025" s="47" t="s">
        <v>229</v>
      </c>
      <c r="E1025" s="41" t="s">
        <v>230</v>
      </c>
      <c r="F1025" s="41" t="s">
        <v>230</v>
      </c>
      <c r="G1025" s="21" t="str">
        <f>VLOOKUP(D1025,[6]成飞半成品!$A:$B,2,0)</f>
        <v>前起落架舱门结构支撑梁</v>
      </c>
      <c r="H1025" s="47" t="s">
        <v>154</v>
      </c>
      <c r="I1025" s="47">
        <v>30</v>
      </c>
      <c r="J1025" s="47" t="s">
        <v>2449</v>
      </c>
      <c r="K1025" s="47">
        <v>14</v>
      </c>
      <c r="L1025" s="47">
        <v>7</v>
      </c>
      <c r="M1025" s="51">
        <v>28</v>
      </c>
      <c r="N1025" s="51">
        <v>28</v>
      </c>
      <c r="O1025" s="55" t="s">
        <v>307</v>
      </c>
      <c r="P1025" s="47"/>
      <c r="Q1025" s="47">
        <v>80</v>
      </c>
      <c r="R1025" s="47"/>
      <c r="S1025" s="47"/>
      <c r="T1025" s="47"/>
      <c r="U1025" s="47">
        <v>60</v>
      </c>
      <c r="V1025" s="47"/>
      <c r="Y1025" s="79">
        <v>9.3000000000000007</v>
      </c>
      <c r="Z1025" s="86" t="s">
        <v>55</v>
      </c>
      <c r="AA1025" s="51" t="s">
        <v>1050</v>
      </c>
    </row>
    <row r="1026" spans="1:28" s="51" customFormat="1" ht="23.1" customHeight="1" x14ac:dyDescent="0.25">
      <c r="A1026" s="53" t="s">
        <v>751</v>
      </c>
      <c r="B1026" s="47" t="s">
        <v>113</v>
      </c>
      <c r="C1026" s="47">
        <v>10</v>
      </c>
      <c r="D1026" s="47" t="s">
        <v>517</v>
      </c>
      <c r="E1026" s="41" t="s">
        <v>518</v>
      </c>
      <c r="F1026" s="41" t="s">
        <v>518</v>
      </c>
      <c r="G1026" s="21" t="str">
        <f>VLOOKUP(D1026,[6]成飞半成品!$A:$B,2,0)</f>
        <v>带板</v>
      </c>
      <c r="H1026" s="47" t="s">
        <v>300</v>
      </c>
      <c r="I1026" s="47">
        <v>30</v>
      </c>
      <c r="J1026" s="47" t="s">
        <v>2040</v>
      </c>
      <c r="K1026" s="47">
        <v>2.2000000000000002</v>
      </c>
      <c r="L1026" s="47">
        <v>2.2000000000000002</v>
      </c>
      <c r="M1026" s="51">
        <v>28</v>
      </c>
      <c r="N1026" s="51">
        <v>19</v>
      </c>
      <c r="O1026" s="55" t="s">
        <v>1051</v>
      </c>
      <c r="P1026" s="47"/>
      <c r="Q1026" s="47">
        <v>270</v>
      </c>
      <c r="R1026" s="47"/>
      <c r="S1026" s="47"/>
      <c r="T1026" s="47"/>
      <c r="U1026" s="47">
        <v>90</v>
      </c>
      <c r="V1026" s="47"/>
      <c r="Y1026" s="79">
        <v>9.9</v>
      </c>
      <c r="Z1026" s="86" t="s">
        <v>55</v>
      </c>
    </row>
    <row r="1027" spans="1:28" s="51" customFormat="1" ht="23.1" customHeight="1" x14ac:dyDescent="0.25">
      <c r="A1027" s="53" t="s">
        <v>870</v>
      </c>
      <c r="B1027" s="47" t="s">
        <v>110</v>
      </c>
      <c r="C1027" s="47">
        <v>9</v>
      </c>
      <c r="D1027" s="47" t="s">
        <v>229</v>
      </c>
      <c r="E1027" s="41" t="s">
        <v>230</v>
      </c>
      <c r="F1027" s="41" t="s">
        <v>230</v>
      </c>
      <c r="G1027" s="21" t="str">
        <f>VLOOKUP(D1027,[6]成飞半成品!$A:$B,2,0)</f>
        <v>前起落架舱门结构支撑梁</v>
      </c>
      <c r="H1027" s="47" t="s">
        <v>154</v>
      </c>
      <c r="I1027" s="47">
        <v>30</v>
      </c>
      <c r="J1027" s="47" t="s">
        <v>2058</v>
      </c>
      <c r="K1027" s="47">
        <v>5</v>
      </c>
      <c r="L1027" s="47">
        <v>5</v>
      </c>
      <c r="M1027" s="51">
        <v>28</v>
      </c>
      <c r="N1027" s="51">
        <v>28</v>
      </c>
      <c r="O1027" s="55" t="s">
        <v>231</v>
      </c>
      <c r="P1027" s="47"/>
      <c r="Q1027" s="47">
        <v>80</v>
      </c>
      <c r="R1027" s="47"/>
      <c r="S1027" s="47"/>
      <c r="T1027" s="47"/>
      <c r="U1027" s="47">
        <v>60</v>
      </c>
      <c r="V1027" s="47"/>
      <c r="Y1027" s="79">
        <v>6.7</v>
      </c>
      <c r="Z1027" s="86" t="s">
        <v>55</v>
      </c>
      <c r="AA1027" s="51" t="s">
        <v>1050</v>
      </c>
    </row>
    <row r="1028" spans="1:28" s="51" customFormat="1" ht="23.1" customHeight="1" x14ac:dyDescent="0.25">
      <c r="A1028" s="53" t="s">
        <v>870</v>
      </c>
      <c r="B1028" s="47" t="s">
        <v>113</v>
      </c>
      <c r="C1028" s="47">
        <v>10</v>
      </c>
      <c r="D1028" s="47" t="s">
        <v>517</v>
      </c>
      <c r="E1028" s="41" t="s">
        <v>518</v>
      </c>
      <c r="F1028" s="41" t="s">
        <v>518</v>
      </c>
      <c r="G1028" s="21" t="str">
        <f>VLOOKUP(D1028,[6]成飞半成品!$A:$B,2,0)</f>
        <v>带板</v>
      </c>
      <c r="H1028" s="47" t="s">
        <v>300</v>
      </c>
      <c r="I1028" s="47">
        <v>30</v>
      </c>
      <c r="J1028" s="47" t="s">
        <v>2040</v>
      </c>
      <c r="K1028" s="47">
        <v>2.2000000000000002</v>
      </c>
      <c r="L1028" s="47">
        <v>3.5</v>
      </c>
      <c r="M1028" s="51">
        <v>28</v>
      </c>
      <c r="N1028" s="51">
        <v>19</v>
      </c>
      <c r="O1028" s="55" t="s">
        <v>1052</v>
      </c>
      <c r="P1028" s="47"/>
      <c r="Q1028" s="47">
        <v>270</v>
      </c>
      <c r="R1028" s="47"/>
      <c r="S1028" s="47"/>
      <c r="T1028" s="47"/>
      <c r="U1028" s="47">
        <v>90</v>
      </c>
      <c r="V1028" s="47"/>
      <c r="Y1028" s="79">
        <v>15.8</v>
      </c>
      <c r="Z1028" s="86" t="s">
        <v>55</v>
      </c>
    </row>
    <row r="1029" spans="1:28" s="51" customFormat="1" ht="23.1" customHeight="1" x14ac:dyDescent="0.25">
      <c r="A1029" s="53" t="s">
        <v>748</v>
      </c>
      <c r="B1029" s="47" t="s">
        <v>113</v>
      </c>
      <c r="C1029" s="47">
        <v>9</v>
      </c>
      <c r="D1029" s="47" t="s">
        <v>911</v>
      </c>
      <c r="E1029" s="41" t="s">
        <v>912</v>
      </c>
      <c r="F1029" s="41" t="s">
        <v>912</v>
      </c>
      <c r="G1029" s="21" t="str">
        <f>VLOOKUP(D1029,[6]成飞半成品!$A:$B,2,0)</f>
        <v>安装支座</v>
      </c>
      <c r="H1029" s="47" t="s">
        <v>154</v>
      </c>
      <c r="I1029" s="47">
        <v>15</v>
      </c>
      <c r="J1029" s="47" t="s">
        <v>2111</v>
      </c>
      <c r="K1029" s="47">
        <v>3</v>
      </c>
      <c r="L1029" s="47">
        <v>3.5</v>
      </c>
      <c r="M1029" s="51">
        <v>19</v>
      </c>
      <c r="N1029" s="51">
        <v>26</v>
      </c>
      <c r="O1029" s="55" t="s">
        <v>1053</v>
      </c>
      <c r="P1029" s="47"/>
      <c r="Q1029" s="47">
        <v>100</v>
      </c>
      <c r="R1029" s="47"/>
      <c r="S1029" s="47"/>
      <c r="T1029" s="47"/>
      <c r="U1029" s="47">
        <v>60</v>
      </c>
      <c r="V1029" s="47"/>
      <c r="W1029" s="51">
        <v>1</v>
      </c>
      <c r="X1029" s="51">
        <v>2</v>
      </c>
      <c r="Y1029" s="79">
        <v>8.8000000000000007</v>
      </c>
      <c r="Z1029" s="86" t="s">
        <v>55</v>
      </c>
      <c r="AA1029" s="51" t="s">
        <v>1054</v>
      </c>
      <c r="AB1029" s="25" t="s">
        <v>238</v>
      </c>
    </row>
    <row r="1030" spans="1:28" s="51" customFormat="1" ht="23.1" customHeight="1" x14ac:dyDescent="0.25">
      <c r="A1030" s="53" t="s">
        <v>751</v>
      </c>
      <c r="B1030" s="47" t="s">
        <v>113</v>
      </c>
      <c r="C1030" s="47">
        <v>10</v>
      </c>
      <c r="D1030" s="47" t="s">
        <v>946</v>
      </c>
      <c r="E1030" s="41" t="s">
        <v>947</v>
      </c>
      <c r="F1030" s="41" t="s">
        <v>947</v>
      </c>
      <c r="G1030" s="21" t="str">
        <f>VLOOKUP(D1030,[6]成飞半成品!$A:$B,2,0)</f>
        <v>5755横框</v>
      </c>
      <c r="H1030" s="47" t="s">
        <v>300</v>
      </c>
      <c r="I1030" s="47">
        <v>15</v>
      </c>
      <c r="J1030" s="47" t="s">
        <v>2112</v>
      </c>
      <c r="K1030" s="47">
        <v>3</v>
      </c>
      <c r="L1030" s="47">
        <v>1</v>
      </c>
      <c r="M1030" s="51">
        <v>37</v>
      </c>
      <c r="O1030" s="55" t="s">
        <v>1055</v>
      </c>
      <c r="P1030" s="47"/>
      <c r="Q1030" s="47">
        <v>80</v>
      </c>
      <c r="R1030" s="47"/>
      <c r="S1030" s="47"/>
      <c r="T1030" s="47"/>
      <c r="U1030" s="47">
        <v>60</v>
      </c>
      <c r="V1030" s="47"/>
      <c r="W1030" s="51">
        <v>1</v>
      </c>
      <c r="Y1030" s="79">
        <v>2.2999999999999998</v>
      </c>
      <c r="Z1030" s="86" t="s">
        <v>55</v>
      </c>
      <c r="AB1030" s="25" t="s">
        <v>238</v>
      </c>
    </row>
    <row r="1031" spans="1:28" s="51" customFormat="1" ht="23.1" customHeight="1" x14ac:dyDescent="0.25">
      <c r="A1031" s="53" t="s">
        <v>575</v>
      </c>
      <c r="B1031" s="47" t="s">
        <v>110</v>
      </c>
      <c r="C1031" s="47">
        <v>9</v>
      </c>
      <c r="D1031" s="85" t="s">
        <v>2551</v>
      </c>
      <c r="E1031" s="41" t="s">
        <v>599</v>
      </c>
      <c r="F1031" s="41" t="e">
        <v>#N/A</v>
      </c>
      <c r="G1031" s="21" t="str">
        <f>VLOOKUP(D1031,[6]成飞半成品!$A:$B,2,0)</f>
        <v>工装</v>
      </c>
      <c r="H1031" s="47" t="s">
        <v>102</v>
      </c>
      <c r="I1031" s="47">
        <v>15</v>
      </c>
      <c r="J1031" s="47"/>
      <c r="K1031" s="47"/>
      <c r="L1031" s="47"/>
      <c r="M1031" s="51">
        <v>28</v>
      </c>
      <c r="N1031" s="51">
        <v>28</v>
      </c>
      <c r="O1031" s="55" t="s">
        <v>108</v>
      </c>
      <c r="P1031" s="47"/>
      <c r="Q1031" s="47"/>
      <c r="R1031" s="47"/>
      <c r="S1031" s="47"/>
      <c r="T1031" s="47"/>
      <c r="U1031" s="47"/>
      <c r="V1031" s="47"/>
      <c r="X1031" s="51">
        <v>3</v>
      </c>
      <c r="Y1031" s="79">
        <v>3</v>
      </c>
      <c r="Z1031" s="86" t="s">
        <v>55</v>
      </c>
      <c r="AA1031" s="51" t="s">
        <v>1056</v>
      </c>
      <c r="AB1031" s="25" t="s">
        <v>238</v>
      </c>
    </row>
    <row r="1032" spans="1:28" s="51" customFormat="1" ht="23.1" customHeight="1" x14ac:dyDescent="0.25">
      <c r="A1032" s="53" t="s">
        <v>909</v>
      </c>
      <c r="B1032" s="47" t="s">
        <v>113</v>
      </c>
      <c r="C1032" s="47">
        <v>9</v>
      </c>
      <c r="D1032" s="47" t="s">
        <v>911</v>
      </c>
      <c r="E1032" s="41" t="s">
        <v>912</v>
      </c>
      <c r="F1032" s="41" t="s">
        <v>912</v>
      </c>
      <c r="G1032" s="21" t="str">
        <f>VLOOKUP(D1032,[6]成飞半成品!$A:$B,2,0)</f>
        <v>安装支座</v>
      </c>
      <c r="H1032" s="47" t="s">
        <v>154</v>
      </c>
      <c r="I1032" s="47">
        <v>15</v>
      </c>
      <c r="J1032" s="47" t="s">
        <v>2111</v>
      </c>
      <c r="K1032" s="47"/>
      <c r="L1032" s="47"/>
      <c r="O1032" s="55" t="s">
        <v>108</v>
      </c>
      <c r="P1032" s="47"/>
      <c r="Q1032" s="47">
        <v>100</v>
      </c>
      <c r="R1032" s="47"/>
      <c r="S1032" s="47"/>
      <c r="T1032" s="47"/>
      <c r="U1032" s="47">
        <v>60</v>
      </c>
      <c r="V1032" s="47"/>
      <c r="X1032" s="51">
        <v>2</v>
      </c>
      <c r="Y1032" s="79">
        <v>2</v>
      </c>
      <c r="Z1032" s="86" t="s">
        <v>55</v>
      </c>
      <c r="AB1032" s="25" t="s">
        <v>238</v>
      </c>
    </row>
    <row r="1033" spans="1:28" s="51" customFormat="1" ht="23.1" customHeight="1" x14ac:dyDescent="0.25">
      <c r="A1033" s="53" t="s">
        <v>909</v>
      </c>
      <c r="B1033" s="47" t="s">
        <v>113</v>
      </c>
      <c r="C1033" s="47">
        <v>10</v>
      </c>
      <c r="D1033" s="47" t="s">
        <v>946</v>
      </c>
      <c r="E1033" s="41" t="s">
        <v>947</v>
      </c>
      <c r="F1033" s="41" t="s">
        <v>947</v>
      </c>
      <c r="G1033" s="21" t="str">
        <f>VLOOKUP(D1033,[6]成飞半成品!$A:$B,2,0)</f>
        <v>5755横框</v>
      </c>
      <c r="H1033" s="47" t="s">
        <v>300</v>
      </c>
      <c r="I1033" s="47">
        <v>15</v>
      </c>
      <c r="J1033" s="47" t="s">
        <v>2112</v>
      </c>
      <c r="K1033" s="47"/>
      <c r="L1033" s="47"/>
      <c r="O1033" s="55" t="s">
        <v>1055</v>
      </c>
      <c r="P1033" s="47"/>
      <c r="Q1033" s="47">
        <v>80</v>
      </c>
      <c r="R1033" s="47"/>
      <c r="S1033" s="47"/>
      <c r="T1033" s="47"/>
      <c r="U1033" s="47">
        <v>60</v>
      </c>
      <c r="V1033" s="47"/>
      <c r="X1033" s="51">
        <v>2</v>
      </c>
      <c r="Y1033" s="79">
        <v>2</v>
      </c>
      <c r="Z1033" s="86" t="s">
        <v>55</v>
      </c>
      <c r="AA1033" s="51" t="s">
        <v>1054</v>
      </c>
      <c r="AB1033" s="25" t="s">
        <v>238</v>
      </c>
    </row>
    <row r="1034" spans="1:28" s="51" customFormat="1" ht="23.1" customHeight="1" x14ac:dyDescent="0.25">
      <c r="A1034" s="53" t="s">
        <v>909</v>
      </c>
      <c r="B1034" s="47" t="s">
        <v>110</v>
      </c>
      <c r="C1034" s="47">
        <v>76</v>
      </c>
      <c r="D1034" s="47" t="s">
        <v>1057</v>
      </c>
      <c r="E1034" s="41" t="s">
        <v>625</v>
      </c>
      <c r="F1034" s="41" t="s">
        <v>625</v>
      </c>
      <c r="G1034" s="21" t="str">
        <f>VLOOKUP(D1034,[6]成飞半成品!$A:$B,2,0)</f>
        <v>支架</v>
      </c>
      <c r="H1034" s="47" t="s">
        <v>102</v>
      </c>
      <c r="I1034" s="47">
        <v>10</v>
      </c>
      <c r="J1034" s="47" t="s">
        <v>1916</v>
      </c>
      <c r="K1034" s="47">
        <v>8</v>
      </c>
      <c r="L1034" s="47">
        <v>8</v>
      </c>
      <c r="M1034" s="51">
        <v>19</v>
      </c>
      <c r="N1034" s="51">
        <v>19</v>
      </c>
      <c r="O1034" s="55" t="s">
        <v>596</v>
      </c>
      <c r="P1034" s="47"/>
      <c r="Q1034" s="47">
        <v>35</v>
      </c>
      <c r="R1034" s="47"/>
      <c r="S1034" s="47"/>
      <c r="T1034" s="47"/>
      <c r="U1034" s="47">
        <v>60</v>
      </c>
      <c r="V1034" s="47"/>
      <c r="Y1034" s="79">
        <v>4.7</v>
      </c>
      <c r="Z1034" s="86" t="s">
        <v>12</v>
      </c>
    </row>
    <row r="1035" spans="1:28" s="51" customFormat="1" ht="23.1" customHeight="1" x14ac:dyDescent="0.25">
      <c r="A1035" s="53" t="s">
        <v>909</v>
      </c>
      <c r="B1035" s="47" t="s">
        <v>110</v>
      </c>
      <c r="C1035" s="47">
        <v>76</v>
      </c>
      <c r="D1035" s="47" t="s">
        <v>1057</v>
      </c>
      <c r="E1035" s="41" t="s">
        <v>625</v>
      </c>
      <c r="F1035" s="41" t="s">
        <v>625</v>
      </c>
      <c r="G1035" s="21" t="str">
        <f>VLOOKUP(D1035,[6]成飞半成品!$A:$B,2,0)</f>
        <v>支架</v>
      </c>
      <c r="H1035" s="47" t="s">
        <v>102</v>
      </c>
      <c r="I1035" s="47">
        <v>15</v>
      </c>
      <c r="J1035" s="47" t="s">
        <v>1864</v>
      </c>
      <c r="K1035" s="47">
        <v>8</v>
      </c>
      <c r="L1035" s="47">
        <v>8</v>
      </c>
      <c r="M1035" s="51">
        <v>19</v>
      </c>
      <c r="N1035" s="51">
        <v>5</v>
      </c>
      <c r="O1035" s="55" t="s">
        <v>596</v>
      </c>
      <c r="P1035" s="47"/>
      <c r="Q1035" s="47">
        <v>35</v>
      </c>
      <c r="R1035" s="47"/>
      <c r="S1035" s="47"/>
      <c r="T1035" s="47"/>
      <c r="U1035" s="47">
        <v>90</v>
      </c>
      <c r="V1035" s="47"/>
      <c r="W1035" s="51">
        <v>1</v>
      </c>
      <c r="Y1035" s="79">
        <v>6.2</v>
      </c>
      <c r="Z1035" s="86" t="s">
        <v>12</v>
      </c>
    </row>
    <row r="1036" spans="1:28" s="51" customFormat="1" ht="23.1" customHeight="1" x14ac:dyDescent="0.25">
      <c r="A1036" s="53" t="s">
        <v>870</v>
      </c>
      <c r="B1036" s="47" t="s">
        <v>113</v>
      </c>
      <c r="C1036" s="47">
        <v>76</v>
      </c>
      <c r="D1036" s="47" t="s">
        <v>364</v>
      </c>
      <c r="E1036" s="41" t="s">
        <v>365</v>
      </c>
      <c r="F1036" s="41" t="s">
        <v>365</v>
      </c>
      <c r="G1036" s="21" t="str">
        <f>VLOOKUP(D1036,[6]成飞半成品!$A:$B,2,0)</f>
        <v>卡箍扣</v>
      </c>
      <c r="H1036" s="47" t="s">
        <v>154</v>
      </c>
      <c r="I1036" s="47">
        <v>40</v>
      </c>
      <c r="J1036" s="47" t="s">
        <v>1915</v>
      </c>
      <c r="K1036" s="47"/>
      <c r="L1036" s="47">
        <v>48</v>
      </c>
      <c r="M1036" s="51">
        <v>31</v>
      </c>
      <c r="N1036" s="51">
        <v>31</v>
      </c>
      <c r="O1036" s="55" t="s">
        <v>221</v>
      </c>
      <c r="P1036" s="47"/>
      <c r="Q1036" s="47">
        <v>20</v>
      </c>
      <c r="R1036" s="47"/>
      <c r="S1036" s="47"/>
      <c r="T1036" s="47"/>
      <c r="U1036" s="47">
        <v>90</v>
      </c>
      <c r="V1036" s="47"/>
      <c r="W1036" s="51">
        <v>1</v>
      </c>
      <c r="Y1036" s="79">
        <v>17.5</v>
      </c>
      <c r="Z1036" s="86" t="s">
        <v>46</v>
      </c>
    </row>
    <row r="1037" spans="1:28" s="51" customFormat="1" ht="23.1" customHeight="1" x14ac:dyDescent="0.25">
      <c r="A1037" s="53" t="s">
        <v>870</v>
      </c>
      <c r="B1037" s="47" t="s">
        <v>113</v>
      </c>
      <c r="C1037" s="47">
        <v>77</v>
      </c>
      <c r="D1037" s="47" t="s">
        <v>364</v>
      </c>
      <c r="E1037" s="41" t="s">
        <v>365</v>
      </c>
      <c r="F1037" s="41" t="s">
        <v>365</v>
      </c>
      <c r="G1037" s="21" t="str">
        <f>VLOOKUP(D1037,[6]成飞半成品!$A:$B,2,0)</f>
        <v>卡箍扣</v>
      </c>
      <c r="H1037" s="47" t="s">
        <v>154</v>
      </c>
      <c r="I1037" s="47">
        <v>35</v>
      </c>
      <c r="J1037" s="47" t="s">
        <v>2073</v>
      </c>
      <c r="K1037" s="47"/>
      <c r="L1037" s="47">
        <v>18</v>
      </c>
      <c r="M1037" s="51">
        <v>31</v>
      </c>
      <c r="N1037" s="51">
        <v>31</v>
      </c>
      <c r="O1037" s="55" t="s">
        <v>221</v>
      </c>
      <c r="P1037" s="47"/>
      <c r="Q1037" s="47">
        <v>15</v>
      </c>
      <c r="R1037" s="47"/>
      <c r="S1037" s="47"/>
      <c r="T1037" s="47"/>
      <c r="U1037" s="47">
        <v>60</v>
      </c>
      <c r="V1037" s="47"/>
      <c r="Y1037" s="79">
        <v>4.5</v>
      </c>
      <c r="Z1037" s="86" t="s">
        <v>46</v>
      </c>
    </row>
    <row r="1038" spans="1:28" s="51" customFormat="1" ht="23.1" customHeight="1" x14ac:dyDescent="0.25">
      <c r="A1038" s="53" t="s">
        <v>909</v>
      </c>
      <c r="B1038" s="47" t="s">
        <v>113</v>
      </c>
      <c r="C1038" s="47">
        <v>76</v>
      </c>
      <c r="D1038" s="47" t="s">
        <v>1057</v>
      </c>
      <c r="E1038" s="41" t="s">
        <v>625</v>
      </c>
      <c r="F1038" s="41" t="s">
        <v>625</v>
      </c>
      <c r="G1038" s="21" t="str">
        <f>VLOOKUP(D1038,[6]成飞半成品!$A:$B,2,0)</f>
        <v>支架</v>
      </c>
      <c r="H1038" s="47" t="s">
        <v>102</v>
      </c>
      <c r="I1038" s="47">
        <v>20</v>
      </c>
      <c r="J1038" s="47" t="s">
        <v>2117</v>
      </c>
      <c r="K1038" s="47">
        <v>8</v>
      </c>
      <c r="L1038" s="47">
        <v>8</v>
      </c>
      <c r="M1038" s="51">
        <v>5</v>
      </c>
      <c r="N1038" s="51">
        <v>28</v>
      </c>
      <c r="O1038" s="55" t="s">
        <v>596</v>
      </c>
      <c r="P1038" s="47"/>
      <c r="Q1038" s="47">
        <v>75</v>
      </c>
      <c r="R1038" s="47"/>
      <c r="S1038" s="47"/>
      <c r="T1038" s="47"/>
      <c r="U1038" s="47">
        <v>90</v>
      </c>
      <c r="V1038" s="47"/>
      <c r="W1038" s="51">
        <v>1</v>
      </c>
      <c r="Y1038" s="79">
        <v>11.5</v>
      </c>
      <c r="Z1038" s="86" t="s">
        <v>46</v>
      </c>
      <c r="AA1038" s="51" t="s">
        <v>1058</v>
      </c>
    </row>
    <row r="1039" spans="1:28" s="51" customFormat="1" ht="23.1" customHeight="1" x14ac:dyDescent="0.25">
      <c r="A1039" s="53" t="s">
        <v>870</v>
      </c>
      <c r="B1039" s="47" t="s">
        <v>137</v>
      </c>
      <c r="C1039" s="47">
        <v>18</v>
      </c>
      <c r="D1039" s="47" t="s">
        <v>205</v>
      </c>
      <c r="E1039" s="41" t="s">
        <v>206</v>
      </c>
      <c r="F1039" s="41" t="s">
        <v>206</v>
      </c>
      <c r="G1039" s="21" t="str">
        <f>VLOOKUP(D1039,[6]成飞半成品!$A:$B,2,0)</f>
        <v>卡环</v>
      </c>
      <c r="H1039" s="47" t="s">
        <v>102</v>
      </c>
      <c r="I1039" s="47">
        <v>70</v>
      </c>
      <c r="J1039" s="47" t="s">
        <v>2450</v>
      </c>
      <c r="K1039" s="47">
        <v>2</v>
      </c>
      <c r="L1039" s="47">
        <v>2</v>
      </c>
      <c r="M1039" s="51">
        <v>23</v>
      </c>
      <c r="N1039" s="51">
        <v>23</v>
      </c>
      <c r="O1039" s="55" t="s">
        <v>1059</v>
      </c>
      <c r="P1039" s="47"/>
      <c r="Q1039" s="47">
        <v>300</v>
      </c>
      <c r="R1039" s="47"/>
      <c r="S1039" s="47"/>
      <c r="T1039" s="47"/>
      <c r="U1039" s="47">
        <v>120</v>
      </c>
      <c r="V1039" s="47"/>
      <c r="Y1039" s="79">
        <v>10</v>
      </c>
      <c r="Z1039" s="86" t="s">
        <v>16</v>
      </c>
    </row>
    <row r="1040" spans="1:28" s="51" customFormat="1" ht="23.1" customHeight="1" x14ac:dyDescent="0.25">
      <c r="A1040" s="53" t="s">
        <v>870</v>
      </c>
      <c r="B1040" s="47" t="s">
        <v>137</v>
      </c>
      <c r="C1040" s="47">
        <v>18</v>
      </c>
      <c r="D1040" s="47" t="s">
        <v>920</v>
      </c>
      <c r="E1040" s="41" t="s">
        <v>919</v>
      </c>
      <c r="F1040" s="41" t="s">
        <v>919</v>
      </c>
      <c r="G1040" s="21" t="str">
        <f>VLOOKUP(D1040,[6]成飞半成品!$A:$B,2,0)</f>
        <v>雷达罩锁支座</v>
      </c>
      <c r="H1040" s="47" t="s">
        <v>323</v>
      </c>
      <c r="I1040" s="47">
        <v>5</v>
      </c>
      <c r="J1040" s="47" t="s">
        <v>2448</v>
      </c>
      <c r="K1040" s="47">
        <v>2</v>
      </c>
      <c r="L1040" s="47">
        <v>10</v>
      </c>
      <c r="O1040" s="55" t="s">
        <v>860</v>
      </c>
      <c r="P1040" s="47"/>
      <c r="Q1040" s="47">
        <v>40</v>
      </c>
      <c r="R1040" s="47"/>
      <c r="S1040" s="47"/>
      <c r="T1040" s="47"/>
      <c r="U1040" s="47">
        <v>60</v>
      </c>
      <c r="V1040" s="47"/>
      <c r="Y1040" s="79">
        <v>6.7</v>
      </c>
      <c r="Z1040" s="86" t="s">
        <v>16</v>
      </c>
      <c r="AA1040" s="51" t="s">
        <v>1060</v>
      </c>
      <c r="AB1040" s="51" t="s">
        <v>957</v>
      </c>
    </row>
    <row r="1041" spans="1:28" s="51" customFormat="1" ht="23.1" customHeight="1" x14ac:dyDescent="0.25">
      <c r="A1041" s="53" t="s">
        <v>870</v>
      </c>
      <c r="B1041" s="47" t="s">
        <v>113</v>
      </c>
      <c r="C1041" s="47">
        <v>18</v>
      </c>
      <c r="D1041" s="87" t="s">
        <v>1061</v>
      </c>
      <c r="E1041" s="41" t="s">
        <v>919</v>
      </c>
      <c r="F1041" s="41" t="e">
        <v>#N/A</v>
      </c>
      <c r="G1041" s="21" t="e">
        <f>VLOOKUP(D1041,[6]成飞半成品!$A:$B,2,0)</f>
        <v>#N/A</v>
      </c>
      <c r="H1041" s="47" t="s">
        <v>323</v>
      </c>
      <c r="I1041" s="47">
        <v>5</v>
      </c>
      <c r="J1041" s="47"/>
      <c r="K1041" s="47">
        <v>8</v>
      </c>
      <c r="L1041" s="47">
        <v>30</v>
      </c>
      <c r="O1041" s="55" t="s">
        <v>951</v>
      </c>
      <c r="P1041" s="47"/>
      <c r="Q1041" s="47"/>
      <c r="R1041" s="47"/>
      <c r="S1041" s="47"/>
      <c r="T1041" s="47"/>
      <c r="U1041" s="47"/>
      <c r="V1041" s="47"/>
      <c r="X1041" s="51">
        <v>10</v>
      </c>
      <c r="Y1041" s="79">
        <v>10</v>
      </c>
      <c r="Z1041" s="86" t="s">
        <v>43</v>
      </c>
      <c r="AA1041" s="51" t="s">
        <v>1062</v>
      </c>
      <c r="AB1041" s="51" t="s">
        <v>957</v>
      </c>
    </row>
    <row r="1042" spans="1:28" s="51" customFormat="1" ht="23.1" customHeight="1" x14ac:dyDescent="0.25">
      <c r="A1042" s="53" t="s">
        <v>870</v>
      </c>
      <c r="B1042" s="47" t="s">
        <v>113</v>
      </c>
      <c r="C1042" s="47">
        <v>17</v>
      </c>
      <c r="D1042" s="47" t="s">
        <v>916</v>
      </c>
      <c r="E1042" s="41" t="s">
        <v>917</v>
      </c>
      <c r="F1042" s="41" t="s">
        <v>917</v>
      </c>
      <c r="G1042" s="21" t="str">
        <f>VLOOKUP(D1042,[6]成飞半成品!$A:$B,2,0)</f>
        <v>座子</v>
      </c>
      <c r="H1042" s="47" t="s">
        <v>250</v>
      </c>
      <c r="I1042" s="47"/>
      <c r="J1042" s="47"/>
      <c r="K1042" s="47"/>
      <c r="L1042" s="47"/>
      <c r="O1042" s="55" t="s">
        <v>247</v>
      </c>
      <c r="P1042" s="47"/>
      <c r="Q1042" s="47"/>
      <c r="R1042" s="47"/>
      <c r="S1042" s="47"/>
      <c r="T1042" s="47"/>
      <c r="U1042" s="47"/>
      <c r="V1042" s="47"/>
      <c r="X1042" s="51">
        <v>6</v>
      </c>
      <c r="Y1042" s="79">
        <v>6</v>
      </c>
      <c r="Z1042" s="86" t="s">
        <v>43</v>
      </c>
      <c r="AA1042" s="51" t="s">
        <v>1063</v>
      </c>
      <c r="AB1042" s="51" t="s">
        <v>957</v>
      </c>
    </row>
    <row r="1043" spans="1:28" s="51" customFormat="1" ht="23.1" customHeight="1" x14ac:dyDescent="0.25">
      <c r="A1043" s="53" t="s">
        <v>329</v>
      </c>
      <c r="B1043" s="47" t="s">
        <v>110</v>
      </c>
      <c r="C1043" s="47">
        <v>97</v>
      </c>
      <c r="D1043" s="47" t="s">
        <v>830</v>
      </c>
      <c r="E1043" s="41" t="s">
        <v>1065</v>
      </c>
      <c r="F1043" s="41" t="s">
        <v>1065</v>
      </c>
      <c r="G1043" s="21" t="str">
        <f>VLOOKUP(D1043,[6]成飞半成品!$A:$B,2,0)</f>
        <v>根肋二段</v>
      </c>
      <c r="H1043" s="47" t="s">
        <v>250</v>
      </c>
      <c r="I1043" s="47">
        <v>50</v>
      </c>
      <c r="J1043" s="47" t="s">
        <v>2118</v>
      </c>
      <c r="K1043" s="47">
        <v>1</v>
      </c>
      <c r="L1043" s="47">
        <v>1.3</v>
      </c>
      <c r="M1043" s="51">
        <v>32</v>
      </c>
      <c r="N1043" s="51">
        <v>32</v>
      </c>
      <c r="O1043" s="55" t="s">
        <v>186</v>
      </c>
      <c r="P1043" s="47"/>
      <c r="Q1043" s="47">
        <v>420</v>
      </c>
      <c r="R1043" s="47">
        <v>60</v>
      </c>
      <c r="S1043" s="47"/>
      <c r="T1043" s="47">
        <v>2</v>
      </c>
      <c r="U1043" s="47">
        <v>90</v>
      </c>
      <c r="V1043" s="47"/>
      <c r="Y1043" s="79">
        <v>11.1</v>
      </c>
      <c r="Z1043" s="86" t="s">
        <v>36</v>
      </c>
      <c r="AB1043" s="51" t="s">
        <v>1066</v>
      </c>
    </row>
    <row r="1044" spans="1:28" s="51" customFormat="1" ht="23.1" customHeight="1" x14ac:dyDescent="0.25">
      <c r="A1044" s="53" t="s">
        <v>329</v>
      </c>
      <c r="B1044" s="47" t="s">
        <v>110</v>
      </c>
      <c r="C1044" s="47">
        <v>97</v>
      </c>
      <c r="D1044" s="47" t="s">
        <v>830</v>
      </c>
      <c r="E1044" s="41" t="s">
        <v>1065</v>
      </c>
      <c r="F1044" s="41" t="s">
        <v>1065</v>
      </c>
      <c r="G1044" s="21" t="str">
        <f>VLOOKUP(D1044,[6]成飞半成品!$A:$B,2,0)</f>
        <v>根肋二段</v>
      </c>
      <c r="H1044" s="47" t="s">
        <v>250</v>
      </c>
      <c r="I1044" s="47">
        <v>55</v>
      </c>
      <c r="J1044" s="47" t="s">
        <v>2119</v>
      </c>
      <c r="K1044" s="47">
        <v>1</v>
      </c>
      <c r="L1044" s="47">
        <v>1</v>
      </c>
      <c r="M1044" s="51">
        <v>32</v>
      </c>
      <c r="N1044" s="51">
        <v>32</v>
      </c>
      <c r="O1044" s="55" t="s">
        <v>292</v>
      </c>
      <c r="P1044" s="47"/>
      <c r="Q1044" s="47">
        <v>60</v>
      </c>
      <c r="R1044" s="47">
        <v>60</v>
      </c>
      <c r="S1044" s="47"/>
      <c r="T1044" s="47">
        <v>1</v>
      </c>
      <c r="U1044" s="47">
        <v>60</v>
      </c>
      <c r="V1044" s="47"/>
      <c r="Y1044" s="79">
        <v>2</v>
      </c>
      <c r="Z1044" s="86" t="s">
        <v>36</v>
      </c>
    </row>
    <row r="1045" spans="1:28" s="51" customFormat="1" ht="23.1" customHeight="1" x14ac:dyDescent="0.25">
      <c r="A1045" s="53" t="s">
        <v>329</v>
      </c>
      <c r="B1045" s="47" t="s">
        <v>110</v>
      </c>
      <c r="C1045" s="47">
        <v>100</v>
      </c>
      <c r="D1045" s="47" t="s">
        <v>643</v>
      </c>
      <c r="E1045" s="41" t="s">
        <v>644</v>
      </c>
      <c r="F1045" s="41" t="s">
        <v>644</v>
      </c>
      <c r="G1045" s="21" t="str">
        <f>VLOOKUP(D1045,[6]成飞半成品!$A:$B,2,0)</f>
        <v>辅助动力舱口盖前段</v>
      </c>
      <c r="H1045" s="47" t="s">
        <v>154</v>
      </c>
      <c r="I1045" s="47">
        <v>40</v>
      </c>
      <c r="J1045" s="47" t="s">
        <v>2120</v>
      </c>
      <c r="K1045" s="47">
        <v>0.25</v>
      </c>
      <c r="L1045" s="47">
        <v>0.25</v>
      </c>
      <c r="M1045" s="51">
        <v>32</v>
      </c>
      <c r="N1045" s="51">
        <v>32</v>
      </c>
      <c r="O1045" s="55" t="s">
        <v>399</v>
      </c>
      <c r="P1045" s="47"/>
      <c r="Q1045" s="47">
        <v>2640</v>
      </c>
      <c r="R1045" s="47">
        <v>90</v>
      </c>
      <c r="S1045" s="47"/>
      <c r="T1045" s="47">
        <v>1</v>
      </c>
      <c r="U1045" s="47">
        <v>180</v>
      </c>
      <c r="V1045" s="47"/>
      <c r="Y1045" s="79">
        <v>12.5</v>
      </c>
      <c r="Z1045" s="86" t="s">
        <v>36</v>
      </c>
    </row>
    <row r="1046" spans="1:28" s="51" customFormat="1" ht="23.1" customHeight="1" x14ac:dyDescent="0.25">
      <c r="A1046" s="53" t="s">
        <v>329</v>
      </c>
      <c r="B1046" s="47" t="s">
        <v>110</v>
      </c>
      <c r="C1046" s="47">
        <v>102</v>
      </c>
      <c r="D1046" s="47" t="s">
        <v>1067</v>
      </c>
      <c r="E1046" s="41" t="s">
        <v>1068</v>
      </c>
      <c r="F1046" s="41" t="s">
        <v>1068</v>
      </c>
      <c r="G1046" s="21" t="str">
        <f>VLOOKUP(D1046,[6]成飞半成品!$A:$B,2,0)</f>
        <v>11900梁一段（右件）</v>
      </c>
      <c r="H1046" s="47" t="s">
        <v>323</v>
      </c>
      <c r="I1046" s="47">
        <v>40</v>
      </c>
      <c r="J1046" s="47" t="s">
        <v>2122</v>
      </c>
      <c r="K1046" s="47">
        <v>8</v>
      </c>
      <c r="L1046" s="47">
        <v>8</v>
      </c>
      <c r="M1046" s="51">
        <v>32</v>
      </c>
      <c r="N1046" s="51">
        <v>32</v>
      </c>
      <c r="O1046" s="55" t="s">
        <v>1069</v>
      </c>
      <c r="P1046" s="47"/>
      <c r="Q1046" s="47">
        <v>90</v>
      </c>
      <c r="R1046" s="47">
        <v>60</v>
      </c>
      <c r="S1046" s="47"/>
      <c r="T1046" s="47">
        <v>8</v>
      </c>
      <c r="U1046" s="47">
        <v>120</v>
      </c>
      <c r="V1046" s="47"/>
      <c r="Y1046" s="79">
        <v>20</v>
      </c>
      <c r="Z1046" s="86" t="s">
        <v>36</v>
      </c>
    </row>
    <row r="1047" spans="1:28" s="51" customFormat="1" ht="23.1" customHeight="1" x14ac:dyDescent="0.25">
      <c r="A1047" s="53" t="s">
        <v>329</v>
      </c>
      <c r="B1047" s="47" t="s">
        <v>110</v>
      </c>
      <c r="C1047" s="47">
        <v>106</v>
      </c>
      <c r="D1047" s="47" t="s">
        <v>1070</v>
      </c>
      <c r="E1047" s="41" t="s">
        <v>101</v>
      </c>
      <c r="F1047" s="41" t="s">
        <v>101</v>
      </c>
      <c r="G1047" s="21" t="str">
        <f>VLOOKUP(D1047,[6]成飞半成品!$A:$B,2,0)</f>
        <v>前梁一段</v>
      </c>
      <c r="H1047" s="47" t="s">
        <v>300</v>
      </c>
      <c r="I1047" s="47">
        <v>15</v>
      </c>
      <c r="J1047" s="47" t="s">
        <v>2451</v>
      </c>
      <c r="K1047" s="47">
        <v>0.5</v>
      </c>
      <c r="L1047" s="47">
        <v>0.6</v>
      </c>
      <c r="M1047" s="51">
        <v>32</v>
      </c>
      <c r="N1047" s="51">
        <v>32</v>
      </c>
      <c r="O1047" s="55" t="s">
        <v>247</v>
      </c>
      <c r="P1047" s="47"/>
      <c r="Q1047" s="47">
        <v>2150</v>
      </c>
      <c r="R1047" s="47">
        <v>180</v>
      </c>
      <c r="S1047" s="47"/>
      <c r="T1047" s="47">
        <v>1</v>
      </c>
      <c r="U1047" s="47">
        <v>180</v>
      </c>
      <c r="V1047" s="47"/>
      <c r="Y1047" s="79">
        <v>24.5</v>
      </c>
      <c r="Z1047" s="86" t="s">
        <v>36</v>
      </c>
    </row>
    <row r="1048" spans="1:28" s="51" customFormat="1" ht="23.1" customHeight="1" x14ac:dyDescent="0.25">
      <c r="A1048" s="53" t="s">
        <v>329</v>
      </c>
      <c r="B1048" s="47" t="s">
        <v>110</v>
      </c>
      <c r="C1048" s="47">
        <v>19</v>
      </c>
      <c r="D1048" s="47" t="s">
        <v>1071</v>
      </c>
      <c r="E1048" s="41" t="s">
        <v>1072</v>
      </c>
      <c r="F1048" s="41" t="e">
        <v>#N/A</v>
      </c>
      <c r="G1048" s="21" t="e">
        <f>VLOOKUP(D1048,[6]成飞半成品!$A:$B,2,0)</f>
        <v>#N/A</v>
      </c>
      <c r="H1048" s="47" t="s">
        <v>250</v>
      </c>
      <c r="I1048" s="47">
        <v>30</v>
      </c>
      <c r="J1048" s="47" t="s">
        <v>2123</v>
      </c>
      <c r="K1048" s="47">
        <v>1</v>
      </c>
      <c r="L1048" s="47">
        <v>1.9</v>
      </c>
      <c r="M1048" s="51">
        <v>32</v>
      </c>
      <c r="N1048" s="51">
        <v>32</v>
      </c>
      <c r="O1048" s="55" t="s">
        <v>1073</v>
      </c>
      <c r="P1048" s="47"/>
      <c r="Q1048" s="47">
        <v>650</v>
      </c>
      <c r="R1048" s="47">
        <v>90</v>
      </c>
      <c r="S1048" s="47"/>
      <c r="T1048" s="47">
        <v>2</v>
      </c>
      <c r="U1048" s="47">
        <v>60</v>
      </c>
      <c r="V1048" s="47"/>
      <c r="Y1048" s="79">
        <v>23.6</v>
      </c>
      <c r="Z1048" s="86" t="s">
        <v>36</v>
      </c>
    </row>
    <row r="1049" spans="1:28" s="51" customFormat="1" ht="23.1" customHeight="1" x14ac:dyDescent="0.25">
      <c r="A1049" s="53" t="s">
        <v>329</v>
      </c>
      <c r="B1049" s="47" t="s">
        <v>110</v>
      </c>
      <c r="C1049" s="47">
        <v>44</v>
      </c>
      <c r="D1049" s="47" t="s">
        <v>1074</v>
      </c>
      <c r="E1049" s="41" t="s">
        <v>1075</v>
      </c>
      <c r="F1049" s="41" t="s">
        <v>1075</v>
      </c>
      <c r="G1049" s="21" t="str">
        <f>VLOOKUP(D1049,[6]成飞半成品!$A:$B,2,0)</f>
        <v>油箱底板（中）</v>
      </c>
      <c r="H1049" s="47" t="s">
        <v>154</v>
      </c>
      <c r="I1049" s="47">
        <v>40</v>
      </c>
      <c r="J1049" s="47" t="s">
        <v>2452</v>
      </c>
      <c r="K1049" s="47">
        <v>4</v>
      </c>
      <c r="L1049" s="47">
        <v>4</v>
      </c>
      <c r="M1049" s="51">
        <v>32</v>
      </c>
      <c r="N1049" s="51">
        <v>32</v>
      </c>
      <c r="O1049" s="55" t="s">
        <v>526</v>
      </c>
      <c r="P1049" s="47"/>
      <c r="Q1049" s="47">
        <v>100</v>
      </c>
      <c r="R1049" s="47"/>
      <c r="S1049" s="47"/>
      <c r="T1049" s="47">
        <v>1</v>
      </c>
      <c r="U1049" s="47">
        <v>60</v>
      </c>
      <c r="V1049" s="47"/>
      <c r="W1049" s="51">
        <v>1</v>
      </c>
      <c r="Y1049" s="79">
        <v>7.7</v>
      </c>
      <c r="Z1049" s="86" t="s">
        <v>36</v>
      </c>
    </row>
    <row r="1050" spans="1:28" s="51" customFormat="1" ht="23.1" customHeight="1" x14ac:dyDescent="0.25">
      <c r="A1050" s="53" t="s">
        <v>329</v>
      </c>
      <c r="B1050" s="47" t="s">
        <v>110</v>
      </c>
      <c r="C1050" s="47">
        <v>44</v>
      </c>
      <c r="D1050" s="47" t="s">
        <v>1074</v>
      </c>
      <c r="E1050" s="41" t="s">
        <v>1075</v>
      </c>
      <c r="F1050" s="41" t="s">
        <v>1075</v>
      </c>
      <c r="G1050" s="21" t="str">
        <f>VLOOKUP(D1050,[6]成飞半成品!$A:$B,2,0)</f>
        <v>油箱底板（中）</v>
      </c>
      <c r="H1050" s="47" t="s">
        <v>154</v>
      </c>
      <c r="I1050" s="47">
        <v>45</v>
      </c>
      <c r="J1050" s="47" t="s">
        <v>2453</v>
      </c>
      <c r="K1050" s="47"/>
      <c r="L1050" s="47">
        <v>0.1</v>
      </c>
      <c r="M1050" s="51">
        <v>32</v>
      </c>
      <c r="N1050" s="51">
        <v>32</v>
      </c>
      <c r="O1050" s="55" t="s">
        <v>357</v>
      </c>
      <c r="P1050" s="47"/>
      <c r="Q1050" s="47">
        <v>600</v>
      </c>
      <c r="R1050" s="47"/>
      <c r="S1050" s="47"/>
      <c r="T1050" s="47"/>
      <c r="U1050" s="47">
        <v>120</v>
      </c>
      <c r="V1050" s="47"/>
      <c r="Y1050" s="79">
        <v>1</v>
      </c>
      <c r="Z1050" s="86" t="s">
        <v>36</v>
      </c>
    </row>
    <row r="1051" spans="1:28" s="51" customFormat="1" ht="23.1" customHeight="1" x14ac:dyDescent="0.25">
      <c r="A1051" s="53" t="s">
        <v>539</v>
      </c>
      <c r="B1051" s="47" t="s">
        <v>110</v>
      </c>
      <c r="C1051" s="47">
        <v>97</v>
      </c>
      <c r="D1051" s="47" t="s">
        <v>830</v>
      </c>
      <c r="E1051" s="41" t="s">
        <v>1065</v>
      </c>
      <c r="F1051" s="41" t="s">
        <v>1065</v>
      </c>
      <c r="G1051" s="21" t="str">
        <f>VLOOKUP(D1051,[6]成飞半成品!$A:$B,2,0)</f>
        <v>根肋二段</v>
      </c>
      <c r="H1051" s="47" t="s">
        <v>250</v>
      </c>
      <c r="I1051" s="47">
        <v>50</v>
      </c>
      <c r="J1051" s="47" t="s">
        <v>2118</v>
      </c>
      <c r="K1051" s="47">
        <v>1</v>
      </c>
      <c r="L1051" s="47">
        <v>1.3</v>
      </c>
      <c r="M1051" s="51">
        <v>32</v>
      </c>
      <c r="N1051" s="51">
        <v>32</v>
      </c>
      <c r="O1051" s="55" t="s">
        <v>1077</v>
      </c>
      <c r="P1051" s="47"/>
      <c r="Q1051" s="47">
        <v>420</v>
      </c>
      <c r="R1051" s="47">
        <v>60</v>
      </c>
      <c r="S1051" s="47"/>
      <c r="T1051" s="47">
        <v>2</v>
      </c>
      <c r="U1051" s="47">
        <v>90</v>
      </c>
      <c r="V1051" s="47"/>
      <c r="Y1051" s="79">
        <v>11.1</v>
      </c>
      <c r="Z1051" s="86" t="s">
        <v>36</v>
      </c>
      <c r="AB1051" s="51" t="s">
        <v>1066</v>
      </c>
    </row>
    <row r="1052" spans="1:28" s="51" customFormat="1" ht="23.1" customHeight="1" x14ac:dyDescent="0.25">
      <c r="A1052" s="53" t="s">
        <v>539</v>
      </c>
      <c r="B1052" s="47" t="s">
        <v>110</v>
      </c>
      <c r="C1052" s="47">
        <v>97</v>
      </c>
      <c r="D1052" s="47" t="s">
        <v>830</v>
      </c>
      <c r="E1052" s="41" t="s">
        <v>1065</v>
      </c>
      <c r="F1052" s="41" t="s">
        <v>1065</v>
      </c>
      <c r="G1052" s="21" t="str">
        <f>VLOOKUP(D1052,[6]成飞半成品!$A:$B,2,0)</f>
        <v>根肋二段</v>
      </c>
      <c r="H1052" s="47" t="s">
        <v>250</v>
      </c>
      <c r="I1052" s="47">
        <v>55</v>
      </c>
      <c r="J1052" s="47" t="s">
        <v>2119</v>
      </c>
      <c r="K1052" s="47">
        <v>1</v>
      </c>
      <c r="L1052" s="47">
        <v>2</v>
      </c>
      <c r="M1052" s="51">
        <v>32</v>
      </c>
      <c r="N1052" s="51">
        <v>32</v>
      </c>
      <c r="O1052" s="55" t="s">
        <v>1077</v>
      </c>
      <c r="P1052" s="47"/>
      <c r="Q1052" s="47">
        <v>60</v>
      </c>
      <c r="R1052" s="47">
        <v>60</v>
      </c>
      <c r="S1052" s="47"/>
      <c r="T1052" s="47">
        <v>2</v>
      </c>
      <c r="U1052" s="47">
        <v>60</v>
      </c>
      <c r="V1052" s="47"/>
      <c r="Y1052" s="79">
        <v>4</v>
      </c>
      <c r="Z1052" s="86" t="s">
        <v>36</v>
      </c>
    </row>
    <row r="1053" spans="1:28" s="51" customFormat="1" ht="23.1" customHeight="1" x14ac:dyDescent="0.25">
      <c r="A1053" s="53" t="s">
        <v>539</v>
      </c>
      <c r="B1053" s="47" t="s">
        <v>110</v>
      </c>
      <c r="C1053" s="47">
        <v>100</v>
      </c>
      <c r="D1053" s="65" t="s">
        <v>2551</v>
      </c>
      <c r="E1053" s="41" t="s">
        <v>938</v>
      </c>
      <c r="F1053" s="41" t="s">
        <v>938</v>
      </c>
      <c r="G1053" s="21" t="str">
        <f>VLOOKUP(D1053,[6]成飞半成品!$A:$B,2,0)</f>
        <v>工装</v>
      </c>
      <c r="H1053" s="47" t="s">
        <v>939</v>
      </c>
      <c r="I1053" s="47">
        <v>50</v>
      </c>
      <c r="J1053" s="47" t="s">
        <v>2126</v>
      </c>
      <c r="K1053" s="47"/>
      <c r="L1053" s="47">
        <v>1</v>
      </c>
      <c r="M1053" s="51">
        <v>32</v>
      </c>
      <c r="N1053" s="51">
        <v>32</v>
      </c>
      <c r="O1053" s="55" t="s">
        <v>421</v>
      </c>
      <c r="P1053" s="47"/>
      <c r="Q1053" s="47">
        <v>60</v>
      </c>
      <c r="R1053" s="47">
        <v>60</v>
      </c>
      <c r="S1053" s="47"/>
      <c r="T1053" s="47">
        <v>1</v>
      </c>
      <c r="U1053" s="47">
        <v>60</v>
      </c>
      <c r="V1053" s="47"/>
      <c r="W1053" s="51">
        <v>1</v>
      </c>
      <c r="X1053" s="51">
        <v>3</v>
      </c>
      <c r="Y1053" s="79">
        <v>6</v>
      </c>
      <c r="Z1053" s="86" t="s">
        <v>36</v>
      </c>
      <c r="AA1053" s="51" t="s">
        <v>1078</v>
      </c>
    </row>
    <row r="1054" spans="1:28" s="51" customFormat="1" ht="23.1" customHeight="1" x14ac:dyDescent="0.25">
      <c r="A1054" s="53" t="s">
        <v>539</v>
      </c>
      <c r="B1054" s="47" t="s">
        <v>110</v>
      </c>
      <c r="C1054" s="47">
        <v>100</v>
      </c>
      <c r="D1054" s="65" t="s">
        <v>2551</v>
      </c>
      <c r="E1054" s="41" t="s">
        <v>938</v>
      </c>
      <c r="F1054" s="41" t="s">
        <v>938</v>
      </c>
      <c r="G1054" s="21" t="str">
        <f>VLOOKUP(D1054,[6]成飞半成品!$A:$B,2,0)</f>
        <v>工装</v>
      </c>
      <c r="H1054" s="47" t="s">
        <v>939</v>
      </c>
      <c r="I1054" s="47">
        <v>55</v>
      </c>
      <c r="J1054" s="47" t="s">
        <v>2004</v>
      </c>
      <c r="K1054" s="47"/>
      <c r="L1054" s="47">
        <v>0.4</v>
      </c>
      <c r="M1054" s="51">
        <v>32</v>
      </c>
      <c r="N1054" s="51">
        <v>32</v>
      </c>
      <c r="O1054" s="55" t="s">
        <v>421</v>
      </c>
      <c r="P1054" s="47"/>
      <c r="Q1054" s="47">
        <v>600</v>
      </c>
      <c r="R1054" s="47">
        <v>60</v>
      </c>
      <c r="S1054" s="47"/>
      <c r="T1054" s="47">
        <v>1</v>
      </c>
      <c r="U1054" s="47">
        <v>90</v>
      </c>
      <c r="V1054" s="47"/>
      <c r="W1054" s="51">
        <v>1</v>
      </c>
      <c r="X1054" s="51">
        <v>3</v>
      </c>
      <c r="Y1054" s="79">
        <v>9.5</v>
      </c>
      <c r="Z1054" s="86" t="s">
        <v>36</v>
      </c>
      <c r="AA1054" s="51" t="s">
        <v>1078</v>
      </c>
    </row>
    <row r="1055" spans="1:28" s="51" customFormat="1" ht="23.1" customHeight="1" x14ac:dyDescent="0.25">
      <c r="A1055" s="53" t="s">
        <v>539</v>
      </c>
      <c r="B1055" s="47" t="s">
        <v>110</v>
      </c>
      <c r="C1055" s="47">
        <v>102</v>
      </c>
      <c r="D1055" s="47" t="s">
        <v>1067</v>
      </c>
      <c r="E1055" s="41" t="s">
        <v>1068</v>
      </c>
      <c r="F1055" s="41" t="s">
        <v>1068</v>
      </c>
      <c r="G1055" s="21" t="str">
        <f>VLOOKUP(D1055,[6]成飞半成品!$A:$B,2,0)</f>
        <v>11900梁一段（右件）</v>
      </c>
      <c r="H1055" s="47" t="s">
        <v>323</v>
      </c>
      <c r="I1055" s="47">
        <v>40</v>
      </c>
      <c r="J1055" s="47" t="s">
        <v>2122</v>
      </c>
      <c r="K1055" s="47">
        <v>0.8</v>
      </c>
      <c r="L1055" s="47">
        <v>0.7</v>
      </c>
      <c r="M1055" s="51">
        <v>32</v>
      </c>
      <c r="N1055" s="51">
        <v>32</v>
      </c>
      <c r="O1055" s="55" t="s">
        <v>282</v>
      </c>
      <c r="P1055" s="47"/>
      <c r="Q1055" s="47">
        <v>1080</v>
      </c>
      <c r="R1055" s="47">
        <v>60</v>
      </c>
      <c r="S1055" s="47"/>
      <c r="T1055" s="47"/>
      <c r="U1055" s="47">
        <v>120</v>
      </c>
      <c r="V1055" s="47"/>
      <c r="Y1055" s="79">
        <v>12.6</v>
      </c>
      <c r="Z1055" s="86" t="s">
        <v>36</v>
      </c>
      <c r="AA1055" s="51" t="s">
        <v>1079</v>
      </c>
    </row>
    <row r="1056" spans="1:28" s="51" customFormat="1" ht="23.1" customHeight="1" x14ac:dyDescent="0.25">
      <c r="A1056" s="53" t="s">
        <v>539</v>
      </c>
      <c r="B1056" s="47" t="s">
        <v>110</v>
      </c>
      <c r="C1056" s="47">
        <v>106</v>
      </c>
      <c r="D1056" s="47" t="s">
        <v>1070</v>
      </c>
      <c r="E1056" s="41" t="s">
        <v>101</v>
      </c>
      <c r="F1056" s="41" t="s">
        <v>101</v>
      </c>
      <c r="G1056" s="21" t="str">
        <f>VLOOKUP(D1056,[6]成飞半成品!$A:$B,2,0)</f>
        <v>前梁一段</v>
      </c>
      <c r="H1056" s="47" t="s">
        <v>300</v>
      </c>
      <c r="I1056" s="47">
        <v>30</v>
      </c>
      <c r="J1056" s="47" t="s">
        <v>2127</v>
      </c>
      <c r="K1056" s="47">
        <v>0.5</v>
      </c>
      <c r="L1056" s="47">
        <v>0.5</v>
      </c>
      <c r="M1056" s="51">
        <v>32</v>
      </c>
      <c r="N1056" s="51">
        <v>32</v>
      </c>
      <c r="O1056" s="55" t="s">
        <v>292</v>
      </c>
      <c r="P1056" s="47"/>
      <c r="Q1056" s="47">
        <v>1500</v>
      </c>
      <c r="R1056" s="47">
        <v>180</v>
      </c>
      <c r="S1056" s="47"/>
      <c r="T1056" s="47">
        <v>1</v>
      </c>
      <c r="U1056" s="47">
        <v>180</v>
      </c>
      <c r="V1056" s="47"/>
      <c r="W1056" s="51">
        <v>1</v>
      </c>
      <c r="Y1056" s="79">
        <v>18.5</v>
      </c>
      <c r="Z1056" s="86" t="s">
        <v>36</v>
      </c>
    </row>
    <row r="1057" spans="1:27" s="51" customFormat="1" ht="23.1" customHeight="1" x14ac:dyDescent="0.25">
      <c r="A1057" s="53" t="s">
        <v>539</v>
      </c>
      <c r="B1057" s="47" t="s">
        <v>110</v>
      </c>
      <c r="C1057" s="47">
        <v>19</v>
      </c>
      <c r="D1057" s="47" t="s">
        <v>1071</v>
      </c>
      <c r="E1057" s="41" t="s">
        <v>1072</v>
      </c>
      <c r="F1057" s="41" t="e">
        <v>#N/A</v>
      </c>
      <c r="G1057" s="21" t="e">
        <f>VLOOKUP(D1057,[6]成飞半成品!$A:$B,2,0)</f>
        <v>#N/A</v>
      </c>
      <c r="H1057" s="47" t="s">
        <v>250</v>
      </c>
      <c r="I1057" s="47">
        <v>30</v>
      </c>
      <c r="J1057" s="47" t="s">
        <v>2123</v>
      </c>
      <c r="K1057" s="47">
        <v>1</v>
      </c>
      <c r="L1057" s="47">
        <v>0.8</v>
      </c>
      <c r="M1057" s="51">
        <v>32</v>
      </c>
      <c r="N1057" s="51">
        <v>32</v>
      </c>
      <c r="O1057" s="55" t="s">
        <v>1080</v>
      </c>
      <c r="P1057" s="47"/>
      <c r="Q1057" s="47">
        <v>650</v>
      </c>
      <c r="R1057" s="47">
        <v>90</v>
      </c>
      <c r="S1057" s="47"/>
      <c r="T1057" s="47">
        <v>1</v>
      </c>
      <c r="U1057" s="47">
        <v>60</v>
      </c>
      <c r="V1057" s="47"/>
      <c r="Y1057" s="79">
        <v>10.199999999999999</v>
      </c>
      <c r="Z1057" s="86" t="s">
        <v>36</v>
      </c>
    </row>
    <row r="1058" spans="1:27" s="51" customFormat="1" ht="23.1" customHeight="1" x14ac:dyDescent="0.25">
      <c r="A1058" s="53" t="s">
        <v>539</v>
      </c>
      <c r="B1058" s="47" t="s">
        <v>110</v>
      </c>
      <c r="C1058" s="47">
        <v>117</v>
      </c>
      <c r="D1058" s="47" t="s">
        <v>1081</v>
      </c>
      <c r="E1058" s="41" t="s">
        <v>1082</v>
      </c>
      <c r="F1058" s="41" t="s">
        <v>1082</v>
      </c>
      <c r="G1058" s="21" t="str">
        <f>VLOOKUP(D1058,[6]成飞半成品!$A:$B,2,0)</f>
        <v xml:space="preserve"> 前梁</v>
      </c>
      <c r="H1058" s="47" t="s">
        <v>123</v>
      </c>
      <c r="I1058" s="47">
        <v>10</v>
      </c>
      <c r="J1058" s="47" t="s">
        <v>1916</v>
      </c>
      <c r="K1058" s="47"/>
      <c r="L1058" s="47">
        <v>6</v>
      </c>
      <c r="M1058" s="51">
        <v>32</v>
      </c>
      <c r="N1058" s="51">
        <v>32</v>
      </c>
      <c r="O1058" s="55" t="s">
        <v>1001</v>
      </c>
      <c r="P1058" s="47"/>
      <c r="Q1058" s="47">
        <v>120</v>
      </c>
      <c r="R1058" s="47">
        <v>60</v>
      </c>
      <c r="S1058" s="47"/>
      <c r="T1058" s="47">
        <v>6</v>
      </c>
      <c r="U1058" s="47">
        <v>60</v>
      </c>
      <c r="V1058" s="47"/>
      <c r="W1058" s="51">
        <v>1</v>
      </c>
      <c r="Y1058" s="79">
        <v>19</v>
      </c>
      <c r="Z1058" s="86" t="s">
        <v>36</v>
      </c>
    </row>
    <row r="1059" spans="1:27" s="51" customFormat="1" ht="23.1" customHeight="1" x14ac:dyDescent="0.25">
      <c r="A1059" s="53" t="s">
        <v>539</v>
      </c>
      <c r="B1059" s="47" t="s">
        <v>110</v>
      </c>
      <c r="C1059" s="47">
        <v>117</v>
      </c>
      <c r="D1059" s="47" t="s">
        <v>1083</v>
      </c>
      <c r="E1059" s="41" t="s">
        <v>1082</v>
      </c>
      <c r="F1059" s="41" t="s">
        <v>1082</v>
      </c>
      <c r="G1059" s="21" t="str">
        <f>VLOOKUP(D1059,[6]成飞半成品!$A:$B,2,0)</f>
        <v xml:space="preserve"> 前梁</v>
      </c>
      <c r="H1059" s="47" t="s">
        <v>123</v>
      </c>
      <c r="I1059" s="47">
        <v>10</v>
      </c>
      <c r="J1059" s="47" t="s">
        <v>1916</v>
      </c>
      <c r="K1059" s="47"/>
      <c r="L1059" s="47">
        <v>2</v>
      </c>
      <c r="M1059" s="51">
        <v>32</v>
      </c>
      <c r="N1059" s="51">
        <v>32</v>
      </c>
      <c r="O1059" s="55" t="s">
        <v>860</v>
      </c>
      <c r="P1059" s="47"/>
      <c r="Q1059" s="47">
        <v>120</v>
      </c>
      <c r="R1059" s="47">
        <v>60</v>
      </c>
      <c r="S1059" s="47"/>
      <c r="T1059" s="47">
        <v>2</v>
      </c>
      <c r="U1059" s="47">
        <v>60</v>
      </c>
      <c r="V1059" s="47"/>
      <c r="W1059" s="51">
        <v>1</v>
      </c>
      <c r="Y1059" s="79">
        <v>7</v>
      </c>
      <c r="Z1059" s="86" t="s">
        <v>36</v>
      </c>
    </row>
    <row r="1060" spans="1:27" s="51" customFormat="1" ht="23.1" customHeight="1" x14ac:dyDescent="0.25">
      <c r="A1060" s="53" t="s">
        <v>188</v>
      </c>
      <c r="B1060" s="47" t="s">
        <v>110</v>
      </c>
      <c r="C1060" s="47">
        <v>19</v>
      </c>
      <c r="D1060" s="47" t="s">
        <v>1071</v>
      </c>
      <c r="E1060" s="41" t="s">
        <v>1072</v>
      </c>
      <c r="F1060" s="41" t="e">
        <v>#N/A</v>
      </c>
      <c r="G1060" s="21" t="e">
        <f>VLOOKUP(D1060,[6]成飞半成品!$A:$B,2,0)</f>
        <v>#N/A</v>
      </c>
      <c r="H1060" s="47" t="s">
        <v>250</v>
      </c>
      <c r="I1060" s="47">
        <v>30</v>
      </c>
      <c r="J1060" s="47" t="s">
        <v>2123</v>
      </c>
      <c r="K1060" s="47">
        <v>1</v>
      </c>
      <c r="L1060" s="47">
        <v>1.7</v>
      </c>
      <c r="M1060" s="51">
        <v>32</v>
      </c>
      <c r="N1060" s="51">
        <v>32</v>
      </c>
      <c r="O1060" s="55" t="s">
        <v>1084</v>
      </c>
      <c r="P1060" s="47"/>
      <c r="Q1060" s="47">
        <v>650</v>
      </c>
      <c r="R1060" s="47">
        <v>90</v>
      </c>
      <c r="S1060" s="47"/>
      <c r="T1060" s="47">
        <v>2</v>
      </c>
      <c r="U1060" s="47">
        <v>60</v>
      </c>
      <c r="V1060" s="47"/>
      <c r="Y1060" s="79">
        <v>21.4</v>
      </c>
      <c r="Z1060" s="86" t="s">
        <v>37</v>
      </c>
    </row>
    <row r="1061" spans="1:27" s="51" customFormat="1" ht="23.1" customHeight="1" x14ac:dyDescent="0.25">
      <c r="A1061" s="53" t="s">
        <v>188</v>
      </c>
      <c r="B1061" s="47" t="s">
        <v>110</v>
      </c>
      <c r="C1061" s="47">
        <v>44</v>
      </c>
      <c r="D1061" s="47" t="s">
        <v>1074</v>
      </c>
      <c r="E1061" s="41" t="s">
        <v>1075</v>
      </c>
      <c r="F1061" s="41" t="s">
        <v>1075</v>
      </c>
      <c r="G1061" s="21" t="str">
        <f>VLOOKUP(D1061,[6]成飞半成品!$A:$B,2,0)</f>
        <v>油箱底板（中）</v>
      </c>
      <c r="H1061" s="47" t="s">
        <v>154</v>
      </c>
      <c r="I1061" s="47">
        <v>45</v>
      </c>
      <c r="J1061" s="47" t="s">
        <v>2125</v>
      </c>
      <c r="K1061" s="47">
        <v>1</v>
      </c>
      <c r="L1061" s="47">
        <v>0.7</v>
      </c>
      <c r="M1061" s="51">
        <v>32</v>
      </c>
      <c r="N1061" s="51">
        <v>32</v>
      </c>
      <c r="O1061" s="55" t="s">
        <v>399</v>
      </c>
      <c r="P1061" s="47"/>
      <c r="Q1061" s="47">
        <v>600</v>
      </c>
      <c r="R1061" s="47"/>
      <c r="S1061" s="47"/>
      <c r="T1061" s="47">
        <v>1</v>
      </c>
      <c r="U1061" s="47">
        <v>120</v>
      </c>
      <c r="V1061" s="47"/>
      <c r="Y1061" s="79">
        <v>7</v>
      </c>
      <c r="Z1061" s="5" t="s">
        <v>37</v>
      </c>
      <c r="AA1061" s="51" t="s">
        <v>1085</v>
      </c>
    </row>
    <row r="1062" spans="1:27" s="51" customFormat="1" ht="23.1" customHeight="1" x14ac:dyDescent="0.25">
      <c r="A1062" s="53" t="s">
        <v>188</v>
      </c>
      <c r="B1062" s="47" t="s">
        <v>110</v>
      </c>
      <c r="C1062" s="47">
        <v>97</v>
      </c>
      <c r="D1062" s="47" t="s">
        <v>830</v>
      </c>
      <c r="E1062" s="41" t="s">
        <v>1065</v>
      </c>
      <c r="F1062" s="41" t="s">
        <v>1065</v>
      </c>
      <c r="G1062" s="21" t="str">
        <f>VLOOKUP(D1062,[6]成飞半成品!$A:$B,2,0)</f>
        <v>根肋二段</v>
      </c>
      <c r="H1062" s="47" t="s">
        <v>250</v>
      </c>
      <c r="I1062" s="47">
        <v>50</v>
      </c>
      <c r="J1062" s="47" t="s">
        <v>2382</v>
      </c>
      <c r="K1062" s="47">
        <v>1</v>
      </c>
      <c r="L1062" s="47">
        <v>1</v>
      </c>
      <c r="M1062" s="51">
        <v>32</v>
      </c>
      <c r="N1062" s="51">
        <v>32</v>
      </c>
      <c r="O1062" s="55" t="s">
        <v>1086</v>
      </c>
      <c r="P1062" s="47"/>
      <c r="Q1062" s="47">
        <v>420</v>
      </c>
      <c r="R1062" s="47">
        <v>60</v>
      </c>
      <c r="S1062" s="47"/>
      <c r="T1062" s="47">
        <v>1</v>
      </c>
      <c r="U1062" s="47">
        <v>90</v>
      </c>
      <c r="V1062" s="47"/>
      <c r="Y1062" s="79">
        <v>8</v>
      </c>
      <c r="Z1062" s="5" t="s">
        <v>37</v>
      </c>
    </row>
    <row r="1063" spans="1:27" s="51" customFormat="1" ht="23.1" customHeight="1" x14ac:dyDescent="0.25">
      <c r="A1063" s="53" t="s">
        <v>188</v>
      </c>
      <c r="B1063" s="47" t="s">
        <v>110</v>
      </c>
      <c r="C1063" s="47">
        <v>97</v>
      </c>
      <c r="D1063" s="47" t="s">
        <v>830</v>
      </c>
      <c r="E1063" s="41" t="s">
        <v>1065</v>
      </c>
      <c r="F1063" s="41" t="s">
        <v>1065</v>
      </c>
      <c r="G1063" s="21" t="str">
        <f>VLOOKUP(D1063,[6]成飞半成品!$A:$B,2,0)</f>
        <v>根肋二段</v>
      </c>
      <c r="H1063" s="47" t="s">
        <v>250</v>
      </c>
      <c r="I1063" s="47">
        <v>55</v>
      </c>
      <c r="J1063" s="47" t="s">
        <v>2119</v>
      </c>
      <c r="K1063" s="47">
        <v>1</v>
      </c>
      <c r="L1063" s="47">
        <v>1</v>
      </c>
      <c r="M1063" s="51">
        <v>32</v>
      </c>
      <c r="N1063" s="51">
        <v>32</v>
      </c>
      <c r="O1063" s="55" t="s">
        <v>1086</v>
      </c>
      <c r="P1063" s="47"/>
      <c r="Q1063" s="47">
        <v>60</v>
      </c>
      <c r="R1063" s="47">
        <v>60</v>
      </c>
      <c r="S1063" s="47"/>
      <c r="T1063" s="47">
        <v>1</v>
      </c>
      <c r="U1063" s="47">
        <v>60</v>
      </c>
      <c r="V1063" s="47"/>
      <c r="Y1063" s="79">
        <v>2</v>
      </c>
      <c r="Z1063" s="5" t="s">
        <v>37</v>
      </c>
    </row>
    <row r="1064" spans="1:27" s="51" customFormat="1" ht="23.1" customHeight="1" x14ac:dyDescent="0.25">
      <c r="A1064" s="53" t="s">
        <v>188</v>
      </c>
      <c r="B1064" s="47" t="s">
        <v>110</v>
      </c>
      <c r="C1064" s="47">
        <v>97</v>
      </c>
      <c r="D1064" s="47" t="s">
        <v>830</v>
      </c>
      <c r="E1064" s="41" t="s">
        <v>1065</v>
      </c>
      <c r="F1064" s="41" t="s">
        <v>1065</v>
      </c>
      <c r="G1064" s="21" t="str">
        <f>VLOOKUP(D1064,[6]成飞半成品!$A:$B,2,0)</f>
        <v>根肋二段</v>
      </c>
      <c r="H1064" s="47" t="s">
        <v>250</v>
      </c>
      <c r="I1064" s="47">
        <v>50</v>
      </c>
      <c r="J1064" s="47" t="s">
        <v>2118</v>
      </c>
      <c r="K1064" s="47"/>
      <c r="L1064" s="47">
        <v>0.1</v>
      </c>
      <c r="M1064" s="51">
        <v>32</v>
      </c>
      <c r="N1064" s="51">
        <v>32</v>
      </c>
      <c r="O1064" s="55" t="s">
        <v>292</v>
      </c>
      <c r="P1064" s="47"/>
      <c r="Q1064" s="47">
        <v>420</v>
      </c>
      <c r="R1064" s="47">
        <v>60</v>
      </c>
      <c r="S1064" s="47"/>
      <c r="T1064" s="47">
        <v>1</v>
      </c>
      <c r="U1064" s="47">
        <v>90</v>
      </c>
      <c r="V1064" s="47"/>
      <c r="W1064" s="51">
        <v>1</v>
      </c>
      <c r="Y1064" s="79">
        <v>3.2</v>
      </c>
      <c r="Z1064" s="5" t="s">
        <v>37</v>
      </c>
    </row>
    <row r="1065" spans="1:27" s="51" customFormat="1" ht="23.1" customHeight="1" x14ac:dyDescent="0.25">
      <c r="A1065" s="53" t="s">
        <v>188</v>
      </c>
      <c r="B1065" s="47" t="s">
        <v>110</v>
      </c>
      <c r="C1065" s="47">
        <v>100</v>
      </c>
      <c r="D1065" s="47" t="s">
        <v>643</v>
      </c>
      <c r="E1065" s="41" t="s">
        <v>644</v>
      </c>
      <c r="F1065" s="41" t="s">
        <v>644</v>
      </c>
      <c r="G1065" s="21" t="str">
        <f>VLOOKUP(D1065,[6]成飞半成品!$A:$B,2,0)</f>
        <v>辅助动力舱口盖前段</v>
      </c>
      <c r="H1065" s="47" t="s">
        <v>154</v>
      </c>
      <c r="I1065" s="47">
        <v>40</v>
      </c>
      <c r="J1065" s="47" t="s">
        <v>2120</v>
      </c>
      <c r="K1065" s="47">
        <v>0.25</v>
      </c>
      <c r="L1065" s="47">
        <v>0.25</v>
      </c>
      <c r="M1065" s="51">
        <v>32</v>
      </c>
      <c r="N1065" s="51">
        <v>32</v>
      </c>
      <c r="O1065" s="55" t="s">
        <v>419</v>
      </c>
      <c r="P1065" s="47"/>
      <c r="Q1065" s="47">
        <v>2640</v>
      </c>
      <c r="R1065" s="47">
        <v>90</v>
      </c>
      <c r="S1065" s="47"/>
      <c r="T1065" s="47"/>
      <c r="U1065" s="47">
        <v>180</v>
      </c>
      <c r="V1065" s="47"/>
      <c r="Y1065" s="79">
        <v>11</v>
      </c>
      <c r="Z1065" s="5" t="s">
        <v>37</v>
      </c>
    </row>
    <row r="1066" spans="1:27" s="51" customFormat="1" ht="23.1" customHeight="1" x14ac:dyDescent="0.25">
      <c r="A1066" s="53" t="s">
        <v>188</v>
      </c>
      <c r="B1066" s="47" t="s">
        <v>110</v>
      </c>
      <c r="C1066" s="47">
        <v>102</v>
      </c>
      <c r="D1066" s="47" t="s">
        <v>1067</v>
      </c>
      <c r="E1066" s="41" t="s">
        <v>1068</v>
      </c>
      <c r="F1066" s="41" t="s">
        <v>1068</v>
      </c>
      <c r="G1066" s="21" t="str">
        <f>VLOOKUP(D1066,[6]成飞半成品!$A:$B,2,0)</f>
        <v>11900梁一段（右件）</v>
      </c>
      <c r="H1066" s="47" t="s">
        <v>323</v>
      </c>
      <c r="I1066" s="47">
        <v>30</v>
      </c>
      <c r="J1066" s="47" t="s">
        <v>2128</v>
      </c>
      <c r="K1066" s="47">
        <v>5</v>
      </c>
      <c r="L1066" s="47">
        <v>9</v>
      </c>
      <c r="M1066" s="51">
        <v>32</v>
      </c>
      <c r="N1066" s="51">
        <v>32</v>
      </c>
      <c r="O1066" s="55" t="s">
        <v>1069</v>
      </c>
      <c r="P1066" s="47"/>
      <c r="Q1066" s="47">
        <v>90</v>
      </c>
      <c r="R1066" s="47">
        <v>60</v>
      </c>
      <c r="S1066" s="47"/>
      <c r="T1066" s="47">
        <v>9</v>
      </c>
      <c r="U1066" s="47"/>
      <c r="V1066" s="47"/>
      <c r="W1066" s="51">
        <v>1</v>
      </c>
      <c r="Y1066" s="79">
        <v>22.5</v>
      </c>
      <c r="Z1066" s="5" t="s">
        <v>37</v>
      </c>
    </row>
    <row r="1067" spans="1:27" s="51" customFormat="1" ht="23.1" customHeight="1" x14ac:dyDescent="0.25">
      <c r="A1067" s="53" t="s">
        <v>188</v>
      </c>
      <c r="B1067" s="47" t="s">
        <v>110</v>
      </c>
      <c r="C1067" s="47">
        <v>106</v>
      </c>
      <c r="D1067" s="47" t="s">
        <v>1070</v>
      </c>
      <c r="E1067" s="41" t="s">
        <v>101</v>
      </c>
      <c r="F1067" s="41" t="s">
        <v>101</v>
      </c>
      <c r="G1067" s="21" t="str">
        <f>VLOOKUP(D1067,[6]成飞半成品!$A:$B,2,0)</f>
        <v>前梁一段</v>
      </c>
      <c r="H1067" s="47" t="s">
        <v>300</v>
      </c>
      <c r="I1067" s="47">
        <v>15</v>
      </c>
      <c r="J1067" s="47" t="s">
        <v>1868</v>
      </c>
      <c r="K1067" s="47">
        <v>0.5</v>
      </c>
      <c r="L1067" s="47">
        <v>0.4</v>
      </c>
      <c r="M1067" s="51">
        <v>32</v>
      </c>
      <c r="N1067" s="51">
        <v>32</v>
      </c>
      <c r="O1067" s="55"/>
      <c r="P1067" s="47"/>
      <c r="Q1067" s="47">
        <v>2150</v>
      </c>
      <c r="R1067" s="47">
        <v>180</v>
      </c>
      <c r="S1067" s="47"/>
      <c r="T1067" s="47"/>
      <c r="U1067" s="47">
        <v>180</v>
      </c>
      <c r="V1067" s="47"/>
      <c r="Y1067" s="79">
        <v>14.3</v>
      </c>
      <c r="Z1067" s="5" t="s">
        <v>37</v>
      </c>
    </row>
    <row r="1068" spans="1:27" s="51" customFormat="1" ht="23.1" customHeight="1" x14ac:dyDescent="0.25">
      <c r="A1068" s="53" t="s">
        <v>188</v>
      </c>
      <c r="B1068" s="47" t="s">
        <v>110</v>
      </c>
      <c r="C1068" s="47">
        <v>20</v>
      </c>
      <c r="D1068" s="47" t="s">
        <v>2567</v>
      </c>
      <c r="E1068" s="41" t="s">
        <v>1088</v>
      </c>
      <c r="F1068" s="41" t="s">
        <v>1088</v>
      </c>
      <c r="G1068" s="21" t="str">
        <f>VLOOKUP(D1068,[6]成飞半成品!$A:$B,2,0)</f>
        <v>固定前缘边肋</v>
      </c>
      <c r="H1068" s="47" t="s">
        <v>300</v>
      </c>
      <c r="I1068" s="47">
        <v>30</v>
      </c>
      <c r="J1068" s="47"/>
      <c r="K1068" s="47">
        <v>2</v>
      </c>
      <c r="L1068" s="47">
        <v>5</v>
      </c>
      <c r="M1068" s="51">
        <v>32</v>
      </c>
      <c r="N1068" s="51">
        <v>32</v>
      </c>
      <c r="O1068" s="55" t="s">
        <v>1089</v>
      </c>
      <c r="P1068" s="47"/>
      <c r="Q1068" s="47"/>
      <c r="R1068" s="47"/>
      <c r="S1068" s="47"/>
      <c r="T1068" s="47">
        <v>5</v>
      </c>
      <c r="U1068" s="47"/>
      <c r="V1068" s="47"/>
      <c r="X1068" s="51">
        <v>3</v>
      </c>
      <c r="Y1068" s="79">
        <v>3</v>
      </c>
      <c r="Z1068" s="5" t="s">
        <v>64</v>
      </c>
      <c r="AA1068" s="51" t="s">
        <v>1078</v>
      </c>
    </row>
    <row r="1069" spans="1:27" s="51" customFormat="1" ht="23.1" customHeight="1" x14ac:dyDescent="0.25">
      <c r="A1069" s="53" t="s">
        <v>188</v>
      </c>
      <c r="B1069" s="47" t="s">
        <v>110</v>
      </c>
      <c r="C1069" s="47">
        <v>103</v>
      </c>
      <c r="D1069" s="47" t="s">
        <v>776</v>
      </c>
      <c r="E1069" s="41" t="s">
        <v>777</v>
      </c>
      <c r="F1069" s="41" t="s">
        <v>777</v>
      </c>
      <c r="G1069" s="21" t="str">
        <f>VLOOKUP(D1069,[6]成飞半成品!$A:$B,2,0)</f>
        <v>BL280侧壁（左件）</v>
      </c>
      <c r="H1069" s="47" t="s">
        <v>107</v>
      </c>
      <c r="I1069" s="47">
        <v>20</v>
      </c>
      <c r="J1069" s="47" t="s">
        <v>2129</v>
      </c>
      <c r="K1069" s="47">
        <v>1.5</v>
      </c>
      <c r="L1069" s="47">
        <v>1.1000000000000001</v>
      </c>
      <c r="M1069" s="51">
        <v>32</v>
      </c>
      <c r="N1069" s="51">
        <v>32</v>
      </c>
      <c r="O1069" s="55" t="s">
        <v>1090</v>
      </c>
      <c r="P1069" s="47"/>
      <c r="Q1069" s="47">
        <v>420</v>
      </c>
      <c r="R1069" s="47">
        <v>60</v>
      </c>
      <c r="S1069" s="47"/>
      <c r="T1069" s="47">
        <v>2</v>
      </c>
      <c r="U1069" s="47">
        <v>120</v>
      </c>
      <c r="V1069" s="47"/>
      <c r="W1069" s="51">
        <v>1</v>
      </c>
      <c r="X1069" s="51">
        <v>3</v>
      </c>
      <c r="Y1069" s="79">
        <v>14.7</v>
      </c>
      <c r="Z1069" s="5" t="s">
        <v>61</v>
      </c>
      <c r="AA1069" s="51" t="s">
        <v>1078</v>
      </c>
    </row>
    <row r="1070" spans="1:27" s="51" customFormat="1" ht="23.1" customHeight="1" x14ac:dyDescent="0.25">
      <c r="A1070" s="53" t="s">
        <v>188</v>
      </c>
      <c r="B1070" s="47" t="s">
        <v>110</v>
      </c>
      <c r="C1070" s="47">
        <v>99</v>
      </c>
      <c r="D1070" s="47" t="s">
        <v>1091</v>
      </c>
      <c r="E1070" s="41" t="s">
        <v>1092</v>
      </c>
      <c r="F1070" s="41" t="s">
        <v>1092</v>
      </c>
      <c r="G1070" s="21" t="str">
        <f>VLOOKUP(D1070,[6]成飞半成品!$A:$B,2,0)</f>
        <v>氧气瓶支架</v>
      </c>
      <c r="H1070" s="47" t="s">
        <v>118</v>
      </c>
      <c r="I1070" s="47">
        <v>25</v>
      </c>
      <c r="J1070" s="47" t="s">
        <v>2130</v>
      </c>
      <c r="K1070" s="47">
        <v>5</v>
      </c>
      <c r="L1070" s="47">
        <v>3.5</v>
      </c>
      <c r="M1070" s="51">
        <v>32</v>
      </c>
      <c r="N1070" s="51">
        <v>32</v>
      </c>
      <c r="O1070" s="55" t="s">
        <v>1093</v>
      </c>
      <c r="P1070" s="47"/>
      <c r="Q1070" s="47">
        <v>240</v>
      </c>
      <c r="R1070" s="47">
        <v>60</v>
      </c>
      <c r="S1070" s="47"/>
      <c r="T1070" s="47">
        <v>4</v>
      </c>
      <c r="U1070" s="47">
        <v>120</v>
      </c>
      <c r="V1070" s="47"/>
      <c r="Y1070" s="79">
        <v>18</v>
      </c>
      <c r="Z1070" s="5" t="s">
        <v>29</v>
      </c>
    </row>
    <row r="1071" spans="1:27" s="51" customFormat="1" ht="23.1" customHeight="1" x14ac:dyDescent="0.25">
      <c r="A1071" s="53" t="s">
        <v>188</v>
      </c>
      <c r="B1071" s="47" t="s">
        <v>110</v>
      </c>
      <c r="C1071" s="47">
        <v>98</v>
      </c>
      <c r="D1071" s="47" t="s">
        <v>404</v>
      </c>
      <c r="E1071" s="41" t="s">
        <v>405</v>
      </c>
      <c r="F1071" s="41" t="s">
        <v>405</v>
      </c>
      <c r="G1071" s="21" t="str">
        <f>VLOOKUP(D1071,[6]成飞半成品!$A:$B,2,0)</f>
        <v>11140框右下半框</v>
      </c>
      <c r="H1071" s="47" t="s">
        <v>118</v>
      </c>
      <c r="I1071" s="47">
        <v>13</v>
      </c>
      <c r="J1071" s="47"/>
      <c r="K1071" s="47">
        <v>2</v>
      </c>
      <c r="L1071" s="47">
        <v>1.8</v>
      </c>
      <c r="M1071" s="51">
        <v>32</v>
      </c>
      <c r="N1071" s="51">
        <v>32</v>
      </c>
      <c r="O1071" s="55" t="s">
        <v>1094</v>
      </c>
      <c r="P1071" s="47">
        <v>300</v>
      </c>
      <c r="Q1071" s="47"/>
      <c r="R1071" s="47"/>
      <c r="S1071" s="47">
        <v>60</v>
      </c>
      <c r="T1071" s="47">
        <v>2</v>
      </c>
      <c r="U1071" s="47"/>
      <c r="V1071" s="47">
        <v>120</v>
      </c>
      <c r="W1071" s="51">
        <v>1</v>
      </c>
      <c r="Y1071" s="83">
        <v>13</v>
      </c>
      <c r="Z1071" s="5" t="s">
        <v>39</v>
      </c>
    </row>
    <row r="1072" spans="1:27" s="51" customFormat="1" ht="23.1" customHeight="1" x14ac:dyDescent="0.25">
      <c r="A1072" s="53" t="s">
        <v>188</v>
      </c>
      <c r="B1072" s="47" t="s">
        <v>110</v>
      </c>
      <c r="C1072" s="47">
        <v>83</v>
      </c>
      <c r="D1072" s="47" t="s">
        <v>1095</v>
      </c>
      <c r="E1072" s="41" t="s">
        <v>1096</v>
      </c>
      <c r="F1072" s="41" t="s">
        <v>1096</v>
      </c>
      <c r="G1072" s="21" t="str">
        <f>VLOOKUP(D1072,[6]成飞半成品!$A:$B,2,0)</f>
        <v>1150肋根肋</v>
      </c>
      <c r="H1072" s="47" t="s">
        <v>658</v>
      </c>
      <c r="I1072" s="47">
        <v>30</v>
      </c>
      <c r="J1072" s="47" t="s">
        <v>2131</v>
      </c>
      <c r="K1072" s="47">
        <v>1.3</v>
      </c>
      <c r="L1072" s="47">
        <v>1</v>
      </c>
      <c r="M1072" s="51">
        <v>32</v>
      </c>
      <c r="N1072" s="51">
        <v>32</v>
      </c>
      <c r="O1072" s="55" t="s">
        <v>282</v>
      </c>
      <c r="P1072" s="47"/>
      <c r="Q1072" s="47">
        <v>570</v>
      </c>
      <c r="R1072" s="47">
        <v>60</v>
      </c>
      <c r="S1072" s="47"/>
      <c r="T1072" s="47">
        <v>1</v>
      </c>
      <c r="U1072" s="47">
        <v>120</v>
      </c>
      <c r="V1072" s="47"/>
      <c r="Y1072" s="79">
        <v>10.5</v>
      </c>
      <c r="Z1072" s="5" t="s">
        <v>17</v>
      </c>
    </row>
    <row r="1073" spans="1:27" s="51" customFormat="1" ht="23.1" customHeight="1" x14ac:dyDescent="0.25">
      <c r="A1073" s="53" t="s">
        <v>188</v>
      </c>
      <c r="B1073" s="47" t="s">
        <v>110</v>
      </c>
      <c r="C1073" s="47">
        <v>105</v>
      </c>
      <c r="D1073" s="47" t="s">
        <v>1097</v>
      </c>
      <c r="E1073" s="41" t="s">
        <v>1098</v>
      </c>
      <c r="F1073" s="41" t="s">
        <v>1098</v>
      </c>
      <c r="G1073" s="21" t="str">
        <f>VLOOKUP(D1073,[6]成飞半成品!$A:$B,2,0)</f>
        <v>根肋一段</v>
      </c>
      <c r="H1073" s="47" t="s">
        <v>250</v>
      </c>
      <c r="I1073" s="47">
        <v>20</v>
      </c>
      <c r="J1073" s="47" t="s">
        <v>2132</v>
      </c>
      <c r="K1073" s="47">
        <v>0.8</v>
      </c>
      <c r="L1073" s="47">
        <v>1</v>
      </c>
      <c r="M1073" s="51">
        <v>32</v>
      </c>
      <c r="N1073" s="51">
        <v>32</v>
      </c>
      <c r="O1073" s="55" t="s">
        <v>292</v>
      </c>
      <c r="P1073" s="47"/>
      <c r="Q1073" s="47">
        <v>770</v>
      </c>
      <c r="R1073" s="47">
        <v>60</v>
      </c>
      <c r="S1073" s="47"/>
      <c r="T1073" s="47">
        <v>1</v>
      </c>
      <c r="U1073" s="47">
        <v>90</v>
      </c>
      <c r="V1073" s="47"/>
      <c r="Y1073" s="79">
        <v>13.8</v>
      </c>
      <c r="Z1073" s="5" t="s">
        <v>9</v>
      </c>
    </row>
    <row r="1074" spans="1:27" s="51" customFormat="1" ht="23.1" customHeight="1" x14ac:dyDescent="0.25">
      <c r="A1074" s="53" t="s">
        <v>188</v>
      </c>
      <c r="B1074" s="47" t="s">
        <v>110</v>
      </c>
      <c r="C1074" s="47">
        <v>101</v>
      </c>
      <c r="D1074" s="47" t="s">
        <v>1099</v>
      </c>
      <c r="E1074" s="41" t="s">
        <v>760</v>
      </c>
      <c r="F1074" s="41" t="e">
        <v>#N/A</v>
      </c>
      <c r="G1074" s="21" t="e">
        <f>VLOOKUP(D1074,[6]成飞半成品!$A:$B,2,0)</f>
        <v>#N/A</v>
      </c>
      <c r="H1074" s="47" t="s">
        <v>300</v>
      </c>
      <c r="I1074" s="47">
        <v>30</v>
      </c>
      <c r="J1074" s="47" t="s">
        <v>2454</v>
      </c>
      <c r="K1074" s="47">
        <v>0.7</v>
      </c>
      <c r="L1074" s="47">
        <v>0.9</v>
      </c>
      <c r="M1074" s="51">
        <v>32</v>
      </c>
      <c r="N1074" s="51">
        <v>32</v>
      </c>
      <c r="O1074" s="55" t="s">
        <v>1004</v>
      </c>
      <c r="P1074" s="47"/>
      <c r="Q1074" s="47">
        <v>700</v>
      </c>
      <c r="R1074" s="47">
        <v>60</v>
      </c>
      <c r="S1074" s="47"/>
      <c r="T1074" s="47">
        <v>1</v>
      </c>
      <c r="U1074" s="47">
        <v>120</v>
      </c>
      <c r="V1074" s="47"/>
      <c r="W1074" s="51">
        <v>1</v>
      </c>
      <c r="Y1074" s="79">
        <v>13.5</v>
      </c>
      <c r="Z1074" s="5" t="s">
        <v>47</v>
      </c>
    </row>
    <row r="1075" spans="1:27" s="51" customFormat="1" ht="23.1" customHeight="1" x14ac:dyDescent="0.25">
      <c r="A1075" s="53" t="s">
        <v>188</v>
      </c>
      <c r="B1075" s="47" t="s">
        <v>113</v>
      </c>
      <c r="C1075" s="47">
        <v>44</v>
      </c>
      <c r="D1075" s="47" t="s">
        <v>1074</v>
      </c>
      <c r="E1075" s="41" t="s">
        <v>1075</v>
      </c>
      <c r="F1075" s="41" t="s">
        <v>1075</v>
      </c>
      <c r="G1075" s="21" t="str">
        <f>VLOOKUP(D1075,[6]成飞半成品!$A:$B,2,0)</f>
        <v>油箱底板（中）</v>
      </c>
      <c r="H1075" s="47" t="s">
        <v>154</v>
      </c>
      <c r="I1075" s="47">
        <v>45</v>
      </c>
      <c r="J1075" s="47" t="s">
        <v>2125</v>
      </c>
      <c r="K1075" s="47">
        <v>1</v>
      </c>
      <c r="L1075" s="47">
        <v>1.2</v>
      </c>
      <c r="M1075" s="51">
        <v>25</v>
      </c>
      <c r="N1075" s="51">
        <v>25</v>
      </c>
      <c r="O1075" s="55" t="s">
        <v>1100</v>
      </c>
      <c r="P1075" s="47"/>
      <c r="Q1075" s="47">
        <v>600</v>
      </c>
      <c r="R1075" s="47"/>
      <c r="S1075" s="47"/>
      <c r="T1075" s="47">
        <v>1</v>
      </c>
      <c r="U1075" s="47">
        <v>120</v>
      </c>
      <c r="V1075" s="47"/>
      <c r="Y1075" s="79">
        <v>12</v>
      </c>
      <c r="Z1075" s="5" t="s">
        <v>56</v>
      </c>
    </row>
    <row r="1076" spans="1:27" s="51" customFormat="1" ht="23.1" customHeight="1" x14ac:dyDescent="0.25">
      <c r="A1076" s="53" t="s">
        <v>188</v>
      </c>
      <c r="B1076" s="47" t="s">
        <v>113</v>
      </c>
      <c r="C1076" s="47">
        <v>105</v>
      </c>
      <c r="D1076" s="47" t="s">
        <v>1097</v>
      </c>
      <c r="E1076" s="41" t="s">
        <v>1098</v>
      </c>
      <c r="F1076" s="41" t="s">
        <v>1098</v>
      </c>
      <c r="G1076" s="21" t="str">
        <f>VLOOKUP(D1076,[6]成飞半成品!$A:$B,2,0)</f>
        <v>根肋一段</v>
      </c>
      <c r="H1076" s="47" t="s">
        <v>250</v>
      </c>
      <c r="I1076" s="47">
        <v>20</v>
      </c>
      <c r="J1076" s="47" t="s">
        <v>2455</v>
      </c>
      <c r="K1076" s="47">
        <v>0.8</v>
      </c>
      <c r="L1076" s="47">
        <v>1.4</v>
      </c>
      <c r="M1076" s="51">
        <v>25</v>
      </c>
      <c r="N1076" s="51">
        <v>25</v>
      </c>
      <c r="O1076" s="55" t="s">
        <v>292</v>
      </c>
      <c r="P1076" s="47"/>
      <c r="Q1076" s="47">
        <v>770</v>
      </c>
      <c r="R1076" s="47">
        <v>60</v>
      </c>
      <c r="S1076" s="47"/>
      <c r="T1076" s="47">
        <v>1</v>
      </c>
      <c r="U1076" s="47">
        <v>90</v>
      </c>
      <c r="V1076" s="47"/>
      <c r="Y1076" s="79">
        <v>19</v>
      </c>
      <c r="Z1076" s="5" t="s">
        <v>28</v>
      </c>
    </row>
    <row r="1077" spans="1:27" s="51" customFormat="1" ht="23.1" customHeight="1" x14ac:dyDescent="0.25">
      <c r="A1077" s="53" t="s">
        <v>188</v>
      </c>
      <c r="B1077" s="47" t="s">
        <v>113</v>
      </c>
      <c r="C1077" s="47">
        <v>99</v>
      </c>
      <c r="D1077" s="47" t="s">
        <v>1091</v>
      </c>
      <c r="E1077" s="41" t="s">
        <v>1092</v>
      </c>
      <c r="F1077" s="41" t="s">
        <v>1092</v>
      </c>
      <c r="G1077" s="21" t="str">
        <f>VLOOKUP(D1077,[6]成飞半成品!$A:$B,2,0)</f>
        <v>氧气瓶支架</v>
      </c>
      <c r="H1077" s="47" t="s">
        <v>118</v>
      </c>
      <c r="I1077" s="47">
        <v>25</v>
      </c>
      <c r="J1077" s="47" t="s">
        <v>2130</v>
      </c>
      <c r="K1077" s="47">
        <v>2</v>
      </c>
      <c r="L1077" s="47">
        <v>2.5</v>
      </c>
      <c r="M1077" s="51">
        <v>25</v>
      </c>
      <c r="N1077" s="51" t="s">
        <v>1101</v>
      </c>
      <c r="O1077" s="55" t="s">
        <v>1093</v>
      </c>
      <c r="P1077" s="47"/>
      <c r="Q1077" s="47">
        <v>240</v>
      </c>
      <c r="R1077" s="47">
        <v>60</v>
      </c>
      <c r="S1077" s="47"/>
      <c r="T1077" s="47">
        <v>2</v>
      </c>
      <c r="U1077" s="47">
        <v>120</v>
      </c>
      <c r="V1077" s="47"/>
      <c r="Y1077" s="79">
        <v>12</v>
      </c>
      <c r="Z1077" s="5" t="s">
        <v>21</v>
      </c>
      <c r="AA1077" s="51" t="s">
        <v>1102</v>
      </c>
    </row>
    <row r="1078" spans="1:27" s="51" customFormat="1" ht="23.1" customHeight="1" x14ac:dyDescent="0.25">
      <c r="A1078" s="53" t="s">
        <v>188</v>
      </c>
      <c r="B1078" s="47" t="s">
        <v>113</v>
      </c>
      <c r="C1078" s="47">
        <v>99</v>
      </c>
      <c r="D1078" s="47" t="s">
        <v>1091</v>
      </c>
      <c r="E1078" s="41" t="s">
        <v>1092</v>
      </c>
      <c r="F1078" s="41" t="s">
        <v>1092</v>
      </c>
      <c r="G1078" s="21" t="str">
        <f>VLOOKUP(D1078,[6]成飞半成品!$A:$B,2,0)</f>
        <v>氧气瓶支架</v>
      </c>
      <c r="H1078" s="47" t="s">
        <v>118</v>
      </c>
      <c r="I1078" s="47">
        <v>30</v>
      </c>
      <c r="J1078" s="47" t="s">
        <v>1863</v>
      </c>
      <c r="K1078" s="47">
        <v>2</v>
      </c>
      <c r="L1078" s="47">
        <v>3</v>
      </c>
      <c r="M1078" s="51">
        <v>25</v>
      </c>
      <c r="N1078" s="51">
        <v>25</v>
      </c>
      <c r="O1078" s="55" t="s">
        <v>1103</v>
      </c>
      <c r="P1078" s="47"/>
      <c r="Q1078" s="47">
        <v>150</v>
      </c>
      <c r="R1078" s="47">
        <v>60</v>
      </c>
      <c r="S1078" s="47"/>
      <c r="T1078" s="47">
        <v>3</v>
      </c>
      <c r="U1078" s="47">
        <v>120</v>
      </c>
      <c r="V1078" s="47"/>
      <c r="W1078" s="51">
        <v>1</v>
      </c>
      <c r="Y1078" s="79">
        <v>12.5</v>
      </c>
      <c r="Z1078" s="5" t="s">
        <v>21</v>
      </c>
    </row>
    <row r="1079" spans="1:27" s="51" customFormat="1" ht="23.1" customHeight="1" x14ac:dyDescent="0.25">
      <c r="A1079" s="53" t="s">
        <v>188</v>
      </c>
      <c r="B1079" s="47" t="s">
        <v>113</v>
      </c>
      <c r="C1079" s="47">
        <v>98</v>
      </c>
      <c r="D1079" s="47" t="s">
        <v>404</v>
      </c>
      <c r="E1079" s="41" t="s">
        <v>405</v>
      </c>
      <c r="F1079" s="41" t="s">
        <v>405</v>
      </c>
      <c r="G1079" s="21" t="str">
        <f>VLOOKUP(D1079,[6]成飞半成品!$A:$B,2,0)</f>
        <v>11140框右下半框</v>
      </c>
      <c r="H1079" s="47" t="s">
        <v>118</v>
      </c>
      <c r="I1079" s="47">
        <v>13</v>
      </c>
      <c r="J1079" s="47"/>
      <c r="K1079" s="47">
        <v>3</v>
      </c>
      <c r="L1079" s="47">
        <v>2.1</v>
      </c>
      <c r="M1079" s="51">
        <v>25</v>
      </c>
      <c r="N1079" s="51">
        <v>25</v>
      </c>
      <c r="O1079" s="55" t="s">
        <v>1104</v>
      </c>
      <c r="P1079" s="47">
        <v>300</v>
      </c>
      <c r="Q1079" s="47"/>
      <c r="R1079" s="47"/>
      <c r="S1079" s="47">
        <v>60</v>
      </c>
      <c r="T1079" s="47">
        <v>2</v>
      </c>
      <c r="U1079" s="47"/>
      <c r="V1079" s="47"/>
      <c r="Y1079" s="83">
        <v>12.5</v>
      </c>
      <c r="Z1079" s="5" t="s">
        <v>1</v>
      </c>
      <c r="AA1079" s="51" t="s">
        <v>1105</v>
      </c>
    </row>
    <row r="1080" spans="1:27" s="51" customFormat="1" ht="23.1" customHeight="1" x14ac:dyDescent="0.25">
      <c r="A1080" s="53" t="s">
        <v>188</v>
      </c>
      <c r="B1080" s="47" t="s">
        <v>113</v>
      </c>
      <c r="C1080" s="47">
        <v>103</v>
      </c>
      <c r="D1080" s="47" t="s">
        <v>776</v>
      </c>
      <c r="E1080" s="41" t="s">
        <v>777</v>
      </c>
      <c r="F1080" s="41" t="s">
        <v>777</v>
      </c>
      <c r="G1080" s="21" t="str">
        <f>VLOOKUP(D1080,[6]成飞半成品!$A:$B,2,0)</f>
        <v>BL280侧壁（左件）</v>
      </c>
      <c r="H1080" s="47" t="s">
        <v>107</v>
      </c>
      <c r="I1080" s="47">
        <v>20</v>
      </c>
      <c r="J1080" s="47" t="s">
        <v>2129</v>
      </c>
      <c r="K1080" s="47">
        <v>2</v>
      </c>
      <c r="L1080" s="47">
        <v>2.7</v>
      </c>
      <c r="M1080" s="51">
        <v>25</v>
      </c>
      <c r="N1080" s="51">
        <v>25</v>
      </c>
      <c r="O1080" s="55" t="s">
        <v>1106</v>
      </c>
      <c r="P1080" s="47"/>
      <c r="Q1080" s="47">
        <v>420</v>
      </c>
      <c r="R1080" s="47">
        <v>60</v>
      </c>
      <c r="S1080" s="47"/>
      <c r="T1080" s="47">
        <v>2</v>
      </c>
      <c r="U1080" s="47">
        <v>120</v>
      </c>
      <c r="V1080" s="47"/>
      <c r="Y1080" s="79">
        <v>20.9</v>
      </c>
      <c r="Z1080" s="5" t="s">
        <v>62</v>
      </c>
    </row>
    <row r="1081" spans="1:27" s="51" customFormat="1" ht="23.1" customHeight="1" x14ac:dyDescent="0.25">
      <c r="A1081" s="53" t="s">
        <v>188</v>
      </c>
      <c r="B1081" s="47" t="s">
        <v>113</v>
      </c>
      <c r="C1081" s="47">
        <v>20</v>
      </c>
      <c r="D1081" s="47" t="s">
        <v>484</v>
      </c>
      <c r="E1081" s="41" t="s">
        <v>485</v>
      </c>
      <c r="F1081" s="41" t="s">
        <v>485</v>
      </c>
      <c r="G1081" s="21" t="str">
        <f>VLOOKUP(D1081,[6]成飞半成品!$A:$B,2,0)</f>
        <v>8635左隔框</v>
      </c>
      <c r="H1081" s="47" t="s">
        <v>300</v>
      </c>
      <c r="I1081" s="47">
        <v>15</v>
      </c>
      <c r="J1081" s="47" t="s">
        <v>2134</v>
      </c>
      <c r="K1081" s="47">
        <v>1</v>
      </c>
      <c r="L1081" s="47">
        <v>1</v>
      </c>
      <c r="M1081" s="51">
        <v>25</v>
      </c>
      <c r="N1081" s="51">
        <v>25</v>
      </c>
      <c r="O1081" s="55" t="s">
        <v>216</v>
      </c>
      <c r="P1081" s="47"/>
      <c r="Q1081" s="47">
        <v>120</v>
      </c>
      <c r="R1081" s="47">
        <v>60</v>
      </c>
      <c r="S1081" s="47"/>
      <c r="T1081" s="47">
        <v>1</v>
      </c>
      <c r="U1081" s="47">
        <v>90</v>
      </c>
      <c r="V1081" s="47"/>
      <c r="W1081" s="51">
        <v>1</v>
      </c>
      <c r="X1081" s="51">
        <v>3</v>
      </c>
      <c r="Y1081" s="79">
        <v>7.5</v>
      </c>
      <c r="Z1081" s="5" t="s">
        <v>66</v>
      </c>
      <c r="AA1081" s="51" t="s">
        <v>1078</v>
      </c>
    </row>
    <row r="1082" spans="1:27" s="51" customFormat="1" ht="23.1" customHeight="1" x14ac:dyDescent="0.25">
      <c r="A1082" s="53" t="s">
        <v>188</v>
      </c>
      <c r="B1082" s="47" t="s">
        <v>113</v>
      </c>
      <c r="C1082" s="47">
        <v>20</v>
      </c>
      <c r="D1082" s="47" t="s">
        <v>484</v>
      </c>
      <c r="E1082" s="41" t="s">
        <v>485</v>
      </c>
      <c r="F1082" s="41" t="s">
        <v>485</v>
      </c>
      <c r="G1082" s="21" t="str">
        <f>VLOOKUP(D1082,[6]成飞半成品!$A:$B,2,0)</f>
        <v>8635左隔框</v>
      </c>
      <c r="H1082" s="47" t="s">
        <v>300</v>
      </c>
      <c r="I1082" s="47">
        <v>20</v>
      </c>
      <c r="J1082" s="47" t="s">
        <v>2135</v>
      </c>
      <c r="K1082" s="47">
        <v>1</v>
      </c>
      <c r="L1082" s="47">
        <v>0.9</v>
      </c>
      <c r="M1082" s="51">
        <v>25</v>
      </c>
      <c r="N1082" s="51">
        <v>25</v>
      </c>
      <c r="O1082" s="55" t="s">
        <v>216</v>
      </c>
      <c r="P1082" s="47"/>
      <c r="Q1082" s="47">
        <v>420</v>
      </c>
      <c r="R1082" s="47">
        <v>60</v>
      </c>
      <c r="S1082" s="47"/>
      <c r="T1082" s="47">
        <v>1</v>
      </c>
      <c r="U1082" s="47">
        <v>90</v>
      </c>
      <c r="V1082" s="47"/>
      <c r="W1082" s="51">
        <v>1</v>
      </c>
      <c r="Y1082" s="79">
        <v>8.8000000000000007</v>
      </c>
      <c r="Z1082" s="86" t="s">
        <v>66</v>
      </c>
    </row>
    <row r="1083" spans="1:27" s="51" customFormat="1" ht="23.1" customHeight="1" x14ac:dyDescent="0.25">
      <c r="A1083" s="53" t="s">
        <v>188</v>
      </c>
      <c r="B1083" s="47" t="s">
        <v>113</v>
      </c>
      <c r="C1083" s="47">
        <v>20</v>
      </c>
      <c r="D1083" s="47" t="s">
        <v>484</v>
      </c>
      <c r="E1083" s="41" t="s">
        <v>485</v>
      </c>
      <c r="F1083" s="41" t="s">
        <v>485</v>
      </c>
      <c r="G1083" s="21" t="str">
        <f>VLOOKUP(D1083,[6]成飞半成品!$A:$B,2,0)</f>
        <v>8635左隔框</v>
      </c>
      <c r="H1083" s="47" t="s">
        <v>300</v>
      </c>
      <c r="I1083" s="47">
        <v>6</v>
      </c>
      <c r="J1083" s="47"/>
      <c r="K1083" s="47"/>
      <c r="L1083" s="47">
        <v>1</v>
      </c>
      <c r="M1083" s="51">
        <v>25</v>
      </c>
      <c r="N1083" s="51">
        <v>25</v>
      </c>
      <c r="O1083" s="55" t="s">
        <v>216</v>
      </c>
      <c r="P1083" s="47">
        <v>60</v>
      </c>
      <c r="Q1083" s="47"/>
      <c r="R1083" s="47"/>
      <c r="S1083" s="47">
        <v>60</v>
      </c>
      <c r="T1083" s="47">
        <v>1</v>
      </c>
      <c r="U1083" s="47"/>
      <c r="V1083" s="47">
        <v>60</v>
      </c>
      <c r="W1083" s="51">
        <v>1</v>
      </c>
      <c r="Y1083" s="83">
        <v>3</v>
      </c>
      <c r="Z1083" s="86" t="s">
        <v>66</v>
      </c>
    </row>
    <row r="1084" spans="1:27" s="51" customFormat="1" ht="23.1" customHeight="1" x14ac:dyDescent="0.25">
      <c r="A1084" s="53" t="s">
        <v>188</v>
      </c>
      <c r="B1084" s="47" t="s">
        <v>113</v>
      </c>
      <c r="C1084" s="47">
        <v>20</v>
      </c>
      <c r="D1084" s="47" t="s">
        <v>484</v>
      </c>
      <c r="E1084" s="41" t="s">
        <v>485</v>
      </c>
      <c r="F1084" s="41" t="s">
        <v>485</v>
      </c>
      <c r="G1084" s="21" t="str">
        <f>VLOOKUP(D1084,[6]成飞半成品!$A:$B,2,0)</f>
        <v>8635左隔框</v>
      </c>
      <c r="H1084" s="47" t="s">
        <v>300</v>
      </c>
      <c r="I1084" s="47">
        <v>7</v>
      </c>
      <c r="J1084" s="47"/>
      <c r="K1084" s="47"/>
      <c r="L1084" s="47">
        <v>1</v>
      </c>
      <c r="M1084" s="51">
        <v>25</v>
      </c>
      <c r="N1084" s="51">
        <v>25</v>
      </c>
      <c r="O1084" s="55" t="s">
        <v>216</v>
      </c>
      <c r="P1084" s="47">
        <v>60</v>
      </c>
      <c r="Q1084" s="47"/>
      <c r="R1084" s="47"/>
      <c r="S1084" s="47">
        <v>60</v>
      </c>
      <c r="T1084" s="47">
        <v>1</v>
      </c>
      <c r="U1084" s="47"/>
      <c r="V1084" s="47">
        <v>60</v>
      </c>
      <c r="W1084" s="51">
        <v>1</v>
      </c>
      <c r="Y1084" s="83">
        <v>3</v>
      </c>
      <c r="Z1084" s="86" t="s">
        <v>66</v>
      </c>
    </row>
    <row r="1085" spans="1:27" s="51" customFormat="1" ht="23.1" customHeight="1" x14ac:dyDescent="0.25">
      <c r="A1085" s="53" t="s">
        <v>188</v>
      </c>
      <c r="B1085" s="47" t="s">
        <v>113</v>
      </c>
      <c r="C1085" s="47">
        <v>20</v>
      </c>
      <c r="D1085" s="47" t="s">
        <v>484</v>
      </c>
      <c r="E1085" s="41" t="s">
        <v>485</v>
      </c>
      <c r="F1085" s="41" t="s">
        <v>485</v>
      </c>
      <c r="G1085" s="21" t="str">
        <f>VLOOKUP(D1085,[6]成飞半成品!$A:$B,2,0)</f>
        <v>8635左隔框</v>
      </c>
      <c r="H1085" s="47" t="s">
        <v>300</v>
      </c>
      <c r="I1085" s="47">
        <v>8</v>
      </c>
      <c r="J1085" s="47"/>
      <c r="K1085" s="47"/>
      <c r="L1085" s="47">
        <v>1</v>
      </c>
      <c r="M1085" s="51">
        <v>25</v>
      </c>
      <c r="N1085" s="51">
        <v>25</v>
      </c>
      <c r="O1085" s="55" t="s">
        <v>216</v>
      </c>
      <c r="P1085" s="47">
        <v>60</v>
      </c>
      <c r="Q1085" s="47"/>
      <c r="R1085" s="47"/>
      <c r="S1085" s="47">
        <v>60</v>
      </c>
      <c r="T1085" s="47">
        <v>1</v>
      </c>
      <c r="U1085" s="47"/>
      <c r="V1085" s="47">
        <v>60</v>
      </c>
      <c r="W1085" s="51">
        <v>1</v>
      </c>
      <c r="Y1085" s="83">
        <v>3</v>
      </c>
      <c r="Z1085" s="86" t="s">
        <v>66</v>
      </c>
    </row>
    <row r="1086" spans="1:27" s="51" customFormat="1" ht="23.1" customHeight="1" x14ac:dyDescent="0.25">
      <c r="A1086" s="53" t="s">
        <v>188</v>
      </c>
      <c r="B1086" s="47" t="s">
        <v>113</v>
      </c>
      <c r="C1086" s="47">
        <v>20</v>
      </c>
      <c r="D1086" s="47" t="s">
        <v>484</v>
      </c>
      <c r="E1086" s="41" t="s">
        <v>485</v>
      </c>
      <c r="F1086" s="41" t="s">
        <v>485</v>
      </c>
      <c r="G1086" s="21" t="str">
        <f>VLOOKUP(D1086,[6]成飞半成品!$A:$B,2,0)</f>
        <v>8635左隔框</v>
      </c>
      <c r="H1086" s="47" t="s">
        <v>300</v>
      </c>
      <c r="I1086" s="47">
        <v>10</v>
      </c>
      <c r="J1086" s="47" t="s">
        <v>2136</v>
      </c>
      <c r="K1086" s="47"/>
      <c r="L1086" s="47">
        <v>1</v>
      </c>
      <c r="M1086" s="51">
        <v>25</v>
      </c>
      <c r="N1086" s="51">
        <v>25</v>
      </c>
      <c r="O1086" s="55" t="s">
        <v>216</v>
      </c>
      <c r="P1086" s="47"/>
      <c r="Q1086" s="47">
        <v>180</v>
      </c>
      <c r="R1086" s="47">
        <v>60</v>
      </c>
      <c r="S1086" s="47"/>
      <c r="T1086" s="47">
        <v>1</v>
      </c>
      <c r="U1086" s="47">
        <v>90</v>
      </c>
      <c r="V1086" s="47"/>
      <c r="W1086" s="51">
        <v>1</v>
      </c>
      <c r="Y1086" s="79">
        <v>5.5</v>
      </c>
      <c r="Z1086" s="86" t="s">
        <v>66</v>
      </c>
    </row>
    <row r="1087" spans="1:27" s="51" customFormat="1" ht="23.1" customHeight="1" x14ac:dyDescent="0.25">
      <c r="A1087" s="53" t="s">
        <v>188</v>
      </c>
      <c r="B1087" s="47" t="s">
        <v>113</v>
      </c>
      <c r="C1087" s="47">
        <v>83</v>
      </c>
      <c r="D1087" s="47" t="s">
        <v>1095</v>
      </c>
      <c r="E1087" s="41" t="s">
        <v>1096</v>
      </c>
      <c r="F1087" s="41" t="s">
        <v>1096</v>
      </c>
      <c r="G1087" s="21" t="str">
        <f>VLOOKUP(D1087,[6]成飞半成品!$A:$B,2,0)</f>
        <v>1150肋根肋</v>
      </c>
      <c r="H1087" s="47" t="s">
        <v>658</v>
      </c>
      <c r="I1087" s="47">
        <v>30</v>
      </c>
      <c r="J1087" s="47" t="s">
        <v>2304</v>
      </c>
      <c r="K1087" s="47">
        <v>1.3</v>
      </c>
      <c r="L1087" s="47">
        <v>1.5</v>
      </c>
      <c r="M1087" s="51">
        <v>25</v>
      </c>
      <c r="N1087" s="51">
        <v>25</v>
      </c>
      <c r="O1087" s="55" t="s">
        <v>282</v>
      </c>
      <c r="P1087" s="47"/>
      <c r="Q1087" s="47">
        <v>570</v>
      </c>
      <c r="R1087" s="47">
        <v>60</v>
      </c>
      <c r="S1087" s="47"/>
      <c r="T1087" s="47">
        <v>2</v>
      </c>
      <c r="U1087" s="47">
        <v>120</v>
      </c>
      <c r="V1087" s="47"/>
      <c r="Y1087" s="79">
        <v>16.3</v>
      </c>
      <c r="Z1087" s="86" t="s">
        <v>66</v>
      </c>
    </row>
    <row r="1088" spans="1:27" s="51" customFormat="1" ht="23.1" customHeight="1" x14ac:dyDescent="0.25">
      <c r="A1088" s="53" t="s">
        <v>188</v>
      </c>
      <c r="B1088" s="47" t="s">
        <v>113</v>
      </c>
      <c r="C1088" s="47">
        <v>97</v>
      </c>
      <c r="D1088" s="47" t="s">
        <v>830</v>
      </c>
      <c r="E1088" s="41" t="s">
        <v>1065</v>
      </c>
      <c r="F1088" s="41" t="s">
        <v>1065</v>
      </c>
      <c r="G1088" s="21" t="str">
        <f>VLOOKUP(D1088,[6]成飞半成品!$A:$B,2,0)</f>
        <v>根肋二段</v>
      </c>
      <c r="H1088" s="47" t="s">
        <v>250</v>
      </c>
      <c r="I1088" s="47">
        <v>50</v>
      </c>
      <c r="J1088" s="47" t="s">
        <v>2118</v>
      </c>
      <c r="K1088" s="47">
        <v>1</v>
      </c>
      <c r="L1088" s="47">
        <v>0.9</v>
      </c>
      <c r="M1088" s="51">
        <v>25</v>
      </c>
      <c r="N1088" s="51">
        <v>25</v>
      </c>
      <c r="O1088" s="55" t="s">
        <v>292</v>
      </c>
      <c r="P1088" s="47"/>
      <c r="Q1088" s="47">
        <v>420</v>
      </c>
      <c r="R1088" s="47">
        <v>60</v>
      </c>
      <c r="S1088" s="47"/>
      <c r="T1088" s="47"/>
      <c r="U1088" s="47">
        <v>90</v>
      </c>
      <c r="V1088" s="47"/>
      <c r="Y1088" s="79">
        <v>6.3</v>
      </c>
      <c r="Z1088" s="86" t="s">
        <v>66</v>
      </c>
    </row>
    <row r="1089" spans="1:27" s="51" customFormat="1" ht="23.1" customHeight="1" x14ac:dyDescent="0.25">
      <c r="A1089" s="53" t="s">
        <v>188</v>
      </c>
      <c r="B1089" s="47" t="s">
        <v>113</v>
      </c>
      <c r="C1089" s="47">
        <v>97</v>
      </c>
      <c r="D1089" s="47" t="s">
        <v>830</v>
      </c>
      <c r="E1089" s="41" t="s">
        <v>1065</v>
      </c>
      <c r="F1089" s="41" t="s">
        <v>1065</v>
      </c>
      <c r="G1089" s="21" t="str">
        <f>VLOOKUP(D1089,[6]成飞半成品!$A:$B,2,0)</f>
        <v>根肋二段</v>
      </c>
      <c r="H1089" s="47" t="s">
        <v>250</v>
      </c>
      <c r="I1089" s="47">
        <v>55</v>
      </c>
      <c r="J1089" s="47" t="s">
        <v>2119</v>
      </c>
      <c r="K1089" s="47">
        <v>1</v>
      </c>
      <c r="L1089" s="47">
        <v>1</v>
      </c>
      <c r="M1089" s="51">
        <v>25</v>
      </c>
      <c r="N1089" s="51">
        <v>25</v>
      </c>
      <c r="O1089" s="55" t="s">
        <v>292</v>
      </c>
      <c r="P1089" s="47"/>
      <c r="Q1089" s="47">
        <v>60</v>
      </c>
      <c r="R1089" s="47">
        <v>60</v>
      </c>
      <c r="S1089" s="47"/>
      <c r="T1089" s="47">
        <v>1</v>
      </c>
      <c r="U1089" s="47">
        <v>60</v>
      </c>
      <c r="V1089" s="47"/>
      <c r="W1089" s="51">
        <v>1</v>
      </c>
      <c r="Y1089" s="79">
        <v>3</v>
      </c>
      <c r="Z1089" s="86" t="s">
        <v>66</v>
      </c>
    </row>
    <row r="1090" spans="1:27" s="51" customFormat="1" ht="23.1" customHeight="1" x14ac:dyDescent="0.25">
      <c r="A1090" s="53" t="s">
        <v>188</v>
      </c>
      <c r="B1090" s="47" t="s">
        <v>113</v>
      </c>
      <c r="C1090" s="47">
        <v>100</v>
      </c>
      <c r="D1090" s="47" t="s">
        <v>643</v>
      </c>
      <c r="E1090" s="41" t="s">
        <v>644</v>
      </c>
      <c r="F1090" s="41" t="s">
        <v>644</v>
      </c>
      <c r="G1090" s="21" t="str">
        <f>VLOOKUP(D1090,[6]成飞半成品!$A:$B,2,0)</f>
        <v>辅助动力舱口盖前段</v>
      </c>
      <c r="H1090" s="47" t="s">
        <v>154</v>
      </c>
      <c r="I1090" s="47">
        <v>40</v>
      </c>
      <c r="J1090" s="47" t="s">
        <v>2120</v>
      </c>
      <c r="K1090" s="47">
        <v>0.25</v>
      </c>
      <c r="L1090" s="47">
        <v>0.25</v>
      </c>
      <c r="M1090" s="51">
        <v>25</v>
      </c>
      <c r="N1090" s="51">
        <v>25</v>
      </c>
      <c r="O1090" s="55" t="s">
        <v>419</v>
      </c>
      <c r="P1090" s="47"/>
      <c r="Q1090" s="47">
        <v>2640</v>
      </c>
      <c r="R1090" s="47">
        <v>90</v>
      </c>
      <c r="S1090" s="47"/>
      <c r="T1090" s="47"/>
      <c r="U1090" s="47">
        <v>180</v>
      </c>
      <c r="V1090" s="47"/>
      <c r="Y1090" s="79">
        <v>11</v>
      </c>
      <c r="Z1090" s="86" t="s">
        <v>66</v>
      </c>
    </row>
    <row r="1091" spans="1:27" s="51" customFormat="1" ht="23.1" customHeight="1" x14ac:dyDescent="0.25">
      <c r="A1091" s="53" t="s">
        <v>188</v>
      </c>
      <c r="B1091" s="47" t="s">
        <v>113</v>
      </c>
      <c r="C1091" s="47">
        <v>101</v>
      </c>
      <c r="D1091" s="47" t="s">
        <v>1099</v>
      </c>
      <c r="E1091" s="41" t="s">
        <v>760</v>
      </c>
      <c r="F1091" s="41" t="e">
        <v>#N/A</v>
      </c>
      <c r="G1091" s="21" t="e">
        <f>VLOOKUP(D1091,[6]成飞半成品!$A:$B,2,0)</f>
        <v>#N/A</v>
      </c>
      <c r="H1091" s="47" t="s">
        <v>300</v>
      </c>
      <c r="I1091" s="47">
        <v>30</v>
      </c>
      <c r="J1091" s="47" t="s">
        <v>2133</v>
      </c>
      <c r="K1091" s="47">
        <v>0.9</v>
      </c>
      <c r="L1091" s="47">
        <v>1</v>
      </c>
      <c r="M1091" s="51">
        <v>25</v>
      </c>
      <c r="N1091" s="51">
        <v>25</v>
      </c>
      <c r="O1091" s="55" t="s">
        <v>1004</v>
      </c>
      <c r="P1091" s="47"/>
      <c r="Q1091" s="47">
        <v>700</v>
      </c>
      <c r="R1091" s="47">
        <v>60</v>
      </c>
      <c r="S1091" s="47"/>
      <c r="T1091" s="47">
        <v>1</v>
      </c>
      <c r="U1091" s="47">
        <v>120</v>
      </c>
      <c r="V1091" s="47"/>
      <c r="Y1091" s="79">
        <v>12.7</v>
      </c>
      <c r="Z1091" s="86" t="s">
        <v>66</v>
      </c>
      <c r="AA1091" s="51" t="s">
        <v>1107</v>
      </c>
    </row>
    <row r="1092" spans="1:27" s="51" customFormat="1" ht="23.1" customHeight="1" x14ac:dyDescent="0.25">
      <c r="A1092" s="53" t="s">
        <v>188</v>
      </c>
      <c r="B1092" s="47" t="s">
        <v>113</v>
      </c>
      <c r="C1092" s="47">
        <v>102</v>
      </c>
      <c r="D1092" s="47" t="s">
        <v>1108</v>
      </c>
      <c r="E1092" s="41" t="s">
        <v>1109</v>
      </c>
      <c r="F1092" s="41" t="s">
        <v>1109</v>
      </c>
      <c r="G1092" s="21" t="str">
        <f>VLOOKUP(D1092,[6]成飞半成品!$A:$B,2,0)</f>
        <v>11900梁一段（左件）</v>
      </c>
      <c r="H1092" s="47" t="s">
        <v>658</v>
      </c>
      <c r="I1092" s="47">
        <v>40</v>
      </c>
      <c r="J1092" s="47" t="s">
        <v>2122</v>
      </c>
      <c r="K1092" s="47">
        <v>8</v>
      </c>
      <c r="L1092" s="47">
        <v>8</v>
      </c>
      <c r="M1092" s="51">
        <v>25</v>
      </c>
      <c r="N1092" s="51">
        <v>25</v>
      </c>
      <c r="O1092" s="55" t="s">
        <v>1110</v>
      </c>
      <c r="P1092" s="47"/>
      <c r="Q1092" s="47">
        <v>65</v>
      </c>
      <c r="R1092" s="47">
        <v>60</v>
      </c>
      <c r="S1092" s="47"/>
      <c r="T1092" s="47">
        <v>8</v>
      </c>
      <c r="U1092" s="47">
        <v>120</v>
      </c>
      <c r="V1092" s="47"/>
      <c r="W1092" s="51">
        <v>1</v>
      </c>
      <c r="Y1092" s="79">
        <v>18.7</v>
      </c>
      <c r="Z1092" s="86" t="s">
        <v>66</v>
      </c>
    </row>
    <row r="1093" spans="1:27" s="51" customFormat="1" ht="23.1" customHeight="1" x14ac:dyDescent="0.25">
      <c r="A1093" s="53" t="s">
        <v>188</v>
      </c>
      <c r="B1093" s="47" t="s">
        <v>113</v>
      </c>
      <c r="C1093" s="47">
        <v>102</v>
      </c>
      <c r="D1093" s="47" t="s">
        <v>1108</v>
      </c>
      <c r="E1093" s="41" t="s">
        <v>1109</v>
      </c>
      <c r="F1093" s="41" t="s">
        <v>1109</v>
      </c>
      <c r="G1093" s="21" t="str">
        <f>VLOOKUP(D1093,[6]成飞半成品!$A:$B,2,0)</f>
        <v>11900梁一段（左件）</v>
      </c>
      <c r="H1093" s="47" t="s">
        <v>658</v>
      </c>
      <c r="I1093" s="47">
        <v>40</v>
      </c>
      <c r="J1093" s="47" t="s">
        <v>2122</v>
      </c>
      <c r="K1093" s="47"/>
      <c r="L1093" s="47">
        <v>0.9</v>
      </c>
      <c r="M1093" s="51">
        <v>25</v>
      </c>
      <c r="N1093" s="51">
        <v>25</v>
      </c>
      <c r="O1093" s="55" t="s">
        <v>1069</v>
      </c>
      <c r="P1093" s="47"/>
      <c r="Q1093" s="47">
        <v>65</v>
      </c>
      <c r="R1093" s="47">
        <v>60</v>
      </c>
      <c r="S1093" s="47"/>
      <c r="T1093" s="47">
        <v>1</v>
      </c>
      <c r="U1093" s="47">
        <v>120</v>
      </c>
      <c r="V1093" s="47"/>
      <c r="W1093" s="51">
        <v>1</v>
      </c>
      <c r="Y1093" s="79">
        <v>4</v>
      </c>
      <c r="Z1093" s="86" t="s">
        <v>66</v>
      </c>
    </row>
    <row r="1094" spans="1:27" s="51" customFormat="1" ht="23.1" customHeight="1" x14ac:dyDescent="0.25">
      <c r="A1094" s="53" t="s">
        <v>188</v>
      </c>
      <c r="B1094" s="47" t="s">
        <v>113</v>
      </c>
      <c r="C1094" s="47">
        <v>106</v>
      </c>
      <c r="D1094" s="47" t="s">
        <v>1111</v>
      </c>
      <c r="E1094" s="41" t="s">
        <v>101</v>
      </c>
      <c r="F1094" s="41" t="s">
        <v>101</v>
      </c>
      <c r="G1094" s="21" t="str">
        <f>VLOOKUP(D1094,[6]成飞半成品!$A:$B,2,0)</f>
        <v>前梁一段</v>
      </c>
      <c r="H1094" s="47" t="s">
        <v>300</v>
      </c>
      <c r="I1094" s="47">
        <v>15</v>
      </c>
      <c r="J1094" s="47" t="s">
        <v>1868</v>
      </c>
      <c r="K1094" s="47">
        <v>0.5</v>
      </c>
      <c r="L1094" s="47">
        <v>0.4</v>
      </c>
      <c r="M1094" s="51">
        <v>25</v>
      </c>
      <c r="N1094" s="51">
        <v>25</v>
      </c>
      <c r="O1094" s="55" t="s">
        <v>247</v>
      </c>
      <c r="P1094" s="47"/>
      <c r="Q1094" s="47">
        <v>2150</v>
      </c>
      <c r="R1094" s="47">
        <v>180</v>
      </c>
      <c r="S1094" s="47"/>
      <c r="T1094" s="47">
        <v>1</v>
      </c>
      <c r="U1094" s="47">
        <v>180</v>
      </c>
      <c r="V1094" s="47"/>
      <c r="W1094" s="51">
        <v>1</v>
      </c>
      <c r="X1094" s="51">
        <v>3</v>
      </c>
      <c r="Y1094" s="79">
        <v>23.3</v>
      </c>
      <c r="Z1094" s="86" t="s">
        <v>66</v>
      </c>
      <c r="AA1094" s="51" t="s">
        <v>1078</v>
      </c>
    </row>
    <row r="1095" spans="1:27" s="51" customFormat="1" ht="23.1" customHeight="1" x14ac:dyDescent="0.25">
      <c r="A1095" s="53" t="s">
        <v>188</v>
      </c>
      <c r="B1095" s="47" t="s">
        <v>113</v>
      </c>
      <c r="C1095" s="47">
        <v>106</v>
      </c>
      <c r="D1095" s="47" t="s">
        <v>1070</v>
      </c>
      <c r="E1095" s="41" t="s">
        <v>101</v>
      </c>
      <c r="F1095" s="41" t="s">
        <v>101</v>
      </c>
      <c r="G1095" s="21" t="str">
        <f>VLOOKUP(D1095,[6]成飞半成品!$A:$B,2,0)</f>
        <v>前梁一段</v>
      </c>
      <c r="H1095" s="47" t="s">
        <v>300</v>
      </c>
      <c r="I1095" s="47">
        <v>15</v>
      </c>
      <c r="J1095" s="47" t="s">
        <v>1868</v>
      </c>
      <c r="K1095" s="47"/>
      <c r="L1095" s="47">
        <v>0.1</v>
      </c>
      <c r="M1095" s="51">
        <v>25</v>
      </c>
      <c r="N1095" s="51">
        <v>25</v>
      </c>
      <c r="O1095" s="55" t="s">
        <v>164</v>
      </c>
      <c r="P1095" s="47"/>
      <c r="Q1095" s="47">
        <v>2150</v>
      </c>
      <c r="R1095" s="47">
        <v>180</v>
      </c>
      <c r="S1095" s="47"/>
      <c r="T1095" s="47"/>
      <c r="U1095" s="47">
        <v>180</v>
      </c>
      <c r="V1095" s="47"/>
      <c r="X1095" s="51">
        <v>2</v>
      </c>
      <c r="Y1095" s="79">
        <v>5.6</v>
      </c>
      <c r="Z1095" s="86" t="s">
        <v>66</v>
      </c>
      <c r="AA1095" s="51" t="s">
        <v>953</v>
      </c>
    </row>
    <row r="1096" spans="1:27" s="51" customFormat="1" ht="23.1" customHeight="1" x14ac:dyDescent="0.25">
      <c r="A1096" s="53" t="s">
        <v>329</v>
      </c>
      <c r="B1096" s="47" t="s">
        <v>113</v>
      </c>
      <c r="C1096" s="47">
        <v>101</v>
      </c>
      <c r="D1096" s="47" t="s">
        <v>1099</v>
      </c>
      <c r="E1096" s="41" t="s">
        <v>760</v>
      </c>
      <c r="F1096" s="41" t="e">
        <v>#N/A</v>
      </c>
      <c r="G1096" s="21" t="e">
        <f>VLOOKUP(D1096,[6]成飞半成品!$A:$B,2,0)</f>
        <v>#N/A</v>
      </c>
      <c r="H1096" s="47" t="s">
        <v>300</v>
      </c>
      <c r="I1096" s="47">
        <v>30</v>
      </c>
      <c r="J1096" s="47" t="s">
        <v>2133</v>
      </c>
      <c r="K1096" s="47">
        <v>0.9</v>
      </c>
      <c r="L1096" s="47">
        <v>1.5</v>
      </c>
      <c r="M1096" s="51">
        <v>25</v>
      </c>
      <c r="N1096" s="51">
        <v>25</v>
      </c>
      <c r="O1096" s="55" t="s">
        <v>1112</v>
      </c>
      <c r="P1096" s="47"/>
      <c r="Q1096" s="47">
        <v>700</v>
      </c>
      <c r="R1096" s="47">
        <v>60</v>
      </c>
      <c r="S1096" s="47"/>
      <c r="T1096" s="47">
        <v>1</v>
      </c>
      <c r="U1096" s="47">
        <v>120</v>
      </c>
      <c r="V1096" s="47"/>
      <c r="Y1096" s="79">
        <v>18.5</v>
      </c>
      <c r="Z1096" s="86" t="s">
        <v>66</v>
      </c>
    </row>
    <row r="1097" spans="1:27" s="51" customFormat="1" ht="23.1" customHeight="1" x14ac:dyDescent="0.25">
      <c r="A1097" s="53" t="s">
        <v>329</v>
      </c>
      <c r="B1097" s="47" t="s">
        <v>113</v>
      </c>
      <c r="C1097" s="47">
        <v>100</v>
      </c>
      <c r="D1097" s="47" t="s">
        <v>643</v>
      </c>
      <c r="E1097" s="41" t="s">
        <v>644</v>
      </c>
      <c r="F1097" s="41" t="s">
        <v>644</v>
      </c>
      <c r="G1097" s="21" t="str">
        <f>VLOOKUP(D1097,[6]成飞半成品!$A:$B,2,0)</f>
        <v>辅助动力舱口盖前段</v>
      </c>
      <c r="H1097" s="47" t="s">
        <v>154</v>
      </c>
      <c r="I1097" s="47">
        <v>40</v>
      </c>
      <c r="J1097" s="47" t="s">
        <v>2120</v>
      </c>
      <c r="K1097" s="47">
        <v>0.25</v>
      </c>
      <c r="L1097" s="47">
        <v>0.25</v>
      </c>
      <c r="M1097" s="51">
        <v>25</v>
      </c>
      <c r="N1097" s="51">
        <v>25</v>
      </c>
      <c r="O1097" s="55" t="s">
        <v>399</v>
      </c>
      <c r="P1097" s="47"/>
      <c r="Q1097" s="47">
        <v>2640</v>
      </c>
      <c r="R1097" s="47">
        <v>90</v>
      </c>
      <c r="S1097" s="47"/>
      <c r="T1097" s="47"/>
      <c r="U1097" s="47">
        <v>180</v>
      </c>
      <c r="V1097" s="47"/>
      <c r="Y1097" s="79">
        <v>11</v>
      </c>
      <c r="Z1097" s="86" t="s">
        <v>66</v>
      </c>
    </row>
    <row r="1098" spans="1:27" s="51" customFormat="1" ht="23.1" customHeight="1" x14ac:dyDescent="0.25">
      <c r="A1098" s="53" t="s">
        <v>329</v>
      </c>
      <c r="B1098" s="47" t="s">
        <v>113</v>
      </c>
      <c r="C1098" s="47">
        <v>102</v>
      </c>
      <c r="D1098" s="47" t="s">
        <v>1067</v>
      </c>
      <c r="E1098" s="41" t="s">
        <v>1068</v>
      </c>
      <c r="F1098" s="41" t="s">
        <v>1068</v>
      </c>
      <c r="G1098" s="21" t="str">
        <f>VLOOKUP(D1098,[6]成飞半成品!$A:$B,2,0)</f>
        <v>11900梁一段（右件）</v>
      </c>
      <c r="H1098" s="47" t="s">
        <v>323</v>
      </c>
      <c r="I1098" s="47">
        <v>45</v>
      </c>
      <c r="J1098" s="47" t="s">
        <v>2138</v>
      </c>
      <c r="K1098" s="47">
        <v>0.6</v>
      </c>
      <c r="L1098" s="47">
        <v>0.8</v>
      </c>
      <c r="M1098" s="51">
        <v>25</v>
      </c>
      <c r="N1098" s="51">
        <v>25</v>
      </c>
      <c r="O1098" s="55" t="s">
        <v>316</v>
      </c>
      <c r="P1098" s="47"/>
      <c r="Q1098" s="47">
        <v>1080</v>
      </c>
      <c r="R1098" s="47">
        <v>60</v>
      </c>
      <c r="S1098" s="47"/>
      <c r="T1098" s="47">
        <v>1</v>
      </c>
      <c r="U1098" s="47">
        <v>150</v>
      </c>
      <c r="V1098" s="47"/>
      <c r="W1098" s="51">
        <v>1</v>
      </c>
      <c r="Y1098" s="79">
        <v>17.899999999999999</v>
      </c>
      <c r="Z1098" s="86" t="s">
        <v>67</v>
      </c>
    </row>
    <row r="1099" spans="1:27" s="51" customFormat="1" ht="23.1" customHeight="1" x14ac:dyDescent="0.25">
      <c r="A1099" s="53" t="s">
        <v>329</v>
      </c>
      <c r="B1099" s="47" t="s">
        <v>113</v>
      </c>
      <c r="C1099" s="47">
        <v>97</v>
      </c>
      <c r="D1099" s="47" t="s">
        <v>830</v>
      </c>
      <c r="E1099" s="41" t="s">
        <v>1065</v>
      </c>
      <c r="F1099" s="41" t="s">
        <v>1065</v>
      </c>
      <c r="G1099" s="21" t="str">
        <f>VLOOKUP(D1099,[6]成飞半成品!$A:$B,2,0)</f>
        <v>根肋二段</v>
      </c>
      <c r="H1099" s="47" t="s">
        <v>250</v>
      </c>
      <c r="I1099" s="47">
        <v>50</v>
      </c>
      <c r="J1099" s="47" t="s">
        <v>2118</v>
      </c>
      <c r="K1099" s="47">
        <v>1</v>
      </c>
      <c r="L1099" s="47">
        <v>1.7</v>
      </c>
      <c r="M1099" s="51">
        <v>25</v>
      </c>
      <c r="N1099" s="51">
        <v>25</v>
      </c>
      <c r="O1099" s="55" t="s">
        <v>1077</v>
      </c>
      <c r="P1099" s="47"/>
      <c r="Q1099" s="47">
        <v>420</v>
      </c>
      <c r="R1099" s="47">
        <v>60</v>
      </c>
      <c r="S1099" s="47"/>
      <c r="T1099" s="47">
        <v>1</v>
      </c>
      <c r="U1099" s="47">
        <v>90</v>
      </c>
      <c r="V1099" s="47"/>
      <c r="Y1099" s="79">
        <v>12.9</v>
      </c>
      <c r="Z1099" s="86" t="s">
        <v>67</v>
      </c>
    </row>
    <row r="1100" spans="1:27" s="51" customFormat="1" ht="23.1" customHeight="1" x14ac:dyDescent="0.25">
      <c r="A1100" s="53" t="s">
        <v>329</v>
      </c>
      <c r="B1100" s="47" t="s">
        <v>113</v>
      </c>
      <c r="C1100" s="47">
        <v>97</v>
      </c>
      <c r="D1100" s="47" t="s">
        <v>830</v>
      </c>
      <c r="E1100" s="41" t="s">
        <v>1065</v>
      </c>
      <c r="F1100" s="41" t="s">
        <v>1065</v>
      </c>
      <c r="G1100" s="21" t="str">
        <f>VLOOKUP(D1100,[6]成飞半成品!$A:$B,2,0)</f>
        <v>根肋二段</v>
      </c>
      <c r="H1100" s="47" t="s">
        <v>250</v>
      </c>
      <c r="I1100" s="47">
        <v>55</v>
      </c>
      <c r="J1100" s="47" t="s">
        <v>2119</v>
      </c>
      <c r="K1100" s="47">
        <v>1</v>
      </c>
      <c r="L1100" s="47">
        <v>1</v>
      </c>
      <c r="M1100" s="51">
        <v>25</v>
      </c>
      <c r="N1100" s="51">
        <v>25</v>
      </c>
      <c r="O1100" s="55" t="s">
        <v>1077</v>
      </c>
      <c r="P1100" s="47"/>
      <c r="Q1100" s="47">
        <v>60</v>
      </c>
      <c r="R1100" s="47">
        <v>60</v>
      </c>
      <c r="S1100" s="47"/>
      <c r="T1100" s="47">
        <v>1</v>
      </c>
      <c r="U1100" s="47">
        <v>60</v>
      </c>
      <c r="V1100" s="47"/>
      <c r="Y1100" s="79">
        <v>2</v>
      </c>
      <c r="Z1100" s="86" t="s">
        <v>67</v>
      </c>
    </row>
    <row r="1101" spans="1:27" s="51" customFormat="1" ht="23.1" customHeight="1" x14ac:dyDescent="0.25">
      <c r="A1101" s="53" t="s">
        <v>329</v>
      </c>
      <c r="B1101" s="47" t="s">
        <v>113</v>
      </c>
      <c r="C1101" s="47">
        <v>83</v>
      </c>
      <c r="D1101" s="47" t="s">
        <v>1095</v>
      </c>
      <c r="E1101" s="41" t="s">
        <v>1096</v>
      </c>
      <c r="F1101" s="41" t="s">
        <v>1096</v>
      </c>
      <c r="G1101" s="21" t="str">
        <f>VLOOKUP(D1101,[6]成飞半成品!$A:$B,2,0)</f>
        <v>1150肋根肋</v>
      </c>
      <c r="H1101" s="47" t="s">
        <v>658</v>
      </c>
      <c r="I1101" s="47">
        <v>35</v>
      </c>
      <c r="J1101" s="47" t="s">
        <v>2139</v>
      </c>
      <c r="K1101" s="47">
        <v>1</v>
      </c>
      <c r="L1101" s="47">
        <v>1.5</v>
      </c>
      <c r="M1101" s="51">
        <v>25</v>
      </c>
      <c r="N1101" s="51">
        <v>25</v>
      </c>
      <c r="O1101" s="55" t="s">
        <v>282</v>
      </c>
      <c r="P1101" s="47"/>
      <c r="Q1101" s="47">
        <v>600</v>
      </c>
      <c r="R1101" s="47">
        <v>60</v>
      </c>
      <c r="S1101" s="47"/>
      <c r="T1101" s="47">
        <v>2</v>
      </c>
      <c r="U1101" s="47">
        <v>120</v>
      </c>
      <c r="V1101" s="47"/>
      <c r="W1101" s="51">
        <v>1</v>
      </c>
      <c r="Y1101" s="79">
        <v>19</v>
      </c>
      <c r="Z1101" s="86" t="s">
        <v>67</v>
      </c>
    </row>
    <row r="1102" spans="1:27" s="51" customFormat="1" ht="23.1" customHeight="1" x14ac:dyDescent="0.25">
      <c r="A1102" s="53" t="s">
        <v>329</v>
      </c>
      <c r="B1102" s="47" t="s">
        <v>113</v>
      </c>
      <c r="C1102" s="47">
        <v>106</v>
      </c>
      <c r="D1102" s="47" t="s">
        <v>1070</v>
      </c>
      <c r="E1102" s="41" t="s">
        <v>101</v>
      </c>
      <c r="F1102" s="41" t="s">
        <v>101</v>
      </c>
      <c r="G1102" s="21" t="str">
        <f>VLOOKUP(D1102,[6]成飞半成品!$A:$B,2,0)</f>
        <v>前梁一段</v>
      </c>
      <c r="H1102" s="47" t="s">
        <v>300</v>
      </c>
      <c r="I1102" s="47">
        <v>15</v>
      </c>
      <c r="J1102" s="47" t="s">
        <v>1868</v>
      </c>
      <c r="K1102" s="47">
        <v>0.5</v>
      </c>
      <c r="L1102" s="47">
        <v>0.5</v>
      </c>
      <c r="M1102" s="51">
        <v>25</v>
      </c>
      <c r="N1102" s="51">
        <v>25</v>
      </c>
      <c r="O1102" s="55" t="s">
        <v>476</v>
      </c>
      <c r="P1102" s="47"/>
      <c r="Q1102" s="47">
        <v>2150</v>
      </c>
      <c r="R1102" s="47">
        <v>180</v>
      </c>
      <c r="S1102" s="47"/>
      <c r="T1102" s="47">
        <v>1</v>
      </c>
      <c r="U1102" s="47">
        <v>180</v>
      </c>
      <c r="V1102" s="47"/>
      <c r="Y1102" s="79">
        <v>20.9</v>
      </c>
      <c r="Z1102" s="86" t="s">
        <v>67</v>
      </c>
    </row>
    <row r="1103" spans="1:27" s="51" customFormat="1" ht="23.1" customHeight="1" x14ac:dyDescent="0.25">
      <c r="A1103" s="53" t="s">
        <v>329</v>
      </c>
      <c r="B1103" s="47" t="s">
        <v>113</v>
      </c>
      <c r="C1103" s="47">
        <v>20</v>
      </c>
      <c r="D1103" s="47" t="s">
        <v>484</v>
      </c>
      <c r="E1103" s="41" t="s">
        <v>485</v>
      </c>
      <c r="F1103" s="41" t="s">
        <v>485</v>
      </c>
      <c r="G1103" s="21" t="str">
        <f>VLOOKUP(D1103,[6]成飞半成品!$A:$B,2,0)</f>
        <v>8635左隔框</v>
      </c>
      <c r="H1103" s="47" t="s">
        <v>300</v>
      </c>
      <c r="I1103" s="47">
        <v>25</v>
      </c>
      <c r="J1103" s="47" t="s">
        <v>2140</v>
      </c>
      <c r="K1103" s="47">
        <v>0.7</v>
      </c>
      <c r="L1103" s="47">
        <v>0.6</v>
      </c>
      <c r="M1103" s="51">
        <v>25</v>
      </c>
      <c r="N1103" s="51">
        <v>25</v>
      </c>
      <c r="O1103" s="55" t="s">
        <v>216</v>
      </c>
      <c r="P1103" s="47"/>
      <c r="Q1103" s="47">
        <v>660</v>
      </c>
      <c r="R1103" s="47">
        <v>60</v>
      </c>
      <c r="S1103" s="47"/>
      <c r="T1103" s="47"/>
      <c r="U1103" s="47">
        <v>180</v>
      </c>
      <c r="V1103" s="47"/>
      <c r="Y1103" s="79">
        <v>6.6</v>
      </c>
      <c r="Z1103" s="86" t="s">
        <v>67</v>
      </c>
    </row>
    <row r="1104" spans="1:27" s="51" customFormat="1" ht="23.1" customHeight="1" x14ac:dyDescent="0.25">
      <c r="A1104" s="53" t="s">
        <v>329</v>
      </c>
      <c r="B1104" s="47" t="s">
        <v>113</v>
      </c>
      <c r="C1104" s="47">
        <v>20</v>
      </c>
      <c r="D1104" s="47" t="s">
        <v>484</v>
      </c>
      <c r="E1104" s="41" t="s">
        <v>485</v>
      </c>
      <c r="F1104" s="41" t="s">
        <v>485</v>
      </c>
      <c r="G1104" s="21" t="str">
        <f>VLOOKUP(D1104,[6]成飞半成品!$A:$B,2,0)</f>
        <v>8635左隔框</v>
      </c>
      <c r="H1104" s="47" t="s">
        <v>300</v>
      </c>
      <c r="I1104" s="47">
        <v>10</v>
      </c>
      <c r="J1104" s="47" t="s">
        <v>2136</v>
      </c>
      <c r="K1104" s="47">
        <v>1</v>
      </c>
      <c r="L1104" s="47">
        <v>1.9</v>
      </c>
      <c r="M1104" s="51">
        <v>25</v>
      </c>
      <c r="N1104" s="51">
        <v>25</v>
      </c>
      <c r="O1104" s="55" t="s">
        <v>1113</v>
      </c>
      <c r="P1104" s="47"/>
      <c r="Q1104" s="47">
        <v>180</v>
      </c>
      <c r="R1104" s="47">
        <v>60</v>
      </c>
      <c r="S1104" s="47"/>
      <c r="T1104" s="47">
        <v>2</v>
      </c>
      <c r="U1104" s="47">
        <v>90</v>
      </c>
      <c r="V1104" s="47"/>
      <c r="W1104" s="51">
        <v>1</v>
      </c>
      <c r="Y1104" s="79">
        <v>9.1999999999999993</v>
      </c>
      <c r="Z1104" s="86" t="s">
        <v>67</v>
      </c>
    </row>
    <row r="1105" spans="1:27" s="51" customFormat="1" ht="23.1" customHeight="1" x14ac:dyDescent="0.25">
      <c r="A1105" s="53" t="s">
        <v>329</v>
      </c>
      <c r="B1105" s="47" t="s">
        <v>113</v>
      </c>
      <c r="C1105" s="47">
        <v>98</v>
      </c>
      <c r="D1105" s="47" t="s">
        <v>481</v>
      </c>
      <c r="E1105" s="41" t="s">
        <v>482</v>
      </c>
      <c r="F1105" s="41" t="s">
        <v>482</v>
      </c>
      <c r="G1105" s="21" t="str">
        <f>VLOOKUP(D1105,[6]成飞半成品!$A:$B,2,0)</f>
        <v>11140框左下半框</v>
      </c>
      <c r="H1105" s="47" t="s">
        <v>118</v>
      </c>
      <c r="I1105" s="47">
        <v>13</v>
      </c>
      <c r="J1105" s="47"/>
      <c r="K1105" s="47">
        <v>2.5</v>
      </c>
      <c r="L1105" s="47">
        <v>2.7</v>
      </c>
      <c r="M1105" s="51">
        <v>25</v>
      </c>
      <c r="N1105" s="51">
        <v>25</v>
      </c>
      <c r="O1105" s="55" t="s">
        <v>1114</v>
      </c>
      <c r="P1105" s="47">
        <v>300</v>
      </c>
      <c r="Q1105" s="47"/>
      <c r="R1105" s="47"/>
      <c r="S1105" s="47">
        <v>60</v>
      </c>
      <c r="T1105" s="47">
        <v>2</v>
      </c>
      <c r="U1105" s="47"/>
      <c r="V1105" s="47"/>
      <c r="Y1105" s="83">
        <v>15.5</v>
      </c>
      <c r="Z1105" s="86" t="s">
        <v>1</v>
      </c>
    </row>
    <row r="1106" spans="1:27" s="51" customFormat="1" ht="23.1" customHeight="1" x14ac:dyDescent="0.25">
      <c r="A1106" s="53" t="s">
        <v>329</v>
      </c>
      <c r="B1106" s="47" t="s">
        <v>113</v>
      </c>
      <c r="C1106" s="47">
        <v>99</v>
      </c>
      <c r="D1106" s="47" t="s">
        <v>1091</v>
      </c>
      <c r="E1106" s="41" t="s">
        <v>1092</v>
      </c>
      <c r="F1106" s="41" t="s">
        <v>1092</v>
      </c>
      <c r="G1106" s="21" t="str">
        <f>VLOOKUP(D1106,[6]成飞半成品!$A:$B,2,0)</f>
        <v>氧气瓶支架</v>
      </c>
      <c r="H1106" s="47" t="s">
        <v>118</v>
      </c>
      <c r="I1106" s="47">
        <v>35</v>
      </c>
      <c r="J1106" s="47" t="s">
        <v>2141</v>
      </c>
      <c r="K1106" s="47">
        <v>1.5</v>
      </c>
      <c r="L1106" s="47">
        <v>1.9</v>
      </c>
      <c r="M1106" s="51">
        <v>25</v>
      </c>
      <c r="N1106" s="51">
        <v>25</v>
      </c>
      <c r="O1106" s="55" t="s">
        <v>1115</v>
      </c>
      <c r="P1106" s="47"/>
      <c r="Q1106" s="47">
        <v>480</v>
      </c>
      <c r="R1106" s="47">
        <v>60</v>
      </c>
      <c r="S1106" s="47"/>
      <c r="T1106" s="47">
        <v>2</v>
      </c>
      <c r="U1106" s="47">
        <v>120</v>
      </c>
      <c r="V1106" s="47"/>
      <c r="W1106" s="51">
        <v>1</v>
      </c>
      <c r="Y1106" s="79">
        <v>19.2</v>
      </c>
      <c r="Z1106" s="86" t="s">
        <v>21</v>
      </c>
    </row>
    <row r="1107" spans="1:27" s="51" customFormat="1" ht="23.1" customHeight="1" x14ac:dyDescent="0.25">
      <c r="A1107" s="53" t="s">
        <v>329</v>
      </c>
      <c r="B1107" s="47" t="s">
        <v>113</v>
      </c>
      <c r="C1107" s="47">
        <v>103</v>
      </c>
      <c r="D1107" s="47" t="s">
        <v>738</v>
      </c>
      <c r="E1107" s="41" t="s">
        <v>739</v>
      </c>
      <c r="F1107" s="41" t="s">
        <v>739</v>
      </c>
      <c r="G1107" s="21" t="str">
        <f>VLOOKUP(D1107,[6]成飞半成品!$A:$B,2,0)</f>
        <v>BL280侧壁（右件）</v>
      </c>
      <c r="H1107" s="47" t="s">
        <v>107</v>
      </c>
      <c r="I1107" s="47">
        <v>15</v>
      </c>
      <c r="J1107" s="47" t="s">
        <v>2142</v>
      </c>
      <c r="K1107" s="47">
        <v>2</v>
      </c>
      <c r="L1107" s="47">
        <v>2</v>
      </c>
      <c r="M1107" s="51">
        <v>25</v>
      </c>
      <c r="N1107" s="51">
        <v>25</v>
      </c>
      <c r="O1107" s="55" t="s">
        <v>1106</v>
      </c>
      <c r="P1107" s="47"/>
      <c r="Q1107" s="47">
        <v>480</v>
      </c>
      <c r="R1107" s="47">
        <v>60</v>
      </c>
      <c r="S1107" s="47"/>
      <c r="T1107" s="47">
        <v>2</v>
      </c>
      <c r="U1107" s="47">
        <v>120</v>
      </c>
      <c r="V1107" s="47"/>
      <c r="Y1107" s="79">
        <v>18</v>
      </c>
      <c r="Z1107" s="86" t="s">
        <v>62</v>
      </c>
    </row>
    <row r="1108" spans="1:27" s="51" customFormat="1" ht="23.1" customHeight="1" x14ac:dyDescent="0.25">
      <c r="A1108" s="53" t="s">
        <v>329</v>
      </c>
      <c r="B1108" s="47" t="s">
        <v>113</v>
      </c>
      <c r="C1108" s="47">
        <v>44</v>
      </c>
      <c r="D1108" s="47" t="s">
        <v>1074</v>
      </c>
      <c r="E1108" s="41" t="s">
        <v>1075</v>
      </c>
      <c r="F1108" s="41" t="s">
        <v>1075</v>
      </c>
      <c r="G1108" s="21" t="str">
        <f>VLOOKUP(D1108,[6]成飞半成品!$A:$B,2,0)</f>
        <v>油箱底板（中）</v>
      </c>
      <c r="H1108" s="47" t="s">
        <v>154</v>
      </c>
      <c r="I1108" s="47">
        <v>45</v>
      </c>
      <c r="J1108" s="47" t="s">
        <v>2125</v>
      </c>
      <c r="K1108" s="47">
        <v>1</v>
      </c>
      <c r="L1108" s="47">
        <v>1.3</v>
      </c>
      <c r="M1108" s="51">
        <v>25</v>
      </c>
      <c r="N1108" s="51">
        <v>25</v>
      </c>
      <c r="O1108" s="55" t="s">
        <v>247</v>
      </c>
      <c r="P1108" s="47"/>
      <c r="Q1108" s="47">
        <v>600</v>
      </c>
      <c r="R1108" s="47"/>
      <c r="S1108" s="47"/>
      <c r="T1108" s="47">
        <v>2</v>
      </c>
      <c r="U1108" s="47">
        <v>120</v>
      </c>
      <c r="V1108" s="47"/>
      <c r="W1108" s="51">
        <v>1</v>
      </c>
      <c r="Y1108" s="79">
        <v>15</v>
      </c>
      <c r="Z1108" s="86" t="s">
        <v>56</v>
      </c>
      <c r="AA1108" s="51" t="s">
        <v>1116</v>
      </c>
    </row>
    <row r="1109" spans="1:27" s="51" customFormat="1" ht="23.1" customHeight="1" x14ac:dyDescent="0.25">
      <c r="A1109" s="53" t="s">
        <v>329</v>
      </c>
      <c r="B1109" s="47" t="s">
        <v>113</v>
      </c>
      <c r="C1109" s="47">
        <v>19</v>
      </c>
      <c r="D1109" s="47" t="s">
        <v>1071</v>
      </c>
      <c r="E1109" s="41" t="s">
        <v>1072</v>
      </c>
      <c r="F1109" s="41" t="e">
        <v>#N/A</v>
      </c>
      <c r="G1109" s="21" t="e">
        <f>VLOOKUP(D1109,[6]成飞半成品!$A:$B,2,0)</f>
        <v>#N/A</v>
      </c>
      <c r="H1109" s="47" t="s">
        <v>250</v>
      </c>
      <c r="I1109" s="47">
        <v>25</v>
      </c>
      <c r="J1109" s="47" t="s">
        <v>2143</v>
      </c>
      <c r="K1109" s="47">
        <v>0.4</v>
      </c>
      <c r="L1109" s="47">
        <v>0.2</v>
      </c>
      <c r="M1109" s="51">
        <v>25</v>
      </c>
      <c r="N1109" s="51">
        <v>25</v>
      </c>
      <c r="O1109" s="55" t="s">
        <v>1117</v>
      </c>
      <c r="P1109" s="47"/>
      <c r="Q1109" s="47">
        <v>360</v>
      </c>
      <c r="R1109" s="47">
        <v>90</v>
      </c>
      <c r="S1109" s="47"/>
      <c r="T1109" s="47"/>
      <c r="U1109" s="47">
        <v>60</v>
      </c>
      <c r="V1109" s="47"/>
      <c r="Y1109" s="79">
        <v>1.2</v>
      </c>
      <c r="Z1109" s="86" t="s">
        <v>11</v>
      </c>
    </row>
    <row r="1110" spans="1:27" s="51" customFormat="1" ht="23.1" customHeight="1" x14ac:dyDescent="0.25">
      <c r="A1110" s="53" t="s">
        <v>329</v>
      </c>
      <c r="B1110" s="47" t="s">
        <v>113</v>
      </c>
      <c r="C1110" s="47">
        <v>19</v>
      </c>
      <c r="D1110" s="47" t="s">
        <v>1071</v>
      </c>
      <c r="E1110" s="41" t="s">
        <v>1072</v>
      </c>
      <c r="F1110" s="41" t="e">
        <v>#N/A</v>
      </c>
      <c r="G1110" s="21" t="e">
        <f>VLOOKUP(D1110,[6]成飞半成品!$A:$B,2,0)</f>
        <v>#N/A</v>
      </c>
      <c r="H1110" s="47" t="s">
        <v>250</v>
      </c>
      <c r="I1110" s="47">
        <v>30</v>
      </c>
      <c r="J1110" s="47" t="s">
        <v>2123</v>
      </c>
      <c r="K1110" s="47">
        <v>0.7</v>
      </c>
      <c r="L1110" s="47">
        <v>0.47</v>
      </c>
      <c r="M1110" s="51">
        <v>25</v>
      </c>
      <c r="N1110" s="51">
        <v>25</v>
      </c>
      <c r="O1110" s="55" t="s">
        <v>1117</v>
      </c>
      <c r="P1110" s="47"/>
      <c r="Q1110" s="47">
        <v>650</v>
      </c>
      <c r="R1110" s="47">
        <v>90</v>
      </c>
      <c r="S1110" s="47"/>
      <c r="T1110" s="47">
        <v>1</v>
      </c>
      <c r="U1110" s="47">
        <v>60</v>
      </c>
      <c r="V1110" s="47"/>
      <c r="W1110" s="51">
        <v>1</v>
      </c>
      <c r="Y1110" s="79">
        <v>7.6</v>
      </c>
      <c r="Z1110" s="86" t="s">
        <v>11</v>
      </c>
    </row>
    <row r="1111" spans="1:27" s="51" customFormat="1" ht="23.1" customHeight="1" x14ac:dyDescent="0.25">
      <c r="A1111" s="53" t="s">
        <v>329</v>
      </c>
      <c r="B1111" s="47" t="s">
        <v>113</v>
      </c>
      <c r="C1111" s="47">
        <v>105</v>
      </c>
      <c r="D1111" s="47" t="s">
        <v>1097</v>
      </c>
      <c r="E1111" s="41" t="s">
        <v>1098</v>
      </c>
      <c r="F1111" s="41" t="s">
        <v>1098</v>
      </c>
      <c r="G1111" s="21" t="str">
        <f>VLOOKUP(D1111,[6]成飞半成品!$A:$B,2,0)</f>
        <v>根肋一段</v>
      </c>
      <c r="H1111" s="47" t="s">
        <v>250</v>
      </c>
      <c r="I1111" s="47">
        <v>20</v>
      </c>
      <c r="J1111" s="47" t="s">
        <v>2132</v>
      </c>
      <c r="K1111" s="47">
        <v>0.8</v>
      </c>
      <c r="L1111" s="47">
        <v>1.1000000000000001</v>
      </c>
      <c r="M1111" s="51">
        <v>25</v>
      </c>
      <c r="N1111" s="51">
        <v>25</v>
      </c>
      <c r="O1111" s="55" t="s">
        <v>292</v>
      </c>
      <c r="P1111" s="47"/>
      <c r="Q1111" s="47">
        <v>770</v>
      </c>
      <c r="R1111" s="47">
        <v>60</v>
      </c>
      <c r="S1111" s="47"/>
      <c r="T1111" s="47">
        <v>1</v>
      </c>
      <c r="U1111" s="47">
        <v>90</v>
      </c>
      <c r="V1111" s="47"/>
      <c r="Y1111" s="79">
        <v>15.1</v>
      </c>
      <c r="Z1111" s="86" t="s">
        <v>28</v>
      </c>
    </row>
    <row r="1112" spans="1:27" s="51" customFormat="1" ht="23.1" customHeight="1" x14ac:dyDescent="0.25">
      <c r="A1112" s="53" t="s">
        <v>329</v>
      </c>
      <c r="B1112" s="47" t="s">
        <v>110</v>
      </c>
      <c r="C1112" s="47">
        <v>98</v>
      </c>
      <c r="D1112" s="47" t="s">
        <v>481</v>
      </c>
      <c r="E1112" s="41" t="s">
        <v>482</v>
      </c>
      <c r="F1112" s="41" t="s">
        <v>482</v>
      </c>
      <c r="G1112" s="21" t="str">
        <f>VLOOKUP(D1112,[6]成飞半成品!$A:$B,2,0)</f>
        <v>11140框左下半框</v>
      </c>
      <c r="H1112" s="47" t="s">
        <v>118</v>
      </c>
      <c r="I1112" s="47">
        <v>13</v>
      </c>
      <c r="J1112" s="47"/>
      <c r="K1112" s="47">
        <v>2.5</v>
      </c>
      <c r="L1112" s="47">
        <v>1.2</v>
      </c>
      <c r="M1112" s="51">
        <v>32</v>
      </c>
      <c r="N1112" s="51">
        <v>32</v>
      </c>
      <c r="O1112" s="55" t="s">
        <v>1118</v>
      </c>
      <c r="P1112" s="47">
        <v>300</v>
      </c>
      <c r="Q1112" s="47"/>
      <c r="R1112" s="47"/>
      <c r="S1112" s="47">
        <v>60</v>
      </c>
      <c r="T1112" s="47">
        <v>2</v>
      </c>
      <c r="U1112" s="47"/>
      <c r="V1112" s="47">
        <v>120</v>
      </c>
      <c r="W1112" s="51">
        <v>1</v>
      </c>
      <c r="Y1112" s="83">
        <v>10</v>
      </c>
      <c r="Z1112" s="86" t="s">
        <v>39</v>
      </c>
    </row>
    <row r="1113" spans="1:27" s="51" customFormat="1" ht="23.1" customHeight="1" x14ac:dyDescent="0.25">
      <c r="A1113" s="53" t="s">
        <v>329</v>
      </c>
      <c r="B1113" s="47" t="s">
        <v>110</v>
      </c>
      <c r="C1113" s="47">
        <v>98</v>
      </c>
      <c r="D1113" s="47" t="s">
        <v>404</v>
      </c>
      <c r="E1113" s="41" t="s">
        <v>405</v>
      </c>
      <c r="F1113" s="41" t="s">
        <v>405</v>
      </c>
      <c r="G1113" s="21" t="str">
        <f>VLOOKUP(D1113,[6]成飞半成品!$A:$B,2,0)</f>
        <v>11140框右下半框</v>
      </c>
      <c r="H1113" s="47" t="s">
        <v>118</v>
      </c>
      <c r="I1113" s="47">
        <v>13</v>
      </c>
      <c r="J1113" s="47"/>
      <c r="K1113" s="47">
        <v>1.1000000000000001</v>
      </c>
      <c r="L1113" s="47">
        <v>1.1000000000000001</v>
      </c>
      <c r="M1113" s="51">
        <v>32</v>
      </c>
      <c r="N1113" s="51">
        <v>32</v>
      </c>
      <c r="O1113" s="55" t="s">
        <v>1119</v>
      </c>
      <c r="P1113" s="47">
        <v>300</v>
      </c>
      <c r="Q1113" s="47"/>
      <c r="R1113" s="47"/>
      <c r="S1113" s="47">
        <v>60</v>
      </c>
      <c r="T1113" s="47">
        <v>1</v>
      </c>
      <c r="U1113" s="47"/>
      <c r="V1113" s="47"/>
      <c r="Y1113" s="83">
        <v>6.5</v>
      </c>
      <c r="Z1113" s="86" t="s">
        <v>39</v>
      </c>
    </row>
    <row r="1114" spans="1:27" s="51" customFormat="1" ht="23.1" customHeight="1" x14ac:dyDescent="0.25">
      <c r="A1114" s="53" t="s">
        <v>329</v>
      </c>
      <c r="B1114" s="47" t="s">
        <v>110</v>
      </c>
      <c r="C1114" s="47">
        <v>103</v>
      </c>
      <c r="D1114" s="47" t="s">
        <v>776</v>
      </c>
      <c r="E1114" s="41" t="s">
        <v>777</v>
      </c>
      <c r="F1114" s="41" t="s">
        <v>777</v>
      </c>
      <c r="G1114" s="21" t="str">
        <f>VLOOKUP(D1114,[6]成飞半成品!$A:$B,2,0)</f>
        <v>BL280侧壁（左件）</v>
      </c>
      <c r="H1114" s="47" t="s">
        <v>107</v>
      </c>
      <c r="I1114" s="47">
        <v>20</v>
      </c>
      <c r="J1114" s="47" t="s">
        <v>2129</v>
      </c>
      <c r="K1114" s="47">
        <v>0.5</v>
      </c>
      <c r="L1114" s="47">
        <v>0.2</v>
      </c>
      <c r="M1114" s="51">
        <v>32</v>
      </c>
      <c r="N1114" s="51">
        <v>32</v>
      </c>
      <c r="O1114" s="55" t="s">
        <v>1001</v>
      </c>
      <c r="P1114" s="47"/>
      <c r="Q1114" s="47">
        <v>420</v>
      </c>
      <c r="R1114" s="47">
        <v>60</v>
      </c>
      <c r="S1114" s="47"/>
      <c r="T1114" s="47"/>
      <c r="U1114" s="47">
        <v>120</v>
      </c>
      <c r="V1114" s="47"/>
      <c r="Y1114" s="79">
        <v>1.4</v>
      </c>
      <c r="Z1114" s="86" t="s">
        <v>61</v>
      </c>
    </row>
    <row r="1115" spans="1:27" s="51" customFormat="1" ht="23.1" customHeight="1" x14ac:dyDescent="0.25">
      <c r="A1115" s="53" t="s">
        <v>329</v>
      </c>
      <c r="B1115" s="47" t="s">
        <v>110</v>
      </c>
      <c r="C1115" s="47">
        <v>103</v>
      </c>
      <c r="D1115" s="47" t="s">
        <v>738</v>
      </c>
      <c r="E1115" s="41" t="s">
        <v>739</v>
      </c>
      <c r="F1115" s="41" t="s">
        <v>739</v>
      </c>
      <c r="G1115" s="21" t="str">
        <f>VLOOKUP(D1115,[6]成飞半成品!$A:$B,2,0)</f>
        <v>BL280侧壁（右件）</v>
      </c>
      <c r="H1115" s="47" t="s">
        <v>107</v>
      </c>
      <c r="I1115" s="47">
        <v>15</v>
      </c>
      <c r="J1115" s="47" t="s">
        <v>2142</v>
      </c>
      <c r="K1115" s="47">
        <v>1</v>
      </c>
      <c r="L1115" s="47">
        <v>2</v>
      </c>
      <c r="M1115" s="51">
        <v>32</v>
      </c>
      <c r="N1115" s="51">
        <v>32</v>
      </c>
      <c r="O1115" s="55" t="s">
        <v>1090</v>
      </c>
      <c r="P1115" s="47"/>
      <c r="Q1115" s="47">
        <v>480</v>
      </c>
      <c r="R1115" s="47">
        <v>60</v>
      </c>
      <c r="S1115" s="47"/>
      <c r="T1115" s="47">
        <v>2</v>
      </c>
      <c r="U1115" s="47">
        <v>120</v>
      </c>
      <c r="V1115" s="47"/>
      <c r="W1115" s="51">
        <v>1</v>
      </c>
      <c r="Y1115" s="79">
        <v>20</v>
      </c>
      <c r="Z1115" s="86" t="s">
        <v>61</v>
      </c>
    </row>
    <row r="1116" spans="1:27" s="51" customFormat="1" ht="23.1" customHeight="1" x14ac:dyDescent="0.25">
      <c r="A1116" s="53" t="s">
        <v>329</v>
      </c>
      <c r="B1116" s="47" t="s">
        <v>110</v>
      </c>
      <c r="C1116" s="47">
        <v>101</v>
      </c>
      <c r="D1116" s="47" t="s">
        <v>1099</v>
      </c>
      <c r="E1116" s="41" t="s">
        <v>760</v>
      </c>
      <c r="F1116" s="41" t="e">
        <v>#N/A</v>
      </c>
      <c r="G1116" s="21" t="e">
        <f>VLOOKUP(D1116,[6]成飞半成品!$A:$B,2,0)</f>
        <v>#N/A</v>
      </c>
      <c r="H1116" s="47" t="s">
        <v>300</v>
      </c>
      <c r="I1116" s="47">
        <v>30</v>
      </c>
      <c r="J1116" s="47" t="s">
        <v>2133</v>
      </c>
      <c r="K1116" s="47">
        <v>0.9</v>
      </c>
      <c r="L1116" s="47">
        <v>1.2</v>
      </c>
      <c r="M1116" s="51">
        <v>32</v>
      </c>
      <c r="N1116" s="51">
        <v>32</v>
      </c>
      <c r="O1116" s="55" t="s">
        <v>1120</v>
      </c>
      <c r="P1116" s="47"/>
      <c r="Q1116" s="47">
        <v>700</v>
      </c>
      <c r="R1116" s="47">
        <v>60</v>
      </c>
      <c r="S1116" s="47"/>
      <c r="T1116" s="47"/>
      <c r="U1116" s="47">
        <v>120</v>
      </c>
      <c r="V1116" s="47"/>
      <c r="Y1116" s="79">
        <v>14</v>
      </c>
      <c r="Z1116" s="86" t="s">
        <v>47</v>
      </c>
    </row>
    <row r="1117" spans="1:27" s="51" customFormat="1" ht="23.1" customHeight="1" x14ac:dyDescent="0.25">
      <c r="A1117" s="53" t="s">
        <v>329</v>
      </c>
      <c r="B1117" s="47" t="s">
        <v>110</v>
      </c>
      <c r="C1117" s="47">
        <v>99</v>
      </c>
      <c r="D1117" s="47" t="s">
        <v>1091</v>
      </c>
      <c r="E1117" s="41" t="s">
        <v>1092</v>
      </c>
      <c r="F1117" s="41" t="s">
        <v>1092</v>
      </c>
      <c r="G1117" s="21" t="str">
        <f>VLOOKUP(D1117,[6]成飞半成品!$A:$B,2,0)</f>
        <v>氧气瓶支架</v>
      </c>
      <c r="H1117" s="47" t="s">
        <v>118</v>
      </c>
      <c r="I1117" s="47">
        <v>30</v>
      </c>
      <c r="J1117" s="47" t="s">
        <v>1863</v>
      </c>
      <c r="K1117" s="47">
        <v>4</v>
      </c>
      <c r="L1117" s="47">
        <v>5</v>
      </c>
      <c r="M1117" s="51">
        <v>32</v>
      </c>
      <c r="N1117" s="51">
        <v>32</v>
      </c>
      <c r="O1117" s="55" t="s">
        <v>318</v>
      </c>
      <c r="P1117" s="47"/>
      <c r="Q1117" s="47">
        <v>150</v>
      </c>
      <c r="R1117" s="47">
        <v>60</v>
      </c>
      <c r="S1117" s="47"/>
      <c r="T1117" s="47">
        <v>5</v>
      </c>
      <c r="U1117" s="47">
        <v>120</v>
      </c>
      <c r="V1117" s="47"/>
      <c r="Y1117" s="79">
        <v>17.5</v>
      </c>
      <c r="Z1117" s="86" t="s">
        <v>29</v>
      </c>
    </row>
    <row r="1118" spans="1:27" s="51" customFormat="1" ht="23.1" customHeight="1" x14ac:dyDescent="0.25">
      <c r="A1118" s="53" t="s">
        <v>329</v>
      </c>
      <c r="B1118" s="47" t="s">
        <v>110</v>
      </c>
      <c r="C1118" s="47">
        <v>20</v>
      </c>
      <c r="D1118" s="47" t="s">
        <v>484</v>
      </c>
      <c r="E1118" s="41" t="s">
        <v>485</v>
      </c>
      <c r="F1118" s="41" t="s">
        <v>485</v>
      </c>
      <c r="G1118" s="21" t="str">
        <f>VLOOKUP(D1118,[6]成飞半成品!$A:$B,2,0)</f>
        <v>8635左隔框</v>
      </c>
      <c r="H1118" s="47" t="s">
        <v>300</v>
      </c>
      <c r="I1118" s="47">
        <v>25</v>
      </c>
      <c r="J1118" s="47" t="s">
        <v>2140</v>
      </c>
      <c r="K1118" s="47">
        <v>1</v>
      </c>
      <c r="L1118" s="47">
        <v>0.4</v>
      </c>
      <c r="M1118" s="51">
        <v>32</v>
      </c>
      <c r="N1118" s="51">
        <v>32</v>
      </c>
      <c r="O1118" s="55" t="s">
        <v>216</v>
      </c>
      <c r="P1118" s="47"/>
      <c r="Q1118" s="47">
        <v>660</v>
      </c>
      <c r="R1118" s="47">
        <v>60</v>
      </c>
      <c r="S1118" s="47"/>
      <c r="T1118" s="47">
        <v>1</v>
      </c>
      <c r="U1118" s="47">
        <v>180</v>
      </c>
      <c r="V1118" s="47"/>
      <c r="W1118" s="51">
        <v>1</v>
      </c>
      <c r="Y1118" s="79">
        <v>8.4</v>
      </c>
      <c r="Z1118" s="86" t="s">
        <v>64</v>
      </c>
    </row>
    <row r="1119" spans="1:27" s="51" customFormat="1" ht="23.1" customHeight="1" x14ac:dyDescent="0.25">
      <c r="A1119" s="53" t="s">
        <v>329</v>
      </c>
      <c r="B1119" s="47" t="s">
        <v>110</v>
      </c>
      <c r="C1119" s="47">
        <v>83</v>
      </c>
      <c r="D1119" s="47" t="s">
        <v>1095</v>
      </c>
      <c r="E1119" s="41" t="s">
        <v>1096</v>
      </c>
      <c r="F1119" s="41" t="s">
        <v>1096</v>
      </c>
      <c r="G1119" s="21" t="str">
        <f>VLOOKUP(D1119,[6]成飞半成品!$A:$B,2,0)</f>
        <v>1150肋根肋</v>
      </c>
      <c r="H1119" s="47" t="s">
        <v>658</v>
      </c>
      <c r="I1119" s="47">
        <v>30</v>
      </c>
      <c r="J1119" s="47" t="s">
        <v>2131</v>
      </c>
      <c r="K1119" s="47">
        <v>1.3</v>
      </c>
      <c r="L1119" s="47">
        <v>1.5</v>
      </c>
      <c r="M1119" s="51">
        <v>32</v>
      </c>
      <c r="N1119" s="51">
        <v>32</v>
      </c>
      <c r="O1119" s="55" t="s">
        <v>282</v>
      </c>
      <c r="P1119" s="47"/>
      <c r="Q1119" s="47">
        <v>570</v>
      </c>
      <c r="R1119" s="47">
        <v>60</v>
      </c>
      <c r="S1119" s="47"/>
      <c r="T1119" s="47">
        <v>1</v>
      </c>
      <c r="U1119" s="47">
        <v>120</v>
      </c>
      <c r="V1119" s="47"/>
      <c r="Y1119" s="79">
        <v>15.3</v>
      </c>
      <c r="Z1119" s="86" t="s">
        <v>17</v>
      </c>
    </row>
    <row r="1120" spans="1:27" s="51" customFormat="1" ht="23.1" customHeight="1" x14ac:dyDescent="0.25">
      <c r="A1120" s="53" t="s">
        <v>329</v>
      </c>
      <c r="B1120" s="47" t="s">
        <v>110</v>
      </c>
      <c r="C1120" s="47">
        <v>105</v>
      </c>
      <c r="D1120" s="47" t="s">
        <v>1097</v>
      </c>
      <c r="E1120" s="41" t="s">
        <v>1098</v>
      </c>
      <c r="F1120" s="41" t="s">
        <v>1098</v>
      </c>
      <c r="G1120" s="21" t="str">
        <f>VLOOKUP(D1120,[6]成飞半成品!$A:$B,2,0)</f>
        <v>根肋一段</v>
      </c>
      <c r="H1120" s="47" t="s">
        <v>250</v>
      </c>
      <c r="I1120" s="47">
        <v>20</v>
      </c>
      <c r="J1120" s="47" t="s">
        <v>2132</v>
      </c>
      <c r="K1120" s="47">
        <v>0.8</v>
      </c>
      <c r="L1120" s="47">
        <v>0.9</v>
      </c>
      <c r="M1120" s="51">
        <v>32</v>
      </c>
      <c r="N1120" s="51">
        <v>32</v>
      </c>
      <c r="O1120" s="55" t="s">
        <v>292</v>
      </c>
      <c r="P1120" s="47"/>
      <c r="Q1120" s="47">
        <v>770</v>
      </c>
      <c r="R1120" s="47">
        <v>60</v>
      </c>
      <c r="S1120" s="47"/>
      <c r="T1120" s="47">
        <v>1</v>
      </c>
      <c r="U1120" s="47">
        <v>90</v>
      </c>
      <c r="V1120" s="47"/>
      <c r="Y1120" s="79">
        <v>12.6</v>
      </c>
      <c r="Z1120" s="86" t="s">
        <v>9</v>
      </c>
    </row>
    <row r="1121" spans="1:27" s="51" customFormat="1" ht="23.1" customHeight="1" x14ac:dyDescent="0.25">
      <c r="A1121" s="53" t="s">
        <v>452</v>
      </c>
      <c r="B1121" s="47" t="s">
        <v>110</v>
      </c>
      <c r="C1121" s="47">
        <v>98</v>
      </c>
      <c r="D1121" s="47" t="s">
        <v>481</v>
      </c>
      <c r="E1121" s="41" t="s">
        <v>482</v>
      </c>
      <c r="F1121" s="41" t="s">
        <v>482</v>
      </c>
      <c r="G1121" s="21" t="str">
        <f>VLOOKUP(D1121,[6]成飞半成品!$A:$B,2,0)</f>
        <v>11140框左下半框</v>
      </c>
      <c r="H1121" s="47" t="s">
        <v>118</v>
      </c>
      <c r="I1121" s="47">
        <v>13</v>
      </c>
      <c r="J1121" s="47"/>
      <c r="K1121" s="47">
        <v>1</v>
      </c>
      <c r="L1121" s="47">
        <v>1.1000000000000001</v>
      </c>
      <c r="M1121" s="51">
        <v>32</v>
      </c>
      <c r="N1121" s="51">
        <v>32</v>
      </c>
      <c r="O1121" s="55" t="s">
        <v>1121</v>
      </c>
      <c r="P1121" s="47">
        <v>300</v>
      </c>
      <c r="Q1121" s="47"/>
      <c r="R1121" s="47"/>
      <c r="S1121" s="47">
        <v>60</v>
      </c>
      <c r="T1121" s="47">
        <v>1</v>
      </c>
      <c r="U1121" s="47"/>
      <c r="V1121" s="47"/>
      <c r="Y1121" s="83">
        <v>6.5</v>
      </c>
      <c r="Z1121" s="86" t="s">
        <v>39</v>
      </c>
    </row>
    <row r="1122" spans="1:27" s="51" customFormat="1" ht="23.1" customHeight="1" x14ac:dyDescent="0.25">
      <c r="A1122" s="53" t="s">
        <v>452</v>
      </c>
      <c r="B1122" s="47" t="s">
        <v>110</v>
      </c>
      <c r="C1122" s="47">
        <v>98</v>
      </c>
      <c r="D1122" s="47" t="s">
        <v>481</v>
      </c>
      <c r="E1122" s="41" t="s">
        <v>482</v>
      </c>
      <c r="F1122" s="41" t="s">
        <v>482</v>
      </c>
      <c r="G1122" s="21" t="str">
        <f>VLOOKUP(D1122,[6]成飞半成品!$A:$B,2,0)</f>
        <v>11140框左下半框</v>
      </c>
      <c r="H1122" s="47" t="s">
        <v>118</v>
      </c>
      <c r="I1122" s="47">
        <v>15</v>
      </c>
      <c r="J1122" s="47" t="s">
        <v>2144</v>
      </c>
      <c r="K1122" s="47">
        <v>0.5</v>
      </c>
      <c r="L1122" s="47">
        <v>0.4</v>
      </c>
      <c r="M1122" s="51">
        <v>32</v>
      </c>
      <c r="N1122" s="51">
        <v>32</v>
      </c>
      <c r="O1122" s="55" t="s">
        <v>722</v>
      </c>
      <c r="P1122" s="47"/>
      <c r="Q1122" s="47">
        <v>720</v>
      </c>
      <c r="R1122" s="47">
        <v>60</v>
      </c>
      <c r="S1122" s="47"/>
      <c r="T1122" s="47">
        <v>1</v>
      </c>
      <c r="U1122" s="47">
        <v>120</v>
      </c>
      <c r="V1122" s="47"/>
      <c r="W1122" s="51">
        <v>1</v>
      </c>
      <c r="Y1122" s="79">
        <v>7.8</v>
      </c>
      <c r="Z1122" s="86" t="s">
        <v>39</v>
      </c>
    </row>
    <row r="1123" spans="1:27" s="51" customFormat="1" ht="23.1" customHeight="1" x14ac:dyDescent="0.25">
      <c r="A1123" s="53" t="s">
        <v>452</v>
      </c>
      <c r="B1123" s="47" t="s">
        <v>110</v>
      </c>
      <c r="C1123" s="47">
        <v>99</v>
      </c>
      <c r="D1123" s="47" t="s">
        <v>1091</v>
      </c>
      <c r="E1123" s="41" t="s">
        <v>1092</v>
      </c>
      <c r="F1123" s="41" t="s">
        <v>1092</v>
      </c>
      <c r="G1123" s="21" t="str">
        <f>VLOOKUP(D1123,[6]成飞半成品!$A:$B,2,0)</f>
        <v>氧气瓶支架</v>
      </c>
      <c r="H1123" s="47" t="s">
        <v>118</v>
      </c>
      <c r="I1123" s="47">
        <v>35</v>
      </c>
      <c r="J1123" s="47" t="s">
        <v>2141</v>
      </c>
      <c r="K1123" s="47">
        <v>0.5</v>
      </c>
      <c r="L1123" s="47">
        <v>0.1</v>
      </c>
      <c r="M1123" s="51">
        <v>32</v>
      </c>
      <c r="N1123" s="51">
        <v>32</v>
      </c>
      <c r="O1123" s="55" t="s">
        <v>842</v>
      </c>
      <c r="P1123" s="47"/>
      <c r="Q1123" s="47">
        <v>480</v>
      </c>
      <c r="R1123" s="47">
        <v>60</v>
      </c>
      <c r="S1123" s="47"/>
      <c r="T1123" s="47"/>
      <c r="U1123" s="47">
        <v>120</v>
      </c>
      <c r="V1123" s="47"/>
      <c r="Y1123" s="79">
        <v>0.8</v>
      </c>
      <c r="Z1123" s="86" t="s">
        <v>29</v>
      </c>
    </row>
    <row r="1124" spans="1:27" s="51" customFormat="1" ht="23.1" customHeight="1" x14ac:dyDescent="0.25">
      <c r="A1124" s="53" t="s">
        <v>452</v>
      </c>
      <c r="B1124" s="47" t="s">
        <v>110</v>
      </c>
      <c r="C1124" s="47">
        <v>99</v>
      </c>
      <c r="D1124" s="47" t="s">
        <v>1091</v>
      </c>
      <c r="E1124" s="41" t="s">
        <v>1092</v>
      </c>
      <c r="F1124" s="41" t="s">
        <v>1092</v>
      </c>
      <c r="G1124" s="21" t="str">
        <f>VLOOKUP(D1124,[6]成飞半成品!$A:$B,2,0)</f>
        <v>氧气瓶支架</v>
      </c>
      <c r="H1124" s="47" t="s">
        <v>118</v>
      </c>
      <c r="I1124" s="47">
        <v>40</v>
      </c>
      <c r="J1124" s="47" t="s">
        <v>2145</v>
      </c>
      <c r="K1124" s="47">
        <v>1</v>
      </c>
      <c r="L1124" s="47">
        <v>1</v>
      </c>
      <c r="M1124" s="51">
        <v>32</v>
      </c>
      <c r="N1124" s="51">
        <v>32</v>
      </c>
      <c r="O1124" s="55" t="s">
        <v>842</v>
      </c>
      <c r="P1124" s="47"/>
      <c r="Q1124" s="47">
        <v>390</v>
      </c>
      <c r="R1124" s="47">
        <v>60</v>
      </c>
      <c r="S1124" s="47"/>
      <c r="T1124" s="47">
        <v>1</v>
      </c>
      <c r="U1124" s="47">
        <v>120</v>
      </c>
      <c r="V1124" s="47"/>
      <c r="W1124" s="51">
        <v>1</v>
      </c>
      <c r="X1124" s="51">
        <v>2</v>
      </c>
      <c r="Y1124" s="79">
        <v>11.5</v>
      </c>
      <c r="Z1124" s="86" t="s">
        <v>29</v>
      </c>
      <c r="AA1124" s="51" t="s">
        <v>941</v>
      </c>
    </row>
    <row r="1125" spans="1:27" s="51" customFormat="1" ht="23.1" customHeight="1" x14ac:dyDescent="0.25">
      <c r="A1125" s="53" t="s">
        <v>452</v>
      </c>
      <c r="B1125" s="47" t="s">
        <v>110</v>
      </c>
      <c r="C1125" s="47">
        <v>101</v>
      </c>
      <c r="D1125" s="47" t="s">
        <v>1099</v>
      </c>
      <c r="E1125" s="41" t="s">
        <v>760</v>
      </c>
      <c r="F1125" s="41" t="e">
        <v>#N/A</v>
      </c>
      <c r="G1125" s="21" t="e">
        <f>VLOOKUP(D1125,[6]成飞半成品!$A:$B,2,0)</f>
        <v>#N/A</v>
      </c>
      <c r="H1125" s="47" t="s">
        <v>300</v>
      </c>
      <c r="I1125" s="47">
        <v>30</v>
      </c>
      <c r="J1125" s="47" t="s">
        <v>2133</v>
      </c>
      <c r="K1125" s="47">
        <v>0.9</v>
      </c>
      <c r="L1125" s="47">
        <v>1</v>
      </c>
      <c r="M1125" s="51">
        <v>32</v>
      </c>
      <c r="N1125" s="51">
        <v>32</v>
      </c>
      <c r="O1125" s="55" t="s">
        <v>1119</v>
      </c>
      <c r="P1125" s="47"/>
      <c r="Q1125" s="47">
        <v>700</v>
      </c>
      <c r="R1125" s="47">
        <v>60</v>
      </c>
      <c r="S1125" s="47"/>
      <c r="T1125" s="47">
        <v>1</v>
      </c>
      <c r="U1125" s="47">
        <v>120</v>
      </c>
      <c r="V1125" s="47"/>
      <c r="Y1125" s="79">
        <v>12.7</v>
      </c>
      <c r="Z1125" s="86" t="s">
        <v>47</v>
      </c>
    </row>
    <row r="1126" spans="1:27" s="51" customFormat="1" ht="23.1" customHeight="1" x14ac:dyDescent="0.25">
      <c r="A1126" s="53" t="s">
        <v>452</v>
      </c>
      <c r="B1126" s="47" t="s">
        <v>110</v>
      </c>
      <c r="C1126" s="47">
        <v>103</v>
      </c>
      <c r="D1126" s="47" t="s">
        <v>738</v>
      </c>
      <c r="E1126" s="41" t="s">
        <v>739</v>
      </c>
      <c r="F1126" s="41" t="s">
        <v>739</v>
      </c>
      <c r="G1126" s="21" t="str">
        <f>VLOOKUP(D1126,[6]成飞半成品!$A:$B,2,0)</f>
        <v>BL280侧壁（右件）</v>
      </c>
      <c r="H1126" s="47" t="s">
        <v>107</v>
      </c>
      <c r="I1126" s="47">
        <v>20</v>
      </c>
      <c r="J1126" s="47" t="s">
        <v>2129</v>
      </c>
      <c r="K1126" s="47">
        <v>1.5</v>
      </c>
      <c r="L1126" s="47">
        <v>2</v>
      </c>
      <c r="M1126" s="51">
        <v>32</v>
      </c>
      <c r="N1126" s="51">
        <v>32</v>
      </c>
      <c r="O1126" s="55" t="s">
        <v>1106</v>
      </c>
      <c r="P1126" s="47"/>
      <c r="Q1126" s="47">
        <v>420</v>
      </c>
      <c r="R1126" s="47">
        <v>60</v>
      </c>
      <c r="S1126" s="47"/>
      <c r="T1126" s="47">
        <v>2</v>
      </c>
      <c r="U1126" s="47">
        <v>120</v>
      </c>
      <c r="V1126" s="47"/>
      <c r="W1126" s="51">
        <v>1</v>
      </c>
      <c r="Y1126" s="79">
        <v>18</v>
      </c>
      <c r="Z1126" s="86" t="s">
        <v>61</v>
      </c>
    </row>
    <row r="1127" spans="1:27" s="51" customFormat="1" ht="23.1" customHeight="1" x14ac:dyDescent="0.25">
      <c r="A1127" s="53" t="s">
        <v>452</v>
      </c>
      <c r="B1127" s="47" t="s">
        <v>110</v>
      </c>
      <c r="C1127" s="47">
        <v>105</v>
      </c>
      <c r="D1127" s="47" t="s">
        <v>1097</v>
      </c>
      <c r="E1127" s="41" t="s">
        <v>1098</v>
      </c>
      <c r="F1127" s="41" t="s">
        <v>1098</v>
      </c>
      <c r="G1127" s="21" t="str">
        <f>VLOOKUP(D1127,[6]成飞半成品!$A:$B,2,0)</f>
        <v>根肋一段</v>
      </c>
      <c r="H1127" s="47" t="s">
        <v>250</v>
      </c>
      <c r="I1127" s="47">
        <v>20</v>
      </c>
      <c r="J1127" s="47" t="s">
        <v>2132</v>
      </c>
      <c r="K1127" s="47">
        <v>0.8</v>
      </c>
      <c r="L1127" s="47">
        <v>1.1000000000000001</v>
      </c>
      <c r="M1127" s="51">
        <v>32</v>
      </c>
      <c r="N1127" s="51">
        <v>32</v>
      </c>
      <c r="O1127" s="55" t="s">
        <v>292</v>
      </c>
      <c r="P1127" s="47"/>
      <c r="Q1127" s="47">
        <v>770</v>
      </c>
      <c r="R1127" s="47">
        <v>60</v>
      </c>
      <c r="S1127" s="47"/>
      <c r="T1127" s="47">
        <v>1</v>
      </c>
      <c r="U1127" s="47">
        <v>90</v>
      </c>
      <c r="V1127" s="47"/>
      <c r="Y1127" s="79">
        <v>15.1</v>
      </c>
      <c r="Z1127" s="86" t="s">
        <v>9</v>
      </c>
    </row>
    <row r="1128" spans="1:27" s="51" customFormat="1" ht="23.1" customHeight="1" x14ac:dyDescent="0.25">
      <c r="A1128" s="53" t="s">
        <v>452</v>
      </c>
      <c r="B1128" s="47" t="s">
        <v>110</v>
      </c>
      <c r="C1128" s="47">
        <v>83</v>
      </c>
      <c r="D1128" s="47" t="s">
        <v>1095</v>
      </c>
      <c r="E1128" s="41" t="s">
        <v>1096</v>
      </c>
      <c r="F1128" s="41" t="s">
        <v>1096</v>
      </c>
      <c r="G1128" s="21" t="str">
        <f>VLOOKUP(D1128,[6]成飞半成品!$A:$B,2,0)</f>
        <v>1150肋根肋</v>
      </c>
      <c r="H1128" s="47" t="s">
        <v>658</v>
      </c>
      <c r="I1128" s="47">
        <v>35</v>
      </c>
      <c r="J1128" s="47" t="s">
        <v>2139</v>
      </c>
      <c r="K1128" s="47">
        <v>1.3</v>
      </c>
      <c r="L1128" s="47">
        <v>1.5</v>
      </c>
      <c r="M1128" s="51">
        <v>32</v>
      </c>
      <c r="N1128" s="51">
        <v>32</v>
      </c>
      <c r="O1128" s="55" t="s">
        <v>282</v>
      </c>
      <c r="P1128" s="47"/>
      <c r="Q1128" s="47">
        <v>600</v>
      </c>
      <c r="R1128" s="47">
        <v>60</v>
      </c>
      <c r="S1128" s="47"/>
      <c r="T1128" s="47">
        <v>1</v>
      </c>
      <c r="U1128" s="47">
        <v>120</v>
      </c>
      <c r="V1128" s="47"/>
      <c r="Y1128" s="79">
        <v>16</v>
      </c>
      <c r="Z1128" s="86" t="s">
        <v>17</v>
      </c>
    </row>
    <row r="1129" spans="1:27" s="51" customFormat="1" ht="23.1" customHeight="1" x14ac:dyDescent="0.25">
      <c r="A1129" s="53" t="s">
        <v>452</v>
      </c>
      <c r="B1129" s="47" t="s">
        <v>110</v>
      </c>
      <c r="C1129" s="47">
        <v>20</v>
      </c>
      <c r="D1129" s="47" t="s">
        <v>484</v>
      </c>
      <c r="E1129" s="41" t="s">
        <v>485</v>
      </c>
      <c r="F1129" s="41" t="s">
        <v>485</v>
      </c>
      <c r="G1129" s="21" t="str">
        <f>VLOOKUP(D1129,[6]成飞半成品!$A:$B,2,0)</f>
        <v>8635左隔框</v>
      </c>
      <c r="H1129" s="47" t="s">
        <v>300</v>
      </c>
      <c r="I1129" s="47">
        <v>10</v>
      </c>
      <c r="J1129" s="47" t="s">
        <v>2136</v>
      </c>
      <c r="K1129" s="47">
        <v>2</v>
      </c>
      <c r="L1129" s="47">
        <v>1.1000000000000001</v>
      </c>
      <c r="M1129" s="51">
        <v>32</v>
      </c>
      <c r="N1129" s="51">
        <v>32</v>
      </c>
      <c r="O1129" s="55" t="s">
        <v>247</v>
      </c>
      <c r="P1129" s="47"/>
      <c r="Q1129" s="47">
        <v>180</v>
      </c>
      <c r="R1129" s="47">
        <v>60</v>
      </c>
      <c r="S1129" s="47"/>
      <c r="T1129" s="47">
        <v>1</v>
      </c>
      <c r="U1129" s="47">
        <v>90</v>
      </c>
      <c r="V1129" s="47"/>
      <c r="Y1129" s="79">
        <v>4.3</v>
      </c>
      <c r="Z1129" s="86" t="s">
        <v>64</v>
      </c>
    </row>
    <row r="1130" spans="1:27" s="51" customFormat="1" ht="23.1" customHeight="1" x14ac:dyDescent="0.25">
      <c r="A1130" s="53" t="s">
        <v>452</v>
      </c>
      <c r="B1130" s="47" t="s">
        <v>110</v>
      </c>
      <c r="C1130" s="47">
        <v>20</v>
      </c>
      <c r="D1130" s="47" t="s">
        <v>298</v>
      </c>
      <c r="E1130" s="41" t="s">
        <v>299</v>
      </c>
      <c r="F1130" s="41" t="s">
        <v>299</v>
      </c>
      <c r="G1130" s="21" t="str">
        <f>VLOOKUP(D1130,[6]成飞半成品!$A:$B,2,0)</f>
        <v>8635右隔框</v>
      </c>
      <c r="H1130" s="47" t="s">
        <v>300</v>
      </c>
      <c r="I1130" s="47">
        <v>10</v>
      </c>
      <c r="J1130" s="47" t="s">
        <v>2136</v>
      </c>
      <c r="K1130" s="47">
        <v>1</v>
      </c>
      <c r="L1130" s="47">
        <v>3</v>
      </c>
      <c r="M1130" s="51">
        <v>32</v>
      </c>
      <c r="N1130" s="51">
        <v>32</v>
      </c>
      <c r="O1130" s="55" t="s">
        <v>319</v>
      </c>
      <c r="P1130" s="47"/>
      <c r="Q1130" s="47">
        <v>180</v>
      </c>
      <c r="R1130" s="47">
        <v>60</v>
      </c>
      <c r="S1130" s="47"/>
      <c r="T1130" s="47">
        <v>3</v>
      </c>
      <c r="U1130" s="47">
        <v>90</v>
      </c>
      <c r="V1130" s="47"/>
      <c r="W1130" s="51">
        <v>1</v>
      </c>
      <c r="Y1130" s="79">
        <v>13.5</v>
      </c>
      <c r="Z1130" s="86" t="s">
        <v>64</v>
      </c>
    </row>
    <row r="1131" spans="1:27" s="51" customFormat="1" ht="23.1" customHeight="1" x14ac:dyDescent="0.25">
      <c r="A1131" s="53" t="s">
        <v>452</v>
      </c>
      <c r="B1131" s="47" t="s">
        <v>113</v>
      </c>
      <c r="C1131" s="47">
        <v>102</v>
      </c>
      <c r="D1131" s="47" t="s">
        <v>1067</v>
      </c>
      <c r="E1131" s="41" t="s">
        <v>1068</v>
      </c>
      <c r="F1131" s="41" t="s">
        <v>1068</v>
      </c>
      <c r="G1131" s="21" t="str">
        <f>VLOOKUP(D1131,[6]成飞半成品!$A:$B,2,0)</f>
        <v>11900梁一段（右件）</v>
      </c>
      <c r="H1131" s="47" t="s">
        <v>323</v>
      </c>
      <c r="I1131" s="47">
        <v>40</v>
      </c>
      <c r="J1131" s="47" t="s">
        <v>2122</v>
      </c>
      <c r="K1131" s="47">
        <v>0.8</v>
      </c>
      <c r="L1131" s="47">
        <v>1</v>
      </c>
      <c r="M1131" s="51">
        <v>25</v>
      </c>
      <c r="N1131" s="51">
        <v>25</v>
      </c>
      <c r="O1131" s="55" t="s">
        <v>1122</v>
      </c>
      <c r="P1131" s="47"/>
      <c r="Q1131" s="47">
        <v>90</v>
      </c>
      <c r="R1131" s="47">
        <v>60</v>
      </c>
      <c r="S1131" s="47"/>
      <c r="T1131" s="47">
        <v>1</v>
      </c>
      <c r="U1131" s="47">
        <v>120</v>
      </c>
      <c r="V1131" s="47"/>
      <c r="Y1131" s="79">
        <v>2.5</v>
      </c>
      <c r="Z1131" s="86" t="s">
        <v>67</v>
      </c>
      <c r="AA1131" s="51" t="s">
        <v>1123</v>
      </c>
    </row>
    <row r="1132" spans="1:27" s="51" customFormat="1" ht="23.1" customHeight="1" x14ac:dyDescent="0.25">
      <c r="A1132" s="53" t="s">
        <v>452</v>
      </c>
      <c r="B1132" s="47" t="s">
        <v>113</v>
      </c>
      <c r="C1132" s="47">
        <v>101</v>
      </c>
      <c r="D1132" s="47" t="s">
        <v>1099</v>
      </c>
      <c r="E1132" s="41" t="s">
        <v>760</v>
      </c>
      <c r="F1132" s="41" t="e">
        <v>#N/A</v>
      </c>
      <c r="G1132" s="21" t="e">
        <f>VLOOKUP(D1132,[6]成飞半成品!$A:$B,2,0)</f>
        <v>#N/A</v>
      </c>
      <c r="H1132" s="47" t="s">
        <v>300</v>
      </c>
      <c r="I1132" s="47">
        <v>32</v>
      </c>
      <c r="J1132" s="47"/>
      <c r="K1132" s="47">
        <v>5</v>
      </c>
      <c r="L1132" s="47">
        <v>4</v>
      </c>
      <c r="M1132" s="51">
        <v>25</v>
      </c>
      <c r="N1132" s="51">
        <v>25</v>
      </c>
      <c r="O1132" s="55" t="s">
        <v>773</v>
      </c>
      <c r="P1132" s="47">
        <v>150</v>
      </c>
      <c r="Q1132" s="47"/>
      <c r="R1132" s="47"/>
      <c r="S1132" s="47">
        <v>60</v>
      </c>
      <c r="T1132" s="47">
        <v>4</v>
      </c>
      <c r="U1132" s="47">
        <v>120</v>
      </c>
      <c r="V1132" s="47"/>
      <c r="W1132" s="51">
        <v>1</v>
      </c>
      <c r="X1132" s="51">
        <v>2</v>
      </c>
      <c r="Y1132" s="83">
        <v>16</v>
      </c>
      <c r="Z1132" s="86" t="s">
        <v>67</v>
      </c>
      <c r="AA1132" s="51" t="s">
        <v>1124</v>
      </c>
    </row>
    <row r="1133" spans="1:27" s="51" customFormat="1" ht="23.1" customHeight="1" x14ac:dyDescent="0.25">
      <c r="A1133" s="53" t="s">
        <v>452</v>
      </c>
      <c r="B1133" s="47" t="s">
        <v>113</v>
      </c>
      <c r="C1133" s="47">
        <v>101</v>
      </c>
      <c r="D1133" s="47" t="s">
        <v>1099</v>
      </c>
      <c r="E1133" s="41" t="s">
        <v>760</v>
      </c>
      <c r="F1133" s="41" t="e">
        <v>#N/A</v>
      </c>
      <c r="G1133" s="21" t="e">
        <f>VLOOKUP(D1133,[6]成飞半成品!$A:$B,2,0)</f>
        <v>#N/A</v>
      </c>
      <c r="H1133" s="47" t="s">
        <v>300</v>
      </c>
      <c r="I1133" s="47">
        <v>30</v>
      </c>
      <c r="J1133" s="47" t="s">
        <v>2133</v>
      </c>
      <c r="K1133" s="47"/>
      <c r="L1133" s="47">
        <v>0.4</v>
      </c>
      <c r="M1133" s="51">
        <v>25</v>
      </c>
      <c r="N1133" s="51">
        <v>25</v>
      </c>
      <c r="O1133" s="55" t="s">
        <v>1125</v>
      </c>
      <c r="P1133" s="47"/>
      <c r="Q1133" s="47">
        <v>700</v>
      </c>
      <c r="R1133" s="47">
        <v>60</v>
      </c>
      <c r="S1133" s="47"/>
      <c r="T1133" s="47"/>
      <c r="U1133" s="47">
        <v>120</v>
      </c>
      <c r="V1133" s="47"/>
      <c r="Y1133" s="79">
        <v>4.7</v>
      </c>
      <c r="Z1133" s="86" t="s">
        <v>67</v>
      </c>
    </row>
    <row r="1134" spans="1:27" s="51" customFormat="1" ht="23.1" customHeight="1" x14ac:dyDescent="0.25">
      <c r="A1134" s="53" t="s">
        <v>452</v>
      </c>
      <c r="B1134" s="47" t="s">
        <v>113</v>
      </c>
      <c r="C1134" s="47">
        <v>100</v>
      </c>
      <c r="D1134" s="47" t="s">
        <v>643</v>
      </c>
      <c r="E1134" s="41" t="s">
        <v>644</v>
      </c>
      <c r="F1134" s="41" t="s">
        <v>644</v>
      </c>
      <c r="G1134" s="21" t="str">
        <f>VLOOKUP(D1134,[6]成飞半成品!$A:$B,2,0)</f>
        <v>辅助动力舱口盖前段</v>
      </c>
      <c r="H1134" s="47" t="s">
        <v>154</v>
      </c>
      <c r="I1134" s="47">
        <v>40</v>
      </c>
      <c r="J1134" s="47" t="s">
        <v>2120</v>
      </c>
      <c r="K1134" s="47">
        <v>0.25</v>
      </c>
      <c r="L1134" s="47">
        <v>0.25</v>
      </c>
      <c r="M1134" s="51">
        <v>25</v>
      </c>
      <c r="N1134" s="51">
        <v>25</v>
      </c>
      <c r="O1134" s="55" t="s">
        <v>399</v>
      </c>
      <c r="P1134" s="47"/>
      <c r="Q1134" s="47">
        <v>2640</v>
      </c>
      <c r="R1134" s="47">
        <v>90</v>
      </c>
      <c r="S1134" s="47"/>
      <c r="T1134" s="47"/>
      <c r="U1134" s="47">
        <v>180</v>
      </c>
      <c r="V1134" s="47"/>
      <c r="Y1134" s="79">
        <v>11</v>
      </c>
      <c r="Z1134" s="86" t="s">
        <v>67</v>
      </c>
    </row>
    <row r="1135" spans="1:27" s="51" customFormat="1" ht="23.1" customHeight="1" x14ac:dyDescent="0.25">
      <c r="A1135" s="53" t="s">
        <v>452</v>
      </c>
      <c r="B1135" s="47" t="s">
        <v>113</v>
      </c>
      <c r="C1135" s="47">
        <v>97</v>
      </c>
      <c r="D1135" s="47" t="s">
        <v>830</v>
      </c>
      <c r="E1135" s="41" t="s">
        <v>1065</v>
      </c>
      <c r="F1135" s="41" t="s">
        <v>1065</v>
      </c>
      <c r="G1135" s="21" t="str">
        <f>VLOOKUP(D1135,[6]成飞半成品!$A:$B,2,0)</f>
        <v>根肋二段</v>
      </c>
      <c r="H1135" s="47" t="s">
        <v>250</v>
      </c>
      <c r="I1135" s="47">
        <v>50</v>
      </c>
      <c r="J1135" s="47" t="s">
        <v>2118</v>
      </c>
      <c r="K1135" s="47">
        <v>1</v>
      </c>
      <c r="L1135" s="47">
        <v>1.7</v>
      </c>
      <c r="M1135" s="51">
        <v>25</v>
      </c>
      <c r="N1135" s="51">
        <v>25</v>
      </c>
      <c r="O1135" s="55" t="s">
        <v>1077</v>
      </c>
      <c r="P1135" s="47"/>
      <c r="Q1135" s="47">
        <v>420</v>
      </c>
      <c r="R1135" s="47">
        <v>60</v>
      </c>
      <c r="S1135" s="47"/>
      <c r="T1135" s="47">
        <v>2</v>
      </c>
      <c r="U1135" s="47">
        <v>90</v>
      </c>
      <c r="V1135" s="47"/>
      <c r="Y1135" s="79">
        <v>13.9</v>
      </c>
      <c r="Z1135" s="86" t="s">
        <v>67</v>
      </c>
    </row>
    <row r="1136" spans="1:27" s="51" customFormat="1" ht="23.1" customHeight="1" x14ac:dyDescent="0.25">
      <c r="A1136" s="53" t="s">
        <v>452</v>
      </c>
      <c r="B1136" s="47" t="s">
        <v>113</v>
      </c>
      <c r="C1136" s="47">
        <v>97</v>
      </c>
      <c r="D1136" s="47" t="s">
        <v>830</v>
      </c>
      <c r="E1136" s="41" t="s">
        <v>1065</v>
      </c>
      <c r="F1136" s="41" t="s">
        <v>1065</v>
      </c>
      <c r="G1136" s="21" t="str">
        <f>VLOOKUP(D1136,[6]成飞半成品!$A:$B,2,0)</f>
        <v>根肋二段</v>
      </c>
      <c r="H1136" s="47" t="s">
        <v>250</v>
      </c>
      <c r="I1136" s="47">
        <v>55</v>
      </c>
      <c r="J1136" s="47" t="s">
        <v>2119</v>
      </c>
      <c r="K1136" s="47">
        <v>1</v>
      </c>
      <c r="L1136" s="47">
        <v>2</v>
      </c>
      <c r="M1136" s="51">
        <v>25</v>
      </c>
      <c r="N1136" s="51">
        <v>25</v>
      </c>
      <c r="O1136" s="55" t="s">
        <v>1077</v>
      </c>
      <c r="P1136" s="47"/>
      <c r="Q1136" s="47">
        <v>60</v>
      </c>
      <c r="R1136" s="47">
        <v>60</v>
      </c>
      <c r="S1136" s="47"/>
      <c r="T1136" s="47">
        <v>2</v>
      </c>
      <c r="U1136" s="47">
        <v>60</v>
      </c>
      <c r="V1136" s="47"/>
      <c r="Y1136" s="79">
        <v>4</v>
      </c>
      <c r="Z1136" s="86" t="s">
        <v>67</v>
      </c>
    </row>
    <row r="1137" spans="1:27" s="51" customFormat="1" ht="23.1" customHeight="1" x14ac:dyDescent="0.25">
      <c r="A1137" s="53" t="s">
        <v>452</v>
      </c>
      <c r="B1137" s="47" t="s">
        <v>113</v>
      </c>
      <c r="C1137" s="47">
        <v>83</v>
      </c>
      <c r="D1137" s="47" t="s">
        <v>1095</v>
      </c>
      <c r="E1137" s="41" t="s">
        <v>1096</v>
      </c>
      <c r="F1137" s="41" t="s">
        <v>1096</v>
      </c>
      <c r="G1137" s="21" t="str">
        <f>VLOOKUP(D1137,[6]成飞半成品!$A:$B,2,0)</f>
        <v>1150肋根肋</v>
      </c>
      <c r="H1137" s="47" t="s">
        <v>658</v>
      </c>
      <c r="I1137" s="47">
        <v>35</v>
      </c>
      <c r="J1137" s="47" t="s">
        <v>2139</v>
      </c>
      <c r="K1137" s="47">
        <v>1.5</v>
      </c>
      <c r="L1137" s="47">
        <v>1.7</v>
      </c>
      <c r="M1137" s="51">
        <v>25</v>
      </c>
      <c r="N1137" s="51">
        <v>25</v>
      </c>
      <c r="O1137" s="55" t="s">
        <v>282</v>
      </c>
      <c r="P1137" s="47"/>
      <c r="Q1137" s="47">
        <v>600</v>
      </c>
      <c r="R1137" s="47">
        <v>60</v>
      </c>
      <c r="S1137" s="47"/>
      <c r="T1137" s="47">
        <v>2</v>
      </c>
      <c r="U1137" s="47">
        <v>120</v>
      </c>
      <c r="V1137" s="47"/>
      <c r="Y1137" s="79">
        <v>19</v>
      </c>
      <c r="Z1137" s="86" t="s">
        <v>67</v>
      </c>
    </row>
    <row r="1138" spans="1:27" s="51" customFormat="1" ht="23.1" customHeight="1" x14ac:dyDescent="0.25">
      <c r="A1138" s="53" t="s">
        <v>452</v>
      </c>
      <c r="B1138" s="47" t="s">
        <v>113</v>
      </c>
      <c r="C1138" s="47">
        <v>20</v>
      </c>
      <c r="D1138" s="47" t="s">
        <v>484</v>
      </c>
      <c r="E1138" s="41" t="s">
        <v>485</v>
      </c>
      <c r="F1138" s="41" t="s">
        <v>485</v>
      </c>
      <c r="G1138" s="21" t="str">
        <f>VLOOKUP(D1138,[6]成飞半成品!$A:$B,2,0)</f>
        <v>8635左隔框</v>
      </c>
      <c r="H1138" s="47" t="s">
        <v>300</v>
      </c>
      <c r="I1138" s="47">
        <v>15</v>
      </c>
      <c r="J1138" s="47" t="s">
        <v>2134</v>
      </c>
      <c r="K1138" s="47"/>
      <c r="L1138" s="47">
        <v>1</v>
      </c>
      <c r="M1138" s="51">
        <v>25</v>
      </c>
      <c r="N1138" s="51">
        <v>25</v>
      </c>
      <c r="O1138" s="55" t="s">
        <v>247</v>
      </c>
      <c r="P1138" s="47"/>
      <c r="Q1138" s="47">
        <v>120</v>
      </c>
      <c r="R1138" s="47">
        <v>60</v>
      </c>
      <c r="S1138" s="47"/>
      <c r="T1138" s="47">
        <v>1</v>
      </c>
      <c r="U1138" s="47">
        <v>90</v>
      </c>
      <c r="V1138" s="47"/>
      <c r="W1138" s="51">
        <v>1</v>
      </c>
      <c r="X1138" s="51">
        <v>3</v>
      </c>
      <c r="Y1138" s="79">
        <v>7.5</v>
      </c>
      <c r="Z1138" s="86" t="s">
        <v>67</v>
      </c>
      <c r="AA1138" s="51" t="s">
        <v>1078</v>
      </c>
    </row>
    <row r="1139" spans="1:27" s="51" customFormat="1" ht="23.1" customHeight="1" x14ac:dyDescent="0.25">
      <c r="A1139" s="53" t="s">
        <v>452</v>
      </c>
      <c r="B1139" s="47" t="s">
        <v>113</v>
      </c>
      <c r="C1139" s="47">
        <v>20</v>
      </c>
      <c r="D1139" s="47" t="s">
        <v>484</v>
      </c>
      <c r="E1139" s="41" t="s">
        <v>485</v>
      </c>
      <c r="F1139" s="41" t="s">
        <v>485</v>
      </c>
      <c r="G1139" s="21" t="str">
        <f>VLOOKUP(D1139,[6]成飞半成品!$A:$B,2,0)</f>
        <v>8635左隔框</v>
      </c>
      <c r="H1139" s="47" t="s">
        <v>300</v>
      </c>
      <c r="I1139" s="47">
        <v>20</v>
      </c>
      <c r="J1139" s="47" t="s">
        <v>2135</v>
      </c>
      <c r="K1139" s="47"/>
      <c r="L1139" s="47">
        <v>0.3</v>
      </c>
      <c r="M1139" s="51">
        <v>25</v>
      </c>
      <c r="N1139" s="51">
        <v>25</v>
      </c>
      <c r="O1139" s="55" t="s">
        <v>247</v>
      </c>
      <c r="P1139" s="47"/>
      <c r="Q1139" s="47">
        <v>420</v>
      </c>
      <c r="R1139" s="47">
        <v>60</v>
      </c>
      <c r="S1139" s="47"/>
      <c r="T1139" s="47">
        <v>1</v>
      </c>
      <c r="U1139" s="47">
        <v>90</v>
      </c>
      <c r="V1139" s="47"/>
      <c r="W1139" s="51">
        <v>1</v>
      </c>
      <c r="Y1139" s="79">
        <v>4.5999999999999996</v>
      </c>
      <c r="Z1139" s="86" t="s">
        <v>67</v>
      </c>
    </row>
    <row r="1140" spans="1:27" s="51" customFormat="1" ht="23.1" customHeight="1" x14ac:dyDescent="0.25">
      <c r="A1140" s="53" t="s">
        <v>452</v>
      </c>
      <c r="B1140" s="47" t="s">
        <v>113</v>
      </c>
      <c r="C1140" s="47">
        <v>98</v>
      </c>
      <c r="D1140" s="47" t="s">
        <v>481</v>
      </c>
      <c r="E1140" s="41" t="s">
        <v>482</v>
      </c>
      <c r="F1140" s="41" t="s">
        <v>482</v>
      </c>
      <c r="G1140" s="21" t="str">
        <f>VLOOKUP(D1140,[6]成飞半成品!$A:$B,2,0)</f>
        <v>11140框左下半框</v>
      </c>
      <c r="H1140" s="47" t="s">
        <v>118</v>
      </c>
      <c r="I1140" s="47">
        <v>15</v>
      </c>
      <c r="J1140" s="47" t="s">
        <v>2144</v>
      </c>
      <c r="K1140" s="47">
        <v>0.8</v>
      </c>
      <c r="L1140" s="47">
        <v>1.1000000000000001</v>
      </c>
      <c r="M1140" s="51">
        <v>25</v>
      </c>
      <c r="N1140" s="51">
        <v>25</v>
      </c>
      <c r="O1140" s="55" t="s">
        <v>1126</v>
      </c>
      <c r="P1140" s="47"/>
      <c r="Q1140" s="47">
        <v>720</v>
      </c>
      <c r="R1140" s="47">
        <v>60</v>
      </c>
      <c r="S1140" s="47"/>
      <c r="T1140" s="47">
        <v>1</v>
      </c>
      <c r="U1140" s="47">
        <v>120</v>
      </c>
      <c r="V1140" s="47"/>
      <c r="Y1140" s="79">
        <v>14.2</v>
      </c>
      <c r="Z1140" s="86" t="s">
        <v>1</v>
      </c>
    </row>
    <row r="1141" spans="1:27" s="51" customFormat="1" ht="23.1" customHeight="1" x14ac:dyDescent="0.25">
      <c r="A1141" s="53" t="s">
        <v>452</v>
      </c>
      <c r="B1141" s="47" t="s">
        <v>113</v>
      </c>
      <c r="C1141" s="47">
        <v>103</v>
      </c>
      <c r="D1141" s="47" t="s">
        <v>738</v>
      </c>
      <c r="E1141" s="41" t="s">
        <v>739</v>
      </c>
      <c r="F1141" s="41" t="s">
        <v>739</v>
      </c>
      <c r="G1141" s="21" t="str">
        <f>VLOOKUP(D1141,[6]成飞半成品!$A:$B,2,0)</f>
        <v>BL280侧壁（右件）</v>
      </c>
      <c r="H1141" s="47" t="s">
        <v>107</v>
      </c>
      <c r="I1141" s="47">
        <v>20</v>
      </c>
      <c r="J1141" s="47" t="s">
        <v>2129</v>
      </c>
      <c r="K1141" s="47">
        <v>2</v>
      </c>
      <c r="L1141" s="47">
        <v>2</v>
      </c>
      <c r="M1141" s="51">
        <v>25</v>
      </c>
      <c r="N1141" s="51">
        <v>25</v>
      </c>
      <c r="O1141" s="55" t="s">
        <v>1090</v>
      </c>
      <c r="P1141" s="47"/>
      <c r="Q1141" s="47">
        <v>420</v>
      </c>
      <c r="R1141" s="47">
        <v>60</v>
      </c>
      <c r="S1141" s="47"/>
      <c r="T1141" s="47">
        <v>2</v>
      </c>
      <c r="U1141" s="47">
        <v>120</v>
      </c>
      <c r="V1141" s="47"/>
      <c r="Y1141" s="79">
        <v>16</v>
      </c>
      <c r="Z1141" s="86" t="s">
        <v>62</v>
      </c>
    </row>
    <row r="1142" spans="1:27" s="51" customFormat="1" ht="23.1" customHeight="1" x14ac:dyDescent="0.25">
      <c r="A1142" s="53" t="s">
        <v>452</v>
      </c>
      <c r="B1142" s="47" t="s">
        <v>113</v>
      </c>
      <c r="C1142" s="47">
        <v>105</v>
      </c>
      <c r="D1142" s="47" t="s">
        <v>1097</v>
      </c>
      <c r="E1142" s="41" t="s">
        <v>1098</v>
      </c>
      <c r="F1142" s="41" t="s">
        <v>1098</v>
      </c>
      <c r="G1142" s="21" t="str">
        <f>VLOOKUP(D1142,[6]成飞半成品!$A:$B,2,0)</f>
        <v>根肋一段</v>
      </c>
      <c r="H1142" s="47" t="s">
        <v>250</v>
      </c>
      <c r="I1142" s="47">
        <v>20</v>
      </c>
      <c r="J1142" s="47" t="s">
        <v>2132</v>
      </c>
      <c r="K1142" s="47">
        <v>0.8</v>
      </c>
      <c r="L1142" s="47">
        <v>1</v>
      </c>
      <c r="M1142" s="51">
        <v>25</v>
      </c>
      <c r="N1142" s="51">
        <v>25</v>
      </c>
      <c r="O1142" s="55" t="s">
        <v>292</v>
      </c>
      <c r="P1142" s="47"/>
      <c r="Q1142" s="47">
        <v>770</v>
      </c>
      <c r="R1142" s="47">
        <v>60</v>
      </c>
      <c r="S1142" s="47"/>
      <c r="T1142" s="47">
        <v>1</v>
      </c>
      <c r="U1142" s="47">
        <v>90</v>
      </c>
      <c r="V1142" s="47"/>
      <c r="Y1142" s="79">
        <v>13.8</v>
      </c>
      <c r="Z1142" s="86" t="s">
        <v>28</v>
      </c>
    </row>
    <row r="1143" spans="1:27" s="51" customFormat="1" ht="23.1" customHeight="1" x14ac:dyDescent="0.25">
      <c r="A1143" s="53" t="s">
        <v>452</v>
      </c>
      <c r="B1143" s="47" t="s">
        <v>113</v>
      </c>
      <c r="C1143" s="47">
        <v>99</v>
      </c>
      <c r="D1143" s="47" t="s">
        <v>1091</v>
      </c>
      <c r="E1143" s="41" t="s">
        <v>1092</v>
      </c>
      <c r="F1143" s="41" t="s">
        <v>1092</v>
      </c>
      <c r="G1143" s="21" t="str">
        <f>VLOOKUP(D1143,[6]成飞半成品!$A:$B,2,0)</f>
        <v>氧气瓶支架</v>
      </c>
      <c r="H1143" s="47" t="s">
        <v>118</v>
      </c>
      <c r="I1143" s="47">
        <v>40</v>
      </c>
      <c r="J1143" s="47" t="s">
        <v>2145</v>
      </c>
      <c r="K1143" s="47">
        <v>1</v>
      </c>
      <c r="L1143" s="47">
        <v>1</v>
      </c>
      <c r="M1143" s="51">
        <v>25</v>
      </c>
      <c r="N1143" s="51">
        <v>25</v>
      </c>
      <c r="O1143" s="55" t="s">
        <v>509</v>
      </c>
      <c r="P1143" s="47"/>
      <c r="Q1143" s="47">
        <v>390</v>
      </c>
      <c r="R1143" s="47">
        <v>60</v>
      </c>
      <c r="S1143" s="47"/>
      <c r="T1143" s="47">
        <v>1</v>
      </c>
      <c r="U1143" s="47">
        <v>120</v>
      </c>
      <c r="V1143" s="47"/>
      <c r="Y1143" s="79">
        <v>7.5</v>
      </c>
      <c r="Z1143" s="86" t="s">
        <v>21</v>
      </c>
    </row>
    <row r="1144" spans="1:27" s="51" customFormat="1" ht="23.1" customHeight="1" x14ac:dyDescent="0.25">
      <c r="A1144" s="53" t="s">
        <v>452</v>
      </c>
      <c r="B1144" s="47" t="s">
        <v>113</v>
      </c>
      <c r="C1144" s="47">
        <v>99</v>
      </c>
      <c r="D1144" s="47" t="s">
        <v>1091</v>
      </c>
      <c r="E1144" s="41" t="s">
        <v>1092</v>
      </c>
      <c r="F1144" s="41" t="s">
        <v>1092</v>
      </c>
      <c r="G1144" s="21" t="str">
        <f>VLOOKUP(D1144,[6]成飞半成品!$A:$B,2,0)</f>
        <v>氧气瓶支架</v>
      </c>
      <c r="H1144" s="47" t="s">
        <v>118</v>
      </c>
      <c r="I1144" s="47">
        <v>45</v>
      </c>
      <c r="J1144" s="47" t="s">
        <v>2146</v>
      </c>
      <c r="K1144" s="47">
        <v>2</v>
      </c>
      <c r="L1144" s="47">
        <v>2</v>
      </c>
      <c r="M1144" s="51">
        <v>25</v>
      </c>
      <c r="N1144" s="51">
        <v>25</v>
      </c>
      <c r="O1144" s="55" t="s">
        <v>1093</v>
      </c>
      <c r="P1144" s="47"/>
      <c r="Q1144" s="47">
        <v>60</v>
      </c>
      <c r="R1144" s="47">
        <v>60</v>
      </c>
      <c r="S1144" s="47"/>
      <c r="T1144" s="47">
        <v>2</v>
      </c>
      <c r="U1144" s="47">
        <v>120</v>
      </c>
      <c r="V1144" s="47"/>
      <c r="W1144" s="51">
        <v>1</v>
      </c>
      <c r="Y1144" s="79">
        <v>6</v>
      </c>
      <c r="Z1144" s="86" t="s">
        <v>21</v>
      </c>
    </row>
    <row r="1145" spans="1:27" s="51" customFormat="1" ht="23.1" customHeight="1" x14ac:dyDescent="0.25">
      <c r="A1145" s="53" t="s">
        <v>452</v>
      </c>
      <c r="B1145" s="47" t="s">
        <v>113</v>
      </c>
      <c r="C1145" s="47">
        <v>44</v>
      </c>
      <c r="D1145" s="47" t="s">
        <v>1074</v>
      </c>
      <c r="E1145" s="41" t="s">
        <v>1075</v>
      </c>
      <c r="F1145" s="41" t="s">
        <v>1075</v>
      </c>
      <c r="G1145" s="21" t="str">
        <f>VLOOKUP(D1145,[6]成飞半成品!$A:$B,2,0)</f>
        <v>油箱底板（中）</v>
      </c>
      <c r="H1145" s="47" t="s">
        <v>154</v>
      </c>
      <c r="I1145" s="47">
        <v>45</v>
      </c>
      <c r="J1145" s="47" t="s">
        <v>2125</v>
      </c>
      <c r="K1145" s="47">
        <v>1</v>
      </c>
      <c r="L1145" s="47">
        <v>1.3</v>
      </c>
      <c r="M1145" s="51">
        <v>25</v>
      </c>
      <c r="N1145" s="51">
        <v>25</v>
      </c>
      <c r="O1145" s="55" t="s">
        <v>1127</v>
      </c>
      <c r="P1145" s="47"/>
      <c r="Q1145" s="47">
        <v>600</v>
      </c>
      <c r="R1145" s="47"/>
      <c r="S1145" s="47"/>
      <c r="T1145" s="47">
        <v>2</v>
      </c>
      <c r="U1145" s="47">
        <v>120</v>
      </c>
      <c r="V1145" s="47"/>
      <c r="Y1145" s="79">
        <v>13</v>
      </c>
      <c r="Z1145" s="86" t="s">
        <v>56</v>
      </c>
    </row>
    <row r="1146" spans="1:27" s="51" customFormat="1" ht="23.1" customHeight="1" x14ac:dyDescent="0.25">
      <c r="A1146" s="53" t="s">
        <v>452</v>
      </c>
      <c r="B1146" s="47" t="s">
        <v>113</v>
      </c>
      <c r="C1146" s="47">
        <v>19</v>
      </c>
      <c r="D1146" s="47" t="s">
        <v>1071</v>
      </c>
      <c r="E1146" s="41" t="s">
        <v>1072</v>
      </c>
      <c r="F1146" s="41" t="e">
        <v>#N/A</v>
      </c>
      <c r="G1146" s="21" t="e">
        <f>VLOOKUP(D1146,[6]成飞半成品!$A:$B,2,0)</f>
        <v>#N/A</v>
      </c>
      <c r="H1146" s="47" t="s">
        <v>250</v>
      </c>
      <c r="I1146" s="47">
        <v>30</v>
      </c>
      <c r="J1146" s="47" t="s">
        <v>2123</v>
      </c>
      <c r="K1146" s="47">
        <v>1</v>
      </c>
      <c r="L1146" s="47">
        <v>0.9</v>
      </c>
      <c r="M1146" s="51">
        <v>25</v>
      </c>
      <c r="N1146" s="51">
        <v>25</v>
      </c>
      <c r="O1146" s="55" t="s">
        <v>1121</v>
      </c>
      <c r="P1146" s="47"/>
      <c r="Q1146" s="47">
        <v>650</v>
      </c>
      <c r="R1146" s="47">
        <v>90</v>
      </c>
      <c r="S1146" s="47"/>
      <c r="T1146" s="47">
        <v>1</v>
      </c>
      <c r="U1146" s="47">
        <v>60</v>
      </c>
      <c r="V1146" s="47"/>
      <c r="Y1146" s="79">
        <v>11.3</v>
      </c>
      <c r="Z1146" s="86" t="s">
        <v>11</v>
      </c>
    </row>
    <row r="1147" spans="1:27" s="51" customFormat="1" ht="23.1" customHeight="1" x14ac:dyDescent="0.25">
      <c r="A1147" s="53" t="s">
        <v>539</v>
      </c>
      <c r="B1147" s="47" t="s">
        <v>113</v>
      </c>
      <c r="C1147" s="47">
        <v>102</v>
      </c>
      <c r="D1147" s="47" t="s">
        <v>1067</v>
      </c>
      <c r="E1147" s="41" t="s">
        <v>1068</v>
      </c>
      <c r="F1147" s="41" t="s">
        <v>1068</v>
      </c>
      <c r="G1147" s="21" t="str">
        <f>VLOOKUP(D1147,[6]成飞半成品!$A:$B,2,0)</f>
        <v>11900梁一段（右件）</v>
      </c>
      <c r="H1147" s="47" t="s">
        <v>323</v>
      </c>
      <c r="I1147" s="47">
        <v>40</v>
      </c>
      <c r="J1147" s="47" t="s">
        <v>2122</v>
      </c>
      <c r="K1147" s="47">
        <v>0.7</v>
      </c>
      <c r="L1147" s="47">
        <v>0.9</v>
      </c>
      <c r="M1147" s="51">
        <v>25</v>
      </c>
      <c r="N1147" s="51">
        <v>25</v>
      </c>
      <c r="O1147" s="55" t="s">
        <v>463</v>
      </c>
      <c r="P1147" s="47"/>
      <c r="Q1147" s="47">
        <v>90</v>
      </c>
      <c r="R1147" s="47">
        <v>60</v>
      </c>
      <c r="S1147" s="47"/>
      <c r="T1147" s="47">
        <v>1</v>
      </c>
      <c r="U1147" s="47">
        <v>120</v>
      </c>
      <c r="V1147" s="47"/>
      <c r="Y1147" s="79">
        <v>2.4</v>
      </c>
      <c r="Z1147" s="86" t="s">
        <v>67</v>
      </c>
    </row>
    <row r="1148" spans="1:27" s="51" customFormat="1" ht="23.1" customHeight="1" x14ac:dyDescent="0.25">
      <c r="A1148" s="53" t="s">
        <v>539</v>
      </c>
      <c r="B1148" s="47" t="s">
        <v>113</v>
      </c>
      <c r="C1148" s="47">
        <v>101</v>
      </c>
      <c r="D1148" s="47" t="s">
        <v>1128</v>
      </c>
      <c r="E1148" s="41" t="s">
        <v>708</v>
      </c>
      <c r="F1148" s="41" t="e">
        <v>#N/A</v>
      </c>
      <c r="G1148" s="21" t="e">
        <f>VLOOKUP(D1148,[6]成飞半成品!$A:$B,2,0)</f>
        <v>#N/A</v>
      </c>
      <c r="H1148" s="47" t="s">
        <v>250</v>
      </c>
      <c r="I1148" s="47">
        <v>20</v>
      </c>
      <c r="J1148" s="47" t="s">
        <v>1950</v>
      </c>
      <c r="K1148" s="47">
        <v>2</v>
      </c>
      <c r="L1148" s="47">
        <v>2.9</v>
      </c>
      <c r="M1148" s="51">
        <v>25</v>
      </c>
      <c r="N1148" s="51">
        <v>25</v>
      </c>
      <c r="O1148" s="55" t="s">
        <v>1129</v>
      </c>
      <c r="P1148" s="47"/>
      <c r="Q1148" s="47">
        <v>300</v>
      </c>
      <c r="R1148" s="47">
        <v>60</v>
      </c>
      <c r="S1148" s="47"/>
      <c r="T1148" s="47">
        <v>3</v>
      </c>
      <c r="U1148" s="47">
        <v>60</v>
      </c>
      <c r="V1148" s="47"/>
      <c r="Y1148" s="79">
        <v>17.5</v>
      </c>
      <c r="Z1148" s="86" t="s">
        <v>67</v>
      </c>
      <c r="AA1148" s="51" t="s">
        <v>1130</v>
      </c>
    </row>
    <row r="1149" spans="1:27" s="51" customFormat="1" ht="23.1" customHeight="1" x14ac:dyDescent="0.25">
      <c r="A1149" s="53" t="s">
        <v>539</v>
      </c>
      <c r="B1149" s="47" t="s">
        <v>113</v>
      </c>
      <c r="C1149" s="47">
        <v>100</v>
      </c>
      <c r="D1149" s="65" t="s">
        <v>2551</v>
      </c>
      <c r="E1149" s="41" t="s">
        <v>938</v>
      </c>
      <c r="F1149" s="41" t="s">
        <v>938</v>
      </c>
      <c r="G1149" s="21" t="str">
        <f>VLOOKUP(D1149,[6]成飞半成品!$A:$B,2,0)</f>
        <v>工装</v>
      </c>
      <c r="H1149" s="47" t="s">
        <v>939</v>
      </c>
      <c r="I1149" s="47">
        <v>50</v>
      </c>
      <c r="J1149" s="47" t="s">
        <v>2126</v>
      </c>
      <c r="K1149" s="47">
        <v>0.5</v>
      </c>
      <c r="L1149" s="47">
        <v>0.6</v>
      </c>
      <c r="M1149" s="51">
        <v>25</v>
      </c>
      <c r="N1149" s="51">
        <v>25</v>
      </c>
      <c r="O1149" s="55" t="s">
        <v>421</v>
      </c>
      <c r="P1149" s="47"/>
      <c r="Q1149" s="47">
        <v>60</v>
      </c>
      <c r="R1149" s="47">
        <v>60</v>
      </c>
      <c r="S1149" s="47"/>
      <c r="T1149" s="47"/>
      <c r="U1149" s="47">
        <v>60</v>
      </c>
      <c r="V1149" s="47"/>
      <c r="X1149" s="51">
        <v>3</v>
      </c>
      <c r="Y1149" s="79">
        <v>3.6</v>
      </c>
      <c r="Z1149" s="86" t="s">
        <v>67</v>
      </c>
      <c r="AA1149" s="51" t="s">
        <v>1078</v>
      </c>
    </row>
    <row r="1150" spans="1:27" s="51" customFormat="1" ht="23.1" customHeight="1" x14ac:dyDescent="0.25">
      <c r="A1150" s="53" t="s">
        <v>539</v>
      </c>
      <c r="B1150" s="47" t="s">
        <v>113</v>
      </c>
      <c r="C1150" s="47">
        <v>97</v>
      </c>
      <c r="D1150" s="47" t="s">
        <v>1176</v>
      </c>
      <c r="E1150" s="41" t="s">
        <v>1065</v>
      </c>
      <c r="F1150" s="41" t="s">
        <v>1065</v>
      </c>
      <c r="G1150" s="21" t="str">
        <f>VLOOKUP(D1150,[6]成飞半成品!$A:$B,2,0)</f>
        <v>根肋一段</v>
      </c>
      <c r="H1150" s="47" t="s">
        <v>250</v>
      </c>
      <c r="I1150" s="47">
        <v>50</v>
      </c>
      <c r="J1150" s="47" t="s">
        <v>2118</v>
      </c>
      <c r="K1150" s="47">
        <v>1</v>
      </c>
      <c r="L1150" s="47">
        <v>1.7</v>
      </c>
      <c r="M1150" s="51">
        <v>25</v>
      </c>
      <c r="N1150" s="51">
        <v>25</v>
      </c>
      <c r="O1150" s="55" t="s">
        <v>1077</v>
      </c>
      <c r="P1150" s="47"/>
      <c r="Q1150" s="47">
        <v>420</v>
      </c>
      <c r="R1150" s="47">
        <v>60</v>
      </c>
      <c r="S1150" s="47"/>
      <c r="T1150" s="47">
        <v>2</v>
      </c>
      <c r="U1150" s="47">
        <v>90</v>
      </c>
      <c r="V1150" s="47"/>
      <c r="Y1150" s="79">
        <v>13.9</v>
      </c>
      <c r="Z1150" s="86" t="s">
        <v>67</v>
      </c>
    </row>
    <row r="1151" spans="1:27" s="51" customFormat="1" ht="23.1" customHeight="1" x14ac:dyDescent="0.25">
      <c r="A1151" s="53" t="s">
        <v>539</v>
      </c>
      <c r="B1151" s="47" t="s">
        <v>113</v>
      </c>
      <c r="C1151" s="47">
        <v>97</v>
      </c>
      <c r="D1151" s="47" t="s">
        <v>1176</v>
      </c>
      <c r="E1151" s="41" t="s">
        <v>1065</v>
      </c>
      <c r="F1151" s="41" t="s">
        <v>1065</v>
      </c>
      <c r="G1151" s="21" t="str">
        <f>VLOOKUP(D1151,[6]成飞半成品!$A:$B,2,0)</f>
        <v>根肋一段</v>
      </c>
      <c r="H1151" s="47" t="s">
        <v>250</v>
      </c>
      <c r="I1151" s="47">
        <v>55</v>
      </c>
      <c r="J1151" s="47" t="s">
        <v>2119</v>
      </c>
      <c r="K1151" s="47">
        <v>1</v>
      </c>
      <c r="L1151" s="47">
        <v>1</v>
      </c>
      <c r="M1151" s="51">
        <v>25</v>
      </c>
      <c r="N1151" s="51">
        <v>25</v>
      </c>
      <c r="O1151" s="55" t="s">
        <v>1077</v>
      </c>
      <c r="P1151" s="47"/>
      <c r="Q1151" s="47">
        <v>60</v>
      </c>
      <c r="R1151" s="47">
        <v>60</v>
      </c>
      <c r="S1151" s="47"/>
      <c r="T1151" s="47">
        <v>2</v>
      </c>
      <c r="U1151" s="47">
        <v>60</v>
      </c>
      <c r="V1151" s="47"/>
      <c r="Y1151" s="79">
        <v>3</v>
      </c>
      <c r="Z1151" s="86" t="s">
        <v>67</v>
      </c>
    </row>
    <row r="1152" spans="1:27" s="51" customFormat="1" ht="23.1" customHeight="1" x14ac:dyDescent="0.25">
      <c r="A1152" s="53" t="s">
        <v>539</v>
      </c>
      <c r="B1152" s="47" t="s">
        <v>113</v>
      </c>
      <c r="C1152" s="47">
        <v>83</v>
      </c>
      <c r="D1152" s="47" t="s">
        <v>1095</v>
      </c>
      <c r="E1152" s="41" t="s">
        <v>1096</v>
      </c>
      <c r="F1152" s="41" t="s">
        <v>1096</v>
      </c>
      <c r="G1152" s="21" t="str">
        <f>VLOOKUP(D1152,[6]成飞半成品!$A:$B,2,0)</f>
        <v>1150肋根肋</v>
      </c>
      <c r="H1152" s="47" t="s">
        <v>658</v>
      </c>
      <c r="I1152" s="47">
        <v>35</v>
      </c>
      <c r="J1152" s="47" t="s">
        <v>2139</v>
      </c>
      <c r="K1152" s="47">
        <v>1.5</v>
      </c>
      <c r="L1152" s="47">
        <v>1.7</v>
      </c>
      <c r="M1152" s="51">
        <v>25</v>
      </c>
      <c r="N1152" s="51">
        <v>25</v>
      </c>
      <c r="O1152" s="55" t="s">
        <v>282</v>
      </c>
      <c r="P1152" s="47"/>
      <c r="Q1152" s="47">
        <v>600</v>
      </c>
      <c r="R1152" s="47">
        <v>60</v>
      </c>
      <c r="S1152" s="47"/>
      <c r="T1152" s="47">
        <v>1</v>
      </c>
      <c r="U1152" s="47">
        <v>120</v>
      </c>
      <c r="V1152" s="47"/>
      <c r="Y1152" s="79">
        <v>18</v>
      </c>
      <c r="Z1152" s="86" t="s">
        <v>67</v>
      </c>
    </row>
    <row r="1153" spans="1:27" s="51" customFormat="1" ht="23.1" customHeight="1" x14ac:dyDescent="0.25">
      <c r="A1153" s="53" t="s">
        <v>539</v>
      </c>
      <c r="B1153" s="47" t="s">
        <v>113</v>
      </c>
      <c r="C1153" s="47">
        <v>99</v>
      </c>
      <c r="D1153" s="47" t="s">
        <v>1091</v>
      </c>
      <c r="E1153" s="41" t="s">
        <v>1092</v>
      </c>
      <c r="F1153" s="41" t="s">
        <v>1092</v>
      </c>
      <c r="G1153" s="21" t="str">
        <f>VLOOKUP(D1153,[6]成飞半成品!$A:$B,2,0)</f>
        <v>氧气瓶支架</v>
      </c>
      <c r="H1153" s="47" t="s">
        <v>118</v>
      </c>
      <c r="I1153" s="47">
        <v>35</v>
      </c>
      <c r="J1153" s="47" t="s">
        <v>2141</v>
      </c>
      <c r="K1153" s="47">
        <v>1.5</v>
      </c>
      <c r="L1153" s="47">
        <v>2.6</v>
      </c>
      <c r="M1153" s="51">
        <v>25</v>
      </c>
      <c r="N1153" s="51">
        <v>25</v>
      </c>
      <c r="O1153" s="55" t="s">
        <v>1131</v>
      </c>
      <c r="P1153" s="47"/>
      <c r="Q1153" s="47">
        <v>480</v>
      </c>
      <c r="R1153" s="47">
        <v>60</v>
      </c>
      <c r="S1153" s="47"/>
      <c r="T1153" s="47">
        <v>2</v>
      </c>
      <c r="U1153" s="47">
        <v>120</v>
      </c>
      <c r="V1153" s="47"/>
      <c r="Y1153" s="79">
        <v>22.8</v>
      </c>
      <c r="Z1153" s="86" t="s">
        <v>21</v>
      </c>
    </row>
    <row r="1154" spans="1:27" s="51" customFormat="1" ht="23.1" customHeight="1" x14ac:dyDescent="0.25">
      <c r="A1154" s="53" t="s">
        <v>539</v>
      </c>
      <c r="B1154" s="47" t="s">
        <v>113</v>
      </c>
      <c r="C1154" s="47">
        <v>103</v>
      </c>
      <c r="D1154" s="47" t="s">
        <v>395</v>
      </c>
      <c r="E1154" s="41" t="s">
        <v>396</v>
      </c>
      <c r="F1154" s="41" t="e">
        <v>#N/A</v>
      </c>
      <c r="G1154" s="21" t="e">
        <f>VLOOKUP(D1154,[6]成飞半成品!$A:$B,2,0)</f>
        <v>#N/A</v>
      </c>
      <c r="H1154" s="47" t="s">
        <v>300</v>
      </c>
      <c r="I1154" s="47">
        <v>40</v>
      </c>
      <c r="J1154" s="47" t="s">
        <v>2147</v>
      </c>
      <c r="K1154" s="47">
        <v>0.5</v>
      </c>
      <c r="L1154" s="47">
        <v>1</v>
      </c>
      <c r="M1154" s="51">
        <v>25</v>
      </c>
      <c r="N1154" s="51">
        <v>25</v>
      </c>
      <c r="O1154" s="55" t="s">
        <v>1132</v>
      </c>
      <c r="P1154" s="47"/>
      <c r="Q1154" s="47">
        <v>420</v>
      </c>
      <c r="R1154" s="47">
        <v>90</v>
      </c>
      <c r="S1154" s="47"/>
      <c r="T1154" s="47">
        <v>1</v>
      </c>
      <c r="U1154" s="47">
        <v>180</v>
      </c>
      <c r="V1154" s="47"/>
      <c r="X1154" s="51">
        <v>5</v>
      </c>
      <c r="Y1154" s="79">
        <v>13.5</v>
      </c>
      <c r="Z1154" s="86" t="s">
        <v>62</v>
      </c>
      <c r="AA1154" s="51" t="s">
        <v>1133</v>
      </c>
    </row>
    <row r="1155" spans="1:27" s="51" customFormat="1" ht="23.1" customHeight="1" x14ac:dyDescent="0.25">
      <c r="A1155" s="53" t="s">
        <v>539</v>
      </c>
      <c r="B1155" s="47" t="s">
        <v>113</v>
      </c>
      <c r="C1155" s="47">
        <v>19</v>
      </c>
      <c r="D1155" s="47" t="s">
        <v>1071</v>
      </c>
      <c r="E1155" s="41" t="s">
        <v>1072</v>
      </c>
      <c r="F1155" s="41" t="e">
        <v>#N/A</v>
      </c>
      <c r="G1155" s="21" t="e">
        <f>VLOOKUP(D1155,[6]成飞半成品!$A:$B,2,0)</f>
        <v>#N/A</v>
      </c>
      <c r="H1155" s="47" t="s">
        <v>250</v>
      </c>
      <c r="I1155" s="47">
        <v>30</v>
      </c>
      <c r="J1155" s="47" t="s">
        <v>2123</v>
      </c>
      <c r="K1155" s="47">
        <v>0.9</v>
      </c>
      <c r="L1155" s="47">
        <v>1</v>
      </c>
      <c r="M1155" s="51">
        <v>25</v>
      </c>
      <c r="N1155" s="51">
        <v>25</v>
      </c>
      <c r="O1155" s="55" t="s">
        <v>1134</v>
      </c>
      <c r="P1155" s="47"/>
      <c r="Q1155" s="47">
        <v>650</v>
      </c>
      <c r="R1155" s="47">
        <v>90</v>
      </c>
      <c r="S1155" s="47"/>
      <c r="T1155" s="47">
        <v>1</v>
      </c>
      <c r="U1155" s="47">
        <v>60</v>
      </c>
      <c r="V1155" s="47"/>
      <c r="Y1155" s="79">
        <v>12.3</v>
      </c>
      <c r="Z1155" s="86" t="s">
        <v>11</v>
      </c>
    </row>
    <row r="1156" spans="1:27" s="51" customFormat="1" ht="23.1" customHeight="1" x14ac:dyDescent="0.25">
      <c r="A1156" s="53" t="s">
        <v>539</v>
      </c>
      <c r="B1156" s="47" t="s">
        <v>113</v>
      </c>
      <c r="C1156" s="47">
        <v>44</v>
      </c>
      <c r="D1156" s="47" t="s">
        <v>1074</v>
      </c>
      <c r="E1156" s="41" t="s">
        <v>1075</v>
      </c>
      <c r="F1156" s="41" t="s">
        <v>1075</v>
      </c>
      <c r="G1156" s="21" t="str">
        <f>VLOOKUP(D1156,[6]成飞半成品!$A:$B,2,0)</f>
        <v>油箱底板（中）</v>
      </c>
      <c r="H1156" s="47" t="s">
        <v>154</v>
      </c>
      <c r="I1156" s="47">
        <v>50</v>
      </c>
      <c r="J1156" s="47" t="s">
        <v>2148</v>
      </c>
      <c r="K1156" s="47">
        <v>1</v>
      </c>
      <c r="L1156" s="47">
        <v>1.1000000000000001</v>
      </c>
      <c r="M1156" s="51">
        <v>25</v>
      </c>
      <c r="N1156" s="51">
        <v>25</v>
      </c>
      <c r="O1156" s="55" t="s">
        <v>1127</v>
      </c>
      <c r="P1156" s="47"/>
      <c r="Q1156" s="47">
        <v>500</v>
      </c>
      <c r="R1156" s="47"/>
      <c r="S1156" s="47"/>
      <c r="T1156" s="47">
        <v>1</v>
      </c>
      <c r="U1156" s="47">
        <v>120</v>
      </c>
      <c r="V1156" s="47"/>
      <c r="Y1156" s="79">
        <v>9.1999999999999993</v>
      </c>
      <c r="Z1156" s="86" t="s">
        <v>56</v>
      </c>
    </row>
    <row r="1157" spans="1:27" s="51" customFormat="1" ht="23.1" customHeight="1" x14ac:dyDescent="0.25">
      <c r="A1157" s="53" t="s">
        <v>539</v>
      </c>
      <c r="B1157" s="47" t="s">
        <v>113</v>
      </c>
      <c r="C1157" s="47">
        <v>105</v>
      </c>
      <c r="D1157" s="47" t="s">
        <v>1097</v>
      </c>
      <c r="E1157" s="41" t="s">
        <v>1098</v>
      </c>
      <c r="F1157" s="41" t="s">
        <v>1098</v>
      </c>
      <c r="G1157" s="21" t="str">
        <f>VLOOKUP(D1157,[6]成飞半成品!$A:$B,2,0)</f>
        <v>根肋一段</v>
      </c>
      <c r="H1157" s="47" t="s">
        <v>250</v>
      </c>
      <c r="I1157" s="47">
        <v>25</v>
      </c>
      <c r="J1157" s="47" t="s">
        <v>2149</v>
      </c>
      <c r="K1157" s="47">
        <v>3</v>
      </c>
      <c r="L1157" s="47">
        <v>3</v>
      </c>
      <c r="M1157" s="51">
        <v>25</v>
      </c>
      <c r="N1157" s="51">
        <v>25</v>
      </c>
      <c r="O1157" s="55" t="s">
        <v>292</v>
      </c>
      <c r="P1157" s="47"/>
      <c r="Q1157" s="47">
        <v>210</v>
      </c>
      <c r="R1157" s="47">
        <v>60</v>
      </c>
      <c r="S1157" s="47"/>
      <c r="T1157" s="47">
        <v>3</v>
      </c>
      <c r="U1157" s="47">
        <v>60</v>
      </c>
      <c r="V1157" s="47"/>
      <c r="W1157" s="51">
        <v>1</v>
      </c>
      <c r="Y1157" s="79">
        <v>14.5</v>
      </c>
      <c r="Z1157" s="86" t="s">
        <v>28</v>
      </c>
    </row>
    <row r="1158" spans="1:27" s="51" customFormat="1" ht="23.1" customHeight="1" x14ac:dyDescent="0.25">
      <c r="A1158" s="53" t="s">
        <v>539</v>
      </c>
      <c r="B1158" s="47" t="s">
        <v>113</v>
      </c>
      <c r="C1158" s="47">
        <v>105</v>
      </c>
      <c r="D1158" s="47" t="s">
        <v>1097</v>
      </c>
      <c r="E1158" s="41" t="s">
        <v>1098</v>
      </c>
      <c r="F1158" s="41" t="s">
        <v>1098</v>
      </c>
      <c r="G1158" s="21" t="str">
        <f>VLOOKUP(D1158,[6]成飞半成品!$A:$B,2,0)</f>
        <v>根肋一段</v>
      </c>
      <c r="H1158" s="47" t="s">
        <v>250</v>
      </c>
      <c r="I1158" s="47">
        <v>20</v>
      </c>
      <c r="J1158" s="47" t="s">
        <v>2132</v>
      </c>
      <c r="K1158" s="47"/>
      <c r="L1158" s="47">
        <v>0.1</v>
      </c>
      <c r="M1158" s="51">
        <v>25</v>
      </c>
      <c r="N1158" s="51">
        <v>25</v>
      </c>
      <c r="O1158" s="55" t="s">
        <v>292</v>
      </c>
      <c r="P1158" s="47"/>
      <c r="Q1158" s="47">
        <v>770</v>
      </c>
      <c r="R1158" s="47">
        <v>60</v>
      </c>
      <c r="S1158" s="47"/>
      <c r="T1158" s="47"/>
      <c r="U1158" s="47">
        <v>90</v>
      </c>
      <c r="V1158" s="47"/>
      <c r="Y1158" s="79">
        <v>1.3</v>
      </c>
      <c r="Z1158" s="86" t="s">
        <v>28</v>
      </c>
    </row>
    <row r="1159" spans="1:27" s="51" customFormat="1" ht="23.1" customHeight="1" x14ac:dyDescent="0.25">
      <c r="A1159" s="53" t="s">
        <v>539</v>
      </c>
      <c r="B1159" s="47" t="s">
        <v>113</v>
      </c>
      <c r="C1159" s="47">
        <v>98</v>
      </c>
      <c r="D1159" s="47" t="s">
        <v>481</v>
      </c>
      <c r="E1159" s="41" t="s">
        <v>482</v>
      </c>
      <c r="F1159" s="41" t="s">
        <v>482</v>
      </c>
      <c r="G1159" s="21" t="str">
        <f>VLOOKUP(D1159,[6]成飞半成品!$A:$B,2,0)</f>
        <v>11140框左下半框</v>
      </c>
      <c r="H1159" s="47" t="s">
        <v>118</v>
      </c>
      <c r="I1159" s="47">
        <v>15</v>
      </c>
      <c r="J1159" s="47" t="s">
        <v>2144</v>
      </c>
      <c r="K1159" s="47">
        <v>0.8</v>
      </c>
      <c r="L1159" s="47">
        <v>1.2</v>
      </c>
      <c r="M1159" s="51">
        <v>25</v>
      </c>
      <c r="N1159" s="51">
        <v>25</v>
      </c>
      <c r="O1159" s="55" t="s">
        <v>1135</v>
      </c>
      <c r="P1159" s="47"/>
      <c r="Q1159" s="47">
        <v>720</v>
      </c>
      <c r="R1159" s="47">
        <v>60</v>
      </c>
      <c r="S1159" s="47"/>
      <c r="T1159" s="47">
        <v>1</v>
      </c>
      <c r="U1159" s="47">
        <v>120</v>
      </c>
      <c r="V1159" s="47"/>
      <c r="Y1159" s="79">
        <v>15.4</v>
      </c>
      <c r="Z1159" s="86" t="s">
        <v>1</v>
      </c>
    </row>
    <row r="1160" spans="1:27" s="51" customFormat="1" ht="23.1" customHeight="1" x14ac:dyDescent="0.25">
      <c r="A1160" s="53" t="s">
        <v>539</v>
      </c>
      <c r="B1160" s="47" t="s">
        <v>110</v>
      </c>
      <c r="C1160" s="47">
        <v>98</v>
      </c>
      <c r="D1160" s="47" t="s">
        <v>481</v>
      </c>
      <c r="E1160" s="41" t="s">
        <v>482</v>
      </c>
      <c r="F1160" s="41" t="s">
        <v>482</v>
      </c>
      <c r="G1160" s="21" t="str">
        <f>VLOOKUP(D1160,[6]成飞半成品!$A:$B,2,0)</f>
        <v>11140框左下半框</v>
      </c>
      <c r="H1160" s="47" t="s">
        <v>118</v>
      </c>
      <c r="I1160" s="47">
        <v>15</v>
      </c>
      <c r="J1160" s="47" t="s">
        <v>2144</v>
      </c>
      <c r="K1160" s="47">
        <v>0.8</v>
      </c>
      <c r="L1160" s="47">
        <v>1</v>
      </c>
      <c r="M1160" s="51">
        <v>32</v>
      </c>
      <c r="N1160" s="51">
        <v>32</v>
      </c>
      <c r="O1160" s="55" t="s">
        <v>1119</v>
      </c>
      <c r="P1160" s="47"/>
      <c r="Q1160" s="47">
        <v>720</v>
      </c>
      <c r="R1160" s="47">
        <v>60</v>
      </c>
      <c r="S1160" s="47"/>
      <c r="T1160" s="47">
        <v>1</v>
      </c>
      <c r="U1160" s="47">
        <v>120</v>
      </c>
      <c r="V1160" s="47"/>
      <c r="Y1160" s="79">
        <v>13</v>
      </c>
      <c r="Z1160" s="86" t="s">
        <v>39</v>
      </c>
    </row>
    <row r="1161" spans="1:27" s="51" customFormat="1" ht="23.1" customHeight="1" x14ac:dyDescent="0.25">
      <c r="A1161" s="53" t="s">
        <v>539</v>
      </c>
      <c r="B1161" s="47" t="s">
        <v>110</v>
      </c>
      <c r="C1161" s="47">
        <v>99</v>
      </c>
      <c r="D1161" s="47" t="s">
        <v>1091</v>
      </c>
      <c r="E1161" s="41" t="s">
        <v>1092</v>
      </c>
      <c r="F1161" s="41" t="s">
        <v>1092</v>
      </c>
      <c r="G1161" s="21" t="str">
        <f>VLOOKUP(D1161,[6]成飞半成品!$A:$B,2,0)</f>
        <v>氧气瓶支架</v>
      </c>
      <c r="H1161" s="47" t="s">
        <v>118</v>
      </c>
      <c r="I1161" s="47">
        <v>35</v>
      </c>
      <c r="J1161" s="47" t="s">
        <v>2141</v>
      </c>
      <c r="K1161" s="47">
        <v>1.5</v>
      </c>
      <c r="L1161" s="47">
        <v>1.4</v>
      </c>
      <c r="M1161" s="51">
        <v>32</v>
      </c>
      <c r="N1161" s="51">
        <v>32</v>
      </c>
      <c r="O1161" s="55" t="s">
        <v>1136</v>
      </c>
      <c r="P1161" s="47"/>
      <c r="Q1161" s="47">
        <v>480</v>
      </c>
      <c r="R1161" s="47">
        <v>60</v>
      </c>
      <c r="S1161" s="47"/>
      <c r="T1161" s="47">
        <v>2</v>
      </c>
      <c r="U1161" s="47">
        <v>120</v>
      </c>
      <c r="V1161" s="47"/>
      <c r="W1161" s="51">
        <v>1</v>
      </c>
      <c r="Y1161" s="79">
        <v>15.2</v>
      </c>
      <c r="Z1161" s="86" t="s">
        <v>29</v>
      </c>
    </row>
    <row r="1162" spans="1:27" s="51" customFormat="1" ht="23.1" customHeight="1" x14ac:dyDescent="0.25">
      <c r="A1162" s="53" t="s">
        <v>539</v>
      </c>
      <c r="B1162" s="47" t="s">
        <v>110</v>
      </c>
      <c r="C1162" s="47">
        <v>101</v>
      </c>
      <c r="D1162" s="47" t="s">
        <v>1099</v>
      </c>
      <c r="E1162" s="41" t="s">
        <v>760</v>
      </c>
      <c r="F1162" s="41" t="e">
        <v>#N/A</v>
      </c>
      <c r="G1162" s="21" t="e">
        <f>VLOOKUP(D1162,[6]成飞半成品!$A:$B,2,0)</f>
        <v>#N/A</v>
      </c>
      <c r="H1162" s="47" t="s">
        <v>300</v>
      </c>
      <c r="I1162" s="47">
        <v>32</v>
      </c>
      <c r="J1162" s="47"/>
      <c r="K1162" s="47">
        <v>1</v>
      </c>
      <c r="L1162" s="47">
        <v>2</v>
      </c>
      <c r="M1162" s="51">
        <v>32</v>
      </c>
      <c r="N1162" s="51">
        <v>32</v>
      </c>
      <c r="O1162" s="55" t="s">
        <v>1137</v>
      </c>
      <c r="P1162" s="47">
        <v>150</v>
      </c>
      <c r="Q1162" s="47"/>
      <c r="R1162" s="47"/>
      <c r="S1162" s="47">
        <v>60</v>
      </c>
      <c r="T1162" s="47">
        <v>2</v>
      </c>
      <c r="U1162" s="47">
        <v>120</v>
      </c>
      <c r="V1162" s="47"/>
      <c r="Y1162" s="83">
        <v>7</v>
      </c>
      <c r="Z1162" s="86" t="s">
        <v>47</v>
      </c>
    </row>
    <row r="1163" spans="1:27" s="51" customFormat="1" ht="23.1" customHeight="1" x14ac:dyDescent="0.25">
      <c r="A1163" s="53" t="s">
        <v>539</v>
      </c>
      <c r="B1163" s="47" t="s">
        <v>110</v>
      </c>
      <c r="C1163" s="47">
        <v>101</v>
      </c>
      <c r="D1163" s="47" t="s">
        <v>1099</v>
      </c>
      <c r="E1163" s="41" t="s">
        <v>760</v>
      </c>
      <c r="F1163" s="41" t="e">
        <v>#N/A</v>
      </c>
      <c r="G1163" s="21" t="e">
        <f>VLOOKUP(D1163,[6]成飞半成品!$A:$B,2,0)</f>
        <v>#N/A</v>
      </c>
      <c r="H1163" s="47" t="s">
        <v>300</v>
      </c>
      <c r="I1163" s="47">
        <v>20</v>
      </c>
      <c r="J1163" s="47" t="s">
        <v>2150</v>
      </c>
      <c r="K1163" s="47">
        <v>1.5</v>
      </c>
      <c r="L1163" s="47">
        <v>0.9</v>
      </c>
      <c r="M1163" s="51">
        <v>32</v>
      </c>
      <c r="N1163" s="51">
        <v>32</v>
      </c>
      <c r="O1163" s="55" t="s">
        <v>519</v>
      </c>
      <c r="P1163" s="47"/>
      <c r="Q1163" s="47">
        <v>300</v>
      </c>
      <c r="R1163" s="47">
        <v>60</v>
      </c>
      <c r="S1163" s="47"/>
      <c r="T1163" s="47">
        <v>1</v>
      </c>
      <c r="U1163" s="47">
        <v>120</v>
      </c>
      <c r="V1163" s="47"/>
      <c r="W1163" s="51">
        <v>1</v>
      </c>
      <c r="X1163" s="51">
        <v>3</v>
      </c>
      <c r="Y1163" s="79">
        <v>10.5</v>
      </c>
      <c r="Z1163" s="86" t="s">
        <v>47</v>
      </c>
      <c r="AA1163" s="51" t="s">
        <v>1138</v>
      </c>
    </row>
    <row r="1164" spans="1:27" s="51" customFormat="1" ht="23.1" customHeight="1" x14ac:dyDescent="0.25">
      <c r="A1164" s="53" t="s">
        <v>539</v>
      </c>
      <c r="B1164" s="47" t="s">
        <v>110</v>
      </c>
      <c r="C1164" s="47">
        <v>103</v>
      </c>
      <c r="D1164" s="47" t="s">
        <v>395</v>
      </c>
      <c r="E1164" s="41" t="s">
        <v>396</v>
      </c>
      <c r="F1164" s="41" t="e">
        <v>#N/A</v>
      </c>
      <c r="G1164" s="21" t="e">
        <f>VLOOKUP(D1164,[6]成飞半成品!$A:$B,2,0)</f>
        <v>#N/A</v>
      </c>
      <c r="H1164" s="47" t="s">
        <v>300</v>
      </c>
      <c r="I1164" s="47">
        <v>40</v>
      </c>
      <c r="J1164" s="47" t="s">
        <v>2147</v>
      </c>
      <c r="K1164" s="47">
        <v>1.5</v>
      </c>
      <c r="L1164" s="47">
        <v>1</v>
      </c>
      <c r="M1164" s="51">
        <v>32</v>
      </c>
      <c r="N1164" s="51">
        <v>32</v>
      </c>
      <c r="O1164" s="55" t="s">
        <v>419</v>
      </c>
      <c r="P1164" s="47"/>
      <c r="Q1164" s="47">
        <v>420</v>
      </c>
      <c r="R1164" s="47">
        <v>90</v>
      </c>
      <c r="S1164" s="47"/>
      <c r="T1164" s="47">
        <v>1</v>
      </c>
      <c r="U1164" s="47">
        <v>180</v>
      </c>
      <c r="V1164" s="47"/>
      <c r="W1164" s="51">
        <v>1</v>
      </c>
      <c r="X1164" s="51">
        <v>4</v>
      </c>
      <c r="Y1164" s="79">
        <v>15.5</v>
      </c>
      <c r="Z1164" s="86" t="s">
        <v>61</v>
      </c>
      <c r="AA1164" s="51" t="s">
        <v>1139</v>
      </c>
    </row>
    <row r="1165" spans="1:27" s="51" customFormat="1" ht="23.1" customHeight="1" x14ac:dyDescent="0.25">
      <c r="A1165" s="53" t="s">
        <v>539</v>
      </c>
      <c r="B1165" s="47" t="s">
        <v>110</v>
      </c>
      <c r="C1165" s="47">
        <v>105</v>
      </c>
      <c r="D1165" s="47" t="s">
        <v>1097</v>
      </c>
      <c r="E1165" s="41" t="s">
        <v>1098</v>
      </c>
      <c r="F1165" s="41" t="s">
        <v>1098</v>
      </c>
      <c r="G1165" s="21" t="str">
        <f>VLOOKUP(D1165,[6]成飞半成品!$A:$B,2,0)</f>
        <v>根肋一段</v>
      </c>
      <c r="H1165" s="47" t="s">
        <v>250</v>
      </c>
      <c r="I1165" s="47">
        <v>20</v>
      </c>
      <c r="J1165" s="47" t="s">
        <v>2132</v>
      </c>
      <c r="K1165" s="47">
        <v>0.8</v>
      </c>
      <c r="L1165" s="47">
        <v>0.9</v>
      </c>
      <c r="M1165" s="51">
        <v>32</v>
      </c>
      <c r="N1165" s="51">
        <v>32</v>
      </c>
      <c r="O1165" s="55" t="s">
        <v>292</v>
      </c>
      <c r="P1165" s="47"/>
      <c r="Q1165" s="47">
        <v>770</v>
      </c>
      <c r="R1165" s="47">
        <v>60</v>
      </c>
      <c r="S1165" s="47"/>
      <c r="T1165" s="47">
        <v>1</v>
      </c>
      <c r="U1165" s="47">
        <v>90</v>
      </c>
      <c r="V1165" s="47"/>
      <c r="Y1165" s="79">
        <v>12.6</v>
      </c>
      <c r="Z1165" s="86" t="s">
        <v>9</v>
      </c>
    </row>
    <row r="1166" spans="1:27" s="51" customFormat="1" ht="23.1" customHeight="1" x14ac:dyDescent="0.25">
      <c r="A1166" s="53" t="s">
        <v>539</v>
      </c>
      <c r="B1166" s="47" t="s">
        <v>110</v>
      </c>
      <c r="C1166" s="47">
        <v>83</v>
      </c>
      <c r="D1166" s="47" t="s">
        <v>1095</v>
      </c>
      <c r="E1166" s="41" t="s">
        <v>1096</v>
      </c>
      <c r="F1166" s="41" t="s">
        <v>1096</v>
      </c>
      <c r="G1166" s="21" t="str">
        <f>VLOOKUP(D1166,[6]成飞半成品!$A:$B,2,0)</f>
        <v>1150肋根肋</v>
      </c>
      <c r="H1166" s="47" t="s">
        <v>658</v>
      </c>
      <c r="I1166" s="47">
        <v>35</v>
      </c>
      <c r="J1166" s="47" t="s">
        <v>2139</v>
      </c>
      <c r="K1166" s="47">
        <v>1.5</v>
      </c>
      <c r="L1166" s="47">
        <v>1.5</v>
      </c>
      <c r="M1166" s="51">
        <v>32</v>
      </c>
      <c r="N1166" s="51">
        <v>32</v>
      </c>
      <c r="O1166" s="55" t="s">
        <v>282</v>
      </c>
      <c r="P1166" s="47"/>
      <c r="Q1166" s="47">
        <v>600</v>
      </c>
      <c r="R1166" s="47">
        <v>60</v>
      </c>
      <c r="S1166" s="47"/>
      <c r="T1166" s="47">
        <v>2</v>
      </c>
      <c r="U1166" s="47">
        <v>120</v>
      </c>
      <c r="V1166" s="47"/>
      <c r="Y1166" s="79">
        <v>17</v>
      </c>
      <c r="Z1166" s="86" t="s">
        <v>17</v>
      </c>
    </row>
    <row r="1167" spans="1:27" s="51" customFormat="1" ht="23.1" customHeight="1" x14ac:dyDescent="0.25">
      <c r="A1167" s="53" t="s">
        <v>539</v>
      </c>
      <c r="B1167" s="47" t="s">
        <v>110</v>
      </c>
      <c r="C1167" s="47">
        <v>44</v>
      </c>
      <c r="D1167" s="47" t="s">
        <v>1074</v>
      </c>
      <c r="E1167" s="41" t="s">
        <v>1075</v>
      </c>
      <c r="F1167" s="41" t="s">
        <v>1075</v>
      </c>
      <c r="G1167" s="21" t="str">
        <f>VLOOKUP(D1167,[6]成飞半成品!$A:$B,2,0)</f>
        <v>油箱底板（中）</v>
      </c>
      <c r="H1167" s="47" t="s">
        <v>154</v>
      </c>
      <c r="I1167" s="47">
        <v>45</v>
      </c>
      <c r="J1167" s="47" t="s">
        <v>2125</v>
      </c>
      <c r="K1167" s="47">
        <v>1</v>
      </c>
      <c r="L1167" s="47">
        <v>0.7</v>
      </c>
      <c r="M1167" s="51">
        <v>32</v>
      </c>
      <c r="N1167" s="51">
        <v>32</v>
      </c>
      <c r="O1167" s="55" t="s">
        <v>418</v>
      </c>
      <c r="P1167" s="47"/>
      <c r="Q1167" s="47">
        <v>600</v>
      </c>
      <c r="R1167" s="47"/>
      <c r="S1167" s="47"/>
      <c r="T1167" s="47"/>
      <c r="U1167" s="47">
        <v>120</v>
      </c>
      <c r="V1167" s="47"/>
      <c r="Y1167" s="79">
        <v>7</v>
      </c>
      <c r="Z1167" s="86" t="s">
        <v>64</v>
      </c>
    </row>
    <row r="1168" spans="1:27" s="51" customFormat="1" ht="23.1" customHeight="1" x14ac:dyDescent="0.25">
      <c r="A1168" s="53" t="s">
        <v>539</v>
      </c>
      <c r="B1168" s="47" t="s">
        <v>110</v>
      </c>
      <c r="C1168" s="47">
        <v>44</v>
      </c>
      <c r="D1168" s="47" t="s">
        <v>1074</v>
      </c>
      <c r="E1168" s="41" t="s">
        <v>1075</v>
      </c>
      <c r="F1168" s="41" t="s">
        <v>1075</v>
      </c>
      <c r="G1168" s="21" t="str">
        <f>VLOOKUP(D1168,[6]成飞半成品!$A:$B,2,0)</f>
        <v>油箱底板（中）</v>
      </c>
      <c r="H1168" s="47" t="s">
        <v>154</v>
      </c>
      <c r="I1168" s="47">
        <v>50</v>
      </c>
      <c r="J1168" s="47" t="s">
        <v>2148</v>
      </c>
      <c r="K1168" s="47"/>
      <c r="L1168" s="47"/>
      <c r="M1168" s="51">
        <v>32</v>
      </c>
      <c r="O1168" s="55" t="s">
        <v>456</v>
      </c>
      <c r="P1168" s="47"/>
      <c r="Q1168" s="47">
        <v>500</v>
      </c>
      <c r="R1168" s="47"/>
      <c r="S1168" s="47"/>
      <c r="T1168" s="47">
        <v>1</v>
      </c>
      <c r="U1168" s="47">
        <v>120</v>
      </c>
      <c r="V1168" s="47"/>
      <c r="W1168" s="51">
        <v>1</v>
      </c>
      <c r="X1168" s="51">
        <v>3</v>
      </c>
      <c r="Y1168" s="79">
        <v>5</v>
      </c>
      <c r="Z1168" s="86" t="s">
        <v>64</v>
      </c>
      <c r="AA1168" s="51" t="s">
        <v>1138</v>
      </c>
    </row>
    <row r="1169" spans="1:28" s="51" customFormat="1" ht="23.1" customHeight="1" x14ac:dyDescent="0.25">
      <c r="A1169" s="53" t="s">
        <v>575</v>
      </c>
      <c r="B1169" s="47" t="s">
        <v>110</v>
      </c>
      <c r="C1169" s="47">
        <v>97</v>
      </c>
      <c r="D1169" s="47" t="s">
        <v>1176</v>
      </c>
      <c r="E1169" s="41" t="s">
        <v>1065</v>
      </c>
      <c r="F1169" s="41" t="s">
        <v>1065</v>
      </c>
      <c r="G1169" s="21" t="str">
        <f>VLOOKUP(D1169,[6]成飞半成品!$A:$B,2,0)</f>
        <v>根肋一段</v>
      </c>
      <c r="H1169" s="47" t="s">
        <v>250</v>
      </c>
      <c r="I1169" s="47">
        <v>50</v>
      </c>
      <c r="J1169" s="47" t="s">
        <v>2118</v>
      </c>
      <c r="K1169" s="47">
        <v>1</v>
      </c>
      <c r="L1169" s="47">
        <v>1.3</v>
      </c>
      <c r="M1169" s="51">
        <v>32</v>
      </c>
      <c r="N1169" s="51">
        <v>32</v>
      </c>
      <c r="O1169" s="55" t="s">
        <v>1077</v>
      </c>
      <c r="P1169" s="47"/>
      <c r="Q1169" s="47">
        <v>420</v>
      </c>
      <c r="R1169" s="47">
        <v>60</v>
      </c>
      <c r="S1169" s="47"/>
      <c r="T1169" s="47">
        <v>1</v>
      </c>
      <c r="U1169" s="47">
        <v>90</v>
      </c>
      <c r="V1169" s="47"/>
      <c r="Y1169" s="79">
        <v>10.1</v>
      </c>
      <c r="Z1169" s="5" t="s">
        <v>36</v>
      </c>
      <c r="AB1169" s="51" t="s">
        <v>1066</v>
      </c>
    </row>
    <row r="1170" spans="1:28" s="51" customFormat="1" ht="23.1" customHeight="1" x14ac:dyDescent="0.25">
      <c r="A1170" s="53" t="s">
        <v>575</v>
      </c>
      <c r="B1170" s="47" t="s">
        <v>110</v>
      </c>
      <c r="C1170" s="47">
        <v>97</v>
      </c>
      <c r="D1170" s="47" t="s">
        <v>1176</v>
      </c>
      <c r="E1170" s="41" t="s">
        <v>1065</v>
      </c>
      <c r="F1170" s="41" t="s">
        <v>1065</v>
      </c>
      <c r="G1170" s="21" t="str">
        <f>VLOOKUP(D1170,[6]成飞半成品!$A:$B,2,0)</f>
        <v>根肋一段</v>
      </c>
      <c r="H1170" s="47" t="s">
        <v>250</v>
      </c>
      <c r="I1170" s="47">
        <v>55</v>
      </c>
      <c r="J1170" s="47" t="s">
        <v>2119</v>
      </c>
      <c r="K1170" s="47">
        <v>1</v>
      </c>
      <c r="L1170" s="47">
        <v>2</v>
      </c>
      <c r="M1170" s="51">
        <v>32</v>
      </c>
      <c r="N1170" s="51">
        <v>32</v>
      </c>
      <c r="O1170" s="55" t="s">
        <v>1077</v>
      </c>
      <c r="P1170" s="47"/>
      <c r="Q1170" s="47">
        <v>60</v>
      </c>
      <c r="R1170" s="47">
        <v>60</v>
      </c>
      <c r="S1170" s="47"/>
      <c r="T1170" s="47">
        <v>1</v>
      </c>
      <c r="U1170" s="47">
        <v>60</v>
      </c>
      <c r="V1170" s="47"/>
      <c r="Y1170" s="79">
        <v>3</v>
      </c>
      <c r="Z1170" s="5" t="s">
        <v>36</v>
      </c>
    </row>
    <row r="1171" spans="1:28" s="51" customFormat="1" ht="23.1" customHeight="1" x14ac:dyDescent="0.25">
      <c r="A1171" s="53" t="s">
        <v>575</v>
      </c>
      <c r="B1171" s="47" t="s">
        <v>110</v>
      </c>
      <c r="C1171" s="47">
        <v>100</v>
      </c>
      <c r="D1171" s="65" t="s">
        <v>2551</v>
      </c>
      <c r="E1171" s="41" t="s">
        <v>938</v>
      </c>
      <c r="F1171" s="41" t="s">
        <v>938</v>
      </c>
      <c r="G1171" s="21" t="str">
        <f>VLOOKUP(D1171,[6]成飞半成品!$A:$B,2,0)</f>
        <v>工装</v>
      </c>
      <c r="H1171" s="47" t="s">
        <v>939</v>
      </c>
      <c r="I1171" s="47">
        <v>10</v>
      </c>
      <c r="J1171" s="47" t="s">
        <v>1916</v>
      </c>
      <c r="K1171" s="47">
        <v>2</v>
      </c>
      <c r="L1171" s="47">
        <v>5</v>
      </c>
      <c r="M1171" s="51">
        <v>32</v>
      </c>
      <c r="N1171" s="51">
        <v>32</v>
      </c>
      <c r="O1171" s="55" t="s">
        <v>1140</v>
      </c>
      <c r="P1171" s="47"/>
      <c r="Q1171" s="47">
        <v>120</v>
      </c>
      <c r="R1171" s="47">
        <v>60</v>
      </c>
      <c r="S1171" s="47"/>
      <c r="T1171" s="47">
        <v>5</v>
      </c>
      <c r="U1171" s="47">
        <v>60</v>
      </c>
      <c r="V1171" s="47"/>
      <c r="W1171" s="51">
        <v>1</v>
      </c>
      <c r="Y1171" s="79">
        <v>16</v>
      </c>
      <c r="Z1171" s="5" t="s">
        <v>36</v>
      </c>
    </row>
    <row r="1172" spans="1:28" s="51" customFormat="1" ht="23.1" customHeight="1" x14ac:dyDescent="0.25">
      <c r="A1172" s="53" t="s">
        <v>575</v>
      </c>
      <c r="B1172" s="47" t="s">
        <v>110</v>
      </c>
      <c r="C1172" s="47">
        <v>100</v>
      </c>
      <c r="D1172" s="65" t="s">
        <v>2551</v>
      </c>
      <c r="E1172" s="41" t="s">
        <v>938</v>
      </c>
      <c r="F1172" s="41" t="s">
        <v>938</v>
      </c>
      <c r="G1172" s="21" t="str">
        <f>VLOOKUP(D1172,[6]成飞半成品!$A:$B,2,0)</f>
        <v>工装</v>
      </c>
      <c r="H1172" s="47" t="s">
        <v>939</v>
      </c>
      <c r="I1172" s="47">
        <v>15</v>
      </c>
      <c r="J1172" s="47" t="s">
        <v>2151</v>
      </c>
      <c r="K1172" s="47">
        <v>5</v>
      </c>
      <c r="L1172" s="47">
        <v>5</v>
      </c>
      <c r="M1172" s="51">
        <v>32</v>
      </c>
      <c r="N1172" s="51">
        <v>32</v>
      </c>
      <c r="O1172" s="55" t="s">
        <v>1140</v>
      </c>
      <c r="P1172" s="47"/>
      <c r="Q1172" s="47">
        <v>80</v>
      </c>
      <c r="R1172" s="47">
        <v>60</v>
      </c>
      <c r="S1172" s="47"/>
      <c r="T1172" s="47">
        <v>5</v>
      </c>
      <c r="U1172" s="47">
        <v>90</v>
      </c>
      <c r="V1172" s="47"/>
      <c r="W1172" s="51">
        <v>1</v>
      </c>
      <c r="Y1172" s="79">
        <v>13.2</v>
      </c>
      <c r="Z1172" s="5" t="s">
        <v>36</v>
      </c>
    </row>
    <row r="1173" spans="1:28" s="51" customFormat="1" ht="23.1" customHeight="1" x14ac:dyDescent="0.25">
      <c r="A1173" s="53" t="s">
        <v>575</v>
      </c>
      <c r="B1173" s="47" t="s">
        <v>110</v>
      </c>
      <c r="C1173" s="47">
        <v>102</v>
      </c>
      <c r="D1173" s="47" t="s">
        <v>1067</v>
      </c>
      <c r="E1173" s="41" t="s">
        <v>1068</v>
      </c>
      <c r="F1173" s="41" t="s">
        <v>1068</v>
      </c>
      <c r="G1173" s="21" t="str">
        <f>VLOOKUP(D1173,[6]成飞半成品!$A:$B,2,0)</f>
        <v>11900梁一段（右件）</v>
      </c>
      <c r="H1173" s="47" t="s">
        <v>323</v>
      </c>
      <c r="I1173" s="47">
        <v>40</v>
      </c>
      <c r="J1173" s="47" t="s">
        <v>2122</v>
      </c>
      <c r="K1173" s="47">
        <v>0.7</v>
      </c>
      <c r="L1173" s="47">
        <v>0.8</v>
      </c>
      <c r="M1173" s="51">
        <v>32</v>
      </c>
      <c r="N1173" s="51">
        <v>32</v>
      </c>
      <c r="O1173" s="55" t="s">
        <v>1141</v>
      </c>
      <c r="P1173" s="47"/>
      <c r="Q1173" s="47">
        <v>1080</v>
      </c>
      <c r="R1173" s="47">
        <v>60</v>
      </c>
      <c r="S1173" s="47"/>
      <c r="T1173" s="47"/>
      <c r="U1173" s="47">
        <v>120</v>
      </c>
      <c r="V1173" s="47"/>
      <c r="X1173" s="51">
        <v>24</v>
      </c>
      <c r="Y1173" s="79">
        <v>38.4</v>
      </c>
      <c r="Z1173" s="5" t="s">
        <v>36</v>
      </c>
      <c r="AA1173" s="51" t="s">
        <v>1142</v>
      </c>
    </row>
    <row r="1174" spans="1:28" s="51" customFormat="1" ht="23.1" customHeight="1" x14ac:dyDescent="0.25">
      <c r="A1174" s="53" t="s">
        <v>575</v>
      </c>
      <c r="B1174" s="47" t="s">
        <v>110</v>
      </c>
      <c r="C1174" s="47">
        <v>106</v>
      </c>
      <c r="D1174" s="47" t="s">
        <v>1070</v>
      </c>
      <c r="E1174" s="41" t="s">
        <v>101</v>
      </c>
      <c r="F1174" s="41" t="s">
        <v>101</v>
      </c>
      <c r="G1174" s="21" t="str">
        <f>VLOOKUP(D1174,[6]成飞半成品!$A:$B,2,0)</f>
        <v>前梁一段</v>
      </c>
      <c r="H1174" s="47" t="s">
        <v>300</v>
      </c>
      <c r="I1174" s="47">
        <v>30</v>
      </c>
      <c r="J1174" s="47" t="s">
        <v>2127</v>
      </c>
      <c r="K1174" s="47">
        <v>0.5</v>
      </c>
      <c r="L1174" s="47">
        <v>0.5</v>
      </c>
      <c r="M1174" s="51">
        <v>32</v>
      </c>
      <c r="N1174" s="51">
        <v>32</v>
      </c>
      <c r="O1174" s="55" t="s">
        <v>292</v>
      </c>
      <c r="P1174" s="47"/>
      <c r="Q1174" s="47">
        <v>1500</v>
      </c>
      <c r="R1174" s="47">
        <v>180</v>
      </c>
      <c r="S1174" s="47"/>
      <c r="T1174" s="47"/>
      <c r="U1174" s="47">
        <v>180</v>
      </c>
      <c r="V1174" s="47"/>
      <c r="Y1174" s="79">
        <v>12.5</v>
      </c>
      <c r="Z1174" s="5" t="s">
        <v>36</v>
      </c>
    </row>
    <row r="1175" spans="1:28" s="51" customFormat="1" ht="23.1" customHeight="1" x14ac:dyDescent="0.25">
      <c r="A1175" s="53" t="s">
        <v>575</v>
      </c>
      <c r="B1175" s="47" t="s">
        <v>110</v>
      </c>
      <c r="C1175" s="47">
        <v>19</v>
      </c>
      <c r="D1175" s="47" t="s">
        <v>1071</v>
      </c>
      <c r="E1175" s="41" t="s">
        <v>1072</v>
      </c>
      <c r="F1175" s="41" t="e">
        <v>#N/A</v>
      </c>
      <c r="G1175" s="21" t="e">
        <f>VLOOKUP(D1175,[6]成飞半成品!$A:$B,2,0)</f>
        <v>#N/A</v>
      </c>
      <c r="H1175" s="47" t="s">
        <v>250</v>
      </c>
      <c r="I1175" s="47">
        <v>30</v>
      </c>
      <c r="J1175" s="47" t="s">
        <v>2123</v>
      </c>
      <c r="K1175" s="47">
        <v>0.9</v>
      </c>
      <c r="L1175" s="47">
        <v>0.9</v>
      </c>
      <c r="M1175" s="51">
        <v>32</v>
      </c>
      <c r="N1175" s="51">
        <v>32</v>
      </c>
      <c r="O1175" s="55" t="s">
        <v>1143</v>
      </c>
      <c r="P1175" s="47"/>
      <c r="Q1175" s="47">
        <v>650</v>
      </c>
      <c r="R1175" s="47">
        <v>90</v>
      </c>
      <c r="S1175" s="47"/>
      <c r="T1175" s="47"/>
      <c r="U1175" s="47">
        <v>60</v>
      </c>
      <c r="V1175" s="47"/>
      <c r="Y1175" s="79">
        <v>9.8000000000000007</v>
      </c>
      <c r="Z1175" s="5" t="s">
        <v>36</v>
      </c>
    </row>
    <row r="1176" spans="1:28" s="51" customFormat="1" ht="23.1" customHeight="1" x14ac:dyDescent="0.25">
      <c r="A1176" s="53" t="s">
        <v>575</v>
      </c>
      <c r="B1176" s="47" t="s">
        <v>110</v>
      </c>
      <c r="C1176" s="47">
        <v>117</v>
      </c>
      <c r="D1176" s="47" t="s">
        <v>1083</v>
      </c>
      <c r="E1176" s="41" t="s">
        <v>1082</v>
      </c>
      <c r="F1176" s="41" t="s">
        <v>1082</v>
      </c>
      <c r="G1176" s="21" t="str">
        <f>VLOOKUP(D1176,[6]成飞半成品!$A:$B,2,0)</f>
        <v xml:space="preserve"> 前梁</v>
      </c>
      <c r="H1176" s="47" t="s">
        <v>123</v>
      </c>
      <c r="I1176" s="47">
        <v>10</v>
      </c>
      <c r="J1176" s="47" t="s">
        <v>1916</v>
      </c>
      <c r="K1176" s="47"/>
      <c r="L1176" s="47">
        <v>4</v>
      </c>
      <c r="M1176" s="51">
        <v>32</v>
      </c>
      <c r="N1176" s="51">
        <v>32</v>
      </c>
      <c r="O1176" s="55" t="s">
        <v>1144</v>
      </c>
      <c r="P1176" s="47"/>
      <c r="Q1176" s="47">
        <v>120</v>
      </c>
      <c r="R1176" s="47">
        <v>60</v>
      </c>
      <c r="S1176" s="47"/>
      <c r="T1176" s="47">
        <v>4</v>
      </c>
      <c r="U1176" s="47">
        <v>60</v>
      </c>
      <c r="V1176" s="47"/>
      <c r="Y1176" s="79">
        <v>12</v>
      </c>
      <c r="Z1176" s="5" t="s">
        <v>36</v>
      </c>
    </row>
    <row r="1177" spans="1:28" s="51" customFormat="1" ht="23.1" customHeight="1" x14ac:dyDescent="0.25">
      <c r="A1177" s="53" t="s">
        <v>575</v>
      </c>
      <c r="B1177" s="47" t="s">
        <v>110</v>
      </c>
      <c r="C1177" s="47">
        <v>117</v>
      </c>
      <c r="D1177" s="47" t="s">
        <v>1083</v>
      </c>
      <c r="E1177" s="41" t="s">
        <v>1082</v>
      </c>
      <c r="F1177" s="41" t="s">
        <v>1082</v>
      </c>
      <c r="G1177" s="21" t="str">
        <f>VLOOKUP(D1177,[6]成飞半成品!$A:$B,2,0)</f>
        <v xml:space="preserve"> 前梁</v>
      </c>
      <c r="H1177" s="47" t="s">
        <v>123</v>
      </c>
      <c r="I1177" s="47">
        <v>15</v>
      </c>
      <c r="J1177" s="47" t="s">
        <v>2152</v>
      </c>
      <c r="K1177" s="47"/>
      <c r="L1177" s="47">
        <v>2</v>
      </c>
      <c r="M1177" s="51">
        <v>32</v>
      </c>
      <c r="N1177" s="51">
        <v>32</v>
      </c>
      <c r="O1177" s="55" t="s">
        <v>1144</v>
      </c>
      <c r="P1177" s="47"/>
      <c r="Q1177" s="47">
        <v>100</v>
      </c>
      <c r="R1177" s="47">
        <v>60</v>
      </c>
      <c r="S1177" s="47"/>
      <c r="T1177" s="47">
        <v>2</v>
      </c>
      <c r="U1177" s="47">
        <v>90</v>
      </c>
      <c r="V1177" s="47"/>
      <c r="W1177" s="51">
        <v>1</v>
      </c>
      <c r="Y1177" s="79">
        <v>6.8</v>
      </c>
      <c r="Z1177" s="5" t="s">
        <v>36</v>
      </c>
    </row>
    <row r="1178" spans="1:28" s="51" customFormat="1" ht="23.1" customHeight="1" x14ac:dyDescent="0.25">
      <c r="A1178" s="53" t="s">
        <v>575</v>
      </c>
      <c r="B1178" s="47" t="s">
        <v>110</v>
      </c>
      <c r="C1178" s="47">
        <v>20</v>
      </c>
      <c r="D1178" s="47" t="s">
        <v>1074</v>
      </c>
      <c r="E1178" s="41" t="s">
        <v>1075</v>
      </c>
      <c r="F1178" s="41" t="s">
        <v>1075</v>
      </c>
      <c r="G1178" s="21" t="str">
        <f>VLOOKUP(D1178,[6]成飞半成品!$A:$B,2,0)</f>
        <v>油箱底板（中）</v>
      </c>
      <c r="H1178" s="47" t="s">
        <v>154</v>
      </c>
      <c r="I1178" s="47">
        <v>50</v>
      </c>
      <c r="J1178" s="47" t="s">
        <v>2148</v>
      </c>
      <c r="K1178" s="47">
        <v>1.5</v>
      </c>
      <c r="L1178" s="47">
        <v>1.5</v>
      </c>
      <c r="M1178" s="51">
        <v>32</v>
      </c>
      <c r="N1178" s="51">
        <v>32</v>
      </c>
      <c r="O1178" s="55" t="s">
        <v>1145</v>
      </c>
      <c r="P1178" s="47"/>
      <c r="Q1178" s="47">
        <v>500</v>
      </c>
      <c r="R1178" s="47"/>
      <c r="S1178" s="47"/>
      <c r="T1178" s="47">
        <v>1</v>
      </c>
      <c r="U1178" s="47">
        <v>120</v>
      </c>
      <c r="V1178" s="47"/>
      <c r="Y1178" s="79">
        <v>12.5</v>
      </c>
      <c r="Z1178" s="5" t="s">
        <v>64</v>
      </c>
    </row>
    <row r="1179" spans="1:28" s="51" customFormat="1" ht="23.1" customHeight="1" x14ac:dyDescent="0.25">
      <c r="A1179" s="53" t="s">
        <v>575</v>
      </c>
      <c r="B1179" s="47" t="s">
        <v>110</v>
      </c>
      <c r="C1179" s="47">
        <v>99</v>
      </c>
      <c r="D1179" s="47" t="s">
        <v>1091</v>
      </c>
      <c r="E1179" s="41" t="s">
        <v>1092</v>
      </c>
      <c r="F1179" s="41" t="s">
        <v>1092</v>
      </c>
      <c r="G1179" s="21" t="str">
        <f>VLOOKUP(D1179,[6]成飞半成品!$A:$B,2,0)</f>
        <v>氧气瓶支架</v>
      </c>
      <c r="H1179" s="47" t="s">
        <v>118</v>
      </c>
      <c r="I1179" s="47">
        <v>35</v>
      </c>
      <c r="J1179" s="47" t="s">
        <v>2141</v>
      </c>
      <c r="K1179" s="47">
        <v>1.5</v>
      </c>
      <c r="L1179" s="47">
        <v>1.9</v>
      </c>
      <c r="M1179" s="51">
        <v>32</v>
      </c>
      <c r="N1179" s="51">
        <v>32</v>
      </c>
      <c r="O1179" s="55" t="s">
        <v>1146</v>
      </c>
      <c r="P1179" s="47"/>
      <c r="Q1179" s="47">
        <v>480</v>
      </c>
      <c r="R1179" s="47">
        <v>60</v>
      </c>
      <c r="S1179" s="47"/>
      <c r="T1179" s="47"/>
      <c r="U1179" s="47">
        <v>120</v>
      </c>
      <c r="V1179" s="47"/>
      <c r="Y1179" s="79">
        <v>15.2</v>
      </c>
      <c r="Z1179" s="5" t="s">
        <v>29</v>
      </c>
    </row>
    <row r="1180" spans="1:28" s="51" customFormat="1" ht="23.1" customHeight="1" x14ac:dyDescent="0.25">
      <c r="A1180" s="53" t="s">
        <v>575</v>
      </c>
      <c r="B1180" s="47" t="s">
        <v>110</v>
      </c>
      <c r="C1180" s="47">
        <v>98</v>
      </c>
      <c r="D1180" s="47" t="s">
        <v>481</v>
      </c>
      <c r="E1180" s="41" t="s">
        <v>482</v>
      </c>
      <c r="F1180" s="41" t="s">
        <v>482</v>
      </c>
      <c r="G1180" s="21" t="str">
        <f>VLOOKUP(D1180,[6]成飞半成品!$A:$B,2,0)</f>
        <v>11140框左下半框</v>
      </c>
      <c r="H1180" s="47" t="s">
        <v>118</v>
      </c>
      <c r="I1180" s="47">
        <v>15</v>
      </c>
      <c r="J1180" s="47" t="s">
        <v>2144</v>
      </c>
      <c r="K1180" s="47">
        <v>0.8</v>
      </c>
      <c r="L1180" s="47">
        <v>1.1000000000000001</v>
      </c>
      <c r="M1180" s="51">
        <v>32</v>
      </c>
      <c r="N1180" s="51">
        <v>32</v>
      </c>
      <c r="O1180" s="55" t="s">
        <v>1118</v>
      </c>
      <c r="P1180" s="47"/>
      <c r="Q1180" s="47">
        <v>720</v>
      </c>
      <c r="R1180" s="47">
        <v>60</v>
      </c>
      <c r="S1180" s="47"/>
      <c r="T1180" s="47">
        <v>1</v>
      </c>
      <c r="U1180" s="47">
        <v>120</v>
      </c>
      <c r="V1180" s="47"/>
      <c r="Y1180" s="79">
        <v>14.2</v>
      </c>
      <c r="Z1180" s="5" t="s">
        <v>39</v>
      </c>
    </row>
    <row r="1181" spans="1:28" s="51" customFormat="1" ht="23.1" customHeight="1" x14ac:dyDescent="0.25">
      <c r="A1181" s="53" t="s">
        <v>575</v>
      </c>
      <c r="B1181" s="47" t="s">
        <v>110</v>
      </c>
      <c r="C1181" s="47">
        <v>83</v>
      </c>
      <c r="D1181" s="47" t="s">
        <v>1095</v>
      </c>
      <c r="E1181" s="41" t="s">
        <v>1096</v>
      </c>
      <c r="F1181" s="41" t="s">
        <v>1096</v>
      </c>
      <c r="G1181" s="21" t="str">
        <f>VLOOKUP(D1181,[6]成飞半成品!$A:$B,2,0)</f>
        <v>1150肋根肋</v>
      </c>
      <c r="H1181" s="47" t="s">
        <v>658</v>
      </c>
      <c r="I1181" s="47">
        <v>35</v>
      </c>
      <c r="J1181" s="47" t="s">
        <v>2139</v>
      </c>
      <c r="K1181" s="47">
        <v>1.5</v>
      </c>
      <c r="L1181" s="47">
        <v>1.5</v>
      </c>
      <c r="M1181" s="51">
        <v>32</v>
      </c>
      <c r="N1181" s="51">
        <v>32</v>
      </c>
      <c r="O1181" s="55" t="s">
        <v>282</v>
      </c>
      <c r="P1181" s="47"/>
      <c r="Q1181" s="47">
        <v>600</v>
      </c>
      <c r="R1181" s="47">
        <v>60</v>
      </c>
      <c r="S1181" s="47"/>
      <c r="T1181" s="47">
        <v>2</v>
      </c>
      <c r="U1181" s="47">
        <v>120</v>
      </c>
      <c r="V1181" s="47"/>
      <c r="Y1181" s="79">
        <v>17</v>
      </c>
      <c r="Z1181" s="5" t="s">
        <v>17</v>
      </c>
    </row>
    <row r="1182" spans="1:28" s="51" customFormat="1" ht="23.1" customHeight="1" x14ac:dyDescent="0.25">
      <c r="A1182" s="53" t="s">
        <v>575</v>
      </c>
      <c r="B1182" s="47" t="s">
        <v>110</v>
      </c>
      <c r="C1182" s="47">
        <v>105</v>
      </c>
      <c r="D1182" s="47" t="s">
        <v>1097</v>
      </c>
      <c r="E1182" s="41" t="s">
        <v>1098</v>
      </c>
      <c r="F1182" s="41" t="s">
        <v>1098</v>
      </c>
      <c r="G1182" s="21" t="str">
        <f>VLOOKUP(D1182,[6]成飞半成品!$A:$B,2,0)</f>
        <v>根肋一段</v>
      </c>
      <c r="H1182" s="47" t="s">
        <v>250</v>
      </c>
      <c r="I1182" s="47">
        <v>25</v>
      </c>
      <c r="J1182" s="47" t="s">
        <v>2149</v>
      </c>
      <c r="K1182" s="47">
        <v>3</v>
      </c>
      <c r="L1182" s="47">
        <v>4</v>
      </c>
      <c r="M1182" s="51">
        <v>32</v>
      </c>
      <c r="N1182" s="51">
        <v>32</v>
      </c>
      <c r="O1182" s="55" t="s">
        <v>292</v>
      </c>
      <c r="P1182" s="47"/>
      <c r="Q1182" s="47">
        <v>210</v>
      </c>
      <c r="R1182" s="47">
        <v>60</v>
      </c>
      <c r="S1182" s="47"/>
      <c r="T1182" s="47">
        <v>4</v>
      </c>
      <c r="U1182" s="47">
        <v>60</v>
      </c>
      <c r="V1182" s="47"/>
      <c r="Y1182" s="79">
        <v>18</v>
      </c>
      <c r="Z1182" s="5" t="s">
        <v>9</v>
      </c>
    </row>
    <row r="1183" spans="1:28" s="51" customFormat="1" ht="23.1" customHeight="1" x14ac:dyDescent="0.25">
      <c r="A1183" s="53" t="s">
        <v>575</v>
      </c>
      <c r="B1183" s="47" t="s">
        <v>110</v>
      </c>
      <c r="C1183" s="47">
        <v>101</v>
      </c>
      <c r="D1183" s="47" t="s">
        <v>1128</v>
      </c>
      <c r="E1183" s="41" t="s">
        <v>708</v>
      </c>
      <c r="F1183" s="41" t="e">
        <v>#N/A</v>
      </c>
      <c r="G1183" s="21" t="e">
        <f>VLOOKUP(D1183,[6]成飞半成品!$A:$B,2,0)</f>
        <v>#N/A</v>
      </c>
      <c r="H1183" s="47" t="s">
        <v>250</v>
      </c>
      <c r="I1183" s="47">
        <v>20</v>
      </c>
      <c r="J1183" s="47" t="s">
        <v>1950</v>
      </c>
      <c r="K1183" s="47">
        <v>0.1</v>
      </c>
      <c r="L1183" s="47">
        <v>0.1</v>
      </c>
      <c r="M1183" s="51">
        <v>32</v>
      </c>
      <c r="N1183" s="51">
        <v>32</v>
      </c>
      <c r="O1183" s="55" t="s">
        <v>722</v>
      </c>
      <c r="P1183" s="47"/>
      <c r="Q1183" s="47">
        <v>300</v>
      </c>
      <c r="R1183" s="47">
        <v>60</v>
      </c>
      <c r="S1183" s="47"/>
      <c r="T1183" s="47"/>
      <c r="U1183" s="47">
        <v>60</v>
      </c>
      <c r="V1183" s="47"/>
      <c r="Y1183" s="79">
        <v>0.5</v>
      </c>
      <c r="Z1183" s="5" t="s">
        <v>47</v>
      </c>
    </row>
    <row r="1184" spans="1:28" s="51" customFormat="1" ht="23.1" customHeight="1" x14ac:dyDescent="0.25">
      <c r="A1184" s="53" t="s">
        <v>575</v>
      </c>
      <c r="B1184" s="47" t="s">
        <v>110</v>
      </c>
      <c r="C1184" s="47">
        <v>101</v>
      </c>
      <c r="D1184" s="47" t="s">
        <v>1128</v>
      </c>
      <c r="E1184" s="41" t="s">
        <v>708</v>
      </c>
      <c r="F1184" s="41" t="e">
        <v>#N/A</v>
      </c>
      <c r="G1184" s="21" t="e">
        <f>VLOOKUP(D1184,[6]成飞半成品!$A:$B,2,0)</f>
        <v>#N/A</v>
      </c>
      <c r="H1184" s="47" t="s">
        <v>250</v>
      </c>
      <c r="I1184" s="47">
        <v>25</v>
      </c>
      <c r="J1184" s="47" t="s">
        <v>2154</v>
      </c>
      <c r="K1184" s="47">
        <v>0.5</v>
      </c>
      <c r="L1184" s="47">
        <v>0.7</v>
      </c>
      <c r="M1184" s="51">
        <v>32</v>
      </c>
      <c r="N1184" s="51">
        <v>32</v>
      </c>
      <c r="O1184" s="55" t="s">
        <v>519</v>
      </c>
      <c r="P1184" s="47"/>
      <c r="Q1184" s="47">
        <v>1020</v>
      </c>
      <c r="R1184" s="47">
        <v>60</v>
      </c>
      <c r="S1184" s="47"/>
      <c r="T1184" s="47">
        <v>1</v>
      </c>
      <c r="U1184" s="47">
        <v>180</v>
      </c>
      <c r="V1184" s="47"/>
      <c r="W1184" s="51">
        <v>1</v>
      </c>
      <c r="X1184" s="51">
        <v>2</v>
      </c>
      <c r="Y1184" s="79">
        <v>17.899999999999999</v>
      </c>
      <c r="Z1184" s="5" t="s">
        <v>47</v>
      </c>
      <c r="AA1184" s="51" t="s">
        <v>1147</v>
      </c>
    </row>
    <row r="1185" spans="1:27" s="51" customFormat="1" ht="23.1" customHeight="1" x14ac:dyDescent="0.25">
      <c r="A1185" s="53" t="s">
        <v>575</v>
      </c>
      <c r="B1185" s="47" t="s">
        <v>110</v>
      </c>
      <c r="C1185" s="47">
        <v>103</v>
      </c>
      <c r="D1185" s="47" t="s">
        <v>1148</v>
      </c>
      <c r="E1185" s="41" t="s">
        <v>1149</v>
      </c>
      <c r="F1185" s="41" t="s">
        <v>1149</v>
      </c>
      <c r="G1185" s="21" t="str">
        <f>VLOOKUP(D1185,[6]成飞半成品!$A:$B,2,0)</f>
        <v>1号下壁板</v>
      </c>
      <c r="H1185" s="47" t="s">
        <v>300</v>
      </c>
      <c r="I1185" s="47">
        <v>2</v>
      </c>
      <c r="J1185" s="47"/>
      <c r="K1185" s="47">
        <v>1</v>
      </c>
      <c r="L1185" s="47">
        <v>3</v>
      </c>
      <c r="M1185" s="51">
        <v>32</v>
      </c>
      <c r="N1185" s="51">
        <v>32</v>
      </c>
      <c r="O1185" s="55" t="s">
        <v>1150</v>
      </c>
      <c r="P1185" s="47">
        <v>240</v>
      </c>
      <c r="Q1185" s="47">
        <v>240</v>
      </c>
      <c r="R1185" s="47"/>
      <c r="S1185" s="47">
        <v>90</v>
      </c>
      <c r="T1185" s="47">
        <v>3</v>
      </c>
      <c r="U1185" s="47"/>
      <c r="V1185" s="47">
        <v>60</v>
      </c>
      <c r="W1185" s="51">
        <v>1</v>
      </c>
      <c r="X1185" s="51">
        <v>2</v>
      </c>
      <c r="Y1185" s="79">
        <v>14</v>
      </c>
      <c r="Z1185" s="86" t="s">
        <v>61</v>
      </c>
      <c r="AA1185" s="51" t="s">
        <v>1151</v>
      </c>
    </row>
    <row r="1186" spans="1:27" s="51" customFormat="1" ht="23.1" customHeight="1" x14ac:dyDescent="0.25">
      <c r="A1186" s="53" t="s">
        <v>575</v>
      </c>
      <c r="B1186" s="47" t="s">
        <v>110</v>
      </c>
      <c r="C1186" s="47">
        <v>103</v>
      </c>
      <c r="D1186" s="47" t="s">
        <v>1148</v>
      </c>
      <c r="E1186" s="41" t="s">
        <v>2568</v>
      </c>
      <c r="F1186" s="41" t="s">
        <v>1149</v>
      </c>
      <c r="G1186" s="21" t="str">
        <f>VLOOKUP(D1186,[6]成飞半成品!$A:$B,2,0)</f>
        <v>1号下壁板</v>
      </c>
      <c r="H1186" s="47" t="s">
        <v>300</v>
      </c>
      <c r="I1186" s="47">
        <v>2</v>
      </c>
      <c r="J1186" s="47"/>
      <c r="K1186" s="47"/>
      <c r="L1186" s="47">
        <v>1.5</v>
      </c>
      <c r="M1186" s="51">
        <v>32</v>
      </c>
      <c r="N1186" s="51">
        <v>32</v>
      </c>
      <c r="O1186" s="55" t="s">
        <v>1153</v>
      </c>
      <c r="P1186" s="47">
        <v>240</v>
      </c>
      <c r="Q1186" s="47">
        <v>240</v>
      </c>
      <c r="R1186" s="47"/>
      <c r="S1186" s="47">
        <v>90</v>
      </c>
      <c r="T1186" s="47">
        <v>2</v>
      </c>
      <c r="U1186" s="47"/>
      <c r="V1186" s="47">
        <v>60</v>
      </c>
      <c r="W1186" s="51">
        <v>1</v>
      </c>
      <c r="Y1186" s="83">
        <v>10</v>
      </c>
      <c r="Z1186" s="86" t="s">
        <v>61</v>
      </c>
    </row>
    <row r="1187" spans="1:27" s="51" customFormat="1" ht="23.1" customHeight="1" x14ac:dyDescent="0.25">
      <c r="A1187" s="53" t="s">
        <v>575</v>
      </c>
      <c r="B1187" s="47" t="s">
        <v>113</v>
      </c>
      <c r="C1187" s="47">
        <v>102</v>
      </c>
      <c r="D1187" s="47" t="s">
        <v>1067</v>
      </c>
      <c r="E1187" s="41" t="s">
        <v>1068</v>
      </c>
      <c r="F1187" s="41" t="s">
        <v>1068</v>
      </c>
      <c r="G1187" s="21" t="str">
        <f>VLOOKUP(D1187,[6]成飞半成品!$A:$B,2,0)</f>
        <v>11900梁一段（右件）</v>
      </c>
      <c r="H1187" s="47" t="s">
        <v>323</v>
      </c>
      <c r="I1187" s="47">
        <v>45</v>
      </c>
      <c r="J1187" s="47" t="s">
        <v>2137</v>
      </c>
      <c r="K1187" s="47">
        <v>0.7</v>
      </c>
      <c r="L1187" s="47">
        <v>1</v>
      </c>
      <c r="M1187" s="51">
        <v>25</v>
      </c>
      <c r="N1187" s="51">
        <v>25</v>
      </c>
      <c r="O1187" s="55" t="s">
        <v>1154</v>
      </c>
      <c r="P1187" s="47"/>
      <c r="Q1187" s="47">
        <v>1080</v>
      </c>
      <c r="R1187" s="47">
        <v>60</v>
      </c>
      <c r="S1187" s="47"/>
      <c r="T1187" s="47">
        <v>1</v>
      </c>
      <c r="U1187" s="47">
        <v>150</v>
      </c>
      <c r="V1187" s="47"/>
      <c r="Y1187" s="79">
        <v>19</v>
      </c>
      <c r="Z1187" s="86" t="s">
        <v>67</v>
      </c>
    </row>
    <row r="1188" spans="1:27" s="51" customFormat="1" ht="23.1" customHeight="1" x14ac:dyDescent="0.25">
      <c r="A1188" s="53" t="s">
        <v>575</v>
      </c>
      <c r="B1188" s="47" t="s">
        <v>113</v>
      </c>
      <c r="C1188" s="47">
        <v>101</v>
      </c>
      <c r="D1188" s="47" t="s">
        <v>1128</v>
      </c>
      <c r="E1188" s="41" t="s">
        <v>708</v>
      </c>
      <c r="F1188" s="41" t="e">
        <v>#N/A</v>
      </c>
      <c r="G1188" s="21" t="e">
        <f>VLOOKUP(D1188,[6]成飞半成品!$A:$B,2,0)</f>
        <v>#N/A</v>
      </c>
      <c r="H1188" s="47" t="s">
        <v>250</v>
      </c>
      <c r="I1188" s="47">
        <v>25</v>
      </c>
      <c r="J1188" s="47" t="s">
        <v>2153</v>
      </c>
      <c r="K1188" s="47">
        <v>0.8</v>
      </c>
      <c r="L1188" s="47">
        <v>1.3</v>
      </c>
      <c r="M1188" s="51">
        <v>25</v>
      </c>
      <c r="N1188" s="51">
        <v>25</v>
      </c>
      <c r="O1188" s="55" t="s">
        <v>1137</v>
      </c>
      <c r="P1188" s="47"/>
      <c r="Q1188" s="47">
        <v>1020</v>
      </c>
      <c r="R1188" s="47">
        <v>60</v>
      </c>
      <c r="S1188" s="47"/>
      <c r="T1188" s="47">
        <v>1</v>
      </c>
      <c r="U1188" s="47">
        <v>180</v>
      </c>
      <c r="V1188" s="47"/>
      <c r="Y1188" s="79">
        <v>23.1</v>
      </c>
      <c r="Z1188" s="86" t="s">
        <v>67</v>
      </c>
      <c r="AA1188" s="51" t="s">
        <v>2545</v>
      </c>
    </row>
    <row r="1189" spans="1:27" s="51" customFormat="1" ht="23.1" customHeight="1" x14ac:dyDescent="0.25">
      <c r="A1189" s="53" t="s">
        <v>575</v>
      </c>
      <c r="B1189" s="47" t="s">
        <v>113</v>
      </c>
      <c r="C1189" s="47">
        <v>100</v>
      </c>
      <c r="D1189" s="65" t="s">
        <v>2551</v>
      </c>
      <c r="E1189" s="41" t="s">
        <v>938</v>
      </c>
      <c r="F1189" s="41" t="s">
        <v>938</v>
      </c>
      <c r="G1189" s="21" t="str">
        <f>VLOOKUP(D1189,[6]成飞半成品!$A:$B,2,0)</f>
        <v>工装</v>
      </c>
      <c r="H1189" s="47" t="s">
        <v>939</v>
      </c>
      <c r="I1189" s="47">
        <v>20</v>
      </c>
      <c r="J1189" s="47" t="s">
        <v>2155</v>
      </c>
      <c r="K1189" s="47">
        <v>3</v>
      </c>
      <c r="L1189" s="47">
        <v>1.9</v>
      </c>
      <c r="M1189" s="51">
        <v>25</v>
      </c>
      <c r="N1189" s="51">
        <v>25</v>
      </c>
      <c r="O1189" s="55" t="s">
        <v>1155</v>
      </c>
      <c r="P1189" s="47"/>
      <c r="Q1189" s="47">
        <v>330</v>
      </c>
      <c r="R1189" s="47">
        <v>90</v>
      </c>
      <c r="S1189" s="47"/>
      <c r="T1189" s="47">
        <v>2</v>
      </c>
      <c r="U1189" s="47">
        <v>90</v>
      </c>
      <c r="V1189" s="47"/>
      <c r="W1189" s="51">
        <v>1</v>
      </c>
      <c r="X1189" s="51">
        <v>3</v>
      </c>
      <c r="Y1189" s="79">
        <v>18</v>
      </c>
      <c r="Z1189" s="86" t="s">
        <v>67</v>
      </c>
      <c r="AA1189" s="51" t="s">
        <v>1078</v>
      </c>
    </row>
    <row r="1190" spans="1:27" s="51" customFormat="1" ht="23.1" customHeight="1" x14ac:dyDescent="0.25">
      <c r="A1190" s="53" t="s">
        <v>575</v>
      </c>
      <c r="B1190" s="47" t="s">
        <v>113</v>
      </c>
      <c r="C1190" s="47">
        <v>97</v>
      </c>
      <c r="D1190" s="47" t="s">
        <v>1097</v>
      </c>
      <c r="E1190" s="41" t="s">
        <v>1065</v>
      </c>
      <c r="F1190" s="41" t="s">
        <v>1065</v>
      </c>
      <c r="G1190" s="21" t="str">
        <f>VLOOKUP(D1190,[6]成飞半成品!$A:$B,2,0)</f>
        <v>根肋一段</v>
      </c>
      <c r="H1190" s="47" t="s">
        <v>250</v>
      </c>
      <c r="I1190" s="47">
        <v>60</v>
      </c>
      <c r="J1190" s="47" t="s">
        <v>2156</v>
      </c>
      <c r="K1190" s="47">
        <v>1.2</v>
      </c>
      <c r="L1190" s="47">
        <v>0.7</v>
      </c>
      <c r="M1190" s="51">
        <v>25</v>
      </c>
      <c r="N1190" s="51">
        <v>25</v>
      </c>
      <c r="O1190" s="55" t="s">
        <v>292</v>
      </c>
      <c r="P1190" s="47"/>
      <c r="Q1190" s="47">
        <v>570</v>
      </c>
      <c r="R1190" s="47">
        <v>60</v>
      </c>
      <c r="S1190" s="47"/>
      <c r="T1190" s="47">
        <v>1</v>
      </c>
      <c r="U1190" s="47">
        <v>60</v>
      </c>
      <c r="V1190" s="47"/>
      <c r="W1190" s="51">
        <v>1</v>
      </c>
      <c r="Y1190" s="79">
        <v>8.6999999999999993</v>
      </c>
      <c r="Z1190" s="86" t="s">
        <v>67</v>
      </c>
    </row>
    <row r="1191" spans="1:27" s="51" customFormat="1" ht="23.1" customHeight="1" x14ac:dyDescent="0.25">
      <c r="A1191" s="53" t="s">
        <v>575</v>
      </c>
      <c r="B1191" s="47" t="s">
        <v>113</v>
      </c>
      <c r="C1191" s="47">
        <v>83</v>
      </c>
      <c r="D1191" s="47" t="s">
        <v>1095</v>
      </c>
      <c r="E1191" s="41" t="s">
        <v>1096</v>
      </c>
      <c r="F1191" s="41" t="s">
        <v>1096</v>
      </c>
      <c r="G1191" s="21" t="str">
        <f>VLOOKUP(D1191,[6]成飞半成品!$A:$B,2,0)</f>
        <v>1150肋根肋</v>
      </c>
      <c r="H1191" s="47" t="s">
        <v>658</v>
      </c>
      <c r="I1191" s="47">
        <v>35</v>
      </c>
      <c r="J1191" s="47" t="s">
        <v>2139</v>
      </c>
      <c r="K1191" s="47">
        <v>1.5</v>
      </c>
      <c r="L1191" s="47">
        <v>1.5</v>
      </c>
      <c r="M1191" s="51">
        <v>25</v>
      </c>
      <c r="N1191" s="51">
        <v>25</v>
      </c>
      <c r="O1191" s="55" t="s">
        <v>282</v>
      </c>
      <c r="P1191" s="47"/>
      <c r="Q1191" s="47">
        <v>600</v>
      </c>
      <c r="R1191" s="47">
        <v>60</v>
      </c>
      <c r="S1191" s="47"/>
      <c r="T1191" s="47">
        <v>1</v>
      </c>
      <c r="U1191" s="47">
        <v>120</v>
      </c>
      <c r="V1191" s="47"/>
      <c r="Y1191" s="79">
        <v>16</v>
      </c>
      <c r="Z1191" s="86" t="s">
        <v>67</v>
      </c>
    </row>
    <row r="1192" spans="1:27" s="51" customFormat="1" ht="23.1" customHeight="1" x14ac:dyDescent="0.25">
      <c r="A1192" s="53" t="s">
        <v>575</v>
      </c>
      <c r="B1192" s="47" t="s">
        <v>113</v>
      </c>
      <c r="C1192" s="47">
        <v>106</v>
      </c>
      <c r="D1192" s="47" t="s">
        <v>1070</v>
      </c>
      <c r="E1192" s="41" t="s">
        <v>101</v>
      </c>
      <c r="F1192" s="41" t="s">
        <v>101</v>
      </c>
      <c r="G1192" s="21" t="str">
        <f>VLOOKUP(D1192,[6]成飞半成品!$A:$B,2,0)</f>
        <v>前梁一段</v>
      </c>
      <c r="H1192" s="47" t="s">
        <v>300</v>
      </c>
      <c r="I1192" s="47">
        <v>35</v>
      </c>
      <c r="J1192" s="47" t="s">
        <v>2157</v>
      </c>
      <c r="K1192" s="47">
        <v>0.5</v>
      </c>
      <c r="L1192" s="47">
        <v>0.7</v>
      </c>
      <c r="M1192" s="51">
        <v>25</v>
      </c>
      <c r="N1192" s="51">
        <v>25</v>
      </c>
      <c r="O1192" s="55" t="s">
        <v>292</v>
      </c>
      <c r="P1192" s="47"/>
      <c r="Q1192" s="47">
        <v>1200</v>
      </c>
      <c r="R1192" s="47">
        <v>150</v>
      </c>
      <c r="S1192" s="47"/>
      <c r="T1192" s="47">
        <v>1</v>
      </c>
      <c r="U1192" s="47">
        <v>180</v>
      </c>
      <c r="V1192" s="47"/>
      <c r="W1192" s="51">
        <v>1</v>
      </c>
      <c r="Y1192" s="79">
        <v>19.5</v>
      </c>
      <c r="Z1192" s="86" t="s">
        <v>67</v>
      </c>
    </row>
    <row r="1193" spans="1:27" s="51" customFormat="1" ht="23.1" customHeight="1" x14ac:dyDescent="0.25">
      <c r="A1193" s="53" t="s">
        <v>575</v>
      </c>
      <c r="B1193" s="47" t="s">
        <v>113</v>
      </c>
      <c r="C1193" s="47">
        <v>99</v>
      </c>
      <c r="D1193" s="47" t="s">
        <v>1091</v>
      </c>
      <c r="E1193" s="41" t="s">
        <v>1092</v>
      </c>
      <c r="F1193" s="41" t="s">
        <v>1092</v>
      </c>
      <c r="G1193" s="21" t="str">
        <f>VLOOKUP(D1193,[6]成飞半成品!$A:$B,2,0)</f>
        <v>氧气瓶支架</v>
      </c>
      <c r="H1193" s="47" t="s">
        <v>118</v>
      </c>
      <c r="I1193" s="47">
        <v>35</v>
      </c>
      <c r="J1193" s="47" t="s">
        <v>2141</v>
      </c>
      <c r="K1193" s="47">
        <v>1.6</v>
      </c>
      <c r="L1193" s="47">
        <v>0.1</v>
      </c>
      <c r="M1193" s="51">
        <v>25</v>
      </c>
      <c r="N1193" s="51">
        <v>25</v>
      </c>
      <c r="O1193" s="55" t="s">
        <v>1146</v>
      </c>
      <c r="P1193" s="47"/>
      <c r="Q1193" s="47">
        <v>480</v>
      </c>
      <c r="R1193" s="47">
        <v>60</v>
      </c>
      <c r="S1193" s="47"/>
      <c r="T1193" s="47">
        <v>1</v>
      </c>
      <c r="U1193" s="47">
        <v>120</v>
      </c>
      <c r="V1193" s="47"/>
      <c r="Y1193" s="79">
        <v>1.8</v>
      </c>
      <c r="Z1193" s="86" t="s">
        <v>21</v>
      </c>
    </row>
    <row r="1194" spans="1:27" s="51" customFormat="1" ht="23.1" customHeight="1" x14ac:dyDescent="0.25">
      <c r="A1194" s="53" t="s">
        <v>575</v>
      </c>
      <c r="B1194" s="47" t="s">
        <v>113</v>
      </c>
      <c r="C1194" s="47">
        <v>99</v>
      </c>
      <c r="D1194" s="47" t="s">
        <v>1091</v>
      </c>
      <c r="E1194" s="41" t="s">
        <v>1092</v>
      </c>
      <c r="F1194" s="41" t="s">
        <v>1092</v>
      </c>
      <c r="G1194" s="21" t="str">
        <f>VLOOKUP(D1194,[6]成飞半成品!$A:$B,2,0)</f>
        <v>氧气瓶支架</v>
      </c>
      <c r="H1194" s="47" t="s">
        <v>118</v>
      </c>
      <c r="I1194" s="47">
        <v>40</v>
      </c>
      <c r="J1194" s="47" t="s">
        <v>2145</v>
      </c>
      <c r="K1194" s="47">
        <v>1.6</v>
      </c>
      <c r="L1194" s="47">
        <v>1.9</v>
      </c>
      <c r="M1194" s="51">
        <v>25</v>
      </c>
      <c r="N1194" s="51">
        <v>25</v>
      </c>
      <c r="O1194" s="55" t="s">
        <v>1146</v>
      </c>
      <c r="P1194" s="47"/>
      <c r="Q1194" s="47">
        <v>390</v>
      </c>
      <c r="R1194" s="47">
        <v>60</v>
      </c>
      <c r="S1194" s="47"/>
      <c r="T1194" s="47">
        <v>1</v>
      </c>
      <c r="U1194" s="47">
        <v>120</v>
      </c>
      <c r="V1194" s="47"/>
      <c r="W1194" s="51">
        <v>1</v>
      </c>
      <c r="X1194" s="51">
        <v>2</v>
      </c>
      <c r="Y1194" s="79">
        <v>17.399999999999999</v>
      </c>
      <c r="Z1194" s="86" t="s">
        <v>21</v>
      </c>
      <c r="AA1194" s="51" t="s">
        <v>941</v>
      </c>
    </row>
    <row r="1195" spans="1:27" s="51" customFormat="1" ht="23.1" customHeight="1" x14ac:dyDescent="0.25">
      <c r="A1195" s="53" t="s">
        <v>575</v>
      </c>
      <c r="B1195" s="47" t="s">
        <v>113</v>
      </c>
      <c r="C1195" s="47">
        <v>103</v>
      </c>
      <c r="D1195" s="47" t="s">
        <v>1148</v>
      </c>
      <c r="E1195" s="41" t="s">
        <v>1149</v>
      </c>
      <c r="F1195" s="41" t="s">
        <v>1149</v>
      </c>
      <c r="G1195" s="21" t="str">
        <f>VLOOKUP(D1195,[6]成飞半成品!$A:$B,2,0)</f>
        <v>1号下壁板</v>
      </c>
      <c r="H1195" s="47" t="s">
        <v>300</v>
      </c>
      <c r="I1195" s="47">
        <v>2</v>
      </c>
      <c r="J1195" s="47"/>
      <c r="K1195" s="47">
        <v>3</v>
      </c>
      <c r="L1195" s="47">
        <v>2.5</v>
      </c>
      <c r="M1195" s="51">
        <v>25</v>
      </c>
      <c r="N1195" s="51">
        <v>25</v>
      </c>
      <c r="O1195" s="55" t="s">
        <v>1156</v>
      </c>
      <c r="P1195" s="47">
        <v>240</v>
      </c>
      <c r="Q1195" s="47"/>
      <c r="R1195" s="47"/>
      <c r="S1195" s="47">
        <v>90</v>
      </c>
      <c r="T1195" s="47">
        <v>2</v>
      </c>
      <c r="U1195" s="47"/>
      <c r="V1195" s="47"/>
      <c r="X1195" s="51">
        <v>5</v>
      </c>
      <c r="Y1195" s="79">
        <v>5</v>
      </c>
      <c r="Z1195" s="86" t="s">
        <v>62</v>
      </c>
      <c r="AA1195" s="51" t="s">
        <v>1133</v>
      </c>
    </row>
    <row r="1196" spans="1:27" s="51" customFormat="1" ht="23.1" customHeight="1" x14ac:dyDescent="0.25">
      <c r="A1196" s="53" t="s">
        <v>575</v>
      </c>
      <c r="B1196" s="47" t="s">
        <v>113</v>
      </c>
      <c r="C1196" s="47">
        <v>19</v>
      </c>
      <c r="D1196" s="47" t="s">
        <v>1071</v>
      </c>
      <c r="E1196" s="41" t="s">
        <v>1072</v>
      </c>
      <c r="F1196" s="41" t="e">
        <v>#N/A</v>
      </c>
      <c r="G1196" s="21" t="e">
        <f>VLOOKUP(D1196,[6]成飞半成品!$A:$B,2,0)</f>
        <v>#N/A</v>
      </c>
      <c r="H1196" s="47" t="s">
        <v>250</v>
      </c>
      <c r="I1196" s="47">
        <v>30</v>
      </c>
      <c r="J1196" s="47" t="s">
        <v>2123</v>
      </c>
      <c r="K1196" s="47">
        <v>0.9</v>
      </c>
      <c r="L1196" s="47">
        <v>1</v>
      </c>
      <c r="M1196" s="51">
        <v>25</v>
      </c>
      <c r="N1196" s="51">
        <v>25</v>
      </c>
      <c r="O1196" s="55" t="s">
        <v>1157</v>
      </c>
      <c r="P1196" s="47"/>
      <c r="Q1196" s="47">
        <v>650</v>
      </c>
      <c r="R1196" s="47">
        <v>90</v>
      </c>
      <c r="S1196" s="47"/>
      <c r="T1196" s="47"/>
      <c r="U1196" s="47">
        <v>60</v>
      </c>
      <c r="V1196" s="47"/>
      <c r="Y1196" s="79">
        <v>10.8</v>
      </c>
      <c r="Z1196" s="86" t="s">
        <v>11</v>
      </c>
    </row>
    <row r="1197" spans="1:27" s="51" customFormat="1" ht="23.1" customHeight="1" x14ac:dyDescent="0.25">
      <c r="A1197" s="53" t="s">
        <v>575</v>
      </c>
      <c r="B1197" s="47" t="s">
        <v>113</v>
      </c>
      <c r="C1197" s="47">
        <v>44</v>
      </c>
      <c r="D1197" s="47" t="s">
        <v>1074</v>
      </c>
      <c r="E1197" s="41" t="s">
        <v>1075</v>
      </c>
      <c r="F1197" s="41" t="s">
        <v>1075</v>
      </c>
      <c r="G1197" s="21" t="str">
        <f>VLOOKUP(D1197,[6]成飞半成品!$A:$B,2,0)</f>
        <v>油箱底板（中）</v>
      </c>
      <c r="H1197" s="47" t="s">
        <v>154</v>
      </c>
      <c r="I1197" s="47">
        <v>50</v>
      </c>
      <c r="J1197" s="47" t="s">
        <v>2456</v>
      </c>
      <c r="K1197" s="47">
        <v>1.5</v>
      </c>
      <c r="L1197" s="47">
        <v>1.8</v>
      </c>
      <c r="M1197" s="51">
        <v>25</v>
      </c>
      <c r="N1197" s="51">
        <v>25</v>
      </c>
      <c r="O1197" s="55" t="s">
        <v>1158</v>
      </c>
      <c r="P1197" s="47"/>
      <c r="Q1197" s="47">
        <v>500</v>
      </c>
      <c r="R1197" s="47"/>
      <c r="S1197" s="47"/>
      <c r="T1197" s="47">
        <v>2</v>
      </c>
      <c r="U1197" s="47">
        <v>120</v>
      </c>
      <c r="V1197" s="47"/>
      <c r="Y1197" s="79">
        <v>15</v>
      </c>
      <c r="Z1197" s="86" t="s">
        <v>56</v>
      </c>
    </row>
    <row r="1198" spans="1:27" s="51" customFormat="1" ht="23.1" customHeight="1" x14ac:dyDescent="0.25">
      <c r="A1198" s="53" t="s">
        <v>575</v>
      </c>
      <c r="B1198" s="47" t="s">
        <v>113</v>
      </c>
      <c r="C1198" s="47">
        <v>105</v>
      </c>
      <c r="D1198" s="47" t="s">
        <v>1097</v>
      </c>
      <c r="E1198" s="41" t="s">
        <v>1098</v>
      </c>
      <c r="F1198" s="41" t="s">
        <v>1098</v>
      </c>
      <c r="G1198" s="21" t="str">
        <f>VLOOKUP(D1198,[6]成飞半成品!$A:$B,2,0)</f>
        <v>根肋一段</v>
      </c>
      <c r="H1198" s="47" t="s">
        <v>250</v>
      </c>
      <c r="I1198" s="47">
        <v>25</v>
      </c>
      <c r="J1198" s="47" t="s">
        <v>2149</v>
      </c>
      <c r="K1198" s="47">
        <v>2</v>
      </c>
      <c r="L1198" s="47">
        <v>2</v>
      </c>
      <c r="M1198" s="51">
        <v>25</v>
      </c>
      <c r="N1198" s="51">
        <v>25</v>
      </c>
      <c r="O1198" s="55" t="s">
        <v>1159</v>
      </c>
      <c r="P1198" s="47"/>
      <c r="Q1198" s="47">
        <v>210</v>
      </c>
      <c r="R1198" s="47">
        <v>60</v>
      </c>
      <c r="S1198" s="47"/>
      <c r="T1198" s="47"/>
      <c r="U1198" s="47">
        <v>60</v>
      </c>
      <c r="V1198" s="47"/>
      <c r="Y1198" s="79">
        <v>7</v>
      </c>
      <c r="Z1198" s="86" t="s">
        <v>28</v>
      </c>
    </row>
    <row r="1199" spans="1:27" s="51" customFormat="1" ht="23.1" customHeight="1" x14ac:dyDescent="0.25">
      <c r="A1199" s="53" t="s">
        <v>575</v>
      </c>
      <c r="B1199" s="47" t="s">
        <v>113</v>
      </c>
      <c r="C1199" s="47">
        <v>105</v>
      </c>
      <c r="D1199" s="47" t="s">
        <v>1097</v>
      </c>
      <c r="E1199" s="41" t="s">
        <v>1098</v>
      </c>
      <c r="F1199" s="41" t="s">
        <v>1098</v>
      </c>
      <c r="G1199" s="21" t="str">
        <f>VLOOKUP(D1199,[6]成飞半成品!$A:$B,2,0)</f>
        <v>根肋一段</v>
      </c>
      <c r="H1199" s="47" t="s">
        <v>250</v>
      </c>
      <c r="I1199" s="47">
        <v>25</v>
      </c>
      <c r="J1199" s="47" t="s">
        <v>2149</v>
      </c>
      <c r="K1199" s="47">
        <v>1</v>
      </c>
      <c r="L1199" s="47">
        <v>1.9</v>
      </c>
      <c r="M1199" s="51">
        <v>25</v>
      </c>
      <c r="N1199" s="51">
        <v>25</v>
      </c>
      <c r="O1199" s="55" t="s">
        <v>429</v>
      </c>
      <c r="P1199" s="47"/>
      <c r="Q1199" s="47">
        <v>210</v>
      </c>
      <c r="R1199" s="47">
        <v>60</v>
      </c>
      <c r="S1199" s="47"/>
      <c r="T1199" s="47">
        <v>2</v>
      </c>
      <c r="U1199" s="47">
        <v>60</v>
      </c>
      <c r="V1199" s="47"/>
      <c r="W1199" s="51">
        <v>1</v>
      </c>
      <c r="Y1199" s="79">
        <v>9.6999999999999993</v>
      </c>
      <c r="Z1199" s="86" t="s">
        <v>28</v>
      </c>
    </row>
    <row r="1200" spans="1:27" s="51" customFormat="1" ht="23.1" customHeight="1" x14ac:dyDescent="0.25">
      <c r="A1200" s="53" t="s">
        <v>575</v>
      </c>
      <c r="B1200" s="47" t="s">
        <v>113</v>
      </c>
      <c r="C1200" s="47">
        <v>98</v>
      </c>
      <c r="D1200" s="47" t="s">
        <v>481</v>
      </c>
      <c r="E1200" s="41" t="s">
        <v>482</v>
      </c>
      <c r="F1200" s="41" t="s">
        <v>482</v>
      </c>
      <c r="G1200" s="21" t="str">
        <f>VLOOKUP(D1200,[6]成飞半成品!$A:$B,2,0)</f>
        <v>11140框左下半框</v>
      </c>
      <c r="H1200" s="47" t="s">
        <v>118</v>
      </c>
      <c r="I1200" s="47">
        <v>15</v>
      </c>
      <c r="J1200" s="47" t="s">
        <v>2144</v>
      </c>
      <c r="K1200" s="47">
        <v>0.2</v>
      </c>
      <c r="L1200" s="47">
        <v>0.2</v>
      </c>
      <c r="M1200" s="51">
        <v>25</v>
      </c>
      <c r="N1200" s="51">
        <v>25</v>
      </c>
      <c r="O1200" s="55" t="s">
        <v>219</v>
      </c>
      <c r="P1200" s="47"/>
      <c r="Q1200" s="47">
        <v>720</v>
      </c>
      <c r="R1200" s="47">
        <v>60</v>
      </c>
      <c r="S1200" s="47"/>
      <c r="T1200" s="47"/>
      <c r="U1200" s="47">
        <v>120</v>
      </c>
      <c r="V1200" s="47"/>
      <c r="Y1200" s="79">
        <v>2.4</v>
      </c>
      <c r="Z1200" s="86" t="s">
        <v>1</v>
      </c>
    </row>
    <row r="1201" spans="1:28" s="51" customFormat="1" ht="23.1" customHeight="1" x14ac:dyDescent="0.25">
      <c r="A1201" s="53" t="s">
        <v>575</v>
      </c>
      <c r="B1201" s="47" t="s">
        <v>113</v>
      </c>
      <c r="C1201" s="47">
        <v>98</v>
      </c>
      <c r="D1201" s="47" t="s">
        <v>481</v>
      </c>
      <c r="E1201" s="41" t="s">
        <v>482</v>
      </c>
      <c r="F1201" s="41" t="s">
        <v>482</v>
      </c>
      <c r="G1201" s="21" t="str">
        <f>VLOOKUP(D1201,[6]成飞半成品!$A:$B,2,0)</f>
        <v>11140框左下半框</v>
      </c>
      <c r="H1201" s="47" t="s">
        <v>118</v>
      </c>
      <c r="I1201" s="47">
        <v>15</v>
      </c>
      <c r="J1201" s="47" t="s">
        <v>2144</v>
      </c>
      <c r="K1201" s="47">
        <v>0.6</v>
      </c>
      <c r="L1201" s="47">
        <v>0.7</v>
      </c>
      <c r="M1201" s="51">
        <v>25</v>
      </c>
      <c r="N1201" s="51">
        <v>25</v>
      </c>
      <c r="O1201" s="55" t="s">
        <v>199</v>
      </c>
      <c r="P1201" s="47"/>
      <c r="Q1201" s="47">
        <v>720</v>
      </c>
      <c r="R1201" s="47">
        <v>60</v>
      </c>
      <c r="S1201" s="47"/>
      <c r="T1201" s="47">
        <v>1</v>
      </c>
      <c r="U1201" s="47">
        <v>120</v>
      </c>
      <c r="V1201" s="47"/>
      <c r="W1201" s="51">
        <v>1</v>
      </c>
      <c r="Y1201" s="79">
        <v>11.4</v>
      </c>
      <c r="Z1201" s="86" t="s">
        <v>1</v>
      </c>
    </row>
    <row r="1202" spans="1:28" s="51" customFormat="1" ht="23.1" customHeight="1" x14ac:dyDescent="0.25">
      <c r="A1202" s="53" t="s">
        <v>653</v>
      </c>
      <c r="B1202" s="47" t="s">
        <v>113</v>
      </c>
      <c r="C1202" s="47">
        <v>19</v>
      </c>
      <c r="D1202" s="47" t="s">
        <v>1071</v>
      </c>
      <c r="E1202" s="41" t="s">
        <v>1072</v>
      </c>
      <c r="F1202" s="41" t="e">
        <v>#N/A</v>
      </c>
      <c r="G1202" s="21" t="e">
        <f>VLOOKUP(D1202,[6]成飞半成品!$A:$B,2,0)</f>
        <v>#N/A</v>
      </c>
      <c r="H1202" s="47" t="s">
        <v>250</v>
      </c>
      <c r="I1202" s="47">
        <v>30</v>
      </c>
      <c r="J1202" s="47" t="s">
        <v>2123</v>
      </c>
      <c r="K1202" s="47">
        <v>0.9</v>
      </c>
      <c r="L1202" s="47">
        <v>1</v>
      </c>
      <c r="M1202" s="51">
        <v>25</v>
      </c>
      <c r="N1202" s="51">
        <v>25</v>
      </c>
      <c r="O1202" s="55" t="s">
        <v>1160</v>
      </c>
      <c r="P1202" s="47"/>
      <c r="Q1202" s="47">
        <v>650</v>
      </c>
      <c r="R1202" s="47">
        <v>90</v>
      </c>
      <c r="S1202" s="47"/>
      <c r="T1202" s="47">
        <v>1</v>
      </c>
      <c r="U1202" s="47">
        <v>60</v>
      </c>
      <c r="V1202" s="47"/>
      <c r="Y1202" s="79">
        <v>12.3</v>
      </c>
      <c r="Z1202" s="86" t="s">
        <v>11</v>
      </c>
    </row>
    <row r="1203" spans="1:28" s="51" customFormat="1" ht="23.1" customHeight="1" x14ac:dyDescent="0.25">
      <c r="A1203" s="53" t="s">
        <v>653</v>
      </c>
      <c r="B1203" s="47" t="s">
        <v>113</v>
      </c>
      <c r="C1203" s="47">
        <v>103</v>
      </c>
      <c r="D1203" s="47" t="s">
        <v>1148</v>
      </c>
      <c r="E1203" s="41" t="s">
        <v>1149</v>
      </c>
      <c r="F1203" s="41" t="s">
        <v>1149</v>
      </c>
      <c r="G1203" s="21" t="str">
        <f>VLOOKUP(D1203,[6]成飞半成品!$A:$B,2,0)</f>
        <v>1号下壁板</v>
      </c>
      <c r="H1203" s="47" t="s">
        <v>300</v>
      </c>
      <c r="I1203" s="47">
        <v>5</v>
      </c>
      <c r="J1203" s="47" t="s">
        <v>2158</v>
      </c>
      <c r="K1203" s="47">
        <v>1</v>
      </c>
      <c r="L1203" s="47">
        <v>1</v>
      </c>
      <c r="M1203" s="51">
        <v>25</v>
      </c>
      <c r="N1203" s="51">
        <v>25</v>
      </c>
      <c r="O1203" s="55" t="s">
        <v>1161</v>
      </c>
      <c r="P1203" s="47"/>
      <c r="Q1203" s="47">
        <v>240</v>
      </c>
      <c r="R1203" s="47">
        <v>120</v>
      </c>
      <c r="S1203" s="47"/>
      <c r="T1203" s="47">
        <v>1</v>
      </c>
      <c r="U1203" s="47">
        <v>90</v>
      </c>
      <c r="V1203" s="47"/>
      <c r="Y1203" s="79">
        <v>6</v>
      </c>
      <c r="Z1203" s="86" t="s">
        <v>62</v>
      </c>
    </row>
    <row r="1204" spans="1:28" s="51" customFormat="1" ht="23.1" customHeight="1" x14ac:dyDescent="0.25">
      <c r="A1204" s="53" t="s">
        <v>653</v>
      </c>
      <c r="B1204" s="47" t="s">
        <v>113</v>
      </c>
      <c r="C1204" s="47">
        <v>105</v>
      </c>
      <c r="D1204" s="47" t="s">
        <v>1097</v>
      </c>
      <c r="E1204" s="41" t="s">
        <v>1098</v>
      </c>
      <c r="F1204" s="41" t="s">
        <v>1098</v>
      </c>
      <c r="G1204" s="21" t="str">
        <f>VLOOKUP(D1204,[6]成飞半成品!$A:$B,2,0)</f>
        <v>根肋一段</v>
      </c>
      <c r="H1204" s="47" t="s">
        <v>250</v>
      </c>
      <c r="I1204" s="47">
        <v>25</v>
      </c>
      <c r="J1204" s="47" t="s">
        <v>2149</v>
      </c>
      <c r="K1204" s="47">
        <v>3</v>
      </c>
      <c r="L1204" s="47">
        <v>4.9000000000000004</v>
      </c>
      <c r="M1204" s="51">
        <v>25</v>
      </c>
      <c r="N1204" s="51">
        <v>25</v>
      </c>
      <c r="O1204" s="55" t="s">
        <v>429</v>
      </c>
      <c r="P1204" s="47"/>
      <c r="Q1204" s="47">
        <v>210</v>
      </c>
      <c r="R1204" s="47">
        <v>60</v>
      </c>
      <c r="S1204" s="47"/>
      <c r="T1204" s="47">
        <v>5</v>
      </c>
      <c r="U1204" s="47">
        <v>60</v>
      </c>
      <c r="V1204" s="47"/>
      <c r="Y1204" s="79">
        <v>22.2</v>
      </c>
      <c r="Z1204" s="86" t="s">
        <v>28</v>
      </c>
    </row>
    <row r="1205" spans="1:28" s="51" customFormat="1" ht="23.1" customHeight="1" x14ac:dyDescent="0.25">
      <c r="A1205" s="53" t="s">
        <v>653</v>
      </c>
      <c r="B1205" s="47" t="s">
        <v>113</v>
      </c>
      <c r="C1205" s="47">
        <v>99</v>
      </c>
      <c r="D1205" s="47" t="s">
        <v>1091</v>
      </c>
      <c r="E1205" s="41" t="s">
        <v>1092</v>
      </c>
      <c r="F1205" s="41" t="s">
        <v>1092</v>
      </c>
      <c r="G1205" s="21" t="str">
        <f>VLOOKUP(D1205,[6]成飞半成品!$A:$B,2,0)</f>
        <v>氧气瓶支架</v>
      </c>
      <c r="H1205" s="47" t="s">
        <v>118</v>
      </c>
      <c r="I1205" s="47">
        <v>40</v>
      </c>
      <c r="J1205" s="47" t="s">
        <v>2145</v>
      </c>
      <c r="K1205" s="47">
        <v>2</v>
      </c>
      <c r="L1205" s="47">
        <v>2</v>
      </c>
      <c r="M1205" s="51">
        <v>25</v>
      </c>
      <c r="N1205" s="51">
        <v>25</v>
      </c>
      <c r="O1205" s="55" t="s">
        <v>1136</v>
      </c>
      <c r="P1205" s="47"/>
      <c r="Q1205" s="47">
        <v>390</v>
      </c>
      <c r="R1205" s="47">
        <v>60</v>
      </c>
      <c r="S1205" s="47"/>
      <c r="T1205" s="47">
        <v>2</v>
      </c>
      <c r="U1205" s="47">
        <v>120</v>
      </c>
      <c r="V1205" s="47"/>
      <c r="Y1205" s="79">
        <v>15</v>
      </c>
      <c r="Z1205" s="86" t="s">
        <v>21</v>
      </c>
    </row>
    <row r="1206" spans="1:28" s="51" customFormat="1" ht="23.1" customHeight="1" x14ac:dyDescent="0.25">
      <c r="A1206" s="53" t="s">
        <v>653</v>
      </c>
      <c r="B1206" s="47" t="s">
        <v>113</v>
      </c>
      <c r="C1206" s="47">
        <v>98</v>
      </c>
      <c r="D1206" s="47" t="s">
        <v>404</v>
      </c>
      <c r="E1206" s="41" t="s">
        <v>405</v>
      </c>
      <c r="F1206" s="41" t="s">
        <v>405</v>
      </c>
      <c r="G1206" s="21" t="str">
        <f>VLOOKUP(D1206,[6]成飞半成品!$A:$B,2,0)</f>
        <v>11140框右下半框</v>
      </c>
      <c r="H1206" s="47" t="s">
        <v>118</v>
      </c>
      <c r="I1206" s="47">
        <v>15</v>
      </c>
      <c r="J1206" s="47" t="s">
        <v>2144</v>
      </c>
      <c r="K1206" s="47">
        <v>0.8</v>
      </c>
      <c r="L1206" s="47">
        <v>1.9</v>
      </c>
      <c r="M1206" s="51">
        <v>25</v>
      </c>
      <c r="N1206" s="51">
        <v>25</v>
      </c>
      <c r="O1206" s="55" t="s">
        <v>1137</v>
      </c>
      <c r="P1206" s="47"/>
      <c r="Q1206" s="47">
        <v>720</v>
      </c>
      <c r="R1206" s="47">
        <v>60</v>
      </c>
      <c r="S1206" s="47"/>
      <c r="T1206" s="47">
        <v>1</v>
      </c>
      <c r="U1206" s="47">
        <v>120</v>
      </c>
      <c r="V1206" s="47"/>
      <c r="Y1206" s="79">
        <v>23.8</v>
      </c>
      <c r="Z1206" s="86" t="s">
        <v>1</v>
      </c>
    </row>
    <row r="1207" spans="1:28" s="51" customFormat="1" ht="23.1" customHeight="1" x14ac:dyDescent="0.25">
      <c r="A1207" s="53" t="s">
        <v>653</v>
      </c>
      <c r="B1207" s="47" t="s">
        <v>113</v>
      </c>
      <c r="C1207" s="47">
        <v>44</v>
      </c>
      <c r="D1207" s="47" t="s">
        <v>1074</v>
      </c>
      <c r="E1207" s="41" t="s">
        <v>1075</v>
      </c>
      <c r="F1207" s="41" t="s">
        <v>1075</v>
      </c>
      <c r="G1207" s="21" t="str">
        <f>VLOOKUP(D1207,[6]成飞半成品!$A:$B,2,0)</f>
        <v>油箱底板（中）</v>
      </c>
      <c r="H1207" s="47" t="s">
        <v>154</v>
      </c>
      <c r="I1207" s="47">
        <v>50</v>
      </c>
      <c r="J1207" s="47" t="s">
        <v>2148</v>
      </c>
      <c r="K1207" s="47">
        <v>1.1000000000000001</v>
      </c>
      <c r="L1207" s="47">
        <v>1.1000000000000001</v>
      </c>
      <c r="M1207" s="51">
        <v>25</v>
      </c>
      <c r="N1207" s="51">
        <v>25</v>
      </c>
      <c r="O1207" s="55" t="s">
        <v>1100</v>
      </c>
      <c r="P1207" s="47"/>
      <c r="Q1207" s="47">
        <v>500</v>
      </c>
      <c r="R1207" s="47"/>
      <c r="S1207" s="47"/>
      <c r="T1207" s="47">
        <v>1</v>
      </c>
      <c r="U1207" s="47">
        <v>120</v>
      </c>
      <c r="V1207" s="47"/>
      <c r="X1207" s="51">
        <v>2</v>
      </c>
      <c r="Y1207" s="79">
        <v>11.2</v>
      </c>
      <c r="Z1207" s="86" t="s">
        <v>56</v>
      </c>
      <c r="AA1207" s="51" t="s">
        <v>953</v>
      </c>
    </row>
    <row r="1208" spans="1:28" s="51" customFormat="1" ht="23.1" customHeight="1" x14ac:dyDescent="0.25">
      <c r="A1208" s="53" t="s">
        <v>653</v>
      </c>
      <c r="B1208" s="47" t="s">
        <v>113</v>
      </c>
      <c r="C1208" s="47">
        <v>102</v>
      </c>
      <c r="D1208" s="47" t="s">
        <v>1095</v>
      </c>
      <c r="E1208" s="41" t="s">
        <v>1096</v>
      </c>
      <c r="F1208" s="41" t="s">
        <v>1096</v>
      </c>
      <c r="G1208" s="21" t="str">
        <f>VLOOKUP(D1208,[6]成飞半成品!$A:$B,2,0)</f>
        <v>1150肋根肋</v>
      </c>
      <c r="H1208" s="47" t="s">
        <v>658</v>
      </c>
      <c r="I1208" s="47">
        <v>45</v>
      </c>
      <c r="J1208" s="47" t="s">
        <v>1870</v>
      </c>
      <c r="K1208" s="47">
        <v>2.5</v>
      </c>
      <c r="L1208" s="47">
        <v>3</v>
      </c>
      <c r="M1208" s="51">
        <v>25</v>
      </c>
      <c r="N1208" s="51">
        <v>25</v>
      </c>
      <c r="O1208" s="55" t="s">
        <v>282</v>
      </c>
      <c r="P1208" s="47"/>
      <c r="Q1208" s="47">
        <v>270</v>
      </c>
      <c r="R1208" s="47">
        <v>90</v>
      </c>
      <c r="S1208" s="47"/>
      <c r="T1208" s="47">
        <v>3</v>
      </c>
      <c r="U1208" s="47">
        <v>60</v>
      </c>
      <c r="V1208" s="47"/>
      <c r="Y1208" s="79">
        <v>18</v>
      </c>
      <c r="Z1208" s="86" t="s">
        <v>67</v>
      </c>
    </row>
    <row r="1209" spans="1:28" s="51" customFormat="1" ht="23.1" customHeight="1" x14ac:dyDescent="0.25">
      <c r="A1209" s="53" t="s">
        <v>653</v>
      </c>
      <c r="B1209" s="47" t="s">
        <v>113</v>
      </c>
      <c r="C1209" s="47">
        <v>101</v>
      </c>
      <c r="D1209" s="47" t="s">
        <v>1128</v>
      </c>
      <c r="E1209" s="41" t="s">
        <v>708</v>
      </c>
      <c r="F1209" s="41" t="e">
        <v>#N/A</v>
      </c>
      <c r="G1209" s="21" t="e">
        <f>VLOOKUP(D1209,[6]成飞半成品!$A:$B,2,0)</f>
        <v>#N/A</v>
      </c>
      <c r="H1209" s="47" t="s">
        <v>250</v>
      </c>
      <c r="I1209" s="47">
        <v>25</v>
      </c>
      <c r="J1209" s="47" t="s">
        <v>2154</v>
      </c>
      <c r="K1209" s="47">
        <v>0.8</v>
      </c>
      <c r="L1209" s="47">
        <v>1.2</v>
      </c>
      <c r="M1209" s="51">
        <v>25</v>
      </c>
      <c r="N1209" s="51">
        <v>25</v>
      </c>
      <c r="O1209" s="55" t="s">
        <v>1121</v>
      </c>
      <c r="P1209" s="47"/>
      <c r="Q1209" s="47">
        <v>1020</v>
      </c>
      <c r="R1209" s="47">
        <v>60</v>
      </c>
      <c r="S1209" s="47"/>
      <c r="T1209" s="47">
        <v>1</v>
      </c>
      <c r="U1209" s="47">
        <v>180</v>
      </c>
      <c r="V1209" s="47"/>
      <c r="Y1209" s="79">
        <v>21.4</v>
      </c>
      <c r="Z1209" s="86" t="s">
        <v>67</v>
      </c>
    </row>
    <row r="1210" spans="1:28" s="51" customFormat="1" ht="23.1" customHeight="1" x14ac:dyDescent="0.25">
      <c r="A1210" s="53" t="s">
        <v>653</v>
      </c>
      <c r="B1210" s="47" t="s">
        <v>113</v>
      </c>
      <c r="C1210" s="47">
        <v>100</v>
      </c>
      <c r="D1210" s="65" t="s">
        <v>2551</v>
      </c>
      <c r="E1210" s="41" t="s">
        <v>938</v>
      </c>
      <c r="F1210" s="41" t="s">
        <v>938</v>
      </c>
      <c r="G1210" s="21" t="str">
        <f>VLOOKUP(D1210,[6]成飞半成品!$A:$B,2,0)</f>
        <v>工装</v>
      </c>
      <c r="H1210" s="47" t="s">
        <v>939</v>
      </c>
      <c r="I1210" s="47">
        <v>20</v>
      </c>
      <c r="J1210" s="47" t="s">
        <v>2155</v>
      </c>
      <c r="K1210" s="47">
        <v>1</v>
      </c>
      <c r="L1210" s="47">
        <v>1.1000000000000001</v>
      </c>
      <c r="M1210" s="51">
        <v>25</v>
      </c>
      <c r="N1210" s="51">
        <v>25</v>
      </c>
      <c r="O1210" s="55" t="s">
        <v>1162</v>
      </c>
      <c r="P1210" s="47"/>
      <c r="Q1210" s="47">
        <v>330</v>
      </c>
      <c r="R1210" s="47">
        <v>90</v>
      </c>
      <c r="S1210" s="47"/>
      <c r="T1210" s="47">
        <v>1</v>
      </c>
      <c r="U1210" s="47">
        <v>90</v>
      </c>
      <c r="V1210" s="47"/>
      <c r="X1210" s="51">
        <v>5</v>
      </c>
      <c r="Y1210" s="79">
        <v>12.6</v>
      </c>
      <c r="Z1210" s="86" t="s">
        <v>67</v>
      </c>
      <c r="AA1210" s="51" t="s">
        <v>1163</v>
      </c>
    </row>
    <row r="1211" spans="1:28" s="51" customFormat="1" ht="23.1" customHeight="1" x14ac:dyDescent="0.25">
      <c r="A1211" s="53" t="s">
        <v>653</v>
      </c>
      <c r="B1211" s="47" t="s">
        <v>113</v>
      </c>
      <c r="C1211" s="47">
        <v>100</v>
      </c>
      <c r="D1211" s="65" t="s">
        <v>2551</v>
      </c>
      <c r="E1211" s="41" t="s">
        <v>938</v>
      </c>
      <c r="F1211" s="41" t="s">
        <v>938</v>
      </c>
      <c r="G1211" s="21" t="str">
        <f>VLOOKUP(D1211,[6]成飞半成品!$A:$B,2,0)</f>
        <v>工装</v>
      </c>
      <c r="H1211" s="47" t="s">
        <v>939</v>
      </c>
      <c r="I1211" s="47">
        <v>25</v>
      </c>
      <c r="J1211" s="47" t="s">
        <v>2160</v>
      </c>
      <c r="K1211" s="47">
        <v>1.6</v>
      </c>
      <c r="L1211" s="47">
        <v>0.9</v>
      </c>
      <c r="M1211" s="51">
        <v>25</v>
      </c>
      <c r="N1211" s="51">
        <v>25</v>
      </c>
      <c r="O1211" s="55" t="s">
        <v>470</v>
      </c>
      <c r="P1211" s="47"/>
      <c r="Q1211" s="47">
        <v>270</v>
      </c>
      <c r="R1211" s="47">
        <v>60</v>
      </c>
      <c r="S1211" s="47"/>
      <c r="T1211" s="47">
        <v>1</v>
      </c>
      <c r="U1211" s="47">
        <v>90</v>
      </c>
      <c r="V1211" s="47"/>
      <c r="W1211" s="51">
        <v>1</v>
      </c>
      <c r="Y1211" s="79">
        <v>6.6</v>
      </c>
      <c r="Z1211" s="86" t="s">
        <v>67</v>
      </c>
    </row>
    <row r="1212" spans="1:28" s="51" customFormat="1" ht="23.1" customHeight="1" x14ac:dyDescent="0.25">
      <c r="A1212" s="53" t="s">
        <v>653</v>
      </c>
      <c r="B1212" s="47" t="s">
        <v>113</v>
      </c>
      <c r="C1212" s="47">
        <v>97</v>
      </c>
      <c r="D1212" s="47" t="s">
        <v>1097</v>
      </c>
      <c r="E1212" s="41" t="s">
        <v>1065</v>
      </c>
      <c r="F1212" s="41" t="s">
        <v>1065</v>
      </c>
      <c r="G1212" s="21" t="str">
        <f>VLOOKUP(D1212,[6]成飞半成品!$A:$B,2,0)</f>
        <v>根肋一段</v>
      </c>
      <c r="H1212" s="47" t="s">
        <v>250</v>
      </c>
      <c r="I1212" s="47">
        <v>60</v>
      </c>
      <c r="J1212" s="47" t="s">
        <v>2156</v>
      </c>
      <c r="K1212" s="47">
        <v>1.3</v>
      </c>
      <c r="L1212" s="47">
        <v>1.3</v>
      </c>
      <c r="M1212" s="51">
        <v>25</v>
      </c>
      <c r="N1212" s="51">
        <v>25</v>
      </c>
      <c r="O1212" s="55" t="s">
        <v>429</v>
      </c>
      <c r="P1212" s="47"/>
      <c r="Q1212" s="47">
        <v>570</v>
      </c>
      <c r="R1212" s="47">
        <v>60</v>
      </c>
      <c r="S1212" s="47"/>
      <c r="T1212" s="47">
        <v>1</v>
      </c>
      <c r="U1212" s="47">
        <v>60</v>
      </c>
      <c r="V1212" s="47"/>
      <c r="Y1212" s="79">
        <v>13.4</v>
      </c>
      <c r="Z1212" s="86" t="s">
        <v>67</v>
      </c>
    </row>
    <row r="1213" spans="1:28" s="51" customFormat="1" ht="23.1" customHeight="1" x14ac:dyDescent="0.25">
      <c r="A1213" s="53" t="s">
        <v>653</v>
      </c>
      <c r="B1213" s="47" t="s">
        <v>113</v>
      </c>
      <c r="C1213" s="47">
        <v>106</v>
      </c>
      <c r="D1213" s="47" t="s">
        <v>1070</v>
      </c>
      <c r="E1213" s="41" t="s">
        <v>101</v>
      </c>
      <c r="F1213" s="41" t="s">
        <v>101</v>
      </c>
      <c r="G1213" s="21" t="str">
        <f>VLOOKUP(D1213,[6]成飞半成品!$A:$B,2,0)</f>
        <v>前梁一段</v>
      </c>
      <c r="H1213" s="47" t="s">
        <v>300</v>
      </c>
      <c r="I1213" s="47">
        <v>25</v>
      </c>
      <c r="J1213" s="47" t="s">
        <v>2163</v>
      </c>
      <c r="K1213" s="47">
        <v>0.2</v>
      </c>
      <c r="L1213" s="47">
        <v>0.2</v>
      </c>
      <c r="M1213" s="51">
        <v>25</v>
      </c>
      <c r="N1213" s="51">
        <v>25</v>
      </c>
      <c r="O1213" s="55" t="s">
        <v>247</v>
      </c>
      <c r="P1213" s="47"/>
      <c r="Q1213" s="47">
        <v>4800</v>
      </c>
      <c r="R1213" s="47">
        <v>180</v>
      </c>
      <c r="S1213" s="47"/>
      <c r="T1213" s="47"/>
      <c r="U1213" s="47">
        <v>180</v>
      </c>
      <c r="V1213" s="47"/>
      <c r="Y1213" s="79">
        <v>16</v>
      </c>
      <c r="Z1213" s="86" t="s">
        <v>67</v>
      </c>
    </row>
    <row r="1214" spans="1:28" s="51" customFormat="1" ht="23.1" customHeight="1" x14ac:dyDescent="0.25">
      <c r="A1214" s="53" t="s">
        <v>653</v>
      </c>
      <c r="B1214" s="47" t="s">
        <v>113</v>
      </c>
      <c r="C1214" s="47">
        <v>102</v>
      </c>
      <c r="D1214" s="47" t="s">
        <v>1067</v>
      </c>
      <c r="E1214" s="41" t="s">
        <v>1068</v>
      </c>
      <c r="F1214" s="41" t="s">
        <v>1068</v>
      </c>
      <c r="G1214" s="21" t="str">
        <f>VLOOKUP(D1214,[6]成飞半成品!$A:$B,2,0)</f>
        <v>11900梁一段（右件）</v>
      </c>
      <c r="H1214" s="47" t="s">
        <v>323</v>
      </c>
      <c r="I1214" s="47">
        <v>45</v>
      </c>
      <c r="J1214" s="47" t="s">
        <v>2457</v>
      </c>
      <c r="K1214" s="47">
        <v>0.7</v>
      </c>
      <c r="L1214" s="47">
        <v>1</v>
      </c>
      <c r="M1214" s="51">
        <v>25</v>
      </c>
      <c r="N1214" s="51">
        <v>25</v>
      </c>
      <c r="O1214" s="55" t="s">
        <v>1164</v>
      </c>
      <c r="P1214" s="47"/>
      <c r="Q1214" s="47">
        <v>1080</v>
      </c>
      <c r="R1214" s="47">
        <v>60</v>
      </c>
      <c r="S1214" s="47"/>
      <c r="T1214" s="47">
        <v>1</v>
      </c>
      <c r="U1214" s="47">
        <v>150</v>
      </c>
      <c r="V1214" s="47"/>
      <c r="Y1214" s="79">
        <v>19</v>
      </c>
      <c r="Z1214" s="86" t="s">
        <v>67</v>
      </c>
    </row>
    <row r="1215" spans="1:28" s="51" customFormat="1" ht="23.1" customHeight="1" x14ac:dyDescent="0.25">
      <c r="A1215" s="53" t="s">
        <v>653</v>
      </c>
      <c r="B1215" s="47" t="s">
        <v>110</v>
      </c>
      <c r="C1215" s="47">
        <v>97</v>
      </c>
      <c r="D1215" s="47" t="s">
        <v>1097</v>
      </c>
      <c r="E1215" s="41" t="s">
        <v>1065</v>
      </c>
      <c r="F1215" s="41" t="s">
        <v>1065</v>
      </c>
      <c r="G1215" s="21" t="str">
        <f>VLOOKUP(D1215,[6]成飞半成品!$A:$B,2,0)</f>
        <v>根肋一段</v>
      </c>
      <c r="H1215" s="47" t="s">
        <v>250</v>
      </c>
      <c r="I1215" s="47">
        <v>60</v>
      </c>
      <c r="J1215" s="47" t="s">
        <v>2156</v>
      </c>
      <c r="K1215" s="47">
        <v>1.3</v>
      </c>
      <c r="L1215" s="47">
        <v>0.8</v>
      </c>
      <c r="M1215" s="51">
        <v>32</v>
      </c>
      <c r="N1215" s="51">
        <v>32</v>
      </c>
      <c r="O1215" s="55" t="s">
        <v>1165</v>
      </c>
      <c r="P1215" s="47"/>
      <c r="Q1215" s="47">
        <v>570</v>
      </c>
      <c r="R1215" s="47">
        <v>60</v>
      </c>
      <c r="S1215" s="47"/>
      <c r="T1215" s="47">
        <v>1</v>
      </c>
      <c r="U1215" s="47">
        <v>60</v>
      </c>
      <c r="V1215" s="47"/>
      <c r="Y1215" s="79">
        <v>8.6</v>
      </c>
      <c r="Z1215" s="5" t="s">
        <v>36</v>
      </c>
      <c r="AA1215" s="51" t="s">
        <v>1166</v>
      </c>
      <c r="AB1215" s="51" t="s">
        <v>1066</v>
      </c>
    </row>
    <row r="1216" spans="1:28" s="51" customFormat="1" ht="23.1" customHeight="1" x14ac:dyDescent="0.25">
      <c r="A1216" s="53" t="s">
        <v>653</v>
      </c>
      <c r="B1216" s="47" t="s">
        <v>110</v>
      </c>
      <c r="C1216" s="47">
        <v>100</v>
      </c>
      <c r="D1216" s="65" t="s">
        <v>2551</v>
      </c>
      <c r="E1216" s="41" t="s">
        <v>938</v>
      </c>
      <c r="F1216" s="41" t="s">
        <v>938</v>
      </c>
      <c r="G1216" s="21" t="str">
        <f>VLOOKUP(D1216,[6]成飞半成品!$A:$B,2,0)</f>
        <v>工装</v>
      </c>
      <c r="H1216" s="47" t="s">
        <v>939</v>
      </c>
      <c r="I1216" s="47">
        <v>20</v>
      </c>
      <c r="J1216" s="47" t="s">
        <v>2164</v>
      </c>
      <c r="K1216" s="47">
        <v>2</v>
      </c>
      <c r="L1216" s="47">
        <v>2</v>
      </c>
      <c r="M1216" s="51">
        <v>32</v>
      </c>
      <c r="N1216" s="51">
        <v>32</v>
      </c>
      <c r="O1216" s="55" t="s">
        <v>1167</v>
      </c>
      <c r="P1216" s="47"/>
      <c r="Q1216" s="47">
        <v>1080</v>
      </c>
      <c r="R1216" s="47">
        <v>90</v>
      </c>
      <c r="S1216" s="47"/>
      <c r="T1216" s="47">
        <v>2</v>
      </c>
      <c r="U1216" s="47">
        <v>90</v>
      </c>
      <c r="V1216" s="47"/>
      <c r="Y1216" s="79">
        <v>39</v>
      </c>
      <c r="Z1216" s="5" t="s">
        <v>36</v>
      </c>
    </row>
    <row r="1217" spans="1:27" s="51" customFormat="1" ht="23.1" customHeight="1" x14ac:dyDescent="0.25">
      <c r="A1217" s="53" t="s">
        <v>653</v>
      </c>
      <c r="B1217" s="47" t="s">
        <v>110</v>
      </c>
      <c r="C1217" s="47">
        <v>102</v>
      </c>
      <c r="D1217" s="47" t="s">
        <v>1067</v>
      </c>
      <c r="E1217" s="41" t="s">
        <v>1068</v>
      </c>
      <c r="F1217" s="41" t="s">
        <v>1068</v>
      </c>
      <c r="G1217" s="21" t="str">
        <f>VLOOKUP(D1217,[6]成飞半成品!$A:$B,2,0)</f>
        <v>11900梁一段（右件）</v>
      </c>
      <c r="H1217" s="47" t="s">
        <v>323</v>
      </c>
      <c r="I1217" s="47">
        <v>45</v>
      </c>
      <c r="J1217" s="47" t="s">
        <v>2121</v>
      </c>
      <c r="K1217" s="47">
        <v>0.7</v>
      </c>
      <c r="L1217" s="47">
        <v>0.7</v>
      </c>
      <c r="M1217" s="51">
        <v>32</v>
      </c>
      <c r="N1217" s="51">
        <v>32</v>
      </c>
      <c r="O1217" s="55" t="s">
        <v>330</v>
      </c>
      <c r="P1217" s="47"/>
      <c r="Q1217" s="47">
        <v>1080</v>
      </c>
      <c r="R1217" s="47">
        <v>60</v>
      </c>
      <c r="S1217" s="47"/>
      <c r="T1217" s="47">
        <v>1</v>
      </c>
      <c r="U1217" s="47">
        <v>120</v>
      </c>
      <c r="V1217" s="47"/>
      <c r="Y1217" s="79">
        <v>13.6</v>
      </c>
      <c r="Z1217" s="5" t="s">
        <v>36</v>
      </c>
    </row>
    <row r="1218" spans="1:27" s="51" customFormat="1" ht="23.1" customHeight="1" x14ac:dyDescent="0.25">
      <c r="A1218" s="53" t="s">
        <v>653</v>
      </c>
      <c r="B1218" s="47" t="s">
        <v>110</v>
      </c>
      <c r="C1218" s="47">
        <v>106</v>
      </c>
      <c r="D1218" s="47" t="s">
        <v>1070</v>
      </c>
      <c r="E1218" s="41" t="s">
        <v>101</v>
      </c>
      <c r="F1218" s="41" t="s">
        <v>101</v>
      </c>
      <c r="G1218" s="21" t="str">
        <f>VLOOKUP(D1218,[6]成飞半成品!$A:$B,2,0)</f>
        <v>前梁一段</v>
      </c>
      <c r="H1218" s="47" t="s">
        <v>300</v>
      </c>
      <c r="I1218" s="47">
        <v>35</v>
      </c>
      <c r="J1218" s="47" t="s">
        <v>2157</v>
      </c>
      <c r="K1218" s="47">
        <v>0.5</v>
      </c>
      <c r="L1218" s="47">
        <v>0.3</v>
      </c>
      <c r="M1218" s="51">
        <v>32</v>
      </c>
      <c r="N1218" s="51">
        <v>32</v>
      </c>
      <c r="O1218" s="55" t="s">
        <v>292</v>
      </c>
      <c r="P1218" s="47"/>
      <c r="Q1218" s="47">
        <v>1200</v>
      </c>
      <c r="R1218" s="47">
        <v>150</v>
      </c>
      <c r="S1218" s="47"/>
      <c r="T1218" s="47"/>
      <c r="U1218" s="47">
        <v>180</v>
      </c>
      <c r="V1218" s="47"/>
      <c r="Y1218" s="79">
        <v>6</v>
      </c>
      <c r="Z1218" s="5" t="s">
        <v>36</v>
      </c>
    </row>
    <row r="1219" spans="1:27" s="51" customFormat="1" ht="23.1" customHeight="1" x14ac:dyDescent="0.25">
      <c r="A1219" s="53" t="s">
        <v>653</v>
      </c>
      <c r="B1219" s="47" t="s">
        <v>110</v>
      </c>
      <c r="C1219" s="47">
        <v>106</v>
      </c>
      <c r="D1219" s="47" t="s">
        <v>1070</v>
      </c>
      <c r="E1219" s="41" t="s">
        <v>101</v>
      </c>
      <c r="F1219" s="41" t="s">
        <v>101</v>
      </c>
      <c r="G1219" s="21" t="str">
        <f>VLOOKUP(D1219,[6]成飞半成品!$A:$B,2,0)</f>
        <v>前梁一段</v>
      </c>
      <c r="H1219" s="47" t="s">
        <v>300</v>
      </c>
      <c r="I1219" s="47">
        <v>25</v>
      </c>
      <c r="J1219" s="47" t="s">
        <v>2163</v>
      </c>
      <c r="K1219" s="47">
        <v>0.1</v>
      </c>
      <c r="L1219" s="47">
        <v>0.1</v>
      </c>
      <c r="M1219" s="51">
        <v>32</v>
      </c>
      <c r="N1219" s="51">
        <v>32</v>
      </c>
      <c r="O1219" s="55" t="s">
        <v>247</v>
      </c>
      <c r="P1219" s="47"/>
      <c r="Q1219" s="47">
        <v>4800</v>
      </c>
      <c r="R1219" s="47">
        <v>180</v>
      </c>
      <c r="S1219" s="47"/>
      <c r="T1219" s="47">
        <v>1</v>
      </c>
      <c r="U1219" s="47">
        <v>180</v>
      </c>
      <c r="V1219" s="47"/>
      <c r="W1219" s="51">
        <v>1</v>
      </c>
      <c r="Y1219" s="79">
        <v>14</v>
      </c>
      <c r="Z1219" s="5" t="s">
        <v>36</v>
      </c>
    </row>
    <row r="1220" spans="1:27" s="51" customFormat="1" ht="23.1" customHeight="1" x14ac:dyDescent="0.25">
      <c r="A1220" s="53" t="s">
        <v>653</v>
      </c>
      <c r="B1220" s="47" t="s">
        <v>110</v>
      </c>
      <c r="C1220" s="47">
        <v>117</v>
      </c>
      <c r="D1220" s="47" t="s">
        <v>1083</v>
      </c>
      <c r="E1220" s="41" t="s">
        <v>1082</v>
      </c>
      <c r="F1220" s="41" t="s">
        <v>1082</v>
      </c>
      <c r="G1220" s="21" t="str">
        <f>VLOOKUP(D1220,[6]成飞半成品!$A:$B,2,0)</f>
        <v xml:space="preserve"> 前梁</v>
      </c>
      <c r="H1220" s="47" t="s">
        <v>123</v>
      </c>
      <c r="I1220" s="47">
        <v>15</v>
      </c>
      <c r="J1220" s="47" t="s">
        <v>2152</v>
      </c>
      <c r="K1220" s="47"/>
      <c r="L1220" s="47">
        <v>4</v>
      </c>
      <c r="M1220" s="51">
        <v>32</v>
      </c>
      <c r="N1220" s="51">
        <v>32</v>
      </c>
      <c r="O1220" s="55" t="s">
        <v>1168</v>
      </c>
      <c r="P1220" s="47"/>
      <c r="Q1220" s="47">
        <v>100</v>
      </c>
      <c r="R1220" s="47">
        <v>60</v>
      </c>
      <c r="S1220" s="47"/>
      <c r="T1220" s="47">
        <v>4</v>
      </c>
      <c r="U1220" s="47">
        <v>90</v>
      </c>
      <c r="V1220" s="47"/>
      <c r="Y1220" s="79">
        <v>10.7</v>
      </c>
      <c r="Z1220" s="5" t="s">
        <v>36</v>
      </c>
    </row>
    <row r="1221" spans="1:27" s="51" customFormat="1" ht="23.1" customHeight="1" x14ac:dyDescent="0.25">
      <c r="A1221" s="53" t="s">
        <v>653</v>
      </c>
      <c r="B1221" s="47" t="s">
        <v>110</v>
      </c>
      <c r="C1221" s="47">
        <v>117</v>
      </c>
      <c r="D1221" s="47" t="s">
        <v>1081</v>
      </c>
      <c r="E1221" s="41" t="s">
        <v>1082</v>
      </c>
      <c r="F1221" s="41" t="s">
        <v>1082</v>
      </c>
      <c r="G1221" s="21" t="str">
        <f>VLOOKUP(D1221,[6]成飞半成品!$A:$B,2,0)</f>
        <v xml:space="preserve"> 前梁</v>
      </c>
      <c r="H1221" s="47" t="s">
        <v>123</v>
      </c>
      <c r="I1221" s="47">
        <v>15</v>
      </c>
      <c r="J1221" s="47" t="s">
        <v>2152</v>
      </c>
      <c r="K1221" s="47"/>
      <c r="L1221" s="47">
        <v>6</v>
      </c>
      <c r="M1221" s="51">
        <v>32</v>
      </c>
      <c r="N1221" s="51">
        <v>32</v>
      </c>
      <c r="O1221" s="55" t="s">
        <v>1169</v>
      </c>
      <c r="P1221" s="47"/>
      <c r="Q1221" s="47">
        <v>100</v>
      </c>
      <c r="R1221" s="47">
        <v>60</v>
      </c>
      <c r="S1221" s="47"/>
      <c r="T1221" s="47"/>
      <c r="U1221" s="47">
        <v>90</v>
      </c>
      <c r="V1221" s="47"/>
      <c r="W1221" s="51">
        <v>1</v>
      </c>
      <c r="Y1221" s="79">
        <v>11.5</v>
      </c>
      <c r="Z1221" s="5" t="s">
        <v>36</v>
      </c>
    </row>
    <row r="1222" spans="1:27" s="51" customFormat="1" ht="23.1" customHeight="1" x14ac:dyDescent="0.25">
      <c r="A1222" s="53" t="s">
        <v>653</v>
      </c>
      <c r="B1222" s="47" t="s">
        <v>110</v>
      </c>
      <c r="C1222" s="47">
        <v>19</v>
      </c>
      <c r="D1222" s="47" t="s">
        <v>1071</v>
      </c>
      <c r="E1222" s="41" t="s">
        <v>1072</v>
      </c>
      <c r="F1222" s="41" t="e">
        <v>#N/A</v>
      </c>
      <c r="G1222" s="21" t="e">
        <f>VLOOKUP(D1222,[6]成飞半成品!$A:$B,2,0)</f>
        <v>#N/A</v>
      </c>
      <c r="H1222" s="47" t="s">
        <v>250</v>
      </c>
      <c r="I1222" s="47">
        <v>30</v>
      </c>
      <c r="J1222" s="47" t="s">
        <v>2123</v>
      </c>
      <c r="K1222" s="47">
        <v>0.9</v>
      </c>
      <c r="L1222" s="47">
        <v>0.1</v>
      </c>
      <c r="M1222" s="51">
        <v>32</v>
      </c>
      <c r="N1222" s="51">
        <v>32</v>
      </c>
      <c r="O1222" s="55" t="s">
        <v>1170</v>
      </c>
      <c r="P1222" s="47"/>
      <c r="Q1222" s="47">
        <v>650</v>
      </c>
      <c r="R1222" s="47">
        <v>90</v>
      </c>
      <c r="S1222" s="47"/>
      <c r="T1222" s="47">
        <v>1</v>
      </c>
      <c r="U1222" s="47">
        <v>60</v>
      </c>
      <c r="V1222" s="47"/>
      <c r="Y1222" s="79">
        <v>2.6</v>
      </c>
      <c r="Z1222" s="5" t="s">
        <v>36</v>
      </c>
    </row>
    <row r="1223" spans="1:27" s="51" customFormat="1" ht="23.1" customHeight="1" x14ac:dyDescent="0.25">
      <c r="A1223" s="53" t="s">
        <v>653</v>
      </c>
      <c r="B1223" s="47" t="s">
        <v>110</v>
      </c>
      <c r="C1223" s="47">
        <v>118</v>
      </c>
      <c r="D1223" s="47" t="s">
        <v>1171</v>
      </c>
      <c r="E1223" s="41" t="s">
        <v>1172</v>
      </c>
      <c r="F1223" s="41" t="s">
        <v>1172</v>
      </c>
      <c r="G1223" s="21" t="str">
        <f>VLOOKUP(D1223,[6]成飞半成品!$A:$B,2,0)</f>
        <v>后梁</v>
      </c>
      <c r="H1223" s="47" t="s">
        <v>300</v>
      </c>
      <c r="I1223" s="47">
        <v>15</v>
      </c>
      <c r="J1223" s="47" t="s">
        <v>1931</v>
      </c>
      <c r="K1223" s="47">
        <v>1</v>
      </c>
      <c r="L1223" s="47">
        <v>1</v>
      </c>
      <c r="M1223" s="51">
        <v>32</v>
      </c>
      <c r="N1223" s="51">
        <v>32</v>
      </c>
      <c r="O1223" s="55" t="s">
        <v>1164</v>
      </c>
      <c r="P1223" s="47"/>
      <c r="Q1223" s="47">
        <v>900</v>
      </c>
      <c r="R1223" s="47">
        <v>120</v>
      </c>
      <c r="S1223" s="47"/>
      <c r="T1223" s="47">
        <v>1</v>
      </c>
      <c r="U1223" s="47">
        <v>60</v>
      </c>
      <c r="V1223" s="47"/>
      <c r="W1223" s="51">
        <v>1</v>
      </c>
      <c r="Y1223" s="79">
        <v>18</v>
      </c>
      <c r="Z1223" s="5" t="s">
        <v>36</v>
      </c>
    </row>
    <row r="1224" spans="1:27" s="51" customFormat="1" ht="23.1" customHeight="1" x14ac:dyDescent="0.25">
      <c r="A1224" s="53" t="s">
        <v>653</v>
      </c>
      <c r="B1224" s="47" t="s">
        <v>110</v>
      </c>
      <c r="C1224" s="47">
        <v>98</v>
      </c>
      <c r="D1224" s="47" t="s">
        <v>404</v>
      </c>
      <c r="E1224" s="41" t="s">
        <v>405</v>
      </c>
      <c r="F1224" s="41" t="s">
        <v>405</v>
      </c>
      <c r="G1224" s="21" t="str">
        <f>VLOOKUP(D1224,[6]成飞半成品!$A:$B,2,0)</f>
        <v>11140框右下半框</v>
      </c>
      <c r="H1224" s="47" t="s">
        <v>118</v>
      </c>
      <c r="I1224" s="47">
        <v>15</v>
      </c>
      <c r="J1224" s="47" t="s">
        <v>1869</v>
      </c>
      <c r="K1224" s="47">
        <v>0.8</v>
      </c>
      <c r="L1224" s="47">
        <v>1.2</v>
      </c>
      <c r="M1224" s="51">
        <v>32</v>
      </c>
      <c r="N1224" s="51">
        <v>32</v>
      </c>
      <c r="O1224" s="55" t="s">
        <v>1173</v>
      </c>
      <c r="P1224" s="47"/>
      <c r="Q1224" s="47">
        <v>720</v>
      </c>
      <c r="R1224" s="47">
        <v>60</v>
      </c>
      <c r="S1224" s="47"/>
      <c r="T1224" s="47">
        <v>1</v>
      </c>
      <c r="U1224" s="47">
        <v>120</v>
      </c>
      <c r="V1224" s="47"/>
      <c r="Y1224" s="79">
        <v>15.4</v>
      </c>
      <c r="Z1224" s="86" t="s">
        <v>39</v>
      </c>
    </row>
    <row r="1225" spans="1:27" s="51" customFormat="1" ht="23.1" customHeight="1" x14ac:dyDescent="0.25">
      <c r="A1225" s="53" t="s">
        <v>653</v>
      </c>
      <c r="B1225" s="47" t="s">
        <v>110</v>
      </c>
      <c r="C1225" s="47">
        <v>99</v>
      </c>
      <c r="D1225" s="47" t="s">
        <v>1091</v>
      </c>
      <c r="E1225" s="41" t="s">
        <v>1092</v>
      </c>
      <c r="F1225" s="41" t="s">
        <v>1092</v>
      </c>
      <c r="G1225" s="21" t="str">
        <f>VLOOKUP(D1225,[6]成飞半成品!$A:$B,2,0)</f>
        <v>氧气瓶支架</v>
      </c>
      <c r="H1225" s="47" t="s">
        <v>118</v>
      </c>
      <c r="I1225" s="47">
        <v>40</v>
      </c>
      <c r="J1225" s="47" t="s">
        <v>2145</v>
      </c>
      <c r="K1225" s="47">
        <v>2</v>
      </c>
      <c r="L1225" s="47">
        <v>2.1</v>
      </c>
      <c r="M1225" s="51">
        <v>32</v>
      </c>
      <c r="N1225" s="51">
        <v>32</v>
      </c>
      <c r="O1225" s="55" t="s">
        <v>1170</v>
      </c>
      <c r="P1225" s="47"/>
      <c r="Q1225" s="47">
        <v>390</v>
      </c>
      <c r="R1225" s="47">
        <v>60</v>
      </c>
      <c r="S1225" s="47"/>
      <c r="T1225" s="47">
        <v>2</v>
      </c>
      <c r="U1225" s="47">
        <v>120</v>
      </c>
      <c r="V1225" s="47"/>
      <c r="Y1225" s="79">
        <v>15.7</v>
      </c>
      <c r="Z1225" s="86" t="s">
        <v>29</v>
      </c>
    </row>
    <row r="1226" spans="1:27" s="51" customFormat="1" ht="23.1" customHeight="1" x14ac:dyDescent="0.25">
      <c r="A1226" s="53" t="s">
        <v>653</v>
      </c>
      <c r="B1226" s="47" t="s">
        <v>110</v>
      </c>
      <c r="C1226" s="47">
        <v>101</v>
      </c>
      <c r="D1226" s="47" t="s">
        <v>1128</v>
      </c>
      <c r="E1226" s="41" t="s">
        <v>708</v>
      </c>
      <c r="F1226" s="41" t="e">
        <v>#N/A</v>
      </c>
      <c r="G1226" s="21" t="e">
        <f>VLOOKUP(D1226,[6]成飞半成品!$A:$B,2,0)</f>
        <v>#N/A</v>
      </c>
      <c r="H1226" s="47" t="s">
        <v>250</v>
      </c>
      <c r="I1226" s="47">
        <v>25</v>
      </c>
      <c r="J1226" s="47" t="s">
        <v>2302</v>
      </c>
      <c r="K1226" s="47">
        <v>0.8</v>
      </c>
      <c r="L1226" s="47">
        <v>0.8</v>
      </c>
      <c r="M1226" s="51">
        <v>32</v>
      </c>
      <c r="N1226" s="51">
        <v>32</v>
      </c>
      <c r="O1226" s="55" t="s">
        <v>1119</v>
      </c>
      <c r="P1226" s="47"/>
      <c r="Q1226" s="47">
        <v>1020</v>
      </c>
      <c r="R1226" s="47">
        <v>60</v>
      </c>
      <c r="S1226" s="47"/>
      <c r="T1226" s="47">
        <v>1</v>
      </c>
      <c r="U1226" s="47">
        <v>180</v>
      </c>
      <c r="V1226" s="47"/>
      <c r="Y1226" s="79">
        <v>14.6</v>
      </c>
      <c r="Z1226" s="86" t="s">
        <v>47</v>
      </c>
    </row>
    <row r="1227" spans="1:27" s="51" customFormat="1" ht="23.1" customHeight="1" x14ac:dyDescent="0.25">
      <c r="A1227" s="53" t="s">
        <v>653</v>
      </c>
      <c r="B1227" s="47" t="s">
        <v>110</v>
      </c>
      <c r="C1227" s="47">
        <v>103</v>
      </c>
      <c r="D1227" s="47" t="s">
        <v>1148</v>
      </c>
      <c r="E1227" s="41" t="s">
        <v>1149</v>
      </c>
      <c r="F1227" s="41" t="s">
        <v>1149</v>
      </c>
      <c r="G1227" s="21" t="str">
        <f>VLOOKUP(D1227,[6]成飞半成品!$A:$B,2,0)</f>
        <v>1号下壁板</v>
      </c>
      <c r="H1227" s="47" t="s">
        <v>300</v>
      </c>
      <c r="I1227" s="47">
        <v>5</v>
      </c>
      <c r="J1227" s="47" t="s">
        <v>2158</v>
      </c>
      <c r="K1227" s="47"/>
      <c r="L1227" s="47">
        <v>1</v>
      </c>
      <c r="M1227" s="51">
        <v>32</v>
      </c>
      <c r="N1227" s="51">
        <v>32</v>
      </c>
      <c r="O1227" s="55" t="s">
        <v>1174</v>
      </c>
      <c r="P1227" s="47"/>
      <c r="Q1227" s="47">
        <v>240</v>
      </c>
      <c r="R1227" s="47">
        <v>120</v>
      </c>
      <c r="S1227" s="47"/>
      <c r="T1227" s="47">
        <v>1</v>
      </c>
      <c r="U1227" s="47">
        <v>90</v>
      </c>
      <c r="V1227" s="47"/>
      <c r="W1227" s="51">
        <v>1</v>
      </c>
      <c r="X1227" s="51">
        <v>1</v>
      </c>
      <c r="Y1227" s="79">
        <v>8.5</v>
      </c>
      <c r="Z1227" s="86" t="s">
        <v>61</v>
      </c>
      <c r="AA1227" s="51" t="s">
        <v>1175</v>
      </c>
    </row>
    <row r="1228" spans="1:27" s="51" customFormat="1" ht="23.1" customHeight="1" x14ac:dyDescent="0.25">
      <c r="A1228" s="53" t="s">
        <v>653</v>
      </c>
      <c r="B1228" s="47" t="s">
        <v>110</v>
      </c>
      <c r="C1228" s="47">
        <v>105</v>
      </c>
      <c r="D1228" s="47" t="s">
        <v>1176</v>
      </c>
      <c r="E1228" s="41" t="s">
        <v>1098</v>
      </c>
      <c r="F1228" s="41" t="s">
        <v>1098</v>
      </c>
      <c r="G1228" s="21" t="str">
        <f>VLOOKUP(D1228,[6]成飞半成品!$A:$B,2,0)</f>
        <v>根肋一段</v>
      </c>
      <c r="H1228" s="47" t="s">
        <v>250</v>
      </c>
      <c r="I1228" s="47">
        <v>25</v>
      </c>
      <c r="J1228" s="47" t="s">
        <v>2149</v>
      </c>
      <c r="K1228" s="47">
        <v>3</v>
      </c>
      <c r="L1228" s="47">
        <v>3.1</v>
      </c>
      <c r="M1228" s="51">
        <v>32</v>
      </c>
      <c r="N1228" s="51">
        <v>32</v>
      </c>
      <c r="O1228" s="55" t="s">
        <v>429</v>
      </c>
      <c r="P1228" s="47"/>
      <c r="Q1228" s="47">
        <v>210</v>
      </c>
      <c r="R1228" s="47">
        <v>60</v>
      </c>
      <c r="S1228" s="47"/>
      <c r="T1228" s="47">
        <v>3</v>
      </c>
      <c r="U1228" s="47">
        <v>60</v>
      </c>
      <c r="V1228" s="47"/>
      <c r="Y1228" s="79">
        <v>13.9</v>
      </c>
      <c r="Z1228" s="86" t="s">
        <v>9</v>
      </c>
    </row>
    <row r="1229" spans="1:27" s="51" customFormat="1" ht="23.1" customHeight="1" x14ac:dyDescent="0.25">
      <c r="A1229" s="53" t="s">
        <v>653</v>
      </c>
      <c r="B1229" s="47" t="s">
        <v>110</v>
      </c>
      <c r="C1229" s="47">
        <v>83</v>
      </c>
      <c r="D1229" s="47" t="s">
        <v>1095</v>
      </c>
      <c r="E1229" s="41" t="s">
        <v>1096</v>
      </c>
      <c r="F1229" s="41" t="s">
        <v>1096</v>
      </c>
      <c r="G1229" s="21" t="str">
        <f>VLOOKUP(D1229,[6]成飞半成品!$A:$B,2,0)</f>
        <v>1150肋根肋</v>
      </c>
      <c r="H1229" s="47" t="s">
        <v>658</v>
      </c>
      <c r="I1229" s="47">
        <v>45</v>
      </c>
      <c r="J1229" s="47" t="s">
        <v>2159</v>
      </c>
      <c r="K1229" s="47">
        <v>1</v>
      </c>
      <c r="L1229" s="47">
        <v>1</v>
      </c>
      <c r="M1229" s="51">
        <v>32</v>
      </c>
      <c r="N1229" s="51">
        <v>32</v>
      </c>
      <c r="O1229" s="55" t="s">
        <v>282</v>
      </c>
      <c r="P1229" s="47"/>
      <c r="Q1229" s="47">
        <v>270</v>
      </c>
      <c r="R1229" s="47">
        <v>90</v>
      </c>
      <c r="S1229" s="47"/>
      <c r="T1229" s="47">
        <v>1</v>
      </c>
      <c r="U1229" s="47">
        <v>60</v>
      </c>
      <c r="V1229" s="47"/>
      <c r="W1229" s="51">
        <v>1</v>
      </c>
      <c r="Y1229" s="79">
        <v>7</v>
      </c>
      <c r="Z1229" s="86" t="s">
        <v>17</v>
      </c>
    </row>
    <row r="1230" spans="1:27" s="51" customFormat="1" ht="23.1" customHeight="1" x14ac:dyDescent="0.25">
      <c r="A1230" s="53" t="s">
        <v>653</v>
      </c>
      <c r="B1230" s="47" t="s">
        <v>110</v>
      </c>
      <c r="C1230" s="47">
        <v>83</v>
      </c>
      <c r="D1230" s="47" t="s">
        <v>1095</v>
      </c>
      <c r="E1230" s="41" t="s">
        <v>1096</v>
      </c>
      <c r="F1230" s="41" t="s">
        <v>1096</v>
      </c>
      <c r="G1230" s="21" t="str">
        <f>VLOOKUP(D1230,[6]成飞半成品!$A:$B,2,0)</f>
        <v>1150肋根肋</v>
      </c>
      <c r="H1230" s="47" t="s">
        <v>658</v>
      </c>
      <c r="I1230" s="47">
        <v>45</v>
      </c>
      <c r="J1230" s="47" t="s">
        <v>2159</v>
      </c>
      <c r="K1230" s="47"/>
      <c r="L1230" s="47">
        <v>0.5</v>
      </c>
      <c r="M1230" s="51">
        <v>32</v>
      </c>
      <c r="N1230" s="51">
        <v>32</v>
      </c>
      <c r="O1230" s="55" t="s">
        <v>282</v>
      </c>
      <c r="P1230" s="47"/>
      <c r="Q1230" s="47">
        <v>270</v>
      </c>
      <c r="R1230" s="47">
        <v>90</v>
      </c>
      <c r="S1230" s="47"/>
      <c r="T1230" s="47">
        <v>1</v>
      </c>
      <c r="U1230" s="47">
        <v>60</v>
      </c>
      <c r="V1230" s="47"/>
      <c r="W1230" s="51">
        <v>1</v>
      </c>
      <c r="Y1230" s="79">
        <v>4.8</v>
      </c>
      <c r="Z1230" s="86" t="s">
        <v>17</v>
      </c>
    </row>
    <row r="1231" spans="1:27" s="51" customFormat="1" ht="23.1" customHeight="1" x14ac:dyDescent="0.25">
      <c r="A1231" s="53" t="s">
        <v>653</v>
      </c>
      <c r="B1231" s="47" t="s">
        <v>110</v>
      </c>
      <c r="C1231" s="47">
        <v>20</v>
      </c>
      <c r="D1231" s="47" t="s">
        <v>1074</v>
      </c>
      <c r="E1231" s="41" t="s">
        <v>1075</v>
      </c>
      <c r="F1231" s="41" t="s">
        <v>1075</v>
      </c>
      <c r="G1231" s="21" t="str">
        <f>VLOOKUP(D1231,[6]成飞半成品!$A:$B,2,0)</f>
        <v>油箱底板（中）</v>
      </c>
      <c r="H1231" s="47" t="s">
        <v>154</v>
      </c>
      <c r="I1231" s="47">
        <v>50</v>
      </c>
      <c r="J1231" s="47" t="s">
        <v>2148</v>
      </c>
      <c r="K1231" s="47">
        <v>1.5</v>
      </c>
      <c r="L1231" s="47">
        <v>1.5</v>
      </c>
      <c r="M1231" s="51">
        <v>32</v>
      </c>
      <c r="N1231" s="51">
        <v>32</v>
      </c>
      <c r="O1231" s="55" t="s">
        <v>1177</v>
      </c>
      <c r="P1231" s="47"/>
      <c r="Q1231" s="47">
        <v>500</v>
      </c>
      <c r="R1231" s="47"/>
      <c r="S1231" s="47"/>
      <c r="T1231" s="47">
        <v>1</v>
      </c>
      <c r="U1231" s="47">
        <v>120</v>
      </c>
      <c r="V1231" s="47"/>
      <c r="Y1231" s="79">
        <v>12.5</v>
      </c>
      <c r="Z1231" s="86" t="s">
        <v>64</v>
      </c>
    </row>
    <row r="1232" spans="1:27" s="51" customFormat="1" ht="23.1" customHeight="1" x14ac:dyDescent="0.25">
      <c r="A1232" s="53" t="s">
        <v>748</v>
      </c>
      <c r="B1232" s="47" t="s">
        <v>110</v>
      </c>
      <c r="C1232" s="47">
        <v>44</v>
      </c>
      <c r="D1232" s="47" t="s">
        <v>266</v>
      </c>
      <c r="E1232" s="41" t="s">
        <v>267</v>
      </c>
      <c r="F1232" s="41" t="s">
        <v>267</v>
      </c>
      <c r="G1232" s="21" t="str">
        <f>VLOOKUP(D1232,[6]成飞半成品!$A:$B,2,0)</f>
        <v>后端框</v>
      </c>
      <c r="H1232" s="47" t="s">
        <v>118</v>
      </c>
      <c r="I1232" s="47">
        <v>55</v>
      </c>
      <c r="J1232" s="47" t="s">
        <v>2166</v>
      </c>
      <c r="K1232" s="47">
        <v>0.4</v>
      </c>
      <c r="L1232" s="47"/>
      <c r="M1232" s="51">
        <v>32</v>
      </c>
      <c r="N1232" s="51">
        <v>32</v>
      </c>
      <c r="O1232" s="55" t="s">
        <v>429</v>
      </c>
      <c r="P1232" s="47"/>
      <c r="Q1232" s="47">
        <v>1260</v>
      </c>
      <c r="R1232" s="47">
        <v>90</v>
      </c>
      <c r="S1232" s="47"/>
      <c r="T1232" s="47">
        <v>1</v>
      </c>
      <c r="U1232" s="47">
        <v>60</v>
      </c>
      <c r="V1232" s="47"/>
      <c r="X1232" s="51">
        <v>3</v>
      </c>
      <c r="Y1232" s="79">
        <v>4.5</v>
      </c>
      <c r="Z1232" s="86" t="s">
        <v>64</v>
      </c>
      <c r="AA1232" s="51" t="s">
        <v>1078</v>
      </c>
    </row>
    <row r="1233" spans="1:28" s="51" customFormat="1" ht="23.1" customHeight="1" x14ac:dyDescent="0.25">
      <c r="A1233" s="53" t="s">
        <v>748</v>
      </c>
      <c r="B1233" s="47" t="s">
        <v>110</v>
      </c>
      <c r="C1233" s="47">
        <v>103</v>
      </c>
      <c r="D1233" s="47" t="s">
        <v>1148</v>
      </c>
      <c r="E1233" s="41" t="s">
        <v>1149</v>
      </c>
      <c r="F1233" s="41" t="s">
        <v>1149</v>
      </c>
      <c r="G1233" s="21" t="str">
        <f>VLOOKUP(D1233,[6]成飞半成品!$A:$B,2,0)</f>
        <v>1号下壁板</v>
      </c>
      <c r="H1233" s="47" t="s">
        <v>300</v>
      </c>
      <c r="I1233" s="47">
        <v>5</v>
      </c>
      <c r="J1233" s="47" t="s">
        <v>2165</v>
      </c>
      <c r="K1233" s="47">
        <v>2</v>
      </c>
      <c r="L1233" s="47">
        <v>0.5</v>
      </c>
      <c r="M1233" s="51">
        <v>32</v>
      </c>
      <c r="N1233" s="51">
        <v>32</v>
      </c>
      <c r="O1233" s="55" t="s">
        <v>1174</v>
      </c>
      <c r="P1233" s="47"/>
      <c r="Q1233" s="47">
        <v>240</v>
      </c>
      <c r="R1233" s="47">
        <v>120</v>
      </c>
      <c r="S1233" s="47"/>
      <c r="T1233" s="47">
        <v>1</v>
      </c>
      <c r="U1233" s="47">
        <v>90</v>
      </c>
      <c r="V1233" s="47"/>
      <c r="W1233" s="51">
        <v>1</v>
      </c>
      <c r="Y1233" s="79">
        <v>5.5</v>
      </c>
      <c r="Z1233" s="86" t="s">
        <v>61</v>
      </c>
    </row>
    <row r="1234" spans="1:28" s="51" customFormat="1" ht="23.1" customHeight="1" x14ac:dyDescent="0.25">
      <c r="A1234" s="53" t="s">
        <v>748</v>
      </c>
      <c r="B1234" s="47" t="s">
        <v>110</v>
      </c>
      <c r="C1234" s="47">
        <v>103</v>
      </c>
      <c r="D1234" s="47" t="s">
        <v>1148</v>
      </c>
      <c r="E1234" s="41" t="s">
        <v>1149</v>
      </c>
      <c r="F1234" s="41" t="s">
        <v>1149</v>
      </c>
      <c r="G1234" s="21" t="str">
        <f>VLOOKUP(D1234,[6]成飞半成品!$A:$B,2,0)</f>
        <v>1号下壁板</v>
      </c>
      <c r="H1234" s="47" t="s">
        <v>300</v>
      </c>
      <c r="I1234" s="47">
        <v>5</v>
      </c>
      <c r="J1234" s="47" t="s">
        <v>2165</v>
      </c>
      <c r="K1234" s="47"/>
      <c r="L1234" s="47">
        <v>2</v>
      </c>
      <c r="M1234" s="51">
        <v>32</v>
      </c>
      <c r="N1234" s="51">
        <v>32</v>
      </c>
      <c r="O1234" s="55" t="s">
        <v>1153</v>
      </c>
      <c r="P1234" s="47"/>
      <c r="Q1234" s="47">
        <v>240</v>
      </c>
      <c r="R1234" s="47">
        <v>120</v>
      </c>
      <c r="S1234" s="47"/>
      <c r="T1234" s="47">
        <v>2</v>
      </c>
      <c r="U1234" s="47">
        <v>90</v>
      </c>
      <c r="V1234" s="47"/>
      <c r="X1234" s="51">
        <v>1</v>
      </c>
      <c r="Y1234" s="79">
        <v>13</v>
      </c>
      <c r="Z1234" s="86" t="s">
        <v>61</v>
      </c>
      <c r="AA1234" s="51" t="s">
        <v>1175</v>
      </c>
    </row>
    <row r="1235" spans="1:28" s="51" customFormat="1" ht="23.1" customHeight="1" x14ac:dyDescent="0.25">
      <c r="A1235" s="53" t="s">
        <v>748</v>
      </c>
      <c r="B1235" s="47" t="s">
        <v>110</v>
      </c>
      <c r="C1235" s="47">
        <v>105</v>
      </c>
      <c r="D1235" s="47" t="s">
        <v>1176</v>
      </c>
      <c r="E1235" s="41" t="s">
        <v>1098</v>
      </c>
      <c r="F1235" s="41" t="s">
        <v>1098</v>
      </c>
      <c r="G1235" s="21" t="str">
        <f>VLOOKUP(D1235,[6]成飞半成品!$A:$B,2,0)</f>
        <v>根肋一段</v>
      </c>
      <c r="H1235" s="10" t="s">
        <v>250</v>
      </c>
      <c r="I1235" s="47">
        <v>25</v>
      </c>
      <c r="J1235" s="47" t="s">
        <v>2149</v>
      </c>
      <c r="K1235" s="47">
        <v>2.5</v>
      </c>
      <c r="L1235" s="47">
        <v>1</v>
      </c>
      <c r="M1235" s="51">
        <v>32</v>
      </c>
      <c r="N1235" s="51">
        <v>32</v>
      </c>
      <c r="O1235" s="55" t="s">
        <v>216</v>
      </c>
      <c r="P1235" s="47"/>
      <c r="Q1235" s="47">
        <v>210</v>
      </c>
      <c r="R1235" s="47">
        <v>60</v>
      </c>
      <c r="S1235" s="47"/>
      <c r="T1235" s="47">
        <v>5</v>
      </c>
      <c r="U1235" s="47">
        <v>60</v>
      </c>
      <c r="V1235" s="47"/>
      <c r="W1235" s="51">
        <v>1</v>
      </c>
      <c r="Y1235" s="79">
        <v>9.5</v>
      </c>
      <c r="Z1235" s="86" t="s">
        <v>9</v>
      </c>
    </row>
    <row r="1236" spans="1:28" s="51" customFormat="1" ht="23.1" customHeight="1" x14ac:dyDescent="0.25">
      <c r="A1236" s="53" t="s">
        <v>748</v>
      </c>
      <c r="B1236" s="47" t="s">
        <v>110</v>
      </c>
      <c r="C1236" s="47">
        <v>101</v>
      </c>
      <c r="D1236" s="47" t="s">
        <v>1128</v>
      </c>
      <c r="E1236" s="41" t="s">
        <v>708</v>
      </c>
      <c r="F1236" s="41" t="e">
        <v>#N/A</v>
      </c>
      <c r="G1236" s="21" t="e">
        <f>VLOOKUP(D1236,[6]成飞半成品!$A:$B,2,0)</f>
        <v>#N/A</v>
      </c>
      <c r="H1236" s="47" t="s">
        <v>250</v>
      </c>
      <c r="I1236" s="47">
        <v>25</v>
      </c>
      <c r="J1236" s="47" t="s">
        <v>2302</v>
      </c>
      <c r="K1236" s="47">
        <v>0.6</v>
      </c>
      <c r="L1236" s="47">
        <v>0.1</v>
      </c>
      <c r="M1236" s="51">
        <v>32</v>
      </c>
      <c r="N1236" s="51">
        <v>32</v>
      </c>
      <c r="O1236" s="55" t="s">
        <v>722</v>
      </c>
      <c r="P1236" s="47"/>
      <c r="Q1236" s="47">
        <v>1020</v>
      </c>
      <c r="R1236" s="47">
        <v>60</v>
      </c>
      <c r="S1236" s="47"/>
      <c r="T1236" s="47"/>
      <c r="U1236" s="47">
        <v>180</v>
      </c>
      <c r="V1236" s="47"/>
      <c r="Y1236" s="79">
        <v>1.7</v>
      </c>
      <c r="Z1236" s="86" t="s">
        <v>47</v>
      </c>
    </row>
    <row r="1237" spans="1:28" s="51" customFormat="1" ht="23.1" customHeight="1" x14ac:dyDescent="0.25">
      <c r="A1237" s="53" t="s">
        <v>748</v>
      </c>
      <c r="B1237" s="47" t="s">
        <v>110</v>
      </c>
      <c r="C1237" s="47">
        <v>101</v>
      </c>
      <c r="D1237" s="47" t="s">
        <v>1128</v>
      </c>
      <c r="E1237" s="41" t="s">
        <v>708</v>
      </c>
      <c r="F1237" s="41" t="e">
        <v>#N/A</v>
      </c>
      <c r="G1237" s="21" t="e">
        <f>VLOOKUP(D1237,[6]成飞半成品!$A:$B,2,0)</f>
        <v>#N/A</v>
      </c>
      <c r="H1237" s="47" t="s">
        <v>250</v>
      </c>
      <c r="I1237" s="47">
        <v>20</v>
      </c>
      <c r="J1237" s="47" t="s">
        <v>1950</v>
      </c>
      <c r="K1237" s="47">
        <v>4</v>
      </c>
      <c r="L1237" s="47">
        <v>4</v>
      </c>
      <c r="M1237" s="51">
        <v>32</v>
      </c>
      <c r="N1237" s="51">
        <v>32</v>
      </c>
      <c r="O1237" s="55" t="s">
        <v>1129</v>
      </c>
      <c r="P1237" s="47"/>
      <c r="Q1237" s="47">
        <v>300</v>
      </c>
      <c r="R1237" s="47">
        <v>60</v>
      </c>
      <c r="S1237" s="47"/>
      <c r="T1237" s="47">
        <v>4</v>
      </c>
      <c r="U1237" s="47">
        <v>60</v>
      </c>
      <c r="V1237" s="47"/>
      <c r="W1237" s="51">
        <v>1</v>
      </c>
      <c r="Y1237" s="79">
        <v>25</v>
      </c>
      <c r="Z1237" s="86" t="s">
        <v>47</v>
      </c>
    </row>
    <row r="1238" spans="1:28" s="51" customFormat="1" ht="23.1" customHeight="1" x14ac:dyDescent="0.25">
      <c r="A1238" s="53" t="s">
        <v>748</v>
      </c>
      <c r="B1238" s="47" t="s">
        <v>110</v>
      </c>
      <c r="C1238" s="47">
        <v>99</v>
      </c>
      <c r="D1238" s="47" t="s">
        <v>1091</v>
      </c>
      <c r="E1238" s="41" t="s">
        <v>1092</v>
      </c>
      <c r="F1238" s="41" t="s">
        <v>1092</v>
      </c>
      <c r="G1238" s="21" t="str">
        <f>VLOOKUP(D1238,[6]成飞半成品!$A:$B,2,0)</f>
        <v>氧气瓶支架</v>
      </c>
      <c r="H1238" s="47" t="s">
        <v>118</v>
      </c>
      <c r="I1238" s="47">
        <v>45</v>
      </c>
      <c r="J1238" s="47" t="s">
        <v>2146</v>
      </c>
      <c r="K1238" s="47">
        <v>2.1</v>
      </c>
      <c r="L1238" s="47">
        <v>1</v>
      </c>
      <c r="M1238" s="51">
        <v>32</v>
      </c>
      <c r="N1238" s="51">
        <v>32</v>
      </c>
      <c r="O1238" s="55" t="s">
        <v>1136</v>
      </c>
      <c r="P1238" s="47"/>
      <c r="Q1238" s="47">
        <v>60</v>
      </c>
      <c r="R1238" s="47">
        <v>60</v>
      </c>
      <c r="S1238" s="47"/>
      <c r="T1238" s="47">
        <v>1</v>
      </c>
      <c r="U1238" s="47">
        <v>120</v>
      </c>
      <c r="V1238" s="47"/>
      <c r="W1238" s="51">
        <v>1</v>
      </c>
      <c r="Y1238" s="79">
        <v>4</v>
      </c>
      <c r="Z1238" s="86" t="s">
        <v>29</v>
      </c>
    </row>
    <row r="1239" spans="1:28" s="51" customFormat="1" ht="23.1" customHeight="1" x14ac:dyDescent="0.25">
      <c r="A1239" s="53" t="s">
        <v>748</v>
      </c>
      <c r="B1239" s="47" t="s">
        <v>110</v>
      </c>
      <c r="C1239" s="47">
        <v>83</v>
      </c>
      <c r="D1239" s="47" t="s">
        <v>1095</v>
      </c>
      <c r="E1239" s="41" t="s">
        <v>1096</v>
      </c>
      <c r="F1239" s="41" t="s">
        <v>1096</v>
      </c>
      <c r="G1239" s="21" t="str">
        <f>VLOOKUP(D1239,[6]成飞半成品!$A:$B,2,0)</f>
        <v>1150肋根肋</v>
      </c>
      <c r="H1239" s="47" t="s">
        <v>658</v>
      </c>
      <c r="I1239" s="47">
        <v>45</v>
      </c>
      <c r="J1239" s="47" t="s">
        <v>1870</v>
      </c>
      <c r="K1239" s="47">
        <v>2</v>
      </c>
      <c r="L1239" s="47">
        <v>3</v>
      </c>
      <c r="M1239" s="51">
        <v>32</v>
      </c>
      <c r="N1239" s="51">
        <v>32</v>
      </c>
      <c r="O1239" s="55" t="s">
        <v>282</v>
      </c>
      <c r="P1239" s="47"/>
      <c r="Q1239" s="47">
        <v>270</v>
      </c>
      <c r="R1239" s="47">
        <v>90</v>
      </c>
      <c r="S1239" s="47"/>
      <c r="T1239" s="47">
        <v>3</v>
      </c>
      <c r="U1239" s="47">
        <v>60</v>
      </c>
      <c r="V1239" s="47"/>
      <c r="Y1239" s="79">
        <v>18</v>
      </c>
      <c r="Z1239" s="86" t="s">
        <v>17</v>
      </c>
    </row>
    <row r="1240" spans="1:28" s="51" customFormat="1" ht="23.1" customHeight="1" x14ac:dyDescent="0.25">
      <c r="A1240" s="53" t="s">
        <v>748</v>
      </c>
      <c r="B1240" s="47" t="s">
        <v>110</v>
      </c>
      <c r="C1240" s="47">
        <v>98</v>
      </c>
      <c r="D1240" s="47" t="s">
        <v>404</v>
      </c>
      <c r="E1240" s="41" t="s">
        <v>405</v>
      </c>
      <c r="F1240" s="41" t="s">
        <v>405</v>
      </c>
      <c r="G1240" s="21" t="str">
        <f>VLOOKUP(D1240,[6]成飞半成品!$A:$B,2,0)</f>
        <v>11140框右下半框</v>
      </c>
      <c r="H1240" s="47" t="s">
        <v>118</v>
      </c>
      <c r="I1240" s="47">
        <v>15</v>
      </c>
      <c r="J1240" s="47" t="s">
        <v>2144</v>
      </c>
      <c r="K1240" s="47">
        <v>0.7</v>
      </c>
      <c r="L1240" s="47">
        <v>0.9</v>
      </c>
      <c r="M1240" s="51">
        <v>32</v>
      </c>
      <c r="N1240" s="51">
        <v>32</v>
      </c>
      <c r="O1240" s="55" t="s">
        <v>1118</v>
      </c>
      <c r="P1240" s="47"/>
      <c r="Q1240" s="47">
        <v>720</v>
      </c>
      <c r="R1240" s="47">
        <v>60</v>
      </c>
      <c r="S1240" s="47"/>
      <c r="T1240" s="47">
        <v>1</v>
      </c>
      <c r="U1240" s="47">
        <v>120</v>
      </c>
      <c r="V1240" s="47"/>
      <c r="Y1240" s="79">
        <v>11.8</v>
      </c>
      <c r="Z1240" s="86" t="s">
        <v>39</v>
      </c>
    </row>
    <row r="1241" spans="1:28" s="51" customFormat="1" ht="23.1" customHeight="1" x14ac:dyDescent="0.25">
      <c r="A1241" s="53" t="s">
        <v>748</v>
      </c>
      <c r="B1241" s="47" t="s">
        <v>110</v>
      </c>
      <c r="C1241" s="47">
        <v>97</v>
      </c>
      <c r="D1241" s="47" t="s">
        <v>1097</v>
      </c>
      <c r="E1241" s="41" t="s">
        <v>1065</v>
      </c>
      <c r="F1241" s="41" t="s">
        <v>1065</v>
      </c>
      <c r="G1241" s="21" t="str">
        <f>VLOOKUP(D1241,[6]成飞半成品!$A:$B,2,0)</f>
        <v>根肋一段</v>
      </c>
      <c r="H1241" s="47" t="s">
        <v>250</v>
      </c>
      <c r="I1241" s="47">
        <v>60</v>
      </c>
      <c r="J1241" s="47" t="s">
        <v>2156</v>
      </c>
      <c r="K1241" s="47">
        <v>1</v>
      </c>
      <c r="L1241" s="47">
        <v>1</v>
      </c>
      <c r="M1241" s="51">
        <v>32</v>
      </c>
      <c r="N1241" s="51">
        <v>32</v>
      </c>
      <c r="O1241" s="55" t="s">
        <v>429</v>
      </c>
      <c r="P1241" s="47"/>
      <c r="Q1241" s="47">
        <v>570</v>
      </c>
      <c r="R1241" s="47">
        <v>60</v>
      </c>
      <c r="S1241" s="47"/>
      <c r="T1241" s="47">
        <v>1</v>
      </c>
      <c r="U1241" s="47">
        <v>60</v>
      </c>
      <c r="V1241" s="47"/>
      <c r="Y1241" s="79">
        <v>10.5</v>
      </c>
      <c r="Z1241" s="5" t="s">
        <v>34</v>
      </c>
      <c r="AA1241" s="51" t="s">
        <v>1166</v>
      </c>
      <c r="AB1241" s="51" t="s">
        <v>1066</v>
      </c>
    </row>
    <row r="1242" spans="1:28" s="51" customFormat="1" ht="23.1" customHeight="1" x14ac:dyDescent="0.25">
      <c r="A1242" s="53" t="s">
        <v>748</v>
      </c>
      <c r="B1242" s="47" t="s">
        <v>110</v>
      </c>
      <c r="C1242" s="47">
        <v>100</v>
      </c>
      <c r="D1242" s="65" t="s">
        <v>2551</v>
      </c>
      <c r="E1242" s="41" t="s">
        <v>938</v>
      </c>
      <c r="F1242" s="41" t="s">
        <v>938</v>
      </c>
      <c r="G1242" s="21" t="str">
        <f>VLOOKUP(D1242,[6]成飞半成品!$A:$B,2,0)</f>
        <v>工装</v>
      </c>
      <c r="H1242" s="47" t="s">
        <v>939</v>
      </c>
      <c r="I1242" s="47">
        <v>25</v>
      </c>
      <c r="J1242" s="47" t="s">
        <v>2160</v>
      </c>
      <c r="K1242" s="47">
        <v>2.4</v>
      </c>
      <c r="L1242" s="47">
        <v>2</v>
      </c>
      <c r="M1242" s="51">
        <v>32</v>
      </c>
      <c r="N1242" s="51">
        <v>32</v>
      </c>
      <c r="O1242" s="55" t="s">
        <v>1167</v>
      </c>
      <c r="P1242" s="47"/>
      <c r="Q1242" s="47">
        <v>270</v>
      </c>
      <c r="R1242" s="47">
        <v>60</v>
      </c>
      <c r="S1242" s="47"/>
      <c r="T1242" s="47"/>
      <c r="U1242" s="47">
        <v>90</v>
      </c>
      <c r="V1242" s="47"/>
      <c r="Y1242" s="79">
        <v>9</v>
      </c>
      <c r="Z1242" s="5" t="s">
        <v>34</v>
      </c>
    </row>
    <row r="1243" spans="1:28" s="51" customFormat="1" ht="23.1" customHeight="1" x14ac:dyDescent="0.25">
      <c r="A1243" s="53" t="s">
        <v>748</v>
      </c>
      <c r="B1243" s="47" t="s">
        <v>110</v>
      </c>
      <c r="C1243" s="47">
        <v>102</v>
      </c>
      <c r="D1243" s="47" t="s">
        <v>1067</v>
      </c>
      <c r="E1243" s="41" t="s">
        <v>1068</v>
      </c>
      <c r="F1243" s="41" t="s">
        <v>1068</v>
      </c>
      <c r="G1243" s="21" t="str">
        <f>VLOOKUP(D1243,[6]成飞半成品!$A:$B,2,0)</f>
        <v>11900梁一段（右件）</v>
      </c>
      <c r="H1243" s="47" t="s">
        <v>323</v>
      </c>
      <c r="I1243" s="47">
        <v>40</v>
      </c>
      <c r="J1243" s="47" t="s">
        <v>2122</v>
      </c>
      <c r="K1243" s="47">
        <v>0.5</v>
      </c>
      <c r="L1243" s="47">
        <v>0.6</v>
      </c>
      <c r="M1243" s="51">
        <v>32</v>
      </c>
      <c r="N1243" s="51">
        <v>32</v>
      </c>
      <c r="O1243" s="55" t="s">
        <v>251</v>
      </c>
      <c r="P1243" s="47"/>
      <c r="Q1243" s="47">
        <v>1080</v>
      </c>
      <c r="R1243" s="47">
        <v>60</v>
      </c>
      <c r="S1243" s="47"/>
      <c r="T1243" s="47"/>
      <c r="U1243" s="47">
        <v>120</v>
      </c>
      <c r="V1243" s="47"/>
      <c r="Y1243" s="79">
        <v>10.8</v>
      </c>
      <c r="Z1243" s="5" t="s">
        <v>34</v>
      </c>
    </row>
    <row r="1244" spans="1:28" s="51" customFormat="1" ht="23.1" customHeight="1" x14ac:dyDescent="0.25">
      <c r="A1244" s="53" t="s">
        <v>748</v>
      </c>
      <c r="B1244" s="47" t="s">
        <v>110</v>
      </c>
      <c r="C1244" s="47">
        <v>106</v>
      </c>
      <c r="D1244" s="47" t="s">
        <v>1070</v>
      </c>
      <c r="E1244" s="41" t="s">
        <v>101</v>
      </c>
      <c r="F1244" s="41" t="s">
        <v>101</v>
      </c>
      <c r="G1244" s="21" t="str">
        <f>VLOOKUP(D1244,[6]成飞半成品!$A:$B,2,0)</f>
        <v>前梁一段</v>
      </c>
      <c r="H1244" s="47" t="s">
        <v>300</v>
      </c>
      <c r="I1244" s="47">
        <v>25</v>
      </c>
      <c r="J1244" s="47" t="s">
        <v>2163</v>
      </c>
      <c r="K1244" s="47">
        <v>0.15</v>
      </c>
      <c r="L1244" s="47">
        <v>0.15</v>
      </c>
      <c r="M1244" s="51">
        <v>32</v>
      </c>
      <c r="N1244" s="51">
        <v>32</v>
      </c>
      <c r="O1244" s="55" t="s">
        <v>247</v>
      </c>
      <c r="P1244" s="47"/>
      <c r="Q1244" s="47">
        <v>4800</v>
      </c>
      <c r="R1244" s="47">
        <v>180</v>
      </c>
      <c r="S1244" s="47"/>
      <c r="T1244" s="47"/>
      <c r="U1244" s="47">
        <v>180</v>
      </c>
      <c r="V1244" s="47"/>
      <c r="Y1244" s="79">
        <v>12</v>
      </c>
      <c r="Z1244" s="5" t="s">
        <v>34</v>
      </c>
    </row>
    <row r="1245" spans="1:28" s="51" customFormat="1" ht="23.1" customHeight="1" x14ac:dyDescent="0.25">
      <c r="A1245" s="53" t="s">
        <v>748</v>
      </c>
      <c r="B1245" s="47" t="s">
        <v>110</v>
      </c>
      <c r="C1245" s="47">
        <v>19</v>
      </c>
      <c r="D1245" s="47" t="s">
        <v>1071</v>
      </c>
      <c r="E1245" s="41" t="s">
        <v>1072</v>
      </c>
      <c r="F1245" s="41" t="e">
        <v>#N/A</v>
      </c>
      <c r="G1245" s="21" t="e">
        <f>VLOOKUP(D1245,[6]成飞半成品!$A:$B,2,0)</f>
        <v>#N/A</v>
      </c>
      <c r="H1245" s="47" t="s">
        <v>250</v>
      </c>
      <c r="I1245" s="47">
        <v>30</v>
      </c>
      <c r="J1245" s="47" t="s">
        <v>2123</v>
      </c>
      <c r="K1245" s="47">
        <v>0.5</v>
      </c>
      <c r="L1245" s="47">
        <v>0.4</v>
      </c>
      <c r="M1245" s="51">
        <v>32</v>
      </c>
      <c r="N1245" s="51">
        <v>32</v>
      </c>
      <c r="O1245" s="55"/>
      <c r="P1245" s="47"/>
      <c r="Q1245" s="47">
        <v>650</v>
      </c>
      <c r="R1245" s="47">
        <v>90</v>
      </c>
      <c r="S1245" s="47"/>
      <c r="T1245" s="47"/>
      <c r="U1245" s="47">
        <v>60</v>
      </c>
      <c r="V1245" s="47"/>
      <c r="X1245" s="51">
        <v>3</v>
      </c>
      <c r="Y1245" s="79">
        <v>7.3</v>
      </c>
      <c r="Z1245" s="5" t="s">
        <v>34</v>
      </c>
      <c r="AA1245" s="51" t="s">
        <v>1078</v>
      </c>
    </row>
    <row r="1246" spans="1:28" s="51" customFormat="1" ht="23.1" customHeight="1" x14ac:dyDescent="0.25">
      <c r="A1246" s="53" t="s">
        <v>748</v>
      </c>
      <c r="B1246" s="47" t="s">
        <v>110</v>
      </c>
      <c r="C1246" s="47">
        <v>97</v>
      </c>
      <c r="D1246" s="47" t="s">
        <v>1097</v>
      </c>
      <c r="E1246" s="41" t="s">
        <v>1065</v>
      </c>
      <c r="F1246" s="41" t="s">
        <v>1065</v>
      </c>
      <c r="G1246" s="21" t="str">
        <f>VLOOKUP(D1246,[6]成飞半成品!$A:$B,2,0)</f>
        <v>根肋一段</v>
      </c>
      <c r="H1246" s="47" t="s">
        <v>250</v>
      </c>
      <c r="I1246" s="47">
        <v>50</v>
      </c>
      <c r="J1246" s="47" t="s">
        <v>2118</v>
      </c>
      <c r="K1246" s="47">
        <v>1</v>
      </c>
      <c r="L1246" s="47">
        <v>1</v>
      </c>
      <c r="M1246" s="51">
        <v>32</v>
      </c>
      <c r="N1246" s="51">
        <v>32</v>
      </c>
      <c r="O1246" s="55" t="s">
        <v>1077</v>
      </c>
      <c r="P1246" s="47"/>
      <c r="Q1246" s="47">
        <v>420</v>
      </c>
      <c r="R1246" s="47">
        <v>60</v>
      </c>
      <c r="S1246" s="47"/>
      <c r="T1246" s="47">
        <v>1</v>
      </c>
      <c r="U1246" s="47">
        <v>90</v>
      </c>
      <c r="V1246" s="47"/>
      <c r="Y1246" s="79">
        <v>8</v>
      </c>
      <c r="Z1246" s="86" t="s">
        <v>74</v>
      </c>
    </row>
    <row r="1247" spans="1:28" s="51" customFormat="1" ht="23.1" customHeight="1" x14ac:dyDescent="0.25">
      <c r="A1247" s="53" t="s">
        <v>748</v>
      </c>
      <c r="B1247" s="47" t="s">
        <v>110</v>
      </c>
      <c r="C1247" s="47">
        <v>97</v>
      </c>
      <c r="D1247" s="47" t="s">
        <v>1097</v>
      </c>
      <c r="E1247" s="41" t="s">
        <v>1065</v>
      </c>
      <c r="F1247" s="41" t="s">
        <v>1065</v>
      </c>
      <c r="G1247" s="21" t="str">
        <f>VLOOKUP(D1247,[6]成飞半成品!$A:$B,2,0)</f>
        <v>根肋一段</v>
      </c>
      <c r="H1247" s="47" t="s">
        <v>250</v>
      </c>
      <c r="I1247" s="47">
        <v>55</v>
      </c>
      <c r="J1247" s="47" t="s">
        <v>2119</v>
      </c>
      <c r="K1247" s="47">
        <v>1</v>
      </c>
      <c r="L1247" s="47">
        <v>1</v>
      </c>
      <c r="M1247" s="51">
        <v>32</v>
      </c>
      <c r="N1247" s="51">
        <v>32</v>
      </c>
      <c r="O1247" s="55" t="s">
        <v>1086</v>
      </c>
      <c r="P1247" s="47"/>
      <c r="Q1247" s="47">
        <v>60</v>
      </c>
      <c r="R1247" s="47">
        <v>60</v>
      </c>
      <c r="S1247" s="47"/>
      <c r="T1247" s="47">
        <v>1</v>
      </c>
      <c r="U1247" s="47">
        <v>60</v>
      </c>
      <c r="V1247" s="47"/>
      <c r="Y1247" s="79">
        <v>2</v>
      </c>
      <c r="Z1247" s="86" t="s">
        <v>74</v>
      </c>
    </row>
    <row r="1248" spans="1:28" s="51" customFormat="1" ht="23.1" customHeight="1" x14ac:dyDescent="0.25">
      <c r="A1248" s="53" t="s">
        <v>748</v>
      </c>
      <c r="B1248" s="47" t="s">
        <v>110</v>
      </c>
      <c r="C1248" s="47">
        <v>100</v>
      </c>
      <c r="D1248" s="47" t="s">
        <v>643</v>
      </c>
      <c r="E1248" s="41" t="s">
        <v>644</v>
      </c>
      <c r="F1248" s="41" t="s">
        <v>644</v>
      </c>
      <c r="G1248" s="21" t="str">
        <f>VLOOKUP(D1248,[6]成飞半成品!$A:$B,2,0)</f>
        <v>辅助动力舱口盖前段</v>
      </c>
      <c r="H1248" s="47" t="s">
        <v>154</v>
      </c>
      <c r="I1248" s="47">
        <v>40</v>
      </c>
      <c r="J1248" s="47" t="s">
        <v>2120</v>
      </c>
      <c r="K1248" s="47">
        <v>0.25</v>
      </c>
      <c r="L1248" s="47">
        <v>0.25</v>
      </c>
      <c r="M1248" s="51">
        <v>32</v>
      </c>
      <c r="N1248" s="51">
        <v>32</v>
      </c>
      <c r="O1248" s="55" t="s">
        <v>399</v>
      </c>
      <c r="P1248" s="47"/>
      <c r="Q1248" s="47">
        <v>2640</v>
      </c>
      <c r="R1248" s="47">
        <v>90</v>
      </c>
      <c r="S1248" s="47"/>
      <c r="T1248" s="47"/>
      <c r="U1248" s="47">
        <v>180</v>
      </c>
      <c r="V1248" s="47"/>
      <c r="Y1248" s="79">
        <v>11</v>
      </c>
      <c r="Z1248" s="86" t="s">
        <v>74</v>
      </c>
    </row>
    <row r="1249" spans="1:27" s="51" customFormat="1" ht="23.1" customHeight="1" x14ac:dyDescent="0.25">
      <c r="A1249" s="53" t="s">
        <v>748</v>
      </c>
      <c r="B1249" s="47" t="s">
        <v>110</v>
      </c>
      <c r="C1249" s="47">
        <v>102</v>
      </c>
      <c r="D1249" s="47" t="s">
        <v>1067</v>
      </c>
      <c r="E1249" s="41" t="s">
        <v>1068</v>
      </c>
      <c r="F1249" s="41" t="s">
        <v>1068</v>
      </c>
      <c r="G1249" s="21" t="str">
        <f>VLOOKUP(D1249,[6]成飞半成品!$A:$B,2,0)</f>
        <v>11900梁一段（右件）</v>
      </c>
      <c r="H1249" s="47" t="s">
        <v>323</v>
      </c>
      <c r="I1249" s="47">
        <v>45</v>
      </c>
      <c r="J1249" s="47" t="s">
        <v>2138</v>
      </c>
      <c r="K1249" s="47">
        <v>0.8</v>
      </c>
      <c r="L1249" s="47">
        <v>0.5</v>
      </c>
      <c r="M1249" s="51">
        <v>32</v>
      </c>
      <c r="N1249" s="51">
        <v>32</v>
      </c>
      <c r="O1249" s="55" t="s">
        <v>697</v>
      </c>
      <c r="P1249" s="47"/>
      <c r="Q1249" s="47">
        <v>1080</v>
      </c>
      <c r="R1249" s="47">
        <v>60</v>
      </c>
      <c r="S1249" s="47"/>
      <c r="T1249" s="47">
        <v>1</v>
      </c>
      <c r="U1249" s="47">
        <v>150</v>
      </c>
      <c r="V1249" s="47"/>
      <c r="Y1249" s="79">
        <v>10</v>
      </c>
      <c r="Z1249" s="86" t="s">
        <v>74</v>
      </c>
      <c r="AA1249" s="51" t="s">
        <v>1178</v>
      </c>
    </row>
    <row r="1250" spans="1:27" s="51" customFormat="1" ht="23.1" customHeight="1" x14ac:dyDescent="0.25">
      <c r="A1250" s="53" t="s">
        <v>748</v>
      </c>
      <c r="B1250" s="47" t="s">
        <v>110</v>
      </c>
      <c r="C1250" s="47">
        <v>19</v>
      </c>
      <c r="D1250" s="47" t="s">
        <v>1071</v>
      </c>
      <c r="E1250" s="41" t="s">
        <v>1072</v>
      </c>
      <c r="F1250" s="41" t="e">
        <v>#N/A</v>
      </c>
      <c r="G1250" s="21" t="e">
        <f>VLOOKUP(D1250,[6]成飞半成品!$A:$B,2,0)</f>
        <v>#N/A</v>
      </c>
      <c r="H1250" s="47" t="s">
        <v>250</v>
      </c>
      <c r="I1250" s="47">
        <v>30</v>
      </c>
      <c r="J1250" s="47" t="s">
        <v>2123</v>
      </c>
      <c r="K1250" s="47">
        <v>1</v>
      </c>
      <c r="L1250" s="47">
        <v>0.3</v>
      </c>
      <c r="M1250" s="51">
        <v>32</v>
      </c>
      <c r="N1250" s="51">
        <v>32</v>
      </c>
      <c r="O1250" s="55" t="s">
        <v>1179</v>
      </c>
      <c r="P1250" s="47"/>
      <c r="Q1250" s="47">
        <v>650</v>
      </c>
      <c r="R1250" s="47">
        <v>90</v>
      </c>
      <c r="S1250" s="47"/>
      <c r="T1250" s="47"/>
      <c r="U1250" s="47">
        <v>60</v>
      </c>
      <c r="V1250" s="47"/>
      <c r="Y1250" s="79">
        <v>3.3</v>
      </c>
      <c r="Z1250" s="86" t="s">
        <v>74</v>
      </c>
    </row>
    <row r="1251" spans="1:27" s="51" customFormat="1" ht="23.1" customHeight="1" x14ac:dyDescent="0.25">
      <c r="A1251" s="53" t="s">
        <v>748</v>
      </c>
      <c r="B1251" s="47" t="s">
        <v>110</v>
      </c>
      <c r="C1251" s="47">
        <v>44</v>
      </c>
      <c r="D1251" s="47" t="s">
        <v>1074</v>
      </c>
      <c r="E1251" s="41" t="s">
        <v>1075</v>
      </c>
      <c r="F1251" s="41" t="s">
        <v>1075</v>
      </c>
      <c r="G1251" s="21" t="str">
        <f>VLOOKUP(D1251,[6]成飞半成品!$A:$B,2,0)</f>
        <v>油箱底板（中）</v>
      </c>
      <c r="H1251" s="47" t="s">
        <v>154</v>
      </c>
      <c r="I1251" s="47">
        <v>45</v>
      </c>
      <c r="J1251" s="47" t="s">
        <v>2125</v>
      </c>
      <c r="K1251" s="47">
        <v>1</v>
      </c>
      <c r="L1251" s="47">
        <v>0.7</v>
      </c>
      <c r="M1251" s="51">
        <v>32</v>
      </c>
      <c r="N1251" s="51">
        <v>32</v>
      </c>
      <c r="O1251" s="55" t="s">
        <v>164</v>
      </c>
      <c r="P1251" s="47"/>
      <c r="Q1251" s="47">
        <v>600</v>
      </c>
      <c r="R1251" s="47"/>
      <c r="S1251" s="47"/>
      <c r="T1251" s="47"/>
      <c r="U1251" s="47">
        <v>120</v>
      </c>
      <c r="V1251" s="47"/>
      <c r="Y1251" s="79">
        <v>7</v>
      </c>
      <c r="Z1251" s="86" t="s">
        <v>74</v>
      </c>
    </row>
    <row r="1252" spans="1:27" s="51" customFormat="1" ht="23.1" customHeight="1" x14ac:dyDescent="0.25">
      <c r="A1252" s="53" t="s">
        <v>748</v>
      </c>
      <c r="B1252" s="47" t="s">
        <v>113</v>
      </c>
      <c r="C1252" s="47">
        <v>103</v>
      </c>
      <c r="D1252" s="47" t="s">
        <v>1148</v>
      </c>
      <c r="E1252" s="41" t="s">
        <v>1149</v>
      </c>
      <c r="F1252" s="41" t="s">
        <v>1149</v>
      </c>
      <c r="G1252" s="21" t="str">
        <f>VLOOKUP(D1252,[6]成飞半成品!$A:$B,2,0)</f>
        <v>1号下壁板</v>
      </c>
      <c r="H1252" s="47" t="s">
        <v>300</v>
      </c>
      <c r="I1252" s="47">
        <v>5</v>
      </c>
      <c r="J1252" s="47" t="s">
        <v>2158</v>
      </c>
      <c r="K1252" s="47">
        <v>2</v>
      </c>
      <c r="L1252" s="47">
        <v>2</v>
      </c>
      <c r="M1252" s="51">
        <v>25</v>
      </c>
      <c r="N1252" s="51">
        <v>25</v>
      </c>
      <c r="O1252" s="55" t="s">
        <v>1180</v>
      </c>
      <c r="P1252" s="47"/>
      <c r="Q1252" s="47">
        <v>240</v>
      </c>
      <c r="R1252" s="47">
        <v>120</v>
      </c>
      <c r="S1252" s="47"/>
      <c r="T1252" s="47">
        <v>2</v>
      </c>
      <c r="U1252" s="47">
        <v>90</v>
      </c>
      <c r="V1252" s="47"/>
      <c r="Y1252" s="79">
        <v>12</v>
      </c>
      <c r="Z1252" s="86" t="s">
        <v>62</v>
      </c>
    </row>
    <row r="1253" spans="1:27" s="51" customFormat="1" ht="23.1" customHeight="1" x14ac:dyDescent="0.25">
      <c r="A1253" s="53" t="s">
        <v>748</v>
      </c>
      <c r="B1253" s="47" t="s">
        <v>113</v>
      </c>
      <c r="C1253" s="47">
        <v>44</v>
      </c>
      <c r="D1253" s="47" t="s">
        <v>266</v>
      </c>
      <c r="E1253" s="41" t="s">
        <v>267</v>
      </c>
      <c r="F1253" s="41" t="s">
        <v>267</v>
      </c>
      <c r="G1253" s="21" t="str">
        <f>VLOOKUP(D1253,[6]成飞半成品!$A:$B,2,0)</f>
        <v>后端框</v>
      </c>
      <c r="H1253" s="47" t="s">
        <v>118</v>
      </c>
      <c r="I1253" s="47">
        <v>55</v>
      </c>
      <c r="J1253" s="47" t="s">
        <v>2166</v>
      </c>
      <c r="K1253" s="47">
        <v>0.4</v>
      </c>
      <c r="L1253" s="47">
        <v>0.3</v>
      </c>
      <c r="M1253" s="51">
        <v>25</v>
      </c>
      <c r="N1253" s="51">
        <v>25</v>
      </c>
      <c r="O1253" s="55" t="s">
        <v>429</v>
      </c>
      <c r="P1253" s="47"/>
      <c r="Q1253" s="47">
        <v>1260</v>
      </c>
      <c r="R1253" s="47">
        <v>90</v>
      </c>
      <c r="S1253" s="47"/>
      <c r="T1253" s="47">
        <v>1</v>
      </c>
      <c r="U1253" s="47">
        <v>60</v>
      </c>
      <c r="V1253" s="47"/>
      <c r="Y1253" s="79">
        <v>7.8</v>
      </c>
      <c r="Z1253" s="86" t="s">
        <v>56</v>
      </c>
    </row>
    <row r="1254" spans="1:27" s="51" customFormat="1" ht="23.1" customHeight="1" x14ac:dyDescent="0.25">
      <c r="A1254" s="53" t="s">
        <v>748</v>
      </c>
      <c r="B1254" s="47" t="s">
        <v>113</v>
      </c>
      <c r="C1254" s="47">
        <v>105</v>
      </c>
      <c r="D1254" s="47" t="s">
        <v>1176</v>
      </c>
      <c r="E1254" s="41" t="s">
        <v>1098</v>
      </c>
      <c r="F1254" s="41" t="s">
        <v>1098</v>
      </c>
      <c r="G1254" s="21" t="str">
        <f>VLOOKUP(D1254,[6]成飞半成品!$A:$B,2,0)</f>
        <v>根肋一段</v>
      </c>
      <c r="H1254" s="10" t="s">
        <v>250</v>
      </c>
      <c r="I1254" s="47">
        <v>35</v>
      </c>
      <c r="J1254" s="47" t="s">
        <v>2073</v>
      </c>
      <c r="K1254" s="47">
        <v>4</v>
      </c>
      <c r="L1254" s="47">
        <v>5</v>
      </c>
      <c r="M1254" s="51">
        <v>25</v>
      </c>
      <c r="N1254" s="51">
        <v>25</v>
      </c>
      <c r="O1254" s="55" t="s">
        <v>429</v>
      </c>
      <c r="P1254" s="47"/>
      <c r="Q1254" s="47">
        <v>90</v>
      </c>
      <c r="R1254" s="47">
        <v>60</v>
      </c>
      <c r="S1254" s="47"/>
      <c r="T1254" s="47">
        <v>5</v>
      </c>
      <c r="U1254" s="47">
        <v>60</v>
      </c>
      <c r="V1254" s="47"/>
      <c r="W1254" s="51">
        <v>1</v>
      </c>
      <c r="X1254" s="51">
        <v>4</v>
      </c>
      <c r="Y1254" s="79">
        <v>17.5</v>
      </c>
      <c r="Z1254" s="86" t="s">
        <v>28</v>
      </c>
      <c r="AA1254" s="51" t="s">
        <v>1181</v>
      </c>
    </row>
    <row r="1255" spans="1:27" s="51" customFormat="1" ht="23.1" customHeight="1" x14ac:dyDescent="0.25">
      <c r="A1255" s="53" t="s">
        <v>748</v>
      </c>
      <c r="B1255" s="47" t="s">
        <v>113</v>
      </c>
      <c r="C1255" s="47">
        <v>99</v>
      </c>
      <c r="D1255" s="47" t="s">
        <v>1091</v>
      </c>
      <c r="E1255" s="41" t="s">
        <v>1092</v>
      </c>
      <c r="F1255" s="41" t="s">
        <v>1092</v>
      </c>
      <c r="G1255" s="21" t="str">
        <f>VLOOKUP(D1255,[6]成飞半成品!$A:$B,2,0)</f>
        <v>氧气瓶支架</v>
      </c>
      <c r="H1255" s="47" t="s">
        <v>118</v>
      </c>
      <c r="I1255" s="47">
        <v>45</v>
      </c>
      <c r="J1255" s="47" t="s">
        <v>2146</v>
      </c>
      <c r="K1255" s="47">
        <v>4</v>
      </c>
      <c r="L1255" s="47">
        <v>5</v>
      </c>
      <c r="M1255" s="51">
        <v>25</v>
      </c>
      <c r="N1255" s="51">
        <v>25</v>
      </c>
      <c r="O1255" s="55" t="s">
        <v>318</v>
      </c>
      <c r="P1255" s="47"/>
      <c r="Q1255" s="47">
        <v>60</v>
      </c>
      <c r="R1255" s="47">
        <v>60</v>
      </c>
      <c r="S1255" s="47"/>
      <c r="T1255" s="47">
        <v>5</v>
      </c>
      <c r="U1255" s="47">
        <v>120</v>
      </c>
      <c r="V1255" s="47"/>
      <c r="Y1255" s="79">
        <v>10</v>
      </c>
      <c r="Z1255" s="86" t="s">
        <v>21</v>
      </c>
    </row>
    <row r="1256" spans="1:27" s="51" customFormat="1" ht="23.1" customHeight="1" x14ac:dyDescent="0.25">
      <c r="A1256" s="53" t="s">
        <v>748</v>
      </c>
      <c r="B1256" s="47" t="s">
        <v>113</v>
      </c>
      <c r="C1256" s="47">
        <v>99</v>
      </c>
      <c r="D1256" s="31" t="s">
        <v>2566</v>
      </c>
      <c r="E1256" s="41" t="s">
        <v>605</v>
      </c>
      <c r="F1256" s="41" t="s">
        <v>605</v>
      </c>
      <c r="G1256" s="21" t="str">
        <f>VLOOKUP(D1256,[6]成飞半成品!$A:$B,2,0)</f>
        <v>固定前缘边肋</v>
      </c>
      <c r="H1256" s="47" t="s">
        <v>107</v>
      </c>
      <c r="I1256" s="47">
        <v>53</v>
      </c>
      <c r="J1256" s="47"/>
      <c r="K1256" s="47">
        <v>0.6</v>
      </c>
      <c r="L1256" s="47"/>
      <c r="M1256" s="51">
        <v>25</v>
      </c>
      <c r="N1256" s="51">
        <v>25</v>
      </c>
      <c r="O1256" s="55"/>
      <c r="P1256" s="47"/>
      <c r="Q1256" s="47"/>
      <c r="R1256" s="47"/>
      <c r="S1256" s="47"/>
      <c r="T1256" s="47"/>
      <c r="U1256" s="47"/>
      <c r="V1256" s="47"/>
      <c r="W1256" s="51">
        <v>1</v>
      </c>
      <c r="X1256" s="51">
        <v>3</v>
      </c>
      <c r="Y1256" s="83">
        <v>3</v>
      </c>
      <c r="Z1256" s="86" t="s">
        <v>21</v>
      </c>
      <c r="AA1256" s="51" t="s">
        <v>1138</v>
      </c>
    </row>
    <row r="1257" spans="1:27" s="51" customFormat="1" ht="23.1" customHeight="1" x14ac:dyDescent="0.25">
      <c r="A1257" s="53" t="s">
        <v>748</v>
      </c>
      <c r="B1257" s="47" t="s">
        <v>113</v>
      </c>
      <c r="C1257" s="47">
        <v>19</v>
      </c>
      <c r="D1257" s="47" t="s">
        <v>169</v>
      </c>
      <c r="E1257" s="41" t="s">
        <v>170</v>
      </c>
      <c r="F1257" s="41" t="e">
        <v>#N/A</v>
      </c>
      <c r="G1257" s="21" t="e">
        <f>VLOOKUP(D1257,[6]成飞半成品!$A:$B,2,0)</f>
        <v>#N/A</v>
      </c>
      <c r="H1257" s="25" t="s">
        <v>118</v>
      </c>
      <c r="I1257" s="47">
        <v>30</v>
      </c>
      <c r="J1257" s="47" t="s">
        <v>2167</v>
      </c>
      <c r="K1257" s="47">
        <v>1.3</v>
      </c>
      <c r="L1257" s="47">
        <v>0.3</v>
      </c>
      <c r="M1257" s="51">
        <v>25</v>
      </c>
      <c r="N1257" s="51">
        <v>25</v>
      </c>
      <c r="O1257" s="55" t="s">
        <v>301</v>
      </c>
      <c r="P1257" s="47"/>
      <c r="Q1257" s="47">
        <v>420</v>
      </c>
      <c r="R1257" s="47">
        <v>60</v>
      </c>
      <c r="S1257" s="47"/>
      <c r="T1257" s="47">
        <v>1</v>
      </c>
      <c r="U1257" s="47">
        <v>60</v>
      </c>
      <c r="V1257" s="47"/>
      <c r="W1257" s="51">
        <v>1</v>
      </c>
      <c r="X1257" s="51">
        <v>2</v>
      </c>
      <c r="Y1257" s="79">
        <v>6.1</v>
      </c>
      <c r="Z1257" s="86" t="s">
        <v>11</v>
      </c>
      <c r="AA1257" s="51" t="s">
        <v>929</v>
      </c>
    </row>
    <row r="1258" spans="1:27" s="51" customFormat="1" ht="23.1" customHeight="1" x14ac:dyDescent="0.25">
      <c r="A1258" s="53" t="s">
        <v>748</v>
      </c>
      <c r="B1258" s="47" t="s">
        <v>113</v>
      </c>
      <c r="C1258" s="47">
        <v>98</v>
      </c>
      <c r="D1258" s="47" t="s">
        <v>404</v>
      </c>
      <c r="E1258" s="41" t="s">
        <v>405</v>
      </c>
      <c r="F1258" s="41" t="s">
        <v>405</v>
      </c>
      <c r="G1258" s="21" t="str">
        <f>VLOOKUP(D1258,[6]成飞半成品!$A:$B,2,0)</f>
        <v>11140框右下半框</v>
      </c>
      <c r="H1258" s="47" t="s">
        <v>118</v>
      </c>
      <c r="I1258" s="47">
        <v>15</v>
      </c>
      <c r="J1258" s="47" t="s">
        <v>2144</v>
      </c>
      <c r="K1258" s="47">
        <v>0.7</v>
      </c>
      <c r="L1258" s="47">
        <v>1.2</v>
      </c>
      <c r="M1258" s="51">
        <v>25</v>
      </c>
      <c r="N1258" s="51">
        <v>25</v>
      </c>
      <c r="O1258" s="55" t="s">
        <v>1094</v>
      </c>
      <c r="P1258" s="47"/>
      <c r="Q1258" s="47">
        <v>720</v>
      </c>
      <c r="R1258" s="47">
        <v>60</v>
      </c>
      <c r="S1258" s="47"/>
      <c r="T1258" s="47">
        <v>1</v>
      </c>
      <c r="U1258" s="47">
        <v>120</v>
      </c>
      <c r="V1258" s="47"/>
      <c r="Y1258" s="79">
        <v>15.4</v>
      </c>
      <c r="Z1258" s="86" t="s">
        <v>1</v>
      </c>
    </row>
    <row r="1259" spans="1:27" s="51" customFormat="1" ht="23.1" customHeight="1" x14ac:dyDescent="0.25">
      <c r="A1259" s="53" t="s">
        <v>748</v>
      </c>
      <c r="B1259" s="47" t="s">
        <v>113</v>
      </c>
      <c r="C1259" s="47">
        <v>101</v>
      </c>
      <c r="D1259" s="47" t="s">
        <v>1128</v>
      </c>
      <c r="E1259" s="41" t="s">
        <v>708</v>
      </c>
      <c r="F1259" s="41" t="e">
        <v>#N/A</v>
      </c>
      <c r="G1259" s="21" t="e">
        <f>VLOOKUP(D1259,[6]成飞半成品!$A:$B,2,0)</f>
        <v>#N/A</v>
      </c>
      <c r="H1259" s="47" t="s">
        <v>250</v>
      </c>
      <c r="I1259" s="47">
        <v>40</v>
      </c>
      <c r="J1259" s="47" t="s">
        <v>1935</v>
      </c>
      <c r="K1259" s="47">
        <v>1.5</v>
      </c>
      <c r="L1259" s="47">
        <v>2</v>
      </c>
      <c r="M1259" s="51">
        <v>25</v>
      </c>
      <c r="N1259" s="51">
        <v>25</v>
      </c>
      <c r="O1259" s="55" t="s">
        <v>1113</v>
      </c>
      <c r="P1259" s="47"/>
      <c r="Q1259" s="47">
        <v>300</v>
      </c>
      <c r="R1259" s="47">
        <v>60</v>
      </c>
      <c r="S1259" s="47"/>
      <c r="T1259" s="47">
        <v>2</v>
      </c>
      <c r="U1259" s="47">
        <v>60</v>
      </c>
      <c r="V1259" s="47"/>
      <c r="W1259" s="51">
        <v>1</v>
      </c>
      <c r="X1259" s="51">
        <v>2</v>
      </c>
      <c r="Y1259" s="79">
        <v>15</v>
      </c>
      <c r="Z1259" s="86" t="s">
        <v>66</v>
      </c>
      <c r="AA1259" s="51" t="s">
        <v>929</v>
      </c>
    </row>
    <row r="1260" spans="1:27" s="51" customFormat="1" ht="23.1" customHeight="1" x14ac:dyDescent="0.25">
      <c r="A1260" s="53" t="s">
        <v>748</v>
      </c>
      <c r="B1260" s="47" t="s">
        <v>113</v>
      </c>
      <c r="C1260" s="47">
        <v>102</v>
      </c>
      <c r="D1260" s="47" t="s">
        <v>1067</v>
      </c>
      <c r="E1260" s="41" t="s">
        <v>1068</v>
      </c>
      <c r="F1260" s="41" t="s">
        <v>1068</v>
      </c>
      <c r="G1260" s="21" t="str">
        <f>VLOOKUP(D1260,[6]成飞半成品!$A:$B,2,0)</f>
        <v>11900梁一段（右件）</v>
      </c>
      <c r="H1260" s="47" t="s">
        <v>323</v>
      </c>
      <c r="I1260" s="47">
        <v>40</v>
      </c>
      <c r="J1260" s="47" t="s">
        <v>2122</v>
      </c>
      <c r="K1260" s="47">
        <v>0.5</v>
      </c>
      <c r="L1260" s="47">
        <v>1</v>
      </c>
      <c r="M1260" s="51">
        <v>25</v>
      </c>
      <c r="N1260" s="51">
        <v>25</v>
      </c>
      <c r="O1260" s="55" t="s">
        <v>998</v>
      </c>
      <c r="P1260" s="47"/>
      <c r="Q1260" s="47">
        <v>90</v>
      </c>
      <c r="R1260" s="47">
        <v>60</v>
      </c>
      <c r="S1260" s="47"/>
      <c r="T1260" s="47">
        <v>1</v>
      </c>
      <c r="U1260" s="47">
        <v>120</v>
      </c>
      <c r="V1260" s="47"/>
      <c r="Y1260" s="79">
        <v>2.5</v>
      </c>
      <c r="Z1260" s="86" t="s">
        <v>66</v>
      </c>
    </row>
    <row r="1261" spans="1:27" s="51" customFormat="1" ht="23.1" customHeight="1" x14ac:dyDescent="0.25">
      <c r="A1261" s="53" t="s">
        <v>748</v>
      </c>
      <c r="B1261" s="47" t="s">
        <v>113</v>
      </c>
      <c r="C1261" s="47">
        <v>83</v>
      </c>
      <c r="D1261" s="47" t="s">
        <v>1095</v>
      </c>
      <c r="E1261" s="41" t="s">
        <v>1096</v>
      </c>
      <c r="F1261" s="41" t="s">
        <v>1096</v>
      </c>
      <c r="G1261" s="21" t="str">
        <f>VLOOKUP(D1261,[6]成飞半成品!$A:$B,2,0)</f>
        <v>1150肋根肋</v>
      </c>
      <c r="H1261" s="47" t="s">
        <v>658</v>
      </c>
      <c r="I1261" s="47">
        <v>45</v>
      </c>
      <c r="J1261" s="47" t="s">
        <v>2159</v>
      </c>
      <c r="K1261" s="47">
        <v>2</v>
      </c>
      <c r="L1261" s="47">
        <v>2</v>
      </c>
      <c r="M1261" s="51">
        <v>25</v>
      </c>
      <c r="N1261" s="51">
        <v>25</v>
      </c>
      <c r="O1261" s="55" t="s">
        <v>282</v>
      </c>
      <c r="P1261" s="47"/>
      <c r="Q1261" s="47">
        <v>270</v>
      </c>
      <c r="R1261" s="47">
        <v>90</v>
      </c>
      <c r="S1261" s="47"/>
      <c r="T1261" s="47">
        <v>2</v>
      </c>
      <c r="U1261" s="47">
        <v>60</v>
      </c>
      <c r="V1261" s="47"/>
      <c r="Y1261" s="79">
        <v>12</v>
      </c>
      <c r="Z1261" s="86" t="s">
        <v>66</v>
      </c>
    </row>
    <row r="1262" spans="1:27" s="51" customFormat="1" ht="23.1" customHeight="1" x14ac:dyDescent="0.25">
      <c r="A1262" s="53" t="s">
        <v>748</v>
      </c>
      <c r="B1262" s="47" t="s">
        <v>113</v>
      </c>
      <c r="C1262" s="47">
        <v>106</v>
      </c>
      <c r="D1262" s="47" t="s">
        <v>1070</v>
      </c>
      <c r="E1262" s="41" t="s">
        <v>101</v>
      </c>
      <c r="F1262" s="41" t="s">
        <v>101</v>
      </c>
      <c r="G1262" s="21" t="str">
        <f>VLOOKUP(D1262,[6]成飞半成品!$A:$B,2,0)</f>
        <v>前梁一段</v>
      </c>
      <c r="H1262" s="47" t="s">
        <v>300</v>
      </c>
      <c r="I1262" s="47">
        <v>25</v>
      </c>
      <c r="J1262" s="47" t="s">
        <v>2163</v>
      </c>
      <c r="K1262" s="47">
        <v>0.15</v>
      </c>
      <c r="L1262" s="47">
        <v>0.15</v>
      </c>
      <c r="M1262" s="51">
        <v>25</v>
      </c>
      <c r="N1262" s="51">
        <v>25</v>
      </c>
      <c r="O1262" s="55" t="s">
        <v>247</v>
      </c>
      <c r="P1262" s="47"/>
      <c r="Q1262" s="47">
        <v>4800</v>
      </c>
      <c r="R1262" s="47">
        <v>180</v>
      </c>
      <c r="S1262" s="47"/>
      <c r="T1262" s="47"/>
      <c r="U1262" s="47">
        <v>180</v>
      </c>
      <c r="V1262" s="47"/>
      <c r="Y1262" s="79">
        <v>12</v>
      </c>
      <c r="Z1262" s="86" t="s">
        <v>66</v>
      </c>
    </row>
    <row r="1263" spans="1:27" s="51" customFormat="1" ht="23.1" customHeight="1" x14ac:dyDescent="0.25">
      <c r="A1263" s="53" t="s">
        <v>748</v>
      </c>
      <c r="B1263" s="47" t="s">
        <v>113</v>
      </c>
      <c r="C1263" s="47">
        <v>100</v>
      </c>
      <c r="D1263" s="65" t="s">
        <v>2551</v>
      </c>
      <c r="E1263" s="41" t="s">
        <v>938</v>
      </c>
      <c r="F1263" s="41" t="s">
        <v>938</v>
      </c>
      <c r="G1263" s="21" t="str">
        <f>VLOOKUP(D1263,[6]成飞半成品!$A:$B,2,0)</f>
        <v>工装</v>
      </c>
      <c r="H1263" s="47" t="s">
        <v>939</v>
      </c>
      <c r="I1263" s="47">
        <v>25</v>
      </c>
      <c r="J1263" s="47" t="s">
        <v>2160</v>
      </c>
      <c r="K1263" s="47">
        <v>2</v>
      </c>
      <c r="L1263" s="47">
        <v>2.1</v>
      </c>
      <c r="M1263" s="51">
        <v>25</v>
      </c>
      <c r="N1263" s="51">
        <v>25</v>
      </c>
      <c r="O1263" s="55" t="s">
        <v>1182</v>
      </c>
      <c r="P1263" s="47"/>
      <c r="Q1263" s="47">
        <v>270</v>
      </c>
      <c r="R1263" s="47">
        <v>60</v>
      </c>
      <c r="S1263" s="47"/>
      <c r="T1263" s="47">
        <v>2</v>
      </c>
      <c r="U1263" s="47">
        <v>90</v>
      </c>
      <c r="V1263" s="47"/>
      <c r="Y1263" s="79">
        <v>11.5</v>
      </c>
      <c r="Z1263" s="86" t="s">
        <v>66</v>
      </c>
    </row>
    <row r="1264" spans="1:27" s="51" customFormat="1" ht="23.1" customHeight="1" x14ac:dyDescent="0.25">
      <c r="A1264" s="53" t="s">
        <v>748</v>
      </c>
      <c r="B1264" s="47" t="s">
        <v>113</v>
      </c>
      <c r="C1264" s="47">
        <v>97</v>
      </c>
      <c r="D1264" s="47" t="s">
        <v>1097</v>
      </c>
      <c r="E1264" s="41" t="s">
        <v>1065</v>
      </c>
      <c r="F1264" s="41" t="s">
        <v>1065</v>
      </c>
      <c r="G1264" s="21" t="str">
        <f>VLOOKUP(D1264,[6]成飞半成品!$A:$B,2,0)</f>
        <v>根肋一段</v>
      </c>
      <c r="H1264" s="47" t="s">
        <v>250</v>
      </c>
      <c r="I1264" s="47">
        <v>60</v>
      </c>
      <c r="J1264" s="47" t="s">
        <v>2156</v>
      </c>
      <c r="K1264" s="47">
        <v>1</v>
      </c>
      <c r="L1264" s="47">
        <v>1.1000000000000001</v>
      </c>
      <c r="M1264" s="51">
        <v>25</v>
      </c>
      <c r="N1264" s="51">
        <v>25</v>
      </c>
      <c r="O1264" s="55" t="s">
        <v>1077</v>
      </c>
      <c r="P1264" s="47"/>
      <c r="Q1264" s="47">
        <v>570</v>
      </c>
      <c r="R1264" s="47">
        <v>60</v>
      </c>
      <c r="S1264" s="47"/>
      <c r="T1264" s="47">
        <v>1</v>
      </c>
      <c r="U1264" s="47">
        <v>60</v>
      </c>
      <c r="V1264" s="47"/>
      <c r="Y1264" s="79">
        <v>11.5</v>
      </c>
      <c r="Z1264" s="86" t="s">
        <v>66</v>
      </c>
    </row>
    <row r="1265" spans="1:27" ht="23.1" customHeight="1" x14ac:dyDescent="0.25">
      <c r="A1265" s="53" t="s">
        <v>796</v>
      </c>
      <c r="B1265" s="10" t="s">
        <v>113</v>
      </c>
      <c r="C1265" s="10">
        <v>82</v>
      </c>
      <c r="D1265" s="10" t="s">
        <v>1095</v>
      </c>
      <c r="E1265" s="41" t="s">
        <v>1096</v>
      </c>
      <c r="F1265" s="41" t="s">
        <v>1096</v>
      </c>
      <c r="G1265" s="21" t="str">
        <f>VLOOKUP(D1265,[6]成飞半成品!$A:$B,2,0)</f>
        <v>1150肋根肋</v>
      </c>
      <c r="H1265" s="10" t="s">
        <v>658</v>
      </c>
      <c r="I1265" s="10">
        <v>55</v>
      </c>
      <c r="J1265" s="10" t="s">
        <v>2168</v>
      </c>
      <c r="K1265" s="10">
        <v>6</v>
      </c>
      <c r="L1265" s="10">
        <v>7</v>
      </c>
      <c r="M1265" s="14">
        <v>32</v>
      </c>
      <c r="N1265" s="14">
        <v>32</v>
      </c>
      <c r="O1265" s="55" t="s">
        <v>282</v>
      </c>
      <c r="Q1265" s="10">
        <v>90</v>
      </c>
      <c r="R1265" s="10">
        <v>60</v>
      </c>
      <c r="T1265" s="10">
        <v>7</v>
      </c>
      <c r="U1265" s="10">
        <v>60</v>
      </c>
      <c r="W1265" s="14">
        <v>1</v>
      </c>
      <c r="X1265" s="10">
        <v>2</v>
      </c>
      <c r="Y1265" s="79">
        <v>20.5</v>
      </c>
      <c r="Z1265" s="56" t="s">
        <v>35</v>
      </c>
      <c r="AA1265" s="14" t="s">
        <v>941</v>
      </c>
    </row>
    <row r="1266" spans="1:27" ht="23.1" customHeight="1" x14ac:dyDescent="0.25">
      <c r="A1266" s="53" t="s">
        <v>796</v>
      </c>
      <c r="B1266" s="10" t="s">
        <v>113</v>
      </c>
      <c r="C1266" s="10">
        <v>83</v>
      </c>
      <c r="D1266" s="10" t="s">
        <v>1095</v>
      </c>
      <c r="E1266" s="41" t="s">
        <v>1096</v>
      </c>
      <c r="F1266" s="41" t="s">
        <v>1096</v>
      </c>
      <c r="G1266" s="21" t="str">
        <f>VLOOKUP(D1266,[6]成飞半成品!$A:$B,2,0)</f>
        <v>1150肋根肋</v>
      </c>
      <c r="H1266" s="10" t="s">
        <v>658</v>
      </c>
      <c r="I1266" s="10">
        <v>50</v>
      </c>
      <c r="J1266" s="10" t="s">
        <v>2032</v>
      </c>
      <c r="K1266" s="10">
        <v>9</v>
      </c>
      <c r="L1266" s="10">
        <v>9</v>
      </c>
      <c r="M1266" s="14">
        <v>32</v>
      </c>
      <c r="N1266" s="14">
        <v>32</v>
      </c>
      <c r="O1266" s="55" t="s">
        <v>282</v>
      </c>
      <c r="Q1266" s="10">
        <v>60</v>
      </c>
      <c r="R1266" s="10">
        <v>60</v>
      </c>
      <c r="T1266" s="10">
        <v>9</v>
      </c>
      <c r="U1266" s="10">
        <v>60</v>
      </c>
      <c r="W1266" s="14">
        <v>1</v>
      </c>
      <c r="Y1266" s="79">
        <v>19</v>
      </c>
      <c r="Z1266" s="56" t="s">
        <v>35</v>
      </c>
    </row>
    <row r="1267" spans="1:27" ht="23.1" customHeight="1" x14ac:dyDescent="0.25">
      <c r="A1267" s="53" t="s">
        <v>796</v>
      </c>
      <c r="B1267" s="10" t="s">
        <v>113</v>
      </c>
      <c r="C1267" s="10">
        <v>98</v>
      </c>
      <c r="D1267" s="10" t="s">
        <v>404</v>
      </c>
      <c r="E1267" s="41" t="s">
        <v>405</v>
      </c>
      <c r="F1267" s="41" t="s">
        <v>405</v>
      </c>
      <c r="G1267" s="21" t="str">
        <f>VLOOKUP(D1267,[6]成飞半成品!$A:$B,2,0)</f>
        <v>11140框右下半框</v>
      </c>
      <c r="H1267" s="10" t="s">
        <v>118</v>
      </c>
      <c r="I1267" s="10">
        <v>20</v>
      </c>
      <c r="J1267" s="10" t="s">
        <v>2378</v>
      </c>
      <c r="K1267" s="10">
        <v>3</v>
      </c>
      <c r="L1267" s="10">
        <v>2</v>
      </c>
      <c r="M1267" s="14">
        <v>32</v>
      </c>
      <c r="N1267" s="14">
        <v>32</v>
      </c>
      <c r="O1267" s="55" t="s">
        <v>1119</v>
      </c>
      <c r="Q1267" s="10">
        <v>80</v>
      </c>
      <c r="R1267" s="10">
        <v>60</v>
      </c>
      <c r="T1267" s="10">
        <v>2</v>
      </c>
      <c r="U1267" s="10">
        <v>120</v>
      </c>
      <c r="W1267" s="14">
        <v>1</v>
      </c>
      <c r="Y1267" s="79">
        <v>6.7</v>
      </c>
      <c r="Z1267" s="56" t="s">
        <v>35</v>
      </c>
    </row>
    <row r="1268" spans="1:27" ht="23.1" customHeight="1" x14ac:dyDescent="0.25">
      <c r="A1268" s="53" t="s">
        <v>796</v>
      </c>
      <c r="B1268" s="10" t="s">
        <v>113</v>
      </c>
      <c r="C1268" s="10">
        <v>98</v>
      </c>
      <c r="D1268" s="10" t="s">
        <v>404</v>
      </c>
      <c r="E1268" s="41" t="s">
        <v>405</v>
      </c>
      <c r="F1268" s="41" t="s">
        <v>405</v>
      </c>
      <c r="G1268" s="21" t="str">
        <f>VLOOKUP(D1268,[6]成飞半成品!$A:$B,2,0)</f>
        <v>11140框右下半框</v>
      </c>
      <c r="H1268" s="10" t="s">
        <v>118</v>
      </c>
      <c r="I1268" s="10">
        <v>25</v>
      </c>
      <c r="J1268" s="10" t="s">
        <v>2169</v>
      </c>
      <c r="K1268" s="10">
        <v>3</v>
      </c>
      <c r="L1268" s="10">
        <v>2</v>
      </c>
      <c r="M1268" s="14">
        <v>32</v>
      </c>
      <c r="N1268" s="14">
        <v>32</v>
      </c>
      <c r="O1268" s="55" t="s">
        <v>1119</v>
      </c>
      <c r="Q1268" s="10">
        <v>100</v>
      </c>
      <c r="R1268" s="10">
        <v>60</v>
      </c>
      <c r="T1268" s="10">
        <v>2</v>
      </c>
      <c r="U1268" s="10">
        <v>120</v>
      </c>
      <c r="W1268" s="14">
        <v>1</v>
      </c>
      <c r="Y1268" s="79">
        <v>7.3</v>
      </c>
      <c r="Z1268" s="56" t="s">
        <v>35</v>
      </c>
    </row>
    <row r="1269" spans="1:27" ht="23.1" customHeight="1" x14ac:dyDescent="0.25">
      <c r="A1269" s="53" t="s">
        <v>796</v>
      </c>
      <c r="B1269" s="10" t="s">
        <v>113</v>
      </c>
      <c r="C1269" s="10">
        <v>98</v>
      </c>
      <c r="D1269" s="10" t="s">
        <v>404</v>
      </c>
      <c r="E1269" s="41" t="s">
        <v>405</v>
      </c>
      <c r="F1269" s="41" t="s">
        <v>405</v>
      </c>
      <c r="G1269" s="21" t="str">
        <f>VLOOKUP(D1269,[6]成飞半成品!$A:$B,2,0)</f>
        <v>11140框右下半框</v>
      </c>
      <c r="H1269" s="10" t="s">
        <v>118</v>
      </c>
      <c r="I1269" s="10">
        <v>30</v>
      </c>
      <c r="J1269" s="10" t="s">
        <v>1891</v>
      </c>
      <c r="K1269" s="10">
        <v>3</v>
      </c>
      <c r="L1269" s="10">
        <v>2</v>
      </c>
      <c r="M1269" s="14">
        <v>32</v>
      </c>
      <c r="N1269" s="14">
        <v>32</v>
      </c>
      <c r="O1269" s="55" t="s">
        <v>1119</v>
      </c>
      <c r="Q1269" s="10">
        <v>100</v>
      </c>
      <c r="R1269" s="10">
        <v>60</v>
      </c>
      <c r="T1269" s="10">
        <v>2</v>
      </c>
      <c r="U1269" s="10">
        <v>120</v>
      </c>
      <c r="W1269" s="14">
        <v>1</v>
      </c>
      <c r="Y1269" s="79">
        <v>7.3</v>
      </c>
      <c r="Z1269" s="56" t="s">
        <v>35</v>
      </c>
    </row>
    <row r="1270" spans="1:27" ht="23.1" customHeight="1" x14ac:dyDescent="0.25">
      <c r="A1270" s="53" t="s">
        <v>796</v>
      </c>
      <c r="B1270" s="10" t="s">
        <v>113</v>
      </c>
      <c r="C1270" s="10">
        <v>98</v>
      </c>
      <c r="D1270" s="10" t="s">
        <v>481</v>
      </c>
      <c r="E1270" s="41" t="s">
        <v>482</v>
      </c>
      <c r="F1270" s="41" t="s">
        <v>482</v>
      </c>
      <c r="G1270" s="21" t="str">
        <f>VLOOKUP(D1270,[6]成飞半成品!$A:$B,2,0)</f>
        <v>11140框左下半框</v>
      </c>
      <c r="H1270" s="10" t="s">
        <v>118</v>
      </c>
      <c r="I1270" s="10">
        <v>20</v>
      </c>
      <c r="J1270" s="10" t="s">
        <v>2034</v>
      </c>
      <c r="K1270" s="10">
        <v>1</v>
      </c>
      <c r="L1270" s="10">
        <v>3</v>
      </c>
      <c r="M1270" s="14">
        <v>32</v>
      </c>
      <c r="N1270" s="14">
        <v>32</v>
      </c>
      <c r="O1270" s="55" t="s">
        <v>1114</v>
      </c>
      <c r="Q1270" s="10">
        <v>80</v>
      </c>
      <c r="R1270" s="10">
        <v>60</v>
      </c>
      <c r="T1270" s="10">
        <v>3</v>
      </c>
      <c r="U1270" s="10">
        <v>120</v>
      </c>
      <c r="W1270" s="14">
        <v>1</v>
      </c>
      <c r="Y1270" s="79">
        <v>9</v>
      </c>
      <c r="Z1270" s="56" t="s">
        <v>35</v>
      </c>
    </row>
    <row r="1271" spans="1:27" ht="23.1" customHeight="1" x14ac:dyDescent="0.25">
      <c r="A1271" s="53" t="s">
        <v>796</v>
      </c>
      <c r="B1271" s="10" t="s">
        <v>113</v>
      </c>
      <c r="C1271" s="10">
        <v>98</v>
      </c>
      <c r="D1271" s="10" t="s">
        <v>481</v>
      </c>
      <c r="E1271" s="41" t="s">
        <v>482</v>
      </c>
      <c r="F1271" s="41" t="s">
        <v>482</v>
      </c>
      <c r="G1271" s="21" t="str">
        <f>VLOOKUP(D1271,[6]成飞半成品!$A:$B,2,0)</f>
        <v>11140框左下半框</v>
      </c>
      <c r="H1271" s="10" t="s">
        <v>118</v>
      </c>
      <c r="I1271" s="10">
        <v>25</v>
      </c>
      <c r="J1271" s="10" t="s">
        <v>2458</v>
      </c>
      <c r="K1271" s="10">
        <v>1</v>
      </c>
      <c r="L1271" s="10">
        <v>3</v>
      </c>
      <c r="M1271" s="14">
        <v>32</v>
      </c>
      <c r="N1271" s="14">
        <v>32</v>
      </c>
      <c r="O1271" s="55" t="s">
        <v>1114</v>
      </c>
      <c r="Q1271" s="10">
        <v>100</v>
      </c>
      <c r="R1271" s="10">
        <v>60</v>
      </c>
      <c r="T1271" s="10">
        <v>3</v>
      </c>
      <c r="U1271" s="10">
        <v>120</v>
      </c>
      <c r="W1271" s="14">
        <v>1</v>
      </c>
      <c r="Y1271" s="79">
        <v>10</v>
      </c>
      <c r="Z1271" s="56" t="s">
        <v>35</v>
      </c>
    </row>
    <row r="1272" spans="1:27" ht="23.1" customHeight="1" x14ac:dyDescent="0.25">
      <c r="A1272" s="53" t="s">
        <v>796</v>
      </c>
      <c r="B1272" s="10" t="s">
        <v>113</v>
      </c>
      <c r="C1272" s="10">
        <v>98</v>
      </c>
      <c r="D1272" s="10" t="s">
        <v>481</v>
      </c>
      <c r="E1272" s="41" t="s">
        <v>482</v>
      </c>
      <c r="F1272" s="41" t="s">
        <v>482</v>
      </c>
      <c r="G1272" s="21" t="str">
        <f>VLOOKUP(D1272,[6]成飞半成品!$A:$B,2,0)</f>
        <v>11140框左下半框</v>
      </c>
      <c r="H1272" s="10" t="s">
        <v>118</v>
      </c>
      <c r="I1272" s="10">
        <v>30</v>
      </c>
      <c r="J1272" s="10" t="s">
        <v>1891</v>
      </c>
      <c r="K1272" s="10">
        <v>1</v>
      </c>
      <c r="L1272" s="10">
        <v>3</v>
      </c>
      <c r="M1272" s="14">
        <v>32</v>
      </c>
      <c r="N1272" s="14">
        <v>32</v>
      </c>
      <c r="O1272" s="55" t="s">
        <v>1114</v>
      </c>
      <c r="Q1272" s="10">
        <v>100</v>
      </c>
      <c r="R1272" s="10">
        <v>60</v>
      </c>
      <c r="T1272" s="10">
        <v>3</v>
      </c>
      <c r="U1272" s="10">
        <v>120</v>
      </c>
      <c r="W1272" s="14">
        <v>1</v>
      </c>
      <c r="Y1272" s="79">
        <v>10</v>
      </c>
      <c r="Z1272" s="56" t="s">
        <v>35</v>
      </c>
    </row>
    <row r="1273" spans="1:27" ht="23.1" customHeight="1" x14ac:dyDescent="0.25">
      <c r="A1273" s="53" t="s">
        <v>796</v>
      </c>
      <c r="B1273" s="10" t="s">
        <v>113</v>
      </c>
      <c r="C1273" s="10">
        <v>106</v>
      </c>
      <c r="D1273" s="10" t="s">
        <v>1070</v>
      </c>
      <c r="E1273" s="41" t="s">
        <v>101</v>
      </c>
      <c r="F1273" s="41" t="s">
        <v>101</v>
      </c>
      <c r="G1273" s="21" t="str">
        <f>VLOOKUP(D1273,[6]成飞半成品!$A:$B,2,0)</f>
        <v>前梁一段</v>
      </c>
      <c r="H1273" s="10" t="s">
        <v>300</v>
      </c>
      <c r="I1273" s="10">
        <v>25</v>
      </c>
      <c r="J1273" s="10" t="s">
        <v>2163</v>
      </c>
      <c r="K1273" s="10">
        <v>0.2</v>
      </c>
      <c r="L1273" s="10">
        <v>0.2</v>
      </c>
      <c r="M1273" s="14">
        <v>32</v>
      </c>
      <c r="N1273" s="14">
        <v>32</v>
      </c>
      <c r="O1273" s="55" t="s">
        <v>247</v>
      </c>
      <c r="Q1273" s="10">
        <v>4800</v>
      </c>
      <c r="R1273" s="10">
        <v>180</v>
      </c>
      <c r="U1273" s="10">
        <v>180</v>
      </c>
      <c r="W1273" s="14"/>
      <c r="Y1273" s="79">
        <v>16</v>
      </c>
      <c r="Z1273" s="56" t="s">
        <v>35</v>
      </c>
    </row>
    <row r="1274" spans="1:27" ht="23.1" customHeight="1" x14ac:dyDescent="0.25">
      <c r="A1274" s="53" t="s">
        <v>796</v>
      </c>
      <c r="B1274" s="10" t="s">
        <v>113</v>
      </c>
      <c r="C1274" s="10">
        <v>118</v>
      </c>
      <c r="D1274" s="10" t="s">
        <v>1171</v>
      </c>
      <c r="E1274" s="41" t="s">
        <v>1172</v>
      </c>
      <c r="F1274" s="41" t="s">
        <v>1172</v>
      </c>
      <c r="G1274" s="21" t="str">
        <f>VLOOKUP(D1274,[6]成飞半成品!$A:$B,2,0)</f>
        <v>后梁</v>
      </c>
      <c r="H1274" s="10" t="s">
        <v>300</v>
      </c>
      <c r="I1274" s="10">
        <v>30</v>
      </c>
      <c r="J1274" s="10" t="s">
        <v>2170</v>
      </c>
      <c r="K1274" s="10">
        <v>0.3</v>
      </c>
      <c r="L1274" s="10">
        <v>0.3</v>
      </c>
      <c r="M1274" s="14">
        <v>32</v>
      </c>
      <c r="N1274" s="14">
        <v>32</v>
      </c>
      <c r="O1274" s="55" t="s">
        <v>330</v>
      </c>
      <c r="Q1274" s="10">
        <v>1500</v>
      </c>
      <c r="R1274" s="10">
        <v>60</v>
      </c>
      <c r="U1274" s="10">
        <v>120</v>
      </c>
      <c r="W1274" s="14"/>
      <c r="Y1274" s="79">
        <v>7.5</v>
      </c>
      <c r="Z1274" s="56" t="s">
        <v>35</v>
      </c>
    </row>
    <row r="1275" spans="1:27" ht="23.1" customHeight="1" x14ac:dyDescent="0.25">
      <c r="A1275" s="53" t="s">
        <v>796</v>
      </c>
      <c r="B1275" s="10" t="s">
        <v>113</v>
      </c>
      <c r="C1275" s="10">
        <v>117</v>
      </c>
      <c r="D1275" s="10" t="s">
        <v>1081</v>
      </c>
      <c r="E1275" s="41" t="s">
        <v>1082</v>
      </c>
      <c r="F1275" s="41" t="s">
        <v>1082</v>
      </c>
      <c r="G1275" s="21" t="str">
        <f>VLOOKUP(D1275,[6]成飞半成品!$A:$B,2,0)</f>
        <v xml:space="preserve"> 前梁</v>
      </c>
      <c r="H1275" s="10" t="s">
        <v>123</v>
      </c>
      <c r="I1275" s="10">
        <v>20</v>
      </c>
      <c r="J1275" s="10" t="s">
        <v>2171</v>
      </c>
      <c r="K1275" s="10">
        <v>0.6</v>
      </c>
      <c r="L1275" s="10">
        <v>0.6</v>
      </c>
      <c r="M1275" s="14">
        <v>32</v>
      </c>
      <c r="N1275" s="14">
        <v>32</v>
      </c>
      <c r="O1275" s="55" t="s">
        <v>860</v>
      </c>
      <c r="Q1275" s="10">
        <v>590</v>
      </c>
      <c r="R1275" s="10">
        <v>60</v>
      </c>
      <c r="T1275" s="10">
        <v>1</v>
      </c>
      <c r="U1275" s="10">
        <v>90</v>
      </c>
      <c r="W1275" s="14">
        <v>1</v>
      </c>
      <c r="Y1275" s="79">
        <v>8.4</v>
      </c>
      <c r="Z1275" s="56" t="s">
        <v>35</v>
      </c>
    </row>
    <row r="1276" spans="1:27" ht="23.1" customHeight="1" x14ac:dyDescent="0.25">
      <c r="A1276" s="53" t="s">
        <v>796</v>
      </c>
      <c r="B1276" s="10" t="s">
        <v>113</v>
      </c>
      <c r="C1276" s="10">
        <v>102</v>
      </c>
      <c r="D1276" s="10" t="s">
        <v>1097</v>
      </c>
      <c r="E1276" s="41" t="s">
        <v>1098</v>
      </c>
      <c r="F1276" s="41" t="s">
        <v>1098</v>
      </c>
      <c r="G1276" s="21" t="str">
        <f>VLOOKUP(D1276,[6]成飞半成品!$A:$B,2,0)</f>
        <v>根肋一段</v>
      </c>
      <c r="H1276" s="10" t="s">
        <v>250</v>
      </c>
      <c r="I1276" s="10">
        <v>40</v>
      </c>
      <c r="J1276" s="10" t="s">
        <v>2172</v>
      </c>
      <c r="K1276" s="10">
        <v>1.3</v>
      </c>
      <c r="L1276" s="10">
        <v>1.3</v>
      </c>
      <c r="M1276" s="14">
        <v>32</v>
      </c>
      <c r="N1276" s="14">
        <v>32</v>
      </c>
      <c r="O1276" s="55" t="s">
        <v>1159</v>
      </c>
      <c r="Q1276" s="10">
        <v>450</v>
      </c>
      <c r="R1276" s="10">
        <v>60</v>
      </c>
      <c r="T1276" s="10">
        <v>1</v>
      </c>
      <c r="U1276" s="10">
        <v>120</v>
      </c>
      <c r="W1276" s="14"/>
      <c r="Y1276" s="79">
        <v>10.8</v>
      </c>
      <c r="Z1276" s="56" t="s">
        <v>35</v>
      </c>
    </row>
    <row r="1277" spans="1:27" ht="23.1" customHeight="1" x14ac:dyDescent="0.25">
      <c r="A1277" s="53" t="s">
        <v>796</v>
      </c>
      <c r="B1277" s="10" t="s">
        <v>113</v>
      </c>
      <c r="C1277" s="10">
        <v>100</v>
      </c>
      <c r="D1277" s="65" t="s">
        <v>2551</v>
      </c>
      <c r="E1277" s="41" t="s">
        <v>938</v>
      </c>
      <c r="F1277" s="41" t="s">
        <v>938</v>
      </c>
      <c r="G1277" s="21" t="str">
        <f>VLOOKUP(D1277,[6]成飞半成品!$A:$B,2,0)</f>
        <v>工装</v>
      </c>
      <c r="H1277" s="47" t="s">
        <v>939</v>
      </c>
      <c r="I1277" s="10">
        <v>40</v>
      </c>
      <c r="J1277" s="10" t="s">
        <v>2173</v>
      </c>
      <c r="K1277" s="10">
        <v>0.8</v>
      </c>
      <c r="L1277" s="10">
        <v>0.6</v>
      </c>
      <c r="M1277" s="14">
        <v>32</v>
      </c>
      <c r="N1277" s="14">
        <v>32</v>
      </c>
      <c r="O1277" s="55" t="s">
        <v>470</v>
      </c>
      <c r="Q1277" s="10">
        <v>840</v>
      </c>
      <c r="R1277" s="10">
        <v>60</v>
      </c>
      <c r="T1277" s="10">
        <v>1</v>
      </c>
      <c r="U1277" s="10">
        <v>120</v>
      </c>
      <c r="W1277" s="14">
        <v>1</v>
      </c>
      <c r="Y1277" s="79">
        <v>11.4</v>
      </c>
      <c r="Z1277" s="56" t="s">
        <v>35</v>
      </c>
    </row>
    <row r="1278" spans="1:27" ht="23.1" customHeight="1" x14ac:dyDescent="0.25">
      <c r="A1278" s="53" t="s">
        <v>796</v>
      </c>
      <c r="B1278" s="10" t="s">
        <v>113</v>
      </c>
      <c r="C1278" s="10">
        <v>101</v>
      </c>
      <c r="D1278" s="10" t="s">
        <v>1128</v>
      </c>
      <c r="E1278" s="41" t="s">
        <v>708</v>
      </c>
      <c r="F1278" s="41" t="e">
        <v>#N/A</v>
      </c>
      <c r="G1278" s="21" t="e">
        <f>VLOOKUP(D1278,[6]成飞半成品!$A:$B,2,0)</f>
        <v>#N/A</v>
      </c>
      <c r="H1278" s="10" t="s">
        <v>250</v>
      </c>
      <c r="I1278" s="10">
        <v>40</v>
      </c>
      <c r="J1278" s="10" t="s">
        <v>1935</v>
      </c>
      <c r="K1278" s="10">
        <v>2</v>
      </c>
      <c r="L1278" s="10">
        <v>2.4</v>
      </c>
      <c r="M1278" s="14">
        <v>32</v>
      </c>
      <c r="N1278" s="14">
        <v>32</v>
      </c>
      <c r="O1278" s="55" t="s">
        <v>1183</v>
      </c>
      <c r="Q1278" s="10">
        <v>300</v>
      </c>
      <c r="R1278" s="10">
        <v>60</v>
      </c>
      <c r="T1278" s="10">
        <v>2</v>
      </c>
      <c r="U1278" s="10">
        <v>60</v>
      </c>
      <c r="W1278" s="14"/>
      <c r="Y1278" s="79">
        <v>14</v>
      </c>
      <c r="Z1278" s="56" t="s">
        <v>47</v>
      </c>
    </row>
    <row r="1279" spans="1:27" ht="23.1" customHeight="1" x14ac:dyDescent="0.25">
      <c r="A1279" s="53" t="s">
        <v>796</v>
      </c>
      <c r="B1279" s="10" t="s">
        <v>113</v>
      </c>
      <c r="C1279" s="10">
        <v>19</v>
      </c>
      <c r="D1279" s="10" t="s">
        <v>169</v>
      </c>
      <c r="E1279" s="41" t="s">
        <v>170</v>
      </c>
      <c r="F1279" s="41" t="e">
        <v>#N/A</v>
      </c>
      <c r="G1279" s="21" t="e">
        <f>VLOOKUP(D1279,[6]成飞半成品!$A:$B,2,0)</f>
        <v>#N/A</v>
      </c>
      <c r="H1279" s="10" t="s">
        <v>118</v>
      </c>
      <c r="I1279" s="10">
        <v>30</v>
      </c>
      <c r="J1279" s="10" t="s">
        <v>2167</v>
      </c>
      <c r="K1279" s="10">
        <v>1.5</v>
      </c>
      <c r="L1279" s="10">
        <v>1.6</v>
      </c>
      <c r="M1279" s="14">
        <v>32</v>
      </c>
      <c r="N1279" s="14">
        <v>32</v>
      </c>
      <c r="O1279" s="55" t="s">
        <v>1184</v>
      </c>
      <c r="Q1279" s="10">
        <v>420</v>
      </c>
      <c r="R1279" s="10">
        <v>60</v>
      </c>
      <c r="T1279" s="10">
        <v>2</v>
      </c>
      <c r="U1279" s="10">
        <v>60</v>
      </c>
      <c r="W1279" s="14"/>
      <c r="Y1279" s="79">
        <v>13.2</v>
      </c>
      <c r="Z1279" s="56" t="s">
        <v>17</v>
      </c>
    </row>
    <row r="1280" spans="1:27" ht="23.1" customHeight="1" x14ac:dyDescent="0.25">
      <c r="A1280" s="53" t="s">
        <v>796</v>
      </c>
      <c r="B1280" s="10" t="s">
        <v>113</v>
      </c>
      <c r="C1280" s="10">
        <v>44</v>
      </c>
      <c r="D1280" s="10" t="s">
        <v>266</v>
      </c>
      <c r="E1280" s="41" t="s">
        <v>267</v>
      </c>
      <c r="F1280" s="41" t="s">
        <v>267</v>
      </c>
      <c r="G1280" s="21" t="str">
        <f>VLOOKUP(D1280,[6]成飞半成品!$A:$B,2,0)</f>
        <v>后端框</v>
      </c>
      <c r="H1280" s="10" t="s">
        <v>118</v>
      </c>
      <c r="I1280" s="10">
        <v>55</v>
      </c>
      <c r="J1280" s="10" t="s">
        <v>2166</v>
      </c>
      <c r="K1280" s="10">
        <v>0.6</v>
      </c>
      <c r="L1280" s="10">
        <v>0.1</v>
      </c>
      <c r="M1280" s="14">
        <v>32</v>
      </c>
      <c r="N1280" s="14">
        <v>32</v>
      </c>
      <c r="O1280" s="55" t="s">
        <v>429</v>
      </c>
      <c r="Q1280" s="10">
        <v>1260</v>
      </c>
      <c r="R1280" s="10">
        <v>90</v>
      </c>
      <c r="U1280" s="10">
        <v>60</v>
      </c>
      <c r="W1280" s="14"/>
      <c r="Y1280" s="79">
        <v>2.1</v>
      </c>
      <c r="Z1280" s="56" t="s">
        <v>64</v>
      </c>
    </row>
    <row r="1281" spans="1:27" ht="23.1" customHeight="1" x14ac:dyDescent="0.25">
      <c r="A1281" s="53" t="s">
        <v>796</v>
      </c>
      <c r="B1281" s="10" t="s">
        <v>113</v>
      </c>
      <c r="C1281" s="10">
        <v>105</v>
      </c>
      <c r="D1281" s="10" t="s">
        <v>1176</v>
      </c>
      <c r="E1281" s="41" t="s">
        <v>1098</v>
      </c>
      <c r="F1281" s="41" t="s">
        <v>1098</v>
      </c>
      <c r="G1281" s="21" t="str">
        <f>VLOOKUP(D1281,[6]成飞半成品!$A:$B,2,0)</f>
        <v>根肋一段</v>
      </c>
      <c r="H1281" s="10" t="s">
        <v>250</v>
      </c>
      <c r="I1281" s="10">
        <v>40</v>
      </c>
      <c r="J1281" s="10" t="s">
        <v>2172</v>
      </c>
      <c r="K1281" s="10">
        <v>1.3</v>
      </c>
      <c r="L1281" s="10">
        <v>1.2</v>
      </c>
      <c r="M1281" s="14">
        <v>32</v>
      </c>
      <c r="N1281" s="14">
        <v>32</v>
      </c>
      <c r="O1281" s="55" t="s">
        <v>429</v>
      </c>
      <c r="Q1281" s="10">
        <v>450</v>
      </c>
      <c r="R1281" s="10">
        <v>60</v>
      </c>
      <c r="U1281" s="10">
        <v>120</v>
      </c>
      <c r="W1281" s="14"/>
      <c r="Y1281" s="79">
        <v>9</v>
      </c>
      <c r="Z1281" s="56" t="s">
        <v>9</v>
      </c>
    </row>
    <row r="1282" spans="1:27" ht="23.1" customHeight="1" x14ac:dyDescent="0.25">
      <c r="A1282" s="53" t="s">
        <v>796</v>
      </c>
      <c r="B1282" s="10" t="s">
        <v>113</v>
      </c>
      <c r="C1282" s="10">
        <v>97</v>
      </c>
      <c r="D1282" s="10" t="s">
        <v>834</v>
      </c>
      <c r="E1282" s="41" t="s">
        <v>1065</v>
      </c>
      <c r="F1282" s="41" t="s">
        <v>1065</v>
      </c>
      <c r="G1282" s="21" t="str">
        <f>VLOOKUP(D1282,[6]成飞半成品!$A:$B,2,0)</f>
        <v>根肋三段</v>
      </c>
      <c r="H1282" s="10" t="s">
        <v>250</v>
      </c>
      <c r="I1282" s="10">
        <v>60</v>
      </c>
      <c r="J1282" s="10" t="s">
        <v>2156</v>
      </c>
      <c r="K1282" s="10">
        <v>1.3</v>
      </c>
      <c r="L1282" s="10">
        <v>1</v>
      </c>
      <c r="M1282" s="14">
        <v>32</v>
      </c>
      <c r="N1282" s="14">
        <v>32</v>
      </c>
      <c r="O1282" s="55" t="s">
        <v>429</v>
      </c>
      <c r="Q1282" s="10">
        <v>570</v>
      </c>
      <c r="R1282" s="10">
        <v>60</v>
      </c>
      <c r="T1282" s="10">
        <v>1</v>
      </c>
      <c r="U1282" s="10">
        <v>60</v>
      </c>
      <c r="W1282" s="14"/>
      <c r="Y1282" s="79">
        <v>10.5</v>
      </c>
      <c r="Z1282" s="56" t="s">
        <v>39</v>
      </c>
    </row>
    <row r="1283" spans="1:27" ht="23.1" customHeight="1" x14ac:dyDescent="0.25">
      <c r="A1283" s="53" t="s">
        <v>796</v>
      </c>
      <c r="B1283" s="10" t="s">
        <v>110</v>
      </c>
      <c r="C1283" s="10">
        <v>44</v>
      </c>
      <c r="D1283" s="10" t="s">
        <v>266</v>
      </c>
      <c r="E1283" s="41" t="s">
        <v>267</v>
      </c>
      <c r="F1283" s="41" t="s">
        <v>267</v>
      </c>
      <c r="G1283" s="21" t="str">
        <f>VLOOKUP(D1283,[6]成飞半成品!$A:$B,2,0)</f>
        <v>后端框</v>
      </c>
      <c r="H1283" s="10" t="s">
        <v>118</v>
      </c>
      <c r="I1283" s="10">
        <v>55</v>
      </c>
      <c r="J1283" s="10" t="s">
        <v>2166</v>
      </c>
      <c r="K1283" s="10">
        <v>0.6</v>
      </c>
      <c r="L1283" s="10">
        <v>0.6</v>
      </c>
      <c r="M1283" s="14">
        <v>25</v>
      </c>
      <c r="N1283" s="14">
        <v>25</v>
      </c>
      <c r="O1283" s="55" t="s">
        <v>429</v>
      </c>
      <c r="Q1283" s="10">
        <v>1260</v>
      </c>
      <c r="R1283" s="10">
        <v>90</v>
      </c>
      <c r="U1283" s="10">
        <v>60</v>
      </c>
      <c r="W1283" s="14"/>
      <c r="Y1283" s="79">
        <v>12.6</v>
      </c>
      <c r="Z1283" s="56" t="s">
        <v>59</v>
      </c>
    </row>
    <row r="1284" spans="1:27" ht="23.1" customHeight="1" x14ac:dyDescent="0.25">
      <c r="A1284" s="53" t="s">
        <v>796</v>
      </c>
      <c r="B1284" s="10" t="s">
        <v>110</v>
      </c>
      <c r="C1284" s="10">
        <v>100</v>
      </c>
      <c r="D1284" s="65" t="s">
        <v>2551</v>
      </c>
      <c r="E1284" s="41" t="s">
        <v>938</v>
      </c>
      <c r="F1284" s="41" t="s">
        <v>938</v>
      </c>
      <c r="G1284" s="21" t="str">
        <f>VLOOKUP(D1284,[6]成飞半成品!$A:$B,2,0)</f>
        <v>工装</v>
      </c>
      <c r="H1284" s="10" t="s">
        <v>939</v>
      </c>
      <c r="I1284" s="10">
        <v>35</v>
      </c>
      <c r="J1284" s="10" t="s">
        <v>2073</v>
      </c>
      <c r="K1284" s="10">
        <v>3</v>
      </c>
      <c r="L1284" s="10">
        <v>5</v>
      </c>
      <c r="M1284" s="14">
        <v>25</v>
      </c>
      <c r="N1284" s="14">
        <v>25</v>
      </c>
      <c r="O1284" s="55" t="s">
        <v>1185</v>
      </c>
      <c r="Q1284" s="10">
        <v>90</v>
      </c>
      <c r="R1284" s="10">
        <v>60</v>
      </c>
      <c r="T1284" s="10">
        <v>5</v>
      </c>
      <c r="U1284" s="10">
        <v>60</v>
      </c>
      <c r="W1284" s="14">
        <v>1</v>
      </c>
      <c r="Y1284" s="79">
        <v>13.5</v>
      </c>
      <c r="Z1284" s="56" t="s">
        <v>59</v>
      </c>
    </row>
    <row r="1285" spans="1:27" ht="23.1" customHeight="1" x14ac:dyDescent="0.25">
      <c r="A1285" s="53" t="s">
        <v>796</v>
      </c>
      <c r="B1285" s="10" t="s">
        <v>110</v>
      </c>
      <c r="C1285" s="10">
        <v>101</v>
      </c>
      <c r="D1285" s="10" t="s">
        <v>1128</v>
      </c>
      <c r="E1285" s="41" t="s">
        <v>708</v>
      </c>
      <c r="F1285" s="41" t="e">
        <v>#N/A</v>
      </c>
      <c r="G1285" s="21" t="e">
        <f>VLOOKUP(D1285,[6]成飞半成品!$A:$B,2,0)</f>
        <v>#N/A</v>
      </c>
      <c r="H1285" s="10" t="s">
        <v>250</v>
      </c>
      <c r="I1285" s="10">
        <v>40</v>
      </c>
      <c r="J1285" s="10" t="s">
        <v>1935</v>
      </c>
      <c r="K1285" s="10">
        <v>2</v>
      </c>
      <c r="L1285" s="10">
        <v>2.2000000000000002</v>
      </c>
      <c r="M1285" s="14">
        <v>25</v>
      </c>
      <c r="N1285" s="14">
        <v>25</v>
      </c>
      <c r="O1285" s="55" t="s">
        <v>1186</v>
      </c>
      <c r="Q1285" s="10">
        <v>300</v>
      </c>
      <c r="R1285" s="10">
        <v>60</v>
      </c>
      <c r="T1285" s="10">
        <v>3</v>
      </c>
      <c r="U1285" s="10">
        <v>60</v>
      </c>
      <c r="W1285" s="14"/>
      <c r="Y1285" s="79">
        <v>14</v>
      </c>
      <c r="Z1285" s="56" t="s">
        <v>59</v>
      </c>
    </row>
    <row r="1286" spans="1:27" ht="23.1" customHeight="1" x14ac:dyDescent="0.25">
      <c r="A1286" s="53" t="s">
        <v>796</v>
      </c>
      <c r="B1286" s="10" t="s">
        <v>110</v>
      </c>
      <c r="C1286" s="10">
        <v>102</v>
      </c>
      <c r="D1286" s="10" t="s">
        <v>1097</v>
      </c>
      <c r="E1286" s="41" t="s">
        <v>1098</v>
      </c>
      <c r="F1286" s="41" t="s">
        <v>1098</v>
      </c>
      <c r="G1286" s="21" t="str">
        <f>VLOOKUP(D1286,[6]成飞半成品!$A:$B,2,0)</f>
        <v>根肋一段</v>
      </c>
      <c r="H1286" s="10" t="s">
        <v>250</v>
      </c>
      <c r="I1286" s="10">
        <v>40</v>
      </c>
      <c r="J1286" s="10" t="s">
        <v>2172</v>
      </c>
      <c r="K1286" s="10">
        <v>0.2</v>
      </c>
      <c r="L1286" s="10">
        <v>0.7</v>
      </c>
      <c r="M1286" s="14">
        <v>25</v>
      </c>
      <c r="N1286" s="14">
        <v>25</v>
      </c>
      <c r="O1286" s="55" t="s">
        <v>216</v>
      </c>
      <c r="Q1286" s="10">
        <v>450</v>
      </c>
      <c r="R1286" s="10">
        <v>60</v>
      </c>
      <c r="T1286" s="10">
        <v>1</v>
      </c>
      <c r="U1286" s="10">
        <v>120</v>
      </c>
      <c r="W1286" s="14">
        <v>1</v>
      </c>
      <c r="X1286" s="10">
        <v>3</v>
      </c>
      <c r="Y1286" s="79">
        <v>11.3</v>
      </c>
      <c r="Z1286" s="56" t="s">
        <v>59</v>
      </c>
      <c r="AA1286" s="14" t="s">
        <v>1138</v>
      </c>
    </row>
    <row r="1287" spans="1:27" ht="23.1" customHeight="1" x14ac:dyDescent="0.25">
      <c r="A1287" s="53" t="s">
        <v>796</v>
      </c>
      <c r="B1287" s="10" t="s">
        <v>110</v>
      </c>
      <c r="C1287" s="10">
        <v>83</v>
      </c>
      <c r="D1287" s="10" t="s">
        <v>1095</v>
      </c>
      <c r="E1287" s="41" t="s">
        <v>1096</v>
      </c>
      <c r="F1287" s="41" t="s">
        <v>1096</v>
      </c>
      <c r="G1287" s="21" t="str">
        <f>VLOOKUP(D1287,[6]成飞半成品!$A:$B,2,0)</f>
        <v>1150肋根肋</v>
      </c>
      <c r="H1287" s="10" t="s">
        <v>658</v>
      </c>
      <c r="I1287" s="10">
        <v>45</v>
      </c>
      <c r="J1287" s="10" t="s">
        <v>2159</v>
      </c>
      <c r="K1287" s="10">
        <v>2</v>
      </c>
      <c r="L1287" s="10">
        <v>2.5</v>
      </c>
      <c r="M1287" s="14">
        <v>25</v>
      </c>
      <c r="N1287" s="14">
        <v>25</v>
      </c>
      <c r="O1287" s="55" t="s">
        <v>282</v>
      </c>
      <c r="Q1287" s="10">
        <v>270</v>
      </c>
      <c r="R1287" s="10">
        <v>90</v>
      </c>
      <c r="T1287" s="10">
        <v>2</v>
      </c>
      <c r="U1287" s="10">
        <v>60</v>
      </c>
      <c r="W1287" s="14"/>
      <c r="Y1287" s="79">
        <v>14.3</v>
      </c>
      <c r="Z1287" s="56" t="s">
        <v>59</v>
      </c>
    </row>
    <row r="1288" spans="1:27" ht="23.1" customHeight="1" x14ac:dyDescent="0.25">
      <c r="A1288" s="53" t="s">
        <v>796</v>
      </c>
      <c r="B1288" s="10" t="s">
        <v>110</v>
      </c>
      <c r="C1288" s="10">
        <v>98</v>
      </c>
      <c r="D1288" s="10" t="s">
        <v>404</v>
      </c>
      <c r="E1288" s="41" t="s">
        <v>405</v>
      </c>
      <c r="F1288" s="41" t="s">
        <v>405</v>
      </c>
      <c r="G1288" s="21" t="str">
        <f>VLOOKUP(D1288,[6]成飞半成品!$A:$B,2,0)</f>
        <v>11140框右下半框</v>
      </c>
      <c r="H1288" s="10" t="s">
        <v>118</v>
      </c>
      <c r="I1288" s="10">
        <v>20</v>
      </c>
      <c r="J1288" s="10" t="s">
        <v>2034</v>
      </c>
      <c r="K1288" s="10">
        <v>0.8</v>
      </c>
      <c r="L1288" s="10">
        <v>3</v>
      </c>
      <c r="M1288" s="14">
        <v>25</v>
      </c>
      <c r="N1288" s="14">
        <v>25</v>
      </c>
      <c r="O1288" s="55" t="s">
        <v>1120</v>
      </c>
      <c r="Q1288" s="10">
        <v>80</v>
      </c>
      <c r="R1288" s="10">
        <v>60</v>
      </c>
      <c r="T1288" s="10">
        <v>3</v>
      </c>
      <c r="U1288" s="10">
        <v>120</v>
      </c>
      <c r="W1288" s="14">
        <v>1</v>
      </c>
      <c r="Y1288" s="79">
        <v>9</v>
      </c>
      <c r="Z1288" s="56" t="s">
        <v>59</v>
      </c>
    </row>
    <row r="1289" spans="1:27" ht="23.1" customHeight="1" x14ac:dyDescent="0.25">
      <c r="A1289" s="53" t="s">
        <v>796</v>
      </c>
      <c r="B1289" s="10" t="s">
        <v>110</v>
      </c>
      <c r="C1289" s="10">
        <v>98</v>
      </c>
      <c r="D1289" s="10" t="s">
        <v>404</v>
      </c>
      <c r="E1289" s="41" t="s">
        <v>405</v>
      </c>
      <c r="F1289" s="41" t="s">
        <v>405</v>
      </c>
      <c r="G1289" s="21" t="str">
        <f>VLOOKUP(D1289,[6]成飞半成品!$A:$B,2,0)</f>
        <v>11140框右下半框</v>
      </c>
      <c r="H1289" s="10" t="s">
        <v>118</v>
      </c>
      <c r="I1289" s="10">
        <v>25</v>
      </c>
      <c r="J1289" s="10" t="s">
        <v>2169</v>
      </c>
      <c r="K1289" s="10">
        <v>0.8</v>
      </c>
      <c r="L1289" s="10">
        <v>3</v>
      </c>
      <c r="M1289" s="14">
        <v>25</v>
      </c>
      <c r="N1289" s="14">
        <v>25</v>
      </c>
      <c r="O1289" s="55" t="s">
        <v>1120</v>
      </c>
      <c r="Q1289" s="10">
        <v>100</v>
      </c>
      <c r="R1289" s="10">
        <v>60</v>
      </c>
      <c r="T1289" s="10">
        <v>3</v>
      </c>
      <c r="U1289" s="10">
        <v>120</v>
      </c>
      <c r="W1289" s="14">
        <v>1</v>
      </c>
      <c r="Y1289" s="79">
        <v>10</v>
      </c>
      <c r="Z1289" s="56" t="s">
        <v>59</v>
      </c>
    </row>
    <row r="1290" spans="1:27" ht="23.1" customHeight="1" x14ac:dyDescent="0.25">
      <c r="A1290" s="53" t="s">
        <v>796</v>
      </c>
      <c r="B1290" s="10" t="s">
        <v>110</v>
      </c>
      <c r="C1290" s="10">
        <v>98</v>
      </c>
      <c r="D1290" s="10" t="s">
        <v>404</v>
      </c>
      <c r="E1290" s="41" t="s">
        <v>405</v>
      </c>
      <c r="F1290" s="41" t="s">
        <v>405</v>
      </c>
      <c r="G1290" s="21" t="str">
        <f>VLOOKUP(D1290,[6]成飞半成品!$A:$B,2,0)</f>
        <v>11140框右下半框</v>
      </c>
      <c r="H1290" s="10" t="s">
        <v>118</v>
      </c>
      <c r="I1290" s="10">
        <v>30</v>
      </c>
      <c r="J1290" s="10" t="s">
        <v>1891</v>
      </c>
      <c r="K1290" s="10">
        <v>0.8</v>
      </c>
      <c r="L1290" s="10">
        <v>3</v>
      </c>
      <c r="M1290" s="14">
        <v>25</v>
      </c>
      <c r="N1290" s="14">
        <v>25</v>
      </c>
      <c r="O1290" s="55" t="s">
        <v>1120</v>
      </c>
      <c r="Q1290" s="10">
        <v>100</v>
      </c>
      <c r="R1290" s="10">
        <v>60</v>
      </c>
      <c r="T1290" s="10">
        <v>3</v>
      </c>
      <c r="U1290" s="10">
        <v>120</v>
      </c>
      <c r="W1290" s="14">
        <v>1</v>
      </c>
      <c r="Y1290" s="79">
        <v>10</v>
      </c>
      <c r="Z1290" s="56" t="s">
        <v>59</v>
      </c>
    </row>
    <row r="1291" spans="1:27" ht="23.1" customHeight="1" x14ac:dyDescent="0.25">
      <c r="A1291" s="53" t="s">
        <v>870</v>
      </c>
      <c r="B1291" s="10" t="s">
        <v>110</v>
      </c>
      <c r="C1291" s="10">
        <v>83</v>
      </c>
      <c r="D1291" s="10" t="s">
        <v>1095</v>
      </c>
      <c r="E1291" s="41" t="s">
        <v>1096</v>
      </c>
      <c r="F1291" s="41" t="s">
        <v>1096</v>
      </c>
      <c r="G1291" s="21" t="str">
        <f>VLOOKUP(D1291,[6]成飞半成品!$A:$B,2,0)</f>
        <v>1150肋根肋</v>
      </c>
      <c r="H1291" s="10" t="s">
        <v>658</v>
      </c>
      <c r="I1291" s="10">
        <v>50</v>
      </c>
      <c r="J1291" s="10" t="s">
        <v>2032</v>
      </c>
      <c r="K1291" s="10">
        <v>2</v>
      </c>
      <c r="L1291" s="10">
        <v>2</v>
      </c>
      <c r="M1291" s="14">
        <v>25</v>
      </c>
      <c r="N1291" s="14">
        <v>25</v>
      </c>
      <c r="O1291" s="55" t="s">
        <v>282</v>
      </c>
      <c r="Q1291" s="10">
        <v>60</v>
      </c>
      <c r="R1291" s="10">
        <v>60</v>
      </c>
      <c r="T1291" s="10">
        <v>2</v>
      </c>
      <c r="U1291" s="10">
        <v>60</v>
      </c>
      <c r="W1291" s="14"/>
      <c r="X1291" s="14">
        <v>2</v>
      </c>
      <c r="Y1291" s="79">
        <v>6</v>
      </c>
      <c r="Z1291" s="56" t="s">
        <v>67</v>
      </c>
      <c r="AA1291" s="14" t="s">
        <v>1011</v>
      </c>
    </row>
    <row r="1292" spans="1:27" ht="23.1" customHeight="1" x14ac:dyDescent="0.25">
      <c r="A1292" s="53" t="s">
        <v>870</v>
      </c>
      <c r="B1292" s="10" t="s">
        <v>110</v>
      </c>
      <c r="C1292" s="10">
        <v>106</v>
      </c>
      <c r="D1292" s="10" t="s">
        <v>1070</v>
      </c>
      <c r="E1292" s="41" t="s">
        <v>101</v>
      </c>
      <c r="F1292" s="41" t="s">
        <v>101</v>
      </c>
      <c r="G1292" s="21" t="str">
        <f>VLOOKUP(D1292,[6]成飞半成品!$A:$B,2,0)</f>
        <v>前梁一段</v>
      </c>
      <c r="H1292" s="10" t="s">
        <v>300</v>
      </c>
      <c r="I1292" s="10">
        <v>25</v>
      </c>
      <c r="J1292" s="10" t="s">
        <v>2163</v>
      </c>
      <c r="K1292" s="10">
        <v>0.2</v>
      </c>
      <c r="L1292" s="10">
        <v>0.2</v>
      </c>
      <c r="M1292" s="14">
        <v>25</v>
      </c>
      <c r="N1292" s="14">
        <v>25</v>
      </c>
      <c r="O1292" s="55" t="s">
        <v>247</v>
      </c>
      <c r="Q1292" s="10">
        <v>4800</v>
      </c>
      <c r="R1292" s="10">
        <v>180</v>
      </c>
      <c r="U1292" s="10">
        <v>180</v>
      </c>
      <c r="W1292" s="14"/>
      <c r="Y1292" s="79">
        <v>16</v>
      </c>
      <c r="Z1292" s="56" t="s">
        <v>67</v>
      </c>
    </row>
    <row r="1293" spans="1:27" ht="23.1" customHeight="1" x14ac:dyDescent="0.25">
      <c r="A1293" s="53" t="s">
        <v>870</v>
      </c>
      <c r="B1293" s="10" t="s">
        <v>110</v>
      </c>
      <c r="C1293" s="10">
        <v>44</v>
      </c>
      <c r="D1293" s="10" t="s">
        <v>266</v>
      </c>
      <c r="E1293" s="41" t="s">
        <v>267</v>
      </c>
      <c r="F1293" s="41" t="s">
        <v>267</v>
      </c>
      <c r="G1293" s="21" t="str">
        <f>VLOOKUP(D1293,[6]成飞半成品!$A:$B,2,0)</f>
        <v>后端框</v>
      </c>
      <c r="H1293" s="10" t="s">
        <v>118</v>
      </c>
      <c r="I1293" s="10">
        <v>55</v>
      </c>
      <c r="J1293" s="10" t="s">
        <v>2166</v>
      </c>
      <c r="K1293" s="10">
        <v>0.6</v>
      </c>
      <c r="L1293" s="10">
        <v>0.6</v>
      </c>
      <c r="M1293" s="14">
        <v>25</v>
      </c>
      <c r="N1293" s="14">
        <v>25</v>
      </c>
      <c r="O1293" s="55" t="s">
        <v>429</v>
      </c>
      <c r="Q1293" s="10">
        <v>1260</v>
      </c>
      <c r="R1293" s="10">
        <v>90</v>
      </c>
      <c r="T1293" s="10">
        <v>1</v>
      </c>
      <c r="U1293" s="10">
        <v>60</v>
      </c>
      <c r="W1293" s="14"/>
      <c r="Y1293" s="79">
        <v>14.1</v>
      </c>
      <c r="Z1293" s="56" t="s">
        <v>67</v>
      </c>
    </row>
    <row r="1294" spans="1:27" ht="23.1" customHeight="1" x14ac:dyDescent="0.25">
      <c r="A1294" s="53" t="s">
        <v>870</v>
      </c>
      <c r="B1294" s="10" t="s">
        <v>110</v>
      </c>
      <c r="C1294" s="10">
        <v>100</v>
      </c>
      <c r="D1294" s="65" t="s">
        <v>2551</v>
      </c>
      <c r="E1294" s="41" t="s">
        <v>938</v>
      </c>
      <c r="F1294" s="41" t="s">
        <v>938</v>
      </c>
      <c r="G1294" s="21" t="str">
        <f>VLOOKUP(D1294,[6]成飞半成品!$A:$B,2,0)</f>
        <v>工装</v>
      </c>
      <c r="H1294" s="10" t="s">
        <v>939</v>
      </c>
      <c r="I1294" s="10">
        <v>40</v>
      </c>
      <c r="J1294" s="10" t="s">
        <v>2173</v>
      </c>
      <c r="K1294" s="10">
        <v>1</v>
      </c>
      <c r="L1294" s="10">
        <v>0.9</v>
      </c>
      <c r="M1294" s="14">
        <v>25</v>
      </c>
      <c r="N1294" s="14">
        <v>25</v>
      </c>
      <c r="O1294" s="55" t="s">
        <v>1187</v>
      </c>
      <c r="Q1294" s="10">
        <v>840</v>
      </c>
      <c r="R1294" s="10">
        <v>60</v>
      </c>
      <c r="T1294" s="10">
        <v>1</v>
      </c>
      <c r="U1294" s="10">
        <v>120</v>
      </c>
      <c r="W1294" s="14"/>
      <c r="X1294" s="14">
        <v>2</v>
      </c>
      <c r="Y1294" s="79">
        <v>15.6</v>
      </c>
      <c r="Z1294" s="56" t="s">
        <v>67</v>
      </c>
      <c r="AA1294" s="14" t="s">
        <v>1188</v>
      </c>
    </row>
    <row r="1295" spans="1:27" ht="23.1" customHeight="1" x14ac:dyDescent="0.25">
      <c r="A1295" s="53" t="s">
        <v>870</v>
      </c>
      <c r="B1295" s="10" t="s">
        <v>110</v>
      </c>
      <c r="C1295" s="10">
        <v>102</v>
      </c>
      <c r="D1295" s="10" t="s">
        <v>1097</v>
      </c>
      <c r="E1295" s="41" t="s">
        <v>1098</v>
      </c>
      <c r="F1295" s="41" t="s">
        <v>1098</v>
      </c>
      <c r="G1295" s="21" t="str">
        <f>VLOOKUP(D1295,[6]成飞半成品!$A:$B,2,0)</f>
        <v>根肋一段</v>
      </c>
      <c r="H1295" s="10" t="s">
        <v>250</v>
      </c>
      <c r="I1295" s="10">
        <v>40</v>
      </c>
      <c r="J1295" s="10" t="s">
        <v>2172</v>
      </c>
      <c r="K1295" s="10">
        <v>1.3</v>
      </c>
      <c r="L1295" s="10">
        <v>1.4</v>
      </c>
      <c r="M1295" s="14">
        <v>25</v>
      </c>
      <c r="N1295" s="14">
        <v>25</v>
      </c>
      <c r="O1295" s="55" t="s">
        <v>292</v>
      </c>
      <c r="Q1295" s="10">
        <v>450</v>
      </c>
      <c r="R1295" s="10">
        <v>60</v>
      </c>
      <c r="T1295" s="10">
        <v>2</v>
      </c>
      <c r="U1295" s="10">
        <v>120</v>
      </c>
      <c r="W1295" s="14"/>
      <c r="Y1295" s="79">
        <v>12.5</v>
      </c>
      <c r="Z1295" s="56" t="s">
        <v>67</v>
      </c>
    </row>
    <row r="1296" spans="1:27" ht="23.1" customHeight="1" x14ac:dyDescent="0.25">
      <c r="A1296" s="53" t="s">
        <v>870</v>
      </c>
      <c r="B1296" s="10" t="s">
        <v>110</v>
      </c>
      <c r="C1296" s="10">
        <v>101</v>
      </c>
      <c r="D1296" s="10" t="s">
        <v>1128</v>
      </c>
      <c r="E1296" s="41" t="s">
        <v>708</v>
      </c>
      <c r="F1296" s="41" t="e">
        <v>#N/A</v>
      </c>
      <c r="G1296" s="21" t="e">
        <f>VLOOKUP(D1296,[6]成飞半成品!$A:$B,2,0)</f>
        <v>#N/A</v>
      </c>
      <c r="H1296" s="10" t="s">
        <v>250</v>
      </c>
      <c r="I1296" s="10">
        <v>40</v>
      </c>
      <c r="J1296" s="10" t="s">
        <v>1935</v>
      </c>
      <c r="K1296" s="10">
        <v>2</v>
      </c>
      <c r="L1296" s="10">
        <v>2.7</v>
      </c>
      <c r="M1296" s="14">
        <v>25</v>
      </c>
      <c r="N1296" s="14">
        <v>25</v>
      </c>
      <c r="O1296" s="55" t="s">
        <v>755</v>
      </c>
      <c r="Q1296" s="10">
        <v>300</v>
      </c>
      <c r="R1296" s="10">
        <v>60</v>
      </c>
      <c r="T1296" s="10">
        <v>3</v>
      </c>
      <c r="U1296" s="10">
        <v>60</v>
      </c>
      <c r="W1296" s="14"/>
      <c r="Y1296" s="79">
        <v>16.5</v>
      </c>
      <c r="Z1296" s="56" t="s">
        <v>67</v>
      </c>
    </row>
    <row r="1297" spans="1:27" ht="23.1" customHeight="1" x14ac:dyDescent="0.25">
      <c r="A1297" s="53" t="s">
        <v>870</v>
      </c>
      <c r="B1297" s="10" t="s">
        <v>110</v>
      </c>
      <c r="C1297" s="10">
        <v>98</v>
      </c>
      <c r="D1297" s="10" t="s">
        <v>481</v>
      </c>
      <c r="E1297" s="41" t="s">
        <v>482</v>
      </c>
      <c r="F1297" s="41" t="s">
        <v>482</v>
      </c>
      <c r="G1297" s="21" t="str">
        <f>VLOOKUP(D1297,[6]成飞半成品!$A:$B,2,0)</f>
        <v>11140框左下半框</v>
      </c>
      <c r="H1297" s="10" t="s">
        <v>118</v>
      </c>
      <c r="I1297" s="10">
        <v>20</v>
      </c>
      <c r="J1297" s="10" t="s">
        <v>2034</v>
      </c>
      <c r="K1297" s="10">
        <v>2</v>
      </c>
      <c r="L1297" s="10">
        <v>2</v>
      </c>
      <c r="M1297" s="14">
        <v>25</v>
      </c>
      <c r="N1297" s="14">
        <v>25</v>
      </c>
      <c r="O1297" s="55" t="s">
        <v>1121</v>
      </c>
      <c r="Q1297" s="10">
        <v>80</v>
      </c>
      <c r="R1297" s="10">
        <v>60</v>
      </c>
      <c r="T1297" s="10">
        <v>2</v>
      </c>
      <c r="U1297" s="10">
        <v>120</v>
      </c>
      <c r="W1297" s="14"/>
      <c r="Y1297" s="79">
        <v>4.7</v>
      </c>
      <c r="Z1297" s="56" t="s">
        <v>67</v>
      </c>
    </row>
    <row r="1298" spans="1:27" ht="23.1" customHeight="1" x14ac:dyDescent="0.25">
      <c r="A1298" s="53" t="s">
        <v>870</v>
      </c>
      <c r="B1298" s="10" t="s">
        <v>110</v>
      </c>
      <c r="C1298" s="10">
        <v>98</v>
      </c>
      <c r="D1298" s="10" t="s">
        <v>481</v>
      </c>
      <c r="E1298" s="41" t="s">
        <v>482</v>
      </c>
      <c r="F1298" s="41" t="s">
        <v>482</v>
      </c>
      <c r="G1298" s="21" t="str">
        <f>VLOOKUP(D1298,[6]成飞半成品!$A:$B,2,0)</f>
        <v>11140框左下半框</v>
      </c>
      <c r="H1298" s="10" t="s">
        <v>118</v>
      </c>
      <c r="I1298" s="10">
        <v>25</v>
      </c>
      <c r="J1298" s="10" t="s">
        <v>2169</v>
      </c>
      <c r="K1298" s="10">
        <v>2</v>
      </c>
      <c r="L1298" s="10">
        <v>2</v>
      </c>
      <c r="M1298" s="14">
        <v>25</v>
      </c>
      <c r="N1298" s="14">
        <v>25</v>
      </c>
      <c r="O1298" s="55" t="s">
        <v>1121</v>
      </c>
      <c r="Q1298" s="10">
        <v>100</v>
      </c>
      <c r="R1298" s="10">
        <v>60</v>
      </c>
      <c r="T1298" s="10">
        <v>2</v>
      </c>
      <c r="U1298" s="10">
        <v>120</v>
      </c>
      <c r="W1298" s="14"/>
      <c r="Y1298" s="79">
        <v>5.3</v>
      </c>
      <c r="Z1298" s="56" t="s">
        <v>67</v>
      </c>
    </row>
    <row r="1299" spans="1:27" ht="23.1" customHeight="1" x14ac:dyDescent="0.25">
      <c r="A1299" s="53" t="s">
        <v>870</v>
      </c>
      <c r="B1299" s="10" t="s">
        <v>110</v>
      </c>
      <c r="C1299" s="10">
        <v>98</v>
      </c>
      <c r="D1299" s="10" t="s">
        <v>481</v>
      </c>
      <c r="E1299" s="41" t="s">
        <v>482</v>
      </c>
      <c r="F1299" s="41" t="s">
        <v>482</v>
      </c>
      <c r="G1299" s="21" t="str">
        <f>VLOOKUP(D1299,[6]成飞半成品!$A:$B,2,0)</f>
        <v>11140框左下半框</v>
      </c>
      <c r="H1299" s="10" t="s">
        <v>118</v>
      </c>
      <c r="I1299" s="10">
        <v>30</v>
      </c>
      <c r="J1299" s="10" t="s">
        <v>1891</v>
      </c>
      <c r="K1299" s="10">
        <v>2</v>
      </c>
      <c r="L1299" s="10">
        <v>2</v>
      </c>
      <c r="M1299" s="14">
        <v>25</v>
      </c>
      <c r="N1299" s="14">
        <v>25</v>
      </c>
      <c r="O1299" s="55" t="s">
        <v>1121</v>
      </c>
      <c r="Q1299" s="10">
        <v>100</v>
      </c>
      <c r="R1299" s="10">
        <v>60</v>
      </c>
      <c r="T1299" s="10">
        <v>2</v>
      </c>
      <c r="U1299" s="10">
        <v>120</v>
      </c>
      <c r="W1299" s="14"/>
      <c r="Y1299" s="79">
        <v>5.3</v>
      </c>
      <c r="Z1299" s="56" t="s">
        <v>67</v>
      </c>
    </row>
    <row r="1300" spans="1:27" ht="23.1" customHeight="1" x14ac:dyDescent="0.25">
      <c r="A1300" s="53" t="s">
        <v>870</v>
      </c>
      <c r="B1300" s="10" t="s">
        <v>110</v>
      </c>
      <c r="C1300" s="10">
        <v>98</v>
      </c>
      <c r="D1300" s="10" t="s">
        <v>481</v>
      </c>
      <c r="E1300" s="41" t="s">
        <v>482</v>
      </c>
      <c r="F1300" s="41" t="s">
        <v>482</v>
      </c>
      <c r="G1300" s="21" t="str">
        <f>VLOOKUP(D1300,[6]成飞半成品!$A:$B,2,0)</f>
        <v>11140框左下半框</v>
      </c>
      <c r="H1300" s="10" t="s">
        <v>118</v>
      </c>
      <c r="I1300" s="10">
        <v>35</v>
      </c>
      <c r="J1300" s="10" t="s">
        <v>2174</v>
      </c>
      <c r="L1300" s="10">
        <v>0.4</v>
      </c>
      <c r="M1300" s="14">
        <v>25</v>
      </c>
      <c r="N1300" s="14">
        <v>25</v>
      </c>
      <c r="O1300" s="55" t="s">
        <v>722</v>
      </c>
      <c r="Q1300" s="10">
        <v>800</v>
      </c>
      <c r="R1300" s="10">
        <v>60</v>
      </c>
      <c r="T1300" s="10">
        <v>1</v>
      </c>
      <c r="U1300" s="10">
        <v>120</v>
      </c>
      <c r="W1300" s="14">
        <v>1</v>
      </c>
      <c r="Y1300" s="79">
        <v>8.3000000000000007</v>
      </c>
      <c r="Z1300" s="56" t="s">
        <v>67</v>
      </c>
    </row>
    <row r="1301" spans="1:27" ht="23.1" customHeight="1" x14ac:dyDescent="0.25">
      <c r="A1301" s="53" t="s">
        <v>796</v>
      </c>
      <c r="B1301" s="10" t="s">
        <v>110</v>
      </c>
      <c r="C1301" s="10">
        <v>99</v>
      </c>
      <c r="D1301" s="31" t="s">
        <v>2566</v>
      </c>
      <c r="E1301" s="41" t="s">
        <v>605</v>
      </c>
      <c r="F1301" s="41" t="s">
        <v>605</v>
      </c>
      <c r="G1301" s="21" t="str">
        <f>VLOOKUP(D1301,[6]成飞半成品!$A:$B,2,0)</f>
        <v>固定前缘边肋</v>
      </c>
      <c r="H1301" s="10" t="s">
        <v>107</v>
      </c>
      <c r="I1301" s="10">
        <v>53</v>
      </c>
      <c r="K1301" s="10">
        <v>2</v>
      </c>
      <c r="L1301" s="10">
        <v>2.7</v>
      </c>
      <c r="M1301" s="14">
        <v>25</v>
      </c>
      <c r="N1301" s="14">
        <v>25</v>
      </c>
      <c r="O1301" s="55" t="s">
        <v>1189</v>
      </c>
      <c r="W1301" s="14"/>
      <c r="X1301" s="14">
        <v>15</v>
      </c>
      <c r="Y1301" s="83">
        <v>15</v>
      </c>
      <c r="Z1301" s="56" t="s">
        <v>21</v>
      </c>
    </row>
    <row r="1302" spans="1:27" ht="23.1" customHeight="1" x14ac:dyDescent="0.25">
      <c r="A1302" s="53" t="s">
        <v>796</v>
      </c>
      <c r="B1302" s="10" t="s">
        <v>110</v>
      </c>
      <c r="C1302" s="10">
        <v>97</v>
      </c>
      <c r="D1302" s="10" t="s">
        <v>834</v>
      </c>
      <c r="E1302" s="41" t="s">
        <v>1065</v>
      </c>
      <c r="F1302" s="41" t="s">
        <v>1065</v>
      </c>
      <c r="G1302" s="21" t="str">
        <f>VLOOKUP(D1302,[6]成飞半成品!$A:$B,2,0)</f>
        <v>根肋三段</v>
      </c>
      <c r="H1302" s="10" t="s">
        <v>250</v>
      </c>
      <c r="I1302" s="10">
        <v>60</v>
      </c>
      <c r="J1302" s="10" t="s">
        <v>2156</v>
      </c>
      <c r="K1302" s="10">
        <v>1.3</v>
      </c>
      <c r="L1302" s="10">
        <v>1</v>
      </c>
      <c r="M1302" s="14">
        <v>25</v>
      </c>
      <c r="N1302" s="14">
        <v>25</v>
      </c>
      <c r="O1302" s="55" t="s">
        <v>429</v>
      </c>
      <c r="Q1302" s="10">
        <v>570</v>
      </c>
      <c r="R1302" s="10">
        <v>60</v>
      </c>
      <c r="T1302" s="10">
        <v>1</v>
      </c>
      <c r="U1302" s="10">
        <v>60</v>
      </c>
      <c r="W1302" s="14">
        <v>1</v>
      </c>
      <c r="X1302" s="10">
        <v>3</v>
      </c>
      <c r="Y1302" s="79">
        <v>14.5</v>
      </c>
      <c r="Z1302" s="56" t="s">
        <v>1</v>
      </c>
      <c r="AA1302" s="14" t="s">
        <v>1138</v>
      </c>
    </row>
    <row r="1303" spans="1:27" ht="23.1" customHeight="1" x14ac:dyDescent="0.25">
      <c r="A1303" s="53" t="s">
        <v>796</v>
      </c>
      <c r="B1303" s="10" t="s">
        <v>110</v>
      </c>
      <c r="C1303" s="10">
        <v>103</v>
      </c>
      <c r="D1303" s="47" t="s">
        <v>1148</v>
      </c>
      <c r="E1303" s="41" t="s">
        <v>1149</v>
      </c>
      <c r="F1303" s="41" t="s">
        <v>1149</v>
      </c>
      <c r="G1303" s="21" t="str">
        <f>VLOOKUP(D1303,[6]成飞半成品!$A:$B,2,0)</f>
        <v>1号下壁板</v>
      </c>
      <c r="H1303" s="10" t="s">
        <v>300</v>
      </c>
      <c r="I1303" s="10">
        <v>5</v>
      </c>
      <c r="J1303" s="10" t="s">
        <v>2158</v>
      </c>
      <c r="K1303" s="10">
        <v>2</v>
      </c>
      <c r="L1303" s="10">
        <v>1.5</v>
      </c>
      <c r="M1303" s="14">
        <v>25</v>
      </c>
      <c r="N1303" s="14">
        <v>25</v>
      </c>
      <c r="O1303" s="55" t="s">
        <v>1153</v>
      </c>
      <c r="Q1303" s="10">
        <v>240</v>
      </c>
      <c r="R1303" s="10">
        <v>120</v>
      </c>
      <c r="T1303" s="10">
        <v>1</v>
      </c>
      <c r="U1303" s="10">
        <v>90</v>
      </c>
      <c r="W1303" s="14"/>
      <c r="Y1303" s="79">
        <v>8</v>
      </c>
      <c r="Z1303" s="56" t="s">
        <v>62</v>
      </c>
    </row>
    <row r="1304" spans="1:27" ht="23.1" customHeight="1" x14ac:dyDescent="0.25">
      <c r="A1304" s="53" t="s">
        <v>796</v>
      </c>
      <c r="B1304" s="10" t="s">
        <v>110</v>
      </c>
      <c r="C1304" s="10">
        <v>105</v>
      </c>
      <c r="D1304" s="10" t="s">
        <v>1176</v>
      </c>
      <c r="E1304" s="41" t="s">
        <v>1098</v>
      </c>
      <c r="F1304" s="41" t="s">
        <v>1098</v>
      </c>
      <c r="G1304" s="21" t="str">
        <f>VLOOKUP(D1304,[6]成飞半成品!$A:$B,2,0)</f>
        <v>根肋一段</v>
      </c>
      <c r="H1304" s="10" t="s">
        <v>250</v>
      </c>
      <c r="I1304" s="10">
        <v>40</v>
      </c>
      <c r="J1304" s="10" t="s">
        <v>2172</v>
      </c>
      <c r="L1304" s="10">
        <v>0.8</v>
      </c>
      <c r="M1304" s="14">
        <v>25</v>
      </c>
      <c r="N1304" s="14">
        <v>25</v>
      </c>
      <c r="O1304" s="55" t="s">
        <v>429</v>
      </c>
      <c r="Q1304" s="10">
        <v>450</v>
      </c>
      <c r="R1304" s="10">
        <v>60</v>
      </c>
      <c r="T1304" s="10">
        <v>1</v>
      </c>
      <c r="U1304" s="10">
        <v>120</v>
      </c>
      <c r="W1304" s="14">
        <v>1</v>
      </c>
      <c r="Y1304" s="79">
        <v>9</v>
      </c>
      <c r="Z1304" s="56" t="s">
        <v>28</v>
      </c>
    </row>
    <row r="1305" spans="1:27" ht="23.1" customHeight="1" x14ac:dyDescent="0.25">
      <c r="A1305" s="53" t="s">
        <v>796</v>
      </c>
      <c r="B1305" s="10" t="s">
        <v>110</v>
      </c>
      <c r="C1305" s="10">
        <v>19</v>
      </c>
      <c r="D1305" s="10" t="s">
        <v>169</v>
      </c>
      <c r="E1305" s="41" t="s">
        <v>170</v>
      </c>
      <c r="F1305" s="41" t="e">
        <v>#N/A</v>
      </c>
      <c r="G1305" s="21" t="e">
        <f>VLOOKUP(D1305,[6]成飞半成品!$A:$B,2,0)</f>
        <v>#N/A</v>
      </c>
      <c r="H1305" s="10" t="s">
        <v>118</v>
      </c>
      <c r="I1305" s="10">
        <v>30</v>
      </c>
      <c r="J1305" s="10" t="s">
        <v>2167</v>
      </c>
      <c r="K1305" s="10">
        <v>1.5</v>
      </c>
      <c r="L1305" s="10">
        <v>1.7</v>
      </c>
      <c r="M1305" s="14">
        <v>25</v>
      </c>
      <c r="N1305" s="14">
        <v>25</v>
      </c>
      <c r="O1305" s="55" t="s">
        <v>1190</v>
      </c>
      <c r="Q1305" s="10">
        <v>420</v>
      </c>
      <c r="R1305" s="10">
        <v>60</v>
      </c>
      <c r="T1305" s="10">
        <v>1</v>
      </c>
      <c r="U1305" s="10">
        <v>60</v>
      </c>
      <c r="W1305" s="14"/>
      <c r="Y1305" s="79">
        <v>12.9</v>
      </c>
      <c r="Z1305" s="56" t="s">
        <v>11</v>
      </c>
    </row>
    <row r="1306" spans="1:27" ht="23.1" customHeight="1" x14ac:dyDescent="0.25">
      <c r="A1306" s="53" t="s">
        <v>796</v>
      </c>
      <c r="B1306" s="10" t="s">
        <v>110</v>
      </c>
      <c r="C1306" s="10">
        <v>118</v>
      </c>
      <c r="D1306" s="10" t="s">
        <v>1171</v>
      </c>
      <c r="E1306" s="41" t="s">
        <v>1172</v>
      </c>
      <c r="F1306" s="41" t="s">
        <v>1172</v>
      </c>
      <c r="G1306" s="21" t="str">
        <f>VLOOKUP(D1306,[6]成飞半成品!$A:$B,2,0)</f>
        <v>后梁</v>
      </c>
      <c r="H1306" s="10" t="s">
        <v>300</v>
      </c>
      <c r="I1306" s="10">
        <v>25</v>
      </c>
      <c r="J1306" s="10" t="s">
        <v>2175</v>
      </c>
      <c r="L1306" s="10">
        <v>1</v>
      </c>
      <c r="M1306" s="14">
        <v>25</v>
      </c>
      <c r="N1306" s="14">
        <v>25</v>
      </c>
      <c r="O1306" s="55" t="s">
        <v>330</v>
      </c>
      <c r="Q1306" s="10">
        <v>240</v>
      </c>
      <c r="R1306" s="10">
        <v>60</v>
      </c>
      <c r="T1306" s="10">
        <v>1</v>
      </c>
      <c r="U1306" s="10">
        <v>60</v>
      </c>
      <c r="W1306" s="14">
        <v>1</v>
      </c>
      <c r="Y1306" s="79">
        <v>6</v>
      </c>
      <c r="Z1306" s="56" t="s">
        <v>32</v>
      </c>
    </row>
    <row r="1307" spans="1:27" ht="23.1" customHeight="1" x14ac:dyDescent="0.25">
      <c r="A1307" s="53" t="s">
        <v>796</v>
      </c>
      <c r="B1307" s="10" t="s">
        <v>110</v>
      </c>
      <c r="C1307" s="10">
        <v>118</v>
      </c>
      <c r="D1307" s="10" t="s">
        <v>1171</v>
      </c>
      <c r="E1307" s="41" t="s">
        <v>1172</v>
      </c>
      <c r="F1307" s="41" t="s">
        <v>1172</v>
      </c>
      <c r="G1307" s="21" t="str">
        <f>VLOOKUP(D1307,[6]成飞半成品!$A:$B,2,0)</f>
        <v>后梁</v>
      </c>
      <c r="H1307" s="10" t="s">
        <v>300</v>
      </c>
      <c r="I1307" s="10">
        <v>25</v>
      </c>
      <c r="J1307" s="10" t="s">
        <v>2175</v>
      </c>
      <c r="L1307" s="10">
        <v>1</v>
      </c>
      <c r="M1307" s="14">
        <v>25</v>
      </c>
      <c r="N1307" s="14">
        <v>25</v>
      </c>
      <c r="O1307" s="55" t="s">
        <v>330</v>
      </c>
      <c r="Q1307" s="10">
        <v>240</v>
      </c>
      <c r="R1307" s="10">
        <v>60</v>
      </c>
      <c r="T1307" s="10">
        <v>1</v>
      </c>
      <c r="U1307" s="10">
        <v>60</v>
      </c>
      <c r="W1307" s="14">
        <v>1</v>
      </c>
      <c r="Y1307" s="79">
        <v>6</v>
      </c>
      <c r="Z1307" s="56" t="s">
        <v>32</v>
      </c>
    </row>
    <row r="1308" spans="1:27" ht="23.1" customHeight="1" x14ac:dyDescent="0.25">
      <c r="A1308" s="53" t="s">
        <v>796</v>
      </c>
      <c r="B1308" s="10" t="s">
        <v>110</v>
      </c>
      <c r="C1308" s="10">
        <v>118</v>
      </c>
      <c r="D1308" s="10" t="s">
        <v>1171</v>
      </c>
      <c r="E1308" s="41" t="s">
        <v>1172</v>
      </c>
      <c r="F1308" s="41" t="s">
        <v>1172</v>
      </c>
      <c r="G1308" s="21" t="str">
        <f>VLOOKUP(D1308,[6]成飞半成品!$A:$B,2,0)</f>
        <v>后梁</v>
      </c>
      <c r="H1308" s="10" t="s">
        <v>300</v>
      </c>
      <c r="I1308" s="10">
        <v>30</v>
      </c>
      <c r="J1308" s="10" t="s">
        <v>2170</v>
      </c>
      <c r="L1308" s="10">
        <v>0.1</v>
      </c>
      <c r="M1308" s="14">
        <v>25</v>
      </c>
      <c r="N1308" s="14">
        <v>25</v>
      </c>
      <c r="O1308" s="55" t="s">
        <v>330</v>
      </c>
      <c r="Q1308" s="10">
        <v>1500</v>
      </c>
      <c r="R1308" s="10">
        <v>60</v>
      </c>
      <c r="T1308" s="10">
        <v>1</v>
      </c>
      <c r="U1308" s="10">
        <v>120</v>
      </c>
      <c r="W1308" s="14">
        <v>1</v>
      </c>
      <c r="Y1308" s="79">
        <v>5.5</v>
      </c>
      <c r="Z1308" s="56" t="s">
        <v>32</v>
      </c>
    </row>
    <row r="1309" spans="1:27" ht="23.1" customHeight="1" x14ac:dyDescent="0.25">
      <c r="A1309" s="53" t="s">
        <v>796</v>
      </c>
      <c r="B1309" s="10" t="s">
        <v>110</v>
      </c>
      <c r="C1309" s="10">
        <v>117</v>
      </c>
      <c r="D1309" s="10" t="s">
        <v>1081</v>
      </c>
      <c r="E1309" s="41" t="s">
        <v>1082</v>
      </c>
      <c r="F1309" s="41" t="s">
        <v>1082</v>
      </c>
      <c r="G1309" s="21" t="str">
        <f>VLOOKUP(D1309,[6]成飞半成品!$A:$B,2,0)</f>
        <v xml:space="preserve"> 前梁</v>
      </c>
      <c r="H1309" s="10" t="s">
        <v>123</v>
      </c>
      <c r="I1309" s="10">
        <v>20</v>
      </c>
      <c r="J1309" s="10" t="s">
        <v>2171</v>
      </c>
      <c r="M1309" s="14">
        <v>25</v>
      </c>
      <c r="N1309" s="14">
        <v>25</v>
      </c>
      <c r="Q1309" s="10">
        <v>590</v>
      </c>
      <c r="R1309" s="10">
        <v>60</v>
      </c>
      <c r="U1309" s="10">
        <v>90</v>
      </c>
      <c r="W1309" s="14">
        <v>1</v>
      </c>
      <c r="X1309" s="14">
        <v>2</v>
      </c>
      <c r="Y1309" s="79">
        <v>3.5</v>
      </c>
      <c r="Z1309" s="56" t="s">
        <v>32</v>
      </c>
      <c r="AA1309" s="14" t="s">
        <v>929</v>
      </c>
    </row>
    <row r="1310" spans="1:27" ht="23.1" customHeight="1" x14ac:dyDescent="0.25">
      <c r="A1310" s="53" t="s">
        <v>870</v>
      </c>
      <c r="B1310" s="10" t="s">
        <v>110</v>
      </c>
      <c r="C1310" s="10">
        <v>99</v>
      </c>
      <c r="D1310" s="10" t="s">
        <v>1191</v>
      </c>
      <c r="E1310" s="41" t="s">
        <v>1192</v>
      </c>
      <c r="F1310" s="41" t="s">
        <v>1192</v>
      </c>
      <c r="G1310" s="21" t="str">
        <f>VLOOKUP(D1310,[6]成飞半成品!$A:$B,2,0)</f>
        <v>后顶板</v>
      </c>
      <c r="H1310" s="10" t="s">
        <v>300</v>
      </c>
      <c r="I1310" s="10">
        <v>5</v>
      </c>
      <c r="J1310" s="10" t="s">
        <v>1930</v>
      </c>
      <c r="K1310" s="10">
        <v>1</v>
      </c>
      <c r="L1310" s="10">
        <v>1</v>
      </c>
      <c r="M1310" s="14">
        <v>25</v>
      </c>
      <c r="N1310" s="14">
        <v>25</v>
      </c>
      <c r="O1310" s="55" t="s">
        <v>470</v>
      </c>
      <c r="Q1310" s="10">
        <v>150</v>
      </c>
      <c r="R1310" s="10">
        <v>60</v>
      </c>
      <c r="T1310" s="10">
        <v>1</v>
      </c>
      <c r="U1310" s="10">
        <v>60</v>
      </c>
      <c r="W1310" s="14">
        <v>1</v>
      </c>
      <c r="Y1310" s="79">
        <v>4.5</v>
      </c>
      <c r="Z1310" s="56" t="s">
        <v>21</v>
      </c>
    </row>
    <row r="1311" spans="1:27" ht="23.1" customHeight="1" x14ac:dyDescent="0.25">
      <c r="A1311" s="53" t="s">
        <v>870</v>
      </c>
      <c r="B1311" s="10" t="s">
        <v>110</v>
      </c>
      <c r="C1311" s="10">
        <v>99</v>
      </c>
      <c r="D1311" s="10" t="s">
        <v>1191</v>
      </c>
      <c r="E1311" s="41" t="s">
        <v>1192</v>
      </c>
      <c r="F1311" s="41" t="s">
        <v>1192</v>
      </c>
      <c r="G1311" s="21" t="str">
        <f>VLOOKUP(D1311,[6]成飞半成品!$A:$B,2,0)</f>
        <v>后顶板</v>
      </c>
      <c r="H1311" s="10" t="s">
        <v>300</v>
      </c>
      <c r="I1311" s="10">
        <v>10</v>
      </c>
      <c r="J1311" s="10" t="s">
        <v>2176</v>
      </c>
      <c r="K1311" s="10">
        <v>1</v>
      </c>
      <c r="L1311" s="10">
        <v>1</v>
      </c>
      <c r="M1311" s="14">
        <v>25</v>
      </c>
      <c r="N1311" s="14">
        <v>25</v>
      </c>
      <c r="O1311" s="55" t="s">
        <v>470</v>
      </c>
      <c r="Q1311" s="10">
        <v>200</v>
      </c>
      <c r="R1311" s="10">
        <v>60</v>
      </c>
      <c r="T1311" s="10">
        <v>1</v>
      </c>
      <c r="U1311" s="10">
        <v>90</v>
      </c>
      <c r="W1311" s="14">
        <v>1</v>
      </c>
      <c r="X1311" s="10">
        <v>3</v>
      </c>
      <c r="Y1311" s="79">
        <v>8.8000000000000007</v>
      </c>
      <c r="Z1311" s="56" t="s">
        <v>21</v>
      </c>
      <c r="AA1311" s="14" t="s">
        <v>1193</v>
      </c>
    </row>
    <row r="1312" spans="1:27" ht="23.1" customHeight="1" x14ac:dyDescent="0.25">
      <c r="A1312" s="53" t="s">
        <v>870</v>
      </c>
      <c r="B1312" s="10" t="s">
        <v>110</v>
      </c>
      <c r="C1312" s="10">
        <v>99</v>
      </c>
      <c r="D1312" s="10" t="s">
        <v>1191</v>
      </c>
      <c r="E1312" s="41" t="s">
        <v>1192</v>
      </c>
      <c r="F1312" s="41" t="s">
        <v>1192</v>
      </c>
      <c r="G1312" s="21" t="str">
        <f>VLOOKUP(D1312,[6]成飞半成品!$A:$B,2,0)</f>
        <v>后顶板</v>
      </c>
      <c r="H1312" s="10" t="s">
        <v>300</v>
      </c>
      <c r="I1312" s="10">
        <v>15</v>
      </c>
      <c r="J1312" s="10" t="s">
        <v>2177</v>
      </c>
      <c r="K1312" s="10">
        <v>0.5</v>
      </c>
      <c r="L1312" s="10">
        <v>0.4</v>
      </c>
      <c r="M1312" s="14">
        <v>25</v>
      </c>
      <c r="N1312" s="14">
        <v>25</v>
      </c>
      <c r="O1312" s="55" t="s">
        <v>470</v>
      </c>
      <c r="Q1312" s="10">
        <v>360</v>
      </c>
      <c r="R1312" s="10">
        <v>60</v>
      </c>
      <c r="T1312" s="10">
        <v>1</v>
      </c>
      <c r="U1312" s="10">
        <v>90</v>
      </c>
      <c r="W1312" s="14"/>
      <c r="X1312" s="14">
        <v>2</v>
      </c>
      <c r="Y1312" s="79">
        <v>5.4</v>
      </c>
      <c r="Z1312" s="56" t="s">
        <v>21</v>
      </c>
      <c r="AA1312" s="14" t="s">
        <v>929</v>
      </c>
    </row>
    <row r="1313" spans="1:27" ht="23.1" customHeight="1" x14ac:dyDescent="0.25">
      <c r="A1313" s="53" t="s">
        <v>870</v>
      </c>
      <c r="B1313" s="10" t="s">
        <v>110</v>
      </c>
      <c r="C1313" s="10">
        <v>103</v>
      </c>
      <c r="D1313" s="47" t="s">
        <v>1148</v>
      </c>
      <c r="E1313" s="41" t="s">
        <v>1149</v>
      </c>
      <c r="F1313" s="41" t="s">
        <v>1149</v>
      </c>
      <c r="G1313" s="21" t="str">
        <f>VLOOKUP(D1313,[6]成飞半成品!$A:$B,2,0)</f>
        <v>1号下壁板</v>
      </c>
      <c r="H1313" s="10" t="s">
        <v>300</v>
      </c>
      <c r="I1313" s="10">
        <v>10</v>
      </c>
      <c r="J1313" s="10" t="s">
        <v>2176</v>
      </c>
      <c r="K1313" s="10">
        <v>2</v>
      </c>
      <c r="L1313" s="10">
        <v>0.8</v>
      </c>
      <c r="M1313" s="14">
        <v>25</v>
      </c>
      <c r="N1313" s="14">
        <v>25</v>
      </c>
      <c r="O1313" s="55" t="s">
        <v>1161</v>
      </c>
      <c r="Q1313" s="10">
        <v>480</v>
      </c>
      <c r="R1313" s="10">
        <v>120</v>
      </c>
      <c r="T1313" s="10">
        <v>1</v>
      </c>
      <c r="U1313" s="10">
        <v>120</v>
      </c>
      <c r="W1313" s="14">
        <v>1</v>
      </c>
      <c r="X1313" s="10">
        <v>3</v>
      </c>
      <c r="Y1313" s="79">
        <v>13.4</v>
      </c>
      <c r="Z1313" s="56" t="s">
        <v>62</v>
      </c>
      <c r="AA1313" s="14" t="s">
        <v>1194</v>
      </c>
    </row>
    <row r="1314" spans="1:27" ht="23.1" customHeight="1" x14ac:dyDescent="0.25">
      <c r="A1314" s="53" t="s">
        <v>870</v>
      </c>
      <c r="B1314" s="10" t="s">
        <v>110</v>
      </c>
      <c r="C1314" s="10">
        <v>97</v>
      </c>
      <c r="D1314" s="10" t="s">
        <v>834</v>
      </c>
      <c r="E1314" s="41" t="s">
        <v>1065</v>
      </c>
      <c r="F1314" s="41" t="s">
        <v>1065</v>
      </c>
      <c r="G1314" s="21" t="str">
        <f>VLOOKUP(D1314,[6]成飞半成品!$A:$B,2,0)</f>
        <v>根肋三段</v>
      </c>
      <c r="H1314" s="10" t="s">
        <v>250</v>
      </c>
      <c r="I1314" s="10">
        <v>60</v>
      </c>
      <c r="J1314" s="10" t="s">
        <v>2156</v>
      </c>
      <c r="K1314" s="10">
        <v>1.3</v>
      </c>
      <c r="L1314" s="10">
        <v>1.1000000000000001</v>
      </c>
      <c r="M1314" s="14">
        <v>25</v>
      </c>
      <c r="N1314" s="14">
        <v>25</v>
      </c>
      <c r="O1314" s="55" t="s">
        <v>429</v>
      </c>
      <c r="Q1314" s="10">
        <v>570</v>
      </c>
      <c r="R1314" s="10">
        <v>60</v>
      </c>
      <c r="T1314" s="10">
        <v>1</v>
      </c>
      <c r="U1314" s="10">
        <v>60</v>
      </c>
      <c r="W1314" s="14"/>
      <c r="Y1314" s="79">
        <v>11.5</v>
      </c>
      <c r="Z1314" s="56" t="s">
        <v>1</v>
      </c>
    </row>
    <row r="1315" spans="1:27" ht="23.1" customHeight="1" x14ac:dyDescent="0.25">
      <c r="A1315" s="53" t="s">
        <v>870</v>
      </c>
      <c r="B1315" s="10" t="s">
        <v>110</v>
      </c>
      <c r="C1315" s="10">
        <v>82</v>
      </c>
      <c r="D1315" s="10" t="s">
        <v>1095</v>
      </c>
      <c r="E1315" s="41" t="s">
        <v>1096</v>
      </c>
      <c r="F1315" s="41" t="s">
        <v>1096</v>
      </c>
      <c r="G1315" s="21" t="str">
        <f>VLOOKUP(D1315,[6]成飞半成品!$A:$B,2,0)</f>
        <v>1150肋根肋</v>
      </c>
      <c r="H1315" s="10" t="s">
        <v>658</v>
      </c>
      <c r="I1315" s="10">
        <v>55</v>
      </c>
      <c r="J1315" s="10" t="s">
        <v>2168</v>
      </c>
      <c r="K1315" s="10">
        <v>5</v>
      </c>
      <c r="L1315" s="10">
        <v>4</v>
      </c>
      <c r="M1315" s="14">
        <v>25</v>
      </c>
      <c r="N1315" s="14">
        <v>25</v>
      </c>
      <c r="O1315" s="55" t="s">
        <v>282</v>
      </c>
      <c r="Q1315" s="10">
        <v>90</v>
      </c>
      <c r="R1315" s="10">
        <v>60</v>
      </c>
      <c r="T1315" s="10">
        <v>4</v>
      </c>
      <c r="U1315" s="10">
        <v>60</v>
      </c>
      <c r="W1315" s="14"/>
      <c r="Y1315" s="79">
        <v>10</v>
      </c>
      <c r="Z1315" s="56" t="s">
        <v>56</v>
      </c>
    </row>
    <row r="1316" spans="1:27" ht="23.1" customHeight="1" x14ac:dyDescent="0.25">
      <c r="A1316" s="53" t="s">
        <v>870</v>
      </c>
      <c r="B1316" s="10" t="s">
        <v>110</v>
      </c>
      <c r="C1316" s="10">
        <v>82</v>
      </c>
      <c r="D1316" s="10" t="s">
        <v>1095</v>
      </c>
      <c r="E1316" s="41" t="s">
        <v>1096</v>
      </c>
      <c r="F1316" s="41" t="s">
        <v>1096</v>
      </c>
      <c r="G1316" s="21" t="str">
        <f>VLOOKUP(D1316,[6]成飞半成品!$A:$B,2,0)</f>
        <v>1150肋根肋</v>
      </c>
      <c r="H1316" s="10" t="s">
        <v>658</v>
      </c>
      <c r="I1316" s="10">
        <v>60</v>
      </c>
      <c r="J1316" s="10" t="s">
        <v>2178</v>
      </c>
      <c r="K1316" s="10">
        <v>4</v>
      </c>
      <c r="L1316" s="10">
        <v>6</v>
      </c>
      <c r="M1316" s="14">
        <v>25</v>
      </c>
      <c r="N1316" s="14">
        <v>25</v>
      </c>
      <c r="O1316" s="55" t="s">
        <v>282</v>
      </c>
      <c r="Q1316" s="10">
        <v>70</v>
      </c>
      <c r="R1316" s="10">
        <v>60</v>
      </c>
      <c r="T1316" s="10">
        <v>6</v>
      </c>
      <c r="U1316" s="10">
        <v>60</v>
      </c>
      <c r="W1316" s="14">
        <v>1</v>
      </c>
      <c r="Y1316" s="79">
        <v>14</v>
      </c>
      <c r="Z1316" s="56" t="s">
        <v>56</v>
      </c>
    </row>
    <row r="1317" spans="1:27" ht="23.1" customHeight="1" x14ac:dyDescent="0.25">
      <c r="A1317" s="53" t="s">
        <v>870</v>
      </c>
      <c r="B1317" s="10" t="s">
        <v>110</v>
      </c>
      <c r="C1317" s="10">
        <v>105</v>
      </c>
      <c r="D1317" s="10" t="s">
        <v>1176</v>
      </c>
      <c r="E1317" s="41" t="s">
        <v>1098</v>
      </c>
      <c r="F1317" s="41" t="s">
        <v>1098</v>
      </c>
      <c r="G1317" s="21" t="str">
        <f>VLOOKUP(D1317,[6]成飞半成品!$A:$B,2,0)</f>
        <v>根肋一段</v>
      </c>
      <c r="H1317" s="10" t="s">
        <v>250</v>
      </c>
      <c r="I1317" s="10">
        <v>40</v>
      </c>
      <c r="J1317" s="10" t="s">
        <v>2172</v>
      </c>
      <c r="K1317" s="10">
        <v>1.3</v>
      </c>
      <c r="L1317" s="10">
        <v>1.2</v>
      </c>
      <c r="M1317" s="14">
        <v>25</v>
      </c>
      <c r="N1317" s="14">
        <v>25</v>
      </c>
      <c r="O1317" s="55" t="s">
        <v>429</v>
      </c>
      <c r="Q1317" s="10">
        <v>450</v>
      </c>
      <c r="R1317" s="10">
        <v>60</v>
      </c>
      <c r="T1317" s="10">
        <v>2</v>
      </c>
      <c r="U1317" s="10">
        <v>120</v>
      </c>
      <c r="W1317" s="14"/>
      <c r="Y1317" s="79">
        <v>11</v>
      </c>
      <c r="Z1317" s="56" t="s">
        <v>28</v>
      </c>
    </row>
    <row r="1318" spans="1:27" ht="23.1" customHeight="1" x14ac:dyDescent="0.25">
      <c r="A1318" s="53" t="s">
        <v>870</v>
      </c>
      <c r="B1318" s="10" t="s">
        <v>110</v>
      </c>
      <c r="C1318" s="10">
        <v>19</v>
      </c>
      <c r="D1318" s="10" t="s">
        <v>169</v>
      </c>
      <c r="E1318" s="41" t="s">
        <v>170</v>
      </c>
      <c r="F1318" s="41" t="e">
        <v>#N/A</v>
      </c>
      <c r="G1318" s="21" t="e">
        <f>VLOOKUP(D1318,[6]成飞半成品!$A:$B,2,0)</f>
        <v>#N/A</v>
      </c>
      <c r="H1318" s="10" t="s">
        <v>118</v>
      </c>
      <c r="I1318" s="10">
        <v>30</v>
      </c>
      <c r="J1318" s="10" t="s">
        <v>2167</v>
      </c>
      <c r="K1318" s="10">
        <v>1.5</v>
      </c>
      <c r="L1318" s="10">
        <v>1.7</v>
      </c>
      <c r="M1318" s="14">
        <v>25</v>
      </c>
      <c r="N1318" s="14">
        <v>25</v>
      </c>
      <c r="O1318" s="55" t="s">
        <v>1195</v>
      </c>
      <c r="Q1318" s="10">
        <v>420</v>
      </c>
      <c r="R1318" s="10">
        <v>60</v>
      </c>
      <c r="T1318" s="10">
        <v>2</v>
      </c>
      <c r="U1318" s="10">
        <v>60</v>
      </c>
      <c r="W1318" s="14"/>
      <c r="Y1318" s="79">
        <v>13.9</v>
      </c>
      <c r="Z1318" s="56" t="s">
        <v>11</v>
      </c>
    </row>
    <row r="1319" spans="1:27" ht="23.1" customHeight="1" x14ac:dyDescent="0.25">
      <c r="A1319" s="53" t="s">
        <v>870</v>
      </c>
      <c r="B1319" s="10" t="s">
        <v>110</v>
      </c>
      <c r="C1319" s="10">
        <v>117</v>
      </c>
      <c r="D1319" s="10" t="s">
        <v>1081</v>
      </c>
      <c r="E1319" s="41" t="s">
        <v>1082</v>
      </c>
      <c r="F1319" s="41" t="s">
        <v>1082</v>
      </c>
      <c r="G1319" s="21" t="str">
        <f>VLOOKUP(D1319,[6]成飞半成品!$A:$B,2,0)</f>
        <v xml:space="preserve"> 前梁</v>
      </c>
      <c r="H1319" s="10" t="s">
        <v>123</v>
      </c>
      <c r="I1319" s="10">
        <v>20</v>
      </c>
      <c r="J1319" s="10" t="s">
        <v>2171</v>
      </c>
      <c r="L1319" s="10">
        <v>0.6</v>
      </c>
      <c r="M1319" s="14">
        <v>25</v>
      </c>
      <c r="N1319" s="14">
        <v>25</v>
      </c>
      <c r="O1319" s="55" t="s">
        <v>1196</v>
      </c>
      <c r="Q1319" s="10">
        <v>590</v>
      </c>
      <c r="R1319" s="10">
        <v>60</v>
      </c>
      <c r="T1319" s="10">
        <v>1</v>
      </c>
      <c r="U1319" s="10">
        <v>90</v>
      </c>
      <c r="W1319" s="14"/>
      <c r="Y1319" s="79">
        <v>6.9</v>
      </c>
      <c r="Z1319" s="56" t="s">
        <v>32</v>
      </c>
    </row>
    <row r="1320" spans="1:27" ht="23.1" customHeight="1" x14ac:dyDescent="0.25">
      <c r="A1320" s="53" t="s">
        <v>870</v>
      </c>
      <c r="B1320" s="10" t="s">
        <v>110</v>
      </c>
      <c r="C1320" s="10">
        <v>118</v>
      </c>
      <c r="D1320" s="10" t="s">
        <v>1171</v>
      </c>
      <c r="E1320" s="41" t="s">
        <v>1172</v>
      </c>
      <c r="F1320" s="41" t="s">
        <v>1172</v>
      </c>
      <c r="G1320" s="21" t="str">
        <f>VLOOKUP(D1320,[6]成飞半成品!$A:$B,2,0)</f>
        <v>后梁</v>
      </c>
      <c r="H1320" s="10" t="s">
        <v>300</v>
      </c>
      <c r="I1320" s="10">
        <v>30</v>
      </c>
      <c r="J1320" s="10" t="s">
        <v>2170</v>
      </c>
      <c r="L1320" s="10">
        <v>0.6</v>
      </c>
      <c r="M1320" s="14">
        <v>25</v>
      </c>
      <c r="N1320" s="14">
        <v>25</v>
      </c>
      <c r="O1320" s="55" t="s">
        <v>251</v>
      </c>
      <c r="Q1320" s="10">
        <v>1500</v>
      </c>
      <c r="R1320" s="10">
        <v>60</v>
      </c>
      <c r="U1320" s="10">
        <v>120</v>
      </c>
      <c r="W1320" s="14"/>
      <c r="Y1320" s="79">
        <v>15</v>
      </c>
      <c r="Z1320" s="56" t="s">
        <v>32</v>
      </c>
    </row>
    <row r="1321" spans="1:27" ht="23.1" customHeight="1" x14ac:dyDescent="0.25">
      <c r="A1321" s="53" t="s">
        <v>870</v>
      </c>
      <c r="B1321" s="10" t="s">
        <v>113</v>
      </c>
      <c r="C1321" s="10">
        <v>102</v>
      </c>
      <c r="D1321" s="10" t="s">
        <v>1097</v>
      </c>
      <c r="E1321" s="41" t="s">
        <v>1098</v>
      </c>
      <c r="F1321" s="41" t="s">
        <v>1098</v>
      </c>
      <c r="G1321" s="21" t="str">
        <f>VLOOKUP(D1321,[6]成飞半成品!$A:$B,2,0)</f>
        <v>根肋一段</v>
      </c>
      <c r="H1321" s="10" t="s">
        <v>250</v>
      </c>
      <c r="I1321" s="10">
        <v>40</v>
      </c>
      <c r="J1321" s="10" t="s">
        <v>2172</v>
      </c>
      <c r="K1321" s="10">
        <v>1.3</v>
      </c>
      <c r="L1321" s="10">
        <v>1.5</v>
      </c>
      <c r="M1321" s="14">
        <v>32</v>
      </c>
      <c r="N1321" s="14">
        <v>32</v>
      </c>
      <c r="O1321" s="55" t="s">
        <v>292</v>
      </c>
      <c r="Q1321" s="10">
        <v>450</v>
      </c>
      <c r="R1321" s="10">
        <v>60</v>
      </c>
      <c r="T1321" s="10">
        <v>1</v>
      </c>
      <c r="U1321" s="10">
        <v>120</v>
      </c>
      <c r="W1321" s="14"/>
      <c r="Y1321" s="79">
        <v>12.3</v>
      </c>
      <c r="Z1321" s="56" t="s">
        <v>73</v>
      </c>
    </row>
    <row r="1322" spans="1:27" ht="23.1" customHeight="1" x14ac:dyDescent="0.25">
      <c r="A1322" s="53" t="s">
        <v>870</v>
      </c>
      <c r="B1322" s="10" t="s">
        <v>113</v>
      </c>
      <c r="C1322" s="10">
        <v>100</v>
      </c>
      <c r="D1322" s="65" t="s">
        <v>2551</v>
      </c>
      <c r="E1322" s="41" t="s">
        <v>938</v>
      </c>
      <c r="F1322" s="41" t="s">
        <v>938</v>
      </c>
      <c r="G1322" s="21" t="str">
        <f>VLOOKUP(D1322,[6]成飞半成品!$A:$B,2,0)</f>
        <v>工装</v>
      </c>
      <c r="H1322" s="10" t="s">
        <v>939</v>
      </c>
      <c r="I1322" s="10">
        <v>40</v>
      </c>
      <c r="J1322" s="10" t="s">
        <v>2173</v>
      </c>
      <c r="K1322" s="10">
        <v>1</v>
      </c>
      <c r="L1322" s="10">
        <v>1.3</v>
      </c>
      <c r="M1322" s="14">
        <v>32</v>
      </c>
      <c r="N1322" s="14">
        <v>32</v>
      </c>
      <c r="O1322" s="55" t="s">
        <v>425</v>
      </c>
      <c r="Q1322" s="10">
        <v>840</v>
      </c>
      <c r="R1322" s="10">
        <v>60</v>
      </c>
      <c r="T1322" s="10">
        <v>1</v>
      </c>
      <c r="U1322" s="10">
        <v>120</v>
      </c>
      <c r="W1322" s="14"/>
      <c r="Y1322" s="79">
        <v>19.2</v>
      </c>
      <c r="Z1322" s="56" t="s">
        <v>73</v>
      </c>
    </row>
    <row r="1323" spans="1:27" ht="23.1" customHeight="1" x14ac:dyDescent="0.25">
      <c r="A1323" s="53" t="s">
        <v>870</v>
      </c>
      <c r="B1323" s="10" t="s">
        <v>113</v>
      </c>
      <c r="C1323" s="10">
        <v>98</v>
      </c>
      <c r="D1323" s="10" t="s">
        <v>481</v>
      </c>
      <c r="E1323" s="41" t="s">
        <v>482</v>
      </c>
      <c r="F1323" s="41" t="s">
        <v>482</v>
      </c>
      <c r="G1323" s="21" t="str">
        <f>VLOOKUP(D1323,[6]成飞半成品!$A:$B,2,0)</f>
        <v>11140框左下半框</v>
      </c>
      <c r="H1323" s="10" t="s">
        <v>118</v>
      </c>
      <c r="I1323" s="10">
        <v>35</v>
      </c>
      <c r="J1323" s="10" t="s">
        <v>2174</v>
      </c>
      <c r="K1323" s="10">
        <v>0.8</v>
      </c>
      <c r="L1323" s="10">
        <v>1.3</v>
      </c>
      <c r="M1323" s="14">
        <v>32</v>
      </c>
      <c r="N1323" s="14">
        <v>32</v>
      </c>
      <c r="O1323" s="55" t="s">
        <v>199</v>
      </c>
      <c r="Q1323" s="10">
        <v>800</v>
      </c>
      <c r="R1323" s="10">
        <v>60</v>
      </c>
      <c r="T1323" s="10">
        <v>1</v>
      </c>
      <c r="U1323" s="10">
        <v>120</v>
      </c>
      <c r="W1323" s="14"/>
      <c r="Y1323" s="79">
        <v>18.3</v>
      </c>
      <c r="Z1323" s="56" t="s">
        <v>73</v>
      </c>
    </row>
    <row r="1324" spans="1:27" ht="23.1" customHeight="1" x14ac:dyDescent="0.25">
      <c r="A1324" s="53" t="s">
        <v>870</v>
      </c>
      <c r="B1324" s="10" t="s">
        <v>113</v>
      </c>
      <c r="C1324" s="10">
        <v>106</v>
      </c>
      <c r="D1324" s="10" t="s">
        <v>1070</v>
      </c>
      <c r="E1324" s="41" t="s">
        <v>101</v>
      </c>
      <c r="F1324" s="41" t="s">
        <v>101</v>
      </c>
      <c r="G1324" s="21" t="str">
        <f>VLOOKUP(D1324,[6]成飞半成品!$A:$B,2,0)</f>
        <v>前梁一段</v>
      </c>
      <c r="H1324" s="10" t="s">
        <v>300</v>
      </c>
      <c r="I1324" s="10">
        <v>30</v>
      </c>
      <c r="J1324" s="10" t="s">
        <v>2127</v>
      </c>
      <c r="K1324" s="10">
        <v>0.5</v>
      </c>
      <c r="L1324" s="10">
        <v>0.5</v>
      </c>
      <c r="M1324" s="14">
        <v>32</v>
      </c>
      <c r="N1324" s="14">
        <v>32</v>
      </c>
      <c r="O1324" s="55" t="s">
        <v>247</v>
      </c>
      <c r="Q1324" s="10">
        <v>1500</v>
      </c>
      <c r="R1324" s="10">
        <v>180</v>
      </c>
      <c r="T1324" s="10">
        <v>1</v>
      </c>
      <c r="U1324" s="10">
        <v>180</v>
      </c>
      <c r="W1324" s="14">
        <v>1</v>
      </c>
      <c r="Y1324" s="79">
        <v>18.5</v>
      </c>
      <c r="Z1324" s="56" t="s">
        <v>73</v>
      </c>
    </row>
    <row r="1325" spans="1:27" ht="23.1" customHeight="1" x14ac:dyDescent="0.25">
      <c r="A1325" s="53" t="s">
        <v>870</v>
      </c>
      <c r="B1325" s="10" t="s">
        <v>113</v>
      </c>
      <c r="C1325" s="10">
        <v>83</v>
      </c>
      <c r="D1325" s="10" t="s">
        <v>1197</v>
      </c>
      <c r="E1325" s="41" t="s">
        <v>1198</v>
      </c>
      <c r="F1325" s="41" t="s">
        <v>1198</v>
      </c>
      <c r="G1325" s="21" t="str">
        <f>VLOOKUP(D1325,[6]成飞半成品!$A:$B,2,0)</f>
        <v>1150肋根肋</v>
      </c>
      <c r="H1325" s="10" t="s">
        <v>658</v>
      </c>
      <c r="I1325" s="10">
        <v>5</v>
      </c>
      <c r="J1325" s="10" t="s">
        <v>2179</v>
      </c>
      <c r="K1325" s="10">
        <v>8</v>
      </c>
      <c r="L1325" s="10">
        <v>8</v>
      </c>
      <c r="M1325" s="14">
        <v>32</v>
      </c>
      <c r="N1325" s="14">
        <v>32</v>
      </c>
      <c r="O1325" s="55" t="s">
        <v>282</v>
      </c>
      <c r="Q1325" s="10">
        <v>90</v>
      </c>
      <c r="R1325" s="10">
        <v>60</v>
      </c>
      <c r="T1325" s="10">
        <v>8</v>
      </c>
      <c r="U1325" s="10">
        <v>60</v>
      </c>
      <c r="W1325" s="14">
        <v>1</v>
      </c>
      <c r="Y1325" s="79">
        <v>21</v>
      </c>
      <c r="Z1325" s="56" t="s">
        <v>73</v>
      </c>
    </row>
    <row r="1326" spans="1:27" ht="23.1" customHeight="1" x14ac:dyDescent="0.25">
      <c r="A1326" s="53" t="s">
        <v>870</v>
      </c>
      <c r="B1326" s="10" t="s">
        <v>113</v>
      </c>
      <c r="C1326" s="10">
        <v>83</v>
      </c>
      <c r="D1326" s="10" t="s">
        <v>1197</v>
      </c>
      <c r="E1326" s="41" t="s">
        <v>1198</v>
      </c>
      <c r="F1326" s="41" t="s">
        <v>1198</v>
      </c>
      <c r="G1326" s="21" t="str">
        <f>VLOOKUP(D1326,[6]成飞半成品!$A:$B,2,0)</f>
        <v>1150肋根肋</v>
      </c>
      <c r="H1326" s="10" t="s">
        <v>658</v>
      </c>
      <c r="I1326" s="10">
        <v>5</v>
      </c>
      <c r="J1326" s="10" t="s">
        <v>2179</v>
      </c>
      <c r="L1326" s="10">
        <v>4</v>
      </c>
      <c r="M1326" s="14">
        <v>32</v>
      </c>
      <c r="N1326" s="14">
        <v>32</v>
      </c>
      <c r="O1326" s="55" t="s">
        <v>412</v>
      </c>
      <c r="Q1326" s="10">
        <v>90</v>
      </c>
      <c r="R1326" s="10">
        <v>60</v>
      </c>
      <c r="T1326" s="10">
        <v>4</v>
      </c>
      <c r="U1326" s="10">
        <v>60</v>
      </c>
      <c r="W1326" s="14">
        <v>1</v>
      </c>
      <c r="Y1326" s="79">
        <v>11</v>
      </c>
      <c r="Z1326" s="56" t="s">
        <v>73</v>
      </c>
    </row>
    <row r="1327" spans="1:27" ht="23.1" customHeight="1" x14ac:dyDescent="0.25">
      <c r="A1327" s="53" t="s">
        <v>870</v>
      </c>
      <c r="B1327" s="10" t="s">
        <v>113</v>
      </c>
      <c r="C1327" s="10">
        <v>82</v>
      </c>
      <c r="D1327" s="10" t="s">
        <v>1095</v>
      </c>
      <c r="E1327" s="41" t="s">
        <v>1096</v>
      </c>
      <c r="F1327" s="41" t="s">
        <v>1096</v>
      </c>
      <c r="G1327" s="21" t="str">
        <f>VLOOKUP(D1327,[6]成飞半成品!$A:$B,2,0)</f>
        <v>1150肋根肋</v>
      </c>
      <c r="H1327" s="10" t="s">
        <v>658</v>
      </c>
      <c r="I1327" s="10">
        <v>60</v>
      </c>
      <c r="J1327" s="10" t="s">
        <v>2178</v>
      </c>
      <c r="K1327" s="10">
        <v>7</v>
      </c>
      <c r="L1327" s="10">
        <v>5</v>
      </c>
      <c r="M1327" s="14">
        <v>32</v>
      </c>
      <c r="N1327" s="14">
        <v>32</v>
      </c>
      <c r="O1327" s="55" t="s">
        <v>282</v>
      </c>
      <c r="Q1327" s="10">
        <v>70</v>
      </c>
      <c r="R1327" s="10">
        <v>60</v>
      </c>
      <c r="T1327" s="10">
        <v>5</v>
      </c>
      <c r="U1327" s="10">
        <v>60</v>
      </c>
      <c r="W1327" s="14"/>
      <c r="Y1327" s="79">
        <v>10.8</v>
      </c>
      <c r="Z1327" s="56" t="s">
        <v>73</v>
      </c>
    </row>
    <row r="1328" spans="1:27" ht="23.1" customHeight="1" x14ac:dyDescent="0.25">
      <c r="A1328" s="53" t="s">
        <v>870</v>
      </c>
      <c r="B1328" s="10" t="s">
        <v>113</v>
      </c>
      <c r="C1328" s="10">
        <v>118</v>
      </c>
      <c r="D1328" s="10" t="s">
        <v>1171</v>
      </c>
      <c r="E1328" s="41" t="s">
        <v>1172</v>
      </c>
      <c r="F1328" s="41" t="s">
        <v>1172</v>
      </c>
      <c r="G1328" s="21" t="str">
        <f>VLOOKUP(D1328,[6]成飞半成品!$A:$B,2,0)</f>
        <v>后梁</v>
      </c>
      <c r="H1328" s="10" t="s">
        <v>300</v>
      </c>
      <c r="I1328" s="10">
        <v>33</v>
      </c>
      <c r="L1328" s="10">
        <v>1</v>
      </c>
      <c r="M1328" s="14">
        <v>32</v>
      </c>
      <c r="N1328" s="14">
        <v>32</v>
      </c>
      <c r="O1328" s="55" t="s">
        <v>330</v>
      </c>
      <c r="P1328" s="10">
        <v>120</v>
      </c>
      <c r="S1328" s="10">
        <v>60</v>
      </c>
      <c r="T1328" s="10">
        <v>1</v>
      </c>
      <c r="V1328" s="10">
        <v>120</v>
      </c>
      <c r="W1328" s="14">
        <v>1</v>
      </c>
      <c r="Y1328" s="83">
        <v>5</v>
      </c>
      <c r="Z1328" s="56" t="s">
        <v>73</v>
      </c>
    </row>
    <row r="1329" spans="1:27" ht="23.1" customHeight="1" x14ac:dyDescent="0.25">
      <c r="A1329" s="53" t="s">
        <v>870</v>
      </c>
      <c r="B1329" s="10" t="s">
        <v>113</v>
      </c>
      <c r="C1329" s="10">
        <v>117</v>
      </c>
      <c r="D1329" s="10" t="s">
        <v>1081</v>
      </c>
      <c r="E1329" s="41" t="s">
        <v>1082</v>
      </c>
      <c r="F1329" s="41" t="s">
        <v>1082</v>
      </c>
      <c r="G1329" s="21" t="str">
        <f>VLOOKUP(D1329,[6]成飞半成品!$A:$B,2,0)</f>
        <v xml:space="preserve"> 前梁</v>
      </c>
      <c r="H1329" s="10" t="s">
        <v>123</v>
      </c>
      <c r="I1329" s="10">
        <v>20</v>
      </c>
      <c r="J1329" s="10" t="s">
        <v>2171</v>
      </c>
      <c r="L1329" s="10">
        <v>0.7</v>
      </c>
      <c r="M1329" s="14">
        <v>32</v>
      </c>
      <c r="N1329" s="14">
        <v>32</v>
      </c>
      <c r="O1329" s="55" t="s">
        <v>780</v>
      </c>
      <c r="Q1329" s="10">
        <v>590</v>
      </c>
      <c r="R1329" s="10">
        <v>60</v>
      </c>
      <c r="U1329" s="10">
        <v>90</v>
      </c>
      <c r="W1329" s="14"/>
      <c r="Y1329" s="79">
        <v>6.9</v>
      </c>
      <c r="Z1329" s="56" t="s">
        <v>73</v>
      </c>
    </row>
    <row r="1330" spans="1:27" ht="23.1" customHeight="1" x14ac:dyDescent="0.25">
      <c r="A1330" s="53" t="s">
        <v>870</v>
      </c>
      <c r="B1330" s="10" t="s">
        <v>113</v>
      </c>
      <c r="C1330" s="10">
        <v>19</v>
      </c>
      <c r="D1330" s="10" t="s">
        <v>169</v>
      </c>
      <c r="E1330" s="41" t="s">
        <v>170</v>
      </c>
      <c r="F1330" s="41" t="e">
        <v>#N/A</v>
      </c>
      <c r="G1330" s="21" t="e">
        <f>VLOOKUP(D1330,[6]成飞半成品!$A:$B,2,0)</f>
        <v>#N/A</v>
      </c>
      <c r="H1330" s="10" t="s">
        <v>118</v>
      </c>
      <c r="I1330" s="10">
        <v>30</v>
      </c>
      <c r="J1330" s="10" t="s">
        <v>2167</v>
      </c>
      <c r="K1330" s="10">
        <v>0.2</v>
      </c>
      <c r="L1330" s="10">
        <v>0.7</v>
      </c>
      <c r="M1330" s="14">
        <v>32</v>
      </c>
      <c r="N1330" s="14">
        <v>32</v>
      </c>
      <c r="O1330" s="55" t="s">
        <v>1199</v>
      </c>
      <c r="Q1330" s="10">
        <v>420</v>
      </c>
      <c r="R1330" s="10">
        <v>60</v>
      </c>
      <c r="U1330" s="10">
        <v>60</v>
      </c>
      <c r="W1330" s="14"/>
      <c r="X1330" s="14">
        <v>3</v>
      </c>
      <c r="Y1330" s="79">
        <v>7.9</v>
      </c>
      <c r="Z1330" s="56" t="s">
        <v>17</v>
      </c>
      <c r="AA1330" s="14" t="s">
        <v>1200</v>
      </c>
    </row>
    <row r="1331" spans="1:27" ht="23.1" customHeight="1" x14ac:dyDescent="0.25">
      <c r="A1331" s="53" t="s">
        <v>870</v>
      </c>
      <c r="B1331" s="10" t="s">
        <v>113</v>
      </c>
      <c r="C1331" s="10">
        <v>19</v>
      </c>
      <c r="D1331" s="10" t="s">
        <v>169</v>
      </c>
      <c r="E1331" s="41" t="s">
        <v>170</v>
      </c>
      <c r="F1331" s="41" t="e">
        <v>#N/A</v>
      </c>
      <c r="G1331" s="21" t="e">
        <f>VLOOKUP(D1331,[6]成飞半成品!$A:$B,2,0)</f>
        <v>#N/A</v>
      </c>
      <c r="H1331" s="25" t="s">
        <v>118</v>
      </c>
      <c r="I1331" s="10">
        <v>6</v>
      </c>
      <c r="K1331" s="10">
        <v>2</v>
      </c>
      <c r="L1331" s="10">
        <v>1</v>
      </c>
      <c r="M1331" s="14">
        <v>32</v>
      </c>
      <c r="N1331" s="14">
        <v>32</v>
      </c>
      <c r="O1331" s="55" t="s">
        <v>199</v>
      </c>
      <c r="P1331" s="10">
        <v>90</v>
      </c>
      <c r="S1331" s="10">
        <v>60</v>
      </c>
      <c r="W1331" s="14"/>
      <c r="Y1331" s="83">
        <v>1.5</v>
      </c>
      <c r="Z1331" s="56" t="s">
        <v>17</v>
      </c>
    </row>
    <row r="1332" spans="1:27" ht="23.1" customHeight="1" x14ac:dyDescent="0.25">
      <c r="A1332" s="53" t="s">
        <v>870</v>
      </c>
      <c r="B1332" s="10" t="s">
        <v>113</v>
      </c>
      <c r="C1332" s="10">
        <v>19</v>
      </c>
      <c r="D1332" s="10" t="s">
        <v>169</v>
      </c>
      <c r="E1332" s="41" t="s">
        <v>170</v>
      </c>
      <c r="F1332" s="41" t="e">
        <v>#N/A</v>
      </c>
      <c r="G1332" s="21" t="e">
        <f>VLOOKUP(D1332,[6]成飞半成品!$A:$B,2,0)</f>
        <v>#N/A</v>
      </c>
      <c r="H1332" s="25" t="s">
        <v>118</v>
      </c>
      <c r="I1332" s="10">
        <v>8</v>
      </c>
      <c r="K1332" s="10">
        <v>2</v>
      </c>
      <c r="L1332" s="10">
        <v>1</v>
      </c>
      <c r="M1332" s="14">
        <v>32</v>
      </c>
      <c r="N1332" s="14">
        <v>32</v>
      </c>
      <c r="O1332" s="55" t="s">
        <v>199</v>
      </c>
      <c r="P1332" s="10">
        <v>90</v>
      </c>
      <c r="S1332" s="10">
        <v>60</v>
      </c>
      <c r="W1332" s="14"/>
      <c r="Y1332" s="83">
        <v>1.5</v>
      </c>
      <c r="Z1332" s="56" t="s">
        <v>17</v>
      </c>
    </row>
    <row r="1333" spans="1:27" ht="23.1" customHeight="1" x14ac:dyDescent="0.25">
      <c r="A1333" s="53" t="s">
        <v>870</v>
      </c>
      <c r="B1333" s="10" t="s">
        <v>113</v>
      </c>
      <c r="C1333" s="10">
        <v>19</v>
      </c>
      <c r="D1333" s="10" t="s">
        <v>169</v>
      </c>
      <c r="E1333" s="41" t="s">
        <v>170</v>
      </c>
      <c r="F1333" s="41" t="e">
        <v>#N/A</v>
      </c>
      <c r="G1333" s="21" t="e">
        <f>VLOOKUP(D1333,[6]成飞半成品!$A:$B,2,0)</f>
        <v>#N/A</v>
      </c>
      <c r="H1333" s="25" t="s">
        <v>118</v>
      </c>
      <c r="I1333" s="10">
        <v>10</v>
      </c>
      <c r="J1333" s="10" t="s">
        <v>2136</v>
      </c>
      <c r="K1333" s="10">
        <v>2</v>
      </c>
      <c r="L1333" s="10">
        <v>1</v>
      </c>
      <c r="M1333" s="14">
        <v>32</v>
      </c>
      <c r="N1333" s="14">
        <v>32</v>
      </c>
      <c r="O1333" s="55" t="s">
        <v>199</v>
      </c>
      <c r="Q1333" s="10">
        <v>150</v>
      </c>
      <c r="R1333" s="10">
        <v>90</v>
      </c>
      <c r="U1333" s="10">
        <v>60</v>
      </c>
      <c r="W1333" s="14"/>
      <c r="Y1333" s="79">
        <v>2.5</v>
      </c>
      <c r="Z1333" s="56" t="s">
        <v>17</v>
      </c>
    </row>
    <row r="1334" spans="1:27" ht="23.1" customHeight="1" x14ac:dyDescent="0.25">
      <c r="A1334" s="53" t="s">
        <v>870</v>
      </c>
      <c r="B1334" s="10" t="s">
        <v>113</v>
      </c>
      <c r="C1334" s="10">
        <v>19</v>
      </c>
      <c r="D1334" s="10" t="s">
        <v>169</v>
      </c>
      <c r="E1334" s="41" t="s">
        <v>170</v>
      </c>
      <c r="F1334" s="41" t="e">
        <v>#N/A</v>
      </c>
      <c r="G1334" s="21" t="e">
        <f>VLOOKUP(D1334,[6]成飞半成品!$A:$B,2,0)</f>
        <v>#N/A</v>
      </c>
      <c r="H1334" s="25" t="s">
        <v>118</v>
      </c>
      <c r="I1334" s="10">
        <v>15</v>
      </c>
      <c r="J1334" s="10" t="s">
        <v>2180</v>
      </c>
      <c r="K1334" s="10">
        <v>2</v>
      </c>
      <c r="L1334" s="10">
        <v>1</v>
      </c>
      <c r="M1334" s="14">
        <v>32</v>
      </c>
      <c r="N1334" s="14">
        <v>32</v>
      </c>
      <c r="O1334" s="55" t="s">
        <v>199</v>
      </c>
      <c r="Q1334" s="10">
        <v>210</v>
      </c>
      <c r="R1334" s="10">
        <v>90</v>
      </c>
      <c r="U1334" s="10">
        <v>60</v>
      </c>
      <c r="W1334" s="14"/>
      <c r="Y1334" s="79">
        <v>3.5</v>
      </c>
      <c r="Z1334" s="56" t="s">
        <v>17</v>
      </c>
    </row>
    <row r="1335" spans="1:27" ht="23.1" customHeight="1" x14ac:dyDescent="0.25">
      <c r="A1335" s="53" t="s">
        <v>870</v>
      </c>
      <c r="B1335" s="10" t="s">
        <v>113</v>
      </c>
      <c r="C1335" s="10">
        <v>44</v>
      </c>
      <c r="D1335" s="10" t="s">
        <v>266</v>
      </c>
      <c r="E1335" s="41" t="s">
        <v>267</v>
      </c>
      <c r="F1335" s="41" t="s">
        <v>267</v>
      </c>
      <c r="G1335" s="21" t="str">
        <f>VLOOKUP(D1335,[6]成飞半成品!$A:$B,2,0)</f>
        <v>后端框</v>
      </c>
      <c r="H1335" s="10" t="s">
        <v>118</v>
      </c>
      <c r="I1335" s="10">
        <v>55</v>
      </c>
      <c r="J1335" s="10" t="s">
        <v>2166</v>
      </c>
      <c r="K1335" s="10">
        <v>0.6</v>
      </c>
      <c r="L1335" s="10">
        <v>0.3</v>
      </c>
      <c r="M1335" s="14">
        <v>32</v>
      </c>
      <c r="N1335" s="14">
        <v>32</v>
      </c>
      <c r="O1335" s="55" t="s">
        <v>429</v>
      </c>
      <c r="Q1335" s="10">
        <v>1260</v>
      </c>
      <c r="R1335" s="10">
        <v>90</v>
      </c>
      <c r="U1335" s="10">
        <v>60</v>
      </c>
      <c r="W1335" s="14"/>
      <c r="Y1335" s="79">
        <v>6.3</v>
      </c>
      <c r="Z1335" s="56" t="s">
        <v>64</v>
      </c>
    </row>
    <row r="1336" spans="1:27" ht="23.1" customHeight="1" x14ac:dyDescent="0.25">
      <c r="A1336" s="53" t="s">
        <v>870</v>
      </c>
      <c r="B1336" s="10" t="s">
        <v>113</v>
      </c>
      <c r="C1336" s="10">
        <v>97</v>
      </c>
      <c r="D1336" s="10" t="s">
        <v>834</v>
      </c>
      <c r="E1336" s="41" t="s">
        <v>1065</v>
      </c>
      <c r="F1336" s="41" t="s">
        <v>1065</v>
      </c>
      <c r="G1336" s="21" t="str">
        <f>VLOOKUP(D1336,[6]成飞半成品!$A:$B,2,0)</f>
        <v>根肋三段</v>
      </c>
      <c r="H1336" s="10" t="s">
        <v>250</v>
      </c>
      <c r="I1336" s="10">
        <v>60</v>
      </c>
      <c r="J1336" s="10" t="s">
        <v>2156</v>
      </c>
      <c r="K1336" s="10">
        <v>1.3</v>
      </c>
      <c r="L1336" s="10">
        <v>1</v>
      </c>
      <c r="M1336" s="14">
        <v>32</v>
      </c>
      <c r="N1336" s="14">
        <v>32</v>
      </c>
      <c r="O1336" s="55" t="s">
        <v>429</v>
      </c>
      <c r="Q1336" s="10">
        <v>570</v>
      </c>
      <c r="R1336" s="10">
        <v>60</v>
      </c>
      <c r="T1336" s="10">
        <v>1</v>
      </c>
      <c r="U1336" s="10">
        <v>60</v>
      </c>
      <c r="W1336" s="14"/>
      <c r="Y1336" s="79">
        <v>10.5</v>
      </c>
      <c r="Z1336" s="56" t="s">
        <v>39</v>
      </c>
    </row>
    <row r="1337" spans="1:27" ht="23.1" customHeight="1" x14ac:dyDescent="0.25">
      <c r="A1337" s="53" t="s">
        <v>870</v>
      </c>
      <c r="B1337" s="10" t="s">
        <v>113</v>
      </c>
      <c r="C1337" s="10">
        <v>101</v>
      </c>
      <c r="D1337" s="10" t="s">
        <v>1128</v>
      </c>
      <c r="E1337" s="41" t="s">
        <v>708</v>
      </c>
      <c r="F1337" s="41" t="e">
        <v>#N/A</v>
      </c>
      <c r="G1337" s="21" t="e">
        <f>VLOOKUP(D1337,[6]成飞半成品!$A:$B,2,0)</f>
        <v>#N/A</v>
      </c>
      <c r="H1337" s="10" t="s">
        <v>250</v>
      </c>
      <c r="I1337" s="10">
        <v>40</v>
      </c>
      <c r="J1337" s="10" t="s">
        <v>1935</v>
      </c>
      <c r="K1337" s="10">
        <v>1</v>
      </c>
      <c r="L1337" s="10">
        <v>0.7</v>
      </c>
      <c r="M1337" s="14">
        <v>32</v>
      </c>
      <c r="N1337" s="14">
        <v>32</v>
      </c>
      <c r="O1337" s="55" t="s">
        <v>219</v>
      </c>
      <c r="Q1337" s="10">
        <v>300</v>
      </c>
      <c r="R1337" s="10">
        <v>60</v>
      </c>
      <c r="U1337" s="10">
        <v>60</v>
      </c>
      <c r="W1337" s="14"/>
      <c r="Y1337" s="79">
        <v>3.5</v>
      </c>
      <c r="Z1337" s="56" t="s">
        <v>47</v>
      </c>
    </row>
    <row r="1338" spans="1:27" ht="23.1" customHeight="1" x14ac:dyDescent="0.25">
      <c r="A1338" s="53" t="s">
        <v>870</v>
      </c>
      <c r="B1338" s="10" t="s">
        <v>113</v>
      </c>
      <c r="C1338" s="10">
        <v>101</v>
      </c>
      <c r="D1338" s="10" t="s">
        <v>1128</v>
      </c>
      <c r="E1338" s="41" t="s">
        <v>708</v>
      </c>
      <c r="F1338" s="41" t="e">
        <v>#N/A</v>
      </c>
      <c r="G1338" s="21" t="e">
        <f>VLOOKUP(D1338,[6]成飞半成品!$A:$B,2,0)</f>
        <v>#N/A</v>
      </c>
      <c r="H1338" s="10" t="s">
        <v>250</v>
      </c>
      <c r="I1338" s="10">
        <v>45</v>
      </c>
      <c r="J1338" s="10" t="s">
        <v>2146</v>
      </c>
      <c r="K1338" s="10">
        <v>5</v>
      </c>
      <c r="L1338" s="10">
        <v>7</v>
      </c>
      <c r="M1338" s="14">
        <v>32</v>
      </c>
      <c r="N1338" s="14">
        <v>32</v>
      </c>
      <c r="O1338" s="55" t="s">
        <v>1201</v>
      </c>
      <c r="Q1338" s="10">
        <v>50</v>
      </c>
      <c r="R1338" s="10">
        <v>60</v>
      </c>
      <c r="T1338" s="10">
        <v>7</v>
      </c>
      <c r="U1338" s="10">
        <v>60</v>
      </c>
      <c r="W1338" s="14">
        <v>1</v>
      </c>
      <c r="Y1338" s="79">
        <v>13.8</v>
      </c>
      <c r="Z1338" s="56" t="s">
        <v>47</v>
      </c>
    </row>
    <row r="1339" spans="1:27" ht="23.1" customHeight="1" x14ac:dyDescent="0.25">
      <c r="A1339" s="53" t="s">
        <v>870</v>
      </c>
      <c r="B1339" s="10" t="s">
        <v>113</v>
      </c>
      <c r="C1339" s="10">
        <v>105</v>
      </c>
      <c r="D1339" s="10" t="s">
        <v>1176</v>
      </c>
      <c r="E1339" s="41" t="s">
        <v>1098</v>
      </c>
      <c r="F1339" s="41" t="s">
        <v>1098</v>
      </c>
      <c r="G1339" s="21" t="str">
        <f>VLOOKUP(D1339,[6]成飞半成品!$A:$B,2,0)</f>
        <v>根肋一段</v>
      </c>
      <c r="H1339" s="10" t="s">
        <v>250</v>
      </c>
      <c r="I1339" s="10">
        <v>40</v>
      </c>
      <c r="J1339" s="10" t="s">
        <v>2172</v>
      </c>
      <c r="K1339" s="10">
        <v>1.3</v>
      </c>
      <c r="L1339" s="10">
        <v>1.4</v>
      </c>
      <c r="M1339" s="14">
        <v>32</v>
      </c>
      <c r="N1339" s="14">
        <v>32</v>
      </c>
      <c r="O1339" s="55" t="s">
        <v>429</v>
      </c>
      <c r="Q1339" s="10">
        <v>450</v>
      </c>
      <c r="R1339" s="10">
        <v>60</v>
      </c>
      <c r="T1339" s="10">
        <v>1</v>
      </c>
      <c r="U1339" s="10">
        <v>120</v>
      </c>
      <c r="W1339" s="14"/>
      <c r="Y1339" s="79">
        <v>11.5</v>
      </c>
      <c r="Z1339" s="56" t="s">
        <v>9</v>
      </c>
    </row>
    <row r="1340" spans="1:27" ht="23.1" customHeight="1" x14ac:dyDescent="0.25">
      <c r="A1340" s="53" t="s">
        <v>870</v>
      </c>
      <c r="B1340" s="10" t="s">
        <v>113</v>
      </c>
      <c r="C1340" s="10">
        <v>99</v>
      </c>
      <c r="D1340" s="10" t="s">
        <v>1191</v>
      </c>
      <c r="E1340" s="41" t="s">
        <v>1192</v>
      </c>
      <c r="F1340" s="41" t="s">
        <v>1192</v>
      </c>
      <c r="G1340" s="21" t="str">
        <f>VLOOKUP(D1340,[6]成飞半成品!$A:$B,2,0)</f>
        <v>后顶板</v>
      </c>
      <c r="H1340" s="10" t="s">
        <v>300</v>
      </c>
      <c r="I1340" s="10">
        <v>15</v>
      </c>
      <c r="J1340" s="10" t="s">
        <v>2177</v>
      </c>
      <c r="K1340" s="10">
        <v>0.7</v>
      </c>
      <c r="L1340" s="10">
        <v>0.4</v>
      </c>
      <c r="M1340" s="14">
        <v>32</v>
      </c>
      <c r="N1340" s="14">
        <v>32</v>
      </c>
      <c r="O1340" s="55" t="s">
        <v>470</v>
      </c>
      <c r="Q1340" s="10">
        <v>360</v>
      </c>
      <c r="R1340" s="10">
        <v>60</v>
      </c>
      <c r="U1340" s="10">
        <v>90</v>
      </c>
      <c r="W1340" s="14"/>
      <c r="Y1340" s="79">
        <v>2.4</v>
      </c>
      <c r="Z1340" s="56" t="s">
        <v>29</v>
      </c>
    </row>
    <row r="1341" spans="1:27" ht="23.1" customHeight="1" x14ac:dyDescent="0.25">
      <c r="A1341" s="53" t="s">
        <v>870</v>
      </c>
      <c r="B1341" s="10" t="s">
        <v>113</v>
      </c>
      <c r="C1341" s="10">
        <v>99</v>
      </c>
      <c r="D1341" s="10" t="s">
        <v>1191</v>
      </c>
      <c r="E1341" s="41" t="s">
        <v>1192</v>
      </c>
      <c r="F1341" s="41" t="s">
        <v>1192</v>
      </c>
      <c r="G1341" s="21" t="str">
        <f>VLOOKUP(D1341,[6]成飞半成品!$A:$B,2,0)</f>
        <v>后顶板</v>
      </c>
      <c r="H1341" s="10" t="s">
        <v>300</v>
      </c>
      <c r="I1341" s="10">
        <v>20</v>
      </c>
      <c r="J1341" s="10" t="s">
        <v>2181</v>
      </c>
      <c r="L1341" s="10">
        <v>1</v>
      </c>
      <c r="M1341" s="14">
        <v>32</v>
      </c>
      <c r="N1341" s="14">
        <v>32</v>
      </c>
      <c r="O1341" s="55" t="s">
        <v>470</v>
      </c>
      <c r="Q1341" s="10">
        <v>450</v>
      </c>
      <c r="R1341" s="10">
        <v>60</v>
      </c>
      <c r="T1341" s="10">
        <v>1</v>
      </c>
      <c r="U1341" s="10">
        <v>90</v>
      </c>
      <c r="W1341" s="14">
        <v>1</v>
      </c>
      <c r="Y1341" s="79">
        <v>10</v>
      </c>
      <c r="Z1341" s="56" t="s">
        <v>29</v>
      </c>
    </row>
    <row r="1342" spans="1:27" ht="23.1" customHeight="1" x14ac:dyDescent="0.25">
      <c r="A1342" s="53" t="s">
        <v>870</v>
      </c>
      <c r="B1342" s="10" t="s">
        <v>113</v>
      </c>
      <c r="C1342" s="10">
        <v>99</v>
      </c>
      <c r="D1342" s="10" t="s">
        <v>1191</v>
      </c>
      <c r="E1342" s="41" t="s">
        <v>1192</v>
      </c>
      <c r="F1342" s="41" t="s">
        <v>1192</v>
      </c>
      <c r="G1342" s="21" t="str">
        <f>VLOOKUP(D1342,[6]成飞半成品!$A:$B,2,0)</f>
        <v>后顶板</v>
      </c>
      <c r="H1342" s="10" t="s">
        <v>300</v>
      </c>
      <c r="I1342" s="10">
        <v>25</v>
      </c>
      <c r="J1342" s="10" t="s">
        <v>2182</v>
      </c>
      <c r="K1342" s="10">
        <v>0.8</v>
      </c>
      <c r="L1342" s="10">
        <v>1</v>
      </c>
      <c r="M1342" s="14">
        <v>32</v>
      </c>
      <c r="N1342" s="14">
        <v>32</v>
      </c>
      <c r="O1342" s="55" t="s">
        <v>470</v>
      </c>
      <c r="Q1342" s="10">
        <v>120</v>
      </c>
      <c r="R1342" s="10">
        <v>60</v>
      </c>
      <c r="U1342" s="10">
        <v>60</v>
      </c>
      <c r="W1342" s="14">
        <v>1</v>
      </c>
      <c r="Y1342" s="79">
        <v>3</v>
      </c>
      <c r="Z1342" s="56" t="s">
        <v>29</v>
      </c>
    </row>
    <row r="1343" spans="1:27" ht="23.1" customHeight="1" x14ac:dyDescent="0.25">
      <c r="A1343" s="53" t="s">
        <v>909</v>
      </c>
      <c r="B1343" s="10" t="s">
        <v>113</v>
      </c>
      <c r="C1343" s="10">
        <v>19</v>
      </c>
      <c r="D1343" s="10" t="s">
        <v>169</v>
      </c>
      <c r="E1343" s="41" t="s">
        <v>170</v>
      </c>
      <c r="F1343" s="41" t="e">
        <v>#N/A</v>
      </c>
      <c r="G1343" s="21" t="e">
        <f>VLOOKUP(D1343,[6]成飞半成品!$A:$B,2,0)</f>
        <v>#N/A</v>
      </c>
      <c r="H1343" s="25" t="s">
        <v>118</v>
      </c>
      <c r="I1343" s="10">
        <v>20</v>
      </c>
      <c r="J1343" s="10" t="s">
        <v>2183</v>
      </c>
      <c r="K1343" s="10">
        <v>1</v>
      </c>
      <c r="L1343" s="10">
        <v>1</v>
      </c>
      <c r="M1343" s="14">
        <v>32</v>
      </c>
      <c r="N1343" s="14">
        <v>32</v>
      </c>
      <c r="O1343" s="55" t="s">
        <v>722</v>
      </c>
      <c r="Q1343" s="10">
        <v>720</v>
      </c>
      <c r="R1343" s="10">
        <v>90</v>
      </c>
      <c r="T1343" s="10">
        <v>1</v>
      </c>
      <c r="U1343" s="10">
        <v>60</v>
      </c>
      <c r="W1343" s="14"/>
      <c r="Y1343" s="79">
        <v>13.5</v>
      </c>
      <c r="Z1343" s="56" t="s">
        <v>17</v>
      </c>
    </row>
    <row r="1344" spans="1:27" ht="23.1" customHeight="1" x14ac:dyDescent="0.25">
      <c r="A1344" s="53" t="s">
        <v>909</v>
      </c>
      <c r="B1344" s="10" t="s">
        <v>113</v>
      </c>
      <c r="C1344" s="10">
        <v>19</v>
      </c>
      <c r="D1344" s="10" t="s">
        <v>169</v>
      </c>
      <c r="E1344" s="41" t="s">
        <v>170</v>
      </c>
      <c r="F1344" s="41" t="e">
        <v>#N/A</v>
      </c>
      <c r="G1344" s="21" t="e">
        <f>VLOOKUP(D1344,[6]成飞半成品!$A:$B,2,0)</f>
        <v>#N/A</v>
      </c>
      <c r="H1344" s="25" t="s">
        <v>118</v>
      </c>
      <c r="I1344" s="10">
        <v>25</v>
      </c>
      <c r="J1344" s="10" t="s">
        <v>1887</v>
      </c>
      <c r="K1344" s="10">
        <v>2</v>
      </c>
      <c r="L1344" s="10">
        <v>1.5</v>
      </c>
      <c r="M1344" s="14">
        <v>32</v>
      </c>
      <c r="N1344" s="14">
        <v>32</v>
      </c>
      <c r="O1344" s="55" t="s">
        <v>1121</v>
      </c>
      <c r="Q1344" s="10">
        <v>630</v>
      </c>
      <c r="R1344" s="10">
        <v>90</v>
      </c>
      <c r="T1344" s="10">
        <v>2</v>
      </c>
      <c r="U1344" s="10">
        <v>180</v>
      </c>
      <c r="W1344" s="14">
        <v>1</v>
      </c>
      <c r="Y1344" s="79">
        <v>21.8</v>
      </c>
      <c r="Z1344" s="56" t="s">
        <v>17</v>
      </c>
    </row>
    <row r="1345" spans="1:27" ht="23.1" customHeight="1" x14ac:dyDescent="0.25">
      <c r="A1345" s="53" t="s">
        <v>909</v>
      </c>
      <c r="B1345" s="10" t="s">
        <v>113</v>
      </c>
      <c r="C1345" s="10">
        <v>44</v>
      </c>
      <c r="D1345" s="10" t="s">
        <v>266</v>
      </c>
      <c r="E1345" s="41" t="s">
        <v>267</v>
      </c>
      <c r="F1345" s="41" t="s">
        <v>267</v>
      </c>
      <c r="G1345" s="21" t="str">
        <f>VLOOKUP(D1345,[6]成飞半成品!$A:$B,2,0)</f>
        <v>后端框</v>
      </c>
      <c r="H1345" s="10" t="s">
        <v>118</v>
      </c>
      <c r="I1345" s="10">
        <v>55</v>
      </c>
      <c r="J1345" s="10" t="s">
        <v>2166</v>
      </c>
      <c r="K1345" s="10">
        <v>0.6</v>
      </c>
      <c r="L1345" s="10">
        <v>0.6</v>
      </c>
      <c r="M1345" s="14">
        <v>32</v>
      </c>
      <c r="N1345" s="14">
        <v>32</v>
      </c>
      <c r="O1345" s="55" t="s">
        <v>429</v>
      </c>
      <c r="Q1345" s="10">
        <v>1260</v>
      </c>
      <c r="R1345" s="10">
        <v>90</v>
      </c>
      <c r="U1345" s="10">
        <v>60</v>
      </c>
      <c r="W1345" s="14"/>
      <c r="Y1345" s="79">
        <v>12.6</v>
      </c>
      <c r="Z1345" s="56" t="s">
        <v>64</v>
      </c>
    </row>
    <row r="1346" spans="1:27" ht="23.1" customHeight="1" x14ac:dyDescent="0.25">
      <c r="A1346" s="53" t="s">
        <v>909</v>
      </c>
      <c r="B1346" s="10" t="s">
        <v>113</v>
      </c>
      <c r="C1346" s="10">
        <v>97</v>
      </c>
      <c r="D1346" s="10" t="s">
        <v>834</v>
      </c>
      <c r="E1346" s="41" t="s">
        <v>1065</v>
      </c>
      <c r="F1346" s="41" t="s">
        <v>1065</v>
      </c>
      <c r="G1346" s="21" t="str">
        <f>VLOOKUP(D1346,[6]成飞半成品!$A:$B,2,0)</f>
        <v>根肋三段</v>
      </c>
      <c r="H1346" s="10" t="s">
        <v>250</v>
      </c>
      <c r="I1346" s="10">
        <v>65</v>
      </c>
      <c r="J1346" s="10" t="s">
        <v>2184</v>
      </c>
      <c r="K1346" s="10">
        <v>5</v>
      </c>
      <c r="L1346" s="10">
        <v>3</v>
      </c>
      <c r="M1346" s="14">
        <v>32</v>
      </c>
      <c r="N1346" s="14">
        <v>32</v>
      </c>
      <c r="O1346" s="55" t="s">
        <v>429</v>
      </c>
      <c r="Q1346" s="10">
        <v>60</v>
      </c>
      <c r="R1346" s="10">
        <v>60</v>
      </c>
      <c r="T1346" s="10">
        <v>3</v>
      </c>
      <c r="U1346" s="10">
        <v>60</v>
      </c>
      <c r="W1346" s="14">
        <v>1</v>
      </c>
      <c r="Y1346" s="79">
        <v>7</v>
      </c>
      <c r="Z1346" s="56" t="s">
        <v>39</v>
      </c>
    </row>
    <row r="1347" spans="1:27" ht="23.1" customHeight="1" x14ac:dyDescent="0.25">
      <c r="A1347" s="53" t="s">
        <v>909</v>
      </c>
      <c r="B1347" s="10" t="s">
        <v>113</v>
      </c>
      <c r="C1347" s="10">
        <v>101</v>
      </c>
      <c r="D1347" s="10" t="s">
        <v>1099</v>
      </c>
      <c r="E1347" s="41" t="s">
        <v>760</v>
      </c>
      <c r="F1347" s="41" t="e">
        <v>#N/A</v>
      </c>
      <c r="G1347" s="21" t="e">
        <f>VLOOKUP(D1347,[6]成飞半成品!$A:$B,2,0)</f>
        <v>#N/A</v>
      </c>
      <c r="H1347" s="10" t="s">
        <v>300</v>
      </c>
      <c r="I1347" s="10">
        <v>40</v>
      </c>
      <c r="J1347" s="10" t="s">
        <v>1969</v>
      </c>
      <c r="K1347" s="10">
        <v>2</v>
      </c>
      <c r="L1347" s="10">
        <v>2.7</v>
      </c>
      <c r="M1347" s="14">
        <v>32</v>
      </c>
      <c r="N1347" s="14">
        <v>32</v>
      </c>
      <c r="O1347" s="55" t="s">
        <v>1202</v>
      </c>
      <c r="Q1347" s="10">
        <v>330</v>
      </c>
      <c r="R1347" s="10">
        <v>60</v>
      </c>
      <c r="T1347" s="10">
        <v>3</v>
      </c>
      <c r="U1347" s="10">
        <v>120</v>
      </c>
      <c r="W1347" s="14"/>
      <c r="Y1347" s="79">
        <v>17.899999999999999</v>
      </c>
      <c r="Z1347" s="56" t="s">
        <v>47</v>
      </c>
    </row>
    <row r="1348" spans="1:27" ht="23.1" customHeight="1" x14ac:dyDescent="0.25">
      <c r="A1348" s="53" t="s">
        <v>909</v>
      </c>
      <c r="B1348" s="10" t="s">
        <v>113</v>
      </c>
      <c r="C1348" s="10">
        <v>105</v>
      </c>
      <c r="D1348" s="10" t="s">
        <v>1176</v>
      </c>
      <c r="E1348" s="41" t="s">
        <v>1098</v>
      </c>
      <c r="F1348" s="41" t="s">
        <v>1098</v>
      </c>
      <c r="G1348" s="21" t="str">
        <f>VLOOKUP(D1348,[6]成飞半成品!$A:$B,2,0)</f>
        <v>根肋一段</v>
      </c>
      <c r="H1348" s="10" t="s">
        <v>250</v>
      </c>
      <c r="I1348" s="10">
        <v>50</v>
      </c>
      <c r="J1348" s="10" t="s">
        <v>2185</v>
      </c>
      <c r="K1348" s="10">
        <v>0.5</v>
      </c>
      <c r="L1348" s="10">
        <v>0.5</v>
      </c>
      <c r="M1348" s="14">
        <v>32</v>
      </c>
      <c r="N1348" s="14">
        <v>32</v>
      </c>
      <c r="O1348" s="55" t="s">
        <v>429</v>
      </c>
      <c r="Q1348" s="10">
        <v>1080</v>
      </c>
      <c r="R1348" s="10">
        <v>60</v>
      </c>
      <c r="T1348" s="10">
        <v>1</v>
      </c>
      <c r="U1348" s="10">
        <v>120</v>
      </c>
      <c r="W1348" s="14">
        <v>1</v>
      </c>
      <c r="Y1348" s="79">
        <v>12</v>
      </c>
      <c r="Z1348" s="56" t="s">
        <v>9</v>
      </c>
    </row>
    <row r="1349" spans="1:27" ht="23.1" customHeight="1" x14ac:dyDescent="0.25">
      <c r="A1349" s="53" t="s">
        <v>909</v>
      </c>
      <c r="B1349" s="10" t="s">
        <v>113</v>
      </c>
      <c r="C1349" s="10">
        <v>99</v>
      </c>
      <c r="D1349" s="10" t="s">
        <v>1191</v>
      </c>
      <c r="E1349" s="41" t="s">
        <v>1192</v>
      </c>
      <c r="F1349" s="41" t="s">
        <v>1192</v>
      </c>
      <c r="G1349" s="21" t="str">
        <f>VLOOKUP(D1349,[6]成飞半成品!$A:$B,2,0)</f>
        <v>后顶板</v>
      </c>
      <c r="H1349" s="10" t="s">
        <v>300</v>
      </c>
      <c r="I1349" s="10">
        <v>30</v>
      </c>
      <c r="J1349" s="10" t="s">
        <v>2186</v>
      </c>
      <c r="K1349" s="10">
        <v>0.5</v>
      </c>
      <c r="L1349" s="10">
        <v>0.5</v>
      </c>
      <c r="M1349" s="14">
        <v>32</v>
      </c>
      <c r="N1349" s="14">
        <v>32</v>
      </c>
      <c r="O1349" s="55" t="s">
        <v>470</v>
      </c>
      <c r="Q1349" s="10">
        <v>1080</v>
      </c>
      <c r="R1349" s="10">
        <v>120</v>
      </c>
      <c r="U1349" s="10">
        <v>120</v>
      </c>
      <c r="W1349" s="14"/>
      <c r="X1349" s="14">
        <v>3</v>
      </c>
      <c r="Y1349" s="79">
        <v>12</v>
      </c>
      <c r="Z1349" s="56" t="s">
        <v>29</v>
      </c>
      <c r="AA1349" s="14" t="s">
        <v>1138</v>
      </c>
    </row>
    <row r="1350" spans="1:27" ht="23.1" customHeight="1" x14ac:dyDescent="0.25">
      <c r="A1350" s="53" t="s">
        <v>909</v>
      </c>
      <c r="B1350" s="10" t="s">
        <v>113</v>
      </c>
      <c r="C1350" s="10">
        <v>103</v>
      </c>
      <c r="D1350" s="47" t="s">
        <v>1148</v>
      </c>
      <c r="E1350" s="41" t="s">
        <v>1149</v>
      </c>
      <c r="F1350" s="41" t="s">
        <v>1149</v>
      </c>
      <c r="G1350" s="21" t="str">
        <f>VLOOKUP(D1350,[6]成飞半成品!$A:$B,2,0)</f>
        <v>1号下壁板</v>
      </c>
      <c r="H1350" s="10" t="s">
        <v>300</v>
      </c>
      <c r="I1350" s="10">
        <v>10</v>
      </c>
      <c r="J1350" s="10" t="s">
        <v>2176</v>
      </c>
      <c r="K1350" s="10">
        <v>1</v>
      </c>
      <c r="L1350" s="10">
        <v>1.2</v>
      </c>
      <c r="M1350" s="14">
        <v>32</v>
      </c>
      <c r="N1350" s="14">
        <v>32</v>
      </c>
      <c r="O1350" s="55" t="s">
        <v>1203</v>
      </c>
      <c r="Q1350" s="10">
        <v>480</v>
      </c>
      <c r="R1350" s="10">
        <v>120</v>
      </c>
      <c r="T1350" s="10">
        <v>1</v>
      </c>
      <c r="U1350" s="10">
        <v>120</v>
      </c>
      <c r="W1350" s="14"/>
      <c r="Y1350" s="79">
        <v>11.6</v>
      </c>
      <c r="Z1350" s="56" t="s">
        <v>61</v>
      </c>
    </row>
    <row r="1351" spans="1:27" ht="23.1" customHeight="1" x14ac:dyDescent="0.25">
      <c r="A1351" s="53" t="s">
        <v>909</v>
      </c>
      <c r="B1351" s="10" t="s">
        <v>113</v>
      </c>
      <c r="C1351" s="10">
        <v>104</v>
      </c>
      <c r="D1351" s="10" t="s">
        <v>395</v>
      </c>
      <c r="E1351" s="41" t="s">
        <v>396</v>
      </c>
      <c r="F1351" s="41" t="e">
        <v>#N/A</v>
      </c>
      <c r="G1351" s="21" t="e">
        <f>VLOOKUP(D1351,[6]成飞半成品!$A:$B,2,0)</f>
        <v>#N/A</v>
      </c>
      <c r="H1351" s="10" t="s">
        <v>300</v>
      </c>
      <c r="I1351" s="10">
        <v>6</v>
      </c>
      <c r="L1351" s="10">
        <v>11</v>
      </c>
      <c r="M1351" s="14">
        <v>32</v>
      </c>
      <c r="N1351" s="14">
        <v>32</v>
      </c>
      <c r="O1351" s="55" t="s">
        <v>1204</v>
      </c>
      <c r="P1351" s="10">
        <v>30</v>
      </c>
      <c r="S1351" s="10">
        <v>60</v>
      </c>
      <c r="T1351" s="10">
        <v>11</v>
      </c>
      <c r="V1351" s="10">
        <v>60</v>
      </c>
      <c r="W1351" s="14">
        <v>1</v>
      </c>
      <c r="Y1351" s="83">
        <v>17.5</v>
      </c>
      <c r="Z1351" s="56" t="s">
        <v>35</v>
      </c>
    </row>
    <row r="1352" spans="1:27" ht="23.1" customHeight="1" x14ac:dyDescent="0.25">
      <c r="A1352" s="53" t="s">
        <v>909</v>
      </c>
      <c r="B1352" s="10" t="s">
        <v>113</v>
      </c>
      <c r="C1352" s="10">
        <v>106</v>
      </c>
      <c r="D1352" s="10" t="s">
        <v>1070</v>
      </c>
      <c r="E1352" s="41" t="s">
        <v>101</v>
      </c>
      <c r="F1352" s="41" t="e">
        <v>#N/A</v>
      </c>
      <c r="G1352" s="21" t="str">
        <f>VLOOKUP(D1352,[6]成飞半成品!$A:$B,2,0)</f>
        <v>前梁一段</v>
      </c>
      <c r="H1352" s="10" t="s">
        <v>300</v>
      </c>
      <c r="I1352" s="10">
        <v>35</v>
      </c>
      <c r="J1352" s="10" t="s">
        <v>2162</v>
      </c>
      <c r="K1352" s="10">
        <v>0.5</v>
      </c>
      <c r="L1352" s="10">
        <v>0.5</v>
      </c>
      <c r="M1352" s="14">
        <v>32</v>
      </c>
      <c r="N1352" s="14">
        <v>32</v>
      </c>
      <c r="O1352" s="55" t="s">
        <v>247</v>
      </c>
      <c r="Q1352" s="10">
        <v>1200</v>
      </c>
      <c r="R1352" s="10">
        <v>150</v>
      </c>
      <c r="T1352" s="10">
        <v>1</v>
      </c>
      <c r="U1352" s="10">
        <v>180</v>
      </c>
      <c r="W1352" s="14">
        <v>1</v>
      </c>
      <c r="Y1352" s="83">
        <v>15.5</v>
      </c>
      <c r="Z1352" s="56" t="s">
        <v>35</v>
      </c>
      <c r="AA1352" s="14" t="s">
        <v>2544</v>
      </c>
    </row>
    <row r="1353" spans="1:27" ht="23.1" customHeight="1" x14ac:dyDescent="0.25">
      <c r="A1353" s="53" t="s">
        <v>909</v>
      </c>
      <c r="B1353" s="10" t="s">
        <v>113</v>
      </c>
      <c r="C1353" s="10">
        <v>117</v>
      </c>
      <c r="D1353" s="10" t="s">
        <v>395</v>
      </c>
      <c r="E1353" s="41" t="s">
        <v>396</v>
      </c>
      <c r="F1353" s="41" t="e">
        <v>#N/A</v>
      </c>
      <c r="G1353" s="21" t="e">
        <f>VLOOKUP(D1353,[6]成飞半成品!$A:$B,2,0)</f>
        <v>#N/A</v>
      </c>
      <c r="H1353" s="10" t="s">
        <v>300</v>
      </c>
      <c r="I1353" s="10">
        <v>10</v>
      </c>
      <c r="J1353" s="10" t="s">
        <v>1916</v>
      </c>
      <c r="L1353" s="10">
        <v>11</v>
      </c>
      <c r="M1353" s="14">
        <v>32</v>
      </c>
      <c r="N1353" s="14">
        <v>32</v>
      </c>
      <c r="O1353" s="55" t="s">
        <v>1204</v>
      </c>
      <c r="Q1353" s="10">
        <v>60</v>
      </c>
      <c r="R1353" s="10">
        <v>90</v>
      </c>
      <c r="T1353" s="10">
        <v>11</v>
      </c>
      <c r="U1353" s="10">
        <v>60</v>
      </c>
      <c r="W1353" s="14">
        <v>1</v>
      </c>
      <c r="Y1353" s="79">
        <v>28.5</v>
      </c>
      <c r="Z1353" s="56" t="s">
        <v>35</v>
      </c>
    </row>
    <row r="1354" spans="1:27" ht="23.1" customHeight="1" x14ac:dyDescent="0.25">
      <c r="A1354" s="53" t="s">
        <v>909</v>
      </c>
      <c r="B1354" s="10" t="s">
        <v>113</v>
      </c>
      <c r="C1354" s="10">
        <v>45</v>
      </c>
      <c r="D1354" s="10" t="s">
        <v>395</v>
      </c>
      <c r="E1354" s="41" t="s">
        <v>396</v>
      </c>
      <c r="F1354" s="41" t="e">
        <v>#N/A</v>
      </c>
      <c r="G1354" s="21" t="e">
        <f>VLOOKUP(D1354,[6]成飞半成品!$A:$B,2,0)</f>
        <v>#N/A</v>
      </c>
      <c r="H1354" s="10" t="s">
        <v>300</v>
      </c>
      <c r="I1354" s="10">
        <v>8</v>
      </c>
      <c r="L1354" s="10">
        <v>11</v>
      </c>
      <c r="M1354" s="14">
        <v>32</v>
      </c>
      <c r="N1354" s="14">
        <v>32</v>
      </c>
      <c r="O1354" s="55" t="s">
        <v>1204</v>
      </c>
      <c r="P1354" s="10">
        <v>30</v>
      </c>
      <c r="S1354" s="10">
        <v>60</v>
      </c>
      <c r="T1354" s="10">
        <v>11</v>
      </c>
      <c r="V1354" s="10">
        <v>60</v>
      </c>
      <c r="W1354" s="14">
        <v>1</v>
      </c>
      <c r="Y1354" s="83">
        <v>17.5</v>
      </c>
      <c r="Z1354" s="56" t="s">
        <v>35</v>
      </c>
    </row>
    <row r="1355" spans="1:27" ht="23.1" customHeight="1" x14ac:dyDescent="0.25">
      <c r="A1355" s="53" t="s">
        <v>909</v>
      </c>
      <c r="B1355" s="10" t="s">
        <v>113</v>
      </c>
      <c r="C1355" s="10">
        <v>102</v>
      </c>
      <c r="D1355" s="10" t="s">
        <v>1097</v>
      </c>
      <c r="E1355" s="41" t="s">
        <v>1098</v>
      </c>
      <c r="F1355" s="41" t="s">
        <v>1098</v>
      </c>
      <c r="G1355" s="21" t="str">
        <f>VLOOKUP(D1355,[6]成飞半成品!$A:$B,2,0)</f>
        <v>根肋一段</v>
      </c>
      <c r="H1355" s="10" t="s">
        <v>250</v>
      </c>
      <c r="I1355" s="10">
        <v>50</v>
      </c>
      <c r="J1355" s="10" t="s">
        <v>2185</v>
      </c>
      <c r="K1355" s="10">
        <v>0.6</v>
      </c>
      <c r="L1355" s="10">
        <v>0.6</v>
      </c>
      <c r="M1355" s="14">
        <v>32</v>
      </c>
      <c r="N1355" s="14">
        <v>32</v>
      </c>
      <c r="O1355" s="55" t="s">
        <v>216</v>
      </c>
      <c r="Q1355" s="10">
        <v>1080</v>
      </c>
      <c r="R1355" s="10">
        <v>60</v>
      </c>
      <c r="U1355" s="10">
        <v>120</v>
      </c>
      <c r="W1355" s="14"/>
      <c r="Y1355" s="79">
        <v>10.8</v>
      </c>
      <c r="Z1355" s="56" t="s">
        <v>35</v>
      </c>
    </row>
    <row r="1356" spans="1:27" ht="23.1" customHeight="1" x14ac:dyDescent="0.25">
      <c r="A1356" s="53" t="s">
        <v>909</v>
      </c>
      <c r="B1356" s="10" t="s">
        <v>113</v>
      </c>
      <c r="C1356" s="10">
        <v>100</v>
      </c>
      <c r="D1356" s="65" t="s">
        <v>2551</v>
      </c>
      <c r="E1356" s="41" t="s">
        <v>938</v>
      </c>
      <c r="F1356" s="41" t="s">
        <v>938</v>
      </c>
      <c r="G1356" s="21" t="str">
        <f>VLOOKUP(D1356,[6]成飞半成品!$A:$B,2,0)</f>
        <v>工装</v>
      </c>
      <c r="H1356" s="10" t="s">
        <v>939</v>
      </c>
      <c r="I1356" s="10">
        <v>40</v>
      </c>
      <c r="J1356" s="10" t="s">
        <v>2173</v>
      </c>
      <c r="K1356" s="10">
        <v>0.1</v>
      </c>
      <c r="L1356" s="10">
        <v>0.1</v>
      </c>
      <c r="M1356" s="14">
        <v>32</v>
      </c>
      <c r="N1356" s="14">
        <v>32</v>
      </c>
      <c r="O1356" s="55" t="s">
        <v>890</v>
      </c>
      <c r="Q1356" s="10">
        <v>840</v>
      </c>
      <c r="R1356" s="10">
        <v>60</v>
      </c>
      <c r="U1356" s="10">
        <v>120</v>
      </c>
      <c r="W1356" s="14"/>
      <c r="X1356" s="14">
        <v>4</v>
      </c>
      <c r="Y1356" s="79">
        <v>5.4</v>
      </c>
      <c r="Z1356" s="56" t="s">
        <v>35</v>
      </c>
      <c r="AA1356" s="14" t="s">
        <v>1011</v>
      </c>
    </row>
    <row r="1357" spans="1:27" ht="23.1" customHeight="1" x14ac:dyDescent="0.25">
      <c r="A1357" s="53" t="s">
        <v>909</v>
      </c>
      <c r="B1357" s="10" t="s">
        <v>113</v>
      </c>
      <c r="C1357" s="10">
        <v>100</v>
      </c>
      <c r="D1357" s="65" t="s">
        <v>2551</v>
      </c>
      <c r="E1357" s="41" t="s">
        <v>938</v>
      </c>
      <c r="F1357" s="41" t="s">
        <v>938</v>
      </c>
      <c r="G1357" s="21" t="str">
        <f>VLOOKUP(D1357,[6]成飞半成品!$A:$B,2,0)</f>
        <v>工装</v>
      </c>
      <c r="H1357" s="10" t="s">
        <v>939</v>
      </c>
      <c r="I1357" s="10">
        <v>50</v>
      </c>
      <c r="J1357" s="10" t="s">
        <v>2126</v>
      </c>
      <c r="L1357" s="10">
        <v>1</v>
      </c>
      <c r="M1357" s="14">
        <v>32</v>
      </c>
      <c r="N1357" s="14">
        <v>32</v>
      </c>
      <c r="O1357" s="55" t="s">
        <v>470</v>
      </c>
      <c r="Q1357" s="10">
        <v>60</v>
      </c>
      <c r="R1357" s="10">
        <v>60</v>
      </c>
      <c r="T1357" s="10">
        <v>1</v>
      </c>
      <c r="U1357" s="10">
        <v>60</v>
      </c>
      <c r="W1357" s="14">
        <v>1</v>
      </c>
      <c r="X1357" s="10">
        <v>4</v>
      </c>
      <c r="Y1357" s="79">
        <v>7</v>
      </c>
      <c r="Z1357" s="56" t="s">
        <v>35</v>
      </c>
      <c r="AA1357" s="14" t="s">
        <v>941</v>
      </c>
    </row>
    <row r="1358" spans="1:27" ht="23.1" customHeight="1" x14ac:dyDescent="0.25">
      <c r="A1358" s="53" t="s">
        <v>909</v>
      </c>
      <c r="B1358" s="10" t="s">
        <v>113</v>
      </c>
      <c r="C1358" s="10">
        <v>100</v>
      </c>
      <c r="D1358" s="65" t="s">
        <v>2551</v>
      </c>
      <c r="E1358" s="41" t="s">
        <v>938</v>
      </c>
      <c r="F1358" s="41" t="s">
        <v>938</v>
      </c>
      <c r="G1358" s="21" t="str">
        <f>VLOOKUP(D1358,[6]成飞半成品!$A:$B,2,0)</f>
        <v>工装</v>
      </c>
      <c r="H1358" s="10" t="s">
        <v>939</v>
      </c>
      <c r="I1358" s="10">
        <v>55</v>
      </c>
      <c r="J1358" s="10" t="s">
        <v>2004</v>
      </c>
      <c r="L1358" s="10">
        <v>0.9</v>
      </c>
      <c r="M1358" s="14">
        <v>32</v>
      </c>
      <c r="N1358" s="14">
        <v>32</v>
      </c>
      <c r="O1358" s="55" t="s">
        <v>470</v>
      </c>
      <c r="Q1358" s="10">
        <v>600</v>
      </c>
      <c r="R1358" s="10">
        <v>60</v>
      </c>
      <c r="T1358" s="10">
        <v>1</v>
      </c>
      <c r="U1358" s="10">
        <v>90</v>
      </c>
      <c r="W1358" s="14">
        <v>1</v>
      </c>
      <c r="Y1358" s="79">
        <v>11.5</v>
      </c>
      <c r="Z1358" s="56" t="s">
        <v>35</v>
      </c>
    </row>
    <row r="1359" spans="1:27" ht="23.1" customHeight="1" x14ac:dyDescent="0.25">
      <c r="A1359" s="53" t="s">
        <v>909</v>
      </c>
      <c r="B1359" s="10" t="s">
        <v>113</v>
      </c>
      <c r="C1359" s="10">
        <v>82</v>
      </c>
      <c r="D1359" s="10" t="s">
        <v>484</v>
      </c>
      <c r="E1359" s="41" t="s">
        <v>485</v>
      </c>
      <c r="F1359" s="41" t="s">
        <v>485</v>
      </c>
      <c r="G1359" s="21" t="str">
        <f>VLOOKUP(D1359,[6]成飞半成品!$A:$B,2,0)</f>
        <v>8635左隔框</v>
      </c>
      <c r="H1359" s="10" t="s">
        <v>300</v>
      </c>
      <c r="I1359" s="10">
        <v>15</v>
      </c>
      <c r="J1359" s="10" t="s">
        <v>2134</v>
      </c>
      <c r="K1359" s="10">
        <v>1</v>
      </c>
      <c r="L1359" s="10">
        <v>1</v>
      </c>
      <c r="M1359" s="14">
        <v>32</v>
      </c>
      <c r="N1359" s="14">
        <v>32</v>
      </c>
      <c r="O1359" s="55" t="s">
        <v>164</v>
      </c>
      <c r="Q1359" s="10">
        <v>120</v>
      </c>
      <c r="R1359" s="10">
        <v>60</v>
      </c>
      <c r="T1359" s="10">
        <v>1</v>
      </c>
      <c r="U1359" s="10">
        <v>90</v>
      </c>
      <c r="W1359" s="14"/>
      <c r="Y1359" s="79">
        <v>3</v>
      </c>
      <c r="Z1359" s="56" t="s">
        <v>35</v>
      </c>
    </row>
    <row r="1360" spans="1:27" ht="23.1" customHeight="1" x14ac:dyDescent="0.25">
      <c r="A1360" s="53" t="s">
        <v>909</v>
      </c>
      <c r="B1360" s="10" t="s">
        <v>113</v>
      </c>
      <c r="C1360" s="10">
        <v>82</v>
      </c>
      <c r="D1360" s="10" t="s">
        <v>484</v>
      </c>
      <c r="E1360" s="41" t="s">
        <v>485</v>
      </c>
      <c r="F1360" s="41" t="s">
        <v>485</v>
      </c>
      <c r="G1360" s="21" t="str">
        <f>VLOOKUP(D1360,[6]成飞半成品!$A:$B,2,0)</f>
        <v>8635左隔框</v>
      </c>
      <c r="H1360" s="10" t="s">
        <v>300</v>
      </c>
      <c r="I1360" s="10">
        <v>20</v>
      </c>
      <c r="J1360" s="10" t="s">
        <v>2135</v>
      </c>
      <c r="K1360" s="10">
        <v>1</v>
      </c>
      <c r="L1360" s="10">
        <v>1.4</v>
      </c>
      <c r="M1360" s="14">
        <v>32</v>
      </c>
      <c r="N1360" s="14">
        <v>32</v>
      </c>
      <c r="O1360" s="55" t="s">
        <v>1113</v>
      </c>
      <c r="Q1360" s="10">
        <v>420</v>
      </c>
      <c r="R1360" s="10">
        <v>60</v>
      </c>
      <c r="T1360" s="10">
        <v>1</v>
      </c>
      <c r="U1360" s="10">
        <v>90</v>
      </c>
      <c r="W1360" s="14"/>
      <c r="Y1360" s="79">
        <v>10.8</v>
      </c>
      <c r="Z1360" s="56" t="s">
        <v>35</v>
      </c>
    </row>
    <row r="1361" spans="1:27" ht="23.1" customHeight="1" x14ac:dyDescent="0.25">
      <c r="A1361" s="53" t="s">
        <v>909</v>
      </c>
      <c r="B1361" s="10" t="s">
        <v>113</v>
      </c>
      <c r="C1361" s="10">
        <v>83</v>
      </c>
      <c r="D1361" s="10" t="s">
        <v>1095</v>
      </c>
      <c r="E1361" s="41" t="s">
        <v>1096</v>
      </c>
      <c r="F1361" s="41" t="s">
        <v>1096</v>
      </c>
      <c r="G1361" s="21" t="str">
        <f>VLOOKUP(D1361,[6]成飞半成品!$A:$B,2,0)</f>
        <v>1150肋根肋</v>
      </c>
      <c r="H1361" s="10" t="s">
        <v>658</v>
      </c>
      <c r="I1361" s="10">
        <v>5</v>
      </c>
      <c r="J1361" s="10" t="s">
        <v>2179</v>
      </c>
      <c r="K1361" s="10">
        <v>8</v>
      </c>
      <c r="L1361" s="10">
        <v>11</v>
      </c>
      <c r="M1361" s="14">
        <v>32</v>
      </c>
      <c r="N1361" s="14">
        <v>32</v>
      </c>
      <c r="O1361" s="55" t="s">
        <v>351</v>
      </c>
      <c r="Q1361" s="10">
        <v>90</v>
      </c>
      <c r="R1361" s="10">
        <v>60</v>
      </c>
      <c r="T1361" s="10">
        <v>11</v>
      </c>
      <c r="U1361" s="10">
        <v>60</v>
      </c>
      <c r="W1361" s="14"/>
      <c r="Y1361" s="79">
        <v>27.5</v>
      </c>
      <c r="Z1361" s="56" t="s">
        <v>35</v>
      </c>
    </row>
    <row r="1362" spans="1:27" ht="23.1" customHeight="1" x14ac:dyDescent="0.25">
      <c r="A1362" s="53" t="s">
        <v>909</v>
      </c>
      <c r="B1362" s="10" t="s">
        <v>113</v>
      </c>
      <c r="C1362" s="10">
        <v>83</v>
      </c>
      <c r="D1362" s="10" t="s">
        <v>1197</v>
      </c>
      <c r="E1362" s="41" t="s">
        <v>1198</v>
      </c>
      <c r="F1362" s="41" t="s">
        <v>1198</v>
      </c>
      <c r="G1362" s="21" t="str">
        <f>VLOOKUP(D1362,[6]成飞半成品!$A:$B,2,0)</f>
        <v>1150肋根肋</v>
      </c>
      <c r="H1362" s="10" t="s">
        <v>658</v>
      </c>
      <c r="I1362" s="10">
        <v>5</v>
      </c>
      <c r="J1362" s="10" t="s">
        <v>2179</v>
      </c>
      <c r="L1362" s="10">
        <v>4</v>
      </c>
      <c r="M1362" s="14">
        <v>32</v>
      </c>
      <c r="N1362" s="14">
        <v>32</v>
      </c>
      <c r="O1362" s="55" t="s">
        <v>463</v>
      </c>
      <c r="Q1362" s="10">
        <v>90</v>
      </c>
      <c r="R1362" s="10">
        <v>60</v>
      </c>
      <c r="T1362" s="10">
        <v>4</v>
      </c>
      <c r="U1362" s="10">
        <v>60</v>
      </c>
      <c r="W1362" s="14"/>
      <c r="Y1362" s="79">
        <v>10</v>
      </c>
      <c r="Z1362" s="56" t="s">
        <v>35</v>
      </c>
    </row>
    <row r="1363" spans="1:27" ht="23.1" customHeight="1" x14ac:dyDescent="0.25">
      <c r="A1363" s="53" t="s">
        <v>909</v>
      </c>
      <c r="B1363" s="10" t="s">
        <v>113</v>
      </c>
      <c r="C1363" s="10">
        <v>117</v>
      </c>
      <c r="D1363" s="10" t="s">
        <v>1083</v>
      </c>
      <c r="E1363" s="41" t="s">
        <v>1082</v>
      </c>
      <c r="F1363" s="41" t="s">
        <v>1082</v>
      </c>
      <c r="G1363" s="21" t="str">
        <f>VLOOKUP(D1363,[6]成飞半成品!$A:$B,2,0)</f>
        <v xml:space="preserve"> 前梁</v>
      </c>
      <c r="H1363" s="10" t="s">
        <v>123</v>
      </c>
      <c r="I1363" s="10">
        <v>20</v>
      </c>
      <c r="J1363" s="10" t="s">
        <v>2171</v>
      </c>
      <c r="L1363" s="10">
        <v>0.6</v>
      </c>
      <c r="M1363" s="14">
        <v>32</v>
      </c>
      <c r="N1363" s="14">
        <v>32</v>
      </c>
      <c r="O1363" s="55" t="s">
        <v>780</v>
      </c>
      <c r="Q1363" s="10">
        <v>590</v>
      </c>
      <c r="R1363" s="10">
        <v>60</v>
      </c>
      <c r="U1363" s="10">
        <v>90</v>
      </c>
      <c r="W1363" s="14"/>
      <c r="Y1363" s="79">
        <v>5.9</v>
      </c>
      <c r="Z1363" s="56" t="s">
        <v>35</v>
      </c>
    </row>
    <row r="1364" spans="1:27" ht="23.1" customHeight="1" x14ac:dyDescent="0.25">
      <c r="A1364" s="53" t="s">
        <v>909</v>
      </c>
      <c r="B1364" s="10" t="s">
        <v>113</v>
      </c>
      <c r="C1364" s="10">
        <v>118</v>
      </c>
      <c r="D1364" s="10" t="s">
        <v>1171</v>
      </c>
      <c r="E1364" s="41" t="s">
        <v>1172</v>
      </c>
      <c r="F1364" s="41" t="s">
        <v>1172</v>
      </c>
      <c r="G1364" s="21" t="str">
        <f>VLOOKUP(D1364,[6]成飞半成品!$A:$B,2,0)</f>
        <v>后梁</v>
      </c>
      <c r="H1364" s="10" t="s">
        <v>300</v>
      </c>
      <c r="I1364" s="10">
        <v>35</v>
      </c>
      <c r="J1364" s="10" t="s">
        <v>2187</v>
      </c>
      <c r="K1364" s="10">
        <v>0.15</v>
      </c>
      <c r="L1364" s="10">
        <v>0.15</v>
      </c>
      <c r="M1364" s="14">
        <v>32</v>
      </c>
      <c r="N1364" s="14">
        <v>32</v>
      </c>
      <c r="O1364" s="55" t="s">
        <v>330</v>
      </c>
      <c r="Q1364" s="10">
        <v>5000</v>
      </c>
      <c r="R1364" s="10">
        <v>60</v>
      </c>
      <c r="U1364" s="10">
        <v>300</v>
      </c>
      <c r="W1364" s="14"/>
      <c r="Y1364" s="79">
        <v>12.5</v>
      </c>
      <c r="Z1364" s="56" t="s">
        <v>35</v>
      </c>
    </row>
    <row r="1365" spans="1:27" ht="23.1" customHeight="1" x14ac:dyDescent="0.25">
      <c r="A1365" s="53" t="s">
        <v>909</v>
      </c>
      <c r="B1365" s="10" t="s">
        <v>113</v>
      </c>
      <c r="C1365" s="10">
        <v>98</v>
      </c>
      <c r="D1365" s="10" t="s">
        <v>481</v>
      </c>
      <c r="E1365" s="41" t="s">
        <v>482</v>
      </c>
      <c r="F1365" s="41" t="s">
        <v>482</v>
      </c>
      <c r="G1365" s="21" t="str">
        <f>VLOOKUP(D1365,[6]成飞半成品!$A:$B,2,0)</f>
        <v>11140框左下半框</v>
      </c>
      <c r="H1365" s="10" t="s">
        <v>118</v>
      </c>
      <c r="I1365" s="10">
        <v>35</v>
      </c>
      <c r="J1365" s="10" t="s">
        <v>2174</v>
      </c>
      <c r="K1365" s="10">
        <v>0.8</v>
      </c>
      <c r="L1365" s="10">
        <v>1.2</v>
      </c>
      <c r="M1365" s="14">
        <v>32</v>
      </c>
      <c r="N1365" s="14">
        <v>32</v>
      </c>
      <c r="O1365" s="55" t="s">
        <v>1137</v>
      </c>
      <c r="Q1365" s="10">
        <v>800</v>
      </c>
      <c r="R1365" s="10">
        <v>60</v>
      </c>
      <c r="T1365" s="10">
        <v>1</v>
      </c>
      <c r="U1365" s="10">
        <v>120</v>
      </c>
      <c r="W1365" s="14"/>
      <c r="Y1365" s="79">
        <v>17</v>
      </c>
      <c r="Z1365" s="56" t="s">
        <v>35</v>
      </c>
    </row>
    <row r="1366" spans="1:27" ht="23.1" customHeight="1" x14ac:dyDescent="0.25">
      <c r="A1366" s="53" t="s">
        <v>909</v>
      </c>
      <c r="B1366" s="10" t="s">
        <v>110</v>
      </c>
      <c r="C1366" s="10">
        <v>82</v>
      </c>
      <c r="D1366" s="10" t="s">
        <v>484</v>
      </c>
      <c r="E1366" s="41" t="s">
        <v>485</v>
      </c>
      <c r="F1366" s="41" t="s">
        <v>485</v>
      </c>
      <c r="G1366" s="21" t="str">
        <f>VLOOKUP(D1366,[6]成飞半成品!$A:$B,2,0)</f>
        <v>8635左隔框</v>
      </c>
      <c r="H1366" s="10" t="s">
        <v>300</v>
      </c>
      <c r="I1366" s="10">
        <v>15</v>
      </c>
      <c r="J1366" s="10" t="s">
        <v>2134</v>
      </c>
      <c r="K1366" s="10">
        <v>1</v>
      </c>
      <c r="L1366" s="10">
        <v>1</v>
      </c>
      <c r="M1366" s="14">
        <v>25</v>
      </c>
      <c r="N1366" s="14">
        <v>25</v>
      </c>
      <c r="O1366" s="55" t="s">
        <v>456</v>
      </c>
      <c r="Q1366" s="10">
        <v>120</v>
      </c>
      <c r="R1366" s="10">
        <v>60</v>
      </c>
      <c r="T1366" s="10">
        <v>1</v>
      </c>
      <c r="U1366" s="10">
        <v>90</v>
      </c>
      <c r="W1366" s="14">
        <v>1</v>
      </c>
      <c r="X1366" s="10">
        <v>4</v>
      </c>
      <c r="Y1366" s="79">
        <v>8.5</v>
      </c>
      <c r="Z1366" s="56" t="s">
        <v>56</v>
      </c>
      <c r="AA1366" s="14" t="s">
        <v>1139</v>
      </c>
    </row>
    <row r="1367" spans="1:27" ht="23.1" customHeight="1" x14ac:dyDescent="0.25">
      <c r="A1367" s="53" t="s">
        <v>909</v>
      </c>
      <c r="B1367" s="10" t="s">
        <v>110</v>
      </c>
      <c r="C1367" s="10">
        <v>82</v>
      </c>
      <c r="D1367" s="10" t="s">
        <v>484</v>
      </c>
      <c r="E1367" s="41" t="s">
        <v>485</v>
      </c>
      <c r="F1367" s="41" t="s">
        <v>485</v>
      </c>
      <c r="G1367" s="21" t="str">
        <f>VLOOKUP(D1367,[6]成飞半成品!$A:$B,2,0)</f>
        <v>8635左隔框</v>
      </c>
      <c r="H1367" s="10" t="s">
        <v>300</v>
      </c>
      <c r="I1367" s="10">
        <v>20</v>
      </c>
      <c r="J1367" s="10" t="s">
        <v>2135</v>
      </c>
      <c r="K1367" s="10">
        <v>1</v>
      </c>
      <c r="L1367" s="10">
        <v>1.4</v>
      </c>
      <c r="M1367" s="14">
        <v>25</v>
      </c>
      <c r="N1367" s="14">
        <v>25</v>
      </c>
      <c r="O1367" s="55" t="s">
        <v>1205</v>
      </c>
      <c r="Q1367" s="10">
        <v>420</v>
      </c>
      <c r="R1367" s="10">
        <v>60</v>
      </c>
      <c r="T1367" s="10">
        <v>2</v>
      </c>
      <c r="U1367" s="10">
        <v>90</v>
      </c>
      <c r="W1367" s="14">
        <v>1</v>
      </c>
      <c r="Y1367" s="79">
        <v>13.3</v>
      </c>
      <c r="Z1367" s="56" t="s">
        <v>56</v>
      </c>
    </row>
    <row r="1368" spans="1:27" ht="23.1" customHeight="1" x14ac:dyDescent="0.25">
      <c r="A1368" s="53" t="s">
        <v>909</v>
      </c>
      <c r="B1368" s="10" t="s">
        <v>110</v>
      </c>
      <c r="C1368" s="10">
        <v>103</v>
      </c>
      <c r="D1368" s="47" t="s">
        <v>1148</v>
      </c>
      <c r="E1368" s="41" t="s">
        <v>1149</v>
      </c>
      <c r="F1368" s="41" t="s">
        <v>1149</v>
      </c>
      <c r="G1368" s="21" t="str">
        <f>VLOOKUP(D1368,[6]成飞半成品!$A:$B,2,0)</f>
        <v>1号下壁板</v>
      </c>
      <c r="H1368" s="10" t="s">
        <v>300</v>
      </c>
      <c r="I1368" s="10">
        <v>10</v>
      </c>
      <c r="J1368" s="10" t="s">
        <v>2176</v>
      </c>
      <c r="K1368" s="10">
        <v>1.5</v>
      </c>
      <c r="L1368" s="10">
        <v>0.8</v>
      </c>
      <c r="M1368" s="14">
        <v>25</v>
      </c>
      <c r="N1368" s="14">
        <v>25</v>
      </c>
      <c r="O1368" s="55" t="s">
        <v>1206</v>
      </c>
      <c r="Q1368" s="10">
        <v>480</v>
      </c>
      <c r="R1368" s="10">
        <v>120</v>
      </c>
      <c r="T1368" s="10">
        <v>1</v>
      </c>
      <c r="U1368" s="10">
        <v>120</v>
      </c>
      <c r="W1368" s="14"/>
      <c r="Y1368" s="79">
        <v>8.4</v>
      </c>
      <c r="Z1368" s="56" t="s">
        <v>62</v>
      </c>
    </row>
    <row r="1369" spans="1:27" ht="23.1" customHeight="1" x14ac:dyDescent="0.25">
      <c r="A1369" s="53" t="s">
        <v>909</v>
      </c>
      <c r="B1369" s="10" t="s">
        <v>110</v>
      </c>
      <c r="C1369" s="10">
        <v>99</v>
      </c>
      <c r="D1369" s="10" t="s">
        <v>1191</v>
      </c>
      <c r="E1369" s="41" t="s">
        <v>1192</v>
      </c>
      <c r="F1369" s="41" t="s">
        <v>1192</v>
      </c>
      <c r="G1369" s="21" t="str">
        <f>VLOOKUP(D1369,[6]成飞半成品!$A:$B,2,0)</f>
        <v>后顶板</v>
      </c>
      <c r="H1369" s="10" t="s">
        <v>300</v>
      </c>
      <c r="I1369" s="10">
        <v>25</v>
      </c>
      <c r="J1369" s="10" t="s">
        <v>2182</v>
      </c>
      <c r="L1369" s="10">
        <v>1</v>
      </c>
      <c r="M1369" s="14">
        <v>25</v>
      </c>
      <c r="N1369" s="14">
        <v>25</v>
      </c>
      <c r="O1369" s="55" t="s">
        <v>470</v>
      </c>
      <c r="Q1369" s="10">
        <v>120</v>
      </c>
      <c r="R1369" s="10">
        <v>60</v>
      </c>
      <c r="T1369" s="10">
        <v>1</v>
      </c>
      <c r="U1369" s="10">
        <v>60</v>
      </c>
      <c r="W1369" s="14">
        <v>1</v>
      </c>
      <c r="Y1369" s="79">
        <v>4</v>
      </c>
      <c r="Z1369" s="56" t="s">
        <v>21</v>
      </c>
    </row>
    <row r="1370" spans="1:27" ht="23.1" customHeight="1" x14ac:dyDescent="0.25">
      <c r="A1370" s="53" t="s">
        <v>909</v>
      </c>
      <c r="B1370" s="10" t="s">
        <v>110</v>
      </c>
      <c r="C1370" s="10">
        <v>99</v>
      </c>
      <c r="D1370" s="10" t="s">
        <v>1191</v>
      </c>
      <c r="E1370" s="41" t="s">
        <v>1192</v>
      </c>
      <c r="F1370" s="41" t="s">
        <v>1192</v>
      </c>
      <c r="G1370" s="21" t="str">
        <f>VLOOKUP(D1370,[6]成飞半成品!$A:$B,2,0)</f>
        <v>后顶板</v>
      </c>
      <c r="H1370" s="10" t="s">
        <v>300</v>
      </c>
      <c r="I1370" s="10">
        <v>30</v>
      </c>
      <c r="J1370" s="10" t="s">
        <v>2186</v>
      </c>
      <c r="L1370" s="10">
        <v>0.5</v>
      </c>
      <c r="M1370" s="14">
        <v>25</v>
      </c>
      <c r="N1370" s="14">
        <v>25</v>
      </c>
      <c r="O1370" s="55" t="s">
        <v>470</v>
      </c>
      <c r="Q1370" s="10">
        <v>1080</v>
      </c>
      <c r="R1370" s="10">
        <v>120</v>
      </c>
      <c r="T1370" s="10">
        <v>1</v>
      </c>
      <c r="U1370" s="10">
        <v>120</v>
      </c>
      <c r="W1370" s="14">
        <v>1</v>
      </c>
      <c r="Y1370" s="79">
        <v>13</v>
      </c>
      <c r="Z1370" s="56" t="s">
        <v>21</v>
      </c>
    </row>
    <row r="1371" spans="1:27" ht="23.1" customHeight="1" x14ac:dyDescent="0.25">
      <c r="A1371" s="53" t="s">
        <v>909</v>
      </c>
      <c r="B1371" s="10" t="s">
        <v>110</v>
      </c>
      <c r="C1371" s="10">
        <v>19</v>
      </c>
      <c r="D1371" s="10" t="s">
        <v>395</v>
      </c>
      <c r="E1371" s="41" t="s">
        <v>396</v>
      </c>
      <c r="F1371" s="41" t="e">
        <v>#N/A</v>
      </c>
      <c r="G1371" s="21" t="e">
        <f>VLOOKUP(D1371,[6]成飞半成品!$A:$B,2,0)</f>
        <v>#N/A</v>
      </c>
      <c r="H1371" s="10" t="s">
        <v>300</v>
      </c>
      <c r="I1371" s="10">
        <v>20</v>
      </c>
      <c r="J1371" s="10" t="s">
        <v>1962</v>
      </c>
      <c r="K1371" s="10">
        <v>2</v>
      </c>
      <c r="L1371" s="10">
        <v>1</v>
      </c>
      <c r="M1371" s="14">
        <v>25</v>
      </c>
      <c r="N1371" s="14">
        <v>25</v>
      </c>
      <c r="O1371" s="55" t="s">
        <v>199</v>
      </c>
      <c r="Q1371" s="10">
        <v>60</v>
      </c>
      <c r="R1371" s="10">
        <v>90</v>
      </c>
      <c r="T1371" s="10">
        <v>1</v>
      </c>
      <c r="U1371" s="10">
        <v>60</v>
      </c>
      <c r="W1371" s="14">
        <v>1</v>
      </c>
      <c r="X1371" s="10">
        <v>3</v>
      </c>
      <c r="Y1371" s="79">
        <v>6.5</v>
      </c>
      <c r="Z1371" s="56" t="s">
        <v>11</v>
      </c>
      <c r="AA1371" s="14" t="s">
        <v>1078</v>
      </c>
    </row>
    <row r="1372" spans="1:27" ht="23.1" customHeight="1" x14ac:dyDescent="0.25">
      <c r="A1372" s="53" t="s">
        <v>909</v>
      </c>
      <c r="B1372" s="10" t="s">
        <v>110</v>
      </c>
      <c r="C1372" s="10">
        <v>19</v>
      </c>
      <c r="D1372" s="10" t="s">
        <v>395</v>
      </c>
      <c r="E1372" s="41" t="s">
        <v>396</v>
      </c>
      <c r="F1372" s="41" t="e">
        <v>#N/A</v>
      </c>
      <c r="G1372" s="21" t="e">
        <f>VLOOKUP(D1372,[6]成飞半成品!$A:$B,2,0)</f>
        <v>#N/A</v>
      </c>
      <c r="H1372" s="10" t="s">
        <v>300</v>
      </c>
      <c r="I1372" s="10">
        <v>6</v>
      </c>
      <c r="L1372" s="10">
        <v>1</v>
      </c>
      <c r="M1372" s="14">
        <v>25</v>
      </c>
      <c r="N1372" s="14">
        <v>25</v>
      </c>
      <c r="O1372" s="55" t="s">
        <v>1121</v>
      </c>
      <c r="P1372" s="10">
        <v>30</v>
      </c>
      <c r="S1372" s="10">
        <v>60</v>
      </c>
      <c r="T1372" s="10">
        <v>1</v>
      </c>
      <c r="V1372" s="10">
        <v>60</v>
      </c>
      <c r="W1372" s="14">
        <v>1</v>
      </c>
      <c r="Y1372" s="83">
        <v>2.5</v>
      </c>
      <c r="Z1372" s="56" t="s">
        <v>11</v>
      </c>
    </row>
    <row r="1373" spans="1:27" ht="23.1" customHeight="1" x14ac:dyDescent="0.25">
      <c r="A1373" s="53" t="s">
        <v>909</v>
      </c>
      <c r="B1373" s="10" t="s">
        <v>110</v>
      </c>
      <c r="C1373" s="10">
        <v>19</v>
      </c>
      <c r="D1373" s="10" t="s">
        <v>395</v>
      </c>
      <c r="E1373" s="41" t="s">
        <v>396</v>
      </c>
      <c r="F1373" s="41" t="e">
        <v>#N/A</v>
      </c>
      <c r="G1373" s="21" t="e">
        <f>VLOOKUP(D1373,[6]成飞半成品!$A:$B,2,0)</f>
        <v>#N/A</v>
      </c>
      <c r="H1373" s="10" t="s">
        <v>300</v>
      </c>
      <c r="I1373" s="10">
        <v>8</v>
      </c>
      <c r="L1373" s="10">
        <v>1</v>
      </c>
      <c r="M1373" s="14">
        <v>25</v>
      </c>
      <c r="N1373" s="14">
        <v>25</v>
      </c>
      <c r="O1373" s="55" t="s">
        <v>1121</v>
      </c>
      <c r="P1373" s="10">
        <v>30</v>
      </c>
      <c r="S1373" s="10">
        <v>60</v>
      </c>
      <c r="T1373" s="10">
        <v>1</v>
      </c>
      <c r="V1373" s="10">
        <v>60</v>
      </c>
      <c r="W1373" s="14">
        <v>1</v>
      </c>
      <c r="Y1373" s="83">
        <v>2.5</v>
      </c>
      <c r="Z1373" s="56" t="s">
        <v>11</v>
      </c>
    </row>
    <row r="1374" spans="1:27" ht="23.1" customHeight="1" x14ac:dyDescent="0.25">
      <c r="A1374" s="53" t="s">
        <v>909</v>
      </c>
      <c r="B1374" s="10" t="s">
        <v>110</v>
      </c>
      <c r="C1374" s="10">
        <v>19</v>
      </c>
      <c r="D1374" s="10" t="s">
        <v>395</v>
      </c>
      <c r="E1374" s="41" t="s">
        <v>396</v>
      </c>
      <c r="F1374" s="41" t="e">
        <v>#N/A</v>
      </c>
      <c r="G1374" s="21" t="e">
        <f>VLOOKUP(D1374,[6]成飞半成品!$A:$B,2,0)</f>
        <v>#N/A</v>
      </c>
      <c r="H1374" s="10" t="s">
        <v>300</v>
      </c>
      <c r="I1374" s="10">
        <v>10</v>
      </c>
      <c r="J1374" s="10" t="s">
        <v>1916</v>
      </c>
      <c r="L1374" s="10">
        <v>1</v>
      </c>
      <c r="M1374" s="14">
        <v>25</v>
      </c>
      <c r="N1374" s="14">
        <v>25</v>
      </c>
      <c r="O1374" s="55" t="s">
        <v>1121</v>
      </c>
      <c r="Q1374" s="10">
        <v>60</v>
      </c>
      <c r="R1374" s="10">
        <v>90</v>
      </c>
      <c r="T1374" s="10">
        <v>1</v>
      </c>
      <c r="U1374" s="10">
        <v>60</v>
      </c>
      <c r="W1374" s="14">
        <v>1</v>
      </c>
      <c r="Y1374" s="79">
        <v>3.5</v>
      </c>
      <c r="Z1374" s="56" t="s">
        <v>11</v>
      </c>
    </row>
    <row r="1375" spans="1:27" ht="23.1" customHeight="1" x14ac:dyDescent="0.25">
      <c r="A1375" s="53" t="s">
        <v>909</v>
      </c>
      <c r="B1375" s="10" t="s">
        <v>110</v>
      </c>
      <c r="C1375" s="10">
        <v>19</v>
      </c>
      <c r="D1375" s="10" t="s">
        <v>395</v>
      </c>
      <c r="E1375" s="41" t="s">
        <v>396</v>
      </c>
      <c r="F1375" s="41" t="e">
        <v>#N/A</v>
      </c>
      <c r="G1375" s="21" t="e">
        <f>VLOOKUP(D1375,[6]成飞半成品!$A:$B,2,0)</f>
        <v>#N/A</v>
      </c>
      <c r="H1375" s="10" t="s">
        <v>300</v>
      </c>
      <c r="I1375" s="10">
        <v>15</v>
      </c>
      <c r="J1375" s="10" t="s">
        <v>2112</v>
      </c>
      <c r="L1375" s="10">
        <v>2</v>
      </c>
      <c r="M1375" s="14">
        <v>25</v>
      </c>
      <c r="N1375" s="14">
        <v>25</v>
      </c>
      <c r="O1375" s="55" t="s">
        <v>1121</v>
      </c>
      <c r="Q1375" s="10">
        <v>80</v>
      </c>
      <c r="R1375" s="10">
        <v>90</v>
      </c>
      <c r="T1375" s="10">
        <v>2</v>
      </c>
      <c r="U1375" s="10">
        <v>90</v>
      </c>
      <c r="W1375" s="14">
        <v>1</v>
      </c>
      <c r="Y1375" s="79">
        <v>7.2</v>
      </c>
      <c r="Z1375" s="56" t="s">
        <v>11</v>
      </c>
    </row>
    <row r="1376" spans="1:27" ht="23.1" customHeight="1" x14ac:dyDescent="0.25">
      <c r="A1376" s="53" t="s">
        <v>909</v>
      </c>
      <c r="B1376" s="10" t="s">
        <v>110</v>
      </c>
      <c r="C1376" s="10">
        <v>105</v>
      </c>
      <c r="D1376" s="10" t="s">
        <v>834</v>
      </c>
      <c r="E1376" s="41" t="s">
        <v>1065</v>
      </c>
      <c r="F1376" s="41" t="s">
        <v>1065</v>
      </c>
      <c r="G1376" s="21" t="str">
        <f>VLOOKUP(D1376,[6]成飞半成品!$A:$B,2,0)</f>
        <v>根肋三段</v>
      </c>
      <c r="H1376" s="10" t="s">
        <v>250</v>
      </c>
      <c r="I1376" s="10">
        <v>45</v>
      </c>
      <c r="J1376" s="10" t="s">
        <v>2188</v>
      </c>
      <c r="K1376" s="10">
        <v>2</v>
      </c>
      <c r="L1376" s="10">
        <v>5</v>
      </c>
      <c r="M1376" s="14">
        <v>25</v>
      </c>
      <c r="N1376" s="14">
        <v>25</v>
      </c>
      <c r="O1376" s="55" t="s">
        <v>1077</v>
      </c>
      <c r="Q1376" s="10">
        <v>60</v>
      </c>
      <c r="R1376" s="10">
        <v>60</v>
      </c>
      <c r="T1376" s="10">
        <v>5</v>
      </c>
      <c r="U1376" s="10">
        <v>60</v>
      </c>
      <c r="W1376" s="14">
        <v>1</v>
      </c>
      <c r="Y1376" s="79">
        <v>11</v>
      </c>
      <c r="Z1376" s="56" t="s">
        <v>28</v>
      </c>
    </row>
    <row r="1377" spans="1:27" ht="23.1" customHeight="1" x14ac:dyDescent="0.25">
      <c r="A1377" s="53" t="s">
        <v>909</v>
      </c>
      <c r="B1377" s="10" t="s">
        <v>110</v>
      </c>
      <c r="C1377" s="10">
        <v>97</v>
      </c>
      <c r="D1377" s="10" t="s">
        <v>1239</v>
      </c>
      <c r="E1377" s="41" t="s">
        <v>1065</v>
      </c>
      <c r="F1377" s="41" t="s">
        <v>1065</v>
      </c>
      <c r="G1377" s="21" t="str">
        <f>VLOOKUP(D1377,[6]成飞半成品!$A:$B,2,0)</f>
        <v>根肋三段</v>
      </c>
      <c r="H1377" s="10" t="s">
        <v>250</v>
      </c>
      <c r="I1377" s="10">
        <v>60</v>
      </c>
      <c r="J1377" s="10" t="s">
        <v>2156</v>
      </c>
      <c r="K1377" s="10">
        <v>0.7</v>
      </c>
      <c r="L1377" s="10">
        <v>1</v>
      </c>
      <c r="M1377" s="14">
        <v>25</v>
      </c>
      <c r="N1377" s="14">
        <v>25</v>
      </c>
      <c r="O1377" s="55" t="s">
        <v>1077</v>
      </c>
      <c r="Q1377" s="10">
        <v>570</v>
      </c>
      <c r="R1377" s="10">
        <v>60</v>
      </c>
      <c r="T1377" s="10">
        <v>1</v>
      </c>
      <c r="U1377" s="10">
        <v>60</v>
      </c>
      <c r="W1377" s="14"/>
      <c r="Y1377" s="79">
        <v>10.5</v>
      </c>
      <c r="Z1377" s="56" t="s">
        <v>1</v>
      </c>
    </row>
    <row r="1378" spans="1:27" ht="23.1" customHeight="1" x14ac:dyDescent="0.25">
      <c r="A1378" s="53" t="s">
        <v>909</v>
      </c>
      <c r="B1378" s="10" t="s">
        <v>110</v>
      </c>
      <c r="C1378" s="10">
        <v>117</v>
      </c>
      <c r="D1378" s="10" t="s">
        <v>1083</v>
      </c>
      <c r="E1378" s="41" t="s">
        <v>1082</v>
      </c>
      <c r="F1378" s="41" t="s">
        <v>1082</v>
      </c>
      <c r="G1378" s="21" t="str">
        <f>VLOOKUP(D1378,[6]成飞半成品!$A:$B,2,0)</f>
        <v xml:space="preserve"> 前梁</v>
      </c>
      <c r="H1378" s="10" t="s">
        <v>123</v>
      </c>
      <c r="I1378" s="10">
        <v>20</v>
      </c>
      <c r="J1378" s="10" t="s">
        <v>2171</v>
      </c>
      <c r="K1378" s="10">
        <v>1</v>
      </c>
      <c r="L1378" s="10">
        <v>1</v>
      </c>
      <c r="M1378" s="14">
        <v>25</v>
      </c>
      <c r="N1378" s="14">
        <v>25</v>
      </c>
      <c r="O1378" s="55" t="s">
        <v>860</v>
      </c>
      <c r="Q1378" s="10">
        <v>590</v>
      </c>
      <c r="R1378" s="10">
        <v>60</v>
      </c>
      <c r="T1378" s="10">
        <v>1</v>
      </c>
      <c r="U1378" s="10">
        <v>90</v>
      </c>
      <c r="W1378" s="14">
        <v>1</v>
      </c>
      <c r="Y1378" s="79">
        <v>12.3</v>
      </c>
      <c r="Z1378" s="56" t="s">
        <v>32</v>
      </c>
    </row>
    <row r="1379" spans="1:27" ht="23.1" customHeight="1" x14ac:dyDescent="0.25">
      <c r="A1379" s="53" t="s">
        <v>909</v>
      </c>
      <c r="B1379" s="10" t="s">
        <v>110</v>
      </c>
      <c r="C1379" s="10">
        <v>118</v>
      </c>
      <c r="D1379" s="10" t="s">
        <v>1171</v>
      </c>
      <c r="E1379" s="41" t="s">
        <v>1172</v>
      </c>
      <c r="F1379" s="41" t="s">
        <v>1172</v>
      </c>
      <c r="G1379" s="21" t="str">
        <f>VLOOKUP(D1379,[6]成飞半成品!$A:$B,2,0)</f>
        <v>后梁</v>
      </c>
      <c r="H1379" s="10" t="s">
        <v>300</v>
      </c>
      <c r="I1379" s="10">
        <v>35</v>
      </c>
      <c r="J1379" s="10" t="s">
        <v>2187</v>
      </c>
      <c r="L1379" s="10">
        <v>0.15</v>
      </c>
      <c r="M1379" s="14">
        <v>25</v>
      </c>
      <c r="N1379" s="14">
        <v>25</v>
      </c>
      <c r="O1379" s="55" t="s">
        <v>330</v>
      </c>
      <c r="Q1379" s="10">
        <v>5000</v>
      </c>
      <c r="R1379" s="10">
        <v>60</v>
      </c>
      <c r="T1379" s="10">
        <v>1</v>
      </c>
      <c r="U1379" s="10">
        <v>300</v>
      </c>
      <c r="W1379" s="14">
        <v>1</v>
      </c>
      <c r="Y1379" s="79">
        <v>18.5</v>
      </c>
      <c r="Z1379" s="56" t="s">
        <v>32</v>
      </c>
    </row>
    <row r="1380" spans="1:27" ht="23.1" customHeight="1" x14ac:dyDescent="0.25">
      <c r="A1380" s="53" t="s">
        <v>909</v>
      </c>
      <c r="B1380" s="10" t="s">
        <v>110</v>
      </c>
      <c r="C1380" s="10">
        <v>83</v>
      </c>
      <c r="D1380" s="10" t="s">
        <v>1197</v>
      </c>
      <c r="E1380" s="41" t="s">
        <v>1198</v>
      </c>
      <c r="F1380" s="41" t="s">
        <v>1198</v>
      </c>
      <c r="G1380" s="21" t="str">
        <f>VLOOKUP(D1380,[6]成飞半成品!$A:$B,2,0)</f>
        <v>1150肋根肋</v>
      </c>
      <c r="H1380" s="10" t="s">
        <v>658</v>
      </c>
      <c r="I1380" s="10">
        <v>5</v>
      </c>
      <c r="J1380" s="10" t="s">
        <v>2179</v>
      </c>
      <c r="K1380" s="10">
        <v>6</v>
      </c>
      <c r="L1380" s="10">
        <v>4</v>
      </c>
      <c r="M1380" s="14">
        <v>25</v>
      </c>
      <c r="N1380" s="14">
        <v>25</v>
      </c>
      <c r="O1380" s="55" t="s">
        <v>282</v>
      </c>
      <c r="Q1380" s="10">
        <v>90</v>
      </c>
      <c r="R1380" s="10">
        <v>60</v>
      </c>
      <c r="T1380" s="10">
        <v>4</v>
      </c>
      <c r="U1380" s="10">
        <v>60</v>
      </c>
      <c r="W1380" s="14"/>
      <c r="Y1380" s="79">
        <v>10</v>
      </c>
      <c r="Z1380" s="56" t="s">
        <v>67</v>
      </c>
    </row>
    <row r="1381" spans="1:27" ht="23.1" customHeight="1" x14ac:dyDescent="0.25">
      <c r="A1381" s="53" t="s">
        <v>909</v>
      </c>
      <c r="B1381" s="10" t="s">
        <v>110</v>
      </c>
      <c r="C1381" s="10">
        <v>106</v>
      </c>
      <c r="D1381" s="10" t="s">
        <v>1070</v>
      </c>
      <c r="E1381" s="41" t="s">
        <v>101</v>
      </c>
      <c r="F1381" s="41" t="s">
        <v>101</v>
      </c>
      <c r="G1381" s="21" t="str">
        <f>VLOOKUP(D1381,[6]成飞半成品!$A:$B,2,0)</f>
        <v>前梁一段</v>
      </c>
      <c r="H1381" s="10" t="s">
        <v>300</v>
      </c>
      <c r="I1381" s="10">
        <v>30</v>
      </c>
      <c r="J1381" s="10" t="s">
        <v>2127</v>
      </c>
      <c r="K1381" s="10">
        <v>0.5</v>
      </c>
      <c r="L1381" s="10">
        <v>0.5</v>
      </c>
      <c r="M1381" s="14">
        <v>25</v>
      </c>
      <c r="N1381" s="14">
        <v>25</v>
      </c>
      <c r="O1381" s="55" t="s">
        <v>247</v>
      </c>
      <c r="Q1381" s="10">
        <v>1500</v>
      </c>
      <c r="R1381" s="10">
        <v>180</v>
      </c>
      <c r="U1381" s="10">
        <v>180</v>
      </c>
      <c r="W1381" s="14"/>
      <c r="Y1381" s="79">
        <v>12.5</v>
      </c>
      <c r="Z1381" s="56" t="s">
        <v>67</v>
      </c>
    </row>
    <row r="1382" spans="1:27" ht="23.1" customHeight="1" x14ac:dyDescent="0.25">
      <c r="A1382" s="53" t="s">
        <v>909</v>
      </c>
      <c r="B1382" s="10" t="s">
        <v>110</v>
      </c>
      <c r="C1382" s="10">
        <v>44</v>
      </c>
      <c r="D1382" s="10" t="s">
        <v>266</v>
      </c>
      <c r="E1382" s="41" t="s">
        <v>267</v>
      </c>
      <c r="F1382" s="41" t="s">
        <v>267</v>
      </c>
      <c r="G1382" s="21" t="str">
        <f>VLOOKUP(D1382,[6]成飞半成品!$A:$B,2,0)</f>
        <v>后端框</v>
      </c>
      <c r="H1382" s="10" t="s">
        <v>118</v>
      </c>
      <c r="I1382" s="10">
        <v>55</v>
      </c>
      <c r="J1382" s="10" t="s">
        <v>2166</v>
      </c>
      <c r="K1382" s="10">
        <v>0.6</v>
      </c>
      <c r="L1382" s="10">
        <v>0.5</v>
      </c>
      <c r="M1382" s="14">
        <v>25</v>
      </c>
      <c r="N1382" s="14">
        <v>25</v>
      </c>
      <c r="O1382" s="55" t="s">
        <v>429</v>
      </c>
      <c r="Q1382" s="10">
        <v>1260</v>
      </c>
      <c r="R1382" s="10">
        <v>90</v>
      </c>
      <c r="T1382" s="10">
        <v>1</v>
      </c>
      <c r="U1382" s="10">
        <v>60</v>
      </c>
      <c r="W1382" s="14"/>
      <c r="Y1382" s="79">
        <v>12</v>
      </c>
      <c r="Z1382" s="56" t="s">
        <v>67</v>
      </c>
    </row>
    <row r="1383" spans="1:27" ht="23.1" customHeight="1" x14ac:dyDescent="0.25">
      <c r="A1383" s="53" t="s">
        <v>909</v>
      </c>
      <c r="B1383" s="10" t="s">
        <v>110</v>
      </c>
      <c r="C1383" s="10">
        <v>100</v>
      </c>
      <c r="D1383" s="65" t="s">
        <v>2551</v>
      </c>
      <c r="E1383" s="41" t="s">
        <v>938</v>
      </c>
      <c r="F1383" s="41" t="s">
        <v>938</v>
      </c>
      <c r="G1383" s="21" t="str">
        <f>VLOOKUP(D1383,[6]成飞半成品!$A:$B,2,0)</f>
        <v>工装</v>
      </c>
      <c r="H1383" s="10" t="s">
        <v>939</v>
      </c>
      <c r="I1383" s="10">
        <v>40</v>
      </c>
      <c r="J1383" s="10" t="s">
        <v>2173</v>
      </c>
      <c r="K1383" s="10">
        <v>1</v>
      </c>
      <c r="L1383" s="10">
        <v>1.1000000000000001</v>
      </c>
      <c r="M1383" s="14">
        <v>25</v>
      </c>
      <c r="N1383" s="14">
        <v>25</v>
      </c>
      <c r="O1383" s="55" t="s">
        <v>1207</v>
      </c>
      <c r="Q1383" s="10">
        <v>840</v>
      </c>
      <c r="R1383" s="10">
        <v>60</v>
      </c>
      <c r="T1383" s="10">
        <v>1</v>
      </c>
      <c r="U1383" s="10">
        <v>120</v>
      </c>
      <c r="W1383" s="14"/>
      <c r="Y1383" s="79">
        <v>16.399999999999999</v>
      </c>
      <c r="Z1383" s="56" t="s">
        <v>67</v>
      </c>
    </row>
    <row r="1384" spans="1:27" ht="23.1" customHeight="1" x14ac:dyDescent="0.25">
      <c r="A1384" s="53" t="s">
        <v>909</v>
      </c>
      <c r="B1384" s="10" t="s">
        <v>110</v>
      </c>
      <c r="C1384" s="10">
        <v>102</v>
      </c>
      <c r="D1384" s="10" t="s">
        <v>1097</v>
      </c>
      <c r="E1384" s="41" t="s">
        <v>1098</v>
      </c>
      <c r="F1384" s="41" t="s">
        <v>1098</v>
      </c>
      <c r="G1384" s="21" t="str">
        <f>VLOOKUP(D1384,[6]成飞半成品!$A:$B,2,0)</f>
        <v>根肋一段</v>
      </c>
      <c r="H1384" s="10" t="s">
        <v>250</v>
      </c>
      <c r="I1384" s="10">
        <v>50</v>
      </c>
      <c r="J1384" s="10" t="s">
        <v>2185</v>
      </c>
      <c r="K1384" s="10">
        <v>0.3</v>
      </c>
      <c r="L1384" s="10">
        <v>0.3</v>
      </c>
      <c r="M1384" s="14">
        <v>25</v>
      </c>
      <c r="N1384" s="14">
        <v>25</v>
      </c>
      <c r="O1384" s="55" t="s">
        <v>216</v>
      </c>
      <c r="Q1384" s="10">
        <v>1080</v>
      </c>
      <c r="R1384" s="10">
        <v>60</v>
      </c>
      <c r="T1384" s="10">
        <v>1</v>
      </c>
      <c r="U1384" s="10">
        <v>120</v>
      </c>
      <c r="W1384" s="14">
        <v>1</v>
      </c>
      <c r="Y1384" s="79">
        <v>8.4</v>
      </c>
      <c r="Z1384" s="56" t="s">
        <v>67</v>
      </c>
    </row>
    <row r="1385" spans="1:27" ht="23.1" customHeight="1" x14ac:dyDescent="0.25">
      <c r="A1385" s="53" t="s">
        <v>909</v>
      </c>
      <c r="B1385" s="10" t="s">
        <v>110</v>
      </c>
      <c r="C1385" s="10">
        <v>101</v>
      </c>
      <c r="D1385" s="10" t="s">
        <v>1128</v>
      </c>
      <c r="E1385" s="41" t="s">
        <v>708</v>
      </c>
      <c r="F1385" s="41" t="e">
        <v>#N/A</v>
      </c>
      <c r="G1385" s="21" t="e">
        <f>VLOOKUP(D1385,[6]成飞半成品!$A:$B,2,0)</f>
        <v>#N/A</v>
      </c>
      <c r="H1385" s="10" t="s">
        <v>250</v>
      </c>
      <c r="I1385" s="10">
        <v>45</v>
      </c>
      <c r="J1385" s="10" t="s">
        <v>2146</v>
      </c>
      <c r="K1385" s="10">
        <v>5</v>
      </c>
      <c r="L1385" s="10">
        <v>3</v>
      </c>
      <c r="M1385" s="14">
        <v>25</v>
      </c>
      <c r="N1385" s="14">
        <v>25</v>
      </c>
      <c r="O1385" s="55" t="s">
        <v>755</v>
      </c>
      <c r="Q1385" s="10">
        <v>50</v>
      </c>
      <c r="R1385" s="10">
        <v>60</v>
      </c>
      <c r="T1385" s="10">
        <v>3</v>
      </c>
      <c r="U1385" s="10">
        <v>60</v>
      </c>
      <c r="W1385" s="14"/>
      <c r="Y1385" s="79">
        <v>5.5</v>
      </c>
      <c r="Z1385" s="56" t="s">
        <v>67</v>
      </c>
    </row>
    <row r="1386" spans="1:27" ht="23.1" customHeight="1" x14ac:dyDescent="0.25">
      <c r="A1386" s="53" t="s">
        <v>909</v>
      </c>
      <c r="B1386" s="10" t="s">
        <v>110</v>
      </c>
      <c r="C1386" s="10">
        <v>98</v>
      </c>
      <c r="D1386" s="10" t="s">
        <v>481</v>
      </c>
      <c r="E1386" s="41" t="s">
        <v>482</v>
      </c>
      <c r="F1386" s="41" t="s">
        <v>482</v>
      </c>
      <c r="G1386" s="21" t="str">
        <f>VLOOKUP(D1386,[6]成飞半成品!$A:$B,2,0)</f>
        <v>11140框左下半框</v>
      </c>
      <c r="H1386" s="10" t="s">
        <v>118</v>
      </c>
      <c r="I1386" s="10">
        <v>35</v>
      </c>
      <c r="J1386" s="10" t="s">
        <v>2174</v>
      </c>
      <c r="K1386" s="10">
        <v>0.8</v>
      </c>
      <c r="L1386" s="10">
        <v>1</v>
      </c>
      <c r="M1386" s="14">
        <v>25</v>
      </c>
      <c r="N1386" s="14">
        <v>25</v>
      </c>
      <c r="O1386" s="55" t="s">
        <v>1119</v>
      </c>
      <c r="Q1386" s="10">
        <v>800</v>
      </c>
      <c r="R1386" s="10">
        <v>60</v>
      </c>
      <c r="T1386" s="10">
        <v>1</v>
      </c>
      <c r="U1386" s="10">
        <v>120</v>
      </c>
      <c r="W1386" s="14"/>
      <c r="Y1386" s="79">
        <v>14.3</v>
      </c>
      <c r="Z1386" s="56" t="s">
        <v>67</v>
      </c>
    </row>
    <row r="1387" spans="1:27" ht="23.1" customHeight="1" x14ac:dyDescent="0.25">
      <c r="A1387" s="53" t="s">
        <v>909</v>
      </c>
      <c r="B1387" s="10" t="s">
        <v>110</v>
      </c>
      <c r="C1387" s="10">
        <v>106</v>
      </c>
      <c r="D1387" s="10" t="s">
        <v>1070</v>
      </c>
      <c r="E1387" s="41" t="s">
        <v>101</v>
      </c>
      <c r="F1387" s="41" t="s">
        <v>101</v>
      </c>
      <c r="G1387" s="21" t="str">
        <f>VLOOKUP(D1387,[6]成飞半成品!$A:$B,2,0)</f>
        <v>前梁一段</v>
      </c>
      <c r="H1387" s="10" t="s">
        <v>300</v>
      </c>
      <c r="I1387" s="10">
        <v>25</v>
      </c>
      <c r="J1387" s="10" t="s">
        <v>2163</v>
      </c>
      <c r="K1387" s="10">
        <v>0.5</v>
      </c>
      <c r="L1387" s="10">
        <v>0.5</v>
      </c>
      <c r="M1387" s="14">
        <v>25</v>
      </c>
      <c r="N1387" s="14">
        <v>25</v>
      </c>
      <c r="O1387" s="55" t="s">
        <v>247</v>
      </c>
      <c r="Q1387" s="10">
        <v>4800</v>
      </c>
      <c r="R1387" s="10">
        <v>180</v>
      </c>
      <c r="U1387" s="10">
        <v>180</v>
      </c>
      <c r="W1387" s="14"/>
      <c r="Y1387" s="79">
        <v>40</v>
      </c>
      <c r="Z1387" s="56" t="s">
        <v>67</v>
      </c>
    </row>
    <row r="1388" spans="1:27" ht="23.1" customHeight="1" x14ac:dyDescent="0.25">
      <c r="A1388" s="53" t="s">
        <v>909</v>
      </c>
      <c r="B1388" s="10" t="s">
        <v>110</v>
      </c>
      <c r="C1388" s="10">
        <v>83</v>
      </c>
      <c r="D1388" s="10" t="s">
        <v>1095</v>
      </c>
      <c r="E1388" s="41" t="s">
        <v>1096</v>
      </c>
      <c r="F1388" s="41" t="s">
        <v>1096</v>
      </c>
      <c r="G1388" s="21" t="str">
        <f>VLOOKUP(D1388,[6]成飞半成品!$A:$B,2,0)</f>
        <v>1150肋根肋</v>
      </c>
      <c r="H1388" s="10" t="s">
        <v>658</v>
      </c>
      <c r="I1388" s="10">
        <v>5</v>
      </c>
      <c r="J1388" s="10" t="s">
        <v>2179</v>
      </c>
      <c r="K1388" s="10">
        <v>2</v>
      </c>
      <c r="L1388" s="10">
        <v>9</v>
      </c>
      <c r="M1388" s="14">
        <v>25</v>
      </c>
      <c r="N1388" s="14">
        <v>25</v>
      </c>
      <c r="O1388" s="55" t="s">
        <v>412</v>
      </c>
      <c r="Q1388" s="10">
        <v>90</v>
      </c>
      <c r="R1388" s="10">
        <v>60</v>
      </c>
      <c r="T1388" s="10">
        <v>9</v>
      </c>
      <c r="U1388" s="10">
        <v>60</v>
      </c>
      <c r="W1388" s="14">
        <v>1</v>
      </c>
      <c r="Y1388" s="79">
        <v>23.5</v>
      </c>
      <c r="Z1388" s="56" t="s">
        <v>67</v>
      </c>
    </row>
    <row r="1389" spans="1:27" ht="23.1" customHeight="1" x14ac:dyDescent="0.25">
      <c r="A1389" s="53" t="s">
        <v>909</v>
      </c>
      <c r="B1389" s="10" t="s">
        <v>110</v>
      </c>
      <c r="C1389" s="10">
        <v>101</v>
      </c>
      <c r="D1389" s="10" t="s">
        <v>1128</v>
      </c>
      <c r="E1389" s="41" t="s">
        <v>708</v>
      </c>
      <c r="F1389" s="41" t="e">
        <v>#N/A</v>
      </c>
      <c r="G1389" s="21" t="e">
        <f>VLOOKUP(D1389,[6]成飞半成品!$A:$B,2,0)</f>
        <v>#N/A</v>
      </c>
      <c r="H1389" s="10" t="s">
        <v>250</v>
      </c>
      <c r="I1389" s="10">
        <v>40</v>
      </c>
      <c r="J1389" s="10" t="s">
        <v>1935</v>
      </c>
      <c r="K1389" s="10">
        <v>1</v>
      </c>
      <c r="L1389" s="10">
        <v>1.9</v>
      </c>
      <c r="M1389" s="14">
        <v>25</v>
      </c>
      <c r="N1389" s="14">
        <v>25</v>
      </c>
      <c r="O1389" s="55" t="s">
        <v>1137</v>
      </c>
      <c r="Q1389" s="10">
        <v>300</v>
      </c>
      <c r="R1389" s="10">
        <v>60</v>
      </c>
      <c r="T1389" s="10">
        <v>2</v>
      </c>
      <c r="U1389" s="10">
        <v>60</v>
      </c>
      <c r="W1389" s="14">
        <v>1</v>
      </c>
      <c r="X1389" s="10">
        <v>3</v>
      </c>
      <c r="Y1389" s="79">
        <v>15.5</v>
      </c>
      <c r="Z1389" s="56" t="s">
        <v>67</v>
      </c>
      <c r="AA1389" s="14" t="s">
        <v>1138</v>
      </c>
    </row>
    <row r="1390" spans="1:27" ht="23.1" customHeight="1" x14ac:dyDescent="0.25">
      <c r="A1390" s="53" t="s">
        <v>909</v>
      </c>
      <c r="B1390" s="10" t="s">
        <v>110</v>
      </c>
      <c r="C1390" s="10">
        <v>102</v>
      </c>
      <c r="D1390" s="10" t="s">
        <v>1097</v>
      </c>
      <c r="E1390" s="41" t="s">
        <v>1098</v>
      </c>
      <c r="F1390" s="41" t="s">
        <v>1098</v>
      </c>
      <c r="G1390" s="21" t="str">
        <f>VLOOKUP(D1390,[6]成飞半成品!$A:$B,2,0)</f>
        <v>根肋一段</v>
      </c>
      <c r="H1390" s="10" t="s">
        <v>250</v>
      </c>
      <c r="I1390" s="10">
        <v>45</v>
      </c>
      <c r="J1390" s="10" t="s">
        <v>2189</v>
      </c>
      <c r="K1390" s="10">
        <v>5</v>
      </c>
      <c r="L1390" s="10">
        <v>5</v>
      </c>
      <c r="M1390" s="14">
        <v>25</v>
      </c>
      <c r="N1390" s="14">
        <v>25</v>
      </c>
      <c r="O1390" s="55" t="s">
        <v>1208</v>
      </c>
      <c r="Q1390" s="10">
        <v>30</v>
      </c>
      <c r="R1390" s="10">
        <v>60</v>
      </c>
      <c r="T1390" s="10">
        <v>5</v>
      </c>
      <c r="U1390" s="10">
        <v>60</v>
      </c>
      <c r="W1390" s="14">
        <v>1</v>
      </c>
      <c r="X1390" s="10">
        <v>2</v>
      </c>
      <c r="Y1390" s="79">
        <v>10.5</v>
      </c>
      <c r="Z1390" s="56" t="s">
        <v>67</v>
      </c>
      <c r="AA1390" s="14" t="s">
        <v>1188</v>
      </c>
    </row>
    <row r="1391" spans="1:27" ht="23.1" customHeight="1" x14ac:dyDescent="0.25">
      <c r="A1391" s="53" t="s">
        <v>1002</v>
      </c>
      <c r="B1391" s="10" t="s">
        <v>110</v>
      </c>
      <c r="C1391" s="10">
        <v>83</v>
      </c>
      <c r="D1391" s="10" t="s">
        <v>1095</v>
      </c>
      <c r="E1391" s="41" t="s">
        <v>1096</v>
      </c>
      <c r="F1391" s="41" t="s">
        <v>1096</v>
      </c>
      <c r="G1391" s="21" t="str">
        <f>VLOOKUP(D1391,[6]成飞半成品!$A:$B,2,0)</f>
        <v>1150肋根肋</v>
      </c>
      <c r="H1391" s="10" t="s">
        <v>658</v>
      </c>
      <c r="I1391" s="10">
        <v>10</v>
      </c>
      <c r="J1391" s="10" t="s">
        <v>2192</v>
      </c>
      <c r="K1391" s="10">
        <v>3</v>
      </c>
      <c r="L1391" s="10">
        <v>14</v>
      </c>
      <c r="M1391" s="14">
        <v>25</v>
      </c>
      <c r="N1391" s="14">
        <v>25</v>
      </c>
      <c r="O1391" s="55" t="s">
        <v>1154</v>
      </c>
      <c r="Q1391" s="10">
        <v>90</v>
      </c>
      <c r="R1391" s="10">
        <v>60</v>
      </c>
      <c r="T1391" s="10">
        <v>14</v>
      </c>
      <c r="U1391" s="10">
        <v>60</v>
      </c>
      <c r="W1391" s="14">
        <v>1</v>
      </c>
      <c r="Y1391" s="79">
        <v>36</v>
      </c>
      <c r="Z1391" s="56" t="s">
        <v>67</v>
      </c>
    </row>
    <row r="1392" spans="1:27" ht="23.1" customHeight="1" x14ac:dyDescent="0.25">
      <c r="A1392" s="53" t="s">
        <v>1002</v>
      </c>
      <c r="B1392" s="10" t="s">
        <v>110</v>
      </c>
      <c r="C1392" s="10">
        <v>106</v>
      </c>
      <c r="D1392" s="10" t="s">
        <v>1070</v>
      </c>
      <c r="E1392" s="41" t="s">
        <v>101</v>
      </c>
      <c r="F1392" s="41" t="s">
        <v>101</v>
      </c>
      <c r="G1392" s="21" t="str">
        <f>VLOOKUP(D1392,[6]成飞半成品!$A:$B,2,0)</f>
        <v>前梁一段</v>
      </c>
      <c r="H1392" s="10" t="s">
        <v>300</v>
      </c>
      <c r="I1392" s="10">
        <v>35</v>
      </c>
      <c r="J1392" s="10" t="s">
        <v>2157</v>
      </c>
      <c r="K1392" s="10">
        <v>0.5</v>
      </c>
      <c r="L1392" s="10">
        <v>0.5</v>
      </c>
      <c r="M1392" s="14">
        <v>25</v>
      </c>
      <c r="N1392" s="14">
        <v>25</v>
      </c>
      <c r="O1392" s="55" t="s">
        <v>247</v>
      </c>
      <c r="Q1392" s="10">
        <v>1200</v>
      </c>
      <c r="R1392" s="10">
        <v>150</v>
      </c>
      <c r="U1392" s="10">
        <v>180</v>
      </c>
      <c r="W1392" s="14"/>
      <c r="Y1392" s="79">
        <v>10</v>
      </c>
      <c r="Z1392" s="56" t="s">
        <v>67</v>
      </c>
    </row>
    <row r="1393" spans="1:27" ht="23.1" customHeight="1" x14ac:dyDescent="0.25">
      <c r="A1393" s="53" t="s">
        <v>1002</v>
      </c>
      <c r="B1393" s="10" t="s">
        <v>110</v>
      </c>
      <c r="C1393" s="10">
        <v>44</v>
      </c>
      <c r="D1393" s="10" t="s">
        <v>266</v>
      </c>
      <c r="E1393" s="41" t="s">
        <v>267</v>
      </c>
      <c r="F1393" s="41" t="s">
        <v>267</v>
      </c>
      <c r="G1393" s="21" t="str">
        <f>VLOOKUP(D1393,[6]成飞半成品!$A:$B,2,0)</f>
        <v>后端框</v>
      </c>
      <c r="H1393" s="10" t="s">
        <v>118</v>
      </c>
      <c r="I1393" s="10">
        <v>55</v>
      </c>
      <c r="J1393" s="10" t="s">
        <v>2166</v>
      </c>
      <c r="K1393" s="10">
        <v>0.6</v>
      </c>
      <c r="L1393" s="10">
        <v>0.6</v>
      </c>
      <c r="M1393" s="14">
        <v>25</v>
      </c>
      <c r="N1393" s="14">
        <v>25</v>
      </c>
      <c r="O1393" s="55" t="s">
        <v>429</v>
      </c>
      <c r="Q1393" s="10">
        <v>1260</v>
      </c>
      <c r="R1393" s="10">
        <v>90</v>
      </c>
      <c r="T1393" s="10">
        <v>1</v>
      </c>
      <c r="U1393" s="10">
        <v>60</v>
      </c>
      <c r="W1393" s="14"/>
      <c r="Y1393" s="79">
        <v>14.1</v>
      </c>
      <c r="Z1393" s="56" t="s">
        <v>67</v>
      </c>
    </row>
    <row r="1394" spans="1:27" ht="23.1" customHeight="1" x14ac:dyDescent="0.25">
      <c r="A1394" s="53" t="s">
        <v>1002</v>
      </c>
      <c r="B1394" s="10" t="s">
        <v>110</v>
      </c>
      <c r="C1394" s="10">
        <v>100</v>
      </c>
      <c r="D1394" s="65" t="s">
        <v>2551</v>
      </c>
      <c r="E1394" s="41" t="s">
        <v>938</v>
      </c>
      <c r="F1394" s="41" t="s">
        <v>938</v>
      </c>
      <c r="G1394" s="21" t="str">
        <f>VLOOKUP(D1394,[6]成飞半成品!$A:$B,2,0)</f>
        <v>工装</v>
      </c>
      <c r="H1394" s="10" t="s">
        <v>939</v>
      </c>
      <c r="I1394" s="10">
        <v>55</v>
      </c>
      <c r="J1394" s="10" t="s">
        <v>2004</v>
      </c>
      <c r="K1394" s="10">
        <v>0.2</v>
      </c>
      <c r="L1394" s="10">
        <v>0.1</v>
      </c>
      <c r="M1394" s="14">
        <v>25</v>
      </c>
      <c r="N1394" s="14">
        <v>25</v>
      </c>
      <c r="O1394" s="55" t="s">
        <v>1209</v>
      </c>
      <c r="Q1394" s="10">
        <v>600</v>
      </c>
      <c r="R1394" s="10">
        <v>60</v>
      </c>
      <c r="U1394" s="10">
        <v>90</v>
      </c>
      <c r="W1394" s="14"/>
      <c r="X1394" s="14">
        <v>2</v>
      </c>
      <c r="Y1394" s="79">
        <v>3</v>
      </c>
      <c r="Z1394" s="56" t="s">
        <v>67</v>
      </c>
      <c r="AA1394" s="14" t="s">
        <v>1011</v>
      </c>
    </row>
    <row r="1395" spans="1:27" ht="23.1" customHeight="1" x14ac:dyDescent="0.25">
      <c r="A1395" s="53" t="s">
        <v>1002</v>
      </c>
      <c r="B1395" s="10" t="s">
        <v>110</v>
      </c>
      <c r="C1395" s="10">
        <v>102</v>
      </c>
      <c r="D1395" s="10" t="s">
        <v>1097</v>
      </c>
      <c r="E1395" s="41" t="s">
        <v>1098</v>
      </c>
      <c r="F1395" s="41" t="s">
        <v>1098</v>
      </c>
      <c r="G1395" s="21" t="str">
        <f>VLOOKUP(D1395,[6]成飞半成品!$A:$B,2,0)</f>
        <v>根肋一段</v>
      </c>
      <c r="H1395" s="10" t="s">
        <v>250</v>
      </c>
      <c r="I1395" s="10">
        <v>50</v>
      </c>
      <c r="J1395" s="10" t="s">
        <v>2185</v>
      </c>
      <c r="K1395" s="10">
        <v>0.6</v>
      </c>
      <c r="L1395" s="10">
        <v>0.6</v>
      </c>
      <c r="M1395" s="14">
        <v>25</v>
      </c>
      <c r="N1395" s="14">
        <v>25</v>
      </c>
      <c r="O1395" s="55" t="s">
        <v>1159</v>
      </c>
      <c r="Q1395" s="10">
        <v>1080</v>
      </c>
      <c r="R1395" s="10">
        <v>60</v>
      </c>
      <c r="T1395" s="10">
        <v>1</v>
      </c>
      <c r="U1395" s="10">
        <v>120</v>
      </c>
      <c r="W1395" s="14"/>
      <c r="X1395" s="14">
        <v>2</v>
      </c>
      <c r="Y1395" s="79">
        <v>13.8</v>
      </c>
      <c r="Z1395" s="56" t="s">
        <v>67</v>
      </c>
      <c r="AA1395" s="14" t="s">
        <v>1210</v>
      </c>
    </row>
    <row r="1396" spans="1:27" ht="23.1" customHeight="1" x14ac:dyDescent="0.25">
      <c r="A1396" s="53" t="s">
        <v>1002</v>
      </c>
      <c r="B1396" s="10" t="s">
        <v>110</v>
      </c>
      <c r="C1396" s="10">
        <v>98</v>
      </c>
      <c r="D1396" s="10" t="s">
        <v>481</v>
      </c>
      <c r="E1396" s="41" t="s">
        <v>482</v>
      </c>
      <c r="F1396" s="41" t="s">
        <v>482</v>
      </c>
      <c r="G1396" s="21" t="str">
        <f>VLOOKUP(D1396,[6]成飞半成品!$A:$B,2,0)</f>
        <v>11140框左下半框</v>
      </c>
      <c r="H1396" s="10" t="s">
        <v>118</v>
      </c>
      <c r="I1396" s="10">
        <v>35</v>
      </c>
      <c r="J1396" s="10" t="s">
        <v>2174</v>
      </c>
      <c r="K1396" s="10">
        <v>0.8</v>
      </c>
      <c r="L1396" s="10">
        <v>1</v>
      </c>
      <c r="M1396" s="14">
        <v>25</v>
      </c>
      <c r="N1396" s="14">
        <v>25</v>
      </c>
      <c r="O1396" s="55" t="s">
        <v>1118</v>
      </c>
      <c r="Q1396" s="10">
        <v>800</v>
      </c>
      <c r="R1396" s="10">
        <v>60</v>
      </c>
      <c r="T1396" s="10">
        <v>1</v>
      </c>
      <c r="U1396" s="10">
        <v>120</v>
      </c>
      <c r="W1396" s="14"/>
      <c r="Y1396" s="79">
        <v>14.3</v>
      </c>
      <c r="Z1396" s="56" t="s">
        <v>67</v>
      </c>
    </row>
    <row r="1397" spans="1:27" ht="23.1" customHeight="1" x14ac:dyDescent="0.25">
      <c r="A1397" s="53" t="s">
        <v>1002</v>
      </c>
      <c r="B1397" s="10" t="s">
        <v>110</v>
      </c>
      <c r="C1397" s="10">
        <v>106</v>
      </c>
      <c r="D1397" s="10" t="s">
        <v>1070</v>
      </c>
      <c r="E1397" s="41" t="s">
        <v>101</v>
      </c>
      <c r="F1397" s="41" t="s">
        <v>101</v>
      </c>
      <c r="G1397" s="21" t="str">
        <f>VLOOKUP(D1397,[6]成飞半成品!$A:$B,2,0)</f>
        <v>前梁一段</v>
      </c>
      <c r="H1397" s="10" t="s">
        <v>300</v>
      </c>
      <c r="I1397" s="10">
        <v>25</v>
      </c>
      <c r="J1397" s="10" t="s">
        <v>2163</v>
      </c>
      <c r="M1397" s="14">
        <v>25</v>
      </c>
      <c r="N1397" s="14">
        <v>25</v>
      </c>
      <c r="O1397" s="55" t="s">
        <v>476</v>
      </c>
      <c r="Q1397" s="10">
        <v>4800</v>
      </c>
      <c r="R1397" s="10">
        <v>180</v>
      </c>
      <c r="T1397" s="10">
        <v>1</v>
      </c>
      <c r="U1397" s="10">
        <v>180</v>
      </c>
      <c r="W1397" s="14">
        <v>1</v>
      </c>
      <c r="Y1397" s="79">
        <v>6</v>
      </c>
      <c r="Z1397" s="56" t="s">
        <v>67</v>
      </c>
    </row>
    <row r="1398" spans="1:27" ht="23.1" customHeight="1" x14ac:dyDescent="0.25">
      <c r="A1398" s="53" t="s">
        <v>1002</v>
      </c>
      <c r="B1398" s="10" t="s">
        <v>110</v>
      </c>
      <c r="C1398" s="10">
        <v>101</v>
      </c>
      <c r="D1398" s="10" t="s">
        <v>1211</v>
      </c>
      <c r="E1398" s="41" t="s">
        <v>760</v>
      </c>
      <c r="F1398" s="41" t="s">
        <v>760</v>
      </c>
      <c r="G1398" s="21" t="str">
        <f>VLOOKUP(D1398,[6]成飞半成品!$A:$B,2,0)</f>
        <v>9555侧隔框</v>
      </c>
      <c r="H1398" s="10" t="s">
        <v>300</v>
      </c>
      <c r="I1398" s="10">
        <v>40</v>
      </c>
      <c r="J1398" s="10" t="s">
        <v>1969</v>
      </c>
      <c r="K1398" s="10">
        <v>2</v>
      </c>
      <c r="L1398" s="10">
        <v>1.4</v>
      </c>
      <c r="M1398" s="14">
        <v>25</v>
      </c>
      <c r="N1398" s="14">
        <v>25</v>
      </c>
      <c r="O1398" s="55" t="s">
        <v>1004</v>
      </c>
      <c r="Q1398" s="10">
        <v>330</v>
      </c>
      <c r="R1398" s="10">
        <v>60</v>
      </c>
      <c r="T1398" s="10">
        <v>1</v>
      </c>
      <c r="U1398" s="10">
        <v>120</v>
      </c>
      <c r="W1398" s="14"/>
      <c r="Y1398" s="79">
        <v>8.6999999999999993</v>
      </c>
      <c r="Z1398" s="56" t="s">
        <v>67</v>
      </c>
    </row>
    <row r="1399" spans="1:27" ht="23.1" customHeight="1" x14ac:dyDescent="0.25">
      <c r="A1399" s="53" t="s">
        <v>1002</v>
      </c>
      <c r="B1399" s="10" t="s">
        <v>110</v>
      </c>
      <c r="C1399" s="10">
        <v>45</v>
      </c>
      <c r="D1399" s="10" t="s">
        <v>395</v>
      </c>
      <c r="E1399" s="41" t="s">
        <v>396</v>
      </c>
      <c r="F1399" s="41" t="e">
        <v>#N/A</v>
      </c>
      <c r="G1399" s="21" t="e">
        <f>VLOOKUP(D1399,[6]成飞半成品!$A:$B,2,0)</f>
        <v>#N/A</v>
      </c>
      <c r="H1399" s="10" t="s">
        <v>300</v>
      </c>
      <c r="I1399" s="10">
        <v>15</v>
      </c>
      <c r="J1399" s="10" t="s">
        <v>2112</v>
      </c>
      <c r="L1399" s="10">
        <v>8</v>
      </c>
      <c r="M1399" s="14">
        <v>25</v>
      </c>
      <c r="N1399" s="14">
        <v>25</v>
      </c>
      <c r="O1399" s="55" t="s">
        <v>1212</v>
      </c>
      <c r="Q1399" s="10">
        <v>80</v>
      </c>
      <c r="R1399" s="10">
        <v>90</v>
      </c>
      <c r="T1399" s="10">
        <v>8</v>
      </c>
      <c r="U1399" s="10">
        <v>90</v>
      </c>
      <c r="W1399" s="14">
        <v>1</v>
      </c>
      <c r="Y1399" s="79">
        <v>24.2</v>
      </c>
      <c r="Z1399" s="56" t="s">
        <v>67</v>
      </c>
    </row>
    <row r="1400" spans="1:27" ht="23.1" customHeight="1" x14ac:dyDescent="0.25">
      <c r="A1400" s="53" t="s">
        <v>1002</v>
      </c>
      <c r="B1400" s="10" t="s">
        <v>110</v>
      </c>
      <c r="C1400" s="10">
        <v>101</v>
      </c>
      <c r="D1400" s="10" t="s">
        <v>759</v>
      </c>
      <c r="E1400" s="41" t="s">
        <v>760</v>
      </c>
      <c r="F1400" s="41" t="s">
        <v>760</v>
      </c>
      <c r="G1400" s="21" t="str">
        <f>VLOOKUP(D1400,[6]成飞半成品!$A:$B,2,0)</f>
        <v>9555侧隔框</v>
      </c>
      <c r="H1400" s="10" t="s">
        <v>300</v>
      </c>
      <c r="I1400" s="10">
        <v>40</v>
      </c>
      <c r="J1400" s="10" t="s">
        <v>1969</v>
      </c>
      <c r="L1400" s="10">
        <v>1</v>
      </c>
      <c r="M1400" s="14">
        <v>25</v>
      </c>
      <c r="N1400" s="14">
        <v>25</v>
      </c>
      <c r="O1400" s="55" t="s">
        <v>418</v>
      </c>
      <c r="Q1400" s="10">
        <v>330</v>
      </c>
      <c r="R1400" s="10">
        <v>60</v>
      </c>
      <c r="T1400" s="10">
        <v>1</v>
      </c>
      <c r="U1400" s="10">
        <v>120</v>
      </c>
      <c r="W1400" s="14">
        <v>1</v>
      </c>
      <c r="Y1400" s="79">
        <v>8.5</v>
      </c>
      <c r="Z1400" s="56" t="s">
        <v>67</v>
      </c>
    </row>
    <row r="1401" spans="1:27" ht="23.1" customHeight="1" x14ac:dyDescent="0.25">
      <c r="A1401" s="53" t="s">
        <v>1002</v>
      </c>
      <c r="B1401" s="10" t="s">
        <v>110</v>
      </c>
      <c r="C1401" s="10">
        <v>117</v>
      </c>
      <c r="D1401" s="10" t="s">
        <v>1081</v>
      </c>
      <c r="E1401" s="41" t="s">
        <v>1082</v>
      </c>
      <c r="F1401" s="41" t="s">
        <v>1082</v>
      </c>
      <c r="G1401" s="21" t="str">
        <f>VLOOKUP(D1401,[6]成飞半成品!$A:$B,2,0)</f>
        <v xml:space="preserve"> 前梁</v>
      </c>
      <c r="H1401" s="10" t="s">
        <v>123</v>
      </c>
      <c r="I1401" s="10">
        <v>25</v>
      </c>
      <c r="J1401" s="10" t="s">
        <v>2191</v>
      </c>
      <c r="L1401" s="10">
        <v>2</v>
      </c>
      <c r="M1401" s="14">
        <v>25</v>
      </c>
      <c r="N1401" s="14">
        <v>25</v>
      </c>
      <c r="O1401" s="55" t="s">
        <v>1196</v>
      </c>
      <c r="Q1401" s="10">
        <v>270</v>
      </c>
      <c r="R1401" s="10">
        <v>60</v>
      </c>
      <c r="T1401" s="10">
        <v>2</v>
      </c>
      <c r="U1401" s="10">
        <v>60</v>
      </c>
      <c r="W1401" s="14">
        <v>1</v>
      </c>
      <c r="Y1401" s="79">
        <v>12</v>
      </c>
      <c r="Z1401" s="56" t="s">
        <v>32</v>
      </c>
    </row>
    <row r="1402" spans="1:27" ht="23.1" customHeight="1" x14ac:dyDescent="0.25">
      <c r="A1402" s="53" t="s">
        <v>1002</v>
      </c>
      <c r="B1402" s="10" t="s">
        <v>110</v>
      </c>
      <c r="C1402" s="10">
        <v>117</v>
      </c>
      <c r="D1402" s="10" t="s">
        <v>1083</v>
      </c>
      <c r="E1402" s="41" t="s">
        <v>1082</v>
      </c>
      <c r="F1402" s="41" t="s">
        <v>1082</v>
      </c>
      <c r="G1402" s="21" t="str">
        <f>VLOOKUP(D1402,[6]成飞半成品!$A:$B,2,0)</f>
        <v xml:space="preserve"> 前梁</v>
      </c>
      <c r="H1402" s="10" t="s">
        <v>123</v>
      </c>
      <c r="I1402" s="10">
        <v>20</v>
      </c>
      <c r="J1402" s="10" t="s">
        <v>2384</v>
      </c>
      <c r="L1402" s="10">
        <v>0.4</v>
      </c>
      <c r="M1402" s="14">
        <v>25</v>
      </c>
      <c r="N1402" s="14">
        <v>25</v>
      </c>
      <c r="O1402" s="55" t="s">
        <v>1196</v>
      </c>
      <c r="Q1402" s="10">
        <v>590</v>
      </c>
      <c r="R1402" s="10">
        <v>60</v>
      </c>
      <c r="T1402" s="10">
        <v>1</v>
      </c>
      <c r="U1402" s="10">
        <v>90</v>
      </c>
      <c r="W1402" s="14">
        <v>1</v>
      </c>
      <c r="Y1402" s="79">
        <v>6.4</v>
      </c>
      <c r="Z1402" s="56" t="s">
        <v>32</v>
      </c>
    </row>
    <row r="1403" spans="1:27" ht="23.1" customHeight="1" x14ac:dyDescent="0.25">
      <c r="A1403" s="53" t="s">
        <v>1002</v>
      </c>
      <c r="B1403" s="10" t="s">
        <v>110</v>
      </c>
      <c r="C1403" s="10">
        <v>117</v>
      </c>
      <c r="D1403" s="10" t="s">
        <v>1083</v>
      </c>
      <c r="E1403" s="41" t="s">
        <v>1082</v>
      </c>
      <c r="F1403" s="41" t="s">
        <v>1082</v>
      </c>
      <c r="G1403" s="21" t="str">
        <f>VLOOKUP(D1403,[6]成飞半成品!$A:$B,2,0)</f>
        <v xml:space="preserve"> 前梁</v>
      </c>
      <c r="H1403" s="10" t="s">
        <v>123</v>
      </c>
      <c r="I1403" s="10">
        <v>25</v>
      </c>
      <c r="J1403" s="10" t="s">
        <v>2191</v>
      </c>
      <c r="L1403" s="10">
        <v>0.1</v>
      </c>
      <c r="M1403" s="14">
        <v>25</v>
      </c>
      <c r="N1403" s="14">
        <v>25</v>
      </c>
      <c r="O1403" s="55" t="s">
        <v>1196</v>
      </c>
      <c r="Q1403" s="10">
        <v>270</v>
      </c>
      <c r="R1403" s="10">
        <v>60</v>
      </c>
      <c r="U1403" s="10">
        <v>60</v>
      </c>
      <c r="W1403" s="14"/>
      <c r="Y1403" s="79">
        <v>0.5</v>
      </c>
      <c r="Z1403" s="56" t="s">
        <v>32</v>
      </c>
    </row>
    <row r="1404" spans="1:27" ht="23.1" customHeight="1" x14ac:dyDescent="0.25">
      <c r="A1404" s="53" t="s">
        <v>1002</v>
      </c>
      <c r="B1404" s="10" t="s">
        <v>110</v>
      </c>
      <c r="C1404" s="10">
        <v>118</v>
      </c>
      <c r="D1404" s="10" t="s">
        <v>1171</v>
      </c>
      <c r="E1404" s="41" t="s">
        <v>1172</v>
      </c>
      <c r="F1404" s="41" t="s">
        <v>1172</v>
      </c>
      <c r="G1404" s="21" t="str">
        <f>VLOOKUP(D1404,[6]成飞半成品!$A:$B,2,0)</f>
        <v>后梁</v>
      </c>
      <c r="H1404" s="10" t="s">
        <v>300</v>
      </c>
      <c r="I1404" s="10">
        <v>35</v>
      </c>
      <c r="J1404" s="10" t="s">
        <v>2187</v>
      </c>
      <c r="L1404" s="10">
        <v>0.3</v>
      </c>
      <c r="M1404" s="14">
        <v>25</v>
      </c>
      <c r="N1404" s="14">
        <v>25</v>
      </c>
      <c r="O1404" s="55" t="s">
        <v>1213</v>
      </c>
      <c r="Q1404" s="10">
        <v>5000</v>
      </c>
      <c r="R1404" s="10">
        <v>60</v>
      </c>
      <c r="U1404" s="10">
        <v>300</v>
      </c>
      <c r="W1404" s="14"/>
      <c r="Y1404" s="79">
        <v>25</v>
      </c>
      <c r="Z1404" s="56" t="s">
        <v>32</v>
      </c>
    </row>
    <row r="1405" spans="1:27" ht="23.1" customHeight="1" x14ac:dyDescent="0.25">
      <c r="A1405" s="53" t="s">
        <v>1002</v>
      </c>
      <c r="B1405" s="10" t="s">
        <v>113</v>
      </c>
      <c r="C1405" s="10">
        <v>102</v>
      </c>
      <c r="D1405" s="10" t="s">
        <v>1097</v>
      </c>
      <c r="E1405" s="41" t="s">
        <v>1098</v>
      </c>
      <c r="F1405" s="41" t="s">
        <v>1098</v>
      </c>
      <c r="G1405" s="21" t="str">
        <f>VLOOKUP(D1405,[6]成飞半成品!$A:$B,2,0)</f>
        <v>根肋一段</v>
      </c>
      <c r="H1405" s="10" t="s">
        <v>250</v>
      </c>
      <c r="I1405" s="10">
        <v>50</v>
      </c>
      <c r="J1405" s="10" t="s">
        <v>2185</v>
      </c>
      <c r="K1405" s="10">
        <v>0.6</v>
      </c>
      <c r="L1405" s="10">
        <v>0.6</v>
      </c>
      <c r="M1405" s="14">
        <v>32</v>
      </c>
      <c r="N1405" s="14">
        <v>32</v>
      </c>
      <c r="O1405" s="55" t="s">
        <v>292</v>
      </c>
      <c r="Q1405" s="10">
        <v>1080</v>
      </c>
      <c r="R1405" s="10">
        <v>60</v>
      </c>
      <c r="U1405" s="10">
        <v>120</v>
      </c>
      <c r="W1405" s="14"/>
      <c r="Y1405" s="79">
        <v>10.8</v>
      </c>
      <c r="Z1405" s="56" t="s">
        <v>35</v>
      </c>
    </row>
    <row r="1406" spans="1:27" ht="23.1" customHeight="1" x14ac:dyDescent="0.25">
      <c r="A1406" s="53" t="s">
        <v>1002</v>
      </c>
      <c r="B1406" s="10" t="s">
        <v>113</v>
      </c>
      <c r="C1406" s="10">
        <v>98</v>
      </c>
      <c r="D1406" s="10" t="s">
        <v>481</v>
      </c>
      <c r="E1406" s="41" t="s">
        <v>482</v>
      </c>
      <c r="F1406" s="41" t="s">
        <v>482</v>
      </c>
      <c r="G1406" s="21" t="str">
        <f>VLOOKUP(D1406,[6]成飞半成品!$A:$B,2,0)</f>
        <v>11140框左下半框</v>
      </c>
      <c r="H1406" s="10" t="s">
        <v>118</v>
      </c>
      <c r="I1406" s="10">
        <v>35</v>
      </c>
      <c r="J1406" s="10" t="s">
        <v>2174</v>
      </c>
      <c r="K1406" s="10">
        <v>0.7</v>
      </c>
      <c r="L1406" s="10">
        <v>0.9</v>
      </c>
      <c r="M1406" s="14">
        <v>32</v>
      </c>
      <c r="N1406" s="14">
        <v>32</v>
      </c>
      <c r="O1406" s="55" t="s">
        <v>199</v>
      </c>
      <c r="Q1406" s="10">
        <v>800</v>
      </c>
      <c r="R1406" s="10">
        <v>60</v>
      </c>
      <c r="T1406" s="10">
        <v>1</v>
      </c>
      <c r="U1406" s="10">
        <v>120</v>
      </c>
      <c r="W1406" s="14">
        <v>1</v>
      </c>
      <c r="Y1406" s="79">
        <v>15</v>
      </c>
      <c r="Z1406" s="56" t="s">
        <v>35</v>
      </c>
    </row>
    <row r="1407" spans="1:27" ht="23.1" customHeight="1" x14ac:dyDescent="0.25">
      <c r="A1407" s="53" t="s">
        <v>1002</v>
      </c>
      <c r="B1407" s="10" t="s">
        <v>113</v>
      </c>
      <c r="C1407" s="10">
        <v>106</v>
      </c>
      <c r="D1407" s="10" t="s">
        <v>1070</v>
      </c>
      <c r="E1407" s="41" t="s">
        <v>101</v>
      </c>
      <c r="F1407" s="41" t="s">
        <v>101</v>
      </c>
      <c r="G1407" s="21" t="str">
        <f>VLOOKUP(D1407,[6]成飞半成品!$A:$B,2,0)</f>
        <v>前梁一段</v>
      </c>
      <c r="H1407" s="10" t="s">
        <v>300</v>
      </c>
      <c r="I1407" s="10">
        <v>25</v>
      </c>
      <c r="J1407" s="10" t="s">
        <v>2163</v>
      </c>
      <c r="K1407" s="10">
        <v>0.2</v>
      </c>
      <c r="L1407" s="10">
        <v>0.2</v>
      </c>
      <c r="M1407" s="14">
        <v>32</v>
      </c>
      <c r="N1407" s="14">
        <v>32</v>
      </c>
      <c r="O1407" s="55" t="s">
        <v>476</v>
      </c>
      <c r="Q1407" s="10">
        <v>4800</v>
      </c>
      <c r="R1407" s="10">
        <v>180</v>
      </c>
      <c r="U1407" s="10">
        <v>180</v>
      </c>
      <c r="W1407" s="14"/>
      <c r="Y1407" s="79">
        <v>16</v>
      </c>
      <c r="Z1407" s="56" t="s">
        <v>35</v>
      </c>
    </row>
    <row r="1408" spans="1:27" ht="23.1" customHeight="1" x14ac:dyDescent="0.25">
      <c r="A1408" s="53" t="s">
        <v>1002</v>
      </c>
      <c r="B1408" s="10" t="s">
        <v>113</v>
      </c>
      <c r="C1408" s="10">
        <v>82</v>
      </c>
      <c r="D1408" s="10" t="s">
        <v>1095</v>
      </c>
      <c r="E1408" s="41" t="s">
        <v>1096</v>
      </c>
      <c r="F1408" s="41" t="s">
        <v>1096</v>
      </c>
      <c r="G1408" s="21" t="str">
        <f>VLOOKUP(D1408,[6]成飞半成品!$A:$B,2,0)</f>
        <v>1150肋根肋</v>
      </c>
      <c r="H1408" s="10" t="s">
        <v>658</v>
      </c>
      <c r="I1408" s="10">
        <v>10</v>
      </c>
      <c r="J1408" s="10" t="s">
        <v>2192</v>
      </c>
      <c r="L1408" s="10">
        <v>10</v>
      </c>
      <c r="M1408" s="14">
        <v>32</v>
      </c>
      <c r="N1408" s="14">
        <v>32</v>
      </c>
      <c r="O1408" s="55" t="s">
        <v>463</v>
      </c>
      <c r="Q1408" s="10">
        <v>90</v>
      </c>
      <c r="R1408" s="10">
        <v>60</v>
      </c>
      <c r="T1408" s="10">
        <v>10</v>
      </c>
      <c r="U1408" s="10">
        <v>60</v>
      </c>
      <c r="W1408" s="14">
        <v>1</v>
      </c>
      <c r="Y1408" s="79">
        <v>26</v>
      </c>
      <c r="Z1408" s="56" t="s">
        <v>35</v>
      </c>
    </row>
    <row r="1409" spans="1:26" ht="23.1" customHeight="1" x14ac:dyDescent="0.25">
      <c r="A1409" s="53" t="s">
        <v>1002</v>
      </c>
      <c r="B1409" s="10" t="s">
        <v>113</v>
      </c>
      <c r="C1409" s="10">
        <v>118</v>
      </c>
      <c r="D1409" s="10" t="s">
        <v>1171</v>
      </c>
      <c r="E1409" s="41" t="s">
        <v>1172</v>
      </c>
      <c r="F1409" s="41" t="s">
        <v>1172</v>
      </c>
      <c r="G1409" s="21" t="str">
        <f>VLOOKUP(D1409,[6]成飞半成品!$A:$B,2,0)</f>
        <v>后梁</v>
      </c>
      <c r="H1409" s="10" t="s">
        <v>300</v>
      </c>
      <c r="I1409" s="10">
        <v>35</v>
      </c>
      <c r="J1409" s="10" t="s">
        <v>2187</v>
      </c>
      <c r="K1409" s="10">
        <v>0.2</v>
      </c>
      <c r="L1409" s="10">
        <v>0.2</v>
      </c>
      <c r="M1409" s="14">
        <v>32</v>
      </c>
      <c r="N1409" s="14">
        <v>32</v>
      </c>
      <c r="O1409" s="55" t="s">
        <v>330</v>
      </c>
      <c r="Q1409" s="10">
        <v>5000</v>
      </c>
      <c r="R1409" s="10">
        <v>60</v>
      </c>
      <c r="U1409" s="10">
        <v>300</v>
      </c>
      <c r="W1409" s="14"/>
      <c r="Y1409" s="79">
        <v>16.7</v>
      </c>
      <c r="Z1409" s="56" t="s">
        <v>35</v>
      </c>
    </row>
    <row r="1410" spans="1:26" ht="23.1" customHeight="1" x14ac:dyDescent="0.25">
      <c r="A1410" s="53" t="s">
        <v>1002</v>
      </c>
      <c r="B1410" s="10" t="s">
        <v>113</v>
      </c>
      <c r="C1410" s="10">
        <v>117</v>
      </c>
      <c r="D1410" s="10" t="s">
        <v>1083</v>
      </c>
      <c r="E1410" s="41" t="s">
        <v>1082</v>
      </c>
      <c r="F1410" s="41" t="s">
        <v>1082</v>
      </c>
      <c r="G1410" s="21" t="str">
        <f>VLOOKUP(D1410,[6]成飞半成品!$A:$B,2,0)</f>
        <v xml:space="preserve"> 前梁</v>
      </c>
      <c r="H1410" s="10" t="s">
        <v>123</v>
      </c>
      <c r="I1410" s="10">
        <v>25</v>
      </c>
      <c r="J1410" s="10" t="s">
        <v>2190</v>
      </c>
      <c r="L1410" s="10">
        <v>1.9</v>
      </c>
      <c r="M1410" s="14">
        <v>32</v>
      </c>
      <c r="N1410" s="14">
        <v>32</v>
      </c>
      <c r="O1410" s="55" t="s">
        <v>1214</v>
      </c>
      <c r="Q1410" s="10">
        <v>270</v>
      </c>
      <c r="R1410" s="10">
        <v>60</v>
      </c>
      <c r="T1410" s="10">
        <v>2</v>
      </c>
      <c r="U1410" s="10">
        <v>60</v>
      </c>
      <c r="W1410" s="14"/>
      <c r="Y1410" s="79">
        <v>10.6</v>
      </c>
      <c r="Z1410" s="56" t="s">
        <v>35</v>
      </c>
    </row>
    <row r="1411" spans="1:26" ht="23.1" customHeight="1" x14ac:dyDescent="0.25">
      <c r="A1411" s="53" t="s">
        <v>1002</v>
      </c>
      <c r="B1411" s="10" t="s">
        <v>113</v>
      </c>
      <c r="C1411" s="10">
        <v>104</v>
      </c>
      <c r="D1411" s="10" t="s">
        <v>298</v>
      </c>
      <c r="E1411" s="41" t="s">
        <v>299</v>
      </c>
      <c r="F1411" s="41" t="s">
        <v>299</v>
      </c>
      <c r="G1411" s="21" t="str">
        <f>VLOOKUP(D1411,[6]成飞半成品!$A:$B,2,0)</f>
        <v>8635右隔框</v>
      </c>
      <c r="H1411" s="10" t="s">
        <v>300</v>
      </c>
      <c r="I1411" s="10">
        <v>7</v>
      </c>
      <c r="L1411" s="10">
        <v>4</v>
      </c>
      <c r="M1411" s="14">
        <v>32</v>
      </c>
      <c r="N1411" s="14">
        <v>32</v>
      </c>
      <c r="O1411" s="55" t="s">
        <v>1215</v>
      </c>
      <c r="P1411" s="47">
        <v>60</v>
      </c>
      <c r="Q1411" s="47"/>
      <c r="R1411" s="47"/>
      <c r="S1411" s="47">
        <v>60</v>
      </c>
      <c r="T1411" s="10">
        <v>4</v>
      </c>
      <c r="V1411" s="47">
        <v>60</v>
      </c>
      <c r="W1411" s="14">
        <v>1</v>
      </c>
      <c r="Y1411" s="83">
        <v>9</v>
      </c>
      <c r="Z1411" s="56" t="s">
        <v>35</v>
      </c>
    </row>
    <row r="1412" spans="1:26" ht="23.1" customHeight="1" x14ac:dyDescent="0.25">
      <c r="A1412" s="53" t="s">
        <v>1002</v>
      </c>
      <c r="B1412" s="10" t="s">
        <v>113</v>
      </c>
      <c r="C1412" s="10">
        <v>117</v>
      </c>
      <c r="D1412" s="10" t="s">
        <v>1197</v>
      </c>
      <c r="E1412" s="41" t="s">
        <v>1198</v>
      </c>
      <c r="F1412" s="41" t="s">
        <v>1198</v>
      </c>
      <c r="G1412" s="21" t="str">
        <f>VLOOKUP(D1412,[6]成飞半成品!$A:$B,2,0)</f>
        <v>1150肋根肋</v>
      </c>
      <c r="H1412" s="10" t="s">
        <v>658</v>
      </c>
      <c r="I1412" s="10">
        <v>10</v>
      </c>
      <c r="J1412" s="10" t="s">
        <v>2192</v>
      </c>
      <c r="K1412" s="10">
        <v>10</v>
      </c>
      <c r="L1412" s="10">
        <v>10</v>
      </c>
      <c r="M1412" s="14">
        <v>32</v>
      </c>
      <c r="N1412" s="14">
        <v>32</v>
      </c>
      <c r="O1412" s="55" t="s">
        <v>282</v>
      </c>
      <c r="Q1412" s="10">
        <v>90</v>
      </c>
      <c r="R1412" s="10">
        <v>60</v>
      </c>
      <c r="T1412" s="10">
        <v>10</v>
      </c>
      <c r="U1412" s="10">
        <v>60</v>
      </c>
      <c r="V1412" s="47">
        <v>60</v>
      </c>
      <c r="W1412" s="14"/>
      <c r="Y1412" s="79">
        <v>25</v>
      </c>
      <c r="Z1412" s="56" t="s">
        <v>35</v>
      </c>
    </row>
    <row r="1413" spans="1:26" ht="23.1" customHeight="1" x14ac:dyDescent="0.25">
      <c r="A1413" s="53" t="s">
        <v>1002</v>
      </c>
      <c r="B1413" s="10" t="s">
        <v>113</v>
      </c>
      <c r="C1413" s="10">
        <v>45</v>
      </c>
      <c r="D1413" s="10" t="s">
        <v>484</v>
      </c>
      <c r="E1413" s="41" t="s">
        <v>485</v>
      </c>
      <c r="F1413" s="41" t="s">
        <v>485</v>
      </c>
      <c r="G1413" s="21" t="str">
        <f>VLOOKUP(D1413,[6]成飞半成品!$A:$B,2,0)</f>
        <v>8635左隔框</v>
      </c>
      <c r="H1413" s="10" t="s">
        <v>300</v>
      </c>
      <c r="I1413" s="10">
        <v>8</v>
      </c>
      <c r="L1413" s="10">
        <v>6</v>
      </c>
      <c r="M1413" s="14">
        <v>32</v>
      </c>
      <c r="N1413" s="14">
        <v>32</v>
      </c>
      <c r="O1413" s="55" t="s">
        <v>1216</v>
      </c>
      <c r="P1413" s="47">
        <v>60</v>
      </c>
      <c r="Q1413" s="47"/>
      <c r="R1413" s="47"/>
      <c r="S1413" s="47">
        <v>60</v>
      </c>
      <c r="T1413" s="10">
        <v>6</v>
      </c>
      <c r="V1413" s="47">
        <v>60</v>
      </c>
      <c r="W1413" s="14">
        <v>1</v>
      </c>
      <c r="Y1413" s="83">
        <v>13</v>
      </c>
      <c r="Z1413" s="56" t="s">
        <v>35</v>
      </c>
    </row>
    <row r="1414" spans="1:26" ht="23.1" customHeight="1" x14ac:dyDescent="0.25">
      <c r="A1414" s="53" t="s">
        <v>1002</v>
      </c>
      <c r="B1414" s="10" t="s">
        <v>113</v>
      </c>
      <c r="C1414" s="10">
        <v>45</v>
      </c>
      <c r="D1414" s="10" t="s">
        <v>484</v>
      </c>
      <c r="E1414" s="41" t="s">
        <v>485</v>
      </c>
      <c r="F1414" s="41" t="s">
        <v>485</v>
      </c>
      <c r="G1414" s="21" t="str">
        <f>VLOOKUP(D1414,[6]成飞半成品!$A:$B,2,0)</f>
        <v>8635左隔框</v>
      </c>
      <c r="H1414" s="10" t="s">
        <v>300</v>
      </c>
      <c r="I1414" s="10">
        <v>7</v>
      </c>
      <c r="L1414" s="10">
        <v>6</v>
      </c>
      <c r="M1414" s="14">
        <v>32</v>
      </c>
      <c r="N1414" s="14">
        <v>32</v>
      </c>
      <c r="O1414" s="55" t="s">
        <v>1216</v>
      </c>
      <c r="P1414" s="47">
        <v>60</v>
      </c>
      <c r="Q1414" s="47"/>
      <c r="R1414" s="47"/>
      <c r="S1414" s="47">
        <v>60</v>
      </c>
      <c r="T1414" s="10">
        <v>6</v>
      </c>
      <c r="V1414" s="47">
        <v>60</v>
      </c>
      <c r="W1414" s="14">
        <v>1</v>
      </c>
      <c r="Y1414" s="83">
        <v>13</v>
      </c>
      <c r="Z1414" s="56" t="s">
        <v>35</v>
      </c>
    </row>
    <row r="1415" spans="1:26" ht="23.1" customHeight="1" x14ac:dyDescent="0.25">
      <c r="A1415" s="53" t="s">
        <v>1002</v>
      </c>
      <c r="B1415" s="10" t="s">
        <v>113</v>
      </c>
      <c r="C1415" s="10">
        <v>45</v>
      </c>
      <c r="D1415" s="10" t="s">
        <v>484</v>
      </c>
      <c r="E1415" s="41" t="s">
        <v>485</v>
      </c>
      <c r="F1415" s="41" t="s">
        <v>485</v>
      </c>
      <c r="G1415" s="21" t="str">
        <f>VLOOKUP(D1415,[6]成飞半成品!$A:$B,2,0)</f>
        <v>8635左隔框</v>
      </c>
      <c r="H1415" s="10" t="s">
        <v>300</v>
      </c>
      <c r="I1415" s="10">
        <v>3</v>
      </c>
      <c r="L1415" s="10">
        <v>1</v>
      </c>
      <c r="M1415" s="14">
        <v>32</v>
      </c>
      <c r="N1415" s="14">
        <v>32</v>
      </c>
      <c r="O1415" s="55" t="s">
        <v>199</v>
      </c>
      <c r="P1415" s="47">
        <v>60</v>
      </c>
      <c r="Q1415" s="47"/>
      <c r="R1415" s="47"/>
      <c r="S1415" s="47">
        <v>60</v>
      </c>
      <c r="T1415" s="10">
        <v>1</v>
      </c>
      <c r="V1415" s="47">
        <v>120</v>
      </c>
      <c r="W1415" s="14">
        <v>1</v>
      </c>
      <c r="Y1415" s="83">
        <v>4</v>
      </c>
      <c r="Z1415" s="56" t="s">
        <v>35</v>
      </c>
    </row>
    <row r="1416" spans="1:26" ht="23.1" customHeight="1" x14ac:dyDescent="0.25">
      <c r="A1416" s="53" t="s">
        <v>1002</v>
      </c>
      <c r="B1416" s="10" t="s">
        <v>113</v>
      </c>
      <c r="C1416" s="10">
        <v>45</v>
      </c>
      <c r="D1416" s="10" t="s">
        <v>484</v>
      </c>
      <c r="E1416" s="41" t="s">
        <v>485</v>
      </c>
      <c r="F1416" s="41" t="s">
        <v>485</v>
      </c>
      <c r="G1416" s="21" t="str">
        <f>VLOOKUP(D1416,[6]成飞半成品!$A:$B,2,0)</f>
        <v>8635左隔框</v>
      </c>
      <c r="H1416" s="10" t="s">
        <v>300</v>
      </c>
      <c r="I1416" s="10">
        <v>6</v>
      </c>
      <c r="L1416" s="10">
        <v>6</v>
      </c>
      <c r="M1416" s="14">
        <v>32</v>
      </c>
      <c r="N1416" s="14">
        <v>32</v>
      </c>
      <c r="O1416" s="55" t="s">
        <v>1216</v>
      </c>
      <c r="P1416" s="47">
        <v>60</v>
      </c>
      <c r="Q1416" s="47"/>
      <c r="R1416" s="47"/>
      <c r="S1416" s="47">
        <v>60</v>
      </c>
      <c r="T1416" s="10">
        <v>6</v>
      </c>
      <c r="V1416" s="47">
        <v>60</v>
      </c>
      <c r="W1416" s="14">
        <v>1</v>
      </c>
      <c r="Y1416" s="83">
        <v>13</v>
      </c>
      <c r="Z1416" s="56" t="s">
        <v>35</v>
      </c>
    </row>
    <row r="1417" spans="1:26" ht="23.1" customHeight="1" x14ac:dyDescent="0.25">
      <c r="A1417" s="53" t="s">
        <v>1002</v>
      </c>
      <c r="B1417" s="10" t="s">
        <v>113</v>
      </c>
      <c r="C1417" s="10">
        <v>100</v>
      </c>
      <c r="D1417" s="65" t="s">
        <v>2551</v>
      </c>
      <c r="E1417" s="41" t="s">
        <v>938</v>
      </c>
      <c r="F1417" s="41" t="s">
        <v>938</v>
      </c>
      <c r="G1417" s="21" t="str">
        <f>VLOOKUP(D1417,[6]成飞半成品!$A:$B,2,0)</f>
        <v>工装</v>
      </c>
      <c r="H1417" s="10" t="s">
        <v>939</v>
      </c>
      <c r="I1417" s="10">
        <v>40</v>
      </c>
      <c r="J1417" s="10" t="s">
        <v>2173</v>
      </c>
      <c r="K1417" s="10">
        <v>0.3</v>
      </c>
      <c r="L1417" s="10">
        <v>0.3</v>
      </c>
      <c r="M1417" s="14">
        <v>32</v>
      </c>
      <c r="N1417" s="14">
        <v>32</v>
      </c>
      <c r="O1417" s="55" t="s">
        <v>128</v>
      </c>
      <c r="Q1417" s="10">
        <v>840</v>
      </c>
      <c r="R1417" s="10">
        <v>60</v>
      </c>
      <c r="U1417" s="10">
        <v>120</v>
      </c>
      <c r="W1417" s="14"/>
      <c r="Y1417" s="79">
        <v>4.2</v>
      </c>
      <c r="Z1417" s="56" t="s">
        <v>35</v>
      </c>
    </row>
    <row r="1418" spans="1:26" ht="23.1" customHeight="1" x14ac:dyDescent="0.25">
      <c r="A1418" s="53" t="s">
        <v>1002</v>
      </c>
      <c r="B1418" s="10" t="s">
        <v>113</v>
      </c>
      <c r="C1418" s="10">
        <v>100</v>
      </c>
      <c r="D1418" s="10" t="s">
        <v>1191</v>
      </c>
      <c r="E1418" s="41" t="s">
        <v>1192</v>
      </c>
      <c r="F1418" s="41" t="s">
        <v>1192</v>
      </c>
      <c r="G1418" s="21" t="str">
        <f>VLOOKUP(D1418,[6]成飞半成品!$A:$B,2,0)</f>
        <v>后顶板</v>
      </c>
      <c r="H1418" s="10" t="s">
        <v>300</v>
      </c>
      <c r="I1418" s="10">
        <v>5</v>
      </c>
      <c r="J1418" s="10" t="s">
        <v>1930</v>
      </c>
      <c r="K1418" s="10">
        <v>4</v>
      </c>
      <c r="L1418" s="10">
        <v>10</v>
      </c>
      <c r="M1418" s="14">
        <v>32</v>
      </c>
      <c r="N1418" s="14">
        <v>32</v>
      </c>
      <c r="O1418" s="55" t="s">
        <v>1217</v>
      </c>
      <c r="Q1418" s="10">
        <v>150</v>
      </c>
      <c r="R1418" s="10">
        <v>60</v>
      </c>
      <c r="T1418" s="10">
        <v>10</v>
      </c>
      <c r="U1418" s="10">
        <v>60</v>
      </c>
      <c r="W1418" s="14"/>
      <c r="Y1418" s="79">
        <v>35</v>
      </c>
      <c r="Z1418" s="56" t="s">
        <v>35</v>
      </c>
    </row>
    <row r="1419" spans="1:26" ht="23.1" customHeight="1" x14ac:dyDescent="0.25">
      <c r="A1419" s="53" t="s">
        <v>1002</v>
      </c>
      <c r="B1419" s="10" t="s">
        <v>113</v>
      </c>
      <c r="C1419" s="10">
        <v>82</v>
      </c>
      <c r="D1419" s="10" t="s">
        <v>484</v>
      </c>
      <c r="E1419" s="41" t="s">
        <v>485</v>
      </c>
      <c r="F1419" s="41" t="s">
        <v>485</v>
      </c>
      <c r="G1419" s="21" t="str">
        <f>VLOOKUP(D1419,[6]成飞半成品!$A:$B,2,0)</f>
        <v>8635左隔框</v>
      </c>
      <c r="H1419" s="10" t="s">
        <v>300</v>
      </c>
      <c r="I1419" s="10">
        <v>15</v>
      </c>
      <c r="J1419" s="10" t="s">
        <v>2383</v>
      </c>
      <c r="K1419" s="10">
        <v>1</v>
      </c>
      <c r="L1419" s="10">
        <v>1</v>
      </c>
      <c r="M1419" s="14">
        <v>32</v>
      </c>
      <c r="N1419" s="14">
        <v>32</v>
      </c>
      <c r="O1419" s="55" t="s">
        <v>164</v>
      </c>
      <c r="Q1419" s="10">
        <v>120</v>
      </c>
      <c r="R1419" s="10">
        <v>60</v>
      </c>
      <c r="T1419" s="10">
        <v>1</v>
      </c>
      <c r="U1419" s="10">
        <v>90</v>
      </c>
      <c r="W1419" s="14"/>
      <c r="Y1419" s="79">
        <v>3</v>
      </c>
      <c r="Z1419" s="56" t="s">
        <v>35</v>
      </c>
    </row>
    <row r="1420" spans="1:26" ht="23.1" customHeight="1" x14ac:dyDescent="0.25">
      <c r="A1420" s="53" t="s">
        <v>1002</v>
      </c>
      <c r="B1420" s="10" t="s">
        <v>113</v>
      </c>
      <c r="C1420" s="10">
        <v>82</v>
      </c>
      <c r="D1420" s="10" t="s">
        <v>484</v>
      </c>
      <c r="E1420" s="41" t="s">
        <v>485</v>
      </c>
      <c r="F1420" s="41" t="s">
        <v>485</v>
      </c>
      <c r="G1420" s="21" t="str">
        <f>VLOOKUP(D1420,[6]成飞半成品!$A:$B,2,0)</f>
        <v>8635左隔框</v>
      </c>
      <c r="H1420" s="10" t="s">
        <v>300</v>
      </c>
      <c r="I1420" s="10">
        <v>20</v>
      </c>
      <c r="J1420" s="10" t="s">
        <v>2135</v>
      </c>
      <c r="K1420" s="10">
        <v>1.3</v>
      </c>
      <c r="L1420" s="10">
        <v>1.5</v>
      </c>
      <c r="M1420" s="14">
        <v>32</v>
      </c>
      <c r="N1420" s="14">
        <v>32</v>
      </c>
      <c r="O1420" s="55" t="s">
        <v>1113</v>
      </c>
      <c r="Q1420" s="10">
        <v>420</v>
      </c>
      <c r="R1420" s="10">
        <v>60</v>
      </c>
      <c r="T1420" s="10">
        <v>1</v>
      </c>
      <c r="U1420" s="10">
        <v>90</v>
      </c>
      <c r="W1420" s="14"/>
      <c r="Y1420" s="79">
        <v>11.5</v>
      </c>
      <c r="Z1420" s="56" t="s">
        <v>35</v>
      </c>
    </row>
    <row r="1421" spans="1:26" ht="23.1" customHeight="1" x14ac:dyDescent="0.25">
      <c r="A1421" s="53" t="s">
        <v>1002</v>
      </c>
      <c r="B1421" s="10" t="s">
        <v>113</v>
      </c>
      <c r="C1421" s="10">
        <v>98</v>
      </c>
      <c r="D1421" s="10" t="s">
        <v>481</v>
      </c>
      <c r="E1421" s="41" t="s">
        <v>482</v>
      </c>
      <c r="F1421" s="41" t="s">
        <v>482</v>
      </c>
      <c r="G1421" s="21" t="str">
        <f>VLOOKUP(D1421,[6]成飞半成品!$A:$B,2,0)</f>
        <v>11140框左下半框</v>
      </c>
      <c r="H1421" s="10" t="s">
        <v>118</v>
      </c>
      <c r="I1421" s="10">
        <v>35</v>
      </c>
      <c r="J1421" s="10" t="s">
        <v>2174</v>
      </c>
      <c r="K1421" s="10">
        <v>0.1</v>
      </c>
      <c r="L1421" s="10">
        <v>0.1</v>
      </c>
      <c r="M1421" s="14">
        <v>32</v>
      </c>
      <c r="N1421" s="14">
        <v>32</v>
      </c>
      <c r="O1421" s="55" t="s">
        <v>219</v>
      </c>
      <c r="Q1421" s="10">
        <v>800</v>
      </c>
      <c r="R1421" s="10">
        <v>60</v>
      </c>
      <c r="U1421" s="10">
        <v>120</v>
      </c>
      <c r="W1421" s="14"/>
      <c r="Y1421" s="79">
        <v>1.3</v>
      </c>
      <c r="Z1421" s="56" t="s">
        <v>35</v>
      </c>
    </row>
    <row r="1422" spans="1:26" ht="23.1" customHeight="1" x14ac:dyDescent="0.25">
      <c r="A1422" s="53" t="s">
        <v>1002</v>
      </c>
      <c r="B1422" s="10" t="s">
        <v>113</v>
      </c>
      <c r="C1422" s="10">
        <v>104</v>
      </c>
      <c r="D1422" s="10" t="s">
        <v>298</v>
      </c>
      <c r="E1422" s="41" t="s">
        <v>299</v>
      </c>
      <c r="F1422" s="41" t="s">
        <v>299</v>
      </c>
      <c r="G1422" s="21" t="str">
        <f>VLOOKUP(D1422,[6]成飞半成品!$A:$B,2,0)</f>
        <v>8635右隔框</v>
      </c>
      <c r="H1422" s="10" t="s">
        <v>300</v>
      </c>
      <c r="I1422" s="10">
        <v>8</v>
      </c>
      <c r="L1422" s="10">
        <v>4</v>
      </c>
      <c r="M1422" s="14">
        <v>32</v>
      </c>
      <c r="N1422" s="14">
        <v>32</v>
      </c>
      <c r="O1422" s="55" t="s">
        <v>1215</v>
      </c>
      <c r="P1422" s="47">
        <v>60</v>
      </c>
      <c r="Q1422" s="47"/>
      <c r="R1422" s="47"/>
      <c r="S1422" s="47">
        <v>60</v>
      </c>
      <c r="T1422" s="10">
        <v>4</v>
      </c>
      <c r="V1422" s="47">
        <v>60</v>
      </c>
      <c r="W1422" s="14">
        <v>1</v>
      </c>
      <c r="Y1422" s="83">
        <v>9</v>
      </c>
      <c r="Z1422" s="56" t="s">
        <v>35</v>
      </c>
    </row>
    <row r="1423" spans="1:26" ht="23.1" customHeight="1" x14ac:dyDescent="0.25">
      <c r="A1423" s="53" t="s">
        <v>1002</v>
      </c>
      <c r="B1423" s="10" t="s">
        <v>113</v>
      </c>
      <c r="C1423" s="10">
        <v>104</v>
      </c>
      <c r="D1423" s="10" t="s">
        <v>298</v>
      </c>
      <c r="E1423" s="41" t="s">
        <v>299</v>
      </c>
      <c r="F1423" s="41" t="s">
        <v>299</v>
      </c>
      <c r="G1423" s="21" t="str">
        <f>VLOOKUP(D1423,[6]成飞半成品!$A:$B,2,0)</f>
        <v>8635右隔框</v>
      </c>
      <c r="H1423" s="10" t="s">
        <v>300</v>
      </c>
      <c r="I1423" s="10">
        <v>6</v>
      </c>
      <c r="L1423" s="10">
        <v>4</v>
      </c>
      <c r="M1423" s="14">
        <v>32</v>
      </c>
      <c r="N1423" s="14">
        <v>32</v>
      </c>
      <c r="O1423" s="55" t="s">
        <v>1215</v>
      </c>
      <c r="P1423" s="47">
        <v>60</v>
      </c>
      <c r="Q1423" s="47"/>
      <c r="R1423" s="47"/>
      <c r="S1423" s="47">
        <v>60</v>
      </c>
      <c r="T1423" s="10">
        <v>4</v>
      </c>
      <c r="V1423" s="47">
        <v>60</v>
      </c>
      <c r="W1423" s="14">
        <v>1</v>
      </c>
      <c r="Y1423" s="83">
        <v>9</v>
      </c>
      <c r="Z1423" s="56" t="s">
        <v>35</v>
      </c>
    </row>
    <row r="1424" spans="1:26" ht="23.1" customHeight="1" x14ac:dyDescent="0.25">
      <c r="A1424" s="53" t="s">
        <v>1002</v>
      </c>
      <c r="B1424" s="10" t="s">
        <v>113</v>
      </c>
      <c r="C1424" s="10">
        <v>19</v>
      </c>
      <c r="D1424" s="10" t="s">
        <v>395</v>
      </c>
      <c r="E1424" s="41" t="s">
        <v>396</v>
      </c>
      <c r="F1424" s="41" t="e">
        <v>#N/A</v>
      </c>
      <c r="G1424" s="21" t="e">
        <f>VLOOKUP(D1424,[6]成飞半成品!$A:$B,2,0)</f>
        <v>#N/A</v>
      </c>
      <c r="H1424" s="10" t="s">
        <v>300</v>
      </c>
      <c r="I1424" s="10">
        <v>30</v>
      </c>
      <c r="J1424" s="10" t="s">
        <v>2193</v>
      </c>
      <c r="K1424" s="10">
        <v>1</v>
      </c>
      <c r="L1424" s="10">
        <v>1.1000000000000001</v>
      </c>
      <c r="M1424" s="14">
        <v>32</v>
      </c>
      <c r="N1424" s="14">
        <v>32</v>
      </c>
      <c r="O1424" s="55" t="s">
        <v>722</v>
      </c>
      <c r="Q1424" s="10">
        <v>630</v>
      </c>
      <c r="R1424" s="10">
        <v>90</v>
      </c>
      <c r="T1424" s="10">
        <v>1</v>
      </c>
      <c r="U1424" s="10">
        <v>90</v>
      </c>
      <c r="V1424" s="47">
        <v>60</v>
      </c>
      <c r="W1424" s="14"/>
      <c r="Y1424" s="79">
        <v>13.1</v>
      </c>
      <c r="Z1424" s="56" t="s">
        <v>17</v>
      </c>
    </row>
    <row r="1425" spans="1:26" ht="23.1" customHeight="1" x14ac:dyDescent="0.25">
      <c r="A1425" s="53" t="s">
        <v>1002</v>
      </c>
      <c r="B1425" s="10" t="s">
        <v>113</v>
      </c>
      <c r="C1425" s="10">
        <v>44</v>
      </c>
      <c r="D1425" s="10" t="s">
        <v>266</v>
      </c>
      <c r="E1425" s="41" t="s">
        <v>267</v>
      </c>
      <c r="F1425" s="41" t="s">
        <v>267</v>
      </c>
      <c r="G1425" s="21" t="str">
        <f>VLOOKUP(D1425,[6]成飞半成品!$A:$B,2,0)</f>
        <v>后端框</v>
      </c>
      <c r="H1425" s="10" t="s">
        <v>118</v>
      </c>
      <c r="I1425" s="10">
        <v>55</v>
      </c>
      <c r="J1425" s="10" t="s">
        <v>2166</v>
      </c>
      <c r="K1425" s="10">
        <v>0.6</v>
      </c>
      <c r="L1425" s="10">
        <v>0.6</v>
      </c>
      <c r="M1425" s="14">
        <v>32</v>
      </c>
      <c r="N1425" s="14">
        <v>32</v>
      </c>
      <c r="O1425" s="55" t="s">
        <v>429</v>
      </c>
      <c r="Q1425" s="10">
        <v>1260</v>
      </c>
      <c r="R1425" s="10">
        <v>90</v>
      </c>
      <c r="T1425" s="10">
        <v>1</v>
      </c>
      <c r="U1425" s="10">
        <v>60</v>
      </c>
      <c r="W1425" s="14"/>
      <c r="Y1425" s="79">
        <v>14.1</v>
      </c>
      <c r="Z1425" s="56" t="s">
        <v>64</v>
      </c>
    </row>
    <row r="1426" spans="1:26" ht="23.1" customHeight="1" x14ac:dyDescent="0.25">
      <c r="A1426" s="53" t="s">
        <v>1002</v>
      </c>
      <c r="B1426" s="10" t="s">
        <v>113</v>
      </c>
      <c r="C1426" s="10">
        <v>97</v>
      </c>
      <c r="D1426" s="10" t="s">
        <v>1239</v>
      </c>
      <c r="E1426" s="41" t="s">
        <v>1065</v>
      </c>
      <c r="F1426" s="41" t="s">
        <v>1065</v>
      </c>
      <c r="G1426" s="21" t="str">
        <f>VLOOKUP(D1426,[6]成飞半成品!$A:$B,2,0)</f>
        <v>根肋三段</v>
      </c>
      <c r="H1426" s="10" t="s">
        <v>250</v>
      </c>
      <c r="I1426" s="10">
        <v>65</v>
      </c>
      <c r="J1426" s="10" t="s">
        <v>2184</v>
      </c>
      <c r="K1426" s="10">
        <v>1</v>
      </c>
      <c r="L1426" s="10">
        <v>3</v>
      </c>
      <c r="M1426" s="14">
        <v>32</v>
      </c>
      <c r="N1426" s="14">
        <v>32</v>
      </c>
      <c r="O1426" s="55" t="s">
        <v>1165</v>
      </c>
      <c r="Q1426" s="10">
        <v>60</v>
      </c>
      <c r="R1426" s="10">
        <v>60</v>
      </c>
      <c r="T1426" s="10">
        <v>3</v>
      </c>
      <c r="U1426" s="10">
        <v>60</v>
      </c>
      <c r="W1426" s="14"/>
      <c r="Y1426" s="79">
        <v>6</v>
      </c>
      <c r="Z1426" s="56" t="s">
        <v>39</v>
      </c>
    </row>
    <row r="1427" spans="1:26" ht="23.1" customHeight="1" x14ac:dyDescent="0.25">
      <c r="A1427" s="53" t="s">
        <v>1002</v>
      </c>
      <c r="B1427" s="10" t="s">
        <v>113</v>
      </c>
      <c r="C1427" s="10">
        <v>101</v>
      </c>
      <c r="D1427" s="10" t="s">
        <v>1099</v>
      </c>
      <c r="E1427" s="41" t="s">
        <v>760</v>
      </c>
      <c r="F1427" s="41" t="e">
        <v>#N/A</v>
      </c>
      <c r="G1427" s="21" t="e">
        <f>VLOOKUP(D1427,[6]成飞半成品!$A:$B,2,0)</f>
        <v>#N/A</v>
      </c>
      <c r="H1427" s="10" t="s">
        <v>300</v>
      </c>
      <c r="I1427" s="10">
        <v>40</v>
      </c>
      <c r="J1427" s="10" t="s">
        <v>1969</v>
      </c>
      <c r="K1427" s="10">
        <v>2</v>
      </c>
      <c r="L1427" s="10">
        <v>2.8</v>
      </c>
      <c r="M1427" s="14">
        <v>32</v>
      </c>
      <c r="N1427" s="14">
        <v>32</v>
      </c>
      <c r="O1427" s="55" t="s">
        <v>1120</v>
      </c>
      <c r="Q1427" s="10">
        <v>330</v>
      </c>
      <c r="R1427" s="10">
        <v>60</v>
      </c>
      <c r="T1427" s="10">
        <v>3</v>
      </c>
      <c r="U1427" s="10">
        <v>120</v>
      </c>
      <c r="W1427" s="14"/>
      <c r="Y1427" s="79">
        <v>18.399999999999999</v>
      </c>
      <c r="Z1427" s="56" t="s">
        <v>47</v>
      </c>
    </row>
    <row r="1428" spans="1:26" ht="23.1" customHeight="1" x14ac:dyDescent="0.25">
      <c r="A1428" s="53" t="s">
        <v>1002</v>
      </c>
      <c r="B1428" s="10" t="s">
        <v>113</v>
      </c>
      <c r="C1428" s="10">
        <v>105</v>
      </c>
      <c r="D1428" s="10" t="s">
        <v>1176</v>
      </c>
      <c r="E1428" s="41" t="s">
        <v>1098</v>
      </c>
      <c r="F1428" s="41" t="s">
        <v>1098</v>
      </c>
      <c r="G1428" s="21" t="str">
        <f>VLOOKUP(D1428,[6]成飞半成品!$A:$B,2,0)</f>
        <v>根肋一段</v>
      </c>
      <c r="H1428" s="10" t="s">
        <v>250</v>
      </c>
      <c r="I1428" s="10">
        <v>50</v>
      </c>
      <c r="J1428" s="10" t="s">
        <v>2185</v>
      </c>
      <c r="K1428" s="10">
        <v>0.6</v>
      </c>
      <c r="L1428" s="10">
        <v>0.6</v>
      </c>
      <c r="M1428" s="14">
        <v>32</v>
      </c>
      <c r="N1428" s="14">
        <v>32</v>
      </c>
      <c r="O1428" s="55" t="s">
        <v>429</v>
      </c>
      <c r="Q1428" s="10">
        <v>1080</v>
      </c>
      <c r="R1428" s="10">
        <v>60</v>
      </c>
      <c r="T1428" s="10">
        <v>1</v>
      </c>
      <c r="U1428" s="10">
        <v>120</v>
      </c>
      <c r="W1428" s="14"/>
      <c r="Y1428" s="79">
        <v>11.8</v>
      </c>
      <c r="Z1428" s="56" t="s">
        <v>9</v>
      </c>
    </row>
    <row r="1429" spans="1:26" ht="23.1" customHeight="1" x14ac:dyDescent="0.25">
      <c r="A1429" s="53" t="s">
        <v>1002</v>
      </c>
      <c r="B1429" s="10" t="s">
        <v>113</v>
      </c>
      <c r="C1429" s="10">
        <v>99</v>
      </c>
      <c r="D1429" s="10" t="s">
        <v>787</v>
      </c>
      <c r="E1429" s="41" t="s">
        <v>788</v>
      </c>
      <c r="F1429" s="41" t="s">
        <v>788</v>
      </c>
      <c r="G1429" s="21" t="str">
        <f>VLOOKUP(D1429,[6]成飞半成品!$A:$B,2,0)</f>
        <v>根肋二段</v>
      </c>
      <c r="H1429" s="10" t="s">
        <v>123</v>
      </c>
      <c r="I1429" s="10">
        <v>55</v>
      </c>
      <c r="J1429" s="10" t="s">
        <v>2459</v>
      </c>
      <c r="K1429" s="10">
        <v>7</v>
      </c>
      <c r="L1429" s="10">
        <v>10</v>
      </c>
      <c r="M1429" s="14">
        <v>32</v>
      </c>
      <c r="N1429" s="14">
        <v>32</v>
      </c>
      <c r="O1429" s="55" t="s">
        <v>1218</v>
      </c>
      <c r="Q1429" s="10">
        <v>100</v>
      </c>
      <c r="R1429" s="10">
        <v>60</v>
      </c>
      <c r="T1429" s="10">
        <v>10</v>
      </c>
      <c r="U1429" s="10">
        <v>90</v>
      </c>
      <c r="W1429" s="14">
        <v>1</v>
      </c>
      <c r="Y1429" s="79">
        <v>28.2</v>
      </c>
      <c r="Z1429" s="56" t="s">
        <v>29</v>
      </c>
    </row>
    <row r="1430" spans="1:26" ht="23.1" customHeight="1" x14ac:dyDescent="0.25">
      <c r="A1430" s="53" t="s">
        <v>1002</v>
      </c>
      <c r="B1430" s="10" t="s">
        <v>113</v>
      </c>
      <c r="C1430" s="10">
        <v>103</v>
      </c>
      <c r="D1430" s="47" t="s">
        <v>1148</v>
      </c>
      <c r="E1430" s="41" t="s">
        <v>1149</v>
      </c>
      <c r="F1430" s="41" t="s">
        <v>1149</v>
      </c>
      <c r="G1430" s="21" t="str">
        <f>VLOOKUP(D1430,[6]成飞半成品!$A:$B,2,0)</f>
        <v>1号下壁板</v>
      </c>
      <c r="H1430" s="10" t="s">
        <v>300</v>
      </c>
      <c r="I1430" s="10">
        <v>10</v>
      </c>
      <c r="J1430" s="10" t="s">
        <v>2176</v>
      </c>
      <c r="K1430" s="10">
        <v>0.5</v>
      </c>
      <c r="L1430" s="10">
        <v>0.2</v>
      </c>
      <c r="M1430" s="14">
        <v>32</v>
      </c>
      <c r="N1430" s="14">
        <v>32</v>
      </c>
      <c r="O1430" s="55" t="s">
        <v>1219</v>
      </c>
      <c r="Q1430" s="10">
        <v>480</v>
      </c>
      <c r="R1430" s="10">
        <v>120</v>
      </c>
      <c r="T1430" s="10">
        <v>1</v>
      </c>
      <c r="U1430" s="10">
        <v>120</v>
      </c>
      <c r="W1430" s="14"/>
      <c r="Y1430" s="79">
        <v>3.6</v>
      </c>
      <c r="Z1430" s="56" t="s">
        <v>61</v>
      </c>
    </row>
    <row r="1431" spans="1:26" ht="23.1" customHeight="1" x14ac:dyDescent="0.25">
      <c r="A1431" s="53" t="s">
        <v>1002</v>
      </c>
      <c r="B1431" s="10" t="s">
        <v>113</v>
      </c>
      <c r="C1431" s="10">
        <v>103</v>
      </c>
      <c r="D1431" s="10" t="s">
        <v>1148</v>
      </c>
      <c r="E1431" s="41" t="s">
        <v>1149</v>
      </c>
      <c r="F1431" s="41" t="s">
        <v>1149</v>
      </c>
      <c r="G1431" s="21" t="str">
        <f>VLOOKUP(D1431,[6]成飞半成品!$A:$B,2,0)</f>
        <v>1号下壁板</v>
      </c>
      <c r="H1431" s="10" t="s">
        <v>300</v>
      </c>
      <c r="I1431" s="10">
        <v>10</v>
      </c>
      <c r="J1431" s="10" t="s">
        <v>2176</v>
      </c>
      <c r="K1431" s="10">
        <v>0.5</v>
      </c>
      <c r="L1431" s="10">
        <v>0.9</v>
      </c>
      <c r="M1431" s="14">
        <v>32</v>
      </c>
      <c r="N1431" s="14">
        <v>32</v>
      </c>
      <c r="O1431" s="55" t="s">
        <v>1219</v>
      </c>
      <c r="Q1431" s="10">
        <v>480</v>
      </c>
      <c r="R1431" s="10">
        <v>120</v>
      </c>
      <c r="T1431" s="10">
        <v>1</v>
      </c>
      <c r="U1431" s="10">
        <v>120</v>
      </c>
      <c r="W1431" s="14">
        <v>1</v>
      </c>
      <c r="Y1431" s="79">
        <v>11.2</v>
      </c>
      <c r="Z1431" s="56" t="s">
        <v>61</v>
      </c>
    </row>
    <row r="1432" spans="1:26" ht="23.1" customHeight="1" x14ac:dyDescent="0.25">
      <c r="A1432" s="53" t="s">
        <v>1002</v>
      </c>
      <c r="B1432" s="10" t="s">
        <v>110</v>
      </c>
      <c r="C1432" s="10">
        <v>99</v>
      </c>
      <c r="D1432" s="10" t="s">
        <v>830</v>
      </c>
      <c r="E1432" s="41" t="s">
        <v>788</v>
      </c>
      <c r="F1432" s="41" t="s">
        <v>788</v>
      </c>
      <c r="G1432" s="21" t="str">
        <f>VLOOKUP(D1432,[6]成飞半成品!$A:$B,2,0)</f>
        <v>根肋二段</v>
      </c>
      <c r="H1432" s="10" t="s">
        <v>123</v>
      </c>
      <c r="I1432" s="10">
        <v>55</v>
      </c>
      <c r="J1432" s="10" t="s">
        <v>2194</v>
      </c>
      <c r="K1432" s="10">
        <v>5</v>
      </c>
      <c r="L1432" s="10">
        <v>9</v>
      </c>
      <c r="M1432" s="14">
        <v>25</v>
      </c>
      <c r="N1432" s="14">
        <v>25</v>
      </c>
      <c r="O1432" s="55" t="s">
        <v>1208</v>
      </c>
      <c r="Q1432" s="10">
        <v>100</v>
      </c>
      <c r="R1432" s="10">
        <v>60</v>
      </c>
      <c r="T1432" s="10">
        <v>9</v>
      </c>
      <c r="U1432" s="10">
        <v>90</v>
      </c>
      <c r="W1432" s="14">
        <v>1</v>
      </c>
      <c r="Y1432" s="79">
        <v>25.5</v>
      </c>
      <c r="Z1432" s="56" t="s">
        <v>21</v>
      </c>
    </row>
    <row r="1433" spans="1:26" ht="23.1" customHeight="1" x14ac:dyDescent="0.25">
      <c r="A1433" s="53" t="s">
        <v>1002</v>
      </c>
      <c r="B1433" s="10" t="s">
        <v>110</v>
      </c>
      <c r="C1433" s="10">
        <v>97</v>
      </c>
      <c r="D1433" s="10" t="s">
        <v>1239</v>
      </c>
      <c r="E1433" s="41" t="s">
        <v>1065</v>
      </c>
      <c r="F1433" s="41" t="s">
        <v>1065</v>
      </c>
      <c r="G1433" s="21" t="str">
        <f>VLOOKUP(D1433,[6]成飞半成品!$A:$B,2,0)</f>
        <v>根肋三段</v>
      </c>
      <c r="H1433" s="10" t="s">
        <v>250</v>
      </c>
      <c r="I1433" s="10">
        <v>65</v>
      </c>
      <c r="J1433" s="10" t="s">
        <v>2184</v>
      </c>
      <c r="K1433" s="10">
        <v>2</v>
      </c>
      <c r="L1433" s="10">
        <v>2</v>
      </c>
      <c r="M1433" s="14">
        <v>25</v>
      </c>
      <c r="N1433" s="14">
        <v>25</v>
      </c>
      <c r="O1433" s="55" t="s">
        <v>1077</v>
      </c>
      <c r="Q1433" s="10">
        <v>60</v>
      </c>
      <c r="R1433" s="10">
        <v>60</v>
      </c>
      <c r="T1433" s="10">
        <v>2</v>
      </c>
      <c r="U1433" s="10">
        <v>60</v>
      </c>
      <c r="W1433" s="14">
        <v>1</v>
      </c>
      <c r="Y1433" s="79">
        <v>5</v>
      </c>
      <c r="Z1433" s="56" t="s">
        <v>1</v>
      </c>
    </row>
    <row r="1434" spans="1:26" ht="23.1" customHeight="1" x14ac:dyDescent="0.25">
      <c r="A1434" s="53" t="s">
        <v>1002</v>
      </c>
      <c r="B1434" s="10" t="s">
        <v>110</v>
      </c>
      <c r="C1434" s="10">
        <v>97</v>
      </c>
      <c r="D1434" s="10" t="s">
        <v>1239</v>
      </c>
      <c r="E1434" s="41" t="s">
        <v>1065</v>
      </c>
      <c r="F1434" s="41" t="s">
        <v>1065</v>
      </c>
      <c r="G1434" s="21" t="str">
        <f>VLOOKUP(D1434,[6]成飞半成品!$A:$B,2,0)</f>
        <v>根肋三段</v>
      </c>
      <c r="H1434" s="10" t="s">
        <v>250</v>
      </c>
      <c r="I1434" s="10">
        <v>65</v>
      </c>
      <c r="J1434" s="10" t="s">
        <v>2184</v>
      </c>
      <c r="K1434" s="10">
        <v>5</v>
      </c>
      <c r="L1434" s="10">
        <v>2</v>
      </c>
      <c r="M1434" s="14">
        <v>25</v>
      </c>
      <c r="N1434" s="14">
        <v>25</v>
      </c>
      <c r="O1434" s="55" t="s">
        <v>186</v>
      </c>
      <c r="Q1434" s="10">
        <v>60</v>
      </c>
      <c r="R1434" s="10">
        <v>60</v>
      </c>
      <c r="U1434" s="10">
        <v>60</v>
      </c>
      <c r="W1434" s="14"/>
      <c r="Y1434" s="79">
        <v>2</v>
      </c>
      <c r="Z1434" s="56" t="s">
        <v>1</v>
      </c>
    </row>
    <row r="1435" spans="1:26" ht="23.1" customHeight="1" x14ac:dyDescent="0.25">
      <c r="A1435" s="53" t="s">
        <v>1002</v>
      </c>
      <c r="B1435" s="10" t="s">
        <v>110</v>
      </c>
      <c r="C1435" s="10">
        <v>105</v>
      </c>
      <c r="D1435" s="10" t="s">
        <v>1176</v>
      </c>
      <c r="E1435" s="41" t="s">
        <v>1098</v>
      </c>
      <c r="F1435" s="41" t="s">
        <v>1098</v>
      </c>
      <c r="G1435" s="21" t="str">
        <f>VLOOKUP(D1435,[6]成飞半成品!$A:$B,2,0)</f>
        <v>根肋一段</v>
      </c>
      <c r="H1435" s="10" t="s">
        <v>250</v>
      </c>
      <c r="I1435" s="10">
        <v>50</v>
      </c>
      <c r="J1435" s="10" t="s">
        <v>2185</v>
      </c>
      <c r="K1435" s="10">
        <v>0.6</v>
      </c>
      <c r="L1435" s="10">
        <v>0.5</v>
      </c>
      <c r="M1435" s="14">
        <v>25</v>
      </c>
      <c r="N1435" s="14">
        <v>25</v>
      </c>
      <c r="O1435" s="55" t="s">
        <v>429</v>
      </c>
      <c r="Q1435" s="10">
        <v>1080</v>
      </c>
      <c r="R1435" s="10">
        <v>60</v>
      </c>
      <c r="U1435" s="10">
        <v>120</v>
      </c>
      <c r="W1435" s="14"/>
      <c r="Y1435" s="79">
        <v>9</v>
      </c>
      <c r="Z1435" s="56" t="s">
        <v>28</v>
      </c>
    </row>
    <row r="1436" spans="1:26" ht="23.1" customHeight="1" x14ac:dyDescent="0.25">
      <c r="A1436" s="53" t="s">
        <v>1002</v>
      </c>
      <c r="B1436" s="10" t="s">
        <v>110</v>
      </c>
      <c r="C1436" s="10">
        <v>82</v>
      </c>
      <c r="D1436" s="10" t="s">
        <v>484</v>
      </c>
      <c r="E1436" s="41" t="s">
        <v>485</v>
      </c>
      <c r="F1436" s="41" t="s">
        <v>485</v>
      </c>
      <c r="G1436" s="21" t="str">
        <f>VLOOKUP(D1436,[6]成飞半成品!$A:$B,2,0)</f>
        <v>8635左隔框</v>
      </c>
      <c r="H1436" s="10" t="s">
        <v>300</v>
      </c>
      <c r="I1436" s="10">
        <v>20</v>
      </c>
      <c r="J1436" s="10" t="s">
        <v>2135</v>
      </c>
      <c r="K1436" s="10">
        <v>1</v>
      </c>
      <c r="L1436" s="10">
        <v>1.7</v>
      </c>
      <c r="M1436" s="14">
        <v>25</v>
      </c>
      <c r="N1436" s="14">
        <v>25</v>
      </c>
      <c r="O1436" s="55" t="s">
        <v>319</v>
      </c>
      <c r="Q1436" s="10">
        <v>420</v>
      </c>
      <c r="R1436" s="10">
        <v>60</v>
      </c>
      <c r="T1436" s="10">
        <v>2</v>
      </c>
      <c r="U1436" s="10">
        <v>90</v>
      </c>
      <c r="W1436" s="14">
        <v>1</v>
      </c>
      <c r="Y1436" s="79">
        <v>15.4</v>
      </c>
      <c r="Z1436" s="56" t="s">
        <v>56</v>
      </c>
    </row>
    <row r="1437" spans="1:26" ht="23.1" customHeight="1" x14ac:dyDescent="0.25">
      <c r="A1437" s="53" t="s">
        <v>1002</v>
      </c>
      <c r="B1437" s="10" t="s">
        <v>110</v>
      </c>
      <c r="C1437" s="10">
        <v>82</v>
      </c>
      <c r="D1437" s="10" t="s">
        <v>298</v>
      </c>
      <c r="E1437" s="41" t="s">
        <v>299</v>
      </c>
      <c r="F1437" s="41" t="s">
        <v>299</v>
      </c>
      <c r="G1437" s="21" t="str">
        <f>VLOOKUP(D1437,[6]成飞半成品!$A:$B,2,0)</f>
        <v>8635右隔框</v>
      </c>
      <c r="H1437" s="10" t="s">
        <v>300</v>
      </c>
      <c r="I1437" s="10">
        <v>15</v>
      </c>
      <c r="J1437" s="10" t="s">
        <v>2134</v>
      </c>
      <c r="K1437" s="10">
        <v>1</v>
      </c>
      <c r="L1437" s="10">
        <v>2</v>
      </c>
      <c r="M1437" s="14">
        <v>25</v>
      </c>
      <c r="N1437" s="14">
        <v>25</v>
      </c>
      <c r="O1437" s="55" t="s">
        <v>319</v>
      </c>
      <c r="Q1437" s="10">
        <v>120</v>
      </c>
      <c r="R1437" s="10">
        <v>60</v>
      </c>
      <c r="T1437" s="10">
        <v>2</v>
      </c>
      <c r="U1437" s="10">
        <v>90</v>
      </c>
      <c r="W1437" s="14">
        <v>1</v>
      </c>
      <c r="Y1437" s="79">
        <v>7.5</v>
      </c>
      <c r="Z1437" s="56" t="s">
        <v>56</v>
      </c>
    </row>
    <row r="1438" spans="1:26" ht="23.1" customHeight="1" x14ac:dyDescent="0.25">
      <c r="A1438" s="53" t="s">
        <v>1002</v>
      </c>
      <c r="B1438" s="10" t="s">
        <v>110</v>
      </c>
      <c r="C1438" s="10">
        <v>19</v>
      </c>
      <c r="D1438" s="10" t="s">
        <v>395</v>
      </c>
      <c r="E1438" s="41" t="s">
        <v>396</v>
      </c>
      <c r="F1438" s="41" t="e">
        <v>#N/A</v>
      </c>
      <c r="G1438" s="21" t="e">
        <f>VLOOKUP(D1438,[6]成飞半成品!$A:$B,2,0)</f>
        <v>#N/A</v>
      </c>
      <c r="H1438" s="10" t="s">
        <v>300</v>
      </c>
      <c r="I1438" s="10">
        <v>30</v>
      </c>
      <c r="J1438" s="10" t="s">
        <v>2193</v>
      </c>
      <c r="K1438" s="10">
        <v>1</v>
      </c>
      <c r="L1438" s="10">
        <v>0.5</v>
      </c>
      <c r="M1438" s="14">
        <v>25</v>
      </c>
      <c r="N1438" s="14">
        <v>25</v>
      </c>
      <c r="O1438" s="55" t="s">
        <v>199</v>
      </c>
      <c r="Q1438" s="10">
        <v>630</v>
      </c>
      <c r="R1438" s="10">
        <v>90</v>
      </c>
      <c r="T1438" s="10">
        <v>1</v>
      </c>
      <c r="U1438" s="10">
        <v>90</v>
      </c>
      <c r="W1438" s="14">
        <v>1</v>
      </c>
      <c r="Y1438" s="79">
        <v>8.3000000000000007</v>
      </c>
      <c r="Z1438" s="56" t="s">
        <v>11</v>
      </c>
    </row>
    <row r="1439" spans="1:26" ht="23.1" customHeight="1" x14ac:dyDescent="0.25">
      <c r="A1439" s="53" t="s">
        <v>1002</v>
      </c>
      <c r="B1439" s="10" t="s">
        <v>110</v>
      </c>
      <c r="C1439" s="10">
        <v>19</v>
      </c>
      <c r="D1439" s="10" t="s">
        <v>395</v>
      </c>
      <c r="E1439" s="41" t="s">
        <v>396</v>
      </c>
      <c r="F1439" s="41" t="e">
        <v>#N/A</v>
      </c>
      <c r="G1439" s="21" t="e">
        <f>VLOOKUP(D1439,[6]成飞半成品!$A:$B,2,0)</f>
        <v>#N/A</v>
      </c>
      <c r="H1439" s="10" t="s">
        <v>300</v>
      </c>
      <c r="I1439" s="10">
        <v>25</v>
      </c>
      <c r="J1439" s="10" t="s">
        <v>1937</v>
      </c>
      <c r="L1439" s="10">
        <v>0.5</v>
      </c>
      <c r="M1439" s="14">
        <v>25</v>
      </c>
      <c r="N1439" s="14">
        <v>25</v>
      </c>
      <c r="O1439" s="55" t="s">
        <v>722</v>
      </c>
      <c r="Q1439" s="10">
        <v>370</v>
      </c>
      <c r="R1439" s="10">
        <v>90</v>
      </c>
      <c r="U1439" s="10">
        <v>60</v>
      </c>
      <c r="W1439" s="14"/>
      <c r="Y1439" s="79">
        <v>3.1</v>
      </c>
      <c r="Z1439" s="56" t="s">
        <v>11</v>
      </c>
    </row>
    <row r="1440" spans="1:26" ht="23.1" customHeight="1" x14ac:dyDescent="0.25">
      <c r="A1440" s="53" t="s">
        <v>1002</v>
      </c>
      <c r="B1440" s="10" t="s">
        <v>110</v>
      </c>
      <c r="C1440" s="10">
        <v>103</v>
      </c>
      <c r="D1440" s="47" t="s">
        <v>1148</v>
      </c>
      <c r="E1440" s="41" t="s">
        <v>1149</v>
      </c>
      <c r="F1440" s="41" t="s">
        <v>1149</v>
      </c>
      <c r="G1440" s="21" t="str">
        <f>VLOOKUP(D1440,[6]成飞半成品!$A:$B,2,0)</f>
        <v>1号下壁板</v>
      </c>
      <c r="H1440" s="10" t="s">
        <v>300</v>
      </c>
      <c r="I1440" s="10">
        <v>10</v>
      </c>
      <c r="J1440" s="10" t="s">
        <v>2176</v>
      </c>
      <c r="K1440" s="10">
        <v>1</v>
      </c>
      <c r="L1440" s="10">
        <v>1</v>
      </c>
      <c r="M1440" s="14">
        <v>25</v>
      </c>
      <c r="N1440" s="14">
        <v>25</v>
      </c>
      <c r="O1440" s="55" t="s">
        <v>1220</v>
      </c>
      <c r="Q1440" s="10">
        <v>480</v>
      </c>
      <c r="R1440" s="10">
        <v>120</v>
      </c>
      <c r="T1440" s="10">
        <v>1</v>
      </c>
      <c r="U1440" s="10">
        <v>120</v>
      </c>
      <c r="W1440" s="14"/>
      <c r="Y1440" s="79">
        <v>10</v>
      </c>
      <c r="Z1440" s="56" t="s">
        <v>62</v>
      </c>
    </row>
    <row r="1441" spans="1:27" ht="23.1" customHeight="1" x14ac:dyDescent="0.25">
      <c r="A1441" s="53" t="s">
        <v>1221</v>
      </c>
      <c r="B1441" s="10" t="s">
        <v>110</v>
      </c>
      <c r="C1441" s="10">
        <v>99</v>
      </c>
      <c r="D1441" s="10" t="s">
        <v>787</v>
      </c>
      <c r="E1441" s="41" t="s">
        <v>788</v>
      </c>
      <c r="F1441" s="41" t="s">
        <v>788</v>
      </c>
      <c r="G1441" s="21" t="str">
        <f>VLOOKUP(D1441,[6]成飞半成品!$A:$B,2,0)</f>
        <v>根肋二段</v>
      </c>
      <c r="H1441" s="10" t="s">
        <v>123</v>
      </c>
      <c r="I1441" s="10">
        <v>55</v>
      </c>
      <c r="J1441" s="10" t="s">
        <v>2194</v>
      </c>
      <c r="K1441" s="10">
        <v>6</v>
      </c>
      <c r="L1441" s="10">
        <v>3</v>
      </c>
      <c r="M1441" s="14">
        <v>25</v>
      </c>
      <c r="N1441" s="14">
        <v>25</v>
      </c>
      <c r="O1441" s="55" t="s">
        <v>429</v>
      </c>
      <c r="Q1441" s="10">
        <v>100</v>
      </c>
      <c r="R1441" s="10">
        <v>60</v>
      </c>
      <c r="T1441" s="10">
        <v>3</v>
      </c>
      <c r="U1441" s="10">
        <v>90</v>
      </c>
      <c r="W1441" s="14"/>
      <c r="X1441" s="14">
        <v>2</v>
      </c>
      <c r="Y1441" s="79">
        <v>10</v>
      </c>
      <c r="Z1441" s="56" t="s">
        <v>21</v>
      </c>
      <c r="AA1441" s="14" t="s">
        <v>1011</v>
      </c>
    </row>
    <row r="1442" spans="1:27" ht="23.1" customHeight="1" x14ac:dyDescent="0.25">
      <c r="A1442" s="53" t="s">
        <v>1221</v>
      </c>
      <c r="B1442" s="10" t="s">
        <v>110</v>
      </c>
      <c r="C1442" s="10">
        <v>99</v>
      </c>
      <c r="D1442" s="10" t="s">
        <v>1099</v>
      </c>
      <c r="E1442" s="41" t="s">
        <v>760</v>
      </c>
      <c r="F1442" s="41" t="e">
        <v>#N/A</v>
      </c>
      <c r="G1442" s="21" t="e">
        <f>VLOOKUP(D1442,[6]成飞半成品!$A:$B,2,0)</f>
        <v>#N/A</v>
      </c>
      <c r="H1442" s="10" t="s">
        <v>300</v>
      </c>
      <c r="I1442" s="10">
        <v>5</v>
      </c>
      <c r="J1442" s="10" t="s">
        <v>2195</v>
      </c>
      <c r="K1442" s="10">
        <v>10</v>
      </c>
      <c r="L1442" s="10">
        <v>10</v>
      </c>
      <c r="M1442" s="14">
        <v>25</v>
      </c>
      <c r="N1442" s="14">
        <v>25</v>
      </c>
      <c r="O1442" s="55" t="s">
        <v>384</v>
      </c>
      <c r="Q1442" s="10">
        <v>180</v>
      </c>
      <c r="R1442" s="10">
        <v>60</v>
      </c>
      <c r="T1442" s="10">
        <v>10</v>
      </c>
      <c r="U1442" s="10">
        <v>60</v>
      </c>
      <c r="W1442" s="14">
        <v>1</v>
      </c>
      <c r="Y1442" s="79">
        <v>41</v>
      </c>
      <c r="Z1442" s="56" t="s">
        <v>21</v>
      </c>
    </row>
    <row r="1443" spans="1:27" ht="23.1" customHeight="1" x14ac:dyDescent="0.25">
      <c r="A1443" s="53" t="s">
        <v>1221</v>
      </c>
      <c r="B1443" s="10" t="s">
        <v>110</v>
      </c>
      <c r="C1443" s="10">
        <v>97</v>
      </c>
      <c r="D1443" s="10" t="s">
        <v>1239</v>
      </c>
      <c r="E1443" s="41" t="s">
        <v>1065</v>
      </c>
      <c r="F1443" s="41" t="s">
        <v>1065</v>
      </c>
      <c r="G1443" s="21" t="str">
        <f>VLOOKUP(D1443,[6]成飞半成品!$A:$B,2,0)</f>
        <v>根肋三段</v>
      </c>
      <c r="H1443" s="10" t="s">
        <v>250</v>
      </c>
      <c r="I1443" s="10">
        <v>70</v>
      </c>
      <c r="J1443" s="10" t="s">
        <v>2101</v>
      </c>
      <c r="K1443" s="10">
        <v>1</v>
      </c>
      <c r="L1443" s="10">
        <v>1</v>
      </c>
      <c r="M1443" s="14">
        <v>25</v>
      </c>
      <c r="N1443" s="14">
        <v>25</v>
      </c>
      <c r="O1443" s="55" t="s">
        <v>292</v>
      </c>
      <c r="Q1443" s="10">
        <v>90</v>
      </c>
      <c r="R1443" s="10">
        <v>60</v>
      </c>
      <c r="T1443" s="10">
        <v>1</v>
      </c>
      <c r="U1443" s="10">
        <v>90</v>
      </c>
      <c r="W1443" s="14">
        <v>1</v>
      </c>
      <c r="Y1443" s="79">
        <v>4</v>
      </c>
      <c r="Z1443" s="56" t="s">
        <v>1</v>
      </c>
    </row>
    <row r="1444" spans="1:27" ht="23.1" customHeight="1" x14ac:dyDescent="0.25">
      <c r="A1444" s="53" t="s">
        <v>1221</v>
      </c>
      <c r="B1444" s="10" t="s">
        <v>110</v>
      </c>
      <c r="C1444" s="10">
        <v>97</v>
      </c>
      <c r="D1444" s="10" t="s">
        <v>1239</v>
      </c>
      <c r="E1444" s="41" t="s">
        <v>1065</v>
      </c>
      <c r="F1444" s="41" t="s">
        <v>1065</v>
      </c>
      <c r="G1444" s="21" t="str">
        <f>VLOOKUP(D1444,[6]成飞半成品!$A:$B,2,0)</f>
        <v>根肋三段</v>
      </c>
      <c r="H1444" s="10" t="s">
        <v>250</v>
      </c>
      <c r="I1444" s="10">
        <v>70</v>
      </c>
      <c r="J1444" s="10" t="s">
        <v>2101</v>
      </c>
      <c r="K1444" s="10">
        <v>5</v>
      </c>
      <c r="L1444" s="10">
        <v>5</v>
      </c>
      <c r="M1444" s="14">
        <v>25</v>
      </c>
      <c r="N1444" s="14">
        <v>25</v>
      </c>
      <c r="O1444" s="55" t="s">
        <v>429</v>
      </c>
      <c r="Q1444" s="10">
        <v>90</v>
      </c>
      <c r="R1444" s="10">
        <v>60</v>
      </c>
      <c r="T1444" s="10">
        <v>5</v>
      </c>
      <c r="U1444" s="10">
        <v>90</v>
      </c>
      <c r="W1444" s="14">
        <v>1</v>
      </c>
      <c r="Y1444" s="79">
        <v>14</v>
      </c>
      <c r="Z1444" s="56" t="s">
        <v>1</v>
      </c>
    </row>
    <row r="1445" spans="1:27" ht="23.1" customHeight="1" x14ac:dyDescent="0.25">
      <c r="A1445" s="53" t="s">
        <v>1221</v>
      </c>
      <c r="B1445" s="10" t="s">
        <v>110</v>
      </c>
      <c r="C1445" s="10">
        <v>105</v>
      </c>
      <c r="D1445" s="10" t="s">
        <v>1176</v>
      </c>
      <c r="E1445" s="41" t="s">
        <v>1098</v>
      </c>
      <c r="F1445" s="41" t="s">
        <v>1098</v>
      </c>
      <c r="G1445" s="21" t="str">
        <f>VLOOKUP(D1445,[6]成飞半成品!$A:$B,2,0)</f>
        <v>根肋一段</v>
      </c>
      <c r="H1445" s="10" t="s">
        <v>250</v>
      </c>
      <c r="I1445" s="10">
        <v>50</v>
      </c>
      <c r="J1445" s="10" t="s">
        <v>2185</v>
      </c>
      <c r="K1445" s="10">
        <v>0.6</v>
      </c>
      <c r="L1445" s="10">
        <v>0.6</v>
      </c>
      <c r="M1445" s="14">
        <v>25</v>
      </c>
      <c r="N1445" s="14">
        <v>25</v>
      </c>
      <c r="O1445" s="55" t="s">
        <v>429</v>
      </c>
      <c r="Q1445" s="10">
        <v>1080</v>
      </c>
      <c r="R1445" s="10">
        <v>60</v>
      </c>
      <c r="T1445" s="10">
        <v>1</v>
      </c>
      <c r="U1445" s="10">
        <v>120</v>
      </c>
      <c r="W1445" s="14"/>
      <c r="Y1445" s="79">
        <v>11.8</v>
      </c>
      <c r="Z1445" s="56" t="s">
        <v>28</v>
      </c>
    </row>
    <row r="1446" spans="1:27" ht="23.1" customHeight="1" x14ac:dyDescent="0.25">
      <c r="A1446" s="53" t="s">
        <v>1221</v>
      </c>
      <c r="B1446" s="10" t="s">
        <v>110</v>
      </c>
      <c r="C1446" s="10">
        <v>82</v>
      </c>
      <c r="D1446" s="10" t="s">
        <v>484</v>
      </c>
      <c r="E1446" s="41" t="s">
        <v>485</v>
      </c>
      <c r="F1446" s="41" t="s">
        <v>485</v>
      </c>
      <c r="G1446" s="21" t="str">
        <f>VLOOKUP(D1446,[6]成飞半成品!$A:$B,2,0)</f>
        <v>8635左隔框</v>
      </c>
      <c r="H1446" s="10" t="s">
        <v>300</v>
      </c>
      <c r="I1446" s="10">
        <v>25</v>
      </c>
      <c r="J1446" s="10" t="s">
        <v>2140</v>
      </c>
      <c r="K1446" s="10">
        <v>0.8</v>
      </c>
      <c r="L1446" s="10">
        <v>0.5</v>
      </c>
      <c r="M1446" s="14">
        <v>25</v>
      </c>
      <c r="N1446" s="14">
        <v>25</v>
      </c>
      <c r="O1446" s="55" t="s">
        <v>164</v>
      </c>
      <c r="Q1446" s="10">
        <v>660</v>
      </c>
      <c r="R1446" s="10">
        <v>60</v>
      </c>
      <c r="T1446" s="10">
        <v>1</v>
      </c>
      <c r="U1446" s="10">
        <v>180</v>
      </c>
      <c r="W1446" s="14">
        <v>1</v>
      </c>
      <c r="X1446" s="10">
        <v>2</v>
      </c>
      <c r="Y1446" s="79">
        <v>11.5</v>
      </c>
      <c r="Z1446" s="56" t="s">
        <v>56</v>
      </c>
      <c r="AA1446" s="14" t="s">
        <v>1222</v>
      </c>
    </row>
    <row r="1447" spans="1:27" ht="23.1" customHeight="1" x14ac:dyDescent="0.25">
      <c r="A1447" s="53" t="s">
        <v>1221</v>
      </c>
      <c r="B1447" s="10" t="s">
        <v>110</v>
      </c>
      <c r="C1447" s="10">
        <v>19</v>
      </c>
      <c r="D1447" s="10" t="s">
        <v>395</v>
      </c>
      <c r="E1447" s="41" t="s">
        <v>396</v>
      </c>
      <c r="F1447" s="41" t="e">
        <v>#N/A</v>
      </c>
      <c r="G1447" s="21" t="e">
        <f>VLOOKUP(D1447,[6]成飞半成品!$A:$B,2,0)</f>
        <v>#N/A</v>
      </c>
      <c r="H1447" s="10" t="s">
        <v>300</v>
      </c>
      <c r="I1447" s="10">
        <v>30</v>
      </c>
      <c r="J1447" s="10" t="s">
        <v>2193</v>
      </c>
      <c r="K1447" s="10">
        <v>0.5</v>
      </c>
      <c r="L1447" s="10">
        <v>0.4</v>
      </c>
      <c r="M1447" s="14">
        <v>25</v>
      </c>
      <c r="N1447" s="14">
        <v>25</v>
      </c>
      <c r="O1447" s="55" t="s">
        <v>722</v>
      </c>
      <c r="Q1447" s="10">
        <v>630</v>
      </c>
      <c r="R1447" s="10">
        <v>90</v>
      </c>
      <c r="U1447" s="10">
        <v>90</v>
      </c>
      <c r="W1447" s="14"/>
      <c r="Y1447" s="79">
        <v>4.2</v>
      </c>
      <c r="Z1447" s="56" t="s">
        <v>11</v>
      </c>
    </row>
    <row r="1448" spans="1:27" ht="23.1" customHeight="1" x14ac:dyDescent="0.25">
      <c r="A1448" s="53" t="s">
        <v>1221</v>
      </c>
      <c r="B1448" s="10" t="s">
        <v>110</v>
      </c>
      <c r="C1448" s="10">
        <v>19</v>
      </c>
      <c r="D1448" s="10" t="s">
        <v>395</v>
      </c>
      <c r="E1448" s="41" t="s">
        <v>396</v>
      </c>
      <c r="F1448" s="41" t="e">
        <v>#N/A</v>
      </c>
      <c r="G1448" s="21" t="e">
        <f>VLOOKUP(D1448,[6]成飞半成品!$A:$B,2,0)</f>
        <v>#N/A</v>
      </c>
      <c r="H1448" s="10" t="s">
        <v>300</v>
      </c>
      <c r="I1448" s="10">
        <v>20</v>
      </c>
      <c r="J1448" s="10" t="s">
        <v>1962</v>
      </c>
      <c r="K1448" s="10">
        <v>5</v>
      </c>
      <c r="L1448" s="10">
        <v>9</v>
      </c>
      <c r="M1448" s="14">
        <v>25</v>
      </c>
      <c r="N1448" s="14">
        <v>25</v>
      </c>
      <c r="O1448" s="55" t="s">
        <v>1223</v>
      </c>
      <c r="Q1448" s="10">
        <v>60</v>
      </c>
      <c r="R1448" s="10">
        <v>90</v>
      </c>
      <c r="T1448" s="10">
        <v>9</v>
      </c>
      <c r="U1448" s="10">
        <v>60</v>
      </c>
      <c r="W1448" s="14">
        <v>1</v>
      </c>
      <c r="Y1448" s="79">
        <v>23.5</v>
      </c>
      <c r="Z1448" s="56" t="s">
        <v>11</v>
      </c>
    </row>
    <row r="1449" spans="1:27" ht="23.1" customHeight="1" x14ac:dyDescent="0.25">
      <c r="A1449" s="53" t="s">
        <v>1221</v>
      </c>
      <c r="B1449" s="10" t="s">
        <v>110</v>
      </c>
      <c r="C1449" s="10">
        <v>103</v>
      </c>
      <c r="D1449" s="10" t="s">
        <v>1148</v>
      </c>
      <c r="E1449" s="41" t="s">
        <v>1149</v>
      </c>
      <c r="F1449" s="41" t="s">
        <v>1149</v>
      </c>
      <c r="G1449" s="21" t="str">
        <f>VLOOKUP(D1449,[6]成飞半成品!$A:$B,2,0)</f>
        <v>1号下壁板</v>
      </c>
      <c r="H1449" s="10" t="s">
        <v>300</v>
      </c>
      <c r="I1449" s="10">
        <v>10</v>
      </c>
      <c r="J1449" s="10" t="s">
        <v>2176</v>
      </c>
      <c r="K1449" s="10">
        <v>1</v>
      </c>
      <c r="L1449" s="10">
        <v>1</v>
      </c>
      <c r="M1449" s="14">
        <v>25</v>
      </c>
      <c r="N1449" s="14">
        <v>25</v>
      </c>
      <c r="O1449" s="55" t="s">
        <v>1153</v>
      </c>
      <c r="Q1449" s="10">
        <v>480</v>
      </c>
      <c r="R1449" s="10">
        <v>120</v>
      </c>
      <c r="T1449" s="10">
        <v>1</v>
      </c>
      <c r="U1449" s="10">
        <v>120</v>
      </c>
      <c r="W1449" s="14"/>
      <c r="Y1449" s="79">
        <v>10</v>
      </c>
      <c r="Z1449" s="56" t="s">
        <v>62</v>
      </c>
    </row>
    <row r="1450" spans="1:27" ht="23.1" customHeight="1" x14ac:dyDescent="0.25">
      <c r="A1450" s="53" t="s">
        <v>1221</v>
      </c>
      <c r="B1450" s="10" t="s">
        <v>110</v>
      </c>
      <c r="C1450" s="10">
        <v>117</v>
      </c>
      <c r="D1450" s="10" t="s">
        <v>1081</v>
      </c>
      <c r="E1450" s="41" t="s">
        <v>1082</v>
      </c>
      <c r="F1450" s="41" t="s">
        <v>1082</v>
      </c>
      <c r="G1450" s="21" t="str">
        <f>VLOOKUP(D1450,[6]成飞半成品!$A:$B,2,0)</f>
        <v xml:space="preserve"> 前梁</v>
      </c>
      <c r="H1450" s="10" t="s">
        <v>123</v>
      </c>
      <c r="I1450" s="10">
        <v>30</v>
      </c>
      <c r="J1450" s="10" t="s">
        <v>1863</v>
      </c>
      <c r="L1450" s="10">
        <v>1.5</v>
      </c>
      <c r="M1450" s="14">
        <v>25</v>
      </c>
      <c r="N1450" s="14">
        <v>25</v>
      </c>
      <c r="O1450" s="55" t="s">
        <v>1196</v>
      </c>
      <c r="Q1450" s="10">
        <v>240</v>
      </c>
      <c r="R1450" s="10">
        <v>60</v>
      </c>
      <c r="T1450" s="10">
        <v>2</v>
      </c>
      <c r="U1450" s="10">
        <v>90</v>
      </c>
      <c r="W1450" s="14">
        <v>1</v>
      </c>
      <c r="X1450" s="10">
        <v>2</v>
      </c>
      <c r="Y1450" s="79">
        <v>11.5</v>
      </c>
      <c r="Z1450" s="56" t="s">
        <v>32</v>
      </c>
      <c r="AA1450" s="14" t="s">
        <v>1224</v>
      </c>
    </row>
    <row r="1451" spans="1:27" ht="23.1" customHeight="1" x14ac:dyDescent="0.25">
      <c r="A1451" s="53" t="s">
        <v>1221</v>
      </c>
      <c r="B1451" s="10" t="s">
        <v>110</v>
      </c>
      <c r="C1451" s="10">
        <v>118</v>
      </c>
      <c r="D1451" s="10" t="s">
        <v>1171</v>
      </c>
      <c r="E1451" s="41" t="s">
        <v>1172</v>
      </c>
      <c r="F1451" s="41" t="s">
        <v>1172</v>
      </c>
      <c r="G1451" s="21" t="str">
        <f>VLOOKUP(D1451,[6]成飞半成品!$A:$B,2,0)</f>
        <v>后梁</v>
      </c>
      <c r="H1451" s="10" t="s">
        <v>300</v>
      </c>
      <c r="I1451" s="10">
        <v>35</v>
      </c>
      <c r="J1451" s="10" t="s">
        <v>2187</v>
      </c>
      <c r="L1451" s="10">
        <v>0.1</v>
      </c>
      <c r="M1451" s="14">
        <v>25</v>
      </c>
      <c r="N1451" s="14">
        <v>25</v>
      </c>
      <c r="O1451" s="55" t="s">
        <v>1213</v>
      </c>
      <c r="Q1451" s="10">
        <v>5000</v>
      </c>
      <c r="R1451" s="10">
        <v>60</v>
      </c>
      <c r="U1451" s="10">
        <v>300</v>
      </c>
      <c r="W1451" s="14"/>
      <c r="Y1451" s="79">
        <v>8.3000000000000007</v>
      </c>
      <c r="Z1451" s="56" t="s">
        <v>32</v>
      </c>
    </row>
    <row r="1452" spans="1:27" ht="23.1" customHeight="1" x14ac:dyDescent="0.25">
      <c r="A1452" s="53" t="s">
        <v>1221</v>
      </c>
      <c r="B1452" s="10" t="s">
        <v>113</v>
      </c>
      <c r="C1452" s="10">
        <v>102</v>
      </c>
      <c r="D1452" s="10" t="s">
        <v>1097</v>
      </c>
      <c r="E1452" s="41" t="s">
        <v>1098</v>
      </c>
      <c r="F1452" s="41" t="s">
        <v>1098</v>
      </c>
      <c r="G1452" s="21" t="str">
        <f>VLOOKUP(D1452,[6]成飞半成品!$A:$B,2,0)</f>
        <v>根肋一段</v>
      </c>
      <c r="H1452" s="10" t="s">
        <v>250</v>
      </c>
      <c r="I1452" s="10">
        <v>50</v>
      </c>
      <c r="J1452" s="10" t="s">
        <v>2185</v>
      </c>
      <c r="K1452" s="10">
        <v>0.8</v>
      </c>
      <c r="L1452" s="10">
        <v>0.8</v>
      </c>
      <c r="M1452" s="14">
        <v>32</v>
      </c>
      <c r="N1452" s="14">
        <v>32</v>
      </c>
      <c r="O1452" s="55" t="s">
        <v>292</v>
      </c>
      <c r="Q1452" s="10">
        <v>1080</v>
      </c>
      <c r="R1452" s="10">
        <v>60</v>
      </c>
      <c r="T1452" s="10">
        <v>1</v>
      </c>
      <c r="U1452" s="10">
        <v>120</v>
      </c>
      <c r="W1452" s="14"/>
      <c r="Y1452" s="79">
        <v>15.4</v>
      </c>
      <c r="Z1452" s="56" t="s">
        <v>35</v>
      </c>
    </row>
    <row r="1453" spans="1:27" ht="23.1" customHeight="1" x14ac:dyDescent="0.25">
      <c r="A1453" s="53" t="s">
        <v>1221</v>
      </c>
      <c r="B1453" s="10" t="s">
        <v>113</v>
      </c>
      <c r="C1453" s="10">
        <v>98</v>
      </c>
      <c r="D1453" s="10" t="s">
        <v>404</v>
      </c>
      <c r="E1453" s="41" t="s">
        <v>405</v>
      </c>
      <c r="F1453" s="41" t="s">
        <v>405</v>
      </c>
      <c r="G1453" s="21" t="str">
        <f>VLOOKUP(D1453,[6]成飞半成品!$A:$B,2,0)</f>
        <v>11140框右下半框</v>
      </c>
      <c r="H1453" s="10" t="s">
        <v>118</v>
      </c>
      <c r="I1453" s="10">
        <v>35</v>
      </c>
      <c r="J1453" s="10" t="s">
        <v>2174</v>
      </c>
      <c r="K1453" s="10">
        <v>0.8</v>
      </c>
      <c r="L1453" s="10">
        <v>1</v>
      </c>
      <c r="M1453" s="14">
        <v>32</v>
      </c>
      <c r="N1453" s="14">
        <v>32</v>
      </c>
      <c r="O1453" s="55" t="s">
        <v>439</v>
      </c>
      <c r="Q1453" s="10">
        <v>800</v>
      </c>
      <c r="R1453" s="10">
        <v>60</v>
      </c>
      <c r="T1453" s="10">
        <v>1</v>
      </c>
      <c r="U1453" s="10">
        <v>120</v>
      </c>
      <c r="W1453" s="14"/>
      <c r="Y1453" s="79">
        <v>14.3</v>
      </c>
      <c r="Z1453" s="56" t="s">
        <v>35</v>
      </c>
    </row>
    <row r="1454" spans="1:27" ht="23.1" customHeight="1" x14ac:dyDescent="0.25">
      <c r="A1454" s="53" t="s">
        <v>1221</v>
      </c>
      <c r="B1454" s="10" t="s">
        <v>113</v>
      </c>
      <c r="C1454" s="10">
        <v>106</v>
      </c>
      <c r="D1454" s="10" t="s">
        <v>1070</v>
      </c>
      <c r="E1454" s="41" t="s">
        <v>101</v>
      </c>
      <c r="F1454" s="41" t="s">
        <v>101</v>
      </c>
      <c r="G1454" s="21" t="str">
        <f>VLOOKUP(D1454,[6]成飞半成品!$A:$B,2,0)</f>
        <v>前梁一段</v>
      </c>
      <c r="H1454" s="10" t="s">
        <v>300</v>
      </c>
      <c r="I1454" s="10">
        <v>25</v>
      </c>
      <c r="J1454" s="10" t="s">
        <v>2163</v>
      </c>
      <c r="K1454" s="10">
        <v>0.2</v>
      </c>
      <c r="L1454" s="10">
        <v>0.2</v>
      </c>
      <c r="M1454" s="14">
        <v>32</v>
      </c>
      <c r="N1454" s="14">
        <v>32</v>
      </c>
      <c r="O1454" s="55" t="s">
        <v>476</v>
      </c>
      <c r="Q1454" s="10">
        <v>4800</v>
      </c>
      <c r="R1454" s="10">
        <v>180</v>
      </c>
      <c r="U1454" s="10">
        <v>180</v>
      </c>
      <c r="W1454" s="14"/>
      <c r="Y1454" s="79">
        <v>16</v>
      </c>
      <c r="Z1454" s="56" t="s">
        <v>35</v>
      </c>
    </row>
    <row r="1455" spans="1:27" ht="23.1" customHeight="1" x14ac:dyDescent="0.25">
      <c r="A1455" s="53" t="s">
        <v>1221</v>
      </c>
      <c r="B1455" s="10" t="s">
        <v>113</v>
      </c>
      <c r="C1455" s="10">
        <v>118</v>
      </c>
      <c r="D1455" s="10" t="s">
        <v>1171</v>
      </c>
      <c r="E1455" s="41" t="s">
        <v>1172</v>
      </c>
      <c r="F1455" s="41" t="s">
        <v>1172</v>
      </c>
      <c r="G1455" s="21" t="str">
        <f>VLOOKUP(D1455,[6]成飞半成品!$A:$B,2,0)</f>
        <v>后梁</v>
      </c>
      <c r="H1455" s="10" t="s">
        <v>300</v>
      </c>
      <c r="I1455" s="10">
        <v>35</v>
      </c>
      <c r="J1455" s="10" t="s">
        <v>2187</v>
      </c>
      <c r="L1455" s="10">
        <v>0.1</v>
      </c>
      <c r="M1455" s="14">
        <v>32</v>
      </c>
      <c r="N1455" s="14">
        <v>32</v>
      </c>
      <c r="O1455" s="55" t="s">
        <v>330</v>
      </c>
      <c r="Q1455" s="10">
        <v>5000</v>
      </c>
      <c r="R1455" s="10">
        <v>60</v>
      </c>
      <c r="U1455" s="10">
        <v>300</v>
      </c>
      <c r="W1455" s="14"/>
      <c r="Y1455" s="79">
        <v>8.3000000000000007</v>
      </c>
      <c r="Z1455" s="56" t="s">
        <v>35</v>
      </c>
    </row>
    <row r="1456" spans="1:27" ht="23.1" customHeight="1" x14ac:dyDescent="0.25">
      <c r="A1456" s="53" t="s">
        <v>1221</v>
      </c>
      <c r="B1456" s="10" t="s">
        <v>113</v>
      </c>
      <c r="C1456" s="10">
        <v>117</v>
      </c>
      <c r="D1456" s="10" t="s">
        <v>1225</v>
      </c>
      <c r="E1456" s="41" t="s">
        <v>1082</v>
      </c>
      <c r="F1456" s="41" t="e">
        <v>#N/A</v>
      </c>
      <c r="G1456" s="21" t="e">
        <f>VLOOKUP(D1456,[6]成飞半成品!$A:$B,2,0)</f>
        <v>#N/A</v>
      </c>
      <c r="H1456" s="10" t="s">
        <v>123</v>
      </c>
      <c r="I1456" s="10">
        <v>30</v>
      </c>
      <c r="L1456" s="10">
        <v>2</v>
      </c>
      <c r="M1456" s="14">
        <v>32</v>
      </c>
      <c r="N1456" s="14">
        <v>32</v>
      </c>
      <c r="O1456" s="55" t="s">
        <v>1214</v>
      </c>
      <c r="W1456" s="14"/>
      <c r="X1456" s="14">
        <v>15</v>
      </c>
      <c r="Y1456" s="79">
        <v>15</v>
      </c>
      <c r="Z1456" s="56" t="s">
        <v>35</v>
      </c>
    </row>
    <row r="1457" spans="1:27" ht="23.1" customHeight="1" x14ac:dyDescent="0.25">
      <c r="A1457" s="53" t="s">
        <v>1221</v>
      </c>
      <c r="B1457" s="10" t="s">
        <v>113</v>
      </c>
      <c r="C1457" s="10">
        <v>45</v>
      </c>
      <c r="D1457" s="47" t="s">
        <v>484</v>
      </c>
      <c r="E1457" s="41" t="s">
        <v>1226</v>
      </c>
      <c r="F1457" s="41" t="s">
        <v>485</v>
      </c>
      <c r="G1457" s="21" t="str">
        <f>VLOOKUP(D1457,[6]成飞半成品!$A:$B,2,0)</f>
        <v>8635左隔框</v>
      </c>
      <c r="H1457" s="10" t="s">
        <v>300</v>
      </c>
      <c r="I1457" s="10">
        <v>10</v>
      </c>
      <c r="J1457" s="10" t="s">
        <v>2136</v>
      </c>
      <c r="K1457" s="10">
        <v>6</v>
      </c>
      <c r="L1457" s="10">
        <v>7</v>
      </c>
      <c r="M1457" s="14">
        <v>32</v>
      </c>
      <c r="N1457" s="14">
        <v>32</v>
      </c>
      <c r="O1457" s="55" t="s">
        <v>1227</v>
      </c>
      <c r="Q1457" s="10">
        <v>180</v>
      </c>
      <c r="R1457" s="10">
        <v>60</v>
      </c>
      <c r="T1457" s="10">
        <v>7</v>
      </c>
      <c r="U1457" s="10">
        <v>90</v>
      </c>
      <c r="V1457" s="47"/>
      <c r="W1457" s="14">
        <v>1</v>
      </c>
      <c r="Y1457" s="79">
        <v>29.5</v>
      </c>
      <c r="Z1457" s="56" t="s">
        <v>35</v>
      </c>
    </row>
    <row r="1458" spans="1:27" ht="23.1" customHeight="1" x14ac:dyDescent="0.25">
      <c r="A1458" s="53" t="s">
        <v>1221</v>
      </c>
      <c r="B1458" s="10" t="s">
        <v>113</v>
      </c>
      <c r="C1458" s="10">
        <v>45</v>
      </c>
      <c r="D1458" s="10" t="s">
        <v>395</v>
      </c>
      <c r="E1458" s="41" t="s">
        <v>396</v>
      </c>
      <c r="F1458" s="41" t="e">
        <v>#N/A</v>
      </c>
      <c r="G1458" s="21" t="e">
        <f>VLOOKUP(D1458,[6]成飞半成品!$A:$B,2,0)</f>
        <v>#N/A</v>
      </c>
      <c r="H1458" s="10" t="s">
        <v>300</v>
      </c>
      <c r="I1458" s="10">
        <v>15</v>
      </c>
      <c r="J1458" s="10" t="s">
        <v>2112</v>
      </c>
      <c r="L1458" s="10">
        <v>3</v>
      </c>
      <c r="M1458" s="14">
        <v>32</v>
      </c>
      <c r="N1458" s="14">
        <v>32</v>
      </c>
      <c r="O1458" s="55" t="s">
        <v>1104</v>
      </c>
      <c r="Q1458" s="10">
        <v>80</v>
      </c>
      <c r="R1458" s="10">
        <v>90</v>
      </c>
      <c r="T1458" s="10">
        <v>3</v>
      </c>
      <c r="U1458" s="10">
        <v>90</v>
      </c>
      <c r="V1458" s="47">
        <v>60</v>
      </c>
      <c r="W1458" s="14"/>
      <c r="Y1458" s="79">
        <v>8.5</v>
      </c>
      <c r="Z1458" s="56" t="s">
        <v>35</v>
      </c>
    </row>
    <row r="1459" spans="1:27" ht="23.1" customHeight="1" x14ac:dyDescent="0.25">
      <c r="A1459" s="53" t="s">
        <v>1221</v>
      </c>
      <c r="B1459" s="10" t="s">
        <v>113</v>
      </c>
      <c r="C1459" s="10">
        <v>100</v>
      </c>
      <c r="D1459" s="10" t="s">
        <v>1191</v>
      </c>
      <c r="E1459" s="41" t="s">
        <v>1192</v>
      </c>
      <c r="F1459" s="41" t="s">
        <v>1192</v>
      </c>
      <c r="G1459" s="21" t="str">
        <f>VLOOKUP(D1459,[6]成飞半成品!$A:$B,2,0)</f>
        <v>后顶板</v>
      </c>
      <c r="H1459" s="10" t="s">
        <v>300</v>
      </c>
      <c r="I1459" s="10">
        <v>10</v>
      </c>
      <c r="J1459" s="10" t="s">
        <v>2176</v>
      </c>
      <c r="K1459" s="10">
        <v>2</v>
      </c>
      <c r="L1459" s="10">
        <v>1</v>
      </c>
      <c r="M1459" s="14">
        <v>32</v>
      </c>
      <c r="N1459" s="14">
        <v>32</v>
      </c>
      <c r="O1459" s="55" t="s">
        <v>509</v>
      </c>
      <c r="Q1459" s="10">
        <v>200</v>
      </c>
      <c r="R1459" s="10">
        <v>60</v>
      </c>
      <c r="T1459" s="10">
        <v>1</v>
      </c>
      <c r="U1459" s="10">
        <v>90</v>
      </c>
      <c r="V1459" s="47">
        <v>60</v>
      </c>
      <c r="W1459" s="14"/>
      <c r="Y1459" s="79">
        <v>4.3</v>
      </c>
      <c r="Z1459" s="56" t="s">
        <v>35</v>
      </c>
    </row>
    <row r="1460" spans="1:27" ht="23.1" customHeight="1" x14ac:dyDescent="0.25">
      <c r="A1460" s="53" t="s">
        <v>1221</v>
      </c>
      <c r="B1460" s="10" t="s">
        <v>113</v>
      </c>
      <c r="C1460" s="10">
        <v>82</v>
      </c>
      <c r="D1460" s="10" t="s">
        <v>484</v>
      </c>
      <c r="E1460" s="41" t="s">
        <v>485</v>
      </c>
      <c r="F1460" s="41" t="s">
        <v>485</v>
      </c>
      <c r="G1460" s="21" t="str">
        <f>VLOOKUP(D1460,[6]成飞半成品!$A:$B,2,0)</f>
        <v>8635左隔框</v>
      </c>
      <c r="H1460" s="10" t="s">
        <v>300</v>
      </c>
      <c r="I1460" s="10">
        <v>25</v>
      </c>
      <c r="J1460" s="10" t="s">
        <v>2140</v>
      </c>
      <c r="K1460" s="10">
        <v>1</v>
      </c>
      <c r="L1460" s="10">
        <v>0.9</v>
      </c>
      <c r="M1460" s="14">
        <v>32</v>
      </c>
      <c r="N1460" s="14">
        <v>32</v>
      </c>
      <c r="O1460" s="55" t="s">
        <v>1113</v>
      </c>
      <c r="Q1460" s="10">
        <v>660</v>
      </c>
      <c r="R1460" s="10">
        <v>60</v>
      </c>
      <c r="T1460" s="10">
        <v>1</v>
      </c>
      <c r="U1460" s="10">
        <v>180</v>
      </c>
      <c r="W1460" s="14"/>
      <c r="Y1460" s="79">
        <v>10.9</v>
      </c>
      <c r="Z1460" s="56" t="s">
        <v>35</v>
      </c>
    </row>
    <row r="1461" spans="1:27" ht="23.1" customHeight="1" x14ac:dyDescent="0.25">
      <c r="A1461" s="53" t="s">
        <v>1221</v>
      </c>
      <c r="B1461" s="10" t="s">
        <v>113</v>
      </c>
      <c r="C1461" s="10">
        <v>83</v>
      </c>
      <c r="D1461" s="10" t="s">
        <v>1095</v>
      </c>
      <c r="E1461" s="41" t="s">
        <v>1096</v>
      </c>
      <c r="F1461" s="41" t="s">
        <v>1096</v>
      </c>
      <c r="G1461" s="21" t="str">
        <f>VLOOKUP(D1461,[6]成飞半成品!$A:$B,2,0)</f>
        <v>1150肋根肋</v>
      </c>
      <c r="H1461" s="10" t="s">
        <v>658</v>
      </c>
      <c r="I1461" s="10">
        <v>15</v>
      </c>
      <c r="J1461" s="10" t="s">
        <v>2048</v>
      </c>
      <c r="K1461" s="10">
        <v>2</v>
      </c>
      <c r="L1461" s="10">
        <v>3</v>
      </c>
      <c r="M1461" s="14">
        <v>32</v>
      </c>
      <c r="N1461" s="14">
        <v>32</v>
      </c>
      <c r="O1461" s="55" t="s">
        <v>351</v>
      </c>
      <c r="Q1461" s="10">
        <v>270</v>
      </c>
      <c r="R1461" s="10">
        <v>60</v>
      </c>
      <c r="T1461" s="10">
        <v>3</v>
      </c>
      <c r="U1461" s="10">
        <v>60</v>
      </c>
      <c r="W1461" s="14"/>
      <c r="Y1461" s="79">
        <v>16.5</v>
      </c>
      <c r="Z1461" s="56" t="s">
        <v>35</v>
      </c>
    </row>
    <row r="1462" spans="1:27" ht="23.1" customHeight="1" x14ac:dyDescent="0.25">
      <c r="A1462" s="53" t="s">
        <v>1221</v>
      </c>
      <c r="B1462" s="10" t="s">
        <v>113</v>
      </c>
      <c r="C1462" s="10">
        <v>100</v>
      </c>
      <c r="D1462" s="10" t="s">
        <v>759</v>
      </c>
      <c r="E1462" s="41" t="s">
        <v>760</v>
      </c>
      <c r="F1462" s="41" t="s">
        <v>760</v>
      </c>
      <c r="G1462" s="21" t="str">
        <f>VLOOKUP(D1462,[6]成飞半成品!$A:$B,2,0)</f>
        <v>9555侧隔框</v>
      </c>
      <c r="H1462" s="10" t="s">
        <v>300</v>
      </c>
      <c r="I1462" s="10">
        <v>10</v>
      </c>
      <c r="J1462" s="10" t="s">
        <v>2196</v>
      </c>
      <c r="K1462" s="10">
        <v>3</v>
      </c>
      <c r="L1462" s="10">
        <v>5</v>
      </c>
      <c r="M1462" s="14">
        <v>32</v>
      </c>
      <c r="N1462" s="14">
        <v>32</v>
      </c>
      <c r="O1462" s="55" t="s">
        <v>1228</v>
      </c>
      <c r="Q1462" s="10">
        <v>180</v>
      </c>
      <c r="R1462" s="10">
        <v>60</v>
      </c>
      <c r="T1462" s="10">
        <v>5</v>
      </c>
      <c r="U1462" s="10">
        <v>60</v>
      </c>
      <c r="W1462" s="14">
        <v>1</v>
      </c>
      <c r="Y1462" s="79">
        <v>21</v>
      </c>
      <c r="Z1462" s="56" t="s">
        <v>35</v>
      </c>
    </row>
    <row r="1463" spans="1:27" ht="23.1" customHeight="1" x14ac:dyDescent="0.25">
      <c r="A1463" s="53" t="s">
        <v>1221</v>
      </c>
      <c r="B1463" s="10" t="s">
        <v>113</v>
      </c>
      <c r="C1463" s="10">
        <v>19</v>
      </c>
      <c r="D1463" s="10" t="s">
        <v>395</v>
      </c>
      <c r="E1463" s="41" t="s">
        <v>396</v>
      </c>
      <c r="F1463" s="41" t="e">
        <v>#N/A</v>
      </c>
      <c r="G1463" s="21" t="e">
        <f>VLOOKUP(D1463,[6]成飞半成品!$A:$B,2,0)</f>
        <v>#N/A</v>
      </c>
      <c r="H1463" s="10" t="s">
        <v>300</v>
      </c>
      <c r="I1463" s="10">
        <v>20</v>
      </c>
      <c r="J1463" s="10" t="s">
        <v>1962</v>
      </c>
      <c r="K1463" s="10">
        <v>2</v>
      </c>
      <c r="L1463" s="10">
        <v>2</v>
      </c>
      <c r="M1463" s="14">
        <v>32</v>
      </c>
      <c r="N1463" s="14">
        <v>32</v>
      </c>
      <c r="O1463" s="55" t="s">
        <v>1146</v>
      </c>
      <c r="Q1463" s="10">
        <v>60</v>
      </c>
      <c r="R1463" s="10">
        <v>90</v>
      </c>
      <c r="T1463" s="10">
        <v>2</v>
      </c>
      <c r="U1463" s="10">
        <v>60</v>
      </c>
      <c r="W1463" s="14"/>
      <c r="Y1463" s="79">
        <v>5</v>
      </c>
      <c r="Z1463" s="56" t="s">
        <v>17</v>
      </c>
    </row>
    <row r="1464" spans="1:27" ht="23.1" customHeight="1" x14ac:dyDescent="0.25">
      <c r="A1464" s="53" t="s">
        <v>1221</v>
      </c>
      <c r="B1464" s="10" t="s">
        <v>113</v>
      </c>
      <c r="C1464" s="10">
        <v>19</v>
      </c>
      <c r="D1464" s="10" t="s">
        <v>395</v>
      </c>
      <c r="E1464" s="41" t="s">
        <v>396</v>
      </c>
      <c r="F1464" s="41" t="e">
        <v>#N/A</v>
      </c>
      <c r="G1464" s="21" t="e">
        <f>VLOOKUP(D1464,[6]成飞半成品!$A:$B,2,0)</f>
        <v>#N/A</v>
      </c>
      <c r="H1464" s="10" t="s">
        <v>300</v>
      </c>
      <c r="I1464" s="10">
        <v>25</v>
      </c>
      <c r="J1464" s="10" t="s">
        <v>1937</v>
      </c>
      <c r="K1464" s="10">
        <v>1</v>
      </c>
      <c r="L1464" s="10">
        <v>1.9</v>
      </c>
      <c r="M1464" s="14">
        <v>32</v>
      </c>
      <c r="N1464" s="14">
        <v>32</v>
      </c>
      <c r="O1464" s="55" t="s">
        <v>1229</v>
      </c>
      <c r="Q1464" s="10">
        <v>370</v>
      </c>
      <c r="R1464" s="10">
        <v>90</v>
      </c>
      <c r="T1464" s="10">
        <v>2</v>
      </c>
      <c r="U1464" s="10">
        <v>60</v>
      </c>
      <c r="W1464" s="14">
        <v>1</v>
      </c>
      <c r="Y1464" s="79">
        <v>15.7</v>
      </c>
      <c r="Z1464" s="56" t="s">
        <v>17</v>
      </c>
    </row>
    <row r="1465" spans="1:27" ht="23.1" customHeight="1" x14ac:dyDescent="0.25">
      <c r="A1465" s="53" t="s">
        <v>1221</v>
      </c>
      <c r="B1465" s="10" t="s">
        <v>113</v>
      </c>
      <c r="C1465" s="10">
        <v>44</v>
      </c>
      <c r="D1465" s="10" t="s">
        <v>266</v>
      </c>
      <c r="E1465" s="41" t="s">
        <v>267</v>
      </c>
      <c r="F1465" s="41" t="s">
        <v>267</v>
      </c>
      <c r="G1465" s="21" t="str">
        <f>VLOOKUP(D1465,[6]成飞半成品!$A:$B,2,0)</f>
        <v>后端框</v>
      </c>
      <c r="H1465" s="10" t="s">
        <v>118</v>
      </c>
      <c r="I1465" s="10">
        <v>55</v>
      </c>
      <c r="J1465" s="10" t="s">
        <v>2166</v>
      </c>
      <c r="K1465" s="10">
        <v>0.6</v>
      </c>
      <c r="L1465" s="10">
        <v>0.6</v>
      </c>
      <c r="M1465" s="14">
        <v>32</v>
      </c>
      <c r="N1465" s="14">
        <v>32</v>
      </c>
      <c r="O1465" s="55" t="s">
        <v>429</v>
      </c>
      <c r="Q1465" s="10">
        <v>1260</v>
      </c>
      <c r="R1465" s="10">
        <v>90</v>
      </c>
      <c r="T1465" s="10">
        <v>1</v>
      </c>
      <c r="U1465" s="10">
        <v>60</v>
      </c>
      <c r="W1465" s="14"/>
      <c r="Y1465" s="79">
        <v>14.1</v>
      </c>
      <c r="Z1465" s="56" t="s">
        <v>64</v>
      </c>
    </row>
    <row r="1466" spans="1:27" ht="23.1" customHeight="1" x14ac:dyDescent="0.25">
      <c r="A1466" s="53" t="s">
        <v>1221</v>
      </c>
      <c r="B1466" s="10" t="s">
        <v>113</v>
      </c>
      <c r="C1466" s="10">
        <v>97</v>
      </c>
      <c r="D1466" s="10" t="s">
        <v>1239</v>
      </c>
      <c r="E1466" s="41" t="s">
        <v>1065</v>
      </c>
      <c r="F1466" s="41" t="s">
        <v>1065</v>
      </c>
      <c r="G1466" s="21" t="str">
        <f>VLOOKUP(D1466,[6]成飞半成品!$A:$B,2,0)</f>
        <v>根肋三段</v>
      </c>
      <c r="H1466" s="10" t="s">
        <v>250</v>
      </c>
      <c r="I1466" s="10">
        <v>70</v>
      </c>
      <c r="J1466" s="10" t="s">
        <v>2101</v>
      </c>
      <c r="K1466" s="10">
        <v>2</v>
      </c>
      <c r="L1466" s="10">
        <v>4</v>
      </c>
      <c r="M1466" s="14">
        <v>32</v>
      </c>
      <c r="N1466" s="14">
        <v>32</v>
      </c>
      <c r="O1466" s="55" t="s">
        <v>429</v>
      </c>
      <c r="Q1466" s="10">
        <v>90</v>
      </c>
      <c r="R1466" s="10">
        <v>60</v>
      </c>
      <c r="T1466" s="10">
        <v>4</v>
      </c>
      <c r="U1466" s="10">
        <v>90</v>
      </c>
      <c r="W1466" s="14"/>
      <c r="Y1466" s="79">
        <v>10</v>
      </c>
      <c r="Z1466" s="56" t="s">
        <v>39</v>
      </c>
    </row>
    <row r="1467" spans="1:27" ht="23.1" customHeight="1" x14ac:dyDescent="0.25">
      <c r="A1467" s="53" t="s">
        <v>1221</v>
      </c>
      <c r="B1467" s="10" t="s">
        <v>113</v>
      </c>
      <c r="C1467" s="10">
        <v>97</v>
      </c>
      <c r="D1467" s="10" t="s">
        <v>1239</v>
      </c>
      <c r="E1467" s="41" t="s">
        <v>1065</v>
      </c>
      <c r="F1467" s="41" t="s">
        <v>1065</v>
      </c>
      <c r="G1467" s="21" t="str">
        <f>VLOOKUP(D1467,[6]成飞半成品!$A:$B,2,0)</f>
        <v>根肋三段</v>
      </c>
      <c r="H1467" s="10" t="s">
        <v>250</v>
      </c>
      <c r="I1467" s="10">
        <v>60</v>
      </c>
      <c r="J1467" s="10" t="s">
        <v>2156</v>
      </c>
      <c r="K1467" s="10">
        <v>0.8</v>
      </c>
      <c r="L1467" s="10">
        <v>0.8</v>
      </c>
      <c r="M1467" s="14">
        <v>32</v>
      </c>
      <c r="N1467" s="14">
        <v>32</v>
      </c>
      <c r="O1467" s="55" t="s">
        <v>429</v>
      </c>
      <c r="Q1467" s="10">
        <v>570</v>
      </c>
      <c r="R1467" s="10">
        <v>60</v>
      </c>
      <c r="T1467" s="10">
        <v>1</v>
      </c>
      <c r="U1467" s="10">
        <v>60</v>
      </c>
      <c r="W1467" s="14">
        <v>1</v>
      </c>
      <c r="Y1467" s="79">
        <v>9.6</v>
      </c>
      <c r="Z1467" s="56" t="s">
        <v>39</v>
      </c>
    </row>
    <row r="1468" spans="1:27" ht="23.1" customHeight="1" x14ac:dyDescent="0.25">
      <c r="A1468" s="53" t="s">
        <v>1221</v>
      </c>
      <c r="B1468" s="10" t="s">
        <v>113</v>
      </c>
      <c r="C1468" s="10">
        <v>101</v>
      </c>
      <c r="D1468" s="10" t="s">
        <v>1211</v>
      </c>
      <c r="E1468" s="41" t="s">
        <v>760</v>
      </c>
      <c r="F1468" s="41" t="s">
        <v>760</v>
      </c>
      <c r="G1468" s="21" t="str">
        <f>VLOOKUP(D1468,[6]成飞半成品!$A:$B,2,0)</f>
        <v>9555侧隔框</v>
      </c>
      <c r="H1468" s="10" t="s">
        <v>300</v>
      </c>
      <c r="I1468" s="10">
        <v>45</v>
      </c>
      <c r="J1468" s="10" t="s">
        <v>2385</v>
      </c>
      <c r="K1468" s="10">
        <v>6</v>
      </c>
      <c r="L1468" s="10">
        <v>6</v>
      </c>
      <c r="M1468" s="14">
        <v>32</v>
      </c>
      <c r="N1468" s="14">
        <v>32</v>
      </c>
      <c r="O1468" s="55" t="s">
        <v>1230</v>
      </c>
      <c r="Q1468" s="10">
        <v>90</v>
      </c>
      <c r="R1468" s="10">
        <v>60</v>
      </c>
      <c r="T1468" s="10">
        <v>6</v>
      </c>
      <c r="U1468" s="10">
        <v>120</v>
      </c>
      <c r="W1468" s="14">
        <v>1</v>
      </c>
      <c r="Y1468" s="79">
        <v>17</v>
      </c>
      <c r="Z1468" s="56" t="s">
        <v>47</v>
      </c>
    </row>
    <row r="1469" spans="1:27" ht="23.1" customHeight="1" x14ac:dyDescent="0.25">
      <c r="A1469" s="53" t="s">
        <v>1221</v>
      </c>
      <c r="B1469" s="10" t="s">
        <v>113</v>
      </c>
      <c r="C1469" s="10">
        <v>101</v>
      </c>
      <c r="D1469" s="10" t="s">
        <v>759</v>
      </c>
      <c r="E1469" s="41" t="s">
        <v>760</v>
      </c>
      <c r="F1469" s="41" t="s">
        <v>760</v>
      </c>
      <c r="G1469" s="21" t="str">
        <f>VLOOKUP(D1469,[6]成飞半成品!$A:$B,2,0)</f>
        <v>9555侧隔框</v>
      </c>
      <c r="H1469" s="10" t="s">
        <v>300</v>
      </c>
      <c r="I1469" s="10">
        <v>45</v>
      </c>
      <c r="J1469" s="10" t="s">
        <v>2385</v>
      </c>
      <c r="K1469" s="10">
        <v>2</v>
      </c>
      <c r="L1469" s="10">
        <v>6</v>
      </c>
      <c r="M1469" s="14">
        <v>32</v>
      </c>
      <c r="N1469" s="14">
        <v>32</v>
      </c>
      <c r="O1469" s="55" t="s">
        <v>1230</v>
      </c>
      <c r="Q1469" s="10">
        <v>90</v>
      </c>
      <c r="R1469" s="10">
        <v>60</v>
      </c>
      <c r="T1469" s="10">
        <v>6</v>
      </c>
      <c r="U1469" s="10">
        <v>120</v>
      </c>
      <c r="W1469" s="14">
        <v>1</v>
      </c>
      <c r="Y1469" s="79">
        <v>17</v>
      </c>
      <c r="Z1469" s="56" t="s">
        <v>47</v>
      </c>
    </row>
    <row r="1470" spans="1:27" ht="23.1" customHeight="1" x14ac:dyDescent="0.25">
      <c r="A1470" s="53" t="s">
        <v>1221</v>
      </c>
      <c r="B1470" s="10" t="s">
        <v>113</v>
      </c>
      <c r="C1470" s="10">
        <v>105</v>
      </c>
      <c r="D1470" s="10" t="s">
        <v>1176</v>
      </c>
      <c r="E1470" s="41" t="s">
        <v>1098</v>
      </c>
      <c r="F1470" s="41" t="s">
        <v>1098</v>
      </c>
      <c r="G1470" s="21" t="str">
        <f>VLOOKUP(D1470,[6]成飞半成品!$A:$B,2,0)</f>
        <v>根肋一段</v>
      </c>
      <c r="H1470" s="10" t="s">
        <v>250</v>
      </c>
      <c r="I1470" s="10">
        <v>50</v>
      </c>
      <c r="J1470" s="10" t="s">
        <v>2185</v>
      </c>
      <c r="K1470" s="10">
        <v>0.6</v>
      </c>
      <c r="L1470" s="10">
        <v>0.7</v>
      </c>
      <c r="M1470" s="14">
        <v>32</v>
      </c>
      <c r="N1470" s="14">
        <v>32</v>
      </c>
      <c r="O1470" s="55" t="s">
        <v>429</v>
      </c>
      <c r="Q1470" s="10">
        <v>1080</v>
      </c>
      <c r="R1470" s="10">
        <v>60</v>
      </c>
      <c r="U1470" s="10">
        <v>120</v>
      </c>
      <c r="W1470" s="14"/>
      <c r="Y1470" s="79">
        <v>12.6</v>
      </c>
      <c r="Z1470" s="56" t="s">
        <v>9</v>
      </c>
    </row>
    <row r="1471" spans="1:27" ht="23.1" customHeight="1" x14ac:dyDescent="0.25">
      <c r="A1471" s="53" t="s">
        <v>1221</v>
      </c>
      <c r="B1471" s="10" t="s">
        <v>113</v>
      </c>
      <c r="C1471" s="10">
        <v>99</v>
      </c>
      <c r="D1471" s="10" t="s">
        <v>1191</v>
      </c>
      <c r="E1471" s="41" t="s">
        <v>1192</v>
      </c>
      <c r="F1471" s="41" t="s">
        <v>1192</v>
      </c>
      <c r="G1471" s="21" t="str">
        <f>VLOOKUP(D1471,[6]成飞半成品!$A:$B,2,0)</f>
        <v>后顶板</v>
      </c>
      <c r="H1471" s="10" t="s">
        <v>300</v>
      </c>
      <c r="I1471" s="10">
        <v>40</v>
      </c>
      <c r="J1471" s="10" t="s">
        <v>2386</v>
      </c>
      <c r="K1471" s="10">
        <v>0.3</v>
      </c>
      <c r="L1471" s="10">
        <v>0.3</v>
      </c>
      <c r="M1471" s="14">
        <v>32</v>
      </c>
      <c r="N1471" s="14">
        <v>32</v>
      </c>
      <c r="O1471" s="55" t="s">
        <v>470</v>
      </c>
      <c r="Q1471" s="10">
        <v>1800</v>
      </c>
      <c r="R1471" s="10">
        <v>90</v>
      </c>
      <c r="T1471" s="10">
        <v>1</v>
      </c>
      <c r="U1471" s="10">
        <v>120</v>
      </c>
      <c r="W1471" s="14">
        <v>1</v>
      </c>
      <c r="X1471" s="10">
        <v>4</v>
      </c>
      <c r="Y1471" s="79">
        <v>16.5</v>
      </c>
      <c r="Z1471" s="56" t="s">
        <v>29</v>
      </c>
      <c r="AA1471" s="14" t="s">
        <v>1231</v>
      </c>
    </row>
    <row r="1472" spans="1:27" ht="23.1" customHeight="1" x14ac:dyDescent="0.25">
      <c r="A1472" s="53" t="s">
        <v>1221</v>
      </c>
      <c r="B1472" s="10" t="s">
        <v>113</v>
      </c>
      <c r="C1472" s="10">
        <v>103</v>
      </c>
      <c r="D1472" s="10" t="s">
        <v>1148</v>
      </c>
      <c r="E1472" s="41" t="s">
        <v>1149</v>
      </c>
      <c r="F1472" s="41" t="s">
        <v>1149</v>
      </c>
      <c r="G1472" s="21" t="str">
        <f>VLOOKUP(D1472,[6]成飞半成品!$A:$B,2,0)</f>
        <v>1号下壁板</v>
      </c>
      <c r="H1472" s="10" t="s">
        <v>300</v>
      </c>
      <c r="I1472" s="10">
        <v>10</v>
      </c>
      <c r="J1472" s="10" t="s">
        <v>2176</v>
      </c>
      <c r="K1472" s="10">
        <v>1</v>
      </c>
      <c r="L1472" s="10">
        <v>1</v>
      </c>
      <c r="M1472" s="14">
        <v>32</v>
      </c>
      <c r="N1472" s="14">
        <v>32</v>
      </c>
      <c r="O1472" s="55" t="s">
        <v>1232</v>
      </c>
      <c r="Q1472" s="10">
        <v>480</v>
      </c>
      <c r="R1472" s="10">
        <v>120</v>
      </c>
      <c r="T1472" s="10">
        <v>1</v>
      </c>
      <c r="U1472" s="10">
        <v>120</v>
      </c>
      <c r="W1472" s="14"/>
      <c r="X1472" s="14">
        <v>3</v>
      </c>
      <c r="Y1472" s="79">
        <v>13</v>
      </c>
      <c r="Z1472" s="56" t="s">
        <v>61</v>
      </c>
      <c r="AA1472" s="14" t="s">
        <v>1200</v>
      </c>
    </row>
    <row r="1473" spans="1:27" ht="23.1" customHeight="1" x14ac:dyDescent="0.25">
      <c r="A1473" s="53" t="s">
        <v>1221</v>
      </c>
      <c r="B1473" s="10" t="s">
        <v>110</v>
      </c>
      <c r="C1473" s="10">
        <v>83</v>
      </c>
      <c r="D1473" s="10" t="s">
        <v>1197</v>
      </c>
      <c r="E1473" s="41" t="s">
        <v>1198</v>
      </c>
      <c r="F1473" s="41" t="s">
        <v>1198</v>
      </c>
      <c r="G1473" s="21" t="str">
        <f>VLOOKUP(D1473,[6]成飞半成品!$A:$B,2,0)</f>
        <v>1150肋根肋</v>
      </c>
      <c r="H1473" s="10" t="s">
        <v>658</v>
      </c>
      <c r="I1473" s="10">
        <v>15</v>
      </c>
      <c r="J1473" s="10" t="s">
        <v>2048</v>
      </c>
      <c r="K1473" s="10">
        <v>10</v>
      </c>
      <c r="L1473" s="10">
        <v>3</v>
      </c>
      <c r="M1473" s="14">
        <v>25</v>
      </c>
      <c r="N1473" s="14">
        <v>25</v>
      </c>
      <c r="O1473" s="55" t="s">
        <v>351</v>
      </c>
      <c r="Q1473" s="10">
        <v>270</v>
      </c>
      <c r="R1473" s="10">
        <v>60</v>
      </c>
      <c r="T1473" s="10">
        <v>3</v>
      </c>
      <c r="U1473" s="10">
        <v>60</v>
      </c>
      <c r="W1473" s="14">
        <v>1</v>
      </c>
      <c r="X1473" s="10">
        <v>2</v>
      </c>
      <c r="Y1473" s="79">
        <v>19.5</v>
      </c>
      <c r="Z1473" s="56" t="s">
        <v>67</v>
      </c>
      <c r="AA1473" s="14" t="s">
        <v>941</v>
      </c>
    </row>
    <row r="1474" spans="1:27" ht="23.1" customHeight="1" x14ac:dyDescent="0.25">
      <c r="A1474" s="53" t="s">
        <v>1221</v>
      </c>
      <c r="B1474" s="10" t="s">
        <v>110</v>
      </c>
      <c r="C1474" s="10">
        <v>44</v>
      </c>
      <c r="D1474" s="10" t="s">
        <v>266</v>
      </c>
      <c r="E1474" s="41" t="s">
        <v>267</v>
      </c>
      <c r="F1474" s="41" t="s">
        <v>267</v>
      </c>
      <c r="G1474" s="21" t="str">
        <f>VLOOKUP(D1474,[6]成飞半成品!$A:$B,2,0)</f>
        <v>后端框</v>
      </c>
      <c r="H1474" s="10" t="s">
        <v>118</v>
      </c>
      <c r="I1474" s="10">
        <v>55</v>
      </c>
      <c r="J1474" s="10" t="s">
        <v>2166</v>
      </c>
      <c r="K1474" s="10">
        <v>0.6</v>
      </c>
      <c r="L1474" s="10">
        <v>0.7</v>
      </c>
      <c r="M1474" s="14">
        <v>25</v>
      </c>
      <c r="N1474" s="14">
        <v>25</v>
      </c>
      <c r="O1474" s="55" t="s">
        <v>429</v>
      </c>
      <c r="Q1474" s="10">
        <v>1260</v>
      </c>
      <c r="R1474" s="10">
        <v>90</v>
      </c>
      <c r="U1474" s="10">
        <v>60</v>
      </c>
      <c r="W1474" s="14"/>
      <c r="Y1474" s="79">
        <v>14.7</v>
      </c>
      <c r="Z1474" s="56" t="s">
        <v>67</v>
      </c>
    </row>
    <row r="1475" spans="1:27" ht="23.1" customHeight="1" x14ac:dyDescent="0.25">
      <c r="A1475" s="53" t="s">
        <v>1221</v>
      </c>
      <c r="B1475" s="10" t="s">
        <v>110</v>
      </c>
      <c r="C1475" s="10">
        <v>100</v>
      </c>
      <c r="D1475" s="10" t="s">
        <v>1191</v>
      </c>
      <c r="E1475" s="41" t="s">
        <v>1192</v>
      </c>
      <c r="F1475" s="41" t="s">
        <v>1192</v>
      </c>
      <c r="G1475" s="21" t="str">
        <f>VLOOKUP(D1475,[6]成飞半成品!$A:$B,2,0)</f>
        <v>后顶板</v>
      </c>
      <c r="H1475" s="10" t="s">
        <v>300</v>
      </c>
      <c r="I1475" s="10">
        <v>10</v>
      </c>
      <c r="J1475" s="10" t="s">
        <v>2176</v>
      </c>
      <c r="K1475" s="10">
        <v>6</v>
      </c>
      <c r="L1475" s="10">
        <v>9</v>
      </c>
      <c r="M1475" s="14">
        <v>25</v>
      </c>
      <c r="N1475" s="14">
        <v>25</v>
      </c>
      <c r="O1475" s="55" t="s">
        <v>1233</v>
      </c>
      <c r="Q1475" s="10">
        <v>200</v>
      </c>
      <c r="R1475" s="10">
        <v>60</v>
      </c>
      <c r="T1475" s="10">
        <v>9</v>
      </c>
      <c r="U1475" s="10">
        <v>90</v>
      </c>
      <c r="W1475" s="14">
        <v>1</v>
      </c>
      <c r="X1475" s="10">
        <v>2</v>
      </c>
      <c r="Y1475" s="79">
        <v>42.5</v>
      </c>
      <c r="Z1475" s="56" t="s">
        <v>67</v>
      </c>
      <c r="AA1475" s="14" t="s">
        <v>1011</v>
      </c>
    </row>
    <row r="1476" spans="1:27" ht="23.1" customHeight="1" x14ac:dyDescent="0.25">
      <c r="A1476" s="53" t="s">
        <v>1221</v>
      </c>
      <c r="B1476" s="10" t="s">
        <v>110</v>
      </c>
      <c r="C1476" s="10">
        <v>102</v>
      </c>
      <c r="D1476" s="10" t="s">
        <v>1097</v>
      </c>
      <c r="E1476" s="41" t="s">
        <v>1098</v>
      </c>
      <c r="F1476" s="41" t="s">
        <v>1098</v>
      </c>
      <c r="G1476" s="21" t="str">
        <f>VLOOKUP(D1476,[6]成飞半成品!$A:$B,2,0)</f>
        <v>根肋一段</v>
      </c>
      <c r="H1476" s="10" t="s">
        <v>250</v>
      </c>
      <c r="I1476" s="10">
        <v>50</v>
      </c>
      <c r="J1476" s="10" t="s">
        <v>2185</v>
      </c>
      <c r="K1476" s="10">
        <v>0.6</v>
      </c>
      <c r="L1476" s="10">
        <v>0.6</v>
      </c>
      <c r="M1476" s="14">
        <v>25</v>
      </c>
      <c r="N1476" s="14">
        <v>25</v>
      </c>
      <c r="O1476" s="55" t="s">
        <v>292</v>
      </c>
      <c r="Q1476" s="10">
        <v>1080</v>
      </c>
      <c r="R1476" s="10">
        <v>60</v>
      </c>
      <c r="T1476" s="10">
        <v>1</v>
      </c>
      <c r="U1476" s="10">
        <v>120</v>
      </c>
      <c r="W1476" s="14"/>
      <c r="X1476" s="14">
        <v>2</v>
      </c>
      <c r="Y1476" s="79">
        <v>13.8</v>
      </c>
      <c r="Z1476" s="56" t="s">
        <v>67</v>
      </c>
      <c r="AA1476" s="14" t="s">
        <v>1210</v>
      </c>
    </row>
    <row r="1477" spans="1:27" ht="23.1" customHeight="1" x14ac:dyDescent="0.25">
      <c r="A1477" s="53" t="s">
        <v>1221</v>
      </c>
      <c r="B1477" s="10" t="s">
        <v>110</v>
      </c>
      <c r="C1477" s="10">
        <v>98</v>
      </c>
      <c r="D1477" s="10" t="s">
        <v>404</v>
      </c>
      <c r="E1477" s="41" t="s">
        <v>405</v>
      </c>
      <c r="F1477" s="41" t="s">
        <v>405</v>
      </c>
      <c r="G1477" s="21" t="str">
        <f>VLOOKUP(D1477,[6]成飞半成品!$A:$B,2,0)</f>
        <v>11140框右下半框</v>
      </c>
      <c r="H1477" s="10" t="s">
        <v>118</v>
      </c>
      <c r="I1477" s="10">
        <v>35</v>
      </c>
      <c r="J1477" s="10" t="s">
        <v>2174</v>
      </c>
      <c r="K1477" s="10">
        <v>0.8</v>
      </c>
      <c r="L1477" s="10">
        <v>1</v>
      </c>
      <c r="M1477" s="14">
        <v>25</v>
      </c>
      <c r="N1477" s="14">
        <v>25</v>
      </c>
      <c r="O1477" s="55" t="s">
        <v>1119</v>
      </c>
      <c r="Q1477" s="10">
        <v>800</v>
      </c>
      <c r="R1477" s="10">
        <v>60</v>
      </c>
      <c r="T1477" s="10">
        <v>1</v>
      </c>
      <c r="U1477" s="10">
        <v>120</v>
      </c>
      <c r="W1477" s="14"/>
      <c r="Y1477" s="79">
        <v>14.3</v>
      </c>
      <c r="Z1477" s="56" t="s">
        <v>67</v>
      </c>
    </row>
    <row r="1478" spans="1:27" ht="23.1" customHeight="1" x14ac:dyDescent="0.25">
      <c r="A1478" s="53" t="s">
        <v>1221</v>
      </c>
      <c r="B1478" s="10" t="s">
        <v>110</v>
      </c>
      <c r="C1478" s="10">
        <v>106</v>
      </c>
      <c r="D1478" s="10" t="s">
        <v>1070</v>
      </c>
      <c r="E1478" s="41" t="s">
        <v>101</v>
      </c>
      <c r="F1478" s="41" t="s">
        <v>101</v>
      </c>
      <c r="G1478" s="21" t="str">
        <f>VLOOKUP(D1478,[6]成飞半成品!$A:$B,2,0)</f>
        <v>前梁一段</v>
      </c>
      <c r="H1478" s="10" t="s">
        <v>300</v>
      </c>
      <c r="I1478" s="10">
        <v>25</v>
      </c>
      <c r="J1478" s="10" t="s">
        <v>2163</v>
      </c>
      <c r="K1478" s="10">
        <v>0.2</v>
      </c>
      <c r="L1478" s="10">
        <v>0.2</v>
      </c>
      <c r="M1478" s="14">
        <v>25</v>
      </c>
      <c r="N1478" s="14">
        <v>25</v>
      </c>
      <c r="O1478" s="55" t="s">
        <v>476</v>
      </c>
      <c r="Q1478" s="10">
        <v>4800</v>
      </c>
      <c r="R1478" s="10">
        <v>180</v>
      </c>
      <c r="U1478" s="10">
        <v>180</v>
      </c>
      <c r="W1478" s="14"/>
      <c r="Y1478" s="79">
        <v>16</v>
      </c>
      <c r="Z1478" s="56" t="s">
        <v>67</v>
      </c>
    </row>
    <row r="1479" spans="1:27" ht="23.1" customHeight="1" x14ac:dyDescent="0.25">
      <c r="A1479" s="53" t="s">
        <v>1221</v>
      </c>
      <c r="B1479" s="10" t="s">
        <v>110</v>
      </c>
      <c r="C1479" s="10">
        <v>101</v>
      </c>
      <c r="D1479" s="10" t="s">
        <v>1099</v>
      </c>
      <c r="E1479" s="41" t="s">
        <v>760</v>
      </c>
      <c r="F1479" s="41" t="e">
        <v>#N/A</v>
      </c>
      <c r="G1479" s="21" t="e">
        <f>VLOOKUP(D1479,[6]成飞半成品!$A:$B,2,0)</f>
        <v>#N/A</v>
      </c>
      <c r="H1479" s="10" t="s">
        <v>300</v>
      </c>
      <c r="I1479" s="10">
        <v>40</v>
      </c>
      <c r="J1479" s="10" t="s">
        <v>1969</v>
      </c>
      <c r="K1479" s="10">
        <v>2</v>
      </c>
      <c r="L1479" s="10">
        <v>2.2000000000000002</v>
      </c>
      <c r="M1479" s="14">
        <v>25</v>
      </c>
      <c r="N1479" s="14">
        <v>25</v>
      </c>
      <c r="O1479" s="55" t="s">
        <v>1114</v>
      </c>
      <c r="Q1479" s="10">
        <v>330</v>
      </c>
      <c r="R1479" s="10">
        <v>60</v>
      </c>
      <c r="T1479" s="10">
        <v>2</v>
      </c>
      <c r="U1479" s="10">
        <v>120</v>
      </c>
      <c r="W1479" s="14"/>
      <c r="Y1479" s="79">
        <v>14.1</v>
      </c>
      <c r="Z1479" s="56" t="s">
        <v>67</v>
      </c>
    </row>
    <row r="1480" spans="1:27" ht="23.1" customHeight="1" x14ac:dyDescent="0.25">
      <c r="A1480" s="53" t="s">
        <v>1221</v>
      </c>
      <c r="B1480" s="10" t="s">
        <v>110</v>
      </c>
      <c r="C1480" s="10">
        <v>45</v>
      </c>
      <c r="D1480" s="10" t="s">
        <v>298</v>
      </c>
      <c r="E1480" s="41" t="s">
        <v>299</v>
      </c>
      <c r="F1480" s="41" t="s">
        <v>299</v>
      </c>
      <c r="G1480" s="21" t="str">
        <f>VLOOKUP(D1480,[6]成飞半成品!$A:$B,2,0)</f>
        <v>8635右隔框</v>
      </c>
      <c r="H1480" s="10" t="s">
        <v>300</v>
      </c>
      <c r="I1480" s="10">
        <v>10</v>
      </c>
      <c r="J1480" s="10" t="s">
        <v>2136</v>
      </c>
      <c r="K1480" s="10">
        <v>3</v>
      </c>
      <c r="L1480" s="10">
        <v>5</v>
      </c>
      <c r="M1480" s="14">
        <v>25</v>
      </c>
      <c r="N1480" s="14">
        <v>25</v>
      </c>
      <c r="O1480" s="55" t="s">
        <v>1234</v>
      </c>
      <c r="Q1480" s="10">
        <v>180</v>
      </c>
      <c r="R1480" s="10">
        <v>60</v>
      </c>
      <c r="T1480" s="10">
        <v>5</v>
      </c>
      <c r="U1480" s="10">
        <v>90</v>
      </c>
      <c r="W1480" s="14">
        <v>1</v>
      </c>
      <c r="Y1480" s="79">
        <v>21.5</v>
      </c>
      <c r="Z1480" s="56" t="s">
        <v>67</v>
      </c>
    </row>
    <row r="1481" spans="1:27" ht="23.1" customHeight="1" x14ac:dyDescent="0.25">
      <c r="A1481" s="53" t="s">
        <v>1221</v>
      </c>
      <c r="B1481" s="10" t="s">
        <v>110</v>
      </c>
      <c r="C1481" s="10">
        <v>45</v>
      </c>
      <c r="D1481" s="10" t="s">
        <v>298</v>
      </c>
      <c r="E1481" s="41" t="s">
        <v>299</v>
      </c>
      <c r="F1481" s="41" t="s">
        <v>299</v>
      </c>
      <c r="G1481" s="21" t="str">
        <f>VLOOKUP(D1481,[6]成飞半成品!$A:$B,2,0)</f>
        <v>8635右隔框</v>
      </c>
      <c r="H1481" s="10" t="s">
        <v>300</v>
      </c>
      <c r="I1481" s="10">
        <v>6</v>
      </c>
      <c r="K1481" s="10">
        <v>3</v>
      </c>
      <c r="L1481" s="10">
        <v>2</v>
      </c>
      <c r="M1481" s="14">
        <v>25</v>
      </c>
      <c r="N1481" s="14">
        <v>25</v>
      </c>
      <c r="O1481" s="55" t="s">
        <v>1235</v>
      </c>
      <c r="P1481" s="47">
        <v>60</v>
      </c>
      <c r="Q1481" s="47"/>
      <c r="R1481" s="47"/>
      <c r="S1481" s="47">
        <v>60</v>
      </c>
      <c r="T1481" s="10">
        <v>2</v>
      </c>
      <c r="W1481" s="14"/>
      <c r="Y1481" s="83">
        <v>4</v>
      </c>
      <c r="Z1481" s="56" t="s">
        <v>67</v>
      </c>
    </row>
    <row r="1482" spans="1:27" ht="23.1" customHeight="1" x14ac:dyDescent="0.25">
      <c r="A1482" s="53" t="s">
        <v>1221</v>
      </c>
      <c r="B1482" s="10" t="s">
        <v>110</v>
      </c>
      <c r="C1482" s="10">
        <v>45</v>
      </c>
      <c r="D1482" s="10" t="s">
        <v>298</v>
      </c>
      <c r="E1482" s="41" t="s">
        <v>299</v>
      </c>
      <c r="F1482" s="41" t="s">
        <v>299</v>
      </c>
      <c r="G1482" s="21" t="str">
        <f>VLOOKUP(D1482,[6]成飞半成品!$A:$B,2,0)</f>
        <v>8635右隔框</v>
      </c>
      <c r="H1482" s="10" t="s">
        <v>300</v>
      </c>
      <c r="I1482" s="10">
        <v>7</v>
      </c>
      <c r="K1482" s="10">
        <v>3</v>
      </c>
      <c r="L1482" s="10">
        <v>2</v>
      </c>
      <c r="M1482" s="14">
        <v>25</v>
      </c>
      <c r="N1482" s="14">
        <v>25</v>
      </c>
      <c r="O1482" s="55" t="s">
        <v>1235</v>
      </c>
      <c r="P1482" s="47">
        <v>60</v>
      </c>
      <c r="Q1482" s="47"/>
      <c r="R1482" s="47"/>
      <c r="S1482" s="47">
        <v>60</v>
      </c>
      <c r="T1482" s="10">
        <v>2</v>
      </c>
      <c r="W1482" s="14"/>
      <c r="Y1482" s="83">
        <v>4</v>
      </c>
      <c r="Z1482" s="56" t="s">
        <v>67</v>
      </c>
    </row>
    <row r="1483" spans="1:27" ht="23.1" customHeight="1" x14ac:dyDescent="0.25">
      <c r="A1483" s="53" t="s">
        <v>1221</v>
      </c>
      <c r="B1483" s="10" t="s">
        <v>110</v>
      </c>
      <c r="C1483" s="10">
        <v>45</v>
      </c>
      <c r="D1483" s="10" t="s">
        <v>298</v>
      </c>
      <c r="E1483" s="41" t="s">
        <v>299</v>
      </c>
      <c r="F1483" s="41" t="s">
        <v>299</v>
      </c>
      <c r="G1483" s="21" t="str">
        <f>VLOOKUP(D1483,[6]成飞半成品!$A:$B,2,0)</f>
        <v>8635右隔框</v>
      </c>
      <c r="H1483" s="10" t="s">
        <v>300</v>
      </c>
      <c r="I1483" s="10">
        <v>8</v>
      </c>
      <c r="K1483" s="10">
        <v>3</v>
      </c>
      <c r="L1483" s="10">
        <v>2</v>
      </c>
      <c r="M1483" s="14">
        <v>25</v>
      </c>
      <c r="N1483" s="14">
        <v>25</v>
      </c>
      <c r="O1483" s="55" t="s">
        <v>1235</v>
      </c>
      <c r="P1483" s="47">
        <v>60</v>
      </c>
      <c r="Q1483" s="47"/>
      <c r="R1483" s="47"/>
      <c r="S1483" s="47">
        <v>60</v>
      </c>
      <c r="T1483" s="10">
        <v>2</v>
      </c>
      <c r="W1483" s="14"/>
      <c r="Y1483" s="83">
        <v>4</v>
      </c>
      <c r="Z1483" s="56" t="s">
        <v>67</v>
      </c>
    </row>
    <row r="1484" spans="1:27" ht="23.1" customHeight="1" x14ac:dyDescent="0.25">
      <c r="A1484" s="53" t="s">
        <v>1236</v>
      </c>
      <c r="B1484" s="10" t="s">
        <v>113</v>
      </c>
      <c r="C1484" s="10">
        <v>102</v>
      </c>
      <c r="D1484" s="10" t="s">
        <v>1097</v>
      </c>
      <c r="E1484" s="41" t="s">
        <v>1098</v>
      </c>
      <c r="F1484" s="41" t="s">
        <v>1098</v>
      </c>
      <c r="G1484" s="21" t="str">
        <f>VLOOKUP(D1484,[6]成飞半成品!$A:$B,2,0)</f>
        <v>根肋一段</v>
      </c>
      <c r="H1484" s="10" t="s">
        <v>250</v>
      </c>
      <c r="I1484" s="10">
        <v>50</v>
      </c>
      <c r="J1484" s="10" t="s">
        <v>2185</v>
      </c>
      <c r="K1484" s="10">
        <v>0.5</v>
      </c>
      <c r="L1484" s="10">
        <v>0.5</v>
      </c>
      <c r="M1484" s="14">
        <v>32</v>
      </c>
      <c r="N1484" s="14">
        <v>32</v>
      </c>
      <c r="O1484" s="55" t="s">
        <v>292</v>
      </c>
      <c r="Q1484" s="10">
        <v>1080</v>
      </c>
      <c r="R1484" s="10">
        <v>60</v>
      </c>
      <c r="T1484" s="10">
        <v>1</v>
      </c>
      <c r="U1484" s="10">
        <v>120</v>
      </c>
      <c r="W1484" s="14"/>
      <c r="Y1484" s="79">
        <v>10</v>
      </c>
      <c r="Z1484" s="56" t="s">
        <v>35</v>
      </c>
    </row>
    <row r="1485" spans="1:27" ht="23.1" customHeight="1" x14ac:dyDescent="0.25">
      <c r="A1485" s="53" t="s">
        <v>1236</v>
      </c>
      <c r="B1485" s="10" t="s">
        <v>113</v>
      </c>
      <c r="C1485" s="10">
        <v>98</v>
      </c>
      <c r="D1485" s="10" t="s">
        <v>404</v>
      </c>
      <c r="E1485" s="41" t="s">
        <v>405</v>
      </c>
      <c r="F1485" s="41" t="s">
        <v>405</v>
      </c>
      <c r="G1485" s="21" t="str">
        <f>VLOOKUP(D1485,[6]成飞半成品!$A:$B,2,0)</f>
        <v>11140框右下半框</v>
      </c>
      <c r="H1485" s="10" t="s">
        <v>118</v>
      </c>
      <c r="I1485" s="10">
        <v>35</v>
      </c>
      <c r="J1485" s="10" t="s">
        <v>2174</v>
      </c>
      <c r="K1485" s="10">
        <v>0.7</v>
      </c>
      <c r="L1485" s="10">
        <v>1.2</v>
      </c>
      <c r="M1485" s="14">
        <v>32</v>
      </c>
      <c r="N1485" s="14">
        <v>32</v>
      </c>
      <c r="O1485" s="55" t="s">
        <v>1094</v>
      </c>
      <c r="Q1485" s="10">
        <v>800</v>
      </c>
      <c r="R1485" s="10">
        <v>60</v>
      </c>
      <c r="T1485" s="10">
        <v>1</v>
      </c>
      <c r="U1485" s="10">
        <v>120</v>
      </c>
      <c r="W1485" s="14"/>
      <c r="Y1485" s="79">
        <v>17</v>
      </c>
      <c r="Z1485" s="56" t="s">
        <v>35</v>
      </c>
    </row>
    <row r="1486" spans="1:27" ht="23.1" customHeight="1" x14ac:dyDescent="0.25">
      <c r="A1486" s="53" t="s">
        <v>1236</v>
      </c>
      <c r="B1486" s="10" t="s">
        <v>113</v>
      </c>
      <c r="C1486" s="10">
        <v>106</v>
      </c>
      <c r="D1486" s="10" t="s">
        <v>1070</v>
      </c>
      <c r="E1486" s="41" t="s">
        <v>101</v>
      </c>
      <c r="F1486" s="41" t="s">
        <v>101</v>
      </c>
      <c r="G1486" s="21" t="str">
        <f>VLOOKUP(D1486,[6]成飞半成品!$A:$B,2,0)</f>
        <v>前梁一段</v>
      </c>
      <c r="H1486" s="10" t="s">
        <v>300</v>
      </c>
      <c r="I1486" s="10">
        <v>25</v>
      </c>
      <c r="J1486" s="10" t="s">
        <v>2163</v>
      </c>
      <c r="K1486" s="10">
        <v>0.15</v>
      </c>
      <c r="L1486" s="10">
        <v>0.15</v>
      </c>
      <c r="M1486" s="14">
        <v>32</v>
      </c>
      <c r="N1486" s="14">
        <v>32</v>
      </c>
      <c r="O1486" s="55" t="s">
        <v>476</v>
      </c>
      <c r="Q1486" s="10">
        <v>4800</v>
      </c>
      <c r="R1486" s="10">
        <v>180</v>
      </c>
      <c r="U1486" s="10">
        <v>180</v>
      </c>
      <c r="W1486" s="14"/>
      <c r="Y1486" s="79">
        <v>12</v>
      </c>
      <c r="Z1486" s="56" t="s">
        <v>35</v>
      </c>
    </row>
    <row r="1487" spans="1:27" ht="23.1" customHeight="1" x14ac:dyDescent="0.25">
      <c r="A1487" s="53" t="s">
        <v>1236</v>
      </c>
      <c r="B1487" s="10" t="s">
        <v>113</v>
      </c>
      <c r="C1487" s="10">
        <v>118</v>
      </c>
      <c r="D1487" s="47" t="s">
        <v>1171</v>
      </c>
      <c r="E1487" s="41" t="s">
        <v>1172</v>
      </c>
      <c r="F1487" s="41" t="s">
        <v>1172</v>
      </c>
      <c r="G1487" s="21" t="str">
        <f>VLOOKUP(D1487,[6]成飞半成品!$A:$B,2,0)</f>
        <v>后梁</v>
      </c>
      <c r="H1487" s="10" t="s">
        <v>300</v>
      </c>
      <c r="I1487" s="10">
        <v>38</v>
      </c>
      <c r="L1487" s="10">
        <v>0.8</v>
      </c>
      <c r="M1487" s="14">
        <v>32</v>
      </c>
      <c r="N1487" s="14">
        <v>32</v>
      </c>
      <c r="O1487" s="55" t="s">
        <v>330</v>
      </c>
      <c r="P1487" s="10">
        <v>400</v>
      </c>
      <c r="S1487" s="10">
        <v>60</v>
      </c>
      <c r="T1487" s="10">
        <v>1</v>
      </c>
      <c r="V1487" s="10">
        <v>120</v>
      </c>
      <c r="W1487" s="14">
        <v>1</v>
      </c>
      <c r="Y1487" s="83">
        <v>8.3000000000000007</v>
      </c>
      <c r="Z1487" s="56" t="s">
        <v>35</v>
      </c>
    </row>
    <row r="1488" spans="1:27" ht="23.1" customHeight="1" x14ac:dyDescent="0.25">
      <c r="A1488" s="53" t="s">
        <v>1236</v>
      </c>
      <c r="B1488" s="10" t="s">
        <v>113</v>
      </c>
      <c r="C1488" s="10">
        <v>117</v>
      </c>
      <c r="D1488" s="10" t="s">
        <v>1081</v>
      </c>
      <c r="E1488" s="41" t="s">
        <v>1082</v>
      </c>
      <c r="F1488" s="41" t="s">
        <v>1082</v>
      </c>
      <c r="G1488" s="21" t="str">
        <f>VLOOKUP(D1488,[6]成飞半成品!$A:$B,2,0)</f>
        <v xml:space="preserve"> 前梁</v>
      </c>
      <c r="H1488" s="10" t="s">
        <v>123</v>
      </c>
      <c r="I1488" s="10">
        <v>35</v>
      </c>
      <c r="J1488" s="10" t="s">
        <v>2197</v>
      </c>
      <c r="L1488" s="10">
        <v>0.7</v>
      </c>
      <c r="M1488" s="14">
        <v>32</v>
      </c>
      <c r="N1488" s="14">
        <v>32</v>
      </c>
      <c r="O1488" s="55" t="s">
        <v>1237</v>
      </c>
      <c r="Q1488" s="10">
        <v>700</v>
      </c>
      <c r="R1488" s="10">
        <v>60</v>
      </c>
      <c r="U1488" s="10">
        <v>90</v>
      </c>
      <c r="W1488" s="14"/>
      <c r="Y1488" s="79">
        <v>8.1999999999999993</v>
      </c>
      <c r="Z1488" s="56" t="s">
        <v>35</v>
      </c>
    </row>
    <row r="1489" spans="1:27" ht="23.1" customHeight="1" x14ac:dyDescent="0.25">
      <c r="A1489" s="53" t="s">
        <v>1236</v>
      </c>
      <c r="B1489" s="10" t="s">
        <v>113</v>
      </c>
      <c r="C1489" s="10">
        <v>45</v>
      </c>
      <c r="D1489" s="10" t="s">
        <v>1128</v>
      </c>
      <c r="E1489" s="41" t="s">
        <v>708</v>
      </c>
      <c r="F1489" s="41" t="e">
        <v>#N/A</v>
      </c>
      <c r="G1489" s="21" t="e">
        <f>VLOOKUP(D1489,[6]成飞半成品!$A:$B,2,0)</f>
        <v>#N/A</v>
      </c>
      <c r="H1489" s="10" t="s">
        <v>250</v>
      </c>
      <c r="I1489" s="10">
        <v>5</v>
      </c>
      <c r="J1489" s="10" t="s">
        <v>1930</v>
      </c>
      <c r="K1489" s="10">
        <v>5</v>
      </c>
      <c r="L1489" s="10">
        <v>10</v>
      </c>
      <c r="M1489" s="14">
        <v>32</v>
      </c>
      <c r="N1489" s="14">
        <v>32</v>
      </c>
      <c r="O1489" s="55" t="s">
        <v>384</v>
      </c>
      <c r="Q1489" s="10">
        <v>180</v>
      </c>
      <c r="R1489" s="10">
        <v>60</v>
      </c>
      <c r="T1489" s="10">
        <v>10</v>
      </c>
      <c r="U1489" s="10">
        <v>60</v>
      </c>
      <c r="W1489" s="14">
        <v>1</v>
      </c>
      <c r="Y1489" s="79">
        <v>41</v>
      </c>
      <c r="Z1489" s="56" t="s">
        <v>35</v>
      </c>
    </row>
    <row r="1490" spans="1:27" ht="23.1" customHeight="1" x14ac:dyDescent="0.25">
      <c r="A1490" s="53" t="s">
        <v>1236</v>
      </c>
      <c r="B1490" s="10" t="s">
        <v>113</v>
      </c>
      <c r="C1490" s="10">
        <v>100</v>
      </c>
      <c r="D1490" s="10" t="s">
        <v>298</v>
      </c>
      <c r="E1490" s="41" t="s">
        <v>299</v>
      </c>
      <c r="F1490" s="41" t="s">
        <v>299</v>
      </c>
      <c r="G1490" s="21" t="str">
        <f>VLOOKUP(D1490,[6]成飞半成品!$A:$B,2,0)</f>
        <v>8635右隔框</v>
      </c>
      <c r="H1490" s="10" t="s">
        <v>300</v>
      </c>
      <c r="I1490" s="10">
        <v>25</v>
      </c>
      <c r="J1490" s="10" t="s">
        <v>2140</v>
      </c>
      <c r="K1490" s="10">
        <v>0.5</v>
      </c>
      <c r="L1490" s="10">
        <v>0.5</v>
      </c>
      <c r="M1490" s="14">
        <v>32</v>
      </c>
      <c r="N1490" s="14">
        <v>32</v>
      </c>
      <c r="O1490" s="55" t="s">
        <v>247</v>
      </c>
      <c r="Q1490" s="10">
        <v>660</v>
      </c>
      <c r="R1490" s="10">
        <v>60</v>
      </c>
      <c r="U1490" s="10">
        <v>180</v>
      </c>
      <c r="W1490" s="14">
        <v>1</v>
      </c>
      <c r="X1490" s="14">
        <v>1</v>
      </c>
      <c r="Y1490" s="79">
        <v>9.5</v>
      </c>
      <c r="Z1490" s="56" t="s">
        <v>35</v>
      </c>
      <c r="AA1490" s="14" t="s">
        <v>1238</v>
      </c>
    </row>
    <row r="1491" spans="1:27" ht="23.1" customHeight="1" x14ac:dyDescent="0.25">
      <c r="A1491" s="53" t="s">
        <v>1236</v>
      </c>
      <c r="B1491" s="10" t="s">
        <v>113</v>
      </c>
      <c r="C1491" s="10">
        <v>82</v>
      </c>
      <c r="D1491" s="10" t="s">
        <v>1074</v>
      </c>
      <c r="E1491" s="41" t="s">
        <v>1075</v>
      </c>
      <c r="F1491" s="41" t="s">
        <v>1075</v>
      </c>
      <c r="G1491" s="21" t="str">
        <f>VLOOKUP(D1491,[6]成飞半成品!$A:$B,2,0)</f>
        <v>油箱底板（中）</v>
      </c>
      <c r="H1491" s="10" t="s">
        <v>154</v>
      </c>
      <c r="I1491" s="10">
        <v>25</v>
      </c>
      <c r="J1491" s="10" t="s">
        <v>2198</v>
      </c>
      <c r="K1491" s="10">
        <v>1.5</v>
      </c>
      <c r="L1491" s="10">
        <v>2</v>
      </c>
      <c r="M1491" s="14">
        <v>32</v>
      </c>
      <c r="N1491" s="14">
        <v>32</v>
      </c>
      <c r="O1491" s="55" t="s">
        <v>1094</v>
      </c>
      <c r="Q1491" s="10">
        <v>210</v>
      </c>
      <c r="T1491" s="10">
        <v>2</v>
      </c>
      <c r="U1491" s="10">
        <v>120</v>
      </c>
      <c r="W1491" s="14">
        <v>1</v>
      </c>
      <c r="X1491" s="10">
        <v>2</v>
      </c>
      <c r="Y1491" s="79">
        <v>11</v>
      </c>
      <c r="Z1491" s="56" t="s">
        <v>35</v>
      </c>
      <c r="AA1491" s="14" t="s">
        <v>941</v>
      </c>
    </row>
    <row r="1492" spans="1:27" ht="23.1" customHeight="1" x14ac:dyDescent="0.25">
      <c r="A1492" s="53" t="s">
        <v>1236</v>
      </c>
      <c r="B1492" s="10" t="s">
        <v>113</v>
      </c>
      <c r="C1492" s="10">
        <v>83</v>
      </c>
      <c r="D1492" s="10" t="s">
        <v>1095</v>
      </c>
      <c r="E1492" s="41" t="s">
        <v>1096</v>
      </c>
      <c r="F1492" s="41" t="s">
        <v>1096</v>
      </c>
      <c r="G1492" s="21" t="str">
        <f>VLOOKUP(D1492,[6]成飞半成品!$A:$B,2,0)</f>
        <v>1150肋根肋</v>
      </c>
      <c r="H1492" s="10" t="s">
        <v>658</v>
      </c>
      <c r="I1492" s="10">
        <v>15</v>
      </c>
      <c r="J1492" s="10" t="s">
        <v>2292</v>
      </c>
      <c r="K1492" s="10">
        <v>1.7</v>
      </c>
      <c r="L1492" s="10">
        <v>3</v>
      </c>
      <c r="M1492" s="14">
        <v>32</v>
      </c>
      <c r="N1492" s="14">
        <v>32</v>
      </c>
      <c r="O1492" s="55" t="s">
        <v>351</v>
      </c>
      <c r="Q1492" s="10">
        <v>270</v>
      </c>
      <c r="R1492" s="10">
        <v>60</v>
      </c>
      <c r="T1492" s="10">
        <v>3</v>
      </c>
      <c r="U1492" s="10">
        <v>60</v>
      </c>
      <c r="W1492" s="14"/>
      <c r="Y1492" s="79">
        <v>16.5</v>
      </c>
      <c r="Z1492" s="56" t="s">
        <v>35</v>
      </c>
    </row>
    <row r="1493" spans="1:27" ht="23.1" customHeight="1" x14ac:dyDescent="0.25">
      <c r="A1493" s="53" t="s">
        <v>1236</v>
      </c>
      <c r="B1493" s="10" t="s">
        <v>113</v>
      </c>
      <c r="C1493" s="10">
        <v>19</v>
      </c>
      <c r="D1493" s="10" t="s">
        <v>395</v>
      </c>
      <c r="E1493" s="41" t="s">
        <v>396</v>
      </c>
      <c r="F1493" s="41" t="e">
        <v>#N/A</v>
      </c>
      <c r="G1493" s="21" t="e">
        <f>VLOOKUP(D1493,[6]成飞半成品!$A:$B,2,0)</f>
        <v>#N/A</v>
      </c>
      <c r="H1493" s="10" t="s">
        <v>300</v>
      </c>
      <c r="I1493" s="10">
        <v>25</v>
      </c>
      <c r="J1493" s="10" t="s">
        <v>1937</v>
      </c>
      <c r="K1493" s="10">
        <v>1.5</v>
      </c>
      <c r="L1493" s="10">
        <v>1.8</v>
      </c>
      <c r="M1493" s="14">
        <v>32</v>
      </c>
      <c r="N1493" s="14">
        <v>32</v>
      </c>
      <c r="O1493" s="55" t="s">
        <v>781</v>
      </c>
      <c r="Q1493" s="10">
        <v>370</v>
      </c>
      <c r="R1493" s="10">
        <v>90</v>
      </c>
      <c r="T1493" s="10">
        <v>1</v>
      </c>
      <c r="U1493" s="10">
        <v>60</v>
      </c>
      <c r="W1493" s="14"/>
      <c r="Y1493" s="79">
        <v>12.6</v>
      </c>
      <c r="Z1493" s="56" t="s">
        <v>17</v>
      </c>
    </row>
    <row r="1494" spans="1:27" ht="23.1" customHeight="1" x14ac:dyDescent="0.25">
      <c r="A1494" s="53" t="s">
        <v>1236</v>
      </c>
      <c r="B1494" s="10" t="s">
        <v>113</v>
      </c>
      <c r="C1494" s="10">
        <v>44</v>
      </c>
      <c r="D1494" s="10" t="s">
        <v>495</v>
      </c>
      <c r="E1494" s="41" t="s">
        <v>267</v>
      </c>
      <c r="F1494" s="41" t="s">
        <v>267</v>
      </c>
      <c r="G1494" s="21" t="str">
        <f>VLOOKUP(D1494,[6]成飞半成品!$A:$B,2,0)</f>
        <v>后端框</v>
      </c>
      <c r="H1494" s="10" t="s">
        <v>118</v>
      </c>
      <c r="I1494" s="10">
        <v>55</v>
      </c>
      <c r="J1494" s="10" t="s">
        <v>2166</v>
      </c>
      <c r="K1494" s="10">
        <v>0.5</v>
      </c>
      <c r="L1494" s="10">
        <v>0.4</v>
      </c>
      <c r="M1494" s="14">
        <v>32</v>
      </c>
      <c r="N1494" s="14">
        <v>32</v>
      </c>
      <c r="O1494" s="55" t="s">
        <v>429</v>
      </c>
      <c r="Q1494" s="10">
        <v>1260</v>
      </c>
      <c r="R1494" s="10">
        <v>90</v>
      </c>
      <c r="T1494" s="10">
        <v>1</v>
      </c>
      <c r="U1494" s="10">
        <v>60</v>
      </c>
      <c r="W1494" s="14">
        <v>1</v>
      </c>
      <c r="Y1494" s="79">
        <v>10.9</v>
      </c>
      <c r="Z1494" s="56" t="s">
        <v>64</v>
      </c>
    </row>
    <row r="1495" spans="1:27" ht="23.1" customHeight="1" x14ac:dyDescent="0.25">
      <c r="A1495" s="53" t="s">
        <v>1236</v>
      </c>
      <c r="B1495" s="10" t="s">
        <v>113</v>
      </c>
      <c r="C1495" s="10">
        <v>97</v>
      </c>
      <c r="D1495" s="10" t="s">
        <v>787</v>
      </c>
      <c r="E1495" s="41" t="s">
        <v>1065</v>
      </c>
      <c r="F1495" s="41" t="s">
        <v>1065</v>
      </c>
      <c r="G1495" s="21" t="str">
        <f>VLOOKUP(D1495,[6]成飞半成品!$A:$B,2,0)</f>
        <v>根肋二段</v>
      </c>
      <c r="H1495" s="10" t="s">
        <v>250</v>
      </c>
      <c r="I1495" s="10">
        <v>60</v>
      </c>
      <c r="J1495" s="10" t="s">
        <v>2156</v>
      </c>
      <c r="K1495" s="10">
        <v>1</v>
      </c>
      <c r="L1495" s="10">
        <v>1</v>
      </c>
      <c r="M1495" s="14">
        <v>32</v>
      </c>
      <c r="N1495" s="14">
        <v>32</v>
      </c>
      <c r="O1495" s="55" t="s">
        <v>429</v>
      </c>
      <c r="Q1495" s="10">
        <v>570</v>
      </c>
      <c r="R1495" s="10">
        <v>60</v>
      </c>
      <c r="T1495" s="10">
        <v>1</v>
      </c>
      <c r="U1495" s="10">
        <v>60</v>
      </c>
      <c r="W1495" s="14"/>
      <c r="Y1495" s="79">
        <v>10.5</v>
      </c>
      <c r="Z1495" s="56" t="s">
        <v>39</v>
      </c>
    </row>
    <row r="1496" spans="1:27" ht="23.1" customHeight="1" x14ac:dyDescent="0.25">
      <c r="A1496" s="53" t="s">
        <v>1236</v>
      </c>
      <c r="B1496" s="10" t="s">
        <v>113</v>
      </c>
      <c r="C1496" s="10">
        <v>101</v>
      </c>
      <c r="D1496" s="10" t="s">
        <v>1128</v>
      </c>
      <c r="E1496" s="41" t="s">
        <v>708</v>
      </c>
      <c r="F1496" s="41" t="e">
        <v>#N/A</v>
      </c>
      <c r="G1496" s="21" t="e">
        <f>VLOOKUP(D1496,[6]成飞半成品!$A:$B,2,0)</f>
        <v>#N/A</v>
      </c>
      <c r="H1496" s="10" t="s">
        <v>250</v>
      </c>
      <c r="I1496" s="10">
        <v>30</v>
      </c>
      <c r="J1496" s="10" t="s">
        <v>2199</v>
      </c>
      <c r="K1496" s="10">
        <v>1</v>
      </c>
      <c r="L1496" s="10">
        <v>2</v>
      </c>
      <c r="M1496" s="14">
        <v>32</v>
      </c>
      <c r="N1496" s="14">
        <v>32</v>
      </c>
      <c r="O1496" s="55" t="s">
        <v>1119</v>
      </c>
      <c r="Q1496" s="10">
        <v>750</v>
      </c>
      <c r="R1496" s="10">
        <v>60</v>
      </c>
      <c r="T1496" s="10">
        <v>2</v>
      </c>
      <c r="U1496" s="10">
        <v>180</v>
      </c>
      <c r="W1496" s="14"/>
      <c r="Y1496" s="79">
        <v>27</v>
      </c>
      <c r="Z1496" s="56" t="s">
        <v>47</v>
      </c>
    </row>
    <row r="1497" spans="1:27" ht="23.1" customHeight="1" x14ac:dyDescent="0.25">
      <c r="A1497" s="53" t="s">
        <v>1236</v>
      </c>
      <c r="B1497" s="10" t="s">
        <v>113</v>
      </c>
      <c r="C1497" s="10">
        <v>105</v>
      </c>
      <c r="D1497" s="10" t="s">
        <v>1176</v>
      </c>
      <c r="E1497" s="41" t="s">
        <v>1098</v>
      </c>
      <c r="F1497" s="41" t="s">
        <v>1098</v>
      </c>
      <c r="G1497" s="21" t="str">
        <f>VLOOKUP(D1497,[6]成飞半成品!$A:$B,2,0)</f>
        <v>根肋一段</v>
      </c>
      <c r="H1497" s="10" t="s">
        <v>250</v>
      </c>
      <c r="I1497" s="10">
        <v>50</v>
      </c>
      <c r="J1497" s="10" t="s">
        <v>2185</v>
      </c>
      <c r="K1497" s="10">
        <v>0.5</v>
      </c>
      <c r="L1497" s="10">
        <v>0.5</v>
      </c>
      <c r="M1497" s="14">
        <v>32</v>
      </c>
      <c r="N1497" s="14">
        <v>32</v>
      </c>
      <c r="O1497" s="55" t="s">
        <v>429</v>
      </c>
      <c r="Q1497" s="10">
        <v>1080</v>
      </c>
      <c r="R1497" s="10">
        <v>60</v>
      </c>
      <c r="U1497" s="10">
        <v>120</v>
      </c>
      <c r="W1497" s="14"/>
      <c r="Y1497" s="79">
        <v>9</v>
      </c>
      <c r="Z1497" s="56" t="s">
        <v>9</v>
      </c>
    </row>
    <row r="1498" spans="1:27" ht="23.1" customHeight="1" x14ac:dyDescent="0.25">
      <c r="A1498" s="53" t="s">
        <v>1236</v>
      </c>
      <c r="B1498" s="10" t="s">
        <v>113</v>
      </c>
      <c r="C1498" s="10">
        <v>99</v>
      </c>
      <c r="D1498" s="10" t="s">
        <v>1191</v>
      </c>
      <c r="E1498" s="41" t="s">
        <v>1192</v>
      </c>
      <c r="F1498" s="41" t="s">
        <v>1192</v>
      </c>
      <c r="G1498" s="21" t="str">
        <f>VLOOKUP(D1498,[6]成飞半成品!$A:$B,2,0)</f>
        <v>后顶板</v>
      </c>
      <c r="H1498" s="10" t="s">
        <v>300</v>
      </c>
      <c r="I1498" s="10">
        <v>40</v>
      </c>
      <c r="J1498" s="10" t="s">
        <v>2386</v>
      </c>
      <c r="K1498" s="10">
        <v>0.3</v>
      </c>
      <c r="L1498" s="10">
        <v>0.35</v>
      </c>
      <c r="M1498" s="14">
        <v>32</v>
      </c>
      <c r="N1498" s="14">
        <v>32</v>
      </c>
      <c r="O1498" s="55" t="s">
        <v>470</v>
      </c>
      <c r="Q1498" s="10">
        <v>1800</v>
      </c>
      <c r="R1498" s="10">
        <v>90</v>
      </c>
      <c r="U1498" s="10">
        <v>120</v>
      </c>
      <c r="W1498" s="14"/>
      <c r="Y1498" s="79">
        <v>10.5</v>
      </c>
      <c r="Z1498" s="56" t="s">
        <v>29</v>
      </c>
    </row>
    <row r="1499" spans="1:27" ht="23.1" customHeight="1" x14ac:dyDescent="0.25">
      <c r="A1499" s="53" t="s">
        <v>1236</v>
      </c>
      <c r="B1499" s="10" t="s">
        <v>113</v>
      </c>
      <c r="C1499" s="10">
        <v>103</v>
      </c>
      <c r="D1499" s="10" t="s">
        <v>1239</v>
      </c>
      <c r="E1499" s="41" t="s">
        <v>835</v>
      </c>
      <c r="F1499" s="41" t="s">
        <v>835</v>
      </c>
      <c r="G1499" s="21" t="str">
        <f>VLOOKUP(D1499,[6]成飞半成品!$A:$B,2,0)</f>
        <v>根肋三段</v>
      </c>
      <c r="H1499" s="10" t="s">
        <v>154</v>
      </c>
      <c r="I1499" s="10">
        <v>65</v>
      </c>
      <c r="J1499" s="10" t="s">
        <v>2460</v>
      </c>
      <c r="K1499" s="10">
        <v>3</v>
      </c>
      <c r="L1499" s="10">
        <v>3</v>
      </c>
      <c r="M1499" s="14">
        <v>32</v>
      </c>
      <c r="N1499" s="14">
        <v>32</v>
      </c>
      <c r="O1499" s="55" t="s">
        <v>1240</v>
      </c>
      <c r="Q1499" s="10">
        <v>100</v>
      </c>
      <c r="R1499" s="10">
        <v>60</v>
      </c>
      <c r="T1499" s="10">
        <v>3</v>
      </c>
      <c r="U1499" s="10">
        <v>60</v>
      </c>
      <c r="W1499" s="14"/>
      <c r="Y1499" s="79">
        <v>8</v>
      </c>
      <c r="Z1499" s="56" t="s">
        <v>61</v>
      </c>
    </row>
    <row r="1500" spans="1:27" ht="23.1" customHeight="1" x14ac:dyDescent="0.25">
      <c r="A1500" s="53" t="s">
        <v>1236</v>
      </c>
      <c r="B1500" s="10" t="s">
        <v>110</v>
      </c>
      <c r="C1500" s="10">
        <v>83</v>
      </c>
      <c r="D1500" s="10" t="s">
        <v>1095</v>
      </c>
      <c r="E1500" s="41" t="s">
        <v>1096</v>
      </c>
      <c r="F1500" s="41" t="s">
        <v>1096</v>
      </c>
      <c r="G1500" s="21" t="str">
        <f>VLOOKUP(D1500,[6]成飞半成品!$A:$B,2,0)</f>
        <v>1150肋根肋</v>
      </c>
      <c r="H1500" s="10" t="s">
        <v>658</v>
      </c>
      <c r="I1500" s="10">
        <v>15</v>
      </c>
      <c r="J1500" s="10" t="s">
        <v>2461</v>
      </c>
      <c r="K1500" s="10">
        <v>1.7</v>
      </c>
      <c r="L1500" s="10">
        <v>2</v>
      </c>
      <c r="M1500" s="14">
        <v>25</v>
      </c>
      <c r="N1500" s="14">
        <v>25</v>
      </c>
      <c r="O1500" s="55" t="s">
        <v>351</v>
      </c>
      <c r="Q1500" s="10">
        <v>270</v>
      </c>
      <c r="R1500" s="10">
        <v>60</v>
      </c>
      <c r="T1500" s="10">
        <v>2</v>
      </c>
      <c r="U1500" s="10">
        <v>60</v>
      </c>
      <c r="W1500" s="14"/>
      <c r="Y1500" s="79">
        <v>11</v>
      </c>
      <c r="Z1500" s="56" t="s">
        <v>67</v>
      </c>
    </row>
    <row r="1501" spans="1:27" ht="23.1" customHeight="1" x14ac:dyDescent="0.25">
      <c r="A1501" s="53" t="s">
        <v>1236</v>
      </c>
      <c r="B1501" s="10" t="s">
        <v>110</v>
      </c>
      <c r="C1501" s="10">
        <v>44</v>
      </c>
      <c r="D1501" s="10" t="s">
        <v>266</v>
      </c>
      <c r="E1501" s="41" t="s">
        <v>267</v>
      </c>
      <c r="F1501" s="41" t="s">
        <v>267</v>
      </c>
      <c r="G1501" s="21" t="str">
        <f>VLOOKUP(D1501,[6]成飞半成品!$A:$B,2,0)</f>
        <v>后端框</v>
      </c>
      <c r="H1501" s="10" t="s">
        <v>118</v>
      </c>
      <c r="I1501" s="10">
        <v>55</v>
      </c>
      <c r="J1501" s="10" t="s">
        <v>2166</v>
      </c>
      <c r="K1501" s="10">
        <v>0.5</v>
      </c>
      <c r="L1501" s="10">
        <v>0.5</v>
      </c>
      <c r="M1501" s="14">
        <v>25</v>
      </c>
      <c r="N1501" s="14">
        <v>25</v>
      </c>
      <c r="O1501" s="55" t="s">
        <v>429</v>
      </c>
      <c r="Q1501" s="10">
        <v>1260</v>
      </c>
      <c r="R1501" s="10">
        <v>90</v>
      </c>
      <c r="U1501" s="10">
        <v>60</v>
      </c>
      <c r="W1501" s="14"/>
      <c r="Y1501" s="79">
        <v>10.5</v>
      </c>
      <c r="Z1501" s="56" t="s">
        <v>67</v>
      </c>
    </row>
    <row r="1502" spans="1:27" ht="23.1" customHeight="1" x14ac:dyDescent="0.25">
      <c r="A1502" s="53" t="s">
        <v>1236</v>
      </c>
      <c r="B1502" s="10" t="s">
        <v>110</v>
      </c>
      <c r="C1502" s="10">
        <v>100</v>
      </c>
      <c r="D1502" s="10" t="s">
        <v>759</v>
      </c>
      <c r="E1502" s="41" t="s">
        <v>760</v>
      </c>
      <c r="F1502" s="41" t="s">
        <v>760</v>
      </c>
      <c r="G1502" s="21" t="str">
        <f>VLOOKUP(D1502,[6]成飞半成品!$A:$B,2,0)</f>
        <v>9555侧隔框</v>
      </c>
      <c r="H1502" s="10" t="s">
        <v>300</v>
      </c>
      <c r="I1502" s="10">
        <v>10</v>
      </c>
      <c r="J1502" s="10" t="s">
        <v>2196</v>
      </c>
      <c r="K1502" s="10">
        <v>4</v>
      </c>
      <c r="L1502" s="10">
        <v>5</v>
      </c>
      <c r="M1502" s="14">
        <v>25</v>
      </c>
      <c r="N1502" s="14">
        <v>25</v>
      </c>
      <c r="O1502" s="55" t="s">
        <v>1241</v>
      </c>
      <c r="Q1502" s="10">
        <v>180</v>
      </c>
      <c r="R1502" s="10">
        <v>60</v>
      </c>
      <c r="T1502" s="10">
        <v>5</v>
      </c>
      <c r="U1502" s="10">
        <v>60</v>
      </c>
      <c r="W1502" s="14"/>
      <c r="Y1502" s="79">
        <v>20</v>
      </c>
      <c r="Z1502" s="56" t="s">
        <v>67</v>
      </c>
    </row>
    <row r="1503" spans="1:27" ht="23.1" customHeight="1" x14ac:dyDescent="0.25">
      <c r="A1503" s="53" t="s">
        <v>1236</v>
      </c>
      <c r="B1503" s="10" t="s">
        <v>110</v>
      </c>
      <c r="C1503" s="10">
        <v>102</v>
      </c>
      <c r="D1503" s="10" t="s">
        <v>1097</v>
      </c>
      <c r="E1503" s="41" t="s">
        <v>1098</v>
      </c>
      <c r="F1503" s="41" t="s">
        <v>1098</v>
      </c>
      <c r="G1503" s="21" t="str">
        <f>VLOOKUP(D1503,[6]成飞半成品!$A:$B,2,0)</f>
        <v>根肋一段</v>
      </c>
      <c r="H1503" s="10" t="s">
        <v>250</v>
      </c>
      <c r="I1503" s="10">
        <v>50</v>
      </c>
      <c r="J1503" s="10" t="s">
        <v>2185</v>
      </c>
      <c r="K1503" s="10">
        <v>0.5</v>
      </c>
      <c r="L1503" s="10">
        <v>0.5</v>
      </c>
      <c r="M1503" s="14">
        <v>25</v>
      </c>
      <c r="N1503" s="14">
        <v>25</v>
      </c>
      <c r="O1503" s="55" t="s">
        <v>292</v>
      </c>
      <c r="Q1503" s="10">
        <v>1080</v>
      </c>
      <c r="R1503" s="10">
        <v>60</v>
      </c>
      <c r="U1503" s="10">
        <v>120</v>
      </c>
      <c r="W1503" s="14"/>
      <c r="Y1503" s="79">
        <v>9</v>
      </c>
      <c r="Z1503" s="56" t="s">
        <v>67</v>
      </c>
    </row>
    <row r="1504" spans="1:27" ht="23.1" customHeight="1" x14ac:dyDescent="0.25">
      <c r="A1504" s="53" t="s">
        <v>1236</v>
      </c>
      <c r="B1504" s="10" t="s">
        <v>110</v>
      </c>
      <c r="C1504" s="10">
        <v>98</v>
      </c>
      <c r="D1504" s="10" t="s">
        <v>404</v>
      </c>
      <c r="E1504" s="41" t="s">
        <v>405</v>
      </c>
      <c r="F1504" s="41" t="s">
        <v>405</v>
      </c>
      <c r="G1504" s="21" t="str">
        <f>VLOOKUP(D1504,[6]成飞半成品!$A:$B,2,0)</f>
        <v>11140框右下半框</v>
      </c>
      <c r="H1504" s="10" t="s">
        <v>118</v>
      </c>
      <c r="I1504" s="10">
        <v>35</v>
      </c>
      <c r="J1504" s="10" t="s">
        <v>2174</v>
      </c>
      <c r="K1504" s="10">
        <v>0.7</v>
      </c>
      <c r="L1504" s="10">
        <v>0.8</v>
      </c>
      <c r="M1504" s="14">
        <v>25</v>
      </c>
      <c r="N1504" s="14">
        <v>25</v>
      </c>
      <c r="O1504" s="55" t="s">
        <v>1118</v>
      </c>
      <c r="Q1504" s="10">
        <v>800</v>
      </c>
      <c r="R1504" s="10">
        <v>60</v>
      </c>
      <c r="U1504" s="10">
        <v>120</v>
      </c>
      <c r="W1504" s="14"/>
      <c r="Y1504" s="79">
        <v>10.7</v>
      </c>
      <c r="Z1504" s="56" t="s">
        <v>67</v>
      </c>
    </row>
    <row r="1505" spans="1:27" ht="23.1" customHeight="1" x14ac:dyDescent="0.25">
      <c r="A1505" s="53" t="s">
        <v>1236</v>
      </c>
      <c r="B1505" s="10" t="s">
        <v>110</v>
      </c>
      <c r="C1505" s="10">
        <v>106</v>
      </c>
      <c r="D1505" s="10" t="s">
        <v>1070</v>
      </c>
      <c r="E1505" s="41" t="s">
        <v>101</v>
      </c>
      <c r="F1505" s="41" t="s">
        <v>101</v>
      </c>
      <c r="G1505" s="21" t="str">
        <f>VLOOKUP(D1505,[6]成飞半成品!$A:$B,2,0)</f>
        <v>前梁一段</v>
      </c>
      <c r="H1505" s="10" t="s">
        <v>300</v>
      </c>
      <c r="I1505" s="10">
        <v>25</v>
      </c>
      <c r="J1505" s="10" t="s">
        <v>2163</v>
      </c>
      <c r="K1505" s="10">
        <v>0.15</v>
      </c>
      <c r="L1505" s="10">
        <v>0.15</v>
      </c>
      <c r="M1505" s="14">
        <v>25</v>
      </c>
      <c r="N1505" s="14">
        <v>25</v>
      </c>
      <c r="O1505" s="55" t="s">
        <v>476</v>
      </c>
      <c r="Q1505" s="10">
        <v>4800</v>
      </c>
      <c r="R1505" s="10">
        <v>180</v>
      </c>
      <c r="U1505" s="10">
        <v>180</v>
      </c>
      <c r="W1505" s="14"/>
      <c r="Y1505" s="79">
        <v>12</v>
      </c>
      <c r="Z1505" s="56" t="s">
        <v>67</v>
      </c>
    </row>
    <row r="1506" spans="1:27" ht="23.1" customHeight="1" x14ac:dyDescent="0.25">
      <c r="A1506" s="53" t="s">
        <v>1236</v>
      </c>
      <c r="B1506" s="10" t="s">
        <v>110</v>
      </c>
      <c r="C1506" s="10">
        <v>101</v>
      </c>
      <c r="D1506" s="10" t="s">
        <v>1128</v>
      </c>
      <c r="E1506" s="41" t="s">
        <v>708</v>
      </c>
      <c r="F1506" s="41" t="e">
        <v>#N/A</v>
      </c>
      <c r="G1506" s="21" t="e">
        <f>VLOOKUP(D1506,[6]成飞半成品!$A:$B,2,0)</f>
        <v>#N/A</v>
      </c>
      <c r="H1506" s="10" t="s">
        <v>250</v>
      </c>
      <c r="I1506" s="10">
        <v>30</v>
      </c>
      <c r="J1506" s="10" t="s">
        <v>2199</v>
      </c>
      <c r="K1506" s="10">
        <v>0.5</v>
      </c>
      <c r="L1506" s="10">
        <v>1</v>
      </c>
      <c r="M1506" s="14">
        <v>25</v>
      </c>
      <c r="N1506" s="14">
        <v>25</v>
      </c>
      <c r="O1506" s="55" t="s">
        <v>519</v>
      </c>
      <c r="Q1506" s="10">
        <v>750</v>
      </c>
      <c r="R1506" s="10">
        <v>60</v>
      </c>
      <c r="T1506" s="10">
        <v>1</v>
      </c>
      <c r="U1506" s="10">
        <v>180</v>
      </c>
      <c r="W1506" s="14">
        <v>1</v>
      </c>
      <c r="X1506" s="10">
        <v>3</v>
      </c>
      <c r="Y1506" s="79">
        <v>19.5</v>
      </c>
      <c r="Z1506" s="56" t="s">
        <v>67</v>
      </c>
      <c r="AA1506" s="14" t="s">
        <v>1193</v>
      </c>
    </row>
    <row r="1507" spans="1:27" ht="23.1" customHeight="1" x14ac:dyDescent="0.25">
      <c r="A1507" s="53" t="s">
        <v>1236</v>
      </c>
      <c r="B1507" s="10" t="s">
        <v>110</v>
      </c>
      <c r="C1507" s="10">
        <v>45</v>
      </c>
      <c r="D1507" s="10" t="s">
        <v>298</v>
      </c>
      <c r="E1507" s="41" t="s">
        <v>299</v>
      </c>
      <c r="F1507" s="41" t="s">
        <v>299</v>
      </c>
      <c r="G1507" s="21" t="str">
        <f>VLOOKUP(D1507,[6]成飞半成品!$A:$B,2,0)</f>
        <v>8635右隔框</v>
      </c>
      <c r="H1507" s="10" t="s">
        <v>300</v>
      </c>
      <c r="I1507" s="10">
        <v>6</v>
      </c>
      <c r="L1507" s="10">
        <v>1</v>
      </c>
      <c r="M1507" s="14">
        <v>25</v>
      </c>
      <c r="N1507" s="14">
        <v>25</v>
      </c>
      <c r="O1507" s="55" t="s">
        <v>199</v>
      </c>
      <c r="P1507" s="47">
        <v>60</v>
      </c>
      <c r="Q1507" s="47"/>
      <c r="R1507" s="47"/>
      <c r="S1507" s="47">
        <v>60</v>
      </c>
      <c r="T1507" s="10">
        <v>1</v>
      </c>
      <c r="V1507" s="47">
        <v>60</v>
      </c>
      <c r="W1507" s="14">
        <v>1</v>
      </c>
      <c r="Y1507" s="83">
        <v>3</v>
      </c>
      <c r="Z1507" s="56" t="s">
        <v>67</v>
      </c>
    </row>
    <row r="1508" spans="1:27" ht="23.1" customHeight="1" x14ac:dyDescent="0.25">
      <c r="A1508" s="53" t="s">
        <v>1236</v>
      </c>
      <c r="B1508" s="10" t="s">
        <v>110</v>
      </c>
      <c r="C1508" s="10">
        <v>45</v>
      </c>
      <c r="D1508" s="10" t="s">
        <v>298</v>
      </c>
      <c r="E1508" s="41" t="s">
        <v>299</v>
      </c>
      <c r="F1508" s="41" t="s">
        <v>299</v>
      </c>
      <c r="G1508" s="21" t="str">
        <f>VLOOKUP(D1508,[6]成飞半成品!$A:$B,2,0)</f>
        <v>8635右隔框</v>
      </c>
      <c r="H1508" s="10" t="s">
        <v>300</v>
      </c>
      <c r="I1508" s="10">
        <v>7</v>
      </c>
      <c r="L1508" s="10">
        <v>1</v>
      </c>
      <c r="M1508" s="14">
        <v>25</v>
      </c>
      <c r="N1508" s="14">
        <v>25</v>
      </c>
      <c r="O1508" s="55" t="s">
        <v>199</v>
      </c>
      <c r="P1508" s="47">
        <v>60</v>
      </c>
      <c r="Q1508" s="47"/>
      <c r="R1508" s="47"/>
      <c r="S1508" s="47">
        <v>60</v>
      </c>
      <c r="T1508" s="10">
        <v>1</v>
      </c>
      <c r="V1508" s="47">
        <v>60</v>
      </c>
      <c r="W1508" s="14">
        <v>1</v>
      </c>
      <c r="Y1508" s="83">
        <v>3</v>
      </c>
      <c r="Z1508" s="56" t="s">
        <v>67</v>
      </c>
    </row>
    <row r="1509" spans="1:27" ht="23.1" customHeight="1" x14ac:dyDescent="0.25">
      <c r="A1509" s="53" t="s">
        <v>1236</v>
      </c>
      <c r="B1509" s="10" t="s">
        <v>110</v>
      </c>
      <c r="C1509" s="10">
        <v>45</v>
      </c>
      <c r="D1509" s="10" t="s">
        <v>298</v>
      </c>
      <c r="E1509" s="41" t="s">
        <v>299</v>
      </c>
      <c r="F1509" s="41" t="s">
        <v>299</v>
      </c>
      <c r="G1509" s="21" t="str">
        <f>VLOOKUP(D1509,[6]成飞半成品!$A:$B,2,0)</f>
        <v>8635右隔框</v>
      </c>
      <c r="H1509" s="10" t="s">
        <v>300</v>
      </c>
      <c r="I1509" s="10">
        <v>8</v>
      </c>
      <c r="L1509" s="10">
        <v>1</v>
      </c>
      <c r="M1509" s="14">
        <v>25</v>
      </c>
      <c r="N1509" s="14">
        <v>25</v>
      </c>
      <c r="O1509" s="55" t="s">
        <v>199</v>
      </c>
      <c r="P1509" s="47">
        <v>60</v>
      </c>
      <c r="Q1509" s="47"/>
      <c r="R1509" s="47"/>
      <c r="S1509" s="47">
        <v>60</v>
      </c>
      <c r="T1509" s="10">
        <v>1</v>
      </c>
      <c r="V1509" s="47">
        <v>60</v>
      </c>
      <c r="W1509" s="14">
        <v>1</v>
      </c>
      <c r="Y1509" s="83">
        <v>3</v>
      </c>
      <c r="Z1509" s="56" t="s">
        <v>67</v>
      </c>
    </row>
    <row r="1510" spans="1:27" ht="23.1" customHeight="1" x14ac:dyDescent="0.25">
      <c r="A1510" s="53" t="s">
        <v>1236</v>
      </c>
      <c r="B1510" s="10" t="s">
        <v>110</v>
      </c>
      <c r="C1510" s="10">
        <v>45</v>
      </c>
      <c r="D1510" s="10" t="s">
        <v>298</v>
      </c>
      <c r="E1510" s="41" t="s">
        <v>299</v>
      </c>
      <c r="F1510" s="41" t="s">
        <v>299</v>
      </c>
      <c r="G1510" s="21" t="str">
        <f>VLOOKUP(D1510,[6]成飞半成品!$A:$B,2,0)</f>
        <v>8635右隔框</v>
      </c>
      <c r="H1510" s="10" t="s">
        <v>300</v>
      </c>
      <c r="I1510" s="10">
        <v>10</v>
      </c>
      <c r="J1510" s="10" t="s">
        <v>2136</v>
      </c>
      <c r="L1510" s="10">
        <v>1</v>
      </c>
      <c r="M1510" s="14">
        <v>25</v>
      </c>
      <c r="N1510" s="14">
        <v>25</v>
      </c>
      <c r="O1510" s="55" t="s">
        <v>199</v>
      </c>
      <c r="Q1510" s="10">
        <v>180</v>
      </c>
      <c r="R1510" s="10">
        <v>60</v>
      </c>
      <c r="T1510" s="10">
        <v>1</v>
      </c>
      <c r="U1510" s="10">
        <v>90</v>
      </c>
      <c r="W1510" s="14">
        <v>1</v>
      </c>
      <c r="Y1510" s="79">
        <v>5.5</v>
      </c>
      <c r="Z1510" s="56" t="s">
        <v>67</v>
      </c>
    </row>
    <row r="1511" spans="1:27" ht="23.1" customHeight="1" x14ac:dyDescent="0.25">
      <c r="A1511" s="53" t="s">
        <v>1236</v>
      </c>
      <c r="B1511" s="10" t="s">
        <v>110</v>
      </c>
      <c r="C1511" s="10">
        <v>45</v>
      </c>
      <c r="D1511" s="10" t="s">
        <v>484</v>
      </c>
      <c r="E1511" s="41" t="s">
        <v>485</v>
      </c>
      <c r="F1511" s="41" t="s">
        <v>485</v>
      </c>
      <c r="G1511" s="21" t="str">
        <f>VLOOKUP(D1511,[6]成飞半成品!$A:$B,2,0)</f>
        <v>8635左隔框</v>
      </c>
      <c r="H1511" s="10" t="s">
        <v>300</v>
      </c>
      <c r="I1511" s="10">
        <v>6</v>
      </c>
      <c r="L1511" s="10">
        <v>1</v>
      </c>
      <c r="M1511" s="14">
        <v>25</v>
      </c>
      <c r="N1511" s="14">
        <v>25</v>
      </c>
      <c r="O1511" s="55" t="s">
        <v>199</v>
      </c>
      <c r="P1511" s="47">
        <v>60</v>
      </c>
      <c r="Q1511" s="47"/>
      <c r="R1511" s="47"/>
      <c r="S1511" s="47">
        <v>60</v>
      </c>
      <c r="T1511" s="10">
        <v>1</v>
      </c>
      <c r="V1511" s="47">
        <v>60</v>
      </c>
      <c r="W1511" s="14">
        <v>1</v>
      </c>
      <c r="Y1511" s="83">
        <v>3</v>
      </c>
      <c r="Z1511" s="56" t="s">
        <v>67</v>
      </c>
    </row>
    <row r="1512" spans="1:27" ht="23.1" customHeight="1" x14ac:dyDescent="0.25">
      <c r="A1512" s="53" t="s">
        <v>1236</v>
      </c>
      <c r="B1512" s="10" t="s">
        <v>110</v>
      </c>
      <c r="C1512" s="10">
        <v>45</v>
      </c>
      <c r="D1512" s="10" t="s">
        <v>484</v>
      </c>
      <c r="E1512" s="41" t="s">
        <v>485</v>
      </c>
      <c r="F1512" s="41" t="s">
        <v>485</v>
      </c>
      <c r="G1512" s="21" t="str">
        <f>VLOOKUP(D1512,[6]成飞半成品!$A:$B,2,0)</f>
        <v>8635左隔框</v>
      </c>
      <c r="H1512" s="10" t="s">
        <v>300</v>
      </c>
      <c r="I1512" s="10">
        <v>7</v>
      </c>
      <c r="L1512" s="10">
        <v>1</v>
      </c>
      <c r="M1512" s="14">
        <v>25</v>
      </c>
      <c r="N1512" s="14">
        <v>25</v>
      </c>
      <c r="O1512" s="55" t="s">
        <v>199</v>
      </c>
      <c r="P1512" s="47">
        <v>60</v>
      </c>
      <c r="Q1512" s="47"/>
      <c r="R1512" s="47"/>
      <c r="S1512" s="47">
        <v>60</v>
      </c>
      <c r="T1512" s="10">
        <v>1</v>
      </c>
      <c r="V1512" s="47">
        <v>60</v>
      </c>
      <c r="W1512" s="14">
        <v>1</v>
      </c>
      <c r="Y1512" s="83">
        <v>3</v>
      </c>
      <c r="Z1512" s="56" t="s">
        <v>67</v>
      </c>
    </row>
    <row r="1513" spans="1:27" ht="23.1" customHeight="1" x14ac:dyDescent="0.25">
      <c r="A1513" s="53" t="s">
        <v>1236</v>
      </c>
      <c r="B1513" s="10" t="s">
        <v>110</v>
      </c>
      <c r="C1513" s="10">
        <v>45</v>
      </c>
      <c r="D1513" s="10" t="s">
        <v>484</v>
      </c>
      <c r="E1513" s="41" t="s">
        <v>485</v>
      </c>
      <c r="F1513" s="41" t="s">
        <v>485</v>
      </c>
      <c r="G1513" s="21" t="str">
        <f>VLOOKUP(D1513,[6]成飞半成品!$A:$B,2,0)</f>
        <v>8635左隔框</v>
      </c>
      <c r="H1513" s="10" t="s">
        <v>300</v>
      </c>
      <c r="I1513" s="10">
        <v>8</v>
      </c>
      <c r="L1513" s="10">
        <v>1</v>
      </c>
      <c r="M1513" s="14">
        <v>25</v>
      </c>
      <c r="N1513" s="14">
        <v>25</v>
      </c>
      <c r="O1513" s="55" t="s">
        <v>199</v>
      </c>
      <c r="P1513" s="47">
        <v>60</v>
      </c>
      <c r="Q1513" s="47"/>
      <c r="R1513" s="47"/>
      <c r="S1513" s="47">
        <v>60</v>
      </c>
      <c r="T1513" s="10">
        <v>1</v>
      </c>
      <c r="V1513" s="47">
        <v>60</v>
      </c>
      <c r="W1513" s="14">
        <v>1</v>
      </c>
      <c r="Y1513" s="83">
        <v>3</v>
      </c>
      <c r="Z1513" s="56" t="s">
        <v>67</v>
      </c>
    </row>
    <row r="1514" spans="1:27" ht="23.1" customHeight="1" x14ac:dyDescent="0.25">
      <c r="A1514" s="53" t="s">
        <v>1236</v>
      </c>
      <c r="B1514" s="10" t="s">
        <v>110</v>
      </c>
      <c r="C1514" s="10">
        <v>45</v>
      </c>
      <c r="D1514" s="10" t="s">
        <v>484</v>
      </c>
      <c r="E1514" s="41" t="s">
        <v>485</v>
      </c>
      <c r="F1514" s="41" t="s">
        <v>485</v>
      </c>
      <c r="G1514" s="21" t="str">
        <f>VLOOKUP(D1514,[6]成飞半成品!$A:$B,2,0)</f>
        <v>8635左隔框</v>
      </c>
      <c r="H1514" s="10" t="s">
        <v>300</v>
      </c>
      <c r="I1514" s="10">
        <v>10</v>
      </c>
      <c r="J1514" s="10" t="s">
        <v>2136</v>
      </c>
      <c r="L1514" s="10">
        <v>1</v>
      </c>
      <c r="M1514" s="14">
        <v>25</v>
      </c>
      <c r="N1514" s="14">
        <v>25</v>
      </c>
      <c r="O1514" s="55" t="s">
        <v>199</v>
      </c>
      <c r="Q1514" s="10">
        <v>180</v>
      </c>
      <c r="R1514" s="10">
        <v>60</v>
      </c>
      <c r="T1514" s="10">
        <v>1</v>
      </c>
      <c r="U1514" s="10">
        <v>90</v>
      </c>
      <c r="W1514" s="14">
        <v>1</v>
      </c>
      <c r="Y1514" s="79">
        <v>5.5</v>
      </c>
      <c r="Z1514" s="56" t="s">
        <v>67</v>
      </c>
    </row>
    <row r="1515" spans="1:27" ht="23.1" customHeight="1" x14ac:dyDescent="0.25">
      <c r="A1515" s="53" t="s">
        <v>1236</v>
      </c>
      <c r="B1515" s="10" t="s">
        <v>110</v>
      </c>
      <c r="C1515" s="10">
        <v>103</v>
      </c>
      <c r="D1515" s="10" t="s">
        <v>834</v>
      </c>
      <c r="E1515" s="41" t="s">
        <v>835</v>
      </c>
      <c r="F1515" s="41" t="s">
        <v>835</v>
      </c>
      <c r="G1515" s="21" t="str">
        <f>VLOOKUP(D1515,[6]成飞半成品!$A:$B,2,0)</f>
        <v>根肋三段</v>
      </c>
      <c r="H1515" s="10" t="s">
        <v>154</v>
      </c>
      <c r="I1515" s="10">
        <v>65</v>
      </c>
      <c r="J1515" s="10" t="s">
        <v>2200</v>
      </c>
      <c r="L1515" s="10">
        <v>1</v>
      </c>
      <c r="M1515" s="14">
        <v>117</v>
      </c>
      <c r="N1515" s="14">
        <v>117</v>
      </c>
      <c r="O1515" s="55" t="s">
        <v>421</v>
      </c>
      <c r="Q1515" s="10">
        <v>100</v>
      </c>
      <c r="R1515" s="10">
        <v>60</v>
      </c>
      <c r="T1515" s="10">
        <v>1</v>
      </c>
      <c r="U1515" s="10">
        <v>60</v>
      </c>
      <c r="W1515" s="14">
        <v>1</v>
      </c>
      <c r="X1515" s="10">
        <v>2</v>
      </c>
      <c r="Y1515" s="79">
        <v>5.7</v>
      </c>
      <c r="Z1515" s="56" t="s">
        <v>67</v>
      </c>
      <c r="AA1515" s="14" t="s">
        <v>1242</v>
      </c>
    </row>
    <row r="1516" spans="1:27" ht="23.1" customHeight="1" x14ac:dyDescent="0.25">
      <c r="A1516" s="53" t="s">
        <v>1221</v>
      </c>
      <c r="B1516" s="10" t="s">
        <v>110</v>
      </c>
      <c r="C1516" s="10">
        <v>99</v>
      </c>
      <c r="D1516" s="10" t="s">
        <v>1191</v>
      </c>
      <c r="E1516" s="41" t="s">
        <v>1192</v>
      </c>
      <c r="F1516" s="41" t="s">
        <v>1192</v>
      </c>
      <c r="G1516" s="21" t="str">
        <f>VLOOKUP(D1516,[6]成飞半成品!$A:$B,2,0)</f>
        <v>后顶板</v>
      </c>
      <c r="H1516" s="10" t="s">
        <v>300</v>
      </c>
      <c r="I1516" s="10">
        <v>40</v>
      </c>
      <c r="J1516" s="10" t="s">
        <v>2386</v>
      </c>
      <c r="K1516" s="10">
        <v>0.3</v>
      </c>
      <c r="L1516" s="10">
        <v>0.35</v>
      </c>
      <c r="M1516" s="14">
        <v>25</v>
      </c>
      <c r="N1516" s="14">
        <v>25</v>
      </c>
      <c r="O1516" s="55" t="s">
        <v>470</v>
      </c>
      <c r="Q1516" s="10">
        <v>1800</v>
      </c>
      <c r="R1516" s="10">
        <v>90</v>
      </c>
      <c r="U1516" s="10">
        <v>120</v>
      </c>
      <c r="W1516" s="14"/>
      <c r="Y1516" s="79">
        <v>10.5</v>
      </c>
      <c r="Z1516" s="56" t="s">
        <v>21</v>
      </c>
    </row>
    <row r="1517" spans="1:27" ht="23.1" customHeight="1" x14ac:dyDescent="0.25">
      <c r="A1517" s="53" t="s">
        <v>1221</v>
      </c>
      <c r="B1517" s="10" t="s">
        <v>110</v>
      </c>
      <c r="C1517" s="10">
        <v>97</v>
      </c>
      <c r="D1517" s="10" t="s">
        <v>787</v>
      </c>
      <c r="E1517" s="41" t="s">
        <v>1065</v>
      </c>
      <c r="F1517" s="41" t="s">
        <v>1065</v>
      </c>
      <c r="G1517" s="21" t="str">
        <f>VLOOKUP(D1517,[6]成飞半成品!$A:$B,2,0)</f>
        <v>根肋二段</v>
      </c>
      <c r="H1517" s="10" t="s">
        <v>250</v>
      </c>
      <c r="I1517" s="10">
        <v>60</v>
      </c>
      <c r="J1517" s="10" t="s">
        <v>2156</v>
      </c>
      <c r="K1517" s="10">
        <v>1</v>
      </c>
      <c r="L1517" s="10">
        <v>0.9</v>
      </c>
      <c r="M1517" s="14">
        <v>25</v>
      </c>
      <c r="N1517" s="14">
        <v>25</v>
      </c>
      <c r="O1517" s="55" t="s">
        <v>429</v>
      </c>
      <c r="Q1517" s="10">
        <v>570</v>
      </c>
      <c r="R1517" s="10">
        <v>60</v>
      </c>
      <c r="U1517" s="10">
        <v>60</v>
      </c>
      <c r="W1517" s="14"/>
      <c r="Y1517" s="79">
        <v>8.6</v>
      </c>
      <c r="Z1517" s="56" t="s">
        <v>1</v>
      </c>
    </row>
    <row r="1518" spans="1:27" ht="23.1" customHeight="1" x14ac:dyDescent="0.25">
      <c r="A1518" s="53" t="s">
        <v>1221</v>
      </c>
      <c r="B1518" s="10" t="s">
        <v>110</v>
      </c>
      <c r="C1518" s="10">
        <v>105</v>
      </c>
      <c r="D1518" s="10" t="s">
        <v>1176</v>
      </c>
      <c r="E1518" s="41" t="s">
        <v>1098</v>
      </c>
      <c r="F1518" s="41" t="s">
        <v>1098</v>
      </c>
      <c r="G1518" s="21" t="str">
        <f>VLOOKUP(D1518,[6]成飞半成品!$A:$B,2,0)</f>
        <v>根肋一段</v>
      </c>
      <c r="H1518" s="10" t="s">
        <v>250</v>
      </c>
      <c r="I1518" s="10">
        <v>50</v>
      </c>
      <c r="J1518" s="10" t="s">
        <v>2303</v>
      </c>
      <c r="K1518" s="10">
        <v>0.5</v>
      </c>
      <c r="L1518" s="10">
        <v>0.6</v>
      </c>
      <c r="M1518" s="14">
        <v>25</v>
      </c>
      <c r="N1518" s="14">
        <v>25</v>
      </c>
      <c r="O1518" s="55" t="s">
        <v>429</v>
      </c>
      <c r="Q1518" s="10">
        <v>1080</v>
      </c>
      <c r="R1518" s="10">
        <v>60</v>
      </c>
      <c r="T1518" s="10">
        <v>1</v>
      </c>
      <c r="U1518" s="10">
        <v>120</v>
      </c>
      <c r="W1518" s="14"/>
      <c r="Y1518" s="79">
        <v>11.8</v>
      </c>
      <c r="Z1518" s="56" t="s">
        <v>28</v>
      </c>
    </row>
    <row r="1519" spans="1:27" ht="23.1" customHeight="1" x14ac:dyDescent="0.25">
      <c r="A1519" s="53" t="s">
        <v>1221</v>
      </c>
      <c r="B1519" s="10" t="s">
        <v>110</v>
      </c>
      <c r="C1519" s="10">
        <v>82</v>
      </c>
      <c r="D1519" s="10" t="s">
        <v>484</v>
      </c>
      <c r="E1519" s="41" t="s">
        <v>485</v>
      </c>
      <c r="F1519" s="41" t="s">
        <v>485</v>
      </c>
      <c r="G1519" s="21" t="str">
        <f>VLOOKUP(D1519,[6]成飞半成品!$A:$B,2,0)</f>
        <v>8635左隔框</v>
      </c>
      <c r="H1519" s="10" t="s">
        <v>300</v>
      </c>
      <c r="I1519" s="10">
        <v>25</v>
      </c>
      <c r="J1519" s="10" t="s">
        <v>2140</v>
      </c>
      <c r="K1519" s="10">
        <v>0.8</v>
      </c>
      <c r="L1519" s="10">
        <v>0.6</v>
      </c>
      <c r="M1519" s="14">
        <v>25</v>
      </c>
      <c r="N1519" s="14">
        <v>25</v>
      </c>
      <c r="O1519" s="55" t="s">
        <v>456</v>
      </c>
      <c r="Q1519" s="10">
        <v>660</v>
      </c>
      <c r="R1519" s="10">
        <v>60</v>
      </c>
      <c r="U1519" s="10">
        <v>180</v>
      </c>
      <c r="W1519" s="14"/>
      <c r="X1519" s="14">
        <v>2</v>
      </c>
      <c r="Y1519" s="79">
        <v>8.6</v>
      </c>
      <c r="Z1519" s="56" t="s">
        <v>56</v>
      </c>
      <c r="AA1519" s="14" t="s">
        <v>953</v>
      </c>
    </row>
    <row r="1520" spans="1:27" ht="23.1" customHeight="1" x14ac:dyDescent="0.25">
      <c r="A1520" s="53" t="s">
        <v>1221</v>
      </c>
      <c r="B1520" s="10" t="s">
        <v>110</v>
      </c>
      <c r="C1520" s="10">
        <v>19</v>
      </c>
      <c r="D1520" s="10" t="s">
        <v>395</v>
      </c>
      <c r="E1520" s="41" t="s">
        <v>396</v>
      </c>
      <c r="F1520" s="41" t="e">
        <v>#N/A</v>
      </c>
      <c r="G1520" s="21" t="e">
        <f>VLOOKUP(D1520,[6]成飞半成品!$A:$B,2,0)</f>
        <v>#N/A</v>
      </c>
      <c r="H1520" s="10" t="s">
        <v>300</v>
      </c>
      <c r="I1520" s="10">
        <v>25</v>
      </c>
      <c r="J1520" s="10" t="s">
        <v>1937</v>
      </c>
      <c r="K1520" s="10">
        <v>1.5</v>
      </c>
      <c r="L1520" s="10">
        <v>2.2999999999999998</v>
      </c>
      <c r="M1520" s="14">
        <v>25</v>
      </c>
      <c r="N1520" s="14">
        <v>25</v>
      </c>
      <c r="O1520" s="55" t="s">
        <v>1243</v>
      </c>
      <c r="Q1520" s="10">
        <v>370</v>
      </c>
      <c r="R1520" s="10">
        <v>90</v>
      </c>
      <c r="T1520" s="10">
        <v>3</v>
      </c>
      <c r="U1520" s="10">
        <v>60</v>
      </c>
      <c r="W1520" s="14"/>
      <c r="Y1520" s="79">
        <v>18.7</v>
      </c>
      <c r="Z1520" s="56" t="s">
        <v>62</v>
      </c>
    </row>
    <row r="1521" spans="1:28" ht="23.1" customHeight="1" x14ac:dyDescent="0.25">
      <c r="A1521" s="53" t="s">
        <v>1221</v>
      </c>
      <c r="B1521" s="10" t="s">
        <v>110</v>
      </c>
      <c r="C1521" s="10">
        <v>117</v>
      </c>
      <c r="D1521" s="10" t="s">
        <v>1081</v>
      </c>
      <c r="E1521" s="41" t="s">
        <v>1082</v>
      </c>
      <c r="F1521" s="41" t="s">
        <v>1082</v>
      </c>
      <c r="G1521" s="21" t="str">
        <f>VLOOKUP(D1521,[6]成飞半成品!$A:$B,2,0)</f>
        <v xml:space="preserve"> 前梁</v>
      </c>
      <c r="H1521" s="10" t="s">
        <v>123</v>
      </c>
      <c r="I1521" s="10">
        <v>35</v>
      </c>
      <c r="J1521" s="10" t="s">
        <v>2201</v>
      </c>
      <c r="K1521" s="10">
        <v>0.3</v>
      </c>
      <c r="L1521" s="10">
        <v>0.3</v>
      </c>
      <c r="M1521" s="14">
        <v>25</v>
      </c>
      <c r="N1521" s="14">
        <v>25</v>
      </c>
      <c r="O1521" s="55" t="s">
        <v>860</v>
      </c>
      <c r="Q1521" s="10">
        <v>700</v>
      </c>
      <c r="R1521" s="10">
        <v>60</v>
      </c>
      <c r="T1521" s="10">
        <v>1</v>
      </c>
      <c r="U1521" s="10">
        <v>90</v>
      </c>
      <c r="W1521" s="14">
        <v>1</v>
      </c>
      <c r="Y1521" s="79">
        <v>6</v>
      </c>
      <c r="Z1521" s="56" t="s">
        <v>32</v>
      </c>
    </row>
    <row r="1522" spans="1:28" ht="23.1" customHeight="1" x14ac:dyDescent="0.25">
      <c r="A1522" s="53" t="s">
        <v>1221</v>
      </c>
      <c r="B1522" s="10" t="s">
        <v>110</v>
      </c>
      <c r="C1522" s="10">
        <v>118</v>
      </c>
      <c r="D1522" s="10" t="s">
        <v>1171</v>
      </c>
      <c r="E1522" s="41" t="s">
        <v>1172</v>
      </c>
      <c r="F1522" s="41" t="s">
        <v>1172</v>
      </c>
      <c r="G1522" s="21" t="str">
        <f>VLOOKUP(D1522,[6]成飞半成品!$A:$B,2,0)</f>
        <v>后梁</v>
      </c>
      <c r="H1522" s="10" t="s">
        <v>300</v>
      </c>
      <c r="I1522" s="10">
        <v>37</v>
      </c>
      <c r="L1522" s="10">
        <v>1</v>
      </c>
      <c r="M1522" s="14">
        <v>25</v>
      </c>
      <c r="N1522" s="14">
        <v>25</v>
      </c>
      <c r="O1522" s="55" t="s">
        <v>1213</v>
      </c>
      <c r="P1522" s="10">
        <v>60</v>
      </c>
      <c r="S1522" s="10">
        <v>60</v>
      </c>
      <c r="T1522" s="10">
        <v>1</v>
      </c>
      <c r="V1522" s="10">
        <v>120</v>
      </c>
      <c r="W1522" s="14">
        <v>1</v>
      </c>
      <c r="Y1522" s="83">
        <v>4</v>
      </c>
      <c r="Z1522" s="56" t="s">
        <v>32</v>
      </c>
    </row>
    <row r="1523" spans="1:28" ht="23.1" customHeight="1" x14ac:dyDescent="0.25">
      <c r="A1523" s="53" t="s">
        <v>1244</v>
      </c>
      <c r="B1523" s="10" t="s">
        <v>110</v>
      </c>
      <c r="C1523" s="10">
        <v>24</v>
      </c>
      <c r="D1523" s="10" t="s">
        <v>738</v>
      </c>
      <c r="E1523" s="41" t="s">
        <v>739</v>
      </c>
      <c r="F1523" s="41" t="s">
        <v>739</v>
      </c>
      <c r="G1523" s="21" t="str">
        <f>VLOOKUP(D1523,[6]成飞半成品!$A:$B,2,0)</f>
        <v>BL280侧壁（右件）</v>
      </c>
      <c r="H1523" s="10" t="s">
        <v>107</v>
      </c>
      <c r="I1523" s="10">
        <v>30</v>
      </c>
      <c r="J1523" s="10" t="s">
        <v>2061</v>
      </c>
      <c r="K1523" s="10">
        <v>0.6</v>
      </c>
      <c r="L1523" s="10">
        <v>0.4</v>
      </c>
      <c r="M1523" s="14">
        <v>5</v>
      </c>
      <c r="N1523" s="14"/>
      <c r="O1523" s="55" t="s">
        <v>1169</v>
      </c>
      <c r="Q1523" s="10">
        <v>1700</v>
      </c>
      <c r="R1523" s="10">
        <v>120</v>
      </c>
      <c r="U1523" s="10">
        <v>210</v>
      </c>
      <c r="W1523" s="14"/>
      <c r="Y1523" s="79">
        <v>11.3</v>
      </c>
      <c r="Z1523" s="56" t="s">
        <v>41</v>
      </c>
    </row>
    <row r="1524" spans="1:28" ht="23.1" customHeight="1" x14ac:dyDescent="0.25">
      <c r="A1524" s="53" t="s">
        <v>1244</v>
      </c>
      <c r="B1524" s="10" t="s">
        <v>110</v>
      </c>
      <c r="C1524" s="10">
        <v>24</v>
      </c>
      <c r="D1524" s="10" t="s">
        <v>738</v>
      </c>
      <c r="E1524" s="41" t="s">
        <v>739</v>
      </c>
      <c r="F1524" s="41" t="s">
        <v>739</v>
      </c>
      <c r="G1524" s="21" t="str">
        <f>VLOOKUP(D1524,[6]成飞半成品!$A:$B,2,0)</f>
        <v>BL280侧壁（右件）</v>
      </c>
      <c r="H1524" s="10" t="s">
        <v>107</v>
      </c>
      <c r="I1524" s="10">
        <v>25</v>
      </c>
      <c r="J1524" s="10" t="s">
        <v>2035</v>
      </c>
      <c r="K1524" s="10">
        <v>0.5</v>
      </c>
      <c r="L1524" s="10">
        <v>0.5</v>
      </c>
      <c r="M1524" s="14">
        <v>28</v>
      </c>
      <c r="N1524" s="14">
        <v>28</v>
      </c>
      <c r="O1524" s="55" t="s">
        <v>860</v>
      </c>
      <c r="Q1524" s="10">
        <v>840</v>
      </c>
      <c r="R1524" s="10">
        <v>120</v>
      </c>
      <c r="T1524" s="10">
        <v>1</v>
      </c>
      <c r="U1524" s="10">
        <v>150</v>
      </c>
      <c r="W1524" s="14">
        <v>1</v>
      </c>
      <c r="Y1524" s="79">
        <v>11.5</v>
      </c>
      <c r="Z1524" s="56" t="s">
        <v>41</v>
      </c>
    </row>
    <row r="1525" spans="1:28" ht="23.1" customHeight="1" x14ac:dyDescent="0.25">
      <c r="A1525" s="53" t="s">
        <v>1244</v>
      </c>
      <c r="B1525" s="10" t="s">
        <v>110</v>
      </c>
      <c r="C1525" s="10">
        <v>69</v>
      </c>
      <c r="D1525" s="10" t="s">
        <v>592</v>
      </c>
      <c r="E1525" s="41" t="s">
        <v>218</v>
      </c>
      <c r="F1525" s="41" t="s">
        <v>218</v>
      </c>
      <c r="G1525" s="21" t="str">
        <f>VLOOKUP(D1525,[6]成飞半成品!$A:$B,2,0)</f>
        <v>横梁</v>
      </c>
      <c r="H1525" s="10" t="s">
        <v>107</v>
      </c>
      <c r="I1525" s="10">
        <v>50</v>
      </c>
      <c r="J1525" s="10" t="s">
        <v>2202</v>
      </c>
      <c r="K1525" s="10">
        <v>8</v>
      </c>
      <c r="L1525" s="10">
        <v>8</v>
      </c>
      <c r="M1525" s="14">
        <v>28</v>
      </c>
      <c r="N1525" s="14">
        <v>28</v>
      </c>
      <c r="O1525" s="55" t="s">
        <v>456</v>
      </c>
      <c r="Q1525" s="10">
        <v>180</v>
      </c>
      <c r="R1525" s="10">
        <v>60</v>
      </c>
      <c r="T1525" s="10">
        <v>8</v>
      </c>
      <c r="U1525" s="10">
        <v>150</v>
      </c>
      <c r="W1525" s="14"/>
      <c r="Y1525" s="79">
        <v>32</v>
      </c>
      <c r="Z1525" s="56" t="s">
        <v>41</v>
      </c>
    </row>
    <row r="1526" spans="1:28" ht="23.1" customHeight="1" x14ac:dyDescent="0.25">
      <c r="A1526" s="53" t="s">
        <v>1244</v>
      </c>
      <c r="B1526" s="10" t="s">
        <v>110</v>
      </c>
      <c r="C1526" s="10">
        <v>91</v>
      </c>
      <c r="D1526" s="10" t="s">
        <v>254</v>
      </c>
      <c r="E1526" s="41" t="s">
        <v>1016</v>
      </c>
      <c r="F1526" s="41" t="s">
        <v>1016</v>
      </c>
      <c r="G1526" s="21" t="str">
        <f>VLOOKUP(D1526,[6]成飞半成品!$A:$B,2,0)</f>
        <v>9350-11140右侧上梁</v>
      </c>
      <c r="H1526" s="10" t="s">
        <v>375</v>
      </c>
      <c r="I1526" s="10">
        <v>40</v>
      </c>
      <c r="J1526" s="10" t="s">
        <v>2110</v>
      </c>
      <c r="K1526" s="10">
        <v>0.3</v>
      </c>
      <c r="L1526" s="10">
        <v>0.3</v>
      </c>
      <c r="M1526" s="14">
        <v>28</v>
      </c>
      <c r="N1526" s="14">
        <v>28</v>
      </c>
      <c r="O1526" s="55" t="s">
        <v>716</v>
      </c>
      <c r="Q1526" s="10">
        <v>3000</v>
      </c>
      <c r="R1526" s="10">
        <v>90</v>
      </c>
      <c r="T1526" s="10">
        <v>1</v>
      </c>
      <c r="U1526" s="10">
        <v>120</v>
      </c>
      <c r="W1526" s="14"/>
      <c r="Y1526" s="79">
        <v>16.5</v>
      </c>
      <c r="Z1526" s="56" t="s">
        <v>41</v>
      </c>
    </row>
    <row r="1527" spans="1:28" ht="23.1" customHeight="1" x14ac:dyDescent="0.25">
      <c r="A1527" s="53" t="s">
        <v>1244</v>
      </c>
      <c r="B1527" s="10" t="s">
        <v>110</v>
      </c>
      <c r="C1527" s="10">
        <v>119</v>
      </c>
      <c r="D1527" s="65" t="s">
        <v>2551</v>
      </c>
      <c r="E1527" s="41" t="s">
        <v>938</v>
      </c>
      <c r="F1527" s="41" t="s">
        <v>938</v>
      </c>
      <c r="G1527" s="21" t="str">
        <f>VLOOKUP(D1527,[6]成飞半成品!$A:$B,2,0)</f>
        <v>工装</v>
      </c>
      <c r="H1527" s="10" t="s">
        <v>939</v>
      </c>
      <c r="I1527" s="10">
        <v>60</v>
      </c>
      <c r="J1527" s="10" t="s">
        <v>2203</v>
      </c>
      <c r="K1527" s="10">
        <v>0.4</v>
      </c>
      <c r="L1527" s="10">
        <v>0.4</v>
      </c>
      <c r="M1527" s="14">
        <v>5</v>
      </c>
      <c r="N1527" s="14"/>
      <c r="O1527" s="55" t="s">
        <v>425</v>
      </c>
      <c r="Q1527" s="10">
        <v>900</v>
      </c>
      <c r="R1527" s="10">
        <v>90</v>
      </c>
      <c r="U1527" s="10">
        <v>180</v>
      </c>
      <c r="W1527" s="14"/>
      <c r="X1527" s="14">
        <v>3</v>
      </c>
      <c r="Y1527" s="79">
        <v>9</v>
      </c>
      <c r="Z1527" s="56" t="s">
        <v>41</v>
      </c>
      <c r="AA1527" s="14" t="s">
        <v>1011</v>
      </c>
    </row>
    <row r="1528" spans="1:28" ht="23.1" customHeight="1" x14ac:dyDescent="0.25">
      <c r="A1528" s="53" t="s">
        <v>1244</v>
      </c>
      <c r="B1528" s="10" t="s">
        <v>110</v>
      </c>
      <c r="C1528" s="10">
        <v>119</v>
      </c>
      <c r="D1528" s="10" t="s">
        <v>830</v>
      </c>
      <c r="E1528" s="41" t="s">
        <v>788</v>
      </c>
      <c r="F1528" s="41" t="s">
        <v>788</v>
      </c>
      <c r="G1528" s="21" t="str">
        <f>VLOOKUP(D1528,[6]成飞半成品!$A:$B,2,0)</f>
        <v>根肋二段</v>
      </c>
      <c r="H1528" s="10" t="s">
        <v>123</v>
      </c>
      <c r="I1528" s="10">
        <v>60</v>
      </c>
      <c r="J1528" s="10" t="s">
        <v>2222</v>
      </c>
      <c r="K1528" s="10">
        <v>3</v>
      </c>
      <c r="L1528" s="10">
        <v>1</v>
      </c>
      <c r="M1528" s="14">
        <v>28</v>
      </c>
      <c r="N1528" s="14"/>
      <c r="O1528" s="55" t="s">
        <v>216</v>
      </c>
      <c r="Q1528" s="10">
        <v>210</v>
      </c>
      <c r="R1528" s="10">
        <v>60</v>
      </c>
      <c r="T1528" s="10">
        <v>1</v>
      </c>
      <c r="U1528" s="10">
        <v>90</v>
      </c>
      <c r="W1528" s="14">
        <v>1</v>
      </c>
      <c r="X1528" s="10">
        <v>3</v>
      </c>
      <c r="Y1528" s="79">
        <v>9</v>
      </c>
      <c r="Z1528" s="56" t="s">
        <v>41</v>
      </c>
      <c r="AA1528" s="14" t="s">
        <v>941</v>
      </c>
    </row>
    <row r="1529" spans="1:28" ht="23.1" customHeight="1" x14ac:dyDescent="0.25">
      <c r="A1529" s="53" t="s">
        <v>1244</v>
      </c>
      <c r="B1529" s="10" t="s">
        <v>110</v>
      </c>
      <c r="C1529" s="10">
        <v>121</v>
      </c>
      <c r="D1529" s="10" t="s">
        <v>1191</v>
      </c>
      <c r="E1529" s="41" t="s">
        <v>1192</v>
      </c>
      <c r="F1529" s="41" t="s">
        <v>1192</v>
      </c>
      <c r="G1529" s="21" t="str">
        <f>VLOOKUP(D1529,[6]成飞半成品!$A:$B,2,0)</f>
        <v>后顶板</v>
      </c>
      <c r="H1529" s="10" t="s">
        <v>300</v>
      </c>
      <c r="I1529" s="10">
        <v>40</v>
      </c>
      <c r="J1529" s="10" t="s">
        <v>2386</v>
      </c>
      <c r="K1529" s="10">
        <v>1</v>
      </c>
      <c r="L1529" s="10">
        <v>1</v>
      </c>
      <c r="M1529" s="14">
        <v>23</v>
      </c>
      <c r="N1529" s="14"/>
      <c r="O1529" s="55" t="s">
        <v>470</v>
      </c>
      <c r="Q1529" s="10">
        <v>1800</v>
      </c>
      <c r="R1529" s="10">
        <v>90</v>
      </c>
      <c r="T1529" s="10">
        <v>1</v>
      </c>
      <c r="U1529" s="10">
        <v>120</v>
      </c>
      <c r="W1529" s="14">
        <v>1</v>
      </c>
      <c r="X1529" s="10">
        <v>3</v>
      </c>
      <c r="Y1529" s="79">
        <v>36.5</v>
      </c>
      <c r="Z1529" s="56" t="s">
        <v>41</v>
      </c>
      <c r="AA1529" s="14" t="s">
        <v>1245</v>
      </c>
    </row>
    <row r="1530" spans="1:28" ht="23.1" customHeight="1" x14ac:dyDescent="0.25">
      <c r="A1530" s="53" t="s">
        <v>1244</v>
      </c>
      <c r="B1530" s="10" t="s">
        <v>110</v>
      </c>
      <c r="C1530" s="10">
        <v>121</v>
      </c>
      <c r="D1530" s="10" t="s">
        <v>291</v>
      </c>
      <c r="E1530" s="41" t="s">
        <v>1246</v>
      </c>
      <c r="F1530" s="41" t="s">
        <v>1246</v>
      </c>
      <c r="G1530" s="21" t="str">
        <f>VLOOKUP(D1530,[6]成飞半成品!$A:$B,2,0)</f>
        <v>根肋后段</v>
      </c>
      <c r="H1530" s="10" t="s">
        <v>154</v>
      </c>
      <c r="I1530" s="10">
        <v>50</v>
      </c>
      <c r="J1530" s="10" t="s">
        <v>2210</v>
      </c>
      <c r="K1530" s="10">
        <v>0.6</v>
      </c>
      <c r="L1530" s="10">
        <v>0.8</v>
      </c>
      <c r="M1530" s="14">
        <v>28</v>
      </c>
      <c r="N1530" s="14"/>
      <c r="O1530" s="55" t="s">
        <v>675</v>
      </c>
      <c r="Q1530" s="10">
        <v>2100</v>
      </c>
      <c r="R1530" s="10">
        <v>90</v>
      </c>
      <c r="T1530" s="10">
        <v>1</v>
      </c>
      <c r="U1530" s="10">
        <v>150</v>
      </c>
      <c r="W1530" s="14">
        <v>1</v>
      </c>
      <c r="X1530" s="10">
        <v>3</v>
      </c>
      <c r="Y1530" s="79">
        <v>35</v>
      </c>
      <c r="Z1530" s="56" t="s">
        <v>41</v>
      </c>
      <c r="AA1530" s="14" t="s">
        <v>941</v>
      </c>
    </row>
    <row r="1531" spans="1:28" ht="23.1" customHeight="1" x14ac:dyDescent="0.25">
      <c r="A1531" s="53" t="s">
        <v>1244</v>
      </c>
      <c r="B1531" s="10" t="s">
        <v>110</v>
      </c>
      <c r="C1531" s="10">
        <v>79</v>
      </c>
      <c r="D1531" s="10" t="s">
        <v>420</v>
      </c>
      <c r="E1531" s="41" t="s">
        <v>1247</v>
      </c>
      <c r="F1531" s="41" t="s">
        <v>1247</v>
      </c>
      <c r="G1531" s="21" t="str">
        <f>VLOOKUP(D1531,[6]成飞半成品!$A:$B,2,0)</f>
        <v>根肋前段</v>
      </c>
      <c r="H1531" s="10" t="s">
        <v>154</v>
      </c>
      <c r="I1531" s="10">
        <v>50</v>
      </c>
      <c r="J1531" s="10" t="s">
        <v>2204</v>
      </c>
      <c r="K1531" s="10">
        <v>0.3</v>
      </c>
      <c r="L1531" s="10">
        <v>0.123</v>
      </c>
      <c r="M1531" s="14">
        <v>23</v>
      </c>
      <c r="N1531" s="14"/>
      <c r="O1531" s="55" t="s">
        <v>1248</v>
      </c>
      <c r="Q1531" s="10">
        <v>3700</v>
      </c>
      <c r="R1531" s="10">
        <v>90</v>
      </c>
      <c r="U1531" s="10">
        <v>180</v>
      </c>
      <c r="W1531" s="14"/>
      <c r="Y1531" s="79">
        <v>7.6</v>
      </c>
      <c r="Z1531" s="56" t="s">
        <v>19</v>
      </c>
    </row>
    <row r="1532" spans="1:28" ht="23.1" customHeight="1" x14ac:dyDescent="0.25">
      <c r="A1532" s="53" t="s">
        <v>1244</v>
      </c>
      <c r="B1532" s="10" t="s">
        <v>110</v>
      </c>
      <c r="C1532" s="10">
        <v>79</v>
      </c>
      <c r="D1532" s="10" t="s">
        <v>152</v>
      </c>
      <c r="E1532" s="41" t="s">
        <v>1247</v>
      </c>
      <c r="F1532" s="41" t="s">
        <v>1247</v>
      </c>
      <c r="G1532" s="21" t="str">
        <f>VLOOKUP(D1532,[6]成飞半成品!$A:$B,2,0)</f>
        <v>根肋前段</v>
      </c>
      <c r="H1532" s="10" t="s">
        <v>154</v>
      </c>
      <c r="I1532" s="10">
        <v>50</v>
      </c>
      <c r="J1532" s="10" t="s">
        <v>2204</v>
      </c>
      <c r="L1532" s="10">
        <v>0.2</v>
      </c>
      <c r="M1532" s="14">
        <v>28</v>
      </c>
      <c r="N1532" s="14"/>
      <c r="O1532" s="55" t="s">
        <v>421</v>
      </c>
      <c r="Q1532" s="10">
        <v>3700</v>
      </c>
      <c r="R1532" s="10">
        <v>90</v>
      </c>
      <c r="T1532" s="10">
        <v>1</v>
      </c>
      <c r="U1532" s="10">
        <v>180</v>
      </c>
      <c r="W1532" s="14">
        <v>1</v>
      </c>
      <c r="Y1532" s="79">
        <v>16.8</v>
      </c>
      <c r="Z1532" s="56" t="s">
        <v>19</v>
      </c>
    </row>
    <row r="1533" spans="1:28" ht="23.1" customHeight="1" x14ac:dyDescent="0.25">
      <c r="A1533" s="53" t="s">
        <v>1244</v>
      </c>
      <c r="B1533" s="10" t="s">
        <v>110</v>
      </c>
      <c r="C1533" s="10">
        <v>16</v>
      </c>
      <c r="D1533" s="10" t="s">
        <v>1249</v>
      </c>
      <c r="E1533" s="41" t="s">
        <v>409</v>
      </c>
      <c r="F1533" s="41" t="s">
        <v>409</v>
      </c>
      <c r="G1533" s="21" t="str">
        <f>VLOOKUP(D1533,[6]成飞半成品!$A:$B,2,0)</f>
        <v>接头</v>
      </c>
      <c r="H1533" s="10" t="s">
        <v>102</v>
      </c>
      <c r="I1533" s="10">
        <v>5</v>
      </c>
      <c r="J1533" s="10" t="s">
        <v>2463</v>
      </c>
      <c r="L1533" s="10">
        <v>1</v>
      </c>
      <c r="M1533" s="14">
        <v>9</v>
      </c>
      <c r="N1533" s="14"/>
      <c r="O1533" s="55" t="s">
        <v>596</v>
      </c>
      <c r="Q1533" s="10">
        <v>20</v>
      </c>
      <c r="U1533" s="10">
        <v>60</v>
      </c>
      <c r="W1533" s="14">
        <v>1</v>
      </c>
      <c r="X1533" s="14">
        <v>2</v>
      </c>
      <c r="Y1533" s="79">
        <v>3.3</v>
      </c>
      <c r="Z1533" s="56" t="s">
        <v>63</v>
      </c>
      <c r="AA1533" s="14" t="s">
        <v>1250</v>
      </c>
      <c r="AB1533" s="25" t="s">
        <v>238</v>
      </c>
    </row>
    <row r="1534" spans="1:28" ht="23.1" customHeight="1" x14ac:dyDescent="0.25">
      <c r="A1534" s="53" t="s">
        <v>1244</v>
      </c>
      <c r="B1534" s="10" t="s">
        <v>110</v>
      </c>
      <c r="C1534" s="10">
        <v>16</v>
      </c>
      <c r="D1534" s="10" t="s">
        <v>1249</v>
      </c>
      <c r="E1534" s="41" t="s">
        <v>409</v>
      </c>
      <c r="F1534" s="41" t="s">
        <v>409</v>
      </c>
      <c r="G1534" s="21" t="str">
        <f>VLOOKUP(D1534,[6]成飞半成品!$A:$B,2,0)</f>
        <v>接头</v>
      </c>
      <c r="H1534" s="10" t="s">
        <v>102</v>
      </c>
      <c r="I1534" s="10">
        <v>10</v>
      </c>
      <c r="J1534" s="10" t="s">
        <v>2464</v>
      </c>
      <c r="L1534" s="10">
        <v>1</v>
      </c>
      <c r="M1534" s="14">
        <v>9</v>
      </c>
      <c r="N1534" s="14"/>
      <c r="O1534" s="55" t="s">
        <v>596</v>
      </c>
      <c r="Q1534" s="10">
        <v>35</v>
      </c>
      <c r="U1534" s="10">
        <v>90</v>
      </c>
      <c r="W1534" s="14">
        <v>1</v>
      </c>
      <c r="Y1534" s="79">
        <v>2.1</v>
      </c>
      <c r="Z1534" s="56" t="s">
        <v>63</v>
      </c>
    </row>
    <row r="1535" spans="1:28" ht="23.1" customHeight="1" x14ac:dyDescent="0.25">
      <c r="A1535" s="53" t="s">
        <v>1244</v>
      </c>
      <c r="B1535" s="10" t="s">
        <v>110</v>
      </c>
      <c r="C1535" s="10">
        <v>76</v>
      </c>
      <c r="D1535" s="10" t="s">
        <v>1251</v>
      </c>
      <c r="E1535" s="41" t="s">
        <v>625</v>
      </c>
      <c r="F1535" s="41" t="s">
        <v>625</v>
      </c>
      <c r="G1535" s="21" t="str">
        <f>VLOOKUP(D1535,[6]成飞半成品!$A:$B,2,0)</f>
        <v>支架</v>
      </c>
      <c r="H1535" s="10" t="s">
        <v>102</v>
      </c>
      <c r="I1535" s="10">
        <v>10</v>
      </c>
      <c r="K1535" s="10">
        <v>8</v>
      </c>
      <c r="L1535" s="10">
        <v>8</v>
      </c>
      <c r="M1535" s="14">
        <v>19</v>
      </c>
      <c r="N1535" s="14">
        <v>9</v>
      </c>
      <c r="O1535" s="55" t="s">
        <v>596</v>
      </c>
      <c r="W1535" s="14">
        <v>1</v>
      </c>
      <c r="X1535" s="14">
        <v>5</v>
      </c>
      <c r="Y1535" s="79">
        <v>5</v>
      </c>
      <c r="Z1535" s="56" t="s">
        <v>46</v>
      </c>
      <c r="AA1535" s="14" t="s">
        <v>1252</v>
      </c>
      <c r="AB1535" s="14" t="s">
        <v>957</v>
      </c>
    </row>
    <row r="1536" spans="1:28" ht="23.1" customHeight="1" x14ac:dyDescent="0.25">
      <c r="A1536" s="53" t="s">
        <v>1244</v>
      </c>
      <c r="B1536" s="10" t="s">
        <v>110</v>
      </c>
      <c r="C1536" s="10">
        <v>77</v>
      </c>
      <c r="D1536" s="10" t="s">
        <v>1253</v>
      </c>
      <c r="E1536" s="41" t="s">
        <v>1254</v>
      </c>
      <c r="F1536" s="41" t="s">
        <v>1254</v>
      </c>
      <c r="G1536" s="21" t="str">
        <f>VLOOKUP(D1536,[6]成飞半成品!$A:$B,2,0)</f>
        <v>前支架</v>
      </c>
      <c r="H1536" s="65" t="s">
        <v>1840</v>
      </c>
      <c r="I1536" s="10">
        <v>30</v>
      </c>
      <c r="J1536" s="65" t="s">
        <v>1891</v>
      </c>
      <c r="K1536" s="10">
        <v>20</v>
      </c>
      <c r="L1536" s="10">
        <v>5</v>
      </c>
      <c r="M1536" s="14">
        <v>23</v>
      </c>
      <c r="N1536" s="14">
        <v>9</v>
      </c>
      <c r="O1536" s="55" t="s">
        <v>247</v>
      </c>
      <c r="Q1536" s="10">
        <v>50</v>
      </c>
      <c r="U1536" s="10">
        <v>60</v>
      </c>
      <c r="W1536" s="14"/>
      <c r="X1536" s="14">
        <v>5</v>
      </c>
      <c r="Y1536" s="79">
        <v>9.1999999999999993</v>
      </c>
      <c r="Z1536" s="56" t="s">
        <v>15</v>
      </c>
      <c r="AA1536" s="14" t="s">
        <v>1252</v>
      </c>
      <c r="AB1536" s="14" t="s">
        <v>957</v>
      </c>
    </row>
    <row r="1537" spans="1:28" ht="23.1" customHeight="1" x14ac:dyDescent="0.25">
      <c r="A1537" s="53" t="s">
        <v>1244</v>
      </c>
      <c r="B1537" s="10" t="s">
        <v>110</v>
      </c>
      <c r="C1537" s="10">
        <v>15</v>
      </c>
      <c r="D1537" s="47" t="s">
        <v>1255</v>
      </c>
      <c r="E1537" s="41" t="s">
        <v>117</v>
      </c>
      <c r="F1537" s="41" t="s">
        <v>117</v>
      </c>
      <c r="G1537" s="21" t="str">
        <f>VLOOKUP(D1537,[6]成飞半成品!$A:$B,2,0)</f>
        <v>7820~8270侧上梁</v>
      </c>
      <c r="H1537" s="10" t="s">
        <v>118</v>
      </c>
      <c r="I1537" s="10">
        <v>25</v>
      </c>
      <c r="J1537" s="10" t="s">
        <v>2465</v>
      </c>
      <c r="K1537" s="10">
        <v>0.8</v>
      </c>
      <c r="L1537" s="10">
        <v>1.2</v>
      </c>
      <c r="M1537" s="14">
        <v>19</v>
      </c>
      <c r="N1537" s="14">
        <v>28</v>
      </c>
      <c r="O1537" s="55" t="s">
        <v>1256</v>
      </c>
      <c r="Q1537" s="10">
        <v>900</v>
      </c>
      <c r="T1537" s="10">
        <v>1</v>
      </c>
      <c r="U1537" s="10">
        <v>120</v>
      </c>
      <c r="W1537" s="14"/>
      <c r="Y1537" s="79">
        <v>18</v>
      </c>
      <c r="Z1537" s="56" t="s">
        <v>31</v>
      </c>
    </row>
    <row r="1538" spans="1:28" ht="23.1" customHeight="1" x14ac:dyDescent="0.25">
      <c r="A1538" s="53" t="s">
        <v>1244</v>
      </c>
      <c r="B1538" s="10" t="s">
        <v>110</v>
      </c>
      <c r="C1538" s="10">
        <v>14</v>
      </c>
      <c r="D1538" s="10" t="s">
        <v>1257</v>
      </c>
      <c r="E1538" s="41" t="s">
        <v>806</v>
      </c>
      <c r="F1538" s="41" t="s">
        <v>806</v>
      </c>
      <c r="G1538" s="21" t="str">
        <f>VLOOKUP(D1538,[6]成飞半成品!$A:$B,2,0)</f>
        <v>前缘短肋</v>
      </c>
      <c r="H1538" s="10" t="s">
        <v>154</v>
      </c>
      <c r="I1538" s="10">
        <v>15</v>
      </c>
      <c r="J1538" s="10" t="s">
        <v>2466</v>
      </c>
      <c r="K1538" s="10">
        <v>1</v>
      </c>
      <c r="L1538" s="10">
        <v>1</v>
      </c>
      <c r="M1538" s="14">
        <v>31</v>
      </c>
      <c r="N1538" s="14"/>
      <c r="O1538" s="55" t="s">
        <v>234</v>
      </c>
      <c r="Q1538" s="10">
        <v>630</v>
      </c>
      <c r="U1538" s="10">
        <v>120</v>
      </c>
      <c r="W1538" s="14"/>
      <c r="X1538" s="14">
        <v>4</v>
      </c>
      <c r="Y1538" s="79">
        <v>14.5</v>
      </c>
      <c r="Z1538" s="56" t="s">
        <v>31</v>
      </c>
      <c r="AA1538" s="14" t="s">
        <v>1258</v>
      </c>
      <c r="AB1538" s="25" t="s">
        <v>238</v>
      </c>
    </row>
    <row r="1539" spans="1:28" ht="23.1" customHeight="1" x14ac:dyDescent="0.25">
      <c r="A1539" s="53" t="s">
        <v>1244</v>
      </c>
      <c r="B1539" s="10" t="s">
        <v>110</v>
      </c>
      <c r="C1539" s="10">
        <v>76</v>
      </c>
      <c r="D1539" s="10" t="s">
        <v>1259</v>
      </c>
      <c r="E1539" s="41" t="s">
        <v>1040</v>
      </c>
      <c r="F1539" s="41" t="s">
        <v>1040</v>
      </c>
      <c r="G1539" s="21" t="str">
        <f>VLOOKUP(D1539,[6]成飞半成品!$A:$B,2,0)</f>
        <v>底部连接接头</v>
      </c>
      <c r="H1539" s="10" t="s">
        <v>102</v>
      </c>
      <c r="I1539" s="10">
        <v>5</v>
      </c>
      <c r="J1539" s="10" t="s">
        <v>1957</v>
      </c>
      <c r="L1539" s="10">
        <v>8</v>
      </c>
      <c r="M1539" s="14">
        <v>28</v>
      </c>
      <c r="N1539" s="14">
        <v>28</v>
      </c>
      <c r="O1539" s="55" t="s">
        <v>596</v>
      </c>
      <c r="Q1539" s="10">
        <v>40</v>
      </c>
      <c r="U1539" s="10">
        <v>60</v>
      </c>
      <c r="W1539" s="14">
        <v>1</v>
      </c>
      <c r="X1539" s="14">
        <v>2</v>
      </c>
      <c r="Y1539" s="79">
        <v>8.3000000000000007</v>
      </c>
      <c r="Z1539" s="56" t="s">
        <v>46</v>
      </c>
      <c r="AA1539" s="14" t="s">
        <v>1260</v>
      </c>
      <c r="AB1539" s="25" t="s">
        <v>238</v>
      </c>
    </row>
    <row r="1540" spans="1:28" ht="23.1" customHeight="1" x14ac:dyDescent="0.25">
      <c r="A1540" s="53" t="s">
        <v>1244</v>
      </c>
      <c r="B1540" s="10" t="s">
        <v>110</v>
      </c>
      <c r="C1540" s="10">
        <v>59</v>
      </c>
      <c r="D1540" s="10" t="s">
        <v>1261</v>
      </c>
      <c r="E1540" s="41" t="s">
        <v>409</v>
      </c>
      <c r="F1540" s="41" t="s">
        <v>409</v>
      </c>
      <c r="G1540" s="21" t="str">
        <f>VLOOKUP(D1540,[6]成飞半成品!$A:$B,2,0)</f>
        <v>接头</v>
      </c>
      <c r="H1540" s="10" t="s">
        <v>102</v>
      </c>
      <c r="I1540" s="10">
        <v>15</v>
      </c>
      <c r="J1540" s="10" t="s">
        <v>1864</v>
      </c>
      <c r="K1540" s="10">
        <v>1</v>
      </c>
      <c r="L1540" s="10">
        <v>1</v>
      </c>
      <c r="M1540" s="14">
        <v>23</v>
      </c>
      <c r="N1540" s="14"/>
      <c r="O1540" s="55" t="s">
        <v>596</v>
      </c>
      <c r="Q1540" s="10">
        <v>35</v>
      </c>
      <c r="U1540" s="10">
        <v>60</v>
      </c>
      <c r="W1540" s="14">
        <v>1</v>
      </c>
      <c r="X1540" s="14">
        <v>2</v>
      </c>
      <c r="Y1540" s="79">
        <v>3.6</v>
      </c>
      <c r="Z1540" s="65" t="s">
        <v>1847</v>
      </c>
      <c r="AA1540" s="14" t="s">
        <v>953</v>
      </c>
      <c r="AB1540" s="25" t="s">
        <v>238</v>
      </c>
    </row>
    <row r="1541" spans="1:28" ht="23.1" customHeight="1" x14ac:dyDescent="0.25">
      <c r="A1541" s="53" t="s">
        <v>1244</v>
      </c>
      <c r="B1541" s="10" t="s">
        <v>110</v>
      </c>
      <c r="C1541" s="10">
        <v>59</v>
      </c>
      <c r="D1541" s="10" t="s">
        <v>1262</v>
      </c>
      <c r="E1541" s="41" t="s">
        <v>625</v>
      </c>
      <c r="F1541" s="41" t="s">
        <v>625</v>
      </c>
      <c r="G1541" s="21" t="str">
        <f>VLOOKUP(D1541,[6]成飞半成品!$A:$B,2,0)</f>
        <v>支架</v>
      </c>
      <c r="H1541" s="10" t="s">
        <v>102</v>
      </c>
      <c r="I1541" s="10">
        <v>10</v>
      </c>
      <c r="J1541" s="10" t="s">
        <v>2329</v>
      </c>
      <c r="L1541" s="10">
        <v>4</v>
      </c>
      <c r="M1541" s="14">
        <v>23</v>
      </c>
      <c r="N1541" s="14">
        <v>23</v>
      </c>
      <c r="O1541" s="55" t="s">
        <v>596</v>
      </c>
      <c r="Q1541" s="10">
        <v>40</v>
      </c>
      <c r="U1541" s="10">
        <v>60</v>
      </c>
      <c r="W1541" s="14">
        <v>1</v>
      </c>
      <c r="X1541" s="14">
        <v>3</v>
      </c>
      <c r="Y1541" s="79">
        <v>6.7</v>
      </c>
      <c r="Z1541" s="65" t="s">
        <v>1847</v>
      </c>
      <c r="AA1541" s="14" t="s">
        <v>1263</v>
      </c>
      <c r="AB1541" s="25" t="s">
        <v>238</v>
      </c>
    </row>
    <row r="1542" spans="1:28" ht="23.1" customHeight="1" x14ac:dyDescent="0.25">
      <c r="A1542" s="53" t="s">
        <v>1244</v>
      </c>
      <c r="B1542" s="10" t="s">
        <v>110</v>
      </c>
      <c r="C1542" s="10">
        <v>59</v>
      </c>
      <c r="D1542" s="10" t="s">
        <v>1262</v>
      </c>
      <c r="E1542" s="41" t="s">
        <v>625</v>
      </c>
      <c r="F1542" s="41" t="s">
        <v>625</v>
      </c>
      <c r="G1542" s="21" t="str">
        <f>VLOOKUP(D1542,[6]成飞半成品!$A:$B,2,0)</f>
        <v>支架</v>
      </c>
      <c r="H1542" s="10" t="s">
        <v>102</v>
      </c>
      <c r="I1542" s="10">
        <v>15</v>
      </c>
      <c r="J1542" s="10" t="s">
        <v>2205</v>
      </c>
      <c r="L1542" s="10">
        <v>2</v>
      </c>
      <c r="M1542" s="14">
        <v>23</v>
      </c>
      <c r="N1542" s="14">
        <v>23</v>
      </c>
      <c r="O1542" s="55" t="s">
        <v>596</v>
      </c>
      <c r="Q1542" s="10">
        <v>80</v>
      </c>
      <c r="U1542" s="10">
        <v>90</v>
      </c>
      <c r="W1542" s="14">
        <v>1</v>
      </c>
      <c r="Y1542" s="79">
        <v>4.2</v>
      </c>
      <c r="Z1542" s="65" t="s">
        <v>1847</v>
      </c>
    </row>
    <row r="1543" spans="1:28" ht="23.1" customHeight="1" x14ac:dyDescent="0.25">
      <c r="A1543" s="53" t="s">
        <v>1244</v>
      </c>
      <c r="B1543" s="10" t="s">
        <v>110</v>
      </c>
      <c r="C1543" s="10">
        <v>22</v>
      </c>
      <c r="D1543" s="10" t="s">
        <v>635</v>
      </c>
      <c r="E1543" s="41" t="s">
        <v>612</v>
      </c>
      <c r="F1543" s="41" t="s">
        <v>612</v>
      </c>
      <c r="G1543" s="21" t="str">
        <f>VLOOKUP(D1543,[6]成飞半成品!$A:$B,2,0)</f>
        <v>前梁二段</v>
      </c>
      <c r="H1543" s="10" t="s">
        <v>154</v>
      </c>
      <c r="I1543" s="10">
        <v>10</v>
      </c>
      <c r="J1543" s="10" t="s">
        <v>1952</v>
      </c>
      <c r="K1543" s="10">
        <v>0.3</v>
      </c>
      <c r="L1543" s="10">
        <v>0.4</v>
      </c>
      <c r="M1543" s="14">
        <v>5</v>
      </c>
      <c r="N1543" s="14"/>
      <c r="O1543" s="55" t="s">
        <v>613</v>
      </c>
      <c r="Q1543" s="10">
        <v>1500</v>
      </c>
      <c r="R1543" s="10">
        <v>180</v>
      </c>
      <c r="T1543" s="10">
        <v>1</v>
      </c>
      <c r="U1543" s="10">
        <v>180</v>
      </c>
      <c r="W1543" s="14">
        <v>1</v>
      </c>
      <c r="Y1543" s="79">
        <v>16</v>
      </c>
      <c r="Z1543" s="56" t="s">
        <v>58</v>
      </c>
    </row>
    <row r="1544" spans="1:28" ht="23.1" customHeight="1" x14ac:dyDescent="0.25">
      <c r="A1544" s="53" t="s">
        <v>1244</v>
      </c>
      <c r="B1544" s="10" t="s">
        <v>110</v>
      </c>
      <c r="C1544" s="10">
        <v>22</v>
      </c>
      <c r="D1544" s="10" t="s">
        <v>635</v>
      </c>
      <c r="E1544" s="41" t="s">
        <v>612</v>
      </c>
      <c r="F1544" s="41" t="s">
        <v>612</v>
      </c>
      <c r="G1544" s="21" t="str">
        <f>VLOOKUP(D1544,[6]成飞半成品!$A:$B,2,0)</f>
        <v>前梁二段</v>
      </c>
      <c r="H1544" s="10" t="s">
        <v>154</v>
      </c>
      <c r="I1544" s="10">
        <v>5</v>
      </c>
      <c r="J1544" s="10" t="s">
        <v>2388</v>
      </c>
      <c r="L1544" s="10">
        <v>1</v>
      </c>
      <c r="M1544" s="14">
        <v>5</v>
      </c>
      <c r="N1544" s="14">
        <v>5</v>
      </c>
      <c r="O1544" s="55" t="s">
        <v>613</v>
      </c>
      <c r="Q1544" s="10">
        <v>2400</v>
      </c>
      <c r="R1544" s="10">
        <v>210</v>
      </c>
      <c r="U1544" s="10">
        <v>210</v>
      </c>
      <c r="W1544" s="14"/>
      <c r="Y1544" s="79">
        <v>40</v>
      </c>
      <c r="Z1544" s="56" t="s">
        <v>58</v>
      </c>
    </row>
    <row r="1545" spans="1:28" ht="23.1" customHeight="1" x14ac:dyDescent="0.25">
      <c r="A1545" s="53" t="s">
        <v>1244</v>
      </c>
      <c r="B1545" s="10" t="s">
        <v>110</v>
      </c>
      <c r="C1545" s="10">
        <v>56</v>
      </c>
      <c r="D1545" s="10" t="s">
        <v>273</v>
      </c>
      <c r="E1545" s="41" t="s">
        <v>274</v>
      </c>
      <c r="F1545" s="41" t="s">
        <v>274</v>
      </c>
      <c r="G1545" s="21" t="str">
        <f>VLOOKUP(D1545,[6]成飞半成品!$A:$B,2,0)</f>
        <v>前起落架水平接头</v>
      </c>
      <c r="H1545" s="10" t="s">
        <v>123</v>
      </c>
      <c r="I1545" s="10">
        <v>58</v>
      </c>
      <c r="L1545" s="10">
        <v>7.5</v>
      </c>
      <c r="M1545" s="14">
        <v>23</v>
      </c>
      <c r="N1545" s="14"/>
      <c r="O1545" s="55" t="s">
        <v>275</v>
      </c>
      <c r="P1545" s="10">
        <v>90</v>
      </c>
      <c r="W1545" s="14"/>
      <c r="Y1545" s="83">
        <v>11.3</v>
      </c>
      <c r="Z1545" s="56" t="s">
        <v>44</v>
      </c>
    </row>
    <row r="1546" spans="1:28" ht="23.1" customHeight="1" x14ac:dyDescent="0.25">
      <c r="A1546" s="53" t="s">
        <v>1244</v>
      </c>
      <c r="B1546" s="10" t="s">
        <v>110</v>
      </c>
      <c r="C1546" s="10">
        <v>56</v>
      </c>
      <c r="D1546" s="10" t="s">
        <v>273</v>
      </c>
      <c r="E1546" s="41" t="s">
        <v>274</v>
      </c>
      <c r="F1546" s="41" t="s">
        <v>274</v>
      </c>
      <c r="G1546" s="21" t="str">
        <f>VLOOKUP(D1546,[6]成飞半成品!$A:$B,2,0)</f>
        <v>前起落架水平接头</v>
      </c>
      <c r="H1546" s="10" t="s">
        <v>123</v>
      </c>
      <c r="I1546" s="10">
        <v>60</v>
      </c>
      <c r="J1546" s="10" t="s">
        <v>2206</v>
      </c>
      <c r="L1546" s="10">
        <v>7.5</v>
      </c>
      <c r="M1546" s="14"/>
      <c r="N1546" s="14">
        <v>5</v>
      </c>
      <c r="O1546" s="55" t="s">
        <v>275</v>
      </c>
      <c r="Q1546" s="10">
        <v>45</v>
      </c>
      <c r="U1546" s="10">
        <v>60</v>
      </c>
      <c r="W1546" s="14"/>
      <c r="Y1546" s="79">
        <v>5.6</v>
      </c>
      <c r="Z1546" s="56" t="s">
        <v>44</v>
      </c>
    </row>
    <row r="1547" spans="1:28" ht="23.1" customHeight="1" x14ac:dyDescent="0.25">
      <c r="A1547" s="53" t="s">
        <v>1244</v>
      </c>
      <c r="B1547" s="10" t="s">
        <v>110</v>
      </c>
      <c r="C1547" s="10">
        <v>108</v>
      </c>
      <c r="D1547" s="10" t="s">
        <v>889</v>
      </c>
      <c r="E1547" s="41" t="s">
        <v>887</v>
      </c>
      <c r="F1547" s="41" t="s">
        <v>887</v>
      </c>
      <c r="G1547" s="21" t="str">
        <f>VLOOKUP(D1547,[6]成飞半成品!$A:$B,2,0)</f>
        <v>外侧梁</v>
      </c>
      <c r="H1547" s="10" t="s">
        <v>154</v>
      </c>
      <c r="I1547" s="10">
        <v>45</v>
      </c>
      <c r="J1547" s="10" t="s">
        <v>1954</v>
      </c>
      <c r="K1547" s="10">
        <v>1</v>
      </c>
      <c r="L1547" s="10">
        <v>0.5</v>
      </c>
      <c r="M1547" s="14">
        <v>28</v>
      </c>
      <c r="N1547" s="14"/>
      <c r="O1547" s="55" t="s">
        <v>234</v>
      </c>
      <c r="Q1547" s="10">
        <v>420</v>
      </c>
      <c r="R1547" s="10">
        <v>60</v>
      </c>
      <c r="U1547" s="10">
        <v>120</v>
      </c>
      <c r="W1547" s="14"/>
      <c r="Y1547" s="79">
        <v>3.5</v>
      </c>
      <c r="Z1547" s="56" t="s">
        <v>45</v>
      </c>
    </row>
    <row r="1548" spans="1:28" ht="23.1" customHeight="1" x14ac:dyDescent="0.25">
      <c r="A1548" s="53" t="s">
        <v>1244</v>
      </c>
      <c r="B1548" s="10" t="s">
        <v>110</v>
      </c>
      <c r="C1548" s="10">
        <v>58</v>
      </c>
      <c r="D1548" s="10" t="s">
        <v>1264</v>
      </c>
      <c r="E1548" s="41" t="s">
        <v>409</v>
      </c>
      <c r="F1548" s="41" t="s">
        <v>409</v>
      </c>
      <c r="G1548" s="21" t="str">
        <f>VLOOKUP(D1548,[6]成飞半成品!$A:$B,2,0)</f>
        <v>接头</v>
      </c>
      <c r="H1548" s="10" t="s">
        <v>102</v>
      </c>
      <c r="I1548" s="10">
        <v>20</v>
      </c>
      <c r="J1548" s="10" t="s">
        <v>2087</v>
      </c>
      <c r="K1548" s="10">
        <v>1</v>
      </c>
      <c r="L1548" s="10">
        <v>1</v>
      </c>
      <c r="M1548" s="14">
        <v>26</v>
      </c>
      <c r="N1548" s="14"/>
      <c r="O1548" s="55" t="s">
        <v>596</v>
      </c>
      <c r="Q1548" s="10">
        <v>25</v>
      </c>
      <c r="U1548" s="10">
        <v>60</v>
      </c>
      <c r="W1548" s="14">
        <v>1</v>
      </c>
      <c r="X1548" s="14">
        <v>3</v>
      </c>
      <c r="Y1548" s="79">
        <v>4.4000000000000004</v>
      </c>
      <c r="Z1548" s="56" t="s">
        <v>7</v>
      </c>
      <c r="AA1548" s="14" t="s">
        <v>1265</v>
      </c>
      <c r="AB1548" s="25" t="s">
        <v>238</v>
      </c>
    </row>
    <row r="1549" spans="1:28" ht="23.1" customHeight="1" x14ac:dyDescent="0.25">
      <c r="A1549" s="53" t="s">
        <v>1244</v>
      </c>
      <c r="B1549" s="10" t="s">
        <v>110</v>
      </c>
      <c r="C1549" s="10">
        <v>23</v>
      </c>
      <c r="D1549" s="10" t="s">
        <v>987</v>
      </c>
      <c r="E1549" s="41" t="s">
        <v>988</v>
      </c>
      <c r="F1549" s="41" t="s">
        <v>988</v>
      </c>
      <c r="G1549" s="21" t="str">
        <f>VLOOKUP(D1549,[6]成飞半成品!$A:$B,2,0)</f>
        <v>8270左隔框</v>
      </c>
      <c r="H1549" s="10" t="s">
        <v>300</v>
      </c>
      <c r="I1549" s="10">
        <v>25</v>
      </c>
      <c r="J1549" s="10" t="s">
        <v>2224</v>
      </c>
      <c r="K1549" s="10">
        <v>1</v>
      </c>
      <c r="L1549" s="10">
        <v>1</v>
      </c>
      <c r="M1549" s="14">
        <v>9</v>
      </c>
      <c r="N1549" s="14">
        <v>37</v>
      </c>
      <c r="O1549" s="55" t="s">
        <v>1266</v>
      </c>
      <c r="Q1549" s="10">
        <v>720</v>
      </c>
      <c r="R1549" s="10">
        <v>60</v>
      </c>
      <c r="T1549" s="10">
        <v>1</v>
      </c>
      <c r="U1549" s="10">
        <v>90</v>
      </c>
      <c r="W1549" s="14"/>
      <c r="Y1549" s="79">
        <v>13</v>
      </c>
      <c r="Z1549" s="56" t="s">
        <v>33</v>
      </c>
    </row>
    <row r="1550" spans="1:28" ht="23.1" customHeight="1" x14ac:dyDescent="0.25">
      <c r="A1550" s="53" t="s">
        <v>1244</v>
      </c>
      <c r="B1550" s="10" t="s">
        <v>110</v>
      </c>
      <c r="C1550" s="10">
        <v>47</v>
      </c>
      <c r="D1550" s="10" t="s">
        <v>2560</v>
      </c>
      <c r="E1550" s="41" t="s">
        <v>979</v>
      </c>
      <c r="F1550" s="41" t="s">
        <v>979</v>
      </c>
      <c r="G1550" s="21" t="str">
        <f>VLOOKUP(D1550,[6]成飞半成品!$A:$B,2,0)</f>
        <v>翼尖接头</v>
      </c>
      <c r="H1550" s="10" t="s">
        <v>123</v>
      </c>
      <c r="I1550" s="10">
        <v>20</v>
      </c>
      <c r="J1550" s="10" t="s">
        <v>1936</v>
      </c>
      <c r="K1550" s="10">
        <v>2</v>
      </c>
      <c r="L1550" s="10">
        <v>3</v>
      </c>
      <c r="M1550" s="14">
        <v>31</v>
      </c>
      <c r="N1550" s="14">
        <v>31</v>
      </c>
      <c r="O1550" s="55" t="s">
        <v>1267</v>
      </c>
      <c r="Q1550" s="10">
        <v>120</v>
      </c>
      <c r="R1550" s="10">
        <v>60</v>
      </c>
      <c r="T1550" s="10">
        <v>3</v>
      </c>
      <c r="U1550" s="10">
        <v>60</v>
      </c>
      <c r="W1550" s="14">
        <v>1</v>
      </c>
      <c r="Y1550" s="79">
        <v>10</v>
      </c>
      <c r="Z1550" s="56" t="s">
        <v>33</v>
      </c>
    </row>
    <row r="1551" spans="1:28" ht="23.1" customHeight="1" x14ac:dyDescent="0.25">
      <c r="A1551" s="53" t="s">
        <v>1244</v>
      </c>
      <c r="B1551" s="10" t="s">
        <v>110</v>
      </c>
      <c r="C1551" s="10">
        <v>47</v>
      </c>
      <c r="D1551" s="10" t="s">
        <v>2560</v>
      </c>
      <c r="E1551" s="41" t="s">
        <v>979</v>
      </c>
      <c r="F1551" s="41" t="s">
        <v>979</v>
      </c>
      <c r="G1551" s="21" t="str">
        <f>VLOOKUP(D1551,[6]成飞半成品!$A:$B,2,0)</f>
        <v>翼尖接头</v>
      </c>
      <c r="H1551" s="10" t="s">
        <v>154</v>
      </c>
      <c r="I1551" s="10">
        <v>25</v>
      </c>
      <c r="J1551" s="10" t="s">
        <v>2037</v>
      </c>
      <c r="K1551" s="10">
        <v>3</v>
      </c>
      <c r="L1551" s="10">
        <v>3</v>
      </c>
      <c r="M1551" s="14">
        <v>5</v>
      </c>
      <c r="N1551" s="14">
        <v>5</v>
      </c>
      <c r="O1551" s="55" t="s">
        <v>1267</v>
      </c>
      <c r="Q1551" s="10">
        <v>140</v>
      </c>
      <c r="R1551" s="10">
        <v>90</v>
      </c>
      <c r="T1551" s="10">
        <v>3</v>
      </c>
      <c r="U1551" s="10">
        <v>90</v>
      </c>
      <c r="W1551" s="14">
        <v>1</v>
      </c>
      <c r="Y1551" s="79">
        <v>13</v>
      </c>
      <c r="Z1551" s="56" t="s">
        <v>33</v>
      </c>
    </row>
    <row r="1552" spans="1:28" ht="23.1" customHeight="1" x14ac:dyDescent="0.25">
      <c r="A1552" s="53" t="s">
        <v>1244</v>
      </c>
      <c r="B1552" s="10" t="s">
        <v>110</v>
      </c>
      <c r="C1552" s="10">
        <v>55</v>
      </c>
      <c r="D1552" s="10" t="s">
        <v>1268</v>
      </c>
      <c r="E1552" s="41" t="s">
        <v>409</v>
      </c>
      <c r="F1552" s="41" t="s">
        <v>409</v>
      </c>
      <c r="G1552" s="21" t="str">
        <f>VLOOKUP(D1552,[6]成飞半成品!$A:$B,2,0)</f>
        <v>接头</v>
      </c>
      <c r="H1552" s="10" t="s">
        <v>102</v>
      </c>
      <c r="I1552" s="10">
        <v>25</v>
      </c>
      <c r="J1552" s="10" t="s">
        <v>2208</v>
      </c>
      <c r="K1552" s="10">
        <v>1</v>
      </c>
      <c r="L1552" s="10">
        <v>2</v>
      </c>
      <c r="M1552" s="14">
        <v>5</v>
      </c>
      <c r="N1552" s="14"/>
      <c r="O1552" s="55" t="s">
        <v>596</v>
      </c>
      <c r="Q1552" s="10">
        <v>70</v>
      </c>
      <c r="U1552" s="10">
        <v>60</v>
      </c>
      <c r="W1552" s="14">
        <v>1</v>
      </c>
      <c r="Y1552" s="79">
        <v>3.3</v>
      </c>
      <c r="Z1552" s="56" t="s">
        <v>44</v>
      </c>
      <c r="AA1552" s="14" t="s">
        <v>1269</v>
      </c>
    </row>
    <row r="1553" spans="1:28" ht="23.1" customHeight="1" x14ac:dyDescent="0.25">
      <c r="A1553" s="53" t="s">
        <v>1244</v>
      </c>
      <c r="B1553" s="10" t="s">
        <v>110</v>
      </c>
      <c r="C1553" s="10">
        <v>55</v>
      </c>
      <c r="D1553" s="10" t="s">
        <v>1270</v>
      </c>
      <c r="E1553" s="41" t="s">
        <v>409</v>
      </c>
      <c r="F1553" s="41" t="s">
        <v>409</v>
      </c>
      <c r="G1553" s="21" t="str">
        <f>VLOOKUP(D1553,[6]成飞半成品!$A:$B,2,0)</f>
        <v>接头</v>
      </c>
      <c r="H1553" s="10" t="s">
        <v>102</v>
      </c>
      <c r="I1553" s="10">
        <v>25</v>
      </c>
      <c r="J1553" s="10" t="s">
        <v>2209</v>
      </c>
      <c r="K1553" s="10">
        <v>1</v>
      </c>
      <c r="L1553" s="10">
        <v>1</v>
      </c>
      <c r="M1553" s="14">
        <v>5</v>
      </c>
      <c r="N1553" s="14"/>
      <c r="O1553" s="55" t="s">
        <v>596</v>
      </c>
      <c r="Q1553" s="10">
        <v>80</v>
      </c>
      <c r="U1553" s="10">
        <v>60</v>
      </c>
      <c r="W1553" s="14">
        <v>1</v>
      </c>
      <c r="X1553" s="14">
        <v>6</v>
      </c>
      <c r="Y1553" s="79">
        <v>8.3000000000000007</v>
      </c>
      <c r="Z1553" s="56" t="s">
        <v>44</v>
      </c>
      <c r="AA1553" s="14" t="s">
        <v>1269</v>
      </c>
    </row>
    <row r="1554" spans="1:28" ht="23.1" customHeight="1" x14ac:dyDescent="0.25">
      <c r="A1554" s="53" t="s">
        <v>1244</v>
      </c>
      <c r="B1554" s="10" t="s">
        <v>110</v>
      </c>
      <c r="C1554" s="10">
        <v>78</v>
      </c>
      <c r="D1554" s="10" t="s">
        <v>2557</v>
      </c>
      <c r="E1554" s="41" t="s">
        <v>1013</v>
      </c>
      <c r="F1554" s="41" t="s">
        <v>1013</v>
      </c>
      <c r="G1554" s="21" t="str">
        <f>VLOOKUP(D1554,[6]成飞半成品!$A:$B,2,0)</f>
        <v>9350-11140左侧上梁</v>
      </c>
      <c r="H1554" s="10" t="s">
        <v>250</v>
      </c>
      <c r="I1554" s="10">
        <v>40</v>
      </c>
      <c r="J1554" s="10" t="s">
        <v>1902</v>
      </c>
      <c r="K1554" s="10">
        <v>3</v>
      </c>
      <c r="L1554" s="10">
        <v>2</v>
      </c>
      <c r="M1554" s="14">
        <v>5</v>
      </c>
      <c r="N1554" s="14">
        <v>31</v>
      </c>
      <c r="O1554" s="55" t="s">
        <v>216</v>
      </c>
      <c r="Q1554" s="10">
        <v>250</v>
      </c>
      <c r="R1554" s="10">
        <v>60</v>
      </c>
      <c r="T1554" s="10">
        <v>3</v>
      </c>
      <c r="U1554" s="10">
        <v>90</v>
      </c>
      <c r="W1554" s="14"/>
      <c r="Y1554" s="79">
        <v>11.3</v>
      </c>
      <c r="Z1554" s="56" t="s">
        <v>19</v>
      </c>
    </row>
    <row r="1555" spans="1:28" ht="23.1" customHeight="1" x14ac:dyDescent="0.25">
      <c r="A1555" s="53" t="s">
        <v>1244</v>
      </c>
      <c r="B1555" s="10" t="s">
        <v>110</v>
      </c>
      <c r="C1555" s="10">
        <v>12</v>
      </c>
      <c r="D1555" s="10" t="s">
        <v>735</v>
      </c>
      <c r="E1555" s="41" t="s">
        <v>249</v>
      </c>
      <c r="F1555" s="41" t="s">
        <v>249</v>
      </c>
      <c r="G1555" s="21" t="str">
        <f>VLOOKUP(D1555,[6]成飞半成品!$A:$B,2,0)</f>
        <v>10060下接头</v>
      </c>
      <c r="H1555" s="10" t="s">
        <v>250</v>
      </c>
      <c r="I1555" s="10">
        <v>25</v>
      </c>
      <c r="J1555" s="10" t="s">
        <v>1923</v>
      </c>
      <c r="K1555" s="10">
        <v>1</v>
      </c>
      <c r="L1555" s="10">
        <v>1</v>
      </c>
      <c r="M1555" s="14">
        <v>28</v>
      </c>
      <c r="N1555" s="14"/>
      <c r="O1555" s="55" t="s">
        <v>1272</v>
      </c>
      <c r="Q1555" s="10">
        <v>1080</v>
      </c>
      <c r="U1555" s="10">
        <v>120</v>
      </c>
      <c r="W1555" s="14"/>
      <c r="Y1555" s="79">
        <v>18</v>
      </c>
      <c r="Z1555" s="56" t="s">
        <v>72</v>
      </c>
    </row>
    <row r="1556" spans="1:28" ht="23.1" customHeight="1" x14ac:dyDescent="0.25">
      <c r="A1556" s="53" t="s">
        <v>1244</v>
      </c>
      <c r="B1556" s="10" t="s">
        <v>110</v>
      </c>
      <c r="C1556" s="10">
        <v>21</v>
      </c>
      <c r="D1556" s="10" t="s">
        <v>321</v>
      </c>
      <c r="E1556" s="41" t="s">
        <v>322</v>
      </c>
      <c r="F1556" s="41" t="s">
        <v>322</v>
      </c>
      <c r="G1556" s="21" t="str">
        <f>VLOOKUP(D1556,[6]成飞半成品!$A:$B,2,0)</f>
        <v>10860框</v>
      </c>
      <c r="H1556" s="10" t="s">
        <v>323</v>
      </c>
      <c r="I1556" s="10">
        <v>50</v>
      </c>
      <c r="J1556" s="10" t="s">
        <v>1986</v>
      </c>
      <c r="K1556" s="10">
        <v>1</v>
      </c>
      <c r="L1556" s="10">
        <v>1</v>
      </c>
      <c r="M1556" s="14">
        <v>31</v>
      </c>
      <c r="N1556" s="14"/>
      <c r="O1556" s="55" t="s">
        <v>1273</v>
      </c>
      <c r="Q1556" s="10">
        <v>630</v>
      </c>
      <c r="R1556" s="10">
        <v>120</v>
      </c>
      <c r="T1556" s="10">
        <v>1</v>
      </c>
      <c r="U1556" s="10">
        <v>180</v>
      </c>
      <c r="W1556" s="14">
        <v>1</v>
      </c>
      <c r="Y1556" s="79">
        <v>15.5</v>
      </c>
      <c r="Z1556" s="56" t="s">
        <v>58</v>
      </c>
    </row>
    <row r="1557" spans="1:28" ht="23.1" customHeight="1" x14ac:dyDescent="0.25">
      <c r="A1557" s="53" t="s">
        <v>1244</v>
      </c>
      <c r="B1557" s="10" t="s">
        <v>110</v>
      </c>
      <c r="C1557" s="10">
        <v>107</v>
      </c>
      <c r="D1557" s="10" t="s">
        <v>173</v>
      </c>
      <c r="E1557" s="41" t="s">
        <v>174</v>
      </c>
      <c r="F1557" s="41" t="s">
        <v>1246</v>
      </c>
      <c r="G1557" s="21" t="str">
        <f>VLOOKUP(D1557,[6]成飞半成品!$A:$B,2,0)</f>
        <v>根肋后段</v>
      </c>
      <c r="H1557" s="10" t="s">
        <v>154</v>
      </c>
      <c r="I1557" s="10">
        <v>50</v>
      </c>
      <c r="J1557" s="10" t="s">
        <v>2210</v>
      </c>
      <c r="K1557" s="10">
        <v>0.4</v>
      </c>
      <c r="L1557" s="10">
        <v>0.2</v>
      </c>
      <c r="M1557" s="14">
        <v>9</v>
      </c>
      <c r="N1557" s="14">
        <v>28</v>
      </c>
      <c r="O1557" s="55" t="s">
        <v>421</v>
      </c>
      <c r="Q1557" s="10">
        <v>2100</v>
      </c>
      <c r="R1557" s="10">
        <v>90</v>
      </c>
      <c r="U1557" s="10">
        <v>150</v>
      </c>
      <c r="W1557" s="14"/>
      <c r="X1557" s="14">
        <v>2</v>
      </c>
      <c r="Y1557" s="79">
        <v>9</v>
      </c>
      <c r="Z1557" s="56" t="s">
        <v>45</v>
      </c>
      <c r="AA1557" s="14" t="s">
        <v>1274</v>
      </c>
      <c r="AB1557" s="14" t="s">
        <v>238</v>
      </c>
    </row>
    <row r="1558" spans="1:28" ht="23.1" customHeight="1" x14ac:dyDescent="0.25">
      <c r="A1558" s="53" t="s">
        <v>1244</v>
      </c>
      <c r="B1558" s="10" t="s">
        <v>110</v>
      </c>
      <c r="C1558" s="10">
        <v>107</v>
      </c>
      <c r="D1558" s="10" t="s">
        <v>1275</v>
      </c>
      <c r="E1558" s="41" t="s">
        <v>215</v>
      </c>
      <c r="F1558" s="41" t="s">
        <v>215</v>
      </c>
      <c r="G1558" s="21" t="str">
        <f>VLOOKUP(D1558,[6]成飞半成品!$A:$B,2,0)</f>
        <v>口盖</v>
      </c>
      <c r="H1558" s="10" t="s">
        <v>154</v>
      </c>
      <c r="I1558" s="10">
        <v>35</v>
      </c>
      <c r="J1558" s="10" t="s">
        <v>2073</v>
      </c>
      <c r="K1558" s="10">
        <v>1</v>
      </c>
      <c r="L1558" s="10">
        <v>1</v>
      </c>
      <c r="M1558" s="14">
        <v>28</v>
      </c>
      <c r="N1558" s="14"/>
      <c r="O1558" s="55" t="s">
        <v>1276</v>
      </c>
      <c r="Q1558" s="10">
        <v>150</v>
      </c>
      <c r="T1558" s="10">
        <v>1</v>
      </c>
      <c r="U1558" s="10">
        <v>60</v>
      </c>
      <c r="W1558" s="14">
        <v>1</v>
      </c>
      <c r="Y1558" s="79">
        <v>3.5</v>
      </c>
      <c r="Z1558" s="56" t="s">
        <v>45</v>
      </c>
    </row>
    <row r="1559" spans="1:28" ht="23.1" customHeight="1" x14ac:dyDescent="0.25">
      <c r="A1559" s="53" t="s">
        <v>1244</v>
      </c>
      <c r="B1559" s="10" t="s">
        <v>110</v>
      </c>
      <c r="C1559" s="10">
        <v>13</v>
      </c>
      <c r="D1559" s="10" t="s">
        <v>1277</v>
      </c>
      <c r="E1559" s="41" t="s">
        <v>1278</v>
      </c>
      <c r="F1559" s="41" t="s">
        <v>1278</v>
      </c>
      <c r="G1559" s="21" t="str">
        <f>VLOOKUP(D1559,[6]成飞半成品!$A:$B,2,0)</f>
        <v>接管嘴</v>
      </c>
      <c r="H1559" s="10" t="s">
        <v>154</v>
      </c>
      <c r="I1559" s="10">
        <v>30</v>
      </c>
      <c r="J1559" s="10" t="s">
        <v>2211</v>
      </c>
      <c r="K1559" s="10">
        <v>48</v>
      </c>
      <c r="L1559" s="10">
        <v>38</v>
      </c>
      <c r="M1559" s="14">
        <v>23</v>
      </c>
      <c r="N1559" s="14">
        <v>28</v>
      </c>
      <c r="O1559" s="55" t="s">
        <v>1279</v>
      </c>
      <c r="Q1559" s="10">
        <v>35</v>
      </c>
      <c r="U1559" s="10">
        <v>90</v>
      </c>
      <c r="W1559" s="14"/>
      <c r="Y1559" s="79">
        <v>22.2</v>
      </c>
      <c r="Z1559" s="56" t="s">
        <v>72</v>
      </c>
    </row>
    <row r="1560" spans="1:28" ht="23.1" customHeight="1" x14ac:dyDescent="0.25">
      <c r="A1560" s="53" t="s">
        <v>1244</v>
      </c>
      <c r="B1560" s="10" t="s">
        <v>110</v>
      </c>
      <c r="C1560" s="10">
        <v>16</v>
      </c>
      <c r="D1560" s="10" t="s">
        <v>1280</v>
      </c>
      <c r="E1560" s="41" t="s">
        <v>595</v>
      </c>
      <c r="F1560" s="41" t="s">
        <v>595</v>
      </c>
      <c r="G1560" s="21" t="str">
        <f>VLOOKUP(D1560,[6]成飞半成品!$A:$B,2,0)</f>
        <v>加强件</v>
      </c>
      <c r="H1560" s="10" t="s">
        <v>102</v>
      </c>
      <c r="I1560" s="10">
        <v>25</v>
      </c>
      <c r="J1560" s="10" t="s">
        <v>2008</v>
      </c>
      <c r="K1560" s="10">
        <v>2</v>
      </c>
      <c r="L1560" s="10">
        <v>2</v>
      </c>
      <c r="M1560" s="14">
        <v>9</v>
      </c>
      <c r="N1560" s="14">
        <v>9</v>
      </c>
      <c r="O1560" s="55" t="s">
        <v>596</v>
      </c>
      <c r="Q1560" s="10">
        <v>20</v>
      </c>
      <c r="T1560" s="10">
        <v>1</v>
      </c>
      <c r="U1560" s="10">
        <v>60</v>
      </c>
      <c r="W1560" s="14"/>
      <c r="X1560" s="14">
        <v>2</v>
      </c>
      <c r="Y1560" s="79">
        <v>2.7</v>
      </c>
      <c r="Z1560" s="56" t="s">
        <v>63</v>
      </c>
      <c r="AA1560" s="14" t="s">
        <v>926</v>
      </c>
      <c r="AB1560" s="25" t="s">
        <v>238</v>
      </c>
    </row>
    <row r="1561" spans="1:28" ht="23.1" customHeight="1" x14ac:dyDescent="0.25">
      <c r="A1561" s="53" t="s">
        <v>1244</v>
      </c>
      <c r="B1561" s="10" t="s">
        <v>110</v>
      </c>
      <c r="C1561" s="10">
        <v>16</v>
      </c>
      <c r="D1561" s="10" t="s">
        <v>1280</v>
      </c>
      <c r="E1561" s="41" t="s">
        <v>595</v>
      </c>
      <c r="F1561" s="41" t="s">
        <v>595</v>
      </c>
      <c r="G1561" s="21" t="str">
        <f>VLOOKUP(D1561,[6]成飞半成品!$A:$B,2,0)</f>
        <v>加强件</v>
      </c>
      <c r="H1561" s="10" t="s">
        <v>102</v>
      </c>
      <c r="I1561" s="10">
        <v>20</v>
      </c>
      <c r="J1561" s="10" t="s">
        <v>2212</v>
      </c>
      <c r="L1561" s="10">
        <v>1</v>
      </c>
      <c r="M1561" s="14"/>
      <c r="N1561" s="14"/>
      <c r="O1561" s="55" t="s">
        <v>596</v>
      </c>
      <c r="Q1561" s="10">
        <v>35</v>
      </c>
      <c r="U1561" s="10">
        <v>90</v>
      </c>
      <c r="W1561" s="14"/>
      <c r="Y1561" s="79">
        <v>0.6</v>
      </c>
      <c r="Z1561" s="56" t="s">
        <v>63</v>
      </c>
    </row>
    <row r="1562" spans="1:28" ht="23.1" customHeight="1" x14ac:dyDescent="0.25">
      <c r="A1562" s="53" t="s">
        <v>1244</v>
      </c>
      <c r="B1562" s="10" t="s">
        <v>110</v>
      </c>
      <c r="C1562" s="10">
        <v>57</v>
      </c>
      <c r="D1562" s="10" t="s">
        <v>1042</v>
      </c>
      <c r="E1562" s="41" t="s">
        <v>1281</v>
      </c>
      <c r="F1562" s="41" t="s">
        <v>1281</v>
      </c>
      <c r="G1562" s="21" t="str">
        <f>VLOOKUP(D1562,[6]成飞半成品!$A:$B,2,0)</f>
        <v>前上大梁（右）</v>
      </c>
      <c r="H1562" s="10" t="s">
        <v>107</v>
      </c>
      <c r="I1562" s="10">
        <v>20</v>
      </c>
      <c r="J1562" s="10" t="s">
        <v>2213</v>
      </c>
      <c r="K1562" s="10">
        <v>3.5</v>
      </c>
      <c r="L1562" s="10">
        <v>4.2</v>
      </c>
      <c r="M1562" s="14"/>
      <c r="N1562" s="14"/>
      <c r="O1562" s="55" t="s">
        <v>1043</v>
      </c>
      <c r="Q1562" s="10">
        <v>180</v>
      </c>
      <c r="U1562" s="10">
        <v>90</v>
      </c>
      <c r="W1562" s="14"/>
      <c r="Y1562" s="79">
        <v>12.6</v>
      </c>
      <c r="Z1562" s="56" t="s">
        <v>7</v>
      </c>
    </row>
    <row r="1563" spans="1:28" ht="23.1" customHeight="1" x14ac:dyDescent="0.25">
      <c r="A1563" s="53" t="s">
        <v>1244</v>
      </c>
      <c r="B1563" s="10" t="s">
        <v>110</v>
      </c>
      <c r="C1563" s="10">
        <v>17</v>
      </c>
      <c r="D1563" s="10" t="s">
        <v>1282</v>
      </c>
      <c r="E1563" s="41" t="s">
        <v>1283</v>
      </c>
      <c r="F1563" s="41" t="s">
        <v>1283</v>
      </c>
      <c r="G1563" s="21" t="str">
        <f>VLOOKUP(D1563,[6]成飞半成品!$A:$B,2,0)</f>
        <v>9框前支柱</v>
      </c>
      <c r="H1563" s="10" t="s">
        <v>102</v>
      </c>
      <c r="I1563" s="10">
        <v>5</v>
      </c>
      <c r="J1563" s="10" t="s">
        <v>2387</v>
      </c>
      <c r="L1563" s="10">
        <v>1</v>
      </c>
      <c r="M1563" s="14"/>
      <c r="N1563" s="14"/>
      <c r="O1563" s="55" t="s">
        <v>596</v>
      </c>
      <c r="Q1563" s="10">
        <v>180</v>
      </c>
      <c r="U1563" s="10">
        <v>60</v>
      </c>
      <c r="W1563" s="14">
        <v>1</v>
      </c>
      <c r="Y1563" s="79">
        <v>4</v>
      </c>
      <c r="Z1563" s="56" t="s">
        <v>16</v>
      </c>
      <c r="AA1563" s="14" t="s">
        <v>1269</v>
      </c>
      <c r="AB1563" s="14" t="s">
        <v>957</v>
      </c>
    </row>
    <row r="1564" spans="1:28" ht="23.1" customHeight="1" x14ac:dyDescent="0.25">
      <c r="A1564" s="53" t="s">
        <v>1244</v>
      </c>
      <c r="B1564" s="10" t="s">
        <v>110</v>
      </c>
      <c r="C1564" s="10">
        <v>17</v>
      </c>
      <c r="D1564" s="10" t="s">
        <v>1282</v>
      </c>
      <c r="E1564" s="41" t="s">
        <v>1283</v>
      </c>
      <c r="F1564" s="41" t="s">
        <v>1283</v>
      </c>
      <c r="G1564" s="21" t="str">
        <f>VLOOKUP(D1564,[6]成飞半成品!$A:$B,2,0)</f>
        <v>9框前支柱</v>
      </c>
      <c r="H1564" s="10" t="s">
        <v>102</v>
      </c>
      <c r="I1564" s="10">
        <v>10</v>
      </c>
      <c r="J1564" s="10" t="s">
        <v>2214</v>
      </c>
      <c r="L1564" s="10">
        <v>1</v>
      </c>
      <c r="M1564" s="14"/>
      <c r="N1564" s="14"/>
      <c r="O1564" s="55" t="s">
        <v>596</v>
      </c>
      <c r="Q1564" s="10">
        <v>100</v>
      </c>
      <c r="U1564" s="10">
        <v>90</v>
      </c>
      <c r="W1564" s="14">
        <v>1</v>
      </c>
      <c r="X1564" s="14">
        <v>3</v>
      </c>
      <c r="Y1564" s="79">
        <v>6.2</v>
      </c>
      <c r="Z1564" s="56" t="s">
        <v>16</v>
      </c>
      <c r="AA1564" s="14" t="s">
        <v>1284</v>
      </c>
    </row>
    <row r="1565" spans="1:28" ht="23.1" customHeight="1" x14ac:dyDescent="0.25">
      <c r="A1565" s="53" t="s">
        <v>1244</v>
      </c>
      <c r="B1565" s="10" t="s">
        <v>110</v>
      </c>
      <c r="C1565" s="10">
        <v>17</v>
      </c>
      <c r="D1565" s="10" t="s">
        <v>1285</v>
      </c>
      <c r="E1565" s="41" t="s">
        <v>1283</v>
      </c>
      <c r="F1565" s="41" t="s">
        <v>1283</v>
      </c>
      <c r="G1565" s="21" t="str">
        <f>VLOOKUP(D1565,[6]成飞半成品!$A:$B,2,0)</f>
        <v>9框前支柱</v>
      </c>
      <c r="H1565" s="10" t="s">
        <v>102</v>
      </c>
      <c r="I1565" s="10">
        <v>5</v>
      </c>
      <c r="J1565" s="10" t="s">
        <v>2060</v>
      </c>
      <c r="L1565" s="10">
        <v>1</v>
      </c>
      <c r="M1565" s="14"/>
      <c r="N1565" s="14"/>
      <c r="O1565" s="55" t="s">
        <v>596</v>
      </c>
      <c r="Q1565" s="10">
        <v>180</v>
      </c>
      <c r="U1565" s="10">
        <v>60</v>
      </c>
      <c r="W1565" s="14">
        <v>1</v>
      </c>
      <c r="Y1565" s="79">
        <v>4</v>
      </c>
      <c r="Z1565" s="56" t="s">
        <v>16</v>
      </c>
      <c r="AA1565" s="14" t="s">
        <v>1286</v>
      </c>
    </row>
    <row r="1566" spans="1:28" ht="23.1" customHeight="1" x14ac:dyDescent="0.25">
      <c r="A1566" s="53" t="s">
        <v>1244</v>
      </c>
      <c r="B1566" s="10" t="s">
        <v>110</v>
      </c>
      <c r="C1566" s="10">
        <v>17</v>
      </c>
      <c r="D1566" s="10" t="s">
        <v>1285</v>
      </c>
      <c r="E1566" s="41" t="s">
        <v>1283</v>
      </c>
      <c r="F1566" s="41" t="s">
        <v>1283</v>
      </c>
      <c r="G1566" s="21" t="str">
        <f>VLOOKUP(D1566,[6]成飞半成品!$A:$B,2,0)</f>
        <v>9框前支柱</v>
      </c>
      <c r="H1566" s="10" t="s">
        <v>102</v>
      </c>
      <c r="I1566" s="10">
        <v>10</v>
      </c>
      <c r="J1566" s="10" t="s">
        <v>2214</v>
      </c>
      <c r="L1566" s="10">
        <v>1</v>
      </c>
      <c r="M1566" s="14"/>
      <c r="N1566" s="14"/>
      <c r="O1566" s="55" t="s">
        <v>596</v>
      </c>
      <c r="Q1566" s="10">
        <v>100</v>
      </c>
      <c r="U1566" s="10">
        <v>90</v>
      </c>
      <c r="W1566" s="14">
        <v>1</v>
      </c>
      <c r="Y1566" s="79">
        <v>3.2</v>
      </c>
      <c r="Z1566" s="56" t="s">
        <v>16</v>
      </c>
      <c r="AA1566" s="14" t="s">
        <v>1269</v>
      </c>
      <c r="AB1566" s="14" t="s">
        <v>957</v>
      </c>
    </row>
    <row r="1567" spans="1:28" ht="23.1" customHeight="1" x14ac:dyDescent="0.25">
      <c r="A1567" s="53" t="s">
        <v>1244</v>
      </c>
      <c r="B1567" s="10" t="s">
        <v>110</v>
      </c>
      <c r="C1567" s="10">
        <v>18</v>
      </c>
      <c r="D1567" s="10" t="s">
        <v>918</v>
      </c>
      <c r="E1567" s="41" t="s">
        <v>919</v>
      </c>
      <c r="F1567" s="41" t="s">
        <v>919</v>
      </c>
      <c r="G1567" s="21" t="str">
        <f>VLOOKUP(D1567,[6]成飞半成品!$A:$B,2,0)</f>
        <v>雷达罩锁支座</v>
      </c>
      <c r="H1567" s="10" t="s">
        <v>323</v>
      </c>
      <c r="I1567" s="10">
        <v>15</v>
      </c>
      <c r="J1567" s="10" t="s">
        <v>2033</v>
      </c>
      <c r="K1567" s="10">
        <v>3</v>
      </c>
      <c r="L1567" s="10">
        <v>4</v>
      </c>
      <c r="M1567" s="14">
        <v>5</v>
      </c>
      <c r="N1567" s="14">
        <v>5</v>
      </c>
      <c r="O1567" s="55" t="s">
        <v>778</v>
      </c>
      <c r="Q1567" s="10">
        <v>210</v>
      </c>
      <c r="U1567" s="10">
        <v>90</v>
      </c>
      <c r="W1567" s="14"/>
      <c r="Y1567" s="79">
        <v>14</v>
      </c>
      <c r="Z1567" s="56" t="s">
        <v>16</v>
      </c>
    </row>
    <row r="1568" spans="1:28" ht="23.1" customHeight="1" x14ac:dyDescent="0.25">
      <c r="A1568" s="53" t="s">
        <v>1244</v>
      </c>
      <c r="B1568" s="10" t="s">
        <v>137</v>
      </c>
      <c r="C1568" s="10">
        <v>9</v>
      </c>
      <c r="D1568" s="10" t="s">
        <v>1287</v>
      </c>
      <c r="E1568" s="41" t="s">
        <v>1288</v>
      </c>
      <c r="F1568" s="41" t="s">
        <v>1367</v>
      </c>
      <c r="G1568" s="21" t="str">
        <f>VLOOKUP(D1568,[6]成飞半成品!$A:$B,2,0)</f>
        <v>垫板</v>
      </c>
      <c r="H1568" s="10" t="s">
        <v>123</v>
      </c>
      <c r="I1568" s="10">
        <v>10</v>
      </c>
      <c r="J1568" s="10" t="s">
        <v>2215</v>
      </c>
      <c r="K1568" s="10">
        <v>1.6</v>
      </c>
      <c r="L1568" s="10">
        <v>2</v>
      </c>
      <c r="M1568" s="14">
        <v>28</v>
      </c>
      <c r="N1568" s="14">
        <v>28</v>
      </c>
      <c r="O1568" s="55" t="s">
        <v>1289</v>
      </c>
      <c r="Q1568" s="10">
        <v>390</v>
      </c>
      <c r="U1568" s="10">
        <v>90</v>
      </c>
      <c r="W1568" s="14"/>
      <c r="Y1568" s="79">
        <v>13</v>
      </c>
      <c r="Z1568" s="56" t="s">
        <v>55</v>
      </c>
    </row>
    <row r="1569" spans="1:28" ht="23.1" customHeight="1" x14ac:dyDescent="0.25">
      <c r="A1569" s="53" t="s">
        <v>1244</v>
      </c>
      <c r="B1569" s="10" t="s">
        <v>137</v>
      </c>
      <c r="C1569" s="10">
        <v>10</v>
      </c>
      <c r="D1569" s="10" t="s">
        <v>946</v>
      </c>
      <c r="E1569" s="41" t="s">
        <v>947</v>
      </c>
      <c r="F1569" s="41" t="s">
        <v>947</v>
      </c>
      <c r="G1569" s="21" t="str">
        <f>VLOOKUP(D1569,[6]成飞半成品!$A:$B,2,0)</f>
        <v>5755横框</v>
      </c>
      <c r="H1569" s="10" t="s">
        <v>300</v>
      </c>
      <c r="I1569" s="10">
        <v>30</v>
      </c>
      <c r="J1569" s="10" t="s">
        <v>2216</v>
      </c>
      <c r="K1569" s="10">
        <v>2</v>
      </c>
      <c r="L1569" s="10">
        <v>1.8</v>
      </c>
      <c r="M1569" s="14">
        <v>31</v>
      </c>
      <c r="N1569" s="14">
        <v>26</v>
      </c>
      <c r="O1569" s="55" t="s">
        <v>1290</v>
      </c>
      <c r="Q1569" s="10">
        <v>320</v>
      </c>
      <c r="U1569" s="10">
        <v>90</v>
      </c>
      <c r="W1569" s="14"/>
      <c r="Y1569" s="79">
        <v>9.6</v>
      </c>
      <c r="Z1569" s="56" t="s">
        <v>55</v>
      </c>
    </row>
    <row r="1570" spans="1:28" ht="23.1" customHeight="1" x14ac:dyDescent="0.25">
      <c r="A1570" s="53" t="s">
        <v>1244</v>
      </c>
      <c r="B1570" s="10" t="s">
        <v>137</v>
      </c>
      <c r="C1570" s="10">
        <v>58</v>
      </c>
      <c r="D1570" s="10" t="s">
        <v>1264</v>
      </c>
      <c r="E1570" s="41" t="s">
        <v>409</v>
      </c>
      <c r="F1570" s="41" t="s">
        <v>409</v>
      </c>
      <c r="G1570" s="21" t="str">
        <f>VLOOKUP(D1570,[6]成飞半成品!$A:$B,2,0)</f>
        <v>接头</v>
      </c>
      <c r="H1570" s="10" t="s">
        <v>102</v>
      </c>
      <c r="I1570" s="10">
        <v>20</v>
      </c>
      <c r="J1570" s="10" t="s">
        <v>2087</v>
      </c>
      <c r="L1570" s="10">
        <v>1</v>
      </c>
      <c r="M1570" s="14">
        <v>28</v>
      </c>
      <c r="N1570" s="14"/>
      <c r="O1570" s="55" t="s">
        <v>596</v>
      </c>
      <c r="Q1570" s="10">
        <v>25</v>
      </c>
      <c r="U1570" s="10">
        <v>60</v>
      </c>
      <c r="W1570" s="14">
        <v>1</v>
      </c>
      <c r="Y1570" s="79">
        <v>1.4</v>
      </c>
      <c r="Z1570" s="56" t="s">
        <v>57</v>
      </c>
      <c r="AA1570" s="14" t="s">
        <v>1291</v>
      </c>
    </row>
    <row r="1571" spans="1:28" ht="23.1" customHeight="1" x14ac:dyDescent="0.25">
      <c r="A1571" s="53" t="s">
        <v>1244</v>
      </c>
      <c r="B1571" s="10" t="s">
        <v>137</v>
      </c>
      <c r="C1571" s="10">
        <v>58</v>
      </c>
      <c r="D1571" s="10" t="s">
        <v>1264</v>
      </c>
      <c r="E1571" s="41" t="s">
        <v>409</v>
      </c>
      <c r="F1571" s="41" t="s">
        <v>409</v>
      </c>
      <c r="G1571" s="21" t="str">
        <f>VLOOKUP(D1571,[6]成飞半成品!$A:$B,2,0)</f>
        <v>接头</v>
      </c>
      <c r="H1571" s="10" t="s">
        <v>102</v>
      </c>
      <c r="I1571" s="10">
        <v>25</v>
      </c>
      <c r="J1571" s="10" t="s">
        <v>2208</v>
      </c>
      <c r="L1571" s="10">
        <v>1</v>
      </c>
      <c r="M1571" s="14"/>
      <c r="N1571" s="14"/>
      <c r="O1571" s="55" t="s">
        <v>596</v>
      </c>
      <c r="Q1571" s="10">
        <v>55</v>
      </c>
      <c r="U1571" s="10">
        <v>90</v>
      </c>
      <c r="W1571" s="14">
        <v>1</v>
      </c>
      <c r="X1571" s="14">
        <v>2</v>
      </c>
      <c r="Y1571" s="79">
        <v>4.4000000000000004</v>
      </c>
      <c r="Z1571" s="56" t="s">
        <v>57</v>
      </c>
      <c r="AA1571" s="14" t="s">
        <v>926</v>
      </c>
      <c r="AB1571" s="25" t="s">
        <v>238</v>
      </c>
    </row>
    <row r="1572" spans="1:28" ht="23.1" customHeight="1" x14ac:dyDescent="0.25">
      <c r="A1572" s="53" t="s">
        <v>1244</v>
      </c>
      <c r="B1572" s="10" t="s">
        <v>137</v>
      </c>
      <c r="C1572" s="10">
        <v>59</v>
      </c>
      <c r="D1572" s="10" t="s">
        <v>1262</v>
      </c>
      <c r="E1572" s="41" t="s">
        <v>625</v>
      </c>
      <c r="F1572" s="41" t="s">
        <v>625</v>
      </c>
      <c r="G1572" s="21" t="str">
        <f>VLOOKUP(D1572,[6]成飞半成品!$A:$B,2,0)</f>
        <v>支架</v>
      </c>
      <c r="H1572" s="10" t="s">
        <v>102</v>
      </c>
      <c r="I1572" s="10">
        <v>15</v>
      </c>
      <c r="J1572" s="10" t="s">
        <v>2205</v>
      </c>
      <c r="K1572" s="10">
        <v>2</v>
      </c>
      <c r="L1572" s="10">
        <v>2</v>
      </c>
      <c r="M1572" s="14">
        <v>31</v>
      </c>
      <c r="N1572" s="14">
        <v>31</v>
      </c>
      <c r="O1572" s="55" t="s">
        <v>596</v>
      </c>
      <c r="Q1572" s="10">
        <v>80</v>
      </c>
      <c r="U1572" s="10">
        <v>90</v>
      </c>
      <c r="W1572" s="14"/>
      <c r="Y1572" s="79">
        <v>2.7</v>
      </c>
      <c r="Z1572" s="56" t="s">
        <v>42</v>
      </c>
    </row>
    <row r="1573" spans="1:28" ht="23.1" customHeight="1" x14ac:dyDescent="0.25">
      <c r="A1573" s="53" t="s">
        <v>1244</v>
      </c>
      <c r="B1573" s="10" t="s">
        <v>137</v>
      </c>
      <c r="C1573" s="10">
        <v>59</v>
      </c>
      <c r="D1573" s="10" t="s">
        <v>1292</v>
      </c>
      <c r="E1573" s="41" t="s">
        <v>409</v>
      </c>
      <c r="F1573" s="41" t="s">
        <v>409</v>
      </c>
      <c r="G1573" s="21" t="str">
        <f>VLOOKUP(D1573,[6]成飞半成品!$A:$B,2,0)</f>
        <v>接头</v>
      </c>
      <c r="H1573" s="10" t="s">
        <v>102</v>
      </c>
      <c r="I1573" s="10">
        <v>25</v>
      </c>
      <c r="J1573" s="10" t="s">
        <v>1993</v>
      </c>
      <c r="L1573" s="10">
        <v>4</v>
      </c>
      <c r="M1573" s="14">
        <v>28</v>
      </c>
      <c r="N1573" s="14">
        <v>31</v>
      </c>
      <c r="O1573" s="55" t="s">
        <v>596</v>
      </c>
      <c r="Q1573" s="10">
        <v>25</v>
      </c>
      <c r="U1573" s="10">
        <v>60</v>
      </c>
      <c r="W1573" s="14">
        <v>1</v>
      </c>
      <c r="Y1573" s="79">
        <v>2.7</v>
      </c>
      <c r="Z1573" s="56" t="s">
        <v>42</v>
      </c>
    </row>
    <row r="1574" spans="1:28" ht="23.1" customHeight="1" x14ac:dyDescent="0.25">
      <c r="A1574" s="53" t="s">
        <v>1244</v>
      </c>
      <c r="B1574" s="10" t="s">
        <v>137</v>
      </c>
      <c r="C1574" s="10">
        <v>59</v>
      </c>
      <c r="D1574" s="10" t="s">
        <v>1292</v>
      </c>
      <c r="E1574" s="41" t="s">
        <v>409</v>
      </c>
      <c r="F1574" s="41" t="s">
        <v>409</v>
      </c>
      <c r="G1574" s="21" t="str">
        <f>VLOOKUP(D1574,[6]成飞半成品!$A:$B,2,0)</f>
        <v>接头</v>
      </c>
      <c r="H1574" s="10" t="s">
        <v>102</v>
      </c>
      <c r="I1574" s="10">
        <v>30</v>
      </c>
      <c r="J1574" s="10" t="s">
        <v>2218</v>
      </c>
      <c r="L1574" s="10">
        <v>4</v>
      </c>
      <c r="M1574" s="14">
        <v>28</v>
      </c>
      <c r="N1574" s="14">
        <v>31</v>
      </c>
      <c r="O1574" s="55" t="s">
        <v>596</v>
      </c>
      <c r="Q1574" s="10">
        <v>20</v>
      </c>
      <c r="U1574" s="10">
        <v>60</v>
      </c>
      <c r="W1574" s="14">
        <v>1</v>
      </c>
      <c r="X1574" s="14">
        <v>2</v>
      </c>
      <c r="Y1574" s="79">
        <v>4.3</v>
      </c>
      <c r="Z1574" s="56" t="s">
        <v>42</v>
      </c>
      <c r="AA1574" s="14" t="s">
        <v>926</v>
      </c>
      <c r="AB1574" s="25" t="s">
        <v>238</v>
      </c>
    </row>
    <row r="1575" spans="1:28" ht="23.1" customHeight="1" x14ac:dyDescent="0.25">
      <c r="A1575" s="53" t="s">
        <v>1244</v>
      </c>
      <c r="B1575" s="10" t="s">
        <v>137</v>
      </c>
      <c r="C1575" s="10">
        <v>59</v>
      </c>
      <c r="D1575" s="10" t="s">
        <v>1293</v>
      </c>
      <c r="E1575" s="41" t="s">
        <v>409</v>
      </c>
      <c r="F1575" s="41" t="s">
        <v>409</v>
      </c>
      <c r="G1575" s="21" t="str">
        <f>VLOOKUP(D1575,[6]成飞半成品!$A:$B,2,0)</f>
        <v>接头</v>
      </c>
      <c r="H1575" s="10" t="s">
        <v>102</v>
      </c>
      <c r="I1575" s="10">
        <v>25</v>
      </c>
      <c r="J1575" s="10" t="s">
        <v>1993</v>
      </c>
      <c r="L1575" s="10">
        <v>4</v>
      </c>
      <c r="M1575" s="14">
        <v>28</v>
      </c>
      <c r="N1575" s="14">
        <v>31</v>
      </c>
      <c r="O1575" s="55" t="s">
        <v>596</v>
      </c>
      <c r="Q1575" s="10">
        <v>25</v>
      </c>
      <c r="U1575" s="10">
        <v>60</v>
      </c>
      <c r="W1575" s="14">
        <v>1</v>
      </c>
      <c r="Y1575" s="79">
        <v>2.7</v>
      </c>
      <c r="Z1575" s="56" t="s">
        <v>42</v>
      </c>
    </row>
    <row r="1576" spans="1:28" ht="23.1" customHeight="1" x14ac:dyDescent="0.25">
      <c r="A1576" s="53" t="s">
        <v>1244</v>
      </c>
      <c r="B1576" s="10" t="s">
        <v>137</v>
      </c>
      <c r="C1576" s="10">
        <v>59</v>
      </c>
      <c r="D1576" s="10" t="s">
        <v>1293</v>
      </c>
      <c r="E1576" s="41" t="s">
        <v>409</v>
      </c>
      <c r="F1576" s="41" t="s">
        <v>409</v>
      </c>
      <c r="G1576" s="21" t="str">
        <f>VLOOKUP(D1576,[6]成飞半成品!$A:$B,2,0)</f>
        <v>接头</v>
      </c>
      <c r="H1576" s="10" t="s">
        <v>102</v>
      </c>
      <c r="I1576" s="10">
        <v>30</v>
      </c>
      <c r="J1576" s="10" t="s">
        <v>2218</v>
      </c>
      <c r="L1576" s="10">
        <v>4</v>
      </c>
      <c r="M1576" s="14">
        <v>28</v>
      </c>
      <c r="N1576" s="14">
        <v>31</v>
      </c>
      <c r="O1576" s="55" t="s">
        <v>596</v>
      </c>
      <c r="Q1576" s="10">
        <v>20</v>
      </c>
      <c r="U1576" s="10">
        <v>60</v>
      </c>
      <c r="W1576" s="14">
        <v>1</v>
      </c>
      <c r="X1576" s="14">
        <v>2</v>
      </c>
      <c r="Y1576" s="79">
        <v>4.3</v>
      </c>
      <c r="Z1576" s="56" t="s">
        <v>42</v>
      </c>
      <c r="AA1576" s="14" t="s">
        <v>926</v>
      </c>
      <c r="AB1576" s="25" t="s">
        <v>238</v>
      </c>
    </row>
    <row r="1577" spans="1:28" ht="23.1" customHeight="1" x14ac:dyDescent="0.25">
      <c r="A1577" s="53" t="s">
        <v>1244</v>
      </c>
      <c r="B1577" s="10" t="s">
        <v>137</v>
      </c>
      <c r="C1577" s="10">
        <v>58</v>
      </c>
      <c r="D1577" s="10" t="s">
        <v>1294</v>
      </c>
      <c r="E1577" s="41" t="s">
        <v>409</v>
      </c>
      <c r="F1577" s="41" t="s">
        <v>409</v>
      </c>
      <c r="G1577" s="21" t="str">
        <f>VLOOKUP(D1577,[6]成飞半成品!$A:$B,2,0)</f>
        <v>接头</v>
      </c>
      <c r="H1577" s="10" t="s">
        <v>102</v>
      </c>
      <c r="I1577" s="10">
        <v>25</v>
      </c>
      <c r="J1577" s="10" t="s">
        <v>2054</v>
      </c>
      <c r="L1577" s="10">
        <v>4</v>
      </c>
      <c r="M1577" s="14">
        <v>28</v>
      </c>
      <c r="N1577" s="14">
        <v>28</v>
      </c>
      <c r="O1577" s="55" t="s">
        <v>596</v>
      </c>
      <c r="Q1577" s="10">
        <v>20</v>
      </c>
      <c r="U1577" s="10">
        <v>60</v>
      </c>
      <c r="W1577" s="14">
        <v>1</v>
      </c>
      <c r="Y1577" s="79">
        <v>2.2999999999999998</v>
      </c>
      <c r="Z1577" s="56" t="s">
        <v>42</v>
      </c>
    </row>
    <row r="1578" spans="1:28" ht="23.1" customHeight="1" x14ac:dyDescent="0.25">
      <c r="A1578" s="53" t="s">
        <v>1244</v>
      </c>
      <c r="B1578" s="10" t="s">
        <v>137</v>
      </c>
      <c r="C1578" s="10">
        <v>58</v>
      </c>
      <c r="D1578" s="10" t="s">
        <v>1295</v>
      </c>
      <c r="E1578" s="41" t="s">
        <v>409</v>
      </c>
      <c r="F1578" s="41" t="s">
        <v>409</v>
      </c>
      <c r="G1578" s="21" t="str">
        <f>VLOOKUP(D1578,[6]成飞半成品!$A:$B,2,0)</f>
        <v>接头</v>
      </c>
      <c r="H1578" s="10" t="s">
        <v>102</v>
      </c>
      <c r="I1578" s="10">
        <v>25</v>
      </c>
      <c r="J1578" s="10" t="s">
        <v>1993</v>
      </c>
      <c r="L1578" s="10">
        <v>4</v>
      </c>
      <c r="M1578" s="14">
        <v>28</v>
      </c>
      <c r="N1578" s="14">
        <v>28</v>
      </c>
      <c r="O1578" s="55" t="s">
        <v>596</v>
      </c>
      <c r="Q1578" s="10">
        <v>25</v>
      </c>
      <c r="U1578" s="10">
        <v>60</v>
      </c>
      <c r="W1578" s="14">
        <v>1</v>
      </c>
      <c r="Y1578" s="79">
        <v>2.7</v>
      </c>
      <c r="Z1578" s="56" t="s">
        <v>42</v>
      </c>
    </row>
    <row r="1579" spans="1:28" ht="23.1" customHeight="1" x14ac:dyDescent="0.25">
      <c r="A1579" s="53" t="s">
        <v>1244</v>
      </c>
      <c r="B1579" s="10" t="s">
        <v>137</v>
      </c>
      <c r="C1579" s="10">
        <v>57</v>
      </c>
      <c r="D1579" s="10" t="s">
        <v>1042</v>
      </c>
      <c r="E1579" s="41" t="s">
        <v>1281</v>
      </c>
      <c r="F1579" s="41" t="s">
        <v>1281</v>
      </c>
      <c r="G1579" s="21" t="str">
        <f>VLOOKUP(D1579,[6]成飞半成品!$A:$B,2,0)</f>
        <v>前上大梁（右）</v>
      </c>
      <c r="H1579" s="10" t="s">
        <v>107</v>
      </c>
      <c r="I1579" s="10">
        <v>20</v>
      </c>
      <c r="J1579" s="10" t="s">
        <v>2213</v>
      </c>
      <c r="K1579" s="10">
        <v>1</v>
      </c>
      <c r="L1579" s="10">
        <v>1</v>
      </c>
      <c r="M1579" s="14">
        <v>28</v>
      </c>
      <c r="N1579" s="14"/>
      <c r="O1579" s="55" t="s">
        <v>1043</v>
      </c>
      <c r="Q1579" s="10">
        <v>180</v>
      </c>
      <c r="U1579" s="10">
        <v>90</v>
      </c>
      <c r="W1579" s="14"/>
      <c r="Y1579" s="79">
        <v>3</v>
      </c>
      <c r="Z1579" s="56" t="s">
        <v>57</v>
      </c>
    </row>
    <row r="1580" spans="1:28" ht="23.1" customHeight="1" x14ac:dyDescent="0.25">
      <c r="A1580" s="53" t="s">
        <v>1244</v>
      </c>
      <c r="B1580" s="10" t="s">
        <v>137</v>
      </c>
      <c r="C1580" s="10">
        <v>57</v>
      </c>
      <c r="D1580" s="10" t="s">
        <v>1031</v>
      </c>
      <c r="E1580" s="41" t="s">
        <v>1032</v>
      </c>
      <c r="F1580" s="41" t="s">
        <v>1032</v>
      </c>
      <c r="G1580" s="21" t="str">
        <f>VLOOKUP(D1580,[6]成飞半成品!$A:$B,2,0)</f>
        <v>前上大梁（左）</v>
      </c>
      <c r="H1580" s="10" t="s">
        <v>107</v>
      </c>
      <c r="I1580" s="10">
        <v>25</v>
      </c>
      <c r="J1580" s="10" t="s">
        <v>2054</v>
      </c>
      <c r="K1580" s="10">
        <v>4</v>
      </c>
      <c r="L1580" s="10">
        <v>8</v>
      </c>
      <c r="M1580" s="14">
        <v>28</v>
      </c>
      <c r="N1580" s="14">
        <v>28</v>
      </c>
      <c r="O1580" s="55" t="s">
        <v>1043</v>
      </c>
      <c r="Q1580" s="10">
        <v>90</v>
      </c>
      <c r="U1580" s="10">
        <v>60</v>
      </c>
      <c r="W1580" s="14">
        <v>1</v>
      </c>
      <c r="Y1580" s="79">
        <v>13</v>
      </c>
      <c r="Z1580" s="56" t="s">
        <v>57</v>
      </c>
    </row>
    <row r="1581" spans="1:28" ht="23.1" customHeight="1" x14ac:dyDescent="0.25">
      <c r="A1581" s="53" t="s">
        <v>1244</v>
      </c>
      <c r="B1581" s="10" t="s">
        <v>137</v>
      </c>
      <c r="C1581" s="10">
        <v>18</v>
      </c>
      <c r="D1581" s="10" t="s">
        <v>918</v>
      </c>
      <c r="E1581" s="41" t="s">
        <v>919</v>
      </c>
      <c r="F1581" s="41" t="s">
        <v>919</v>
      </c>
      <c r="G1581" s="21" t="str">
        <f>VLOOKUP(D1581,[6]成飞半成品!$A:$B,2,0)</f>
        <v>雷达罩锁支座</v>
      </c>
      <c r="H1581" s="10" t="s">
        <v>323</v>
      </c>
      <c r="I1581" s="10">
        <v>20</v>
      </c>
      <c r="J1581" s="10" t="s">
        <v>1960</v>
      </c>
      <c r="K1581" s="10">
        <v>4</v>
      </c>
      <c r="L1581" s="10">
        <v>6</v>
      </c>
      <c r="M1581" s="14">
        <v>28</v>
      </c>
      <c r="N1581" s="14">
        <v>5</v>
      </c>
      <c r="O1581" s="55" t="s">
        <v>778</v>
      </c>
      <c r="Q1581" s="10">
        <v>120</v>
      </c>
      <c r="T1581" s="10">
        <v>1</v>
      </c>
      <c r="U1581" s="10">
        <v>90</v>
      </c>
      <c r="W1581" s="14"/>
      <c r="Y1581" s="79">
        <v>12</v>
      </c>
      <c r="Z1581" s="56" t="s">
        <v>43</v>
      </c>
    </row>
    <row r="1582" spans="1:28" ht="23.1" customHeight="1" x14ac:dyDescent="0.25">
      <c r="A1582" s="53" t="s">
        <v>1244</v>
      </c>
      <c r="B1582" s="10" t="s">
        <v>137</v>
      </c>
      <c r="C1582" s="10">
        <v>17</v>
      </c>
      <c r="D1582" s="10" t="s">
        <v>1282</v>
      </c>
      <c r="E1582" s="41" t="s">
        <v>1283</v>
      </c>
      <c r="F1582" s="41" t="s">
        <v>1283</v>
      </c>
      <c r="G1582" s="21" t="str">
        <f>VLOOKUP(D1582,[6]成飞半成品!$A:$B,2,0)</f>
        <v>9框前支柱</v>
      </c>
      <c r="H1582" s="10" t="s">
        <v>102</v>
      </c>
      <c r="I1582" s="10">
        <v>15</v>
      </c>
      <c r="J1582" s="10" t="s">
        <v>2467</v>
      </c>
      <c r="L1582" s="10">
        <v>1</v>
      </c>
      <c r="M1582" s="14">
        <v>28</v>
      </c>
      <c r="N1582" s="14">
        <v>37</v>
      </c>
      <c r="O1582" s="55" t="s">
        <v>596</v>
      </c>
      <c r="Q1582" s="10">
        <v>150</v>
      </c>
      <c r="U1582" s="10">
        <v>60</v>
      </c>
      <c r="W1582" s="14">
        <v>1</v>
      </c>
      <c r="Y1582" s="79">
        <v>3.5</v>
      </c>
      <c r="Z1582" s="56" t="s">
        <v>43</v>
      </c>
      <c r="AA1582" s="14" t="s">
        <v>1269</v>
      </c>
    </row>
    <row r="1583" spans="1:28" ht="23.1" customHeight="1" x14ac:dyDescent="0.25">
      <c r="A1583" s="53" t="s">
        <v>1244</v>
      </c>
      <c r="B1583" s="10" t="s">
        <v>137</v>
      </c>
      <c r="C1583" s="10">
        <v>17</v>
      </c>
      <c r="D1583" s="10" t="s">
        <v>1282</v>
      </c>
      <c r="E1583" s="41" t="s">
        <v>1283</v>
      </c>
      <c r="F1583" s="41" t="s">
        <v>1283</v>
      </c>
      <c r="G1583" s="21" t="str">
        <f>VLOOKUP(D1583,[6]成飞半成品!$A:$B,2,0)</f>
        <v>9框前支柱</v>
      </c>
      <c r="H1583" s="10" t="s">
        <v>102</v>
      </c>
      <c r="I1583" s="10">
        <v>20</v>
      </c>
      <c r="J1583" s="10" t="s">
        <v>2030</v>
      </c>
      <c r="L1583" s="10">
        <v>1</v>
      </c>
      <c r="M1583" s="14">
        <v>28</v>
      </c>
      <c r="N1583" s="14">
        <v>37</v>
      </c>
      <c r="O1583" s="55" t="s">
        <v>596</v>
      </c>
      <c r="Q1583" s="10">
        <v>210</v>
      </c>
      <c r="U1583" s="10">
        <v>90</v>
      </c>
      <c r="W1583" s="14">
        <v>1</v>
      </c>
      <c r="Y1583" s="79">
        <v>5</v>
      </c>
      <c r="Z1583" s="56" t="s">
        <v>43</v>
      </c>
    </row>
    <row r="1584" spans="1:28" ht="23.1" customHeight="1" x14ac:dyDescent="0.25">
      <c r="A1584" s="53" t="s">
        <v>1244</v>
      </c>
      <c r="B1584" s="10" t="s">
        <v>137</v>
      </c>
      <c r="C1584" s="10">
        <v>16</v>
      </c>
      <c r="D1584" s="10" t="s">
        <v>1280</v>
      </c>
      <c r="E1584" s="41" t="s">
        <v>595</v>
      </c>
      <c r="F1584" s="41" t="s">
        <v>595</v>
      </c>
      <c r="G1584" s="21" t="str">
        <f>VLOOKUP(D1584,[6]成飞半成品!$A:$B,2,0)</f>
        <v>加强件</v>
      </c>
      <c r="H1584" s="10" t="s">
        <v>102</v>
      </c>
      <c r="I1584" s="10">
        <v>30</v>
      </c>
      <c r="J1584" s="10" t="s">
        <v>2219</v>
      </c>
      <c r="K1584" s="10">
        <v>2</v>
      </c>
      <c r="L1584" s="10">
        <v>2</v>
      </c>
      <c r="M1584" s="14">
        <v>28</v>
      </c>
      <c r="N1584" s="14">
        <v>28</v>
      </c>
      <c r="O1584" s="55" t="s">
        <v>596</v>
      </c>
      <c r="Q1584" s="10">
        <v>120</v>
      </c>
      <c r="U1584" s="10">
        <v>90</v>
      </c>
      <c r="W1584" s="14">
        <v>1</v>
      </c>
      <c r="X1584" s="14">
        <v>2</v>
      </c>
      <c r="Y1584" s="79">
        <v>7.5</v>
      </c>
      <c r="Z1584" s="56" t="s">
        <v>38</v>
      </c>
      <c r="AA1584" s="14" t="s">
        <v>926</v>
      </c>
      <c r="AB1584" s="25" t="s">
        <v>238</v>
      </c>
    </row>
    <row r="1585" spans="1:27" ht="23.1" customHeight="1" x14ac:dyDescent="0.25">
      <c r="A1585" s="53" t="s">
        <v>1244</v>
      </c>
      <c r="B1585" s="10" t="s">
        <v>137</v>
      </c>
      <c r="C1585" s="10">
        <v>11</v>
      </c>
      <c r="D1585" s="10" t="s">
        <v>1296</v>
      </c>
      <c r="E1585" s="41" t="s">
        <v>1297</v>
      </c>
      <c r="F1585" s="41" t="s">
        <v>1297</v>
      </c>
      <c r="G1585" s="21" t="str">
        <f>VLOOKUP(D1585,[6]成飞半成品!$A:$B,2,0)</f>
        <v>固定板</v>
      </c>
      <c r="H1585" s="10" t="s">
        <v>154</v>
      </c>
      <c r="I1585" s="10">
        <v>35</v>
      </c>
      <c r="J1585" s="10" t="s">
        <v>2073</v>
      </c>
      <c r="K1585" s="10">
        <v>3.5</v>
      </c>
      <c r="L1585" s="10">
        <v>2</v>
      </c>
      <c r="M1585" s="14">
        <v>28</v>
      </c>
      <c r="N1585" s="14">
        <v>26</v>
      </c>
      <c r="Q1585" s="10">
        <v>150</v>
      </c>
      <c r="U1585" s="10">
        <v>60</v>
      </c>
      <c r="W1585" s="14"/>
      <c r="Y1585" s="79">
        <v>5</v>
      </c>
      <c r="Z1585" s="56" t="s">
        <v>38</v>
      </c>
    </row>
    <row r="1586" spans="1:27" ht="23.1" customHeight="1" x14ac:dyDescent="0.25">
      <c r="A1586" s="53" t="s">
        <v>1244</v>
      </c>
      <c r="B1586" s="10" t="s">
        <v>113</v>
      </c>
      <c r="C1586" s="10">
        <v>24</v>
      </c>
      <c r="D1586" s="10" t="s">
        <v>776</v>
      </c>
      <c r="E1586" s="41" t="s">
        <v>777</v>
      </c>
      <c r="F1586" s="41" t="s">
        <v>777</v>
      </c>
      <c r="G1586" s="21" t="str">
        <f>VLOOKUP(D1586,[6]成飞半成品!$A:$B,2,0)</f>
        <v>BL280侧壁（左件）</v>
      </c>
      <c r="H1586" s="10" t="s">
        <v>107</v>
      </c>
      <c r="I1586" s="10">
        <v>25</v>
      </c>
      <c r="J1586" s="10" t="s">
        <v>2035</v>
      </c>
      <c r="K1586" s="10">
        <v>1.5</v>
      </c>
      <c r="L1586" s="10">
        <v>1.4</v>
      </c>
      <c r="M1586" s="14">
        <v>28</v>
      </c>
      <c r="N1586" s="14">
        <v>5</v>
      </c>
      <c r="O1586" s="55" t="s">
        <v>1196</v>
      </c>
      <c r="Q1586" s="10">
        <v>840</v>
      </c>
      <c r="R1586" s="10">
        <v>120</v>
      </c>
      <c r="T1586" s="10">
        <v>1</v>
      </c>
      <c r="U1586" s="10">
        <v>150</v>
      </c>
      <c r="W1586" s="14"/>
      <c r="Y1586" s="79">
        <v>21.6</v>
      </c>
      <c r="Z1586" s="56" t="s">
        <v>26</v>
      </c>
    </row>
    <row r="1587" spans="1:27" ht="23.1" customHeight="1" x14ac:dyDescent="0.25">
      <c r="A1587" s="53" t="s">
        <v>1244</v>
      </c>
      <c r="B1587" s="10" t="s">
        <v>113</v>
      </c>
      <c r="C1587" s="10">
        <v>69</v>
      </c>
      <c r="D1587" s="10" t="s">
        <v>592</v>
      </c>
      <c r="E1587" s="41" t="s">
        <v>218</v>
      </c>
      <c r="F1587" s="41" t="s">
        <v>218</v>
      </c>
      <c r="G1587" s="21" t="str">
        <f>VLOOKUP(D1587,[6]成飞半成品!$A:$B,2,0)</f>
        <v>横梁</v>
      </c>
      <c r="H1587" s="10" t="s">
        <v>107</v>
      </c>
      <c r="I1587" s="10">
        <v>50</v>
      </c>
      <c r="J1587" s="10" t="s">
        <v>2202</v>
      </c>
      <c r="K1587" s="10">
        <v>1</v>
      </c>
      <c r="L1587" s="10">
        <v>1</v>
      </c>
      <c r="M1587" s="14">
        <v>28</v>
      </c>
      <c r="N1587" s="14"/>
      <c r="O1587" s="55" t="s">
        <v>456</v>
      </c>
      <c r="Q1587" s="10">
        <v>180</v>
      </c>
      <c r="R1587" s="10">
        <v>60</v>
      </c>
      <c r="U1587" s="10">
        <v>150</v>
      </c>
      <c r="W1587" s="14"/>
      <c r="Y1587" s="79">
        <v>3</v>
      </c>
      <c r="Z1587" s="56" t="s">
        <v>26</v>
      </c>
    </row>
    <row r="1588" spans="1:27" ht="23.1" customHeight="1" x14ac:dyDescent="0.25">
      <c r="A1588" s="53" t="s">
        <v>1244</v>
      </c>
      <c r="B1588" s="10" t="s">
        <v>113</v>
      </c>
      <c r="C1588" s="10">
        <v>69</v>
      </c>
      <c r="D1588" s="10" t="s">
        <v>404</v>
      </c>
      <c r="E1588" s="41" t="s">
        <v>405</v>
      </c>
      <c r="F1588" s="41" t="s">
        <v>405</v>
      </c>
      <c r="G1588" s="21" t="str">
        <f>VLOOKUP(D1588,[6]成飞半成品!$A:$B,2,0)</f>
        <v>11140框右下半框</v>
      </c>
      <c r="H1588" s="10" t="s">
        <v>118</v>
      </c>
      <c r="I1588" s="10">
        <v>40</v>
      </c>
      <c r="J1588" s="10" t="s">
        <v>1939</v>
      </c>
      <c r="K1588" s="10">
        <v>5</v>
      </c>
      <c r="L1588" s="10">
        <v>5</v>
      </c>
      <c r="M1588" s="14">
        <v>28</v>
      </c>
      <c r="N1588" s="14">
        <v>26</v>
      </c>
      <c r="O1588" s="55" t="s">
        <v>1298</v>
      </c>
      <c r="Q1588" s="10">
        <v>150</v>
      </c>
      <c r="R1588" s="10">
        <v>75</v>
      </c>
      <c r="U1588" s="10">
        <v>150</v>
      </c>
      <c r="W1588" s="14">
        <v>1</v>
      </c>
      <c r="X1588" s="14">
        <v>5</v>
      </c>
      <c r="Y1588" s="79">
        <v>20</v>
      </c>
      <c r="Z1588" s="56" t="s">
        <v>26</v>
      </c>
      <c r="AA1588" s="14" t="s">
        <v>943</v>
      </c>
    </row>
    <row r="1589" spans="1:27" ht="23.1" customHeight="1" x14ac:dyDescent="0.25">
      <c r="A1589" s="53" t="s">
        <v>1244</v>
      </c>
      <c r="B1589" s="10" t="s">
        <v>113</v>
      </c>
      <c r="C1589" s="10">
        <v>69</v>
      </c>
      <c r="D1589" s="10" t="s">
        <v>404</v>
      </c>
      <c r="E1589" s="41" t="s">
        <v>405</v>
      </c>
      <c r="F1589" s="41" t="s">
        <v>405</v>
      </c>
      <c r="G1589" s="21" t="str">
        <f>VLOOKUP(D1589,[6]成飞半成品!$A:$B,2,0)</f>
        <v>11140框右下半框</v>
      </c>
      <c r="H1589" s="10" t="s">
        <v>118</v>
      </c>
      <c r="I1589" s="10">
        <v>45</v>
      </c>
      <c r="J1589" s="10" t="s">
        <v>1943</v>
      </c>
      <c r="K1589" s="10">
        <v>5</v>
      </c>
      <c r="L1589" s="10">
        <v>5</v>
      </c>
      <c r="M1589" s="14">
        <v>28</v>
      </c>
      <c r="N1589" s="14">
        <v>26</v>
      </c>
      <c r="O1589" s="55" t="s">
        <v>1298</v>
      </c>
      <c r="Q1589" s="10">
        <v>60</v>
      </c>
      <c r="R1589" s="10">
        <v>75</v>
      </c>
      <c r="U1589" s="10">
        <v>150</v>
      </c>
      <c r="W1589" s="14"/>
      <c r="Y1589" s="79">
        <v>5</v>
      </c>
      <c r="Z1589" s="56" t="s">
        <v>26</v>
      </c>
    </row>
    <row r="1590" spans="1:27" ht="23.1" customHeight="1" x14ac:dyDescent="0.25">
      <c r="A1590" s="53" t="s">
        <v>1244</v>
      </c>
      <c r="B1590" s="10" t="s">
        <v>113</v>
      </c>
      <c r="C1590" s="10">
        <v>69</v>
      </c>
      <c r="D1590" s="10" t="s">
        <v>404</v>
      </c>
      <c r="E1590" s="41" t="s">
        <v>405</v>
      </c>
      <c r="F1590" s="41" t="s">
        <v>405</v>
      </c>
      <c r="G1590" s="21" t="str">
        <f>VLOOKUP(D1590,[6]成飞半成品!$A:$B,2,0)</f>
        <v>11140框右下半框</v>
      </c>
      <c r="H1590" s="10" t="s">
        <v>118</v>
      </c>
      <c r="I1590" s="10">
        <v>50</v>
      </c>
      <c r="J1590" s="10" t="s">
        <v>1944</v>
      </c>
      <c r="K1590" s="10">
        <v>5</v>
      </c>
      <c r="L1590" s="10">
        <v>5</v>
      </c>
      <c r="M1590" s="14">
        <v>28</v>
      </c>
      <c r="N1590" s="14">
        <v>26</v>
      </c>
      <c r="O1590" s="55" t="s">
        <v>1298</v>
      </c>
      <c r="Q1590" s="10">
        <v>120</v>
      </c>
      <c r="R1590" s="10">
        <v>75</v>
      </c>
      <c r="U1590" s="10">
        <v>150</v>
      </c>
      <c r="W1590" s="14"/>
      <c r="Y1590" s="79">
        <v>10</v>
      </c>
      <c r="Z1590" s="56" t="s">
        <v>26</v>
      </c>
    </row>
    <row r="1591" spans="1:27" ht="23.1" customHeight="1" x14ac:dyDescent="0.25">
      <c r="A1591" s="53" t="s">
        <v>1244</v>
      </c>
      <c r="B1591" s="10" t="s">
        <v>113</v>
      </c>
      <c r="C1591" s="10">
        <v>84</v>
      </c>
      <c r="D1591" s="10" t="s">
        <v>1299</v>
      </c>
      <c r="E1591" s="41" t="s">
        <v>437</v>
      </c>
      <c r="F1591" s="41" t="s">
        <v>437</v>
      </c>
      <c r="G1591" s="21" t="str">
        <f>VLOOKUP(D1591,[6]成飞半成品!$A:$B,2,0)</f>
        <v>外副作动器整流罩支撑件上段</v>
      </c>
      <c r="H1591" s="10" t="s">
        <v>154</v>
      </c>
      <c r="I1591" s="10">
        <v>35</v>
      </c>
      <c r="J1591" s="10" t="s">
        <v>2220</v>
      </c>
      <c r="K1591" s="10">
        <v>2</v>
      </c>
      <c r="L1591" s="10">
        <v>2</v>
      </c>
      <c r="M1591" s="14">
        <v>28</v>
      </c>
      <c r="N1591" s="14">
        <v>28</v>
      </c>
      <c r="O1591" s="55" t="s">
        <v>1300</v>
      </c>
      <c r="Q1591" s="10">
        <v>90</v>
      </c>
      <c r="R1591" s="10">
        <v>60</v>
      </c>
      <c r="T1591" s="10">
        <v>2</v>
      </c>
      <c r="U1591" s="10">
        <v>120</v>
      </c>
      <c r="W1591" s="14">
        <v>1</v>
      </c>
      <c r="X1591" s="10">
        <v>3</v>
      </c>
      <c r="Y1591" s="79">
        <v>10</v>
      </c>
      <c r="Z1591" s="56" t="s">
        <v>26</v>
      </c>
      <c r="AA1591" s="14" t="s">
        <v>1245</v>
      </c>
    </row>
    <row r="1592" spans="1:27" ht="23.1" customHeight="1" x14ac:dyDescent="0.25">
      <c r="A1592" s="53" t="s">
        <v>1244</v>
      </c>
      <c r="B1592" s="10" t="s">
        <v>113</v>
      </c>
      <c r="C1592" s="10">
        <v>84</v>
      </c>
      <c r="D1592" s="10" t="s">
        <v>1301</v>
      </c>
      <c r="E1592" s="41" t="s">
        <v>1302</v>
      </c>
      <c r="F1592" s="41" t="s">
        <v>1302</v>
      </c>
      <c r="G1592" s="21" t="str">
        <f>VLOOKUP(D1592,[6]成飞半成品!$A:$B,2,0)</f>
        <v>后舱内段支撑件上段1段</v>
      </c>
      <c r="H1592" s="10" t="s">
        <v>154</v>
      </c>
      <c r="I1592" s="10">
        <v>35</v>
      </c>
      <c r="J1592" s="10" t="s">
        <v>2221</v>
      </c>
      <c r="K1592" s="10">
        <v>1</v>
      </c>
      <c r="L1592" s="10">
        <v>1</v>
      </c>
      <c r="M1592" s="14">
        <v>28</v>
      </c>
      <c r="N1592" s="14">
        <v>28</v>
      </c>
      <c r="O1592" s="55" t="s">
        <v>159</v>
      </c>
      <c r="Q1592" s="10">
        <v>210</v>
      </c>
      <c r="R1592" s="10">
        <v>60</v>
      </c>
      <c r="T1592" s="10">
        <v>1</v>
      </c>
      <c r="U1592" s="10">
        <v>120</v>
      </c>
      <c r="W1592" s="14"/>
      <c r="X1592" s="14">
        <v>2</v>
      </c>
      <c r="Y1592" s="79">
        <v>6.5</v>
      </c>
      <c r="Z1592" s="56" t="s">
        <v>26</v>
      </c>
      <c r="AA1592" s="14" t="s">
        <v>1303</v>
      </c>
    </row>
    <row r="1593" spans="1:27" ht="23.1" customHeight="1" x14ac:dyDescent="0.25">
      <c r="A1593" s="53" t="s">
        <v>1244</v>
      </c>
      <c r="B1593" s="10" t="s">
        <v>113</v>
      </c>
      <c r="C1593" s="10">
        <v>91</v>
      </c>
      <c r="D1593" s="10" t="s">
        <v>254</v>
      </c>
      <c r="E1593" s="41" t="s">
        <v>1016</v>
      </c>
      <c r="F1593" s="41" t="s">
        <v>1016</v>
      </c>
      <c r="G1593" s="21" t="str">
        <f>VLOOKUP(D1593,[6]成飞半成品!$A:$B,2,0)</f>
        <v>9350-11140右侧上梁</v>
      </c>
      <c r="H1593" s="10" t="s">
        <v>375</v>
      </c>
      <c r="I1593" s="10">
        <v>40</v>
      </c>
      <c r="J1593" s="10" t="s">
        <v>2110</v>
      </c>
      <c r="K1593" s="10">
        <v>0.4</v>
      </c>
      <c r="L1593" s="10">
        <v>0.4</v>
      </c>
      <c r="M1593" s="14">
        <v>28</v>
      </c>
      <c r="N1593" s="14"/>
      <c r="O1593" s="55" t="s">
        <v>716</v>
      </c>
      <c r="Q1593" s="10">
        <v>3000</v>
      </c>
      <c r="R1593" s="10">
        <v>90</v>
      </c>
      <c r="U1593" s="10">
        <v>120</v>
      </c>
      <c r="W1593" s="14"/>
      <c r="Y1593" s="79">
        <v>20</v>
      </c>
      <c r="Z1593" s="56" t="s">
        <v>26</v>
      </c>
    </row>
    <row r="1594" spans="1:27" ht="23.1" customHeight="1" x14ac:dyDescent="0.25">
      <c r="A1594" s="53" t="s">
        <v>1244</v>
      </c>
      <c r="B1594" s="10" t="s">
        <v>113</v>
      </c>
      <c r="C1594" s="10">
        <v>119</v>
      </c>
      <c r="D1594" s="10" t="s">
        <v>830</v>
      </c>
      <c r="E1594" s="41" t="s">
        <v>788</v>
      </c>
      <c r="F1594" s="41" t="s">
        <v>788</v>
      </c>
      <c r="G1594" s="21" t="str">
        <f>VLOOKUP(D1594,[6]成飞半成品!$A:$B,2,0)</f>
        <v>根肋二段</v>
      </c>
      <c r="H1594" s="10" t="s">
        <v>123</v>
      </c>
      <c r="I1594" s="10">
        <v>60</v>
      </c>
      <c r="J1594" s="10" t="s">
        <v>2222</v>
      </c>
      <c r="K1594" s="10">
        <v>6</v>
      </c>
      <c r="L1594" s="10">
        <v>6</v>
      </c>
      <c r="M1594" s="14">
        <v>28</v>
      </c>
      <c r="N1594" s="14">
        <v>37</v>
      </c>
      <c r="O1594" s="55" t="s">
        <v>1208</v>
      </c>
      <c r="Q1594" s="10">
        <v>210</v>
      </c>
      <c r="R1594" s="10">
        <v>60</v>
      </c>
      <c r="T1594" s="10">
        <v>6</v>
      </c>
      <c r="U1594" s="10">
        <v>90</v>
      </c>
      <c r="W1594" s="14"/>
      <c r="Y1594" s="79">
        <v>27</v>
      </c>
      <c r="Z1594" s="56" t="s">
        <v>26</v>
      </c>
    </row>
    <row r="1595" spans="1:27" ht="23.1" customHeight="1" x14ac:dyDescent="0.25">
      <c r="A1595" s="53" t="s">
        <v>1244</v>
      </c>
      <c r="B1595" s="10" t="s">
        <v>113</v>
      </c>
      <c r="C1595" s="10">
        <v>121</v>
      </c>
      <c r="D1595" s="10" t="s">
        <v>291</v>
      </c>
      <c r="E1595" s="41" t="s">
        <v>174</v>
      </c>
      <c r="F1595" s="41" t="s">
        <v>1246</v>
      </c>
      <c r="G1595" s="21" t="str">
        <f>VLOOKUP(D1595,[6]成飞半成品!$A:$B,2,0)</f>
        <v>根肋后段</v>
      </c>
      <c r="H1595" s="10" t="s">
        <v>154</v>
      </c>
      <c r="I1595" s="10">
        <v>55</v>
      </c>
      <c r="J1595" s="10" t="s">
        <v>2223</v>
      </c>
      <c r="K1595" s="10">
        <v>1.4</v>
      </c>
      <c r="L1595" s="10">
        <v>1.2</v>
      </c>
      <c r="M1595" s="14">
        <v>28</v>
      </c>
      <c r="N1595" s="14">
        <v>26</v>
      </c>
      <c r="O1595" s="55" t="s">
        <v>1304</v>
      </c>
      <c r="Q1595" s="10">
        <v>700</v>
      </c>
      <c r="R1595" s="10">
        <v>90</v>
      </c>
      <c r="T1595" s="10">
        <v>1</v>
      </c>
      <c r="U1595" s="10">
        <v>120</v>
      </c>
      <c r="W1595" s="14"/>
      <c r="X1595" s="14">
        <v>3</v>
      </c>
      <c r="Y1595" s="79">
        <v>18.5</v>
      </c>
      <c r="Z1595" s="56" t="s">
        <v>26</v>
      </c>
      <c r="AA1595" s="14" t="s">
        <v>953</v>
      </c>
    </row>
    <row r="1596" spans="1:27" ht="23.1" customHeight="1" x14ac:dyDescent="0.25">
      <c r="A1596" s="53" t="s">
        <v>1244</v>
      </c>
      <c r="B1596" s="10" t="s">
        <v>113</v>
      </c>
      <c r="C1596" s="10">
        <v>121</v>
      </c>
      <c r="D1596" s="10" t="s">
        <v>173</v>
      </c>
      <c r="E1596" s="41" t="s">
        <v>174</v>
      </c>
      <c r="F1596" s="41" t="s">
        <v>1246</v>
      </c>
      <c r="G1596" s="21" t="str">
        <f>VLOOKUP(D1596,[6]成飞半成品!$A:$B,2,0)</f>
        <v>根肋后段</v>
      </c>
      <c r="H1596" s="10" t="s">
        <v>154</v>
      </c>
      <c r="I1596" s="10">
        <v>50</v>
      </c>
      <c r="J1596" s="10" t="s">
        <v>2210</v>
      </c>
      <c r="K1596" s="10">
        <v>0.2</v>
      </c>
      <c r="L1596" s="10">
        <v>0.8</v>
      </c>
      <c r="M1596" s="14">
        <v>5</v>
      </c>
      <c r="N1596" s="14"/>
      <c r="O1596" s="55" t="s">
        <v>421</v>
      </c>
      <c r="Q1596" s="10">
        <v>2100</v>
      </c>
      <c r="R1596" s="10">
        <v>90</v>
      </c>
      <c r="T1596" s="10">
        <v>1</v>
      </c>
      <c r="U1596" s="10">
        <v>150</v>
      </c>
      <c r="W1596" s="14">
        <v>1</v>
      </c>
      <c r="Y1596" s="79">
        <v>32</v>
      </c>
      <c r="Z1596" s="56" t="s">
        <v>26</v>
      </c>
    </row>
    <row r="1597" spans="1:27" ht="23.1" customHeight="1" x14ac:dyDescent="0.25">
      <c r="A1597" s="53" t="s">
        <v>1244</v>
      </c>
      <c r="B1597" s="10" t="s">
        <v>113</v>
      </c>
      <c r="C1597" s="10">
        <v>47</v>
      </c>
      <c r="D1597" s="25" t="s">
        <v>294</v>
      </c>
      <c r="E1597" s="41" t="s">
        <v>284</v>
      </c>
      <c r="F1597" s="41" t="s">
        <v>284</v>
      </c>
      <c r="G1597" s="21" t="str">
        <f>VLOOKUP(D1597,[6]成飞半成品!$A:$B,2,0)</f>
        <v>梁（左件）</v>
      </c>
      <c r="H1597" s="10" t="s">
        <v>123</v>
      </c>
      <c r="I1597" s="10">
        <v>30</v>
      </c>
      <c r="J1597" s="10" t="s">
        <v>2199</v>
      </c>
      <c r="K1597" s="10">
        <v>1</v>
      </c>
      <c r="L1597" s="10">
        <v>1</v>
      </c>
      <c r="M1597" s="14">
        <v>28</v>
      </c>
      <c r="N1597" s="14"/>
      <c r="O1597" s="55" t="s">
        <v>1305</v>
      </c>
      <c r="Q1597" s="10">
        <v>720</v>
      </c>
      <c r="R1597" s="10">
        <v>120</v>
      </c>
      <c r="T1597" s="10">
        <v>1</v>
      </c>
      <c r="U1597" s="10">
        <v>90</v>
      </c>
      <c r="W1597" s="14">
        <v>1</v>
      </c>
      <c r="X1597" s="10">
        <v>3</v>
      </c>
      <c r="Y1597" s="79">
        <v>18.5</v>
      </c>
      <c r="Z1597" s="56" t="s">
        <v>22</v>
      </c>
      <c r="AA1597" s="14" t="s">
        <v>1306</v>
      </c>
    </row>
    <row r="1598" spans="1:27" ht="23.1" customHeight="1" x14ac:dyDescent="0.25">
      <c r="A1598" s="53" t="s">
        <v>1244</v>
      </c>
      <c r="B1598" s="10" t="s">
        <v>113</v>
      </c>
      <c r="C1598" s="10">
        <v>23</v>
      </c>
      <c r="D1598" s="10" t="s">
        <v>498</v>
      </c>
      <c r="E1598" s="41" t="s">
        <v>499</v>
      </c>
      <c r="F1598" s="41" t="s">
        <v>499</v>
      </c>
      <c r="G1598" s="21" t="str">
        <f>VLOOKUP(D1598,[6]成飞半成品!$A:$B,2,0)</f>
        <v>10540中框</v>
      </c>
      <c r="H1598" s="10" t="s">
        <v>118</v>
      </c>
      <c r="I1598" s="10">
        <v>5</v>
      </c>
      <c r="J1598" s="10" t="s">
        <v>1930</v>
      </c>
      <c r="K1598" s="10">
        <v>4</v>
      </c>
      <c r="L1598" s="10">
        <v>4</v>
      </c>
      <c r="M1598" s="14">
        <v>37</v>
      </c>
      <c r="N1598" s="14">
        <v>37</v>
      </c>
      <c r="O1598" s="55" t="s">
        <v>1307</v>
      </c>
      <c r="Q1598" s="10">
        <v>60</v>
      </c>
      <c r="R1598" s="10">
        <v>60</v>
      </c>
      <c r="T1598" s="10">
        <v>4</v>
      </c>
      <c r="U1598" s="10">
        <v>120</v>
      </c>
      <c r="W1598" s="14"/>
      <c r="X1598" s="14">
        <v>1.5</v>
      </c>
      <c r="Y1598" s="79">
        <v>9.5</v>
      </c>
      <c r="Z1598" s="56" t="s">
        <v>22</v>
      </c>
      <c r="AA1598" s="14" t="s">
        <v>1308</v>
      </c>
    </row>
    <row r="1599" spans="1:27" ht="23.1" customHeight="1" x14ac:dyDescent="0.25">
      <c r="A1599" s="53" t="s">
        <v>1244</v>
      </c>
      <c r="B1599" s="10" t="s">
        <v>113</v>
      </c>
      <c r="C1599" s="10">
        <v>23</v>
      </c>
      <c r="D1599" s="10" t="s">
        <v>987</v>
      </c>
      <c r="E1599" s="41" t="s">
        <v>988</v>
      </c>
      <c r="F1599" s="41" t="s">
        <v>988</v>
      </c>
      <c r="G1599" s="21" t="str">
        <f>VLOOKUP(D1599,[6]成飞半成品!$A:$B,2,0)</f>
        <v>8270左隔框</v>
      </c>
      <c r="H1599" s="10" t="s">
        <v>300</v>
      </c>
      <c r="I1599" s="10">
        <v>25</v>
      </c>
      <c r="J1599" s="10" t="s">
        <v>2224</v>
      </c>
      <c r="K1599" s="10">
        <v>0.2</v>
      </c>
      <c r="L1599" s="10">
        <v>0.2</v>
      </c>
      <c r="M1599" s="14">
        <v>37</v>
      </c>
      <c r="N1599" s="14">
        <v>37</v>
      </c>
      <c r="O1599" s="55" t="s">
        <v>1132</v>
      </c>
      <c r="Q1599" s="10">
        <v>720</v>
      </c>
      <c r="R1599" s="10">
        <v>60</v>
      </c>
      <c r="U1599" s="10">
        <v>90</v>
      </c>
      <c r="W1599" s="14"/>
      <c r="X1599" s="14">
        <v>2</v>
      </c>
      <c r="Y1599" s="79">
        <v>4.4000000000000004</v>
      </c>
      <c r="Z1599" s="56" t="s">
        <v>22</v>
      </c>
      <c r="AA1599" s="14" t="s">
        <v>953</v>
      </c>
    </row>
    <row r="1600" spans="1:27" ht="23.1" customHeight="1" x14ac:dyDescent="0.25">
      <c r="A1600" s="53" t="s">
        <v>1244</v>
      </c>
      <c r="B1600" s="10" t="s">
        <v>113</v>
      </c>
      <c r="C1600" s="10">
        <v>23</v>
      </c>
      <c r="D1600" s="10" t="s">
        <v>498</v>
      </c>
      <c r="E1600" s="41" t="s">
        <v>499</v>
      </c>
      <c r="F1600" s="41" t="s">
        <v>499</v>
      </c>
      <c r="G1600" s="21" t="str">
        <f>VLOOKUP(D1600,[6]成飞半成品!$A:$B,2,0)</f>
        <v>10540中框</v>
      </c>
      <c r="H1600" s="10" t="s">
        <v>118</v>
      </c>
      <c r="I1600" s="10">
        <v>5</v>
      </c>
      <c r="J1600" s="10" t="s">
        <v>1930</v>
      </c>
      <c r="K1600" s="10">
        <v>3</v>
      </c>
      <c r="L1600" s="10">
        <v>3</v>
      </c>
      <c r="M1600" s="14">
        <v>26</v>
      </c>
      <c r="N1600" s="14">
        <v>37</v>
      </c>
      <c r="O1600" s="55" t="s">
        <v>1307</v>
      </c>
      <c r="Q1600" s="10">
        <v>60</v>
      </c>
      <c r="R1600" s="10">
        <v>60</v>
      </c>
      <c r="T1600" s="10">
        <v>3</v>
      </c>
      <c r="U1600" s="10">
        <v>120</v>
      </c>
      <c r="W1600" s="14">
        <v>1</v>
      </c>
      <c r="Y1600" s="79">
        <v>8</v>
      </c>
      <c r="Z1600" s="56" t="s">
        <v>22</v>
      </c>
    </row>
    <row r="1601" spans="1:28" ht="23.1" customHeight="1" x14ac:dyDescent="0.25">
      <c r="A1601" s="53" t="s">
        <v>1244</v>
      </c>
      <c r="B1601" s="10" t="s">
        <v>113</v>
      </c>
      <c r="C1601" s="10">
        <v>10</v>
      </c>
      <c r="D1601" s="10" t="s">
        <v>217</v>
      </c>
      <c r="E1601" s="41" t="s">
        <v>218</v>
      </c>
      <c r="F1601" s="41" t="s">
        <v>218</v>
      </c>
      <c r="G1601" s="21" t="str">
        <f>VLOOKUP(D1601,[6]成飞半成品!$A:$B,2,0)</f>
        <v>横梁</v>
      </c>
      <c r="H1601" s="10" t="s">
        <v>107</v>
      </c>
      <c r="I1601" s="10">
        <v>55</v>
      </c>
      <c r="J1601" s="10" t="s">
        <v>2227</v>
      </c>
      <c r="K1601" s="10">
        <v>2</v>
      </c>
      <c r="L1601" s="10">
        <v>1.2</v>
      </c>
      <c r="M1601" s="14">
        <v>9</v>
      </c>
      <c r="N1601" s="14">
        <v>31</v>
      </c>
      <c r="O1601" s="55" t="s">
        <v>219</v>
      </c>
      <c r="Q1601" s="10">
        <v>270</v>
      </c>
      <c r="U1601" s="10">
        <v>90</v>
      </c>
      <c r="W1601" s="14">
        <v>1</v>
      </c>
      <c r="X1601" s="14">
        <v>1</v>
      </c>
      <c r="Y1601" s="79">
        <v>7.9</v>
      </c>
      <c r="Z1601" s="56" t="s">
        <v>23</v>
      </c>
      <c r="AA1601" s="14" t="s">
        <v>1309</v>
      </c>
      <c r="AB1601" s="14" t="s">
        <v>957</v>
      </c>
    </row>
    <row r="1602" spans="1:28" ht="23.1" customHeight="1" x14ac:dyDescent="0.25">
      <c r="A1602" s="53" t="s">
        <v>1244</v>
      </c>
      <c r="B1602" s="10" t="s">
        <v>113</v>
      </c>
      <c r="C1602" s="10">
        <v>10</v>
      </c>
      <c r="D1602" s="10" t="s">
        <v>946</v>
      </c>
      <c r="E1602" s="41" t="s">
        <v>947</v>
      </c>
      <c r="F1602" s="41" t="s">
        <v>947</v>
      </c>
      <c r="G1602" s="21" t="str">
        <f>VLOOKUP(D1602,[6]成飞半成品!$A:$B,2,0)</f>
        <v>5755横框</v>
      </c>
      <c r="H1602" s="10" t="s">
        <v>300</v>
      </c>
      <c r="I1602" s="10">
        <v>30</v>
      </c>
      <c r="J1602" s="10" t="s">
        <v>2216</v>
      </c>
      <c r="L1602" s="10">
        <v>0.2</v>
      </c>
      <c r="M1602" s="14">
        <v>26</v>
      </c>
      <c r="N1602" s="14"/>
      <c r="O1602" s="55" t="s">
        <v>1310</v>
      </c>
      <c r="Q1602" s="10">
        <v>320</v>
      </c>
      <c r="U1602" s="10">
        <v>90</v>
      </c>
      <c r="W1602" s="14"/>
      <c r="Y1602" s="79">
        <v>1.1000000000000001</v>
      </c>
      <c r="Z1602" s="56" t="s">
        <v>23</v>
      </c>
    </row>
    <row r="1603" spans="1:28" ht="23.1" customHeight="1" x14ac:dyDescent="0.25">
      <c r="A1603" s="53" t="s">
        <v>1244</v>
      </c>
      <c r="B1603" s="10" t="s">
        <v>113</v>
      </c>
      <c r="C1603" s="10">
        <v>79</v>
      </c>
      <c r="D1603" s="10" t="s">
        <v>152</v>
      </c>
      <c r="E1603" s="41" t="s">
        <v>153</v>
      </c>
      <c r="F1603" s="41" t="s">
        <v>1247</v>
      </c>
      <c r="G1603" s="21" t="str">
        <f>VLOOKUP(D1603,[6]成飞半成品!$A:$B,2,0)</f>
        <v>根肋前段</v>
      </c>
      <c r="H1603" s="10" t="s">
        <v>154</v>
      </c>
      <c r="I1603" s="10">
        <v>50</v>
      </c>
      <c r="J1603" s="10" t="s">
        <v>2204</v>
      </c>
      <c r="K1603" s="10">
        <v>0.3</v>
      </c>
      <c r="L1603" s="10">
        <v>0.4</v>
      </c>
      <c r="M1603" s="14">
        <v>28</v>
      </c>
      <c r="N1603" s="14"/>
      <c r="O1603" s="55" t="s">
        <v>421</v>
      </c>
      <c r="Q1603" s="10">
        <v>3700</v>
      </c>
      <c r="R1603" s="10">
        <v>90</v>
      </c>
      <c r="U1603" s="10">
        <v>180</v>
      </c>
      <c r="W1603" s="14"/>
      <c r="Y1603" s="79">
        <v>24.7</v>
      </c>
      <c r="Z1603" s="56" t="s">
        <v>5</v>
      </c>
    </row>
    <row r="1604" spans="1:28" ht="23.1" customHeight="1" x14ac:dyDescent="0.25">
      <c r="A1604" s="53" t="s">
        <v>1244</v>
      </c>
      <c r="B1604" s="10" t="s">
        <v>113</v>
      </c>
      <c r="C1604" s="10">
        <v>14</v>
      </c>
      <c r="D1604" s="10" t="s">
        <v>1257</v>
      </c>
      <c r="E1604" s="41" t="s">
        <v>806</v>
      </c>
      <c r="F1604" s="41" t="s">
        <v>806</v>
      </c>
      <c r="G1604" s="21" t="str">
        <f>VLOOKUP(D1604,[6]成飞半成品!$A:$B,2,0)</f>
        <v>前缘短肋</v>
      </c>
      <c r="H1604" s="10" t="s">
        <v>154</v>
      </c>
      <c r="I1604" s="10">
        <v>15</v>
      </c>
      <c r="J1604" s="10" t="s">
        <v>2065</v>
      </c>
      <c r="K1604" s="10">
        <v>0.8</v>
      </c>
      <c r="L1604" s="10">
        <v>1</v>
      </c>
      <c r="M1604" s="14">
        <v>9</v>
      </c>
      <c r="N1604" s="14"/>
      <c r="O1604" s="55" t="s">
        <v>159</v>
      </c>
      <c r="Q1604" s="10">
        <v>630</v>
      </c>
      <c r="U1604" s="10">
        <v>120</v>
      </c>
      <c r="W1604" s="14"/>
      <c r="Y1604" s="79">
        <v>10.5</v>
      </c>
      <c r="Z1604" s="56" t="s">
        <v>60</v>
      </c>
    </row>
    <row r="1605" spans="1:28" ht="23.1" customHeight="1" x14ac:dyDescent="0.25">
      <c r="A1605" s="53" t="s">
        <v>1244</v>
      </c>
      <c r="B1605" s="10" t="s">
        <v>113</v>
      </c>
      <c r="C1605" s="10">
        <v>15</v>
      </c>
      <c r="D1605" s="47" t="s">
        <v>1255</v>
      </c>
      <c r="E1605" s="41" t="s">
        <v>117</v>
      </c>
      <c r="F1605" s="41" t="s">
        <v>117</v>
      </c>
      <c r="G1605" s="21" t="str">
        <f>VLOOKUP(D1605,[6]成飞半成品!$A:$B,2,0)</f>
        <v>7820~8270侧上梁</v>
      </c>
      <c r="H1605" s="10" t="s">
        <v>118</v>
      </c>
      <c r="I1605" s="10">
        <v>25</v>
      </c>
      <c r="J1605" s="10" t="s">
        <v>2018</v>
      </c>
      <c r="K1605" s="10">
        <v>0.8</v>
      </c>
      <c r="L1605" s="10">
        <v>1.3</v>
      </c>
      <c r="M1605" s="14">
        <v>28</v>
      </c>
      <c r="N1605" s="14">
        <v>23</v>
      </c>
      <c r="O1605" s="55" t="s">
        <v>419</v>
      </c>
      <c r="Q1605" s="10">
        <v>900</v>
      </c>
      <c r="U1605" s="10">
        <v>120</v>
      </c>
      <c r="W1605" s="14"/>
      <c r="Y1605" s="79">
        <v>19.5</v>
      </c>
      <c r="Z1605" s="56" t="s">
        <v>60</v>
      </c>
    </row>
    <row r="1606" spans="1:28" ht="23.1" customHeight="1" x14ac:dyDescent="0.25">
      <c r="A1606" s="53" t="s">
        <v>1244</v>
      </c>
      <c r="B1606" s="10" t="s">
        <v>113</v>
      </c>
      <c r="C1606" s="10">
        <v>58</v>
      </c>
      <c r="D1606" s="10" t="s">
        <v>1264</v>
      </c>
      <c r="E1606" s="41" t="s">
        <v>409</v>
      </c>
      <c r="F1606" s="41" t="s">
        <v>409</v>
      </c>
      <c r="G1606" s="21" t="str">
        <f>VLOOKUP(D1606,[6]成飞半成品!$A:$B,2,0)</f>
        <v>接头</v>
      </c>
      <c r="H1606" s="10" t="s">
        <v>102</v>
      </c>
      <c r="I1606" s="10">
        <v>25</v>
      </c>
      <c r="J1606" s="10" t="s">
        <v>2208</v>
      </c>
      <c r="L1606" s="10">
        <v>1</v>
      </c>
      <c r="M1606" s="14">
        <v>26</v>
      </c>
      <c r="N1606" s="14"/>
      <c r="O1606" s="55" t="s">
        <v>596</v>
      </c>
      <c r="Q1606" s="10">
        <v>55</v>
      </c>
      <c r="U1606" s="10">
        <v>90</v>
      </c>
      <c r="W1606" s="14"/>
      <c r="Y1606" s="79">
        <v>0.9</v>
      </c>
      <c r="Z1606" s="56" t="s">
        <v>0</v>
      </c>
    </row>
    <row r="1607" spans="1:28" ht="23.1" customHeight="1" x14ac:dyDescent="0.25">
      <c r="A1607" s="53" t="s">
        <v>1244</v>
      </c>
      <c r="B1607" s="10" t="s">
        <v>113</v>
      </c>
      <c r="C1607" s="10">
        <v>58</v>
      </c>
      <c r="D1607" s="10" t="s">
        <v>1311</v>
      </c>
      <c r="E1607" s="41" t="s">
        <v>409</v>
      </c>
      <c r="F1607" s="41" t="s">
        <v>409</v>
      </c>
      <c r="G1607" s="21" t="str">
        <f>VLOOKUP(D1607,[6]成飞半成品!$A:$B,2,0)</f>
        <v>接头</v>
      </c>
      <c r="H1607" s="10" t="s">
        <v>102</v>
      </c>
      <c r="I1607" s="10">
        <v>25</v>
      </c>
      <c r="J1607" s="10" t="s">
        <v>2208</v>
      </c>
      <c r="L1607" s="10">
        <v>1</v>
      </c>
      <c r="M1607" s="14">
        <v>26</v>
      </c>
      <c r="N1607" s="14"/>
      <c r="O1607" s="55" t="s">
        <v>596</v>
      </c>
      <c r="Q1607" s="10">
        <v>55</v>
      </c>
      <c r="U1607" s="10">
        <v>90</v>
      </c>
      <c r="W1607" s="14">
        <v>1</v>
      </c>
      <c r="X1607" s="14">
        <v>2</v>
      </c>
      <c r="Y1607" s="79">
        <v>4.4000000000000004</v>
      </c>
      <c r="Z1607" s="56" t="s">
        <v>0</v>
      </c>
      <c r="AA1607" s="14" t="s">
        <v>926</v>
      </c>
      <c r="AB1607" s="25" t="s">
        <v>238</v>
      </c>
    </row>
    <row r="1608" spans="1:28" ht="23.1" customHeight="1" x14ac:dyDescent="0.25">
      <c r="A1608" s="53" t="s">
        <v>1244</v>
      </c>
      <c r="B1608" s="10" t="s">
        <v>113</v>
      </c>
      <c r="C1608" s="10">
        <v>57</v>
      </c>
      <c r="D1608" s="10" t="s">
        <v>1031</v>
      </c>
      <c r="E1608" s="41" t="s">
        <v>1032</v>
      </c>
      <c r="F1608" s="41" t="s">
        <v>1032</v>
      </c>
      <c r="G1608" s="21" t="str">
        <f>VLOOKUP(D1608,[6]成飞半成品!$A:$B,2,0)</f>
        <v>前上大梁（左）</v>
      </c>
      <c r="H1608" s="10" t="s">
        <v>107</v>
      </c>
      <c r="I1608" s="10">
        <v>25</v>
      </c>
      <c r="J1608" s="10" t="s">
        <v>2054</v>
      </c>
      <c r="K1608" s="10">
        <v>6</v>
      </c>
      <c r="L1608" s="10">
        <v>6</v>
      </c>
      <c r="M1608" s="14">
        <v>37</v>
      </c>
      <c r="N1608" s="14">
        <v>37</v>
      </c>
      <c r="O1608" s="55" t="s">
        <v>1312</v>
      </c>
      <c r="Q1608" s="10">
        <v>90</v>
      </c>
      <c r="U1608" s="10">
        <v>60</v>
      </c>
      <c r="W1608" s="14">
        <v>1</v>
      </c>
      <c r="Y1608" s="79">
        <v>10</v>
      </c>
      <c r="Z1608" s="56" t="s">
        <v>0</v>
      </c>
    </row>
    <row r="1609" spans="1:28" ht="23.1" customHeight="1" x14ac:dyDescent="0.25">
      <c r="A1609" s="53" t="s">
        <v>1244</v>
      </c>
      <c r="B1609" s="10" t="s">
        <v>113</v>
      </c>
      <c r="C1609" s="10">
        <v>57</v>
      </c>
      <c r="D1609" s="10" t="s">
        <v>1031</v>
      </c>
      <c r="E1609" s="41" t="s">
        <v>1032</v>
      </c>
      <c r="F1609" s="41" t="s">
        <v>1032</v>
      </c>
      <c r="G1609" s="21" t="str">
        <f>VLOOKUP(D1609,[6]成飞半成品!$A:$B,2,0)</f>
        <v>前上大梁（左）</v>
      </c>
      <c r="H1609" s="10" t="s">
        <v>107</v>
      </c>
      <c r="I1609" s="10">
        <v>25</v>
      </c>
      <c r="J1609" s="10" t="s">
        <v>2054</v>
      </c>
      <c r="L1609" s="10">
        <v>2</v>
      </c>
      <c r="M1609" s="14">
        <v>37</v>
      </c>
      <c r="N1609" s="14">
        <v>37</v>
      </c>
      <c r="O1609" s="55" t="s">
        <v>1312</v>
      </c>
      <c r="Q1609" s="10">
        <v>90</v>
      </c>
      <c r="U1609" s="10">
        <v>60</v>
      </c>
      <c r="W1609" s="14"/>
      <c r="Y1609" s="79">
        <v>3</v>
      </c>
      <c r="Z1609" s="56" t="s">
        <v>0</v>
      </c>
    </row>
    <row r="1610" spans="1:28" ht="23.1" customHeight="1" x14ac:dyDescent="0.25">
      <c r="A1610" s="53" t="s">
        <v>1244</v>
      </c>
      <c r="B1610" s="10" t="s">
        <v>113</v>
      </c>
      <c r="C1610" s="10">
        <v>59</v>
      </c>
      <c r="D1610" s="10" t="s">
        <v>1295</v>
      </c>
      <c r="E1610" s="41" t="s">
        <v>409</v>
      </c>
      <c r="F1610" s="41" t="s">
        <v>409</v>
      </c>
      <c r="G1610" s="21" t="str">
        <f>VLOOKUP(D1610,[6]成飞半成品!$A:$B,2,0)</f>
        <v>接头</v>
      </c>
      <c r="H1610" s="10" t="s">
        <v>102</v>
      </c>
      <c r="I1610" s="10">
        <v>30</v>
      </c>
      <c r="J1610" s="10" t="s">
        <v>2468</v>
      </c>
      <c r="L1610" s="10">
        <v>4</v>
      </c>
      <c r="M1610" s="14">
        <v>26</v>
      </c>
      <c r="N1610" s="14">
        <v>26</v>
      </c>
      <c r="O1610" s="55" t="s">
        <v>596</v>
      </c>
      <c r="Q1610" s="10">
        <v>20</v>
      </c>
      <c r="U1610" s="10">
        <v>60</v>
      </c>
      <c r="W1610" s="14">
        <v>1</v>
      </c>
      <c r="Y1610" s="79">
        <v>2.2999999999999998</v>
      </c>
      <c r="Z1610" s="56" t="s">
        <v>6</v>
      </c>
      <c r="AA1610" s="14" t="s">
        <v>1313</v>
      </c>
      <c r="AB1610" s="25" t="s">
        <v>238</v>
      </c>
    </row>
    <row r="1611" spans="1:28" ht="23.1" customHeight="1" x14ac:dyDescent="0.25">
      <c r="A1611" s="53" t="s">
        <v>1244</v>
      </c>
      <c r="B1611" s="10" t="s">
        <v>113</v>
      </c>
      <c r="C1611" s="10">
        <v>59</v>
      </c>
      <c r="D1611" s="65" t="s">
        <v>2554</v>
      </c>
      <c r="E1611" s="41" t="s">
        <v>1315</v>
      </c>
      <c r="F1611" s="41" t="e">
        <v>#N/A</v>
      </c>
      <c r="G1611" s="21" t="str">
        <f>VLOOKUP(D1611,[6]成飞半成品!$A:$B,2,0)</f>
        <v>工装</v>
      </c>
      <c r="H1611" s="10" t="s">
        <v>102</v>
      </c>
      <c r="I1611" s="10">
        <v>10</v>
      </c>
      <c r="L1611" s="10">
        <v>1</v>
      </c>
      <c r="M1611" s="14">
        <v>26</v>
      </c>
      <c r="N1611" s="14"/>
      <c r="W1611" s="14">
        <v>1</v>
      </c>
      <c r="X1611" s="14">
        <v>5</v>
      </c>
      <c r="Y1611" s="79">
        <v>5</v>
      </c>
      <c r="Z1611" s="56" t="s">
        <v>6</v>
      </c>
      <c r="AA1611" s="14" t="s">
        <v>1316</v>
      </c>
    </row>
    <row r="1612" spans="1:28" ht="23.1" customHeight="1" x14ac:dyDescent="0.25">
      <c r="A1612" s="53" t="s">
        <v>1244</v>
      </c>
      <c r="B1612" s="10" t="s">
        <v>113</v>
      </c>
      <c r="C1612" s="10">
        <v>59</v>
      </c>
      <c r="D1612" s="25" t="s">
        <v>2551</v>
      </c>
      <c r="E1612" s="41" t="s">
        <v>1318</v>
      </c>
      <c r="F1612" s="41" t="e">
        <v>#N/A</v>
      </c>
      <c r="G1612" s="21" t="str">
        <f>VLOOKUP(D1612,[6]成飞半成品!$A:$B,2,0)</f>
        <v>工装</v>
      </c>
      <c r="H1612" s="10" t="s">
        <v>102</v>
      </c>
      <c r="I1612" s="10">
        <v>10</v>
      </c>
      <c r="L1612" s="10">
        <v>1</v>
      </c>
      <c r="M1612" s="14">
        <v>26</v>
      </c>
      <c r="N1612" s="14"/>
      <c r="W1612" s="14">
        <v>1</v>
      </c>
      <c r="X1612" s="14">
        <v>3</v>
      </c>
      <c r="Y1612" s="79">
        <v>3</v>
      </c>
      <c r="Z1612" s="56" t="s">
        <v>6</v>
      </c>
      <c r="AA1612" s="14" t="s">
        <v>1319</v>
      </c>
    </row>
    <row r="1613" spans="1:28" ht="23.1" customHeight="1" x14ac:dyDescent="0.25">
      <c r="A1613" s="53" t="s">
        <v>1244</v>
      </c>
      <c r="B1613" s="10" t="s">
        <v>113</v>
      </c>
      <c r="C1613" s="10">
        <v>21</v>
      </c>
      <c r="D1613" s="10" t="s">
        <v>321</v>
      </c>
      <c r="E1613" s="41" t="s">
        <v>322</v>
      </c>
      <c r="F1613" s="41" t="s">
        <v>322</v>
      </c>
      <c r="G1613" s="21" t="str">
        <f>VLOOKUP(D1613,[6]成飞半成品!$A:$B,2,0)</f>
        <v>10860框</v>
      </c>
      <c r="H1613" s="10" t="s">
        <v>323</v>
      </c>
      <c r="I1613" s="10">
        <v>50</v>
      </c>
      <c r="J1613" s="10" t="s">
        <v>1986</v>
      </c>
      <c r="K1613" s="10">
        <v>1</v>
      </c>
      <c r="L1613" s="10">
        <v>1</v>
      </c>
      <c r="M1613" s="14">
        <v>26</v>
      </c>
      <c r="N1613" s="14"/>
      <c r="O1613" s="55" t="s">
        <v>801</v>
      </c>
      <c r="Q1613" s="10">
        <v>630</v>
      </c>
      <c r="R1613" s="10">
        <v>120</v>
      </c>
      <c r="T1613" s="10">
        <v>1</v>
      </c>
      <c r="U1613" s="10">
        <v>180</v>
      </c>
      <c r="W1613" s="14"/>
      <c r="Y1613" s="79">
        <v>12.5</v>
      </c>
      <c r="Z1613" s="56" t="s">
        <v>49</v>
      </c>
    </row>
    <row r="1614" spans="1:28" ht="23.1" customHeight="1" x14ac:dyDescent="0.25">
      <c r="A1614" s="53" t="s">
        <v>1244</v>
      </c>
      <c r="B1614" s="10" t="s">
        <v>113</v>
      </c>
      <c r="C1614" s="10">
        <v>76</v>
      </c>
      <c r="D1614" s="10" t="s">
        <v>1259</v>
      </c>
      <c r="E1614" s="41" t="s">
        <v>1040</v>
      </c>
      <c r="F1614" s="41" t="s">
        <v>1040</v>
      </c>
      <c r="G1614" s="21" t="str">
        <f>VLOOKUP(D1614,[6]成飞半成品!$A:$B,2,0)</f>
        <v>底部连接接头</v>
      </c>
      <c r="H1614" s="10" t="s">
        <v>102</v>
      </c>
      <c r="I1614" s="10">
        <v>10</v>
      </c>
      <c r="J1614" s="10" t="s">
        <v>2469</v>
      </c>
      <c r="K1614" s="10">
        <v>5</v>
      </c>
      <c r="L1614" s="10">
        <v>8</v>
      </c>
      <c r="M1614" s="14">
        <v>28</v>
      </c>
      <c r="N1614" s="14">
        <v>23</v>
      </c>
      <c r="O1614" s="55" t="s">
        <v>596</v>
      </c>
      <c r="P1614" s="10">
        <v>90</v>
      </c>
      <c r="Q1614" s="10">
        <v>60</v>
      </c>
      <c r="U1614" s="10">
        <v>90</v>
      </c>
      <c r="W1614" s="14">
        <v>1</v>
      </c>
      <c r="X1614" s="14">
        <v>3</v>
      </c>
      <c r="Y1614" s="83">
        <v>15</v>
      </c>
      <c r="Z1614" s="56" t="s">
        <v>12</v>
      </c>
      <c r="AA1614" s="14" t="s">
        <v>1320</v>
      </c>
      <c r="AB1614" s="25" t="s">
        <v>238</v>
      </c>
    </row>
    <row r="1615" spans="1:28" ht="23.1" customHeight="1" x14ac:dyDescent="0.25">
      <c r="A1615" s="53" t="s">
        <v>1244</v>
      </c>
      <c r="B1615" s="10" t="s">
        <v>113</v>
      </c>
      <c r="C1615" s="10">
        <v>10</v>
      </c>
      <c r="D1615" s="10" t="s">
        <v>217</v>
      </c>
      <c r="E1615" s="41" t="s">
        <v>218</v>
      </c>
      <c r="F1615" s="41" t="s">
        <v>218</v>
      </c>
      <c r="G1615" s="21" t="str">
        <f>VLOOKUP(D1615,[6]成飞半成品!$A:$B,2,0)</f>
        <v>横梁</v>
      </c>
      <c r="H1615" s="10" t="s">
        <v>107</v>
      </c>
      <c r="I1615" s="10">
        <v>55</v>
      </c>
      <c r="J1615" s="10" t="s">
        <v>2227</v>
      </c>
      <c r="M1615" s="14"/>
      <c r="N1615" s="14"/>
      <c r="O1615" s="55" t="s">
        <v>219</v>
      </c>
      <c r="Q1615" s="10">
        <v>270</v>
      </c>
      <c r="U1615" s="10">
        <v>90</v>
      </c>
      <c r="W1615" s="14"/>
      <c r="X1615" s="14">
        <v>3</v>
      </c>
      <c r="Y1615" s="79">
        <v>3</v>
      </c>
      <c r="Z1615" s="56" t="s">
        <v>23</v>
      </c>
      <c r="AA1615" s="14" t="s">
        <v>1321</v>
      </c>
      <c r="AB1615" s="14" t="s">
        <v>957</v>
      </c>
    </row>
    <row r="1616" spans="1:28" ht="23.1" customHeight="1" x14ac:dyDescent="0.25">
      <c r="A1616" s="53" t="s">
        <v>1244</v>
      </c>
      <c r="B1616" s="10" t="s">
        <v>113</v>
      </c>
      <c r="C1616" s="10">
        <v>12</v>
      </c>
      <c r="D1616" s="10" t="s">
        <v>735</v>
      </c>
      <c r="E1616" s="41" t="s">
        <v>249</v>
      </c>
      <c r="F1616" s="41" t="s">
        <v>249</v>
      </c>
      <c r="G1616" s="21" t="str">
        <f>VLOOKUP(D1616,[6]成飞半成品!$A:$B,2,0)</f>
        <v>10060下接头</v>
      </c>
      <c r="H1616" s="10" t="s">
        <v>250</v>
      </c>
      <c r="I1616" s="10">
        <v>25</v>
      </c>
      <c r="J1616" s="10" t="s">
        <v>1923</v>
      </c>
      <c r="K1616" s="10">
        <v>1</v>
      </c>
      <c r="L1616" s="10">
        <v>1</v>
      </c>
      <c r="M1616" s="14">
        <v>5</v>
      </c>
      <c r="N1616" s="14"/>
      <c r="O1616" s="55" t="s">
        <v>998</v>
      </c>
      <c r="Q1616" s="10">
        <v>1080</v>
      </c>
      <c r="U1616" s="10">
        <v>120</v>
      </c>
      <c r="W1616" s="14"/>
      <c r="Y1616" s="79">
        <v>18</v>
      </c>
      <c r="Z1616" s="56" t="s">
        <v>10</v>
      </c>
    </row>
    <row r="1617" spans="1:28" ht="23.1" customHeight="1" x14ac:dyDescent="0.25">
      <c r="A1617" s="53" t="s">
        <v>1244</v>
      </c>
      <c r="B1617" s="10" t="s">
        <v>113</v>
      </c>
      <c r="C1617" s="10">
        <v>11</v>
      </c>
      <c r="D1617" s="10" t="s">
        <v>1296</v>
      </c>
      <c r="E1617" s="41" t="s">
        <v>1297</v>
      </c>
      <c r="F1617" s="41" t="s">
        <v>1297</v>
      </c>
      <c r="G1617" s="21" t="str">
        <f>VLOOKUP(D1617,[6]成飞半成品!$A:$B,2,0)</f>
        <v>固定板</v>
      </c>
      <c r="H1617" s="10" t="s">
        <v>154</v>
      </c>
      <c r="I1617" s="10">
        <v>35</v>
      </c>
      <c r="J1617" s="10" t="s">
        <v>2073</v>
      </c>
      <c r="K1617" s="10">
        <v>3.5</v>
      </c>
      <c r="L1617" s="10">
        <v>4</v>
      </c>
      <c r="M1617" s="14">
        <v>37</v>
      </c>
      <c r="N1617" s="14">
        <v>9</v>
      </c>
      <c r="O1617" s="55" t="s">
        <v>199</v>
      </c>
      <c r="Q1617" s="10">
        <v>150</v>
      </c>
      <c r="U1617" s="10">
        <v>60</v>
      </c>
      <c r="W1617" s="14"/>
      <c r="Y1617" s="79">
        <v>10</v>
      </c>
      <c r="Z1617" s="56" t="s">
        <v>71</v>
      </c>
    </row>
    <row r="1618" spans="1:28" ht="23.1" customHeight="1" x14ac:dyDescent="0.25">
      <c r="A1618" s="53" t="s">
        <v>1244</v>
      </c>
      <c r="B1618" s="10" t="s">
        <v>113</v>
      </c>
      <c r="C1618" s="10">
        <v>78</v>
      </c>
      <c r="D1618" s="10" t="s">
        <v>2557</v>
      </c>
      <c r="E1618" s="41" t="s">
        <v>1013</v>
      </c>
      <c r="F1618" s="41" t="s">
        <v>1013</v>
      </c>
      <c r="G1618" s="21" t="str">
        <f>VLOOKUP(D1618,[6]成飞半成品!$A:$B,2,0)</f>
        <v>9350-11140左侧上梁</v>
      </c>
      <c r="H1618" s="10" t="s">
        <v>250</v>
      </c>
      <c r="I1618" s="10">
        <v>40</v>
      </c>
      <c r="J1618" s="10" t="s">
        <v>1902</v>
      </c>
      <c r="K1618" s="10">
        <v>1</v>
      </c>
      <c r="L1618" s="10">
        <v>1</v>
      </c>
      <c r="M1618" s="14">
        <v>31</v>
      </c>
      <c r="N1618" s="14"/>
      <c r="O1618" s="55" t="s">
        <v>216</v>
      </c>
      <c r="Q1618" s="10">
        <v>250</v>
      </c>
      <c r="R1618" s="10">
        <v>60</v>
      </c>
      <c r="T1618" s="10">
        <v>1</v>
      </c>
      <c r="U1618" s="10">
        <v>90</v>
      </c>
      <c r="W1618" s="14"/>
      <c r="Y1618" s="79">
        <v>5.2</v>
      </c>
      <c r="Z1618" s="56" t="s">
        <v>5</v>
      </c>
      <c r="AA1618" s="14" t="s">
        <v>1011</v>
      </c>
      <c r="AB1618" s="25" t="s">
        <v>238</v>
      </c>
    </row>
    <row r="1619" spans="1:28" ht="23.1" customHeight="1" x14ac:dyDescent="0.25">
      <c r="A1619" s="53" t="s">
        <v>1244</v>
      </c>
      <c r="B1619" s="10" t="s">
        <v>113</v>
      </c>
      <c r="C1619" s="10">
        <v>78</v>
      </c>
      <c r="D1619" s="10" t="s">
        <v>177</v>
      </c>
      <c r="E1619" s="41" t="s">
        <v>133</v>
      </c>
      <c r="F1619" s="41" t="s">
        <v>133</v>
      </c>
      <c r="G1619" s="21" t="str">
        <f>VLOOKUP(D1619,[6]成飞半成品!$A:$B,2,0)</f>
        <v>摇臂</v>
      </c>
      <c r="H1619" s="10" t="s">
        <v>102</v>
      </c>
      <c r="I1619" s="10">
        <v>15</v>
      </c>
      <c r="J1619" s="10" t="s">
        <v>1977</v>
      </c>
      <c r="K1619" s="10">
        <v>1</v>
      </c>
      <c r="L1619" s="10">
        <v>2</v>
      </c>
      <c r="M1619" s="14">
        <v>26</v>
      </c>
      <c r="N1619" s="14">
        <v>23</v>
      </c>
      <c r="O1619" s="55" t="s">
        <v>1322</v>
      </c>
      <c r="Q1619" s="10">
        <v>690</v>
      </c>
      <c r="R1619" s="10">
        <v>60</v>
      </c>
      <c r="T1619" s="10">
        <v>2</v>
      </c>
      <c r="U1619" s="10">
        <v>120</v>
      </c>
      <c r="W1619" s="14">
        <v>1</v>
      </c>
      <c r="Y1619" s="79">
        <v>27</v>
      </c>
      <c r="Z1619" s="56" t="s">
        <v>5</v>
      </c>
    </row>
    <row r="1620" spans="1:28" ht="23.1" customHeight="1" x14ac:dyDescent="0.25">
      <c r="A1620" s="53" t="s">
        <v>1244</v>
      </c>
      <c r="B1620" s="10" t="s">
        <v>113</v>
      </c>
      <c r="C1620" s="10">
        <v>22</v>
      </c>
      <c r="D1620" s="10" t="s">
        <v>635</v>
      </c>
      <c r="E1620" s="41" t="s">
        <v>612</v>
      </c>
      <c r="F1620" s="41" t="s">
        <v>612</v>
      </c>
      <c r="G1620" s="21" t="str">
        <f>VLOOKUP(D1620,[6]成飞半成品!$A:$B,2,0)</f>
        <v>前梁二段</v>
      </c>
      <c r="H1620" s="10" t="s">
        <v>154</v>
      </c>
      <c r="I1620" s="10">
        <v>10</v>
      </c>
      <c r="J1620" s="10" t="s">
        <v>1952</v>
      </c>
      <c r="K1620" s="10">
        <v>0.3</v>
      </c>
      <c r="L1620" s="10">
        <v>0.5</v>
      </c>
      <c r="M1620" s="14">
        <v>5</v>
      </c>
      <c r="N1620" s="14"/>
      <c r="O1620" s="55" t="s">
        <v>613</v>
      </c>
      <c r="Q1620" s="10">
        <v>1500</v>
      </c>
      <c r="R1620" s="10">
        <v>180</v>
      </c>
      <c r="U1620" s="10">
        <v>180</v>
      </c>
      <c r="W1620" s="14"/>
      <c r="Y1620" s="79">
        <v>12.5</v>
      </c>
      <c r="Z1620" s="56" t="s">
        <v>49</v>
      </c>
    </row>
    <row r="1621" spans="1:28" ht="23.1" customHeight="1" x14ac:dyDescent="0.25">
      <c r="A1621" s="53" t="s">
        <v>1244</v>
      </c>
      <c r="B1621" s="10" t="s">
        <v>113</v>
      </c>
      <c r="C1621" s="10">
        <v>56</v>
      </c>
      <c r="D1621" s="10" t="s">
        <v>273</v>
      </c>
      <c r="E1621" s="41" t="s">
        <v>274</v>
      </c>
      <c r="F1621" s="41" t="s">
        <v>274</v>
      </c>
      <c r="G1621" s="21" t="str">
        <f>VLOOKUP(D1621,[6]成飞半成品!$A:$B,2,0)</f>
        <v>前起落架水平接头</v>
      </c>
      <c r="H1621" s="10" t="s">
        <v>123</v>
      </c>
      <c r="I1621" s="10">
        <v>58</v>
      </c>
      <c r="L1621" s="10">
        <v>7.5</v>
      </c>
      <c r="M1621" s="14">
        <v>5</v>
      </c>
      <c r="N1621" s="14">
        <v>5</v>
      </c>
      <c r="O1621" s="55" t="s">
        <v>275</v>
      </c>
      <c r="P1621" s="10">
        <v>90</v>
      </c>
      <c r="W1621" s="14"/>
      <c r="Y1621" s="83">
        <v>11.3</v>
      </c>
      <c r="Z1621" s="56" t="s">
        <v>18</v>
      </c>
    </row>
    <row r="1622" spans="1:28" ht="23.1" customHeight="1" x14ac:dyDescent="0.25">
      <c r="A1622" s="53" t="s">
        <v>1244</v>
      </c>
      <c r="B1622" s="10" t="s">
        <v>113</v>
      </c>
      <c r="C1622" s="10">
        <v>56</v>
      </c>
      <c r="D1622" s="10" t="s">
        <v>273</v>
      </c>
      <c r="E1622" s="41" t="s">
        <v>274</v>
      </c>
      <c r="F1622" s="41" t="s">
        <v>274</v>
      </c>
      <c r="G1622" s="21" t="str">
        <f>VLOOKUP(D1622,[6]成飞半成品!$A:$B,2,0)</f>
        <v>前起落架水平接头</v>
      </c>
      <c r="H1622" s="10" t="s">
        <v>123</v>
      </c>
      <c r="I1622" s="10">
        <v>60</v>
      </c>
      <c r="J1622" s="10" t="s">
        <v>2206</v>
      </c>
      <c r="L1622" s="10">
        <v>7.5</v>
      </c>
      <c r="M1622" s="14">
        <v>5</v>
      </c>
      <c r="N1622" s="14">
        <v>5</v>
      </c>
      <c r="O1622" s="55" t="s">
        <v>275</v>
      </c>
      <c r="Q1622" s="10">
        <v>45</v>
      </c>
      <c r="U1622" s="10">
        <v>60</v>
      </c>
      <c r="W1622" s="14"/>
      <c r="Y1622" s="79">
        <v>5.6</v>
      </c>
      <c r="Z1622" s="56" t="s">
        <v>18</v>
      </c>
    </row>
    <row r="1623" spans="1:28" ht="23.1" customHeight="1" x14ac:dyDescent="0.25">
      <c r="A1623" s="53" t="s">
        <v>1244</v>
      </c>
      <c r="B1623" s="10" t="s">
        <v>113</v>
      </c>
      <c r="C1623" s="10">
        <v>18</v>
      </c>
      <c r="D1623" s="10" t="s">
        <v>918</v>
      </c>
      <c r="E1623" s="41" t="s">
        <v>919</v>
      </c>
      <c r="F1623" s="41" t="s">
        <v>919</v>
      </c>
      <c r="G1623" s="21" t="str">
        <f>VLOOKUP(D1623,[6]成飞半成品!$A:$B,2,0)</f>
        <v>雷达罩锁支座</v>
      </c>
      <c r="H1623" s="10" t="s">
        <v>323</v>
      </c>
      <c r="I1623" s="10">
        <v>20</v>
      </c>
      <c r="J1623" s="10" t="s">
        <v>1960</v>
      </c>
      <c r="K1623" s="10">
        <v>4</v>
      </c>
      <c r="L1623" s="10">
        <v>4</v>
      </c>
      <c r="M1623" s="14">
        <v>5</v>
      </c>
      <c r="N1623" s="14">
        <v>5</v>
      </c>
      <c r="O1623" s="55" t="s">
        <v>778</v>
      </c>
      <c r="Q1623" s="10">
        <v>120</v>
      </c>
      <c r="U1623" s="10">
        <v>90</v>
      </c>
      <c r="W1623" s="14"/>
      <c r="Y1623" s="79">
        <v>8</v>
      </c>
      <c r="Z1623" s="56" t="s">
        <v>14</v>
      </c>
    </row>
    <row r="1624" spans="1:28" ht="23.1" customHeight="1" x14ac:dyDescent="0.25">
      <c r="A1624" s="53" t="s">
        <v>1244</v>
      </c>
      <c r="B1624" s="10" t="s">
        <v>113</v>
      </c>
      <c r="C1624" s="10">
        <v>18</v>
      </c>
      <c r="D1624" s="10" t="s">
        <v>918</v>
      </c>
      <c r="E1624" s="41" t="s">
        <v>919</v>
      </c>
      <c r="F1624" s="41" t="s">
        <v>919</v>
      </c>
      <c r="G1624" s="21" t="str">
        <f>VLOOKUP(D1624,[6]成飞半成品!$A:$B,2,0)</f>
        <v>雷达罩锁支座</v>
      </c>
      <c r="H1624" s="10" t="s">
        <v>323</v>
      </c>
      <c r="I1624" s="10">
        <v>20</v>
      </c>
      <c r="J1624" s="10" t="s">
        <v>1960</v>
      </c>
      <c r="L1624" s="10">
        <v>1</v>
      </c>
      <c r="M1624" s="14">
        <v>5</v>
      </c>
      <c r="N1624" s="14">
        <v>5</v>
      </c>
      <c r="O1624" s="55" t="s">
        <v>780</v>
      </c>
      <c r="Q1624" s="10">
        <v>120</v>
      </c>
      <c r="U1624" s="10">
        <v>90</v>
      </c>
      <c r="W1624" s="14">
        <v>1</v>
      </c>
      <c r="Y1624" s="79">
        <v>3.5</v>
      </c>
      <c r="Z1624" s="56" t="s">
        <v>14</v>
      </c>
    </row>
    <row r="1625" spans="1:28" ht="23.1" customHeight="1" x14ac:dyDescent="0.25">
      <c r="A1625" s="53" t="s">
        <v>1244</v>
      </c>
      <c r="B1625" s="10" t="s">
        <v>113</v>
      </c>
      <c r="C1625" s="10">
        <v>9</v>
      </c>
      <c r="D1625" s="10" t="s">
        <v>1287</v>
      </c>
      <c r="E1625" s="41" t="s">
        <v>1288</v>
      </c>
      <c r="F1625" s="41" t="s">
        <v>1367</v>
      </c>
      <c r="G1625" s="21" t="str">
        <f>VLOOKUP(D1625,[6]成飞半成品!$A:$B,2,0)</f>
        <v>垫板</v>
      </c>
      <c r="H1625" s="10" t="s">
        <v>123</v>
      </c>
      <c r="I1625" s="10">
        <v>10</v>
      </c>
      <c r="J1625" s="10" t="s">
        <v>2215</v>
      </c>
      <c r="K1625" s="10">
        <v>1.6</v>
      </c>
      <c r="L1625" s="10">
        <v>1.7</v>
      </c>
      <c r="M1625" s="14">
        <v>26</v>
      </c>
      <c r="N1625" s="14">
        <v>23</v>
      </c>
      <c r="O1625" s="55" t="s">
        <v>1323</v>
      </c>
      <c r="Q1625" s="10">
        <v>390</v>
      </c>
      <c r="U1625" s="10">
        <v>90</v>
      </c>
      <c r="W1625" s="14"/>
      <c r="Y1625" s="79">
        <v>11.1</v>
      </c>
      <c r="Z1625" s="56" t="s">
        <v>23</v>
      </c>
    </row>
    <row r="1626" spans="1:28" ht="23.1" customHeight="1" x14ac:dyDescent="0.25">
      <c r="A1626" s="53" t="s">
        <v>1244</v>
      </c>
      <c r="B1626" s="10" t="s">
        <v>113</v>
      </c>
      <c r="C1626" s="10">
        <v>77</v>
      </c>
      <c r="D1626" s="10" t="s">
        <v>1253</v>
      </c>
      <c r="E1626" s="41" t="s">
        <v>1254</v>
      </c>
      <c r="F1626" s="41" t="s">
        <v>1254</v>
      </c>
      <c r="G1626" s="21" t="str">
        <f>VLOOKUP(D1626,[6]成飞半成品!$A:$B,2,0)</f>
        <v>前支架</v>
      </c>
      <c r="H1626" s="10" t="s">
        <v>300</v>
      </c>
      <c r="I1626" s="10">
        <v>30</v>
      </c>
      <c r="J1626" s="10" t="s">
        <v>2470</v>
      </c>
      <c r="K1626" s="10">
        <v>20</v>
      </c>
      <c r="L1626" s="10">
        <v>15</v>
      </c>
      <c r="M1626" s="14">
        <v>31</v>
      </c>
      <c r="N1626" s="14">
        <v>9</v>
      </c>
      <c r="O1626" s="55" t="s">
        <v>247</v>
      </c>
      <c r="Q1626" s="10">
        <v>50</v>
      </c>
      <c r="U1626" s="10">
        <v>60</v>
      </c>
      <c r="W1626" s="14"/>
      <c r="X1626" s="14">
        <v>3</v>
      </c>
      <c r="Y1626" s="79">
        <v>15.5</v>
      </c>
      <c r="Z1626" s="56" t="s">
        <v>24</v>
      </c>
      <c r="AA1626" s="14" t="s">
        <v>1324</v>
      </c>
      <c r="AB1626" s="25" t="s">
        <v>238</v>
      </c>
    </row>
    <row r="1627" spans="1:28" ht="23.1" customHeight="1" x14ac:dyDescent="0.25">
      <c r="A1627" s="53" t="s">
        <v>1244</v>
      </c>
      <c r="B1627" s="10" t="s">
        <v>113</v>
      </c>
      <c r="C1627" s="10">
        <v>17</v>
      </c>
      <c r="D1627" s="10" t="s">
        <v>1285</v>
      </c>
      <c r="E1627" s="41" t="s">
        <v>1283</v>
      </c>
      <c r="F1627" s="41" t="s">
        <v>1283</v>
      </c>
      <c r="G1627" s="21" t="str">
        <f>VLOOKUP(D1627,[6]成飞半成品!$A:$B,2,0)</f>
        <v>9框前支柱</v>
      </c>
      <c r="H1627" s="10" t="s">
        <v>102</v>
      </c>
      <c r="I1627" s="10">
        <v>15</v>
      </c>
      <c r="J1627" s="10" t="s">
        <v>2075</v>
      </c>
      <c r="L1627" s="10">
        <v>1</v>
      </c>
      <c r="M1627" s="14">
        <v>26</v>
      </c>
      <c r="N1627" s="14"/>
      <c r="O1627" s="55" t="s">
        <v>596</v>
      </c>
      <c r="Q1627" s="10">
        <v>150</v>
      </c>
      <c r="U1627" s="10">
        <v>60</v>
      </c>
      <c r="W1627" s="14"/>
      <c r="Y1627" s="79">
        <v>2.5</v>
      </c>
      <c r="Z1627" s="56" t="s">
        <v>14</v>
      </c>
    </row>
    <row r="1628" spans="1:28" ht="23.1" customHeight="1" x14ac:dyDescent="0.25">
      <c r="A1628" s="53" t="s">
        <v>1244</v>
      </c>
      <c r="B1628" s="10" t="s">
        <v>113</v>
      </c>
      <c r="C1628" s="10">
        <v>17</v>
      </c>
      <c r="D1628" s="10" t="s">
        <v>1285</v>
      </c>
      <c r="E1628" s="41" t="s">
        <v>1283</v>
      </c>
      <c r="F1628" s="41" t="s">
        <v>1283</v>
      </c>
      <c r="G1628" s="21" t="str">
        <f>VLOOKUP(D1628,[6]成飞半成品!$A:$B,2,0)</f>
        <v>9框前支柱</v>
      </c>
      <c r="H1628" s="10" t="s">
        <v>102</v>
      </c>
      <c r="I1628" s="10">
        <v>20</v>
      </c>
      <c r="J1628" s="10" t="s">
        <v>2030</v>
      </c>
      <c r="L1628" s="10">
        <v>1</v>
      </c>
      <c r="M1628" s="14">
        <v>26</v>
      </c>
      <c r="N1628" s="14"/>
      <c r="O1628" s="55" t="s">
        <v>596</v>
      </c>
      <c r="Q1628" s="10">
        <v>210</v>
      </c>
      <c r="U1628" s="10">
        <v>90</v>
      </c>
      <c r="W1628" s="14">
        <v>1</v>
      </c>
      <c r="X1628" s="14">
        <v>7.5</v>
      </c>
      <c r="Y1628" s="79">
        <v>12.5</v>
      </c>
      <c r="Z1628" s="56" t="s">
        <v>14</v>
      </c>
      <c r="AA1628" s="14" t="s">
        <v>1325</v>
      </c>
    </row>
    <row r="1629" spans="1:28" ht="23.1" customHeight="1" x14ac:dyDescent="0.25">
      <c r="A1629" s="53" t="s">
        <v>1244</v>
      </c>
      <c r="B1629" s="10" t="s">
        <v>113</v>
      </c>
      <c r="C1629" s="10">
        <v>16</v>
      </c>
      <c r="D1629" s="10" t="s">
        <v>1280</v>
      </c>
      <c r="E1629" s="41" t="s">
        <v>595</v>
      </c>
      <c r="F1629" s="41" t="s">
        <v>595</v>
      </c>
      <c r="G1629" s="21" t="str">
        <f>VLOOKUP(D1629,[6]成飞半成品!$A:$B,2,0)</f>
        <v>加强件</v>
      </c>
      <c r="H1629" s="10" t="s">
        <v>102</v>
      </c>
      <c r="I1629" s="10">
        <v>35</v>
      </c>
      <c r="J1629" s="10" t="s">
        <v>2228</v>
      </c>
      <c r="K1629" s="10">
        <v>2</v>
      </c>
      <c r="L1629" s="10">
        <v>2</v>
      </c>
      <c r="M1629" s="14">
        <v>26</v>
      </c>
      <c r="N1629" s="14">
        <v>26</v>
      </c>
      <c r="O1629" s="55" t="s">
        <v>596</v>
      </c>
      <c r="Q1629" s="10">
        <v>120</v>
      </c>
      <c r="U1629" s="10">
        <v>60</v>
      </c>
      <c r="W1629" s="14">
        <v>1</v>
      </c>
      <c r="X1629" s="14">
        <v>2</v>
      </c>
      <c r="Y1629" s="79">
        <v>7</v>
      </c>
      <c r="Z1629" s="56" t="s">
        <v>71</v>
      </c>
      <c r="AA1629" s="14" t="s">
        <v>926</v>
      </c>
      <c r="AB1629" s="25" t="s">
        <v>238</v>
      </c>
    </row>
    <row r="1630" spans="1:28" ht="23.1" customHeight="1" x14ac:dyDescent="0.25">
      <c r="A1630" s="53" t="s">
        <v>1244</v>
      </c>
      <c r="B1630" s="10" t="s">
        <v>113</v>
      </c>
      <c r="C1630" s="10">
        <v>13</v>
      </c>
      <c r="D1630" s="10" t="s">
        <v>1277</v>
      </c>
      <c r="E1630" s="41" t="s">
        <v>1278</v>
      </c>
      <c r="F1630" s="41" t="s">
        <v>1278</v>
      </c>
      <c r="G1630" s="21" t="str">
        <f>VLOOKUP(D1630,[6]成飞半成品!$A:$B,2,0)</f>
        <v>接管嘴</v>
      </c>
      <c r="H1630" s="10" t="s">
        <v>154</v>
      </c>
      <c r="I1630" s="10">
        <v>30</v>
      </c>
      <c r="J1630" s="10" t="s">
        <v>2211</v>
      </c>
      <c r="K1630" s="10">
        <v>15</v>
      </c>
      <c r="L1630" s="10">
        <v>13</v>
      </c>
      <c r="M1630" s="14">
        <v>28</v>
      </c>
      <c r="N1630" s="14"/>
      <c r="O1630" s="55" t="s">
        <v>1279</v>
      </c>
      <c r="Q1630" s="10">
        <v>35</v>
      </c>
      <c r="U1630" s="10">
        <v>90</v>
      </c>
      <c r="W1630" s="14"/>
      <c r="Y1630" s="79">
        <v>7.6</v>
      </c>
      <c r="Z1630" s="56" t="s">
        <v>10</v>
      </c>
    </row>
    <row r="1631" spans="1:28" ht="23.1" customHeight="1" x14ac:dyDescent="0.25">
      <c r="A1631" s="53" t="s">
        <v>1244</v>
      </c>
      <c r="B1631" s="10" t="s">
        <v>113</v>
      </c>
      <c r="C1631" s="10">
        <v>13</v>
      </c>
      <c r="D1631" s="10" t="s">
        <v>895</v>
      </c>
      <c r="E1631" s="41" t="s">
        <v>896</v>
      </c>
      <c r="F1631" s="41" t="s">
        <v>896</v>
      </c>
      <c r="G1631" s="21" t="str">
        <f>VLOOKUP(D1631,[6]成飞半成品!$A:$B,2,0)</f>
        <v>回收锁销接头</v>
      </c>
      <c r="H1631" s="10" t="s">
        <v>102</v>
      </c>
      <c r="I1631" s="10">
        <v>20</v>
      </c>
      <c r="J1631" s="10" t="s">
        <v>2106</v>
      </c>
      <c r="L1631" s="10">
        <v>8</v>
      </c>
      <c r="M1631" s="14">
        <v>37</v>
      </c>
      <c r="N1631" s="14">
        <v>37</v>
      </c>
      <c r="O1631" s="55" t="s">
        <v>596</v>
      </c>
      <c r="Q1631" s="10">
        <v>20</v>
      </c>
      <c r="U1631" s="10">
        <v>60</v>
      </c>
      <c r="W1631" s="14">
        <v>1</v>
      </c>
      <c r="Y1631" s="79">
        <v>3.7</v>
      </c>
      <c r="Z1631" s="56" t="s">
        <v>10</v>
      </c>
      <c r="AA1631" s="14" t="s">
        <v>926</v>
      </c>
      <c r="AB1631" s="25" t="s">
        <v>238</v>
      </c>
    </row>
    <row r="1632" spans="1:28" ht="23.1" customHeight="1" x14ac:dyDescent="0.25">
      <c r="A1632" s="53" t="s">
        <v>1244</v>
      </c>
      <c r="B1632" s="10" t="s">
        <v>113</v>
      </c>
      <c r="C1632" s="10">
        <v>13</v>
      </c>
      <c r="D1632" s="10" t="s">
        <v>895</v>
      </c>
      <c r="E1632" s="41" t="s">
        <v>896</v>
      </c>
      <c r="F1632" s="41" t="s">
        <v>896</v>
      </c>
      <c r="G1632" s="21" t="str">
        <f>VLOOKUP(D1632,[6]成飞半成品!$A:$B,2,0)</f>
        <v>回收锁销接头</v>
      </c>
      <c r="H1632" s="10" t="s">
        <v>102</v>
      </c>
      <c r="I1632" s="10">
        <v>25</v>
      </c>
      <c r="J1632" s="10" t="s">
        <v>1850</v>
      </c>
      <c r="M1632" s="14"/>
      <c r="N1632" s="14"/>
      <c r="O1632" s="55" t="s">
        <v>596</v>
      </c>
      <c r="Q1632" s="10">
        <v>40</v>
      </c>
      <c r="U1632" s="10">
        <v>90</v>
      </c>
      <c r="W1632" s="14"/>
      <c r="X1632" s="14">
        <v>3</v>
      </c>
      <c r="Y1632" s="79">
        <v>3</v>
      </c>
      <c r="Z1632" s="56" t="s">
        <v>10</v>
      </c>
      <c r="AA1632" s="14" t="s">
        <v>1326</v>
      </c>
      <c r="AB1632" s="25" t="s">
        <v>238</v>
      </c>
    </row>
    <row r="1633" spans="1:28" ht="23.1" customHeight="1" x14ac:dyDescent="0.25">
      <c r="A1633" s="53" t="s">
        <v>1244</v>
      </c>
      <c r="B1633" s="10" t="s">
        <v>113</v>
      </c>
      <c r="C1633" s="10">
        <v>108</v>
      </c>
      <c r="D1633" s="10" t="s">
        <v>889</v>
      </c>
      <c r="E1633" s="41" t="s">
        <v>887</v>
      </c>
      <c r="F1633" s="41" t="s">
        <v>887</v>
      </c>
      <c r="G1633" s="21" t="str">
        <f>VLOOKUP(D1633,[6]成飞半成品!$A:$B,2,0)</f>
        <v>外侧梁</v>
      </c>
      <c r="H1633" s="10" t="s">
        <v>154</v>
      </c>
      <c r="I1633" s="10">
        <v>45</v>
      </c>
      <c r="J1633" s="10" t="s">
        <v>1954</v>
      </c>
      <c r="K1633" s="10">
        <v>1</v>
      </c>
      <c r="L1633" s="10">
        <v>1</v>
      </c>
      <c r="M1633" s="14">
        <v>26</v>
      </c>
      <c r="N1633" s="14"/>
      <c r="O1633" s="55" t="s">
        <v>159</v>
      </c>
      <c r="Q1633" s="10">
        <v>420</v>
      </c>
      <c r="R1633" s="10">
        <v>60</v>
      </c>
      <c r="T1633" s="10">
        <v>1</v>
      </c>
      <c r="U1633" s="10">
        <v>120</v>
      </c>
      <c r="W1633" s="14">
        <v>1</v>
      </c>
      <c r="Y1633" s="79">
        <v>10</v>
      </c>
      <c r="Z1633" s="56" t="s">
        <v>13</v>
      </c>
      <c r="AA1633" s="14" t="s">
        <v>1327</v>
      </c>
      <c r="AB1633" s="25" t="s">
        <v>238</v>
      </c>
    </row>
    <row r="1634" spans="1:28" ht="23.1" customHeight="1" x14ac:dyDescent="0.25">
      <c r="A1634" s="53" t="s">
        <v>1244</v>
      </c>
      <c r="B1634" s="10" t="s">
        <v>113</v>
      </c>
      <c r="C1634" s="10">
        <v>107</v>
      </c>
      <c r="D1634" s="10" t="s">
        <v>886</v>
      </c>
      <c r="E1634" s="41" t="s">
        <v>887</v>
      </c>
      <c r="F1634" s="41" t="s">
        <v>887</v>
      </c>
      <c r="G1634" s="21" t="str">
        <f>VLOOKUP(D1634,[6]成飞半成品!$A:$B,2,0)</f>
        <v>外侧梁</v>
      </c>
      <c r="H1634" s="10" t="s">
        <v>154</v>
      </c>
      <c r="I1634" s="10">
        <v>45</v>
      </c>
      <c r="J1634" s="10" t="s">
        <v>1954</v>
      </c>
      <c r="K1634" s="10">
        <v>1</v>
      </c>
      <c r="L1634" s="10">
        <v>1</v>
      </c>
      <c r="M1634" s="14">
        <v>26</v>
      </c>
      <c r="N1634" s="14"/>
      <c r="O1634" s="55" t="s">
        <v>159</v>
      </c>
      <c r="Q1634" s="10">
        <v>420</v>
      </c>
      <c r="R1634" s="10">
        <v>60</v>
      </c>
      <c r="T1634" s="10">
        <v>1</v>
      </c>
      <c r="U1634" s="10">
        <v>120</v>
      </c>
      <c r="W1634" s="14">
        <v>1</v>
      </c>
      <c r="Y1634" s="79">
        <v>10</v>
      </c>
      <c r="Z1634" s="56" t="s">
        <v>13</v>
      </c>
      <c r="AA1634" s="14" t="s">
        <v>1245</v>
      </c>
      <c r="AB1634" s="25" t="s">
        <v>238</v>
      </c>
    </row>
    <row r="1635" spans="1:28" ht="23.1" customHeight="1" x14ac:dyDescent="0.25">
      <c r="A1635" s="53" t="s">
        <v>1244</v>
      </c>
      <c r="B1635" s="10" t="s">
        <v>113</v>
      </c>
      <c r="C1635" s="10">
        <v>107</v>
      </c>
      <c r="D1635" s="10" t="s">
        <v>1275</v>
      </c>
      <c r="E1635" s="41" t="s">
        <v>215</v>
      </c>
      <c r="F1635" s="41" t="s">
        <v>215</v>
      </c>
      <c r="G1635" s="21" t="str">
        <f>VLOOKUP(D1635,[6]成飞半成品!$A:$B,2,0)</f>
        <v>口盖</v>
      </c>
      <c r="H1635" s="10" t="s">
        <v>154</v>
      </c>
      <c r="I1635" s="10">
        <v>35</v>
      </c>
      <c r="J1635" s="10" t="s">
        <v>2073</v>
      </c>
      <c r="K1635" s="10">
        <v>4</v>
      </c>
      <c r="L1635" s="10">
        <v>3</v>
      </c>
      <c r="M1635" s="14">
        <v>26</v>
      </c>
      <c r="N1635" s="14">
        <v>26</v>
      </c>
      <c r="O1635" s="55" t="s">
        <v>1328</v>
      </c>
      <c r="Q1635" s="10">
        <v>150</v>
      </c>
      <c r="T1635" s="10">
        <v>3</v>
      </c>
      <c r="U1635" s="10">
        <v>60</v>
      </c>
      <c r="W1635" s="14"/>
      <c r="Y1635" s="79">
        <v>7.5</v>
      </c>
      <c r="Z1635" s="56" t="s">
        <v>13</v>
      </c>
    </row>
    <row r="1636" spans="1:28" ht="23.1" customHeight="1" x14ac:dyDescent="0.25">
      <c r="A1636" s="53" t="s">
        <v>1244</v>
      </c>
      <c r="B1636" s="10" t="s">
        <v>113</v>
      </c>
      <c r="C1636" s="10">
        <v>55</v>
      </c>
      <c r="D1636" s="10" t="s">
        <v>1268</v>
      </c>
      <c r="E1636" s="41" t="s">
        <v>409</v>
      </c>
      <c r="F1636" s="41" t="s">
        <v>409</v>
      </c>
      <c r="G1636" s="21" t="str">
        <f>VLOOKUP(D1636,[6]成飞半成品!$A:$B,2,0)</f>
        <v>接头</v>
      </c>
      <c r="H1636" s="10" t="s">
        <v>102</v>
      </c>
      <c r="I1636" s="10">
        <v>30</v>
      </c>
      <c r="J1636" s="10" t="s">
        <v>2058</v>
      </c>
      <c r="L1636" s="10">
        <v>2</v>
      </c>
      <c r="M1636" s="14">
        <v>28</v>
      </c>
      <c r="N1636" s="14">
        <v>28</v>
      </c>
      <c r="O1636" s="55" t="s">
        <v>596</v>
      </c>
      <c r="Q1636" s="10">
        <v>20</v>
      </c>
      <c r="U1636" s="10">
        <v>60</v>
      </c>
      <c r="W1636" s="14">
        <v>1</v>
      </c>
      <c r="X1636" s="14">
        <v>6</v>
      </c>
      <c r="Y1636" s="79">
        <v>7.7</v>
      </c>
      <c r="Z1636" s="56" t="s">
        <v>18</v>
      </c>
    </row>
    <row r="1637" spans="1:28" ht="23.1" customHeight="1" x14ac:dyDescent="0.25">
      <c r="A1637" s="53" t="s">
        <v>1244</v>
      </c>
      <c r="B1637" s="10" t="s">
        <v>113</v>
      </c>
      <c r="C1637" s="10">
        <v>55</v>
      </c>
      <c r="D1637" s="10" t="s">
        <v>1268</v>
      </c>
      <c r="E1637" s="41" t="s">
        <v>409</v>
      </c>
      <c r="F1637" s="41" t="s">
        <v>409</v>
      </c>
      <c r="G1637" s="21" t="str">
        <f>VLOOKUP(D1637,[6]成飞半成品!$A:$B,2,0)</f>
        <v>接头</v>
      </c>
      <c r="H1637" s="10" t="s">
        <v>102</v>
      </c>
      <c r="I1637" s="10">
        <v>35</v>
      </c>
      <c r="J1637" s="10" t="s">
        <v>2229</v>
      </c>
      <c r="L1637" s="10">
        <v>2</v>
      </c>
      <c r="M1637" s="14">
        <v>28</v>
      </c>
      <c r="N1637" s="14">
        <v>28</v>
      </c>
      <c r="O1637" s="55" t="s">
        <v>596</v>
      </c>
      <c r="Q1637" s="10">
        <v>20</v>
      </c>
      <c r="U1637" s="10">
        <v>60</v>
      </c>
      <c r="W1637" s="14">
        <v>1</v>
      </c>
      <c r="Y1637" s="79">
        <v>1.7</v>
      </c>
      <c r="Z1637" s="56" t="s">
        <v>18</v>
      </c>
    </row>
    <row r="1638" spans="1:28" ht="23.1" customHeight="1" x14ac:dyDescent="0.25">
      <c r="A1638" s="53" t="s">
        <v>1244</v>
      </c>
      <c r="B1638" s="10" t="s">
        <v>113</v>
      </c>
      <c r="C1638" s="10">
        <v>55</v>
      </c>
      <c r="D1638" s="10" t="s">
        <v>1268</v>
      </c>
      <c r="E1638" s="41" t="s">
        <v>409</v>
      </c>
      <c r="F1638" s="41" t="s">
        <v>409</v>
      </c>
      <c r="G1638" s="21" t="str">
        <f>VLOOKUP(D1638,[6]成飞半成品!$A:$B,2,0)</f>
        <v>接头</v>
      </c>
      <c r="H1638" s="10" t="s">
        <v>102</v>
      </c>
      <c r="I1638" s="10">
        <v>40</v>
      </c>
      <c r="J1638" s="10" t="s">
        <v>2471</v>
      </c>
      <c r="L1638" s="10">
        <v>2</v>
      </c>
      <c r="M1638" s="14">
        <v>28</v>
      </c>
      <c r="N1638" s="14">
        <v>28</v>
      </c>
      <c r="O1638" s="55" t="s">
        <v>596</v>
      </c>
      <c r="Q1638" s="10">
        <v>15</v>
      </c>
      <c r="U1638" s="10">
        <v>60</v>
      </c>
      <c r="W1638" s="14">
        <v>1</v>
      </c>
      <c r="Y1638" s="79">
        <v>1.5</v>
      </c>
      <c r="Z1638" s="56" t="s">
        <v>18</v>
      </c>
    </row>
    <row r="1639" spans="1:28" ht="23.1" customHeight="1" x14ac:dyDescent="0.25">
      <c r="A1639" s="53" t="s">
        <v>1329</v>
      </c>
      <c r="B1639" s="10" t="s">
        <v>113</v>
      </c>
      <c r="C1639" s="10">
        <v>15</v>
      </c>
      <c r="D1639" s="10" t="s">
        <v>592</v>
      </c>
      <c r="E1639" s="41" t="s">
        <v>218</v>
      </c>
      <c r="F1639" s="41" t="s">
        <v>218</v>
      </c>
      <c r="G1639" s="21" t="str">
        <f>VLOOKUP(D1639,[6]成飞半成品!$A:$B,2,0)</f>
        <v>横梁</v>
      </c>
      <c r="H1639" s="10" t="s">
        <v>107</v>
      </c>
      <c r="I1639" s="10">
        <v>20</v>
      </c>
      <c r="J1639" s="10" t="s">
        <v>1896</v>
      </c>
      <c r="M1639" s="14">
        <v>9</v>
      </c>
      <c r="N1639" s="14"/>
      <c r="O1639" s="55" t="s">
        <v>247</v>
      </c>
      <c r="Q1639" s="10">
        <v>300</v>
      </c>
      <c r="U1639" s="10">
        <v>90</v>
      </c>
      <c r="W1639" s="14"/>
      <c r="Y1639" s="79">
        <v>0</v>
      </c>
      <c r="Z1639" s="56" t="s">
        <v>60</v>
      </c>
      <c r="AA1639" s="14" t="s">
        <v>1330</v>
      </c>
    </row>
    <row r="1640" spans="1:28" ht="23.1" customHeight="1" x14ac:dyDescent="0.25">
      <c r="A1640" s="53" t="s">
        <v>796</v>
      </c>
      <c r="B1640" s="10" t="s">
        <v>110</v>
      </c>
      <c r="C1640" s="10">
        <v>14</v>
      </c>
      <c r="D1640" s="10" t="s">
        <v>235</v>
      </c>
      <c r="E1640" s="41" t="s">
        <v>236</v>
      </c>
      <c r="F1640" s="41" t="s">
        <v>236</v>
      </c>
      <c r="G1640" s="21" t="str">
        <f>VLOOKUP(D1640,[6]成飞半成品!$A:$B,2,0)</f>
        <v>右外侧接头</v>
      </c>
      <c r="H1640" s="10" t="s">
        <v>154</v>
      </c>
      <c r="I1640" s="10">
        <v>35</v>
      </c>
      <c r="J1640" s="10" t="s">
        <v>2230</v>
      </c>
      <c r="M1640" s="14">
        <v>9</v>
      </c>
      <c r="N1640" s="14"/>
      <c r="O1640" s="55" t="s">
        <v>234</v>
      </c>
      <c r="Q1640" s="10">
        <v>480</v>
      </c>
      <c r="U1640" s="10">
        <v>60</v>
      </c>
      <c r="W1640" s="14"/>
      <c r="Y1640" s="79">
        <v>0</v>
      </c>
      <c r="Z1640" s="56" t="s">
        <v>60</v>
      </c>
      <c r="AA1640" s="14" t="s">
        <v>1330</v>
      </c>
    </row>
    <row r="1641" spans="1:28" ht="23.1" customHeight="1" x14ac:dyDescent="0.25">
      <c r="A1641" s="53" t="s">
        <v>796</v>
      </c>
      <c r="B1641" s="10" t="s">
        <v>110</v>
      </c>
      <c r="C1641" s="10">
        <v>14</v>
      </c>
      <c r="D1641" s="10" t="s">
        <v>235</v>
      </c>
      <c r="E1641" s="41" t="s">
        <v>236</v>
      </c>
      <c r="F1641" s="41" t="s">
        <v>236</v>
      </c>
      <c r="G1641" s="21" t="str">
        <f>VLOOKUP(D1641,[6]成飞半成品!$A:$B,2,0)</f>
        <v>右外侧接头</v>
      </c>
      <c r="H1641" s="10" t="s">
        <v>154</v>
      </c>
      <c r="I1641" s="10">
        <v>45</v>
      </c>
      <c r="J1641" s="10" t="s">
        <v>2067</v>
      </c>
      <c r="M1641" s="14">
        <v>9</v>
      </c>
      <c r="N1641" s="14"/>
      <c r="O1641" s="55" t="s">
        <v>234</v>
      </c>
      <c r="Q1641" s="10">
        <v>120</v>
      </c>
      <c r="U1641" s="10">
        <v>90</v>
      </c>
      <c r="W1641" s="14"/>
      <c r="Y1641" s="79">
        <v>0</v>
      </c>
      <c r="Z1641" s="56" t="s">
        <v>60</v>
      </c>
      <c r="AA1641" s="14" t="s">
        <v>1330</v>
      </c>
    </row>
    <row r="1642" spans="1:28" ht="23.1" customHeight="1" x14ac:dyDescent="0.25">
      <c r="A1642" s="53" t="s">
        <v>796</v>
      </c>
      <c r="B1642" s="10" t="s">
        <v>110</v>
      </c>
      <c r="C1642" s="10">
        <v>14</v>
      </c>
      <c r="D1642" s="10" t="s">
        <v>235</v>
      </c>
      <c r="E1642" s="41" t="s">
        <v>236</v>
      </c>
      <c r="F1642" s="41" t="s">
        <v>236</v>
      </c>
      <c r="G1642" s="21" t="str">
        <f>VLOOKUP(D1642,[6]成飞半成品!$A:$B,2,0)</f>
        <v>右外侧接头</v>
      </c>
      <c r="H1642" s="10" t="s">
        <v>154</v>
      </c>
      <c r="I1642" s="10">
        <v>90</v>
      </c>
      <c r="J1642" s="10" t="s">
        <v>2025</v>
      </c>
      <c r="M1642" s="14">
        <v>9</v>
      </c>
      <c r="N1642" s="14"/>
      <c r="O1642" s="55" t="s">
        <v>159</v>
      </c>
      <c r="Q1642" s="10">
        <v>240</v>
      </c>
      <c r="U1642" s="10">
        <v>90</v>
      </c>
      <c r="W1642" s="14"/>
      <c r="Y1642" s="79">
        <v>0</v>
      </c>
      <c r="Z1642" s="56" t="s">
        <v>60</v>
      </c>
      <c r="AA1642" s="14" t="s">
        <v>1330</v>
      </c>
    </row>
    <row r="1643" spans="1:28" ht="23.1" customHeight="1" x14ac:dyDescent="0.25">
      <c r="A1643" s="53" t="s">
        <v>1329</v>
      </c>
      <c r="B1643" s="10" t="s">
        <v>113</v>
      </c>
      <c r="C1643" s="10">
        <v>14</v>
      </c>
      <c r="D1643" s="10" t="s">
        <v>235</v>
      </c>
      <c r="E1643" s="41" t="s">
        <v>236</v>
      </c>
      <c r="F1643" s="41" t="s">
        <v>236</v>
      </c>
      <c r="G1643" s="21" t="str">
        <f>VLOOKUP(D1643,[6]成飞半成品!$A:$B,2,0)</f>
        <v>右外侧接头</v>
      </c>
      <c r="H1643" s="10" t="s">
        <v>154</v>
      </c>
      <c r="I1643" s="10">
        <v>70</v>
      </c>
      <c r="J1643" s="10" t="s">
        <v>1995</v>
      </c>
      <c r="M1643" s="14">
        <v>9</v>
      </c>
      <c r="N1643" s="14"/>
      <c r="O1643" s="55" t="s">
        <v>159</v>
      </c>
      <c r="Q1643" s="10">
        <v>1320</v>
      </c>
      <c r="U1643" s="10">
        <v>120</v>
      </c>
      <c r="W1643" s="14"/>
      <c r="Y1643" s="79">
        <v>0</v>
      </c>
      <c r="Z1643" s="56" t="s">
        <v>60</v>
      </c>
      <c r="AA1643" s="14" t="s">
        <v>1330</v>
      </c>
    </row>
    <row r="1644" spans="1:28" ht="23.1" customHeight="1" x14ac:dyDescent="0.25">
      <c r="A1644" s="53" t="s">
        <v>909</v>
      </c>
      <c r="B1644" s="10" t="s">
        <v>110</v>
      </c>
      <c r="C1644" s="10">
        <v>14</v>
      </c>
      <c r="D1644" s="10" t="s">
        <v>235</v>
      </c>
      <c r="E1644" s="41" t="s">
        <v>236</v>
      </c>
      <c r="F1644" s="41" t="s">
        <v>236</v>
      </c>
      <c r="G1644" s="21" t="str">
        <f>VLOOKUP(D1644,[6]成飞半成品!$A:$B,2,0)</f>
        <v>右外侧接头</v>
      </c>
      <c r="H1644" s="10" t="s">
        <v>154</v>
      </c>
      <c r="I1644" s="10">
        <v>60</v>
      </c>
      <c r="J1644" s="10" t="s">
        <v>1968</v>
      </c>
      <c r="M1644" s="14">
        <v>9</v>
      </c>
      <c r="N1644" s="14"/>
      <c r="O1644" s="55" t="s">
        <v>234</v>
      </c>
      <c r="Q1644" s="10">
        <v>660</v>
      </c>
      <c r="U1644" s="10">
        <v>90</v>
      </c>
      <c r="W1644" s="14"/>
      <c r="Y1644" s="79">
        <v>0</v>
      </c>
      <c r="Z1644" s="56" t="s">
        <v>60</v>
      </c>
      <c r="AA1644" s="14" t="s">
        <v>1330</v>
      </c>
    </row>
    <row r="1645" spans="1:28" ht="23.1" customHeight="1" x14ac:dyDescent="0.25">
      <c r="A1645" s="53" t="s">
        <v>909</v>
      </c>
      <c r="B1645" s="10" t="s">
        <v>110</v>
      </c>
      <c r="C1645" s="10">
        <v>14</v>
      </c>
      <c r="D1645" s="10" t="s">
        <v>235</v>
      </c>
      <c r="E1645" s="41" t="s">
        <v>236</v>
      </c>
      <c r="F1645" s="41" t="s">
        <v>236</v>
      </c>
      <c r="G1645" s="21" t="str">
        <f>VLOOKUP(D1645,[6]成飞半成品!$A:$B,2,0)</f>
        <v>右外侧接头</v>
      </c>
      <c r="H1645" s="10" t="s">
        <v>154</v>
      </c>
      <c r="I1645" s="10">
        <v>65</v>
      </c>
      <c r="J1645" s="10" t="s">
        <v>1982</v>
      </c>
      <c r="M1645" s="14">
        <v>9</v>
      </c>
      <c r="N1645" s="14"/>
      <c r="O1645" s="55" t="s">
        <v>234</v>
      </c>
      <c r="Q1645" s="10">
        <v>600</v>
      </c>
      <c r="U1645" s="10">
        <v>120</v>
      </c>
      <c r="W1645" s="14"/>
      <c r="Y1645" s="79">
        <v>0</v>
      </c>
      <c r="Z1645" s="56" t="s">
        <v>60</v>
      </c>
      <c r="AA1645" s="14" t="s">
        <v>1330</v>
      </c>
    </row>
    <row r="1646" spans="1:28" ht="23.1" customHeight="1" x14ac:dyDescent="0.25">
      <c r="A1646" s="53" t="s">
        <v>1002</v>
      </c>
      <c r="B1646" s="10" t="s">
        <v>110</v>
      </c>
      <c r="C1646" s="10">
        <v>14</v>
      </c>
      <c r="D1646" s="10" t="s">
        <v>235</v>
      </c>
      <c r="E1646" s="41" t="s">
        <v>236</v>
      </c>
      <c r="F1646" s="41" t="s">
        <v>236</v>
      </c>
      <c r="G1646" s="21" t="str">
        <f>VLOOKUP(D1646,[6]成飞半成品!$A:$B,2,0)</f>
        <v>右外侧接头</v>
      </c>
      <c r="H1646" s="10" t="s">
        <v>154</v>
      </c>
      <c r="I1646" s="10">
        <v>75</v>
      </c>
      <c r="J1646" s="10" t="s">
        <v>2041</v>
      </c>
      <c r="M1646" s="14">
        <v>9</v>
      </c>
      <c r="N1646" s="14"/>
      <c r="O1646" s="55" t="s">
        <v>234</v>
      </c>
      <c r="Q1646" s="10">
        <v>300</v>
      </c>
      <c r="U1646" s="10">
        <v>120</v>
      </c>
      <c r="W1646" s="14"/>
      <c r="Y1646" s="79">
        <v>0</v>
      </c>
      <c r="Z1646" s="56" t="s">
        <v>60</v>
      </c>
      <c r="AA1646" s="14" t="s">
        <v>1330</v>
      </c>
    </row>
    <row r="1647" spans="1:28" ht="23.1" customHeight="1" x14ac:dyDescent="0.25">
      <c r="A1647" s="53" t="s">
        <v>1002</v>
      </c>
      <c r="B1647" s="10" t="s">
        <v>110</v>
      </c>
      <c r="C1647" s="10">
        <v>14</v>
      </c>
      <c r="D1647" s="10" t="s">
        <v>1331</v>
      </c>
      <c r="E1647" s="41" t="s">
        <v>1332</v>
      </c>
      <c r="F1647" s="41" t="s">
        <v>1332</v>
      </c>
      <c r="G1647" s="21" t="str">
        <f>VLOOKUP(D1647,[6]成飞半成品!$A:$B,2,0)</f>
        <v>联锁摇臂</v>
      </c>
      <c r="H1647" s="10" t="s">
        <v>300</v>
      </c>
      <c r="I1647" s="10">
        <v>15</v>
      </c>
      <c r="J1647" s="10" t="s">
        <v>2231</v>
      </c>
      <c r="M1647" s="14">
        <v>9</v>
      </c>
      <c r="N1647" s="14"/>
      <c r="O1647" s="55" t="s">
        <v>316</v>
      </c>
      <c r="Q1647" s="10">
        <v>35</v>
      </c>
      <c r="U1647" s="10">
        <v>120</v>
      </c>
      <c r="W1647" s="14"/>
      <c r="Y1647" s="79">
        <v>0</v>
      </c>
      <c r="Z1647" s="56" t="s">
        <v>60</v>
      </c>
      <c r="AA1647" s="14" t="s">
        <v>1330</v>
      </c>
    </row>
    <row r="1648" spans="1:28" ht="23.1" customHeight="1" x14ac:dyDescent="0.25">
      <c r="A1648" s="53" t="s">
        <v>1221</v>
      </c>
      <c r="B1648" s="10" t="s">
        <v>110</v>
      </c>
      <c r="C1648" s="10">
        <v>15</v>
      </c>
      <c r="D1648" s="10" t="s">
        <v>116</v>
      </c>
      <c r="E1648" s="41" t="s">
        <v>117</v>
      </c>
      <c r="F1648" s="41" t="s">
        <v>117</v>
      </c>
      <c r="G1648" s="21" t="str">
        <f>VLOOKUP(D1648,[6]成飞半成品!$A:$B,2,0)</f>
        <v>7820~8270侧上梁</v>
      </c>
      <c r="H1648" s="10" t="s">
        <v>118</v>
      </c>
      <c r="I1648" s="10">
        <v>15</v>
      </c>
      <c r="J1648" s="10" t="s">
        <v>1946</v>
      </c>
      <c r="M1648" s="14">
        <v>9</v>
      </c>
      <c r="N1648" s="14"/>
      <c r="O1648" s="55" t="s">
        <v>256</v>
      </c>
      <c r="Q1648" s="10">
        <v>60</v>
      </c>
      <c r="U1648" s="10">
        <v>90</v>
      </c>
      <c r="W1648" s="14"/>
      <c r="X1648" s="14">
        <v>2</v>
      </c>
      <c r="Y1648" s="79">
        <v>2</v>
      </c>
      <c r="Z1648" s="56" t="s">
        <v>60</v>
      </c>
      <c r="AA1648" s="14" t="s">
        <v>1330</v>
      </c>
    </row>
    <row r="1649" spans="1:28" ht="23.1" customHeight="1" x14ac:dyDescent="0.25">
      <c r="A1649" s="53" t="s">
        <v>1221</v>
      </c>
      <c r="B1649" s="10" t="s">
        <v>110</v>
      </c>
      <c r="C1649" s="10">
        <v>15</v>
      </c>
      <c r="D1649" s="10" t="s">
        <v>116</v>
      </c>
      <c r="E1649" s="41" t="s">
        <v>117</v>
      </c>
      <c r="F1649" s="41" t="s">
        <v>117</v>
      </c>
      <c r="G1649" s="21" t="str">
        <f>VLOOKUP(D1649,[6]成飞半成品!$A:$B,2,0)</f>
        <v>7820~8270侧上梁</v>
      </c>
      <c r="H1649" s="10" t="s">
        <v>118</v>
      </c>
      <c r="I1649" s="10">
        <v>20</v>
      </c>
      <c r="J1649" s="10" t="s">
        <v>2232</v>
      </c>
      <c r="M1649" s="14">
        <v>9</v>
      </c>
      <c r="N1649" s="14"/>
      <c r="O1649" s="55" t="s">
        <v>256</v>
      </c>
      <c r="Q1649" s="10">
        <v>270</v>
      </c>
      <c r="U1649" s="10">
        <v>90</v>
      </c>
      <c r="W1649" s="14"/>
      <c r="X1649" s="14">
        <v>2</v>
      </c>
      <c r="Y1649" s="79">
        <v>2</v>
      </c>
      <c r="Z1649" s="56" t="s">
        <v>60</v>
      </c>
      <c r="AA1649" s="14" t="s">
        <v>1330</v>
      </c>
    </row>
    <row r="1650" spans="1:28" ht="23.1" customHeight="1" x14ac:dyDescent="0.25">
      <c r="A1650" s="53" t="s">
        <v>1333</v>
      </c>
      <c r="B1650" s="10" t="s">
        <v>110</v>
      </c>
      <c r="C1650" s="10">
        <v>10</v>
      </c>
      <c r="D1650" s="10" t="s">
        <v>946</v>
      </c>
      <c r="E1650" s="41" t="s">
        <v>947</v>
      </c>
      <c r="F1650" s="41" t="s">
        <v>947</v>
      </c>
      <c r="G1650" s="21" t="str">
        <f>VLOOKUP(D1650,[6]成飞半成品!$A:$B,2,0)</f>
        <v>5755横框</v>
      </c>
      <c r="H1650" s="10" t="s">
        <v>300</v>
      </c>
      <c r="I1650" s="10">
        <v>25</v>
      </c>
      <c r="J1650" s="10" t="s">
        <v>2233</v>
      </c>
      <c r="K1650" s="10">
        <v>2</v>
      </c>
      <c r="L1650" s="10">
        <v>2</v>
      </c>
      <c r="M1650" s="14">
        <v>5</v>
      </c>
      <c r="N1650" s="14">
        <v>28</v>
      </c>
      <c r="O1650" s="55" t="s">
        <v>1334</v>
      </c>
      <c r="Q1650" s="10">
        <v>240</v>
      </c>
      <c r="U1650" s="10">
        <v>90</v>
      </c>
      <c r="W1650" s="14">
        <v>1</v>
      </c>
      <c r="Y1650" s="79">
        <v>9.5</v>
      </c>
      <c r="Z1650" s="56" t="s">
        <v>30</v>
      </c>
    </row>
    <row r="1651" spans="1:28" ht="23.1" customHeight="1" x14ac:dyDescent="0.25">
      <c r="A1651" s="53" t="s">
        <v>1333</v>
      </c>
      <c r="B1651" s="10" t="s">
        <v>110</v>
      </c>
      <c r="C1651" s="10">
        <v>9</v>
      </c>
      <c r="D1651" s="10" t="s">
        <v>1287</v>
      </c>
      <c r="E1651" s="41" t="s">
        <v>1288</v>
      </c>
      <c r="F1651" s="41" t="s">
        <v>1367</v>
      </c>
      <c r="G1651" s="21" t="str">
        <f>VLOOKUP(D1651,[6]成飞半成品!$A:$B,2,0)</f>
        <v>垫板</v>
      </c>
      <c r="H1651" s="10" t="s">
        <v>123</v>
      </c>
      <c r="I1651" s="10">
        <v>5</v>
      </c>
      <c r="J1651" s="10" t="s">
        <v>2060</v>
      </c>
      <c r="K1651" s="10">
        <v>4</v>
      </c>
      <c r="L1651" s="10">
        <v>4</v>
      </c>
      <c r="M1651" s="14">
        <v>9</v>
      </c>
      <c r="N1651" s="14">
        <v>9</v>
      </c>
      <c r="O1651" s="55" t="s">
        <v>1335</v>
      </c>
      <c r="Q1651" s="10">
        <v>150</v>
      </c>
      <c r="U1651" s="10">
        <v>60</v>
      </c>
      <c r="W1651" s="14">
        <v>1</v>
      </c>
      <c r="Y1651" s="79">
        <v>11</v>
      </c>
      <c r="Z1651" s="56" t="s">
        <v>30</v>
      </c>
      <c r="AA1651" s="14" t="s">
        <v>1336</v>
      </c>
      <c r="AB1651" s="14" t="s">
        <v>957</v>
      </c>
    </row>
    <row r="1652" spans="1:28" ht="23.1" customHeight="1" x14ac:dyDescent="0.25">
      <c r="A1652" s="53" t="s">
        <v>1333</v>
      </c>
      <c r="B1652" s="10" t="s">
        <v>110</v>
      </c>
      <c r="C1652" s="10">
        <v>9</v>
      </c>
      <c r="D1652" s="10" t="s">
        <v>1287</v>
      </c>
      <c r="E1652" s="41" t="s">
        <v>1288</v>
      </c>
      <c r="F1652" s="41" t="s">
        <v>1367</v>
      </c>
      <c r="G1652" s="21" t="str">
        <f>VLOOKUP(D1652,[6]成飞半成品!$A:$B,2,0)</f>
        <v>垫板</v>
      </c>
      <c r="H1652" s="10" t="s">
        <v>123</v>
      </c>
      <c r="I1652" s="10">
        <v>10</v>
      </c>
      <c r="J1652" s="10" t="s">
        <v>2215</v>
      </c>
      <c r="K1652" s="10">
        <v>2.5</v>
      </c>
      <c r="L1652" s="10">
        <v>4</v>
      </c>
      <c r="M1652" s="14">
        <v>9</v>
      </c>
      <c r="N1652" s="14">
        <v>9</v>
      </c>
      <c r="O1652" s="55" t="s">
        <v>1335</v>
      </c>
      <c r="Q1652" s="10">
        <v>390</v>
      </c>
      <c r="U1652" s="10">
        <v>90</v>
      </c>
      <c r="W1652" s="14"/>
      <c r="Y1652" s="79">
        <v>26</v>
      </c>
      <c r="Z1652" s="56" t="s">
        <v>30</v>
      </c>
      <c r="AA1652" s="14" t="s">
        <v>1336</v>
      </c>
      <c r="AB1652" s="14" t="s">
        <v>957</v>
      </c>
    </row>
    <row r="1653" spans="1:28" ht="23.1" customHeight="1" x14ac:dyDescent="0.25">
      <c r="A1653" s="53" t="s">
        <v>1337</v>
      </c>
      <c r="B1653" s="10" t="s">
        <v>110</v>
      </c>
      <c r="C1653" s="10">
        <v>10</v>
      </c>
      <c r="D1653" s="10" t="s">
        <v>946</v>
      </c>
      <c r="E1653" s="41" t="s">
        <v>947</v>
      </c>
      <c r="F1653" s="41" t="s">
        <v>947</v>
      </c>
      <c r="G1653" s="21" t="str">
        <f>VLOOKUP(D1653,[6]成飞半成品!$A:$B,2,0)</f>
        <v>5755横框</v>
      </c>
      <c r="H1653" s="10" t="s">
        <v>300</v>
      </c>
      <c r="I1653" s="10">
        <v>25</v>
      </c>
      <c r="J1653" s="10" t="s">
        <v>2233</v>
      </c>
      <c r="K1653" s="10">
        <v>2.5</v>
      </c>
      <c r="L1653" s="10">
        <v>2.5</v>
      </c>
      <c r="M1653" s="14">
        <v>23</v>
      </c>
      <c r="N1653" s="14">
        <v>28</v>
      </c>
      <c r="O1653" s="55" t="s">
        <v>1338</v>
      </c>
      <c r="Q1653" s="10">
        <v>240</v>
      </c>
      <c r="U1653" s="10">
        <v>90</v>
      </c>
      <c r="W1653" s="14"/>
      <c r="Y1653" s="79">
        <v>10</v>
      </c>
      <c r="Z1653" s="56" t="s">
        <v>30</v>
      </c>
    </row>
    <row r="1654" spans="1:28" ht="23.1" customHeight="1" x14ac:dyDescent="0.25">
      <c r="A1654" s="53" t="s">
        <v>1337</v>
      </c>
      <c r="B1654" s="10" t="s">
        <v>110</v>
      </c>
      <c r="C1654" s="10">
        <v>9</v>
      </c>
      <c r="D1654" s="10" t="s">
        <v>459</v>
      </c>
      <c r="E1654" s="41" t="s">
        <v>460</v>
      </c>
      <c r="F1654" s="41" t="e">
        <v>#N/A</v>
      </c>
      <c r="G1654" s="21" t="e">
        <f>VLOOKUP(D1654,[6]成飞半成品!$A:$B,2,0)</f>
        <v>#N/A</v>
      </c>
      <c r="H1654" s="10" t="s">
        <v>123</v>
      </c>
      <c r="I1654" s="10">
        <v>30</v>
      </c>
      <c r="J1654" s="10" t="s">
        <v>1891</v>
      </c>
      <c r="K1654" s="10">
        <v>6</v>
      </c>
      <c r="L1654" s="10">
        <v>6</v>
      </c>
      <c r="M1654" s="14">
        <v>23</v>
      </c>
      <c r="N1654" s="14">
        <v>23</v>
      </c>
      <c r="O1654" s="55" t="s">
        <v>1339</v>
      </c>
      <c r="Q1654" s="10">
        <v>25</v>
      </c>
      <c r="U1654" s="10">
        <v>60</v>
      </c>
      <c r="W1654" s="14">
        <v>1</v>
      </c>
      <c r="X1654" s="14">
        <v>4</v>
      </c>
      <c r="Y1654" s="79">
        <v>7.5</v>
      </c>
      <c r="Z1654" s="56" t="s">
        <v>30</v>
      </c>
      <c r="AA1654" s="14" t="s">
        <v>1340</v>
      </c>
      <c r="AB1654" s="25" t="s">
        <v>238</v>
      </c>
    </row>
    <row r="1655" spans="1:28" ht="23.1" customHeight="1" x14ac:dyDescent="0.25">
      <c r="A1655" s="53" t="s">
        <v>1337</v>
      </c>
      <c r="B1655" s="10" t="s">
        <v>110</v>
      </c>
      <c r="C1655" s="10">
        <v>9</v>
      </c>
      <c r="D1655" s="10" t="s">
        <v>1341</v>
      </c>
      <c r="E1655" s="41" t="s">
        <v>595</v>
      </c>
      <c r="F1655" s="41" t="s">
        <v>595</v>
      </c>
      <c r="G1655" s="21" t="str">
        <f>VLOOKUP(D1655,[6]成飞半成品!$A:$B,2,0)</f>
        <v>加强件</v>
      </c>
      <c r="H1655" s="10" t="s">
        <v>123</v>
      </c>
      <c r="I1655" s="10">
        <v>20</v>
      </c>
      <c r="J1655" s="10" t="s">
        <v>1978</v>
      </c>
      <c r="L1655" s="10">
        <v>7</v>
      </c>
      <c r="M1655" s="14">
        <v>5</v>
      </c>
      <c r="N1655" s="14">
        <v>19</v>
      </c>
      <c r="O1655" s="55" t="s">
        <v>1342</v>
      </c>
      <c r="Q1655" s="10">
        <v>30</v>
      </c>
      <c r="U1655" s="10">
        <v>60</v>
      </c>
      <c r="W1655" s="14">
        <v>1</v>
      </c>
      <c r="Y1655" s="79">
        <v>4.5</v>
      </c>
      <c r="Z1655" s="56" t="s">
        <v>30</v>
      </c>
      <c r="AA1655" s="14" t="s">
        <v>1343</v>
      </c>
    </row>
    <row r="1656" spans="1:28" ht="23.1" customHeight="1" x14ac:dyDescent="0.25">
      <c r="A1656" s="53" t="s">
        <v>1236</v>
      </c>
      <c r="B1656" s="10" t="s">
        <v>137</v>
      </c>
      <c r="C1656" s="10">
        <v>10</v>
      </c>
      <c r="D1656" s="10" t="s">
        <v>946</v>
      </c>
      <c r="E1656" s="41" t="s">
        <v>947</v>
      </c>
      <c r="F1656" s="41" t="s">
        <v>947</v>
      </c>
      <c r="G1656" s="21" t="str">
        <f>VLOOKUP(D1656,[6]成飞半成品!$A:$B,2,0)</f>
        <v>5755横框</v>
      </c>
      <c r="H1656" s="10" t="s">
        <v>300</v>
      </c>
      <c r="I1656" s="10">
        <v>25</v>
      </c>
      <c r="J1656" s="10" t="s">
        <v>2233</v>
      </c>
      <c r="K1656" s="10">
        <v>2.5</v>
      </c>
      <c r="L1656" s="10">
        <v>2.5</v>
      </c>
      <c r="M1656" s="14">
        <v>5</v>
      </c>
      <c r="N1656" s="14">
        <v>23</v>
      </c>
      <c r="O1656" s="55" t="s">
        <v>1344</v>
      </c>
      <c r="Q1656" s="10">
        <v>240</v>
      </c>
      <c r="U1656" s="10">
        <v>90</v>
      </c>
      <c r="W1656" s="14">
        <v>1</v>
      </c>
      <c r="Y1656" s="79">
        <v>11.5</v>
      </c>
      <c r="Z1656" s="56" t="s">
        <v>30</v>
      </c>
      <c r="AA1656" s="14" t="s">
        <v>1345</v>
      </c>
    </row>
    <row r="1657" spans="1:28" ht="23.1" customHeight="1" x14ac:dyDescent="0.25">
      <c r="A1657" s="53" t="s">
        <v>1236</v>
      </c>
      <c r="B1657" s="10" t="s">
        <v>137</v>
      </c>
      <c r="C1657" s="10">
        <v>9</v>
      </c>
      <c r="D1657" s="25" t="s">
        <v>2551</v>
      </c>
      <c r="E1657" s="41" t="s">
        <v>595</v>
      </c>
      <c r="F1657" s="41" t="e">
        <v>#N/A</v>
      </c>
      <c r="G1657" s="21" t="str">
        <f>VLOOKUP(D1657,[6]成飞半成品!$A:$B,2,0)</f>
        <v>工装</v>
      </c>
      <c r="H1657" s="10" t="s">
        <v>123</v>
      </c>
      <c r="I1657" s="10">
        <v>10</v>
      </c>
      <c r="K1657" s="10">
        <v>2</v>
      </c>
      <c r="L1657" s="10">
        <v>2</v>
      </c>
      <c r="M1657" s="14">
        <v>5</v>
      </c>
      <c r="N1657" s="14">
        <v>5</v>
      </c>
      <c r="W1657" s="14">
        <v>1</v>
      </c>
      <c r="X1657" s="14">
        <v>3.75</v>
      </c>
      <c r="Y1657" s="79">
        <v>3.8</v>
      </c>
      <c r="Z1657" s="56" t="s">
        <v>30</v>
      </c>
      <c r="AA1657" s="14" t="s">
        <v>1347</v>
      </c>
      <c r="AB1657" s="14" t="s">
        <v>957</v>
      </c>
    </row>
    <row r="1658" spans="1:28" ht="23.1" customHeight="1" x14ac:dyDescent="0.25">
      <c r="A1658" s="53" t="s">
        <v>1236</v>
      </c>
      <c r="B1658" s="10" t="s">
        <v>137</v>
      </c>
      <c r="C1658" s="10">
        <v>9</v>
      </c>
      <c r="D1658" s="25" t="s">
        <v>2551</v>
      </c>
      <c r="E1658" s="41" t="s">
        <v>595</v>
      </c>
      <c r="F1658" s="41" t="e">
        <v>#N/A</v>
      </c>
      <c r="G1658" s="21" t="str">
        <f>VLOOKUP(D1658,[6]成飞半成品!$A:$B,2,0)</f>
        <v>工装</v>
      </c>
      <c r="H1658" s="10" t="s">
        <v>123</v>
      </c>
      <c r="I1658" s="10">
        <v>15</v>
      </c>
      <c r="L1658" s="10">
        <v>2</v>
      </c>
      <c r="M1658" s="14">
        <v>5</v>
      </c>
      <c r="N1658" s="14">
        <v>5</v>
      </c>
      <c r="W1658" s="14">
        <v>1</v>
      </c>
      <c r="X1658" s="14">
        <v>3.75</v>
      </c>
      <c r="Y1658" s="79">
        <v>3.8</v>
      </c>
      <c r="Z1658" s="56" t="s">
        <v>30</v>
      </c>
      <c r="AA1658" s="14" t="s">
        <v>1347</v>
      </c>
      <c r="AB1658" s="14" t="s">
        <v>957</v>
      </c>
    </row>
    <row r="1659" spans="1:28" ht="23.1" customHeight="1" x14ac:dyDescent="0.25">
      <c r="A1659" s="53" t="s">
        <v>1236</v>
      </c>
      <c r="B1659" s="10" t="s">
        <v>137</v>
      </c>
      <c r="C1659" s="10">
        <v>9</v>
      </c>
      <c r="D1659" s="25" t="s">
        <v>2551</v>
      </c>
      <c r="E1659" s="41" t="s">
        <v>595</v>
      </c>
      <c r="F1659" s="41" t="e">
        <v>#N/A</v>
      </c>
      <c r="G1659" s="21" t="str">
        <f>VLOOKUP(D1659,[6]成飞半成品!$A:$B,2,0)</f>
        <v>工装</v>
      </c>
      <c r="H1659" s="10" t="s">
        <v>123</v>
      </c>
      <c r="I1659" s="10">
        <v>20</v>
      </c>
      <c r="L1659" s="10">
        <v>2</v>
      </c>
      <c r="M1659" s="14">
        <v>5</v>
      </c>
      <c r="N1659" s="14">
        <v>5</v>
      </c>
      <c r="W1659" s="14">
        <v>1</v>
      </c>
      <c r="X1659" s="14">
        <v>3.75</v>
      </c>
      <c r="Y1659" s="79">
        <v>3.8</v>
      </c>
      <c r="Z1659" s="56" t="s">
        <v>30</v>
      </c>
      <c r="AA1659" s="14" t="s">
        <v>1347</v>
      </c>
      <c r="AB1659" s="14" t="s">
        <v>957</v>
      </c>
    </row>
    <row r="1660" spans="1:28" ht="23.1" customHeight="1" x14ac:dyDescent="0.25">
      <c r="A1660" s="53" t="s">
        <v>1236</v>
      </c>
      <c r="B1660" s="10" t="s">
        <v>137</v>
      </c>
      <c r="C1660" s="10">
        <v>9</v>
      </c>
      <c r="D1660" s="25" t="s">
        <v>2551</v>
      </c>
      <c r="E1660" s="41" t="s">
        <v>595</v>
      </c>
      <c r="F1660" s="41" t="e">
        <v>#N/A</v>
      </c>
      <c r="G1660" s="21" t="str">
        <f>VLOOKUP(D1660,[6]成飞半成品!$A:$B,2,0)</f>
        <v>工装</v>
      </c>
      <c r="H1660" s="10" t="s">
        <v>123</v>
      </c>
      <c r="I1660" s="10">
        <v>25</v>
      </c>
      <c r="L1660" s="10">
        <v>2</v>
      </c>
      <c r="M1660" s="14">
        <v>5</v>
      </c>
      <c r="N1660" s="14">
        <v>5</v>
      </c>
      <c r="W1660" s="14">
        <v>1</v>
      </c>
      <c r="X1660" s="14">
        <v>3.75</v>
      </c>
      <c r="Y1660" s="79">
        <v>3.8</v>
      </c>
      <c r="Z1660" s="56" t="s">
        <v>30</v>
      </c>
      <c r="AA1660" s="14" t="s">
        <v>1347</v>
      </c>
      <c r="AB1660" s="14" t="s">
        <v>957</v>
      </c>
    </row>
    <row r="1661" spans="1:28" ht="23.1" customHeight="1" x14ac:dyDescent="0.25">
      <c r="A1661" s="53" t="s">
        <v>1221</v>
      </c>
      <c r="B1661" s="10" t="s">
        <v>137</v>
      </c>
      <c r="C1661" s="10">
        <v>10</v>
      </c>
      <c r="D1661" s="10" t="s">
        <v>946</v>
      </c>
      <c r="E1661" s="41" t="s">
        <v>947</v>
      </c>
      <c r="F1661" s="41" t="s">
        <v>947</v>
      </c>
      <c r="G1661" s="21" t="str">
        <f>VLOOKUP(D1661,[6]成飞半成品!$A:$B,2,0)</f>
        <v>5755横框</v>
      </c>
      <c r="H1661" s="10" t="s">
        <v>300</v>
      </c>
      <c r="I1661" s="10">
        <v>20</v>
      </c>
      <c r="J1661" s="10" t="s">
        <v>2234</v>
      </c>
      <c r="L1661" s="10">
        <v>1.7</v>
      </c>
      <c r="M1661" s="14">
        <v>23</v>
      </c>
      <c r="N1661" s="14">
        <v>28</v>
      </c>
      <c r="O1661" s="55" t="s">
        <v>1348</v>
      </c>
      <c r="Q1661" s="10">
        <v>360</v>
      </c>
      <c r="U1661" s="10">
        <v>90</v>
      </c>
      <c r="W1661" s="14"/>
      <c r="Y1661" s="79">
        <v>10.199999999999999</v>
      </c>
      <c r="Z1661" s="56" t="s">
        <v>30</v>
      </c>
    </row>
    <row r="1662" spans="1:28" ht="23.1" customHeight="1" x14ac:dyDescent="0.25">
      <c r="A1662" s="53" t="s">
        <v>1221</v>
      </c>
      <c r="B1662" s="10" t="s">
        <v>137</v>
      </c>
      <c r="C1662" s="10">
        <v>9</v>
      </c>
      <c r="D1662" s="10" t="s">
        <v>911</v>
      </c>
      <c r="E1662" s="41" t="s">
        <v>912</v>
      </c>
      <c r="F1662" s="41" t="s">
        <v>912</v>
      </c>
      <c r="G1662" s="21" t="str">
        <f>VLOOKUP(D1662,[6]成飞半成品!$A:$B,2,0)</f>
        <v>安装支座</v>
      </c>
      <c r="H1662" s="10" t="s">
        <v>154</v>
      </c>
      <c r="I1662" s="10">
        <v>20</v>
      </c>
      <c r="J1662" s="10" t="s">
        <v>2235</v>
      </c>
      <c r="K1662" s="10">
        <v>5</v>
      </c>
      <c r="L1662" s="10">
        <v>5.8</v>
      </c>
      <c r="M1662" s="14">
        <v>28</v>
      </c>
      <c r="N1662" s="14">
        <v>28</v>
      </c>
      <c r="O1662" s="55" t="s">
        <v>429</v>
      </c>
      <c r="Q1662" s="10">
        <v>140</v>
      </c>
      <c r="U1662" s="10">
        <v>60</v>
      </c>
      <c r="W1662" s="14"/>
      <c r="Y1662" s="79">
        <v>13.5</v>
      </c>
      <c r="Z1662" s="56" t="s">
        <v>30</v>
      </c>
    </row>
    <row r="1663" spans="1:28" ht="23.1" customHeight="1" x14ac:dyDescent="0.25">
      <c r="A1663" s="53" t="s">
        <v>1349</v>
      </c>
      <c r="B1663" s="10" t="s">
        <v>137</v>
      </c>
      <c r="C1663" s="10">
        <v>76</v>
      </c>
      <c r="D1663" s="10" t="s">
        <v>1350</v>
      </c>
      <c r="E1663" s="41" t="s">
        <v>1351</v>
      </c>
      <c r="F1663" s="41" t="s">
        <v>1351</v>
      </c>
      <c r="G1663" s="21" t="str">
        <f>VLOOKUP(D1663,[6]成飞半成品!$A:$B,2,0)</f>
        <v>右内侧角材</v>
      </c>
      <c r="H1663" s="10" t="s">
        <v>102</v>
      </c>
      <c r="I1663" s="10">
        <v>25</v>
      </c>
      <c r="J1663" s="10" t="s">
        <v>1981</v>
      </c>
      <c r="K1663" s="10">
        <v>6</v>
      </c>
      <c r="L1663" s="10">
        <v>6</v>
      </c>
      <c r="M1663" s="14">
        <v>31</v>
      </c>
      <c r="N1663" s="14">
        <v>31</v>
      </c>
      <c r="O1663" s="55" t="s">
        <v>1352</v>
      </c>
      <c r="Q1663" s="10">
        <v>55</v>
      </c>
      <c r="U1663" s="10">
        <v>60</v>
      </c>
      <c r="W1663" s="14"/>
      <c r="Y1663" s="79">
        <v>5.5</v>
      </c>
      <c r="Z1663" s="56" t="s">
        <v>12</v>
      </c>
      <c r="AA1663" s="14" t="s">
        <v>1353</v>
      </c>
    </row>
    <row r="1664" spans="1:28" ht="23.1" customHeight="1" x14ac:dyDescent="0.25">
      <c r="A1664" s="53" t="s">
        <v>1349</v>
      </c>
      <c r="B1664" s="10" t="s">
        <v>137</v>
      </c>
      <c r="C1664" s="10">
        <v>76</v>
      </c>
      <c r="D1664" s="10" t="s">
        <v>1350</v>
      </c>
      <c r="E1664" s="41" t="s">
        <v>1351</v>
      </c>
      <c r="F1664" s="41" t="s">
        <v>1351</v>
      </c>
      <c r="G1664" s="21" t="str">
        <f>VLOOKUP(D1664,[6]成飞半成品!$A:$B,2,0)</f>
        <v>右内侧角材</v>
      </c>
      <c r="H1664" s="10" t="s">
        <v>102</v>
      </c>
      <c r="I1664" s="10">
        <v>30</v>
      </c>
      <c r="J1664" s="10" t="s">
        <v>1863</v>
      </c>
      <c r="K1664" s="10">
        <v>10</v>
      </c>
      <c r="L1664" s="10">
        <v>20</v>
      </c>
      <c r="M1664" s="14">
        <v>31</v>
      </c>
      <c r="N1664" s="14">
        <v>31</v>
      </c>
      <c r="O1664" s="55" t="s">
        <v>1354</v>
      </c>
      <c r="Q1664" s="10">
        <v>30</v>
      </c>
      <c r="U1664" s="10">
        <v>60</v>
      </c>
      <c r="W1664" s="14">
        <v>1</v>
      </c>
      <c r="Y1664" s="79">
        <v>11</v>
      </c>
      <c r="Z1664" s="56" t="s">
        <v>12</v>
      </c>
    </row>
    <row r="1665" spans="1:28" ht="23.1" customHeight="1" x14ac:dyDescent="0.25">
      <c r="A1665" s="53" t="s">
        <v>329</v>
      </c>
      <c r="B1665" s="10" t="s">
        <v>137</v>
      </c>
      <c r="C1665" s="10">
        <v>9</v>
      </c>
      <c r="D1665" s="10" t="s">
        <v>229</v>
      </c>
      <c r="E1665" s="41" t="s">
        <v>230</v>
      </c>
      <c r="F1665" s="41" t="s">
        <v>230</v>
      </c>
      <c r="G1665" s="21" t="str">
        <f>VLOOKUP(D1665,[6]成飞半成品!$A:$B,2,0)</f>
        <v>前起落架舱门结构支撑梁</v>
      </c>
      <c r="H1665" s="10" t="s">
        <v>154</v>
      </c>
      <c r="I1665" s="10">
        <v>25</v>
      </c>
      <c r="J1665" s="10" t="s">
        <v>1894</v>
      </c>
      <c r="M1665" s="14">
        <v>9</v>
      </c>
      <c r="N1665" s="14"/>
      <c r="O1665" s="55" t="s">
        <v>275</v>
      </c>
      <c r="Q1665" s="10">
        <v>140</v>
      </c>
      <c r="U1665" s="10">
        <v>60</v>
      </c>
      <c r="W1665" s="14"/>
      <c r="X1665" s="14">
        <v>2</v>
      </c>
      <c r="Y1665" s="79">
        <v>2</v>
      </c>
      <c r="Z1665" s="56" t="s">
        <v>23</v>
      </c>
      <c r="AA1665" s="14" t="s">
        <v>1355</v>
      </c>
      <c r="AB1665" s="14" t="s">
        <v>957</v>
      </c>
    </row>
    <row r="1666" spans="1:28" ht="23.1" customHeight="1" x14ac:dyDescent="0.25">
      <c r="A1666" s="53" t="s">
        <v>575</v>
      </c>
      <c r="B1666" s="10" t="s">
        <v>137</v>
      </c>
      <c r="C1666" s="10">
        <v>9</v>
      </c>
      <c r="D1666" s="10" t="s">
        <v>624</v>
      </c>
      <c r="E1666" s="41" t="s">
        <v>625</v>
      </c>
      <c r="F1666" s="41" t="s">
        <v>625</v>
      </c>
      <c r="G1666" s="21" t="str">
        <f>VLOOKUP(D1666,[6]成飞半成品!$A:$B,2,0)</f>
        <v>支架</v>
      </c>
      <c r="H1666" s="10" t="s">
        <v>300</v>
      </c>
      <c r="I1666" s="10">
        <v>45</v>
      </c>
      <c r="J1666" s="10" t="s">
        <v>1991</v>
      </c>
      <c r="M1666" s="14">
        <v>9</v>
      </c>
      <c r="N1666" s="14"/>
      <c r="O1666" s="55" t="s">
        <v>567</v>
      </c>
      <c r="Q1666" s="10">
        <v>55</v>
      </c>
      <c r="U1666" s="10">
        <v>60</v>
      </c>
      <c r="W1666" s="14"/>
      <c r="X1666" s="14">
        <v>2</v>
      </c>
      <c r="Y1666" s="79">
        <v>2</v>
      </c>
      <c r="Z1666" s="56" t="s">
        <v>23</v>
      </c>
      <c r="AA1666" s="14" t="s">
        <v>926</v>
      </c>
      <c r="AB1666" s="14" t="s">
        <v>957</v>
      </c>
    </row>
    <row r="1667" spans="1:28" ht="23.1" customHeight="1" x14ac:dyDescent="0.25">
      <c r="A1667" s="53" t="s">
        <v>1333</v>
      </c>
      <c r="B1667" s="10" t="s">
        <v>113</v>
      </c>
      <c r="C1667" s="10">
        <v>76</v>
      </c>
      <c r="D1667" s="10" t="s">
        <v>1251</v>
      </c>
      <c r="E1667" s="41" t="s">
        <v>625</v>
      </c>
      <c r="F1667" s="41" t="s">
        <v>625</v>
      </c>
      <c r="G1667" s="21" t="str">
        <f>VLOOKUP(D1667,[6]成飞半成品!$A:$B,2,0)</f>
        <v>支架</v>
      </c>
      <c r="H1667" s="10" t="s">
        <v>102</v>
      </c>
      <c r="I1667" s="10">
        <v>10</v>
      </c>
      <c r="K1667" s="10">
        <v>8</v>
      </c>
      <c r="L1667" s="10">
        <v>8</v>
      </c>
      <c r="M1667" s="14">
        <v>28</v>
      </c>
      <c r="N1667" s="14">
        <v>28</v>
      </c>
      <c r="O1667" s="55" t="s">
        <v>596</v>
      </c>
      <c r="W1667" s="14"/>
      <c r="X1667" s="14">
        <v>4</v>
      </c>
      <c r="Y1667" s="79">
        <v>4</v>
      </c>
      <c r="Z1667" s="56" t="s">
        <v>12</v>
      </c>
      <c r="AA1667" s="14" t="s">
        <v>1356</v>
      </c>
      <c r="AB1667" s="14" t="s">
        <v>957</v>
      </c>
    </row>
    <row r="1668" spans="1:28" ht="23.1" customHeight="1" x14ac:dyDescent="0.25">
      <c r="A1668" s="53" t="s">
        <v>1236</v>
      </c>
      <c r="B1668" s="10" t="s">
        <v>110</v>
      </c>
      <c r="C1668" s="10">
        <v>79</v>
      </c>
      <c r="D1668" s="10" t="s">
        <v>152</v>
      </c>
      <c r="E1668" s="41" t="s">
        <v>1247</v>
      </c>
      <c r="F1668" s="41" t="s">
        <v>1247</v>
      </c>
      <c r="G1668" s="21" t="str">
        <f>VLOOKUP(D1668,[6]成飞半成品!$A:$B,2,0)</f>
        <v>根肋前段</v>
      </c>
      <c r="H1668" s="10" t="s">
        <v>154</v>
      </c>
      <c r="I1668" s="10">
        <v>45</v>
      </c>
      <c r="J1668" s="10" t="s">
        <v>2236</v>
      </c>
      <c r="K1668" s="10">
        <v>1</v>
      </c>
      <c r="L1668" s="10">
        <v>0.4</v>
      </c>
      <c r="M1668" s="14">
        <v>5</v>
      </c>
      <c r="N1668" s="14"/>
      <c r="O1668" s="55" t="s">
        <v>675</v>
      </c>
      <c r="Q1668" s="10">
        <v>2460</v>
      </c>
      <c r="R1668" s="10">
        <v>90</v>
      </c>
      <c r="U1668" s="10">
        <v>240</v>
      </c>
      <c r="W1668" s="14"/>
      <c r="Y1668" s="79">
        <v>16.399999999999999</v>
      </c>
      <c r="Z1668" s="56" t="s">
        <v>5</v>
      </c>
      <c r="AA1668" s="14" t="s">
        <v>1357</v>
      </c>
    </row>
    <row r="1669" spans="1:28" ht="23.1" customHeight="1" x14ac:dyDescent="0.25">
      <c r="A1669" s="53" t="s">
        <v>1221</v>
      </c>
      <c r="B1669" s="10" t="s">
        <v>113</v>
      </c>
      <c r="C1669" s="10">
        <v>79</v>
      </c>
      <c r="D1669" s="10" t="s">
        <v>152</v>
      </c>
      <c r="E1669" s="41" t="s">
        <v>1247</v>
      </c>
      <c r="F1669" s="41" t="s">
        <v>1247</v>
      </c>
      <c r="G1669" s="21" t="str">
        <f>VLOOKUP(D1669,[6]成飞半成品!$A:$B,2,0)</f>
        <v>根肋前段</v>
      </c>
      <c r="H1669" s="10" t="s">
        <v>154</v>
      </c>
      <c r="I1669" s="10">
        <v>45</v>
      </c>
      <c r="J1669" s="10" t="s">
        <v>2236</v>
      </c>
      <c r="K1669" s="10">
        <v>2</v>
      </c>
      <c r="L1669" s="10">
        <v>0.6</v>
      </c>
      <c r="M1669" s="14">
        <v>5</v>
      </c>
      <c r="N1669" s="14"/>
      <c r="O1669" s="55" t="s">
        <v>675</v>
      </c>
      <c r="Q1669" s="10">
        <v>2460</v>
      </c>
      <c r="R1669" s="10">
        <v>90</v>
      </c>
      <c r="T1669" s="10">
        <v>1</v>
      </c>
      <c r="U1669" s="10">
        <v>240</v>
      </c>
      <c r="W1669" s="14"/>
      <c r="X1669" s="14">
        <v>2</v>
      </c>
      <c r="Y1669" s="79">
        <v>28.1</v>
      </c>
      <c r="Z1669" s="56" t="s">
        <v>19</v>
      </c>
      <c r="AA1669" s="14" t="s">
        <v>1358</v>
      </c>
    </row>
    <row r="1670" spans="1:28" ht="23.1" customHeight="1" x14ac:dyDescent="0.25">
      <c r="A1670" s="53" t="s">
        <v>796</v>
      </c>
      <c r="B1670" s="10" t="s">
        <v>137</v>
      </c>
      <c r="C1670" s="10">
        <v>59</v>
      </c>
      <c r="D1670" s="10" t="s">
        <v>966</v>
      </c>
      <c r="E1670" s="41" t="s">
        <v>967</v>
      </c>
      <c r="F1670" s="41" t="s">
        <v>967</v>
      </c>
      <c r="G1670" s="21" t="str">
        <f>VLOOKUP(D1670,[6]成飞半成品!$A:$B,2,0)</f>
        <v>Z支架</v>
      </c>
      <c r="H1670" s="10" t="s">
        <v>154</v>
      </c>
      <c r="I1670" s="10">
        <v>53</v>
      </c>
      <c r="K1670" s="10">
        <v>40</v>
      </c>
      <c r="L1670" s="10">
        <v>7</v>
      </c>
      <c r="M1670" s="14">
        <v>5</v>
      </c>
      <c r="N1670" s="14">
        <v>9</v>
      </c>
      <c r="O1670" s="55" t="s">
        <v>247</v>
      </c>
      <c r="W1670" s="14">
        <v>1</v>
      </c>
      <c r="X1670" s="14">
        <v>2</v>
      </c>
      <c r="Y1670" s="83">
        <v>2</v>
      </c>
      <c r="Z1670" s="65" t="s">
        <v>1847</v>
      </c>
      <c r="AA1670" s="14" t="s">
        <v>926</v>
      </c>
      <c r="AB1670" s="25" t="s">
        <v>238</v>
      </c>
    </row>
    <row r="1671" spans="1:28" ht="23.1" customHeight="1" x14ac:dyDescent="0.25">
      <c r="A1671" s="53" t="s">
        <v>909</v>
      </c>
      <c r="B1671" s="10" t="s">
        <v>110</v>
      </c>
      <c r="C1671" s="10">
        <v>107</v>
      </c>
      <c r="D1671" s="10" t="s">
        <v>173</v>
      </c>
      <c r="E1671" s="41" t="s">
        <v>1246</v>
      </c>
      <c r="F1671" s="41" t="s">
        <v>1246</v>
      </c>
      <c r="G1671" s="21" t="str">
        <f>VLOOKUP(D1671,[6]成飞半成品!$A:$B,2,0)</f>
        <v>根肋后段</v>
      </c>
      <c r="H1671" s="10" t="s">
        <v>154</v>
      </c>
      <c r="I1671" s="10">
        <v>45</v>
      </c>
      <c r="J1671" s="10" t="s">
        <v>1866</v>
      </c>
      <c r="K1671" s="10">
        <v>0.2</v>
      </c>
      <c r="L1671" s="10">
        <v>0.2</v>
      </c>
      <c r="M1671" s="14">
        <v>26</v>
      </c>
      <c r="N1671" s="14"/>
      <c r="O1671" s="55" t="s">
        <v>421</v>
      </c>
      <c r="Q1671" s="10">
        <v>1900</v>
      </c>
      <c r="R1671" s="10">
        <v>90</v>
      </c>
      <c r="T1671" s="10">
        <v>1</v>
      </c>
      <c r="U1671" s="10">
        <v>180</v>
      </c>
      <c r="W1671" s="14">
        <v>1</v>
      </c>
      <c r="Y1671" s="79">
        <v>10.8</v>
      </c>
      <c r="Z1671" s="56" t="s">
        <v>13</v>
      </c>
      <c r="AA1671" s="14" t="s">
        <v>1359</v>
      </c>
      <c r="AB1671" s="25" t="s">
        <v>238</v>
      </c>
    </row>
    <row r="1672" spans="1:28" ht="23.1" customHeight="1" x14ac:dyDescent="0.25">
      <c r="A1672" s="53" t="s">
        <v>909</v>
      </c>
      <c r="B1672" s="10" t="s">
        <v>113</v>
      </c>
      <c r="C1672" s="10">
        <v>107</v>
      </c>
      <c r="D1672" s="10" t="s">
        <v>173</v>
      </c>
      <c r="E1672" s="41" t="s">
        <v>1246</v>
      </c>
      <c r="F1672" s="41" t="s">
        <v>1246</v>
      </c>
      <c r="G1672" s="21" t="str">
        <f>VLOOKUP(D1672,[6]成飞半成品!$A:$B,2,0)</f>
        <v>根肋后段</v>
      </c>
      <c r="H1672" s="10" t="s">
        <v>154</v>
      </c>
      <c r="I1672" s="10">
        <v>45</v>
      </c>
      <c r="J1672" s="10" t="s">
        <v>1866</v>
      </c>
      <c r="K1672" s="10">
        <v>1</v>
      </c>
      <c r="L1672" s="10">
        <v>0.6</v>
      </c>
      <c r="M1672" s="14">
        <v>26</v>
      </c>
      <c r="N1672" s="14"/>
      <c r="O1672" s="55" t="s">
        <v>421</v>
      </c>
      <c r="Q1672" s="10">
        <v>1900</v>
      </c>
      <c r="R1672" s="10">
        <v>90</v>
      </c>
      <c r="U1672" s="10">
        <v>180</v>
      </c>
      <c r="W1672" s="14"/>
      <c r="Y1672" s="79">
        <v>19</v>
      </c>
      <c r="Z1672" s="56" t="s">
        <v>13</v>
      </c>
    </row>
    <row r="1673" spans="1:28" ht="23.1" customHeight="1" x14ac:dyDescent="0.25">
      <c r="A1673" s="53" t="s">
        <v>909</v>
      </c>
      <c r="B1673" s="10" t="s">
        <v>113</v>
      </c>
      <c r="C1673" s="10">
        <v>21</v>
      </c>
      <c r="D1673" s="10" t="s">
        <v>321</v>
      </c>
      <c r="E1673" s="41" t="s">
        <v>322</v>
      </c>
      <c r="F1673" s="41" t="s">
        <v>322</v>
      </c>
      <c r="G1673" s="21" t="str">
        <f>VLOOKUP(D1673,[6]成飞半成品!$A:$B,2,0)</f>
        <v>10860框</v>
      </c>
      <c r="H1673" s="10" t="s">
        <v>323</v>
      </c>
      <c r="I1673" s="10">
        <v>30</v>
      </c>
      <c r="J1673" s="10" t="s">
        <v>2078</v>
      </c>
      <c r="K1673" s="10">
        <v>1</v>
      </c>
      <c r="L1673" s="10">
        <v>0.3</v>
      </c>
      <c r="M1673" s="14">
        <v>9</v>
      </c>
      <c r="N1673" s="14"/>
      <c r="O1673" s="55" t="s">
        <v>1273</v>
      </c>
      <c r="Q1673" s="10">
        <v>360</v>
      </c>
      <c r="R1673" s="10">
        <v>120</v>
      </c>
      <c r="T1673" s="10">
        <v>1</v>
      </c>
      <c r="U1673" s="10">
        <v>180</v>
      </c>
      <c r="W1673" s="14">
        <v>1</v>
      </c>
      <c r="Y1673" s="79">
        <v>6.8</v>
      </c>
      <c r="Z1673" s="56" t="s">
        <v>58</v>
      </c>
    </row>
    <row r="1674" spans="1:28" ht="23.1" customHeight="1" x14ac:dyDescent="0.25">
      <c r="A1674" s="53" t="s">
        <v>909</v>
      </c>
      <c r="B1674" s="10" t="s">
        <v>113</v>
      </c>
      <c r="C1674" s="10">
        <v>55</v>
      </c>
      <c r="D1674" s="10" t="s">
        <v>923</v>
      </c>
      <c r="E1674" s="41" t="s">
        <v>139</v>
      </c>
      <c r="F1674" s="41" t="s">
        <v>139</v>
      </c>
      <c r="G1674" s="21" t="str">
        <f>VLOOKUP(D1674,[6]成飞半成品!$A:$B,2,0)</f>
        <v>支座</v>
      </c>
      <c r="H1674" s="10" t="s">
        <v>250</v>
      </c>
      <c r="I1674" s="10">
        <v>25</v>
      </c>
      <c r="J1674" s="10" t="s">
        <v>2334</v>
      </c>
      <c r="K1674" s="10">
        <v>4</v>
      </c>
      <c r="L1674" s="10">
        <v>5</v>
      </c>
      <c r="M1674" s="14">
        <v>28</v>
      </c>
      <c r="N1674" s="14">
        <v>26</v>
      </c>
      <c r="O1674" s="55" t="s">
        <v>131</v>
      </c>
      <c r="Q1674" s="10">
        <v>150</v>
      </c>
      <c r="U1674" s="10">
        <v>60</v>
      </c>
      <c r="W1674" s="14">
        <v>1</v>
      </c>
      <c r="X1674" s="14">
        <v>2</v>
      </c>
      <c r="Y1674" s="79">
        <v>15.5</v>
      </c>
      <c r="Z1674" s="56" t="s">
        <v>44</v>
      </c>
      <c r="AA1674" s="14" t="s">
        <v>1011</v>
      </c>
      <c r="AB1674" s="25" t="s">
        <v>238</v>
      </c>
    </row>
    <row r="1675" spans="1:28" ht="23.1" customHeight="1" x14ac:dyDescent="0.25">
      <c r="A1675" s="53" t="s">
        <v>1360</v>
      </c>
      <c r="B1675" s="10" t="s">
        <v>110</v>
      </c>
      <c r="C1675" s="10">
        <v>10</v>
      </c>
      <c r="D1675" s="10" t="s">
        <v>217</v>
      </c>
      <c r="E1675" s="41" t="s">
        <v>218</v>
      </c>
      <c r="F1675" s="41" t="s">
        <v>218</v>
      </c>
      <c r="G1675" s="21" t="str">
        <f>VLOOKUP(D1675,[6]成飞半成品!$A:$B,2,0)</f>
        <v>横梁</v>
      </c>
      <c r="H1675" s="10" t="s">
        <v>107</v>
      </c>
      <c r="I1675" s="10">
        <v>55</v>
      </c>
      <c r="J1675" s="10" t="s">
        <v>2227</v>
      </c>
      <c r="K1675" s="10">
        <v>2</v>
      </c>
      <c r="L1675" s="10">
        <v>2</v>
      </c>
      <c r="M1675" s="14">
        <v>31</v>
      </c>
      <c r="N1675" s="14">
        <v>31</v>
      </c>
      <c r="O1675" s="55" t="s">
        <v>219</v>
      </c>
      <c r="Q1675" s="10">
        <v>270</v>
      </c>
      <c r="U1675" s="10">
        <v>90</v>
      </c>
      <c r="W1675" s="14"/>
      <c r="Y1675" s="79">
        <v>9</v>
      </c>
      <c r="Z1675" s="56" t="s">
        <v>30</v>
      </c>
      <c r="AA1675" s="14" t="s">
        <v>1361</v>
      </c>
      <c r="AB1675" s="14" t="s">
        <v>957</v>
      </c>
    </row>
    <row r="1676" spans="1:28" ht="23.1" customHeight="1" x14ac:dyDescent="0.25">
      <c r="A1676" s="53" t="s">
        <v>1360</v>
      </c>
      <c r="B1676" s="10" t="s">
        <v>110</v>
      </c>
      <c r="C1676" s="10">
        <v>9</v>
      </c>
      <c r="D1676" s="10" t="s">
        <v>1362</v>
      </c>
      <c r="E1676" s="41" t="s">
        <v>409</v>
      </c>
      <c r="F1676" s="41" t="s">
        <v>409</v>
      </c>
      <c r="G1676" s="21" t="str">
        <f>VLOOKUP(D1676,[6]成飞半成品!$A:$B,2,0)</f>
        <v>接头</v>
      </c>
      <c r="H1676" s="10" t="s">
        <v>102</v>
      </c>
      <c r="I1676" s="10">
        <v>10</v>
      </c>
      <c r="J1676" s="10" t="s">
        <v>1952</v>
      </c>
      <c r="L1676" s="10">
        <v>1</v>
      </c>
      <c r="M1676" s="14">
        <v>5</v>
      </c>
      <c r="N1676" s="14"/>
      <c r="O1676" s="55" t="s">
        <v>596</v>
      </c>
      <c r="Q1676" s="10">
        <v>35</v>
      </c>
      <c r="U1676" s="10">
        <v>60</v>
      </c>
      <c r="W1676" s="14">
        <v>1</v>
      </c>
      <c r="Y1676" s="79">
        <v>1.6</v>
      </c>
      <c r="Z1676" s="56" t="s">
        <v>30</v>
      </c>
      <c r="AA1676" s="14" t="s">
        <v>1363</v>
      </c>
      <c r="AB1676" s="14" t="s">
        <v>957</v>
      </c>
    </row>
    <row r="1677" spans="1:28" ht="23.1" customHeight="1" x14ac:dyDescent="0.25">
      <c r="A1677" s="53" t="s">
        <v>1360</v>
      </c>
      <c r="B1677" s="10" t="s">
        <v>110</v>
      </c>
      <c r="C1677" s="10">
        <v>9</v>
      </c>
      <c r="D1677" s="10" t="s">
        <v>1362</v>
      </c>
      <c r="E1677" s="41" t="s">
        <v>409</v>
      </c>
      <c r="F1677" s="41" t="s">
        <v>409</v>
      </c>
      <c r="G1677" s="21" t="str">
        <f>VLOOKUP(D1677,[6]成飞半成品!$A:$B,2,0)</f>
        <v>接头</v>
      </c>
      <c r="H1677" s="10" t="s">
        <v>102</v>
      </c>
      <c r="I1677" s="10">
        <v>15</v>
      </c>
      <c r="J1677" s="10" t="s">
        <v>1852</v>
      </c>
      <c r="L1677" s="10">
        <v>1</v>
      </c>
      <c r="M1677" s="14">
        <v>5</v>
      </c>
      <c r="N1677" s="14"/>
      <c r="O1677" s="55" t="s">
        <v>596</v>
      </c>
      <c r="Q1677" s="10">
        <v>35</v>
      </c>
      <c r="U1677" s="10">
        <v>90</v>
      </c>
      <c r="W1677" s="14">
        <v>1</v>
      </c>
      <c r="Y1677" s="79">
        <v>2.1</v>
      </c>
      <c r="Z1677" s="56" t="s">
        <v>30</v>
      </c>
    </row>
    <row r="1678" spans="1:28" ht="23.1" customHeight="1" x14ac:dyDescent="0.25">
      <c r="A1678" s="53" t="s">
        <v>1360</v>
      </c>
      <c r="B1678" s="10" t="s">
        <v>110</v>
      </c>
      <c r="C1678" s="10">
        <v>9</v>
      </c>
      <c r="D1678" s="10" t="s">
        <v>1362</v>
      </c>
      <c r="E1678" s="41" t="s">
        <v>409</v>
      </c>
      <c r="F1678" s="41" t="s">
        <v>409</v>
      </c>
      <c r="G1678" s="21" t="str">
        <f>VLOOKUP(D1678,[6]成飞半成品!$A:$B,2,0)</f>
        <v>接头</v>
      </c>
      <c r="H1678" s="10" t="s">
        <v>102</v>
      </c>
      <c r="I1678" s="10">
        <v>20</v>
      </c>
      <c r="J1678" s="10" t="s">
        <v>2087</v>
      </c>
      <c r="L1678" s="10">
        <v>1</v>
      </c>
      <c r="M1678" s="14">
        <v>5</v>
      </c>
      <c r="N1678" s="14"/>
      <c r="O1678" s="55" t="s">
        <v>596</v>
      </c>
      <c r="Q1678" s="10">
        <v>25</v>
      </c>
      <c r="U1678" s="10">
        <v>60</v>
      </c>
      <c r="W1678" s="14">
        <v>1</v>
      </c>
      <c r="Y1678" s="79">
        <v>1.4</v>
      </c>
      <c r="Z1678" s="56" t="s">
        <v>30</v>
      </c>
    </row>
    <row r="1679" spans="1:28" ht="23.1" customHeight="1" x14ac:dyDescent="0.25">
      <c r="A1679" s="53" t="s">
        <v>1360</v>
      </c>
      <c r="B1679" s="10" t="s">
        <v>110</v>
      </c>
      <c r="C1679" s="10">
        <v>9</v>
      </c>
      <c r="D1679" s="10" t="s">
        <v>1364</v>
      </c>
      <c r="E1679" s="41" t="s">
        <v>409</v>
      </c>
      <c r="F1679" s="41" t="s">
        <v>409</v>
      </c>
      <c r="G1679" s="21" t="str">
        <f>VLOOKUP(D1679,[6]成飞半成品!$A:$B,2,0)</f>
        <v>接头</v>
      </c>
      <c r="H1679" s="10" t="s">
        <v>102</v>
      </c>
      <c r="I1679" s="10">
        <v>10</v>
      </c>
      <c r="J1679" s="10" t="s">
        <v>1952</v>
      </c>
      <c r="L1679" s="10">
        <v>1</v>
      </c>
      <c r="M1679" s="14">
        <v>26</v>
      </c>
      <c r="N1679" s="14"/>
      <c r="O1679" s="55" t="s">
        <v>596</v>
      </c>
      <c r="Q1679" s="10">
        <v>40</v>
      </c>
      <c r="U1679" s="10">
        <v>60</v>
      </c>
      <c r="W1679" s="14">
        <v>1</v>
      </c>
      <c r="Y1679" s="79">
        <v>1.7</v>
      </c>
      <c r="Z1679" s="56" t="s">
        <v>30</v>
      </c>
    </row>
    <row r="1680" spans="1:28" ht="23.1" customHeight="1" x14ac:dyDescent="0.25">
      <c r="A1680" s="53" t="s">
        <v>1360</v>
      </c>
      <c r="B1680" s="10" t="s">
        <v>110</v>
      </c>
      <c r="C1680" s="10">
        <v>9</v>
      </c>
      <c r="D1680" s="10" t="s">
        <v>1364</v>
      </c>
      <c r="E1680" s="41" t="s">
        <v>409</v>
      </c>
      <c r="F1680" s="41" t="s">
        <v>409</v>
      </c>
      <c r="G1680" s="21" t="str">
        <f>VLOOKUP(D1680,[6]成飞半成品!$A:$B,2,0)</f>
        <v>接头</v>
      </c>
      <c r="H1680" s="10" t="s">
        <v>102</v>
      </c>
      <c r="I1680" s="10">
        <v>15</v>
      </c>
      <c r="J1680" s="10" t="s">
        <v>2205</v>
      </c>
      <c r="L1680" s="10">
        <v>1</v>
      </c>
      <c r="M1680" s="14"/>
      <c r="N1680" s="14">
        <v>23</v>
      </c>
      <c r="O1680" s="55" t="s">
        <v>231</v>
      </c>
      <c r="Q1680" s="10">
        <v>90</v>
      </c>
      <c r="U1680" s="10">
        <v>90</v>
      </c>
      <c r="W1680" s="14">
        <v>1</v>
      </c>
      <c r="Y1680" s="79">
        <v>3</v>
      </c>
      <c r="Z1680" s="56" t="s">
        <v>30</v>
      </c>
    </row>
    <row r="1681" spans="1:28" ht="23.1" customHeight="1" x14ac:dyDescent="0.25">
      <c r="A1681" s="53" t="s">
        <v>1360</v>
      </c>
      <c r="B1681" s="10" t="s">
        <v>110</v>
      </c>
      <c r="C1681" s="10">
        <v>9</v>
      </c>
      <c r="D1681" s="10" t="s">
        <v>1287</v>
      </c>
      <c r="E1681" s="41" t="s">
        <v>1288</v>
      </c>
      <c r="F1681" s="41" t="s">
        <v>1367</v>
      </c>
      <c r="G1681" s="21" t="str">
        <f>VLOOKUP(D1681,[6]成飞半成品!$A:$B,2,0)</f>
        <v>垫板</v>
      </c>
      <c r="H1681" s="10" t="s">
        <v>123</v>
      </c>
      <c r="I1681" s="10">
        <v>10</v>
      </c>
      <c r="J1681" s="10" t="s">
        <v>2215</v>
      </c>
      <c r="K1681" s="10">
        <v>1.6</v>
      </c>
      <c r="L1681" s="10">
        <v>1.7</v>
      </c>
      <c r="M1681" s="14">
        <v>23</v>
      </c>
      <c r="N1681" s="14">
        <v>5</v>
      </c>
      <c r="O1681" s="55" t="s">
        <v>1365</v>
      </c>
      <c r="Q1681" s="10">
        <v>390</v>
      </c>
      <c r="U1681" s="10">
        <v>90</v>
      </c>
      <c r="W1681" s="14"/>
      <c r="Y1681" s="79">
        <v>11.1</v>
      </c>
      <c r="Z1681" s="56" t="s">
        <v>30</v>
      </c>
    </row>
    <row r="1682" spans="1:28" ht="23.1" customHeight="1" x14ac:dyDescent="0.25">
      <c r="A1682" s="53" t="s">
        <v>1360</v>
      </c>
      <c r="B1682" s="10" t="s">
        <v>110</v>
      </c>
      <c r="C1682" s="10">
        <v>9</v>
      </c>
      <c r="D1682" s="10" t="s">
        <v>1366</v>
      </c>
      <c r="E1682" s="41" t="s">
        <v>1367</v>
      </c>
      <c r="F1682" s="41" t="s">
        <v>1367</v>
      </c>
      <c r="G1682" s="21" t="str">
        <f>VLOOKUP(D1682,[6]成飞半成品!$A:$B,2,0)</f>
        <v>垫板</v>
      </c>
      <c r="H1682" s="10" t="s">
        <v>123</v>
      </c>
      <c r="I1682" s="10">
        <v>10</v>
      </c>
      <c r="J1682" s="10" t="s">
        <v>2215</v>
      </c>
      <c r="L1682" s="10">
        <v>0.6</v>
      </c>
      <c r="M1682" s="14">
        <v>5</v>
      </c>
      <c r="N1682" s="14"/>
      <c r="O1682" s="55" t="s">
        <v>950</v>
      </c>
      <c r="Q1682" s="10">
        <v>390</v>
      </c>
      <c r="U1682" s="10">
        <v>90</v>
      </c>
      <c r="W1682" s="14"/>
      <c r="Y1682" s="79">
        <v>3.9</v>
      </c>
      <c r="Z1682" s="56" t="s">
        <v>30</v>
      </c>
    </row>
    <row r="1683" spans="1:28" ht="23.1" customHeight="1" x14ac:dyDescent="0.25">
      <c r="A1683" s="53" t="s">
        <v>1360</v>
      </c>
      <c r="B1683" s="10" t="s">
        <v>110</v>
      </c>
      <c r="C1683" s="10">
        <v>9</v>
      </c>
      <c r="D1683" s="10" t="s">
        <v>1287</v>
      </c>
      <c r="E1683" s="41" t="s">
        <v>1288</v>
      </c>
      <c r="F1683" s="41" t="s">
        <v>1367</v>
      </c>
      <c r="G1683" s="21" t="str">
        <f>VLOOKUP(D1683,[6]成飞半成品!$A:$B,2,0)</f>
        <v>垫板</v>
      </c>
      <c r="H1683" s="10" t="s">
        <v>123</v>
      </c>
      <c r="I1683" s="10">
        <v>10</v>
      </c>
      <c r="J1683" s="10" t="s">
        <v>2215</v>
      </c>
      <c r="L1683" s="10">
        <v>1</v>
      </c>
      <c r="M1683" s="14">
        <v>28</v>
      </c>
      <c r="N1683" s="14"/>
      <c r="O1683" s="55" t="s">
        <v>1289</v>
      </c>
      <c r="Q1683" s="10">
        <v>390</v>
      </c>
      <c r="T1683" s="10">
        <v>1</v>
      </c>
      <c r="U1683" s="10">
        <v>90</v>
      </c>
      <c r="W1683" s="14"/>
      <c r="Y1683" s="79">
        <v>6.5</v>
      </c>
      <c r="Z1683" s="56" t="s">
        <v>30</v>
      </c>
    </row>
    <row r="1684" spans="1:28" ht="23.1" customHeight="1" x14ac:dyDescent="0.25">
      <c r="A1684" s="53" t="s">
        <v>1360</v>
      </c>
      <c r="B1684" s="10" t="s">
        <v>110</v>
      </c>
      <c r="C1684" s="10">
        <v>10</v>
      </c>
      <c r="D1684" s="10" t="s">
        <v>946</v>
      </c>
      <c r="E1684" s="41" t="s">
        <v>947</v>
      </c>
      <c r="F1684" s="41" t="s">
        <v>947</v>
      </c>
      <c r="G1684" s="21" t="str">
        <f>VLOOKUP(D1684,[6]成飞半成品!$A:$B,2,0)</f>
        <v>5755横框</v>
      </c>
      <c r="H1684" s="10" t="s">
        <v>300</v>
      </c>
      <c r="I1684" s="10">
        <v>30</v>
      </c>
      <c r="J1684" s="10" t="s">
        <v>2216</v>
      </c>
      <c r="K1684" s="10">
        <v>2</v>
      </c>
      <c r="L1684" s="10">
        <v>2</v>
      </c>
      <c r="M1684" s="14">
        <v>5</v>
      </c>
      <c r="N1684" s="14">
        <v>31</v>
      </c>
      <c r="O1684" s="55" t="s">
        <v>1368</v>
      </c>
      <c r="Q1684" s="10">
        <v>320</v>
      </c>
      <c r="U1684" s="10">
        <v>90</v>
      </c>
      <c r="W1684" s="14"/>
      <c r="Y1684" s="79">
        <v>10.7</v>
      </c>
      <c r="Z1684" s="56" t="s">
        <v>30</v>
      </c>
    </row>
    <row r="1685" spans="1:28" ht="23.1" customHeight="1" x14ac:dyDescent="0.25">
      <c r="A1685" s="53" t="s">
        <v>1360</v>
      </c>
      <c r="B1685" s="10" t="s">
        <v>110</v>
      </c>
      <c r="C1685" s="10">
        <v>24</v>
      </c>
      <c r="D1685" s="10" t="s">
        <v>294</v>
      </c>
      <c r="E1685" s="41" t="s">
        <v>259</v>
      </c>
      <c r="F1685" s="41" t="s">
        <v>284</v>
      </c>
      <c r="G1685" s="21" t="str">
        <f>VLOOKUP(D1685,[6]成飞半成品!$A:$B,2,0)</f>
        <v>梁（左件）</v>
      </c>
      <c r="H1685" s="31" t="s">
        <v>118</v>
      </c>
      <c r="I1685" s="10">
        <v>45</v>
      </c>
      <c r="J1685" s="10" t="s">
        <v>1920</v>
      </c>
      <c r="K1685" s="10">
        <v>1.5</v>
      </c>
      <c r="L1685" s="10">
        <v>1.1000000000000001</v>
      </c>
      <c r="M1685" s="14">
        <v>5</v>
      </c>
      <c r="N1685" s="14">
        <v>28</v>
      </c>
      <c r="O1685" s="55" t="s">
        <v>1369</v>
      </c>
      <c r="Q1685" s="10">
        <v>300</v>
      </c>
      <c r="R1685" s="10">
        <v>120</v>
      </c>
      <c r="T1685" s="10">
        <v>2</v>
      </c>
      <c r="U1685" s="10">
        <v>120</v>
      </c>
      <c r="W1685" s="14"/>
      <c r="Y1685" s="79">
        <v>9.5</v>
      </c>
      <c r="Z1685" s="56" t="s">
        <v>54</v>
      </c>
    </row>
    <row r="1686" spans="1:28" ht="23.1" customHeight="1" x14ac:dyDescent="0.25">
      <c r="A1686" s="53" t="s">
        <v>1360</v>
      </c>
      <c r="B1686" s="10" t="s">
        <v>110</v>
      </c>
      <c r="C1686" s="10">
        <v>69</v>
      </c>
      <c r="D1686" s="10" t="s">
        <v>404</v>
      </c>
      <c r="E1686" s="41" t="s">
        <v>405</v>
      </c>
      <c r="F1686" s="41" t="s">
        <v>405</v>
      </c>
      <c r="G1686" s="21" t="str">
        <f>VLOOKUP(D1686,[6]成飞半成品!$A:$B,2,0)</f>
        <v>11140框右下半框</v>
      </c>
      <c r="H1686" s="10" t="s">
        <v>118</v>
      </c>
      <c r="I1686" s="10">
        <v>40</v>
      </c>
      <c r="J1686" s="10" t="s">
        <v>1939</v>
      </c>
      <c r="L1686" s="10">
        <v>3</v>
      </c>
      <c r="M1686" s="14">
        <v>5</v>
      </c>
      <c r="N1686" s="14">
        <v>5</v>
      </c>
      <c r="O1686" s="55" t="s">
        <v>1370</v>
      </c>
      <c r="Q1686" s="10">
        <v>150</v>
      </c>
      <c r="R1686" s="10">
        <v>75</v>
      </c>
      <c r="T1686" s="10">
        <v>3</v>
      </c>
      <c r="U1686" s="10">
        <v>150</v>
      </c>
      <c r="W1686" s="14"/>
      <c r="Y1686" s="79">
        <v>11.3</v>
      </c>
      <c r="Z1686" s="56" t="s">
        <v>54</v>
      </c>
    </row>
    <row r="1687" spans="1:28" ht="23.1" customHeight="1" x14ac:dyDescent="0.25">
      <c r="A1687" s="53" t="s">
        <v>1360</v>
      </c>
      <c r="B1687" s="10" t="s">
        <v>110</v>
      </c>
      <c r="C1687" s="10">
        <v>69</v>
      </c>
      <c r="D1687" s="10" t="s">
        <v>404</v>
      </c>
      <c r="E1687" s="41" t="s">
        <v>405</v>
      </c>
      <c r="F1687" s="41" t="s">
        <v>405</v>
      </c>
      <c r="G1687" s="21" t="str">
        <f>VLOOKUP(D1687,[6]成飞半成品!$A:$B,2,0)</f>
        <v>11140框右下半框</v>
      </c>
      <c r="H1687" s="10" t="s">
        <v>118</v>
      </c>
      <c r="I1687" s="10">
        <v>45</v>
      </c>
      <c r="J1687" s="10" t="s">
        <v>1943</v>
      </c>
      <c r="L1687" s="10">
        <v>3</v>
      </c>
      <c r="M1687" s="14">
        <v>5</v>
      </c>
      <c r="N1687" s="14">
        <v>5</v>
      </c>
      <c r="O1687" s="55" t="s">
        <v>1370</v>
      </c>
      <c r="Q1687" s="10">
        <v>60</v>
      </c>
      <c r="R1687" s="10">
        <v>75</v>
      </c>
      <c r="T1687" s="10">
        <v>3</v>
      </c>
      <c r="U1687" s="10">
        <v>150</v>
      </c>
      <c r="W1687" s="14"/>
      <c r="Y1687" s="79">
        <v>6.8</v>
      </c>
      <c r="Z1687" s="56" t="s">
        <v>54</v>
      </c>
    </row>
    <row r="1688" spans="1:28" ht="23.1" customHeight="1" x14ac:dyDescent="0.25">
      <c r="A1688" s="53" t="s">
        <v>1360</v>
      </c>
      <c r="B1688" s="10" t="s">
        <v>110</v>
      </c>
      <c r="C1688" s="10">
        <v>69</v>
      </c>
      <c r="D1688" s="10" t="s">
        <v>404</v>
      </c>
      <c r="E1688" s="41" t="s">
        <v>405</v>
      </c>
      <c r="F1688" s="41" t="s">
        <v>405</v>
      </c>
      <c r="G1688" s="21" t="str">
        <f>VLOOKUP(D1688,[6]成飞半成品!$A:$B,2,0)</f>
        <v>11140框右下半框</v>
      </c>
      <c r="H1688" s="10" t="s">
        <v>118</v>
      </c>
      <c r="I1688" s="10">
        <v>50</v>
      </c>
      <c r="J1688" s="10" t="s">
        <v>1944</v>
      </c>
      <c r="L1688" s="10">
        <v>3</v>
      </c>
      <c r="M1688" s="14">
        <v>5</v>
      </c>
      <c r="N1688" s="14">
        <v>5</v>
      </c>
      <c r="O1688" s="55" t="s">
        <v>1370</v>
      </c>
      <c r="Q1688" s="10">
        <v>120</v>
      </c>
      <c r="R1688" s="10">
        <v>75</v>
      </c>
      <c r="T1688" s="10">
        <v>3</v>
      </c>
      <c r="U1688" s="10">
        <v>150</v>
      </c>
      <c r="W1688" s="14"/>
      <c r="Y1688" s="79">
        <v>9.8000000000000007</v>
      </c>
      <c r="Z1688" s="56" t="s">
        <v>54</v>
      </c>
    </row>
    <row r="1689" spans="1:28" ht="23.1" customHeight="1" x14ac:dyDescent="0.25">
      <c r="A1689" s="53" t="s">
        <v>1360</v>
      </c>
      <c r="B1689" s="10" t="s">
        <v>110</v>
      </c>
      <c r="C1689" s="10">
        <v>69</v>
      </c>
      <c r="D1689" s="10" t="s">
        <v>1371</v>
      </c>
      <c r="E1689" s="41" t="s">
        <v>1372</v>
      </c>
      <c r="F1689" s="41" t="s">
        <v>215</v>
      </c>
      <c r="G1689" s="21" t="str">
        <f>VLOOKUP(D1689,[6]成飞半成品!$A:$B,2,0)</f>
        <v>斜横梁</v>
      </c>
      <c r="H1689" s="10" t="s">
        <v>154</v>
      </c>
      <c r="I1689" s="10">
        <v>55</v>
      </c>
      <c r="J1689" s="10" t="s">
        <v>2237</v>
      </c>
      <c r="K1689" s="10">
        <v>2</v>
      </c>
      <c r="L1689" s="10">
        <v>2</v>
      </c>
      <c r="M1689" s="14">
        <v>5</v>
      </c>
      <c r="N1689" s="14">
        <v>28</v>
      </c>
      <c r="O1689" s="55" t="s">
        <v>515</v>
      </c>
      <c r="Q1689" s="10">
        <v>75</v>
      </c>
      <c r="R1689" s="10">
        <v>90</v>
      </c>
      <c r="T1689" s="10">
        <v>2</v>
      </c>
      <c r="U1689" s="10">
        <v>180</v>
      </c>
      <c r="W1689" s="14">
        <v>1</v>
      </c>
      <c r="X1689" s="10">
        <v>5</v>
      </c>
      <c r="Y1689" s="79">
        <v>13.5</v>
      </c>
      <c r="Z1689" s="56" t="s">
        <v>54</v>
      </c>
      <c r="AA1689" s="14" t="s">
        <v>975</v>
      </c>
    </row>
    <row r="1690" spans="1:28" ht="23.1" customHeight="1" x14ac:dyDescent="0.25">
      <c r="A1690" s="53" t="s">
        <v>1360</v>
      </c>
      <c r="B1690" s="10" t="s">
        <v>110</v>
      </c>
      <c r="C1690" s="10">
        <v>91</v>
      </c>
      <c r="D1690" s="10" t="s">
        <v>254</v>
      </c>
      <c r="E1690" s="41" t="s">
        <v>1016</v>
      </c>
      <c r="F1690" s="41" t="s">
        <v>1016</v>
      </c>
      <c r="G1690" s="21" t="str">
        <f>VLOOKUP(D1690,[6]成飞半成品!$A:$B,2,0)</f>
        <v>9350-11140右侧上梁</v>
      </c>
      <c r="H1690" s="10" t="s">
        <v>375</v>
      </c>
      <c r="I1690" s="10">
        <v>40</v>
      </c>
      <c r="J1690" s="10" t="s">
        <v>2110</v>
      </c>
      <c r="L1690" s="10">
        <v>0.4</v>
      </c>
      <c r="M1690" s="14">
        <v>28</v>
      </c>
      <c r="N1690" s="14">
        <v>28</v>
      </c>
      <c r="O1690" s="55" t="s">
        <v>1373</v>
      </c>
      <c r="Q1690" s="10">
        <v>3000</v>
      </c>
      <c r="R1690" s="10">
        <v>90</v>
      </c>
      <c r="T1690" s="10">
        <v>1</v>
      </c>
      <c r="U1690" s="10">
        <v>120</v>
      </c>
      <c r="W1690" s="14"/>
      <c r="Y1690" s="79">
        <v>21.5</v>
      </c>
      <c r="Z1690" s="56" t="s">
        <v>54</v>
      </c>
    </row>
    <row r="1691" spans="1:28" ht="23.1" customHeight="1" x14ac:dyDescent="0.25">
      <c r="A1691" s="53" t="s">
        <v>1360</v>
      </c>
      <c r="B1691" s="10" t="s">
        <v>110</v>
      </c>
      <c r="C1691" s="10">
        <v>119</v>
      </c>
      <c r="D1691" s="10" t="s">
        <v>787</v>
      </c>
      <c r="E1691" s="41" t="s">
        <v>788</v>
      </c>
      <c r="F1691" s="41" t="s">
        <v>788</v>
      </c>
      <c r="G1691" s="21" t="str">
        <f>VLOOKUP(D1691,[6]成飞半成品!$A:$B,2,0)</f>
        <v>根肋二段</v>
      </c>
      <c r="H1691" s="10" t="s">
        <v>123</v>
      </c>
      <c r="I1691" s="10">
        <v>60</v>
      </c>
      <c r="J1691" s="10" t="s">
        <v>2222</v>
      </c>
      <c r="K1691" s="10">
        <v>6</v>
      </c>
      <c r="L1691" s="10">
        <v>6</v>
      </c>
      <c r="M1691" s="14">
        <v>23</v>
      </c>
      <c r="N1691" s="14">
        <v>28</v>
      </c>
      <c r="O1691" s="55" t="s">
        <v>429</v>
      </c>
      <c r="Q1691" s="10">
        <v>210</v>
      </c>
      <c r="R1691" s="10">
        <v>60</v>
      </c>
      <c r="T1691" s="10">
        <v>7</v>
      </c>
      <c r="U1691" s="10">
        <v>90</v>
      </c>
      <c r="W1691" s="14">
        <v>1</v>
      </c>
      <c r="X1691" s="10">
        <v>3</v>
      </c>
      <c r="Y1691" s="79">
        <v>32.5</v>
      </c>
      <c r="Z1691" s="56" t="s">
        <v>54</v>
      </c>
      <c r="AA1691" s="14" t="s">
        <v>941</v>
      </c>
    </row>
    <row r="1692" spans="1:28" ht="23.1" customHeight="1" x14ac:dyDescent="0.25">
      <c r="A1692" s="53" t="s">
        <v>1360</v>
      </c>
      <c r="B1692" s="10" t="s">
        <v>110</v>
      </c>
      <c r="C1692" s="10">
        <v>121</v>
      </c>
      <c r="D1692" s="10" t="s">
        <v>173</v>
      </c>
      <c r="E1692" s="41" t="s">
        <v>1246</v>
      </c>
      <c r="F1692" s="41" t="s">
        <v>1246</v>
      </c>
      <c r="G1692" s="21" t="str">
        <f>VLOOKUP(D1692,[6]成飞半成品!$A:$B,2,0)</f>
        <v>根肋后段</v>
      </c>
      <c r="H1692" s="10" t="s">
        <v>154</v>
      </c>
      <c r="I1692" s="10">
        <v>55</v>
      </c>
      <c r="J1692" s="10" t="s">
        <v>2223</v>
      </c>
      <c r="K1692" s="10">
        <v>1.8</v>
      </c>
      <c r="L1692" s="10">
        <v>2</v>
      </c>
      <c r="M1692" s="14">
        <v>5</v>
      </c>
      <c r="N1692" s="14">
        <v>31</v>
      </c>
      <c r="O1692" s="55" t="s">
        <v>1374</v>
      </c>
      <c r="Q1692" s="10">
        <v>700</v>
      </c>
      <c r="R1692" s="10">
        <v>90</v>
      </c>
      <c r="T1692" s="10">
        <v>2</v>
      </c>
      <c r="U1692" s="10">
        <v>120</v>
      </c>
      <c r="W1692" s="14"/>
      <c r="Y1692" s="79">
        <v>26.3</v>
      </c>
      <c r="Z1692" s="56" t="s">
        <v>54</v>
      </c>
    </row>
    <row r="1693" spans="1:28" ht="23.1" customHeight="1" x14ac:dyDescent="0.25">
      <c r="A1693" s="53" t="s">
        <v>1360</v>
      </c>
      <c r="B1693" s="10" t="s">
        <v>110</v>
      </c>
      <c r="C1693" s="10">
        <v>84</v>
      </c>
      <c r="D1693" s="10" t="s">
        <v>1045</v>
      </c>
      <c r="E1693" s="41" t="s">
        <v>409</v>
      </c>
      <c r="F1693" s="41" t="s">
        <v>409</v>
      </c>
      <c r="G1693" s="21" t="str">
        <f>VLOOKUP(D1693,[6]成飞半成品!$A:$B,2,0)</f>
        <v>接头</v>
      </c>
      <c r="H1693" s="10" t="s">
        <v>102</v>
      </c>
      <c r="I1693" s="10">
        <v>25</v>
      </c>
      <c r="J1693" s="10" t="s">
        <v>2113</v>
      </c>
      <c r="L1693" s="10">
        <v>1</v>
      </c>
      <c r="M1693" s="14">
        <v>23</v>
      </c>
      <c r="N1693" s="14"/>
      <c r="O1693" s="55" t="s">
        <v>596</v>
      </c>
      <c r="Q1693" s="10">
        <v>180</v>
      </c>
      <c r="R1693" s="10">
        <v>60</v>
      </c>
      <c r="U1693" s="10">
        <v>120</v>
      </c>
      <c r="W1693" s="14"/>
      <c r="X1693" s="14">
        <v>6.5</v>
      </c>
      <c r="Y1693" s="79">
        <v>9.5</v>
      </c>
      <c r="Z1693" s="56" t="s">
        <v>54</v>
      </c>
      <c r="AA1693" s="14" t="s">
        <v>1375</v>
      </c>
    </row>
    <row r="1694" spans="1:28" ht="23.1" customHeight="1" x14ac:dyDescent="0.25">
      <c r="A1694" s="53" t="s">
        <v>1360</v>
      </c>
      <c r="B1694" s="10" t="s">
        <v>110</v>
      </c>
      <c r="C1694" s="10">
        <v>84</v>
      </c>
      <c r="D1694" s="10" t="s">
        <v>1045</v>
      </c>
      <c r="E1694" s="41" t="s">
        <v>409</v>
      </c>
      <c r="F1694" s="41" t="s">
        <v>409</v>
      </c>
      <c r="G1694" s="21" t="str">
        <f>VLOOKUP(D1694,[6]成飞半成品!$A:$B,2,0)</f>
        <v>接头</v>
      </c>
      <c r="H1694" s="10" t="s">
        <v>102</v>
      </c>
      <c r="I1694" s="10">
        <v>25</v>
      </c>
      <c r="J1694" s="10" t="s">
        <v>2113</v>
      </c>
      <c r="K1694" s="10">
        <v>2</v>
      </c>
      <c r="L1694" s="10">
        <v>2</v>
      </c>
      <c r="M1694" s="14">
        <v>23</v>
      </c>
      <c r="N1694" s="14">
        <v>5</v>
      </c>
      <c r="O1694" s="55" t="s">
        <v>596</v>
      </c>
      <c r="Q1694" s="10">
        <v>180</v>
      </c>
      <c r="R1694" s="10">
        <v>60</v>
      </c>
      <c r="T1694" s="10">
        <v>2</v>
      </c>
      <c r="U1694" s="10">
        <v>120</v>
      </c>
      <c r="W1694" s="14">
        <v>1</v>
      </c>
      <c r="Y1694" s="79">
        <v>10</v>
      </c>
      <c r="Z1694" s="56" t="s">
        <v>54</v>
      </c>
    </row>
    <row r="1695" spans="1:28" ht="23.1" customHeight="1" x14ac:dyDescent="0.25">
      <c r="A1695" s="53" t="s">
        <v>1360</v>
      </c>
      <c r="B1695" s="10" t="s">
        <v>110</v>
      </c>
      <c r="C1695" s="10">
        <v>108</v>
      </c>
      <c r="D1695" s="10" t="s">
        <v>886</v>
      </c>
      <c r="E1695" s="41" t="s">
        <v>887</v>
      </c>
      <c r="F1695" s="41" t="s">
        <v>887</v>
      </c>
      <c r="G1695" s="21" t="str">
        <f>VLOOKUP(D1695,[6]成飞半成品!$A:$B,2,0)</f>
        <v>外侧梁</v>
      </c>
      <c r="H1695" s="10" t="s">
        <v>154</v>
      </c>
      <c r="I1695" s="10">
        <v>50</v>
      </c>
      <c r="J1695" s="10" t="s">
        <v>2472</v>
      </c>
      <c r="K1695" s="10">
        <v>1</v>
      </c>
      <c r="L1695" s="10">
        <v>0.5</v>
      </c>
      <c r="M1695" s="14">
        <v>26</v>
      </c>
      <c r="N1695" s="14"/>
      <c r="O1695" s="55" t="s">
        <v>159</v>
      </c>
      <c r="Q1695" s="10">
        <v>1920</v>
      </c>
      <c r="R1695" s="10">
        <v>60</v>
      </c>
      <c r="T1695" s="10">
        <v>1</v>
      </c>
      <c r="U1695" s="10">
        <v>90</v>
      </c>
      <c r="W1695" s="14"/>
      <c r="X1695" s="14">
        <v>2</v>
      </c>
      <c r="Y1695" s="79">
        <v>19</v>
      </c>
      <c r="Z1695" s="56" t="s">
        <v>45</v>
      </c>
      <c r="AA1695" s="14" t="s">
        <v>1245</v>
      </c>
      <c r="AB1695" s="25" t="s">
        <v>238</v>
      </c>
    </row>
    <row r="1696" spans="1:28" ht="23.1" customHeight="1" x14ac:dyDescent="0.25">
      <c r="A1696" s="53" t="s">
        <v>1360</v>
      </c>
      <c r="B1696" s="10" t="s">
        <v>110</v>
      </c>
      <c r="C1696" s="10">
        <v>16</v>
      </c>
      <c r="D1696" s="10" t="s">
        <v>1280</v>
      </c>
      <c r="E1696" s="41" t="s">
        <v>595</v>
      </c>
      <c r="F1696" s="41" t="s">
        <v>595</v>
      </c>
      <c r="G1696" s="21" t="str">
        <f>VLOOKUP(D1696,[6]成飞半成品!$A:$B,2,0)</f>
        <v>加强件</v>
      </c>
      <c r="H1696" s="10" t="s">
        <v>102</v>
      </c>
      <c r="I1696" s="10">
        <v>40</v>
      </c>
      <c r="J1696" s="10" t="s">
        <v>2239</v>
      </c>
      <c r="K1696" s="10">
        <v>2</v>
      </c>
      <c r="L1696" s="10">
        <v>2</v>
      </c>
      <c r="M1696" s="14">
        <v>9</v>
      </c>
      <c r="N1696" s="14">
        <v>9</v>
      </c>
      <c r="O1696" s="55" t="s">
        <v>596</v>
      </c>
      <c r="Q1696" s="10">
        <v>15</v>
      </c>
      <c r="U1696" s="10">
        <v>60</v>
      </c>
      <c r="W1696" s="14">
        <v>1</v>
      </c>
      <c r="X1696" s="14">
        <v>2</v>
      </c>
      <c r="Y1696" s="79">
        <v>3.5</v>
      </c>
      <c r="Z1696" s="56" t="s">
        <v>63</v>
      </c>
      <c r="AA1696" s="14" t="s">
        <v>1376</v>
      </c>
      <c r="AB1696" s="25" t="s">
        <v>238</v>
      </c>
    </row>
    <row r="1697" spans="1:28" ht="23.1" customHeight="1" x14ac:dyDescent="0.25">
      <c r="A1697" s="53" t="s">
        <v>1360</v>
      </c>
      <c r="B1697" s="10" t="s">
        <v>110</v>
      </c>
      <c r="C1697" s="10">
        <v>16</v>
      </c>
      <c r="D1697" s="10" t="s">
        <v>1249</v>
      </c>
      <c r="E1697" s="41" t="s">
        <v>409</v>
      </c>
      <c r="F1697" s="41" t="s">
        <v>409</v>
      </c>
      <c r="G1697" s="21" t="str">
        <f>VLOOKUP(D1697,[6]成飞半成品!$A:$B,2,0)</f>
        <v>接头</v>
      </c>
      <c r="H1697" s="10" t="s">
        <v>102</v>
      </c>
      <c r="I1697" s="10">
        <v>5</v>
      </c>
      <c r="J1697" s="10" t="s">
        <v>2060</v>
      </c>
      <c r="L1697" s="10">
        <v>1</v>
      </c>
      <c r="M1697" s="14">
        <v>9</v>
      </c>
      <c r="N1697" s="14"/>
      <c r="O1697" s="55" t="s">
        <v>596</v>
      </c>
      <c r="Q1697" s="10">
        <v>20</v>
      </c>
      <c r="U1697" s="10">
        <v>60</v>
      </c>
      <c r="W1697" s="14">
        <v>1</v>
      </c>
      <c r="X1697" s="14">
        <v>2</v>
      </c>
      <c r="Y1697" s="79">
        <v>3.3</v>
      </c>
      <c r="Z1697" s="56" t="s">
        <v>63</v>
      </c>
      <c r="AA1697" s="14" t="s">
        <v>1377</v>
      </c>
      <c r="AB1697" s="25" t="s">
        <v>238</v>
      </c>
    </row>
    <row r="1698" spans="1:28" ht="23.1" customHeight="1" x14ac:dyDescent="0.25">
      <c r="A1698" s="53" t="s">
        <v>1360</v>
      </c>
      <c r="B1698" s="10" t="s">
        <v>110</v>
      </c>
      <c r="C1698" s="10">
        <v>16</v>
      </c>
      <c r="D1698" s="10" t="s">
        <v>1249</v>
      </c>
      <c r="E1698" s="41" t="s">
        <v>409</v>
      </c>
      <c r="F1698" s="41" t="s">
        <v>409</v>
      </c>
      <c r="G1698" s="21" t="str">
        <f>VLOOKUP(D1698,[6]成飞半成品!$A:$B,2,0)</f>
        <v>接头</v>
      </c>
      <c r="H1698" s="10" t="s">
        <v>102</v>
      </c>
      <c r="I1698" s="10">
        <v>10</v>
      </c>
      <c r="J1698" s="10" t="s">
        <v>1988</v>
      </c>
      <c r="L1698" s="10">
        <v>1</v>
      </c>
      <c r="M1698" s="14"/>
      <c r="N1698" s="14">
        <v>9</v>
      </c>
      <c r="O1698" s="55" t="s">
        <v>596</v>
      </c>
      <c r="Q1698" s="10">
        <v>35</v>
      </c>
      <c r="U1698" s="10">
        <v>90</v>
      </c>
      <c r="W1698" s="14">
        <v>1</v>
      </c>
      <c r="Y1698" s="79">
        <v>2.1</v>
      </c>
      <c r="Z1698" s="56" t="s">
        <v>63</v>
      </c>
    </row>
    <row r="1699" spans="1:28" ht="23.1" customHeight="1" x14ac:dyDescent="0.25">
      <c r="A1699" s="53" t="s">
        <v>796</v>
      </c>
      <c r="B1699" s="10" t="s">
        <v>110</v>
      </c>
      <c r="C1699" s="10">
        <v>9</v>
      </c>
      <c r="D1699" s="10" t="s">
        <v>229</v>
      </c>
      <c r="E1699" s="41" t="s">
        <v>230</v>
      </c>
      <c r="F1699" s="41" t="s">
        <v>230</v>
      </c>
      <c r="G1699" s="21" t="str">
        <f>VLOOKUP(D1699,[6]成飞半成品!$A:$B,2,0)</f>
        <v>前起落架舱门结构支撑梁</v>
      </c>
      <c r="H1699" s="10" t="s">
        <v>154</v>
      </c>
      <c r="I1699" s="10">
        <v>30</v>
      </c>
      <c r="J1699" s="10" t="s">
        <v>2058</v>
      </c>
      <c r="M1699" s="14">
        <v>9</v>
      </c>
      <c r="N1699" s="14"/>
      <c r="O1699" s="55" t="s">
        <v>275</v>
      </c>
      <c r="Q1699" s="10">
        <v>80</v>
      </c>
      <c r="U1699" s="10">
        <v>60</v>
      </c>
      <c r="W1699" s="14"/>
      <c r="X1699" s="14">
        <v>2</v>
      </c>
      <c r="Y1699" s="79">
        <v>2</v>
      </c>
      <c r="Z1699" s="56" t="s">
        <v>30</v>
      </c>
      <c r="AA1699" s="14" t="s">
        <v>1355</v>
      </c>
      <c r="AB1699" s="14" t="s">
        <v>238</v>
      </c>
    </row>
    <row r="1700" spans="1:28" ht="23.1" customHeight="1" x14ac:dyDescent="0.25">
      <c r="A1700" s="53" t="s">
        <v>1360</v>
      </c>
      <c r="B1700" s="10" t="s">
        <v>110</v>
      </c>
      <c r="C1700" s="10">
        <v>78</v>
      </c>
      <c r="D1700" s="10" t="s">
        <v>177</v>
      </c>
      <c r="E1700" s="41" t="s">
        <v>133</v>
      </c>
      <c r="F1700" s="41" t="s">
        <v>133</v>
      </c>
      <c r="G1700" s="21" t="str">
        <f>VLOOKUP(D1700,[6]成飞半成品!$A:$B,2,0)</f>
        <v>摇臂</v>
      </c>
      <c r="H1700" s="10" t="s">
        <v>102</v>
      </c>
      <c r="I1700" s="10">
        <v>15</v>
      </c>
      <c r="J1700" s="10" t="s">
        <v>1977</v>
      </c>
      <c r="K1700" s="10">
        <v>2</v>
      </c>
      <c r="L1700" s="10">
        <v>1</v>
      </c>
      <c r="M1700" s="14">
        <v>23</v>
      </c>
      <c r="N1700" s="14"/>
      <c r="O1700" s="55" t="s">
        <v>613</v>
      </c>
      <c r="Q1700" s="10">
        <v>690</v>
      </c>
      <c r="R1700" s="10">
        <v>60</v>
      </c>
      <c r="T1700" s="10">
        <v>1</v>
      </c>
      <c r="U1700" s="10">
        <v>120</v>
      </c>
      <c r="W1700" s="14"/>
      <c r="Y1700" s="79">
        <v>12.5</v>
      </c>
      <c r="Z1700" s="56" t="s">
        <v>19</v>
      </c>
    </row>
    <row r="1701" spans="1:28" ht="23.1" customHeight="1" x14ac:dyDescent="0.25">
      <c r="A1701" s="53" t="s">
        <v>1360</v>
      </c>
      <c r="B1701" s="10" t="s">
        <v>110</v>
      </c>
      <c r="C1701" s="10">
        <v>78</v>
      </c>
      <c r="D1701" s="10" t="s">
        <v>194</v>
      </c>
      <c r="E1701" s="41" t="s">
        <v>133</v>
      </c>
      <c r="F1701" s="41" t="s">
        <v>133</v>
      </c>
      <c r="G1701" s="21" t="str">
        <f>VLOOKUP(D1701,[6]成飞半成品!$A:$B,2,0)</f>
        <v>摇臂</v>
      </c>
      <c r="H1701" s="10" t="s">
        <v>102</v>
      </c>
      <c r="I1701" s="10">
        <v>20</v>
      </c>
      <c r="J1701" s="10" t="s">
        <v>2234</v>
      </c>
      <c r="K1701" s="10">
        <v>2</v>
      </c>
      <c r="L1701" s="10">
        <v>2.5</v>
      </c>
      <c r="M1701" s="14">
        <v>31</v>
      </c>
      <c r="N1701" s="14">
        <v>31</v>
      </c>
      <c r="O1701" s="55" t="s">
        <v>1378</v>
      </c>
      <c r="Q1701" s="10">
        <v>630</v>
      </c>
      <c r="R1701" s="10">
        <v>60</v>
      </c>
      <c r="T1701" s="10">
        <v>3</v>
      </c>
      <c r="U1701" s="10">
        <v>120</v>
      </c>
      <c r="W1701" s="14">
        <v>1</v>
      </c>
      <c r="Y1701" s="79">
        <v>31.3</v>
      </c>
      <c r="Z1701" s="56" t="s">
        <v>19</v>
      </c>
    </row>
    <row r="1702" spans="1:28" ht="23.1" customHeight="1" x14ac:dyDescent="0.25">
      <c r="A1702" s="53" t="s">
        <v>1360</v>
      </c>
      <c r="B1702" s="10" t="s">
        <v>110</v>
      </c>
      <c r="C1702" s="10">
        <v>18</v>
      </c>
      <c r="D1702" s="10" t="s">
        <v>1030</v>
      </c>
      <c r="E1702" s="41" t="s">
        <v>919</v>
      </c>
      <c r="F1702" s="41" t="s">
        <v>919</v>
      </c>
      <c r="G1702" s="21" t="str">
        <f>VLOOKUP(D1702,[6]成飞半成品!$A:$B,2,0)</f>
        <v>雷达罩锁支座</v>
      </c>
      <c r="H1702" s="10" t="s">
        <v>323</v>
      </c>
      <c r="I1702" s="10">
        <v>20</v>
      </c>
      <c r="J1702" s="10" t="s">
        <v>1960</v>
      </c>
      <c r="K1702" s="10">
        <v>2</v>
      </c>
      <c r="L1702" s="10">
        <v>7</v>
      </c>
      <c r="M1702" s="14">
        <v>28</v>
      </c>
      <c r="N1702" s="14">
        <v>28</v>
      </c>
      <c r="O1702" s="55" t="s">
        <v>780</v>
      </c>
      <c r="Q1702" s="10">
        <v>120</v>
      </c>
      <c r="U1702" s="10">
        <v>90</v>
      </c>
      <c r="W1702" s="14"/>
      <c r="Y1702" s="79">
        <v>14</v>
      </c>
      <c r="Z1702" s="56" t="s">
        <v>16</v>
      </c>
    </row>
    <row r="1703" spans="1:28" ht="23.1" customHeight="1" x14ac:dyDescent="0.25">
      <c r="A1703" s="53" t="s">
        <v>1360</v>
      </c>
      <c r="B1703" s="10" t="s">
        <v>110</v>
      </c>
      <c r="C1703" s="10">
        <v>13</v>
      </c>
      <c r="D1703" s="10" t="s">
        <v>895</v>
      </c>
      <c r="E1703" s="41" t="s">
        <v>896</v>
      </c>
      <c r="F1703" s="41" t="s">
        <v>896</v>
      </c>
      <c r="G1703" s="21" t="str">
        <f>VLOOKUP(D1703,[6]成飞半成品!$A:$B,2,0)</f>
        <v>回收锁销接头</v>
      </c>
      <c r="H1703" s="10" t="s">
        <v>102</v>
      </c>
      <c r="I1703" s="10">
        <v>10</v>
      </c>
      <c r="J1703" s="10" t="s">
        <v>2226</v>
      </c>
      <c r="K1703" s="10">
        <v>1</v>
      </c>
      <c r="L1703" s="10">
        <v>1</v>
      </c>
      <c r="M1703" s="14">
        <v>5</v>
      </c>
      <c r="N1703" s="14"/>
      <c r="O1703" s="55" t="s">
        <v>596</v>
      </c>
      <c r="Q1703" s="10">
        <v>60</v>
      </c>
      <c r="U1703" s="10">
        <v>90</v>
      </c>
      <c r="W1703" s="14">
        <v>1</v>
      </c>
      <c r="Y1703" s="79">
        <v>2.5</v>
      </c>
      <c r="Z1703" s="56" t="s">
        <v>72</v>
      </c>
    </row>
    <row r="1704" spans="1:28" ht="23.1" customHeight="1" x14ac:dyDescent="0.25">
      <c r="A1704" s="53" t="s">
        <v>1360</v>
      </c>
      <c r="B1704" s="10" t="s">
        <v>110</v>
      </c>
      <c r="C1704" s="10">
        <v>59</v>
      </c>
      <c r="D1704" s="10" t="s">
        <v>1294</v>
      </c>
      <c r="E1704" s="41" t="s">
        <v>409</v>
      </c>
      <c r="F1704" s="41" t="s">
        <v>409</v>
      </c>
      <c r="G1704" s="21" t="str">
        <f>VLOOKUP(D1704,[6]成飞半成品!$A:$B,2,0)</f>
        <v>接头</v>
      </c>
      <c r="H1704" s="10" t="s">
        <v>102</v>
      </c>
      <c r="I1704" s="10">
        <v>30</v>
      </c>
      <c r="J1704" s="10" t="s">
        <v>1992</v>
      </c>
      <c r="K1704" s="10">
        <v>4</v>
      </c>
      <c r="L1704" s="10">
        <v>4</v>
      </c>
      <c r="M1704" s="14">
        <v>23</v>
      </c>
      <c r="N1704" s="14">
        <v>23</v>
      </c>
      <c r="O1704" s="55" t="s">
        <v>596</v>
      </c>
      <c r="Q1704" s="10">
        <v>15</v>
      </c>
      <c r="U1704" s="10">
        <v>60</v>
      </c>
      <c r="W1704" s="14">
        <v>1</v>
      </c>
      <c r="X1704" s="14">
        <v>5</v>
      </c>
      <c r="Y1704" s="79">
        <v>7</v>
      </c>
      <c r="Z1704" s="65" t="s">
        <v>1847</v>
      </c>
      <c r="AA1704" s="14" t="s">
        <v>1379</v>
      </c>
      <c r="AB1704" s="25" t="s">
        <v>238</v>
      </c>
    </row>
    <row r="1705" spans="1:28" ht="23.1" customHeight="1" x14ac:dyDescent="0.25">
      <c r="A1705" s="53" t="s">
        <v>1360</v>
      </c>
      <c r="B1705" s="10" t="s">
        <v>110</v>
      </c>
      <c r="C1705" s="10">
        <v>11</v>
      </c>
      <c r="D1705" s="10" t="s">
        <v>1296</v>
      </c>
      <c r="E1705" s="41" t="s">
        <v>1297</v>
      </c>
      <c r="F1705" s="41" t="s">
        <v>1297</v>
      </c>
      <c r="G1705" s="21" t="str">
        <f>VLOOKUP(D1705,[6]成飞半成品!$A:$B,2,0)</f>
        <v>固定板</v>
      </c>
      <c r="H1705" s="10" t="s">
        <v>154</v>
      </c>
      <c r="I1705" s="10">
        <v>35</v>
      </c>
      <c r="J1705" s="10" t="s">
        <v>2073</v>
      </c>
      <c r="K1705" s="10">
        <v>3.5</v>
      </c>
      <c r="L1705" s="10">
        <v>7</v>
      </c>
      <c r="M1705" s="14">
        <v>9</v>
      </c>
      <c r="N1705" s="14">
        <v>31</v>
      </c>
      <c r="O1705" s="55" t="s">
        <v>199</v>
      </c>
      <c r="Q1705" s="10">
        <v>150</v>
      </c>
      <c r="U1705" s="10">
        <v>60</v>
      </c>
      <c r="W1705" s="14"/>
      <c r="Y1705" s="79">
        <v>17.5</v>
      </c>
      <c r="Z1705" s="56" t="s">
        <v>63</v>
      </c>
    </row>
    <row r="1706" spans="1:28" ht="23.1" customHeight="1" x14ac:dyDescent="0.25">
      <c r="A1706" s="53" t="s">
        <v>1360</v>
      </c>
      <c r="B1706" s="10" t="s">
        <v>110</v>
      </c>
      <c r="C1706" s="10">
        <v>77</v>
      </c>
      <c r="D1706" s="10" t="s">
        <v>1380</v>
      </c>
      <c r="E1706" s="41" t="s">
        <v>1381</v>
      </c>
      <c r="F1706" s="41" t="s">
        <v>1381</v>
      </c>
      <c r="G1706" s="21" t="str">
        <f>VLOOKUP(D1706,[6]成飞半成品!$A:$B,2,0)</f>
        <v>后支架</v>
      </c>
      <c r="H1706" s="10" t="s">
        <v>123</v>
      </c>
      <c r="I1706" s="10">
        <v>30</v>
      </c>
      <c r="J1706" s="10" t="s">
        <v>2389</v>
      </c>
      <c r="K1706" s="10">
        <v>20</v>
      </c>
      <c r="L1706" s="10">
        <v>18</v>
      </c>
      <c r="M1706" s="14">
        <v>23</v>
      </c>
      <c r="N1706" s="14">
        <v>31</v>
      </c>
      <c r="O1706" s="55" t="s">
        <v>213</v>
      </c>
      <c r="Q1706" s="10">
        <v>20</v>
      </c>
      <c r="U1706" s="10">
        <v>60</v>
      </c>
      <c r="W1706" s="14">
        <v>1</v>
      </c>
      <c r="Y1706" s="79">
        <v>7</v>
      </c>
      <c r="Z1706" s="56" t="s">
        <v>15</v>
      </c>
    </row>
    <row r="1707" spans="1:28" ht="23.1" customHeight="1" x14ac:dyDescent="0.25">
      <c r="A1707" s="53" t="s">
        <v>1360</v>
      </c>
      <c r="B1707" s="10" t="s">
        <v>110</v>
      </c>
      <c r="C1707" s="10">
        <v>107</v>
      </c>
      <c r="D1707" s="10" t="s">
        <v>1275</v>
      </c>
      <c r="E1707" s="41" t="s">
        <v>215</v>
      </c>
      <c r="F1707" s="41" t="s">
        <v>215</v>
      </c>
      <c r="G1707" s="21" t="str">
        <f>VLOOKUP(D1707,[6]成飞半成品!$A:$B,2,0)</f>
        <v>口盖</v>
      </c>
      <c r="H1707" s="10" t="s">
        <v>154</v>
      </c>
      <c r="I1707" s="10">
        <v>35</v>
      </c>
      <c r="J1707" s="10" t="s">
        <v>2073</v>
      </c>
      <c r="K1707" s="10">
        <v>4</v>
      </c>
      <c r="L1707" s="10">
        <v>4</v>
      </c>
      <c r="M1707" s="14">
        <v>28</v>
      </c>
      <c r="N1707" s="14">
        <v>28</v>
      </c>
      <c r="O1707" s="55" t="s">
        <v>1382</v>
      </c>
      <c r="Q1707" s="10">
        <v>150</v>
      </c>
      <c r="T1707" s="10">
        <v>4</v>
      </c>
      <c r="U1707" s="10">
        <v>60</v>
      </c>
      <c r="W1707" s="14"/>
      <c r="Y1707" s="79">
        <v>10</v>
      </c>
      <c r="Z1707" s="56" t="s">
        <v>45</v>
      </c>
    </row>
    <row r="1708" spans="1:28" ht="23.1" customHeight="1" x14ac:dyDescent="0.25">
      <c r="A1708" s="53" t="s">
        <v>1360</v>
      </c>
      <c r="B1708" s="10" t="s">
        <v>110</v>
      </c>
      <c r="C1708" s="10">
        <v>76</v>
      </c>
      <c r="D1708" s="10" t="s">
        <v>1383</v>
      </c>
      <c r="E1708" s="41" t="s">
        <v>1384</v>
      </c>
      <c r="F1708" s="41" t="s">
        <v>1384</v>
      </c>
      <c r="G1708" s="21" t="str">
        <f>VLOOKUP(D1708,[6]成飞半成品!$A:$B,2,0)</f>
        <v>角材</v>
      </c>
      <c r="H1708" s="10" t="s">
        <v>154</v>
      </c>
      <c r="I1708" s="10">
        <v>10</v>
      </c>
      <c r="J1708" s="10" t="s">
        <v>2241</v>
      </c>
      <c r="K1708" s="10">
        <v>20</v>
      </c>
      <c r="L1708" s="10">
        <v>30</v>
      </c>
      <c r="M1708" s="14">
        <v>9</v>
      </c>
      <c r="N1708" s="14">
        <v>9</v>
      </c>
      <c r="O1708" s="55" t="s">
        <v>410</v>
      </c>
      <c r="Q1708" s="10">
        <v>30</v>
      </c>
      <c r="U1708" s="10">
        <v>60</v>
      </c>
      <c r="W1708" s="14">
        <v>1</v>
      </c>
      <c r="X1708" s="14">
        <v>3</v>
      </c>
      <c r="Y1708" s="79">
        <v>19</v>
      </c>
      <c r="Z1708" s="56" t="s">
        <v>46</v>
      </c>
      <c r="AA1708" s="14" t="s">
        <v>1385</v>
      </c>
      <c r="AB1708" s="25" t="s">
        <v>238</v>
      </c>
    </row>
    <row r="1709" spans="1:28" ht="23.1" customHeight="1" x14ac:dyDescent="0.25">
      <c r="A1709" s="53" t="s">
        <v>1360</v>
      </c>
      <c r="B1709" s="10" t="s">
        <v>110</v>
      </c>
      <c r="C1709" s="10">
        <v>57</v>
      </c>
      <c r="D1709" s="10" t="s">
        <v>1042</v>
      </c>
      <c r="E1709" s="41" t="s">
        <v>1281</v>
      </c>
      <c r="F1709" s="41" t="s">
        <v>1281</v>
      </c>
      <c r="G1709" s="21" t="str">
        <f>VLOOKUP(D1709,[6]成飞半成品!$A:$B,2,0)</f>
        <v>前上大梁（右）</v>
      </c>
      <c r="H1709" s="10" t="s">
        <v>107</v>
      </c>
      <c r="I1709" s="10">
        <v>35</v>
      </c>
      <c r="J1709" s="10" t="s">
        <v>2141</v>
      </c>
      <c r="K1709" s="10">
        <v>6</v>
      </c>
      <c r="L1709" s="10">
        <v>4</v>
      </c>
      <c r="M1709" s="14">
        <v>23</v>
      </c>
      <c r="N1709" s="14">
        <v>5</v>
      </c>
      <c r="O1709" s="55" t="s">
        <v>1043</v>
      </c>
      <c r="Q1709" s="10">
        <v>540</v>
      </c>
      <c r="U1709" s="10">
        <v>100</v>
      </c>
      <c r="W1709" s="14"/>
      <c r="Y1709" s="79">
        <v>36</v>
      </c>
      <c r="Z1709" s="56" t="s">
        <v>7</v>
      </c>
    </row>
    <row r="1710" spans="1:28" ht="23.1" customHeight="1" x14ac:dyDescent="0.25">
      <c r="A1710" s="53" t="s">
        <v>1360</v>
      </c>
      <c r="B1710" s="10" t="s">
        <v>110</v>
      </c>
      <c r="C1710" s="10">
        <v>57</v>
      </c>
      <c r="D1710" s="10" t="s">
        <v>1031</v>
      </c>
      <c r="E1710" s="41" t="s">
        <v>1032</v>
      </c>
      <c r="F1710" s="41" t="s">
        <v>1032</v>
      </c>
      <c r="G1710" s="21" t="str">
        <f>VLOOKUP(D1710,[6]成飞半成品!$A:$B,2,0)</f>
        <v>前上大梁（左）</v>
      </c>
      <c r="H1710" s="10" t="s">
        <v>107</v>
      </c>
      <c r="I1710" s="10">
        <v>30</v>
      </c>
      <c r="J1710" s="10" t="s">
        <v>2242</v>
      </c>
      <c r="K1710" s="10">
        <v>1</v>
      </c>
      <c r="L1710" s="10">
        <v>1</v>
      </c>
      <c r="M1710" s="14">
        <v>23</v>
      </c>
      <c r="N1710" s="14"/>
      <c r="O1710" s="55" t="s">
        <v>1033</v>
      </c>
      <c r="Q1710" s="10">
        <v>220</v>
      </c>
      <c r="U1710" s="10">
        <v>90</v>
      </c>
      <c r="W1710" s="14">
        <v>1</v>
      </c>
      <c r="Y1710" s="79">
        <v>5.2</v>
      </c>
      <c r="Z1710" s="56" t="s">
        <v>7</v>
      </c>
    </row>
    <row r="1711" spans="1:28" ht="23.1" customHeight="1" x14ac:dyDescent="0.25">
      <c r="A1711" s="53" t="s">
        <v>1360</v>
      </c>
      <c r="B1711" s="10" t="s">
        <v>110</v>
      </c>
      <c r="C1711" s="10">
        <v>59</v>
      </c>
      <c r="D1711" s="25" t="s">
        <v>2551</v>
      </c>
      <c r="E1711" s="41" t="s">
        <v>1318</v>
      </c>
      <c r="F1711" s="41" t="e">
        <v>#N/A</v>
      </c>
      <c r="G1711" s="21" t="str">
        <f>VLOOKUP(D1711,[6]成飞半成品!$A:$B,2,0)</f>
        <v>工装</v>
      </c>
      <c r="H1711" s="10" t="s">
        <v>102</v>
      </c>
      <c r="I1711" s="10">
        <v>15</v>
      </c>
      <c r="K1711" s="10">
        <v>1</v>
      </c>
      <c r="L1711" s="10">
        <v>1</v>
      </c>
      <c r="M1711" s="14">
        <v>9</v>
      </c>
      <c r="N1711" s="14"/>
      <c r="W1711" s="14">
        <v>1</v>
      </c>
      <c r="Y1711" s="79">
        <v>0</v>
      </c>
      <c r="Z1711" s="65" t="s">
        <v>1847</v>
      </c>
    </row>
    <row r="1712" spans="1:28" ht="23.1" customHeight="1" x14ac:dyDescent="0.25">
      <c r="A1712" s="53" t="s">
        <v>1360</v>
      </c>
      <c r="B1712" s="10" t="s">
        <v>110</v>
      </c>
      <c r="C1712" s="10">
        <v>59</v>
      </c>
      <c r="D1712" s="10" t="s">
        <v>1386</v>
      </c>
      <c r="E1712" s="41" t="s">
        <v>1288</v>
      </c>
      <c r="F1712" s="41" t="s">
        <v>1288</v>
      </c>
      <c r="G1712" s="21" t="str">
        <f>VLOOKUP(D1712,[6]成飞半成品!$A:$B,2,0)</f>
        <v>垫片</v>
      </c>
      <c r="H1712" s="10" t="s">
        <v>102</v>
      </c>
      <c r="I1712" s="10">
        <v>30</v>
      </c>
      <c r="J1712" s="10" t="s">
        <v>2243</v>
      </c>
      <c r="L1712" s="10">
        <v>38</v>
      </c>
      <c r="M1712" s="14">
        <v>9</v>
      </c>
      <c r="N1712" s="14">
        <v>5</v>
      </c>
      <c r="O1712" s="55" t="s">
        <v>596</v>
      </c>
      <c r="Q1712" s="10">
        <v>20</v>
      </c>
      <c r="U1712" s="10">
        <v>90</v>
      </c>
      <c r="W1712" s="14">
        <v>1</v>
      </c>
      <c r="X1712" s="14">
        <v>2</v>
      </c>
      <c r="Y1712" s="79">
        <v>16.2</v>
      </c>
      <c r="Z1712" s="65" t="s">
        <v>1847</v>
      </c>
      <c r="AA1712" s="14" t="s">
        <v>1245</v>
      </c>
      <c r="AB1712" s="25" t="s">
        <v>238</v>
      </c>
    </row>
    <row r="1713" spans="1:28" ht="23.1" customHeight="1" x14ac:dyDescent="0.25">
      <c r="A1713" s="53" t="s">
        <v>1360</v>
      </c>
      <c r="B1713" s="10" t="s">
        <v>110</v>
      </c>
      <c r="C1713" s="10">
        <v>55</v>
      </c>
      <c r="D1713" s="10" t="s">
        <v>1270</v>
      </c>
      <c r="E1713" s="41" t="s">
        <v>409</v>
      </c>
      <c r="F1713" s="41" t="s">
        <v>409</v>
      </c>
      <c r="G1713" s="21" t="str">
        <f>VLOOKUP(D1713,[6]成飞半成品!$A:$B,2,0)</f>
        <v>接头</v>
      </c>
      <c r="H1713" s="10" t="s">
        <v>102</v>
      </c>
      <c r="I1713" s="10">
        <v>30</v>
      </c>
      <c r="J1713" s="10" t="s">
        <v>2244</v>
      </c>
      <c r="L1713" s="10">
        <v>1</v>
      </c>
      <c r="M1713" s="14"/>
      <c r="N1713" s="14">
        <v>23</v>
      </c>
      <c r="O1713" s="55" t="s">
        <v>596</v>
      </c>
      <c r="Q1713" s="10">
        <v>55</v>
      </c>
      <c r="U1713" s="10">
        <v>60</v>
      </c>
      <c r="W1713" s="14">
        <v>1</v>
      </c>
      <c r="X1713" s="14">
        <v>6</v>
      </c>
      <c r="Y1713" s="79">
        <v>7.9</v>
      </c>
      <c r="Z1713" s="56" t="s">
        <v>44</v>
      </c>
      <c r="AA1713" s="14" t="s">
        <v>1387</v>
      </c>
    </row>
    <row r="1714" spans="1:28" ht="23.1" customHeight="1" x14ac:dyDescent="0.25">
      <c r="A1714" s="53" t="s">
        <v>1360</v>
      </c>
      <c r="B1714" s="10" t="s">
        <v>110</v>
      </c>
      <c r="C1714" s="10">
        <v>55</v>
      </c>
      <c r="D1714" s="10" t="s">
        <v>1270</v>
      </c>
      <c r="E1714" s="41" t="s">
        <v>409</v>
      </c>
      <c r="F1714" s="41" t="s">
        <v>409</v>
      </c>
      <c r="G1714" s="21" t="str">
        <f>VLOOKUP(D1714,[6]成飞半成品!$A:$B,2,0)</f>
        <v>接头</v>
      </c>
      <c r="H1714" s="10" t="s">
        <v>102</v>
      </c>
      <c r="I1714" s="10">
        <v>35</v>
      </c>
      <c r="J1714" s="10" t="s">
        <v>2229</v>
      </c>
      <c r="L1714" s="10">
        <v>1</v>
      </c>
      <c r="M1714" s="14">
        <v>23</v>
      </c>
      <c r="N1714" s="14"/>
      <c r="O1714" s="55" t="s">
        <v>596</v>
      </c>
      <c r="Q1714" s="10">
        <v>20</v>
      </c>
      <c r="U1714" s="10">
        <v>60</v>
      </c>
      <c r="W1714" s="14">
        <v>1</v>
      </c>
      <c r="Y1714" s="79">
        <v>1.3</v>
      </c>
      <c r="Z1714" s="56" t="s">
        <v>44</v>
      </c>
    </row>
    <row r="1715" spans="1:28" ht="23.1" customHeight="1" x14ac:dyDescent="0.25">
      <c r="A1715" s="53" t="s">
        <v>1360</v>
      </c>
      <c r="B1715" s="10" t="s">
        <v>110</v>
      </c>
      <c r="C1715" s="10">
        <v>55</v>
      </c>
      <c r="D1715" s="10" t="s">
        <v>1270</v>
      </c>
      <c r="E1715" s="41" t="s">
        <v>409</v>
      </c>
      <c r="F1715" s="41" t="s">
        <v>409</v>
      </c>
      <c r="G1715" s="21" t="str">
        <f>VLOOKUP(D1715,[6]成飞半成品!$A:$B,2,0)</f>
        <v>接头</v>
      </c>
      <c r="H1715" s="10" t="s">
        <v>102</v>
      </c>
      <c r="I1715" s="10">
        <v>40</v>
      </c>
      <c r="J1715" s="10" t="s">
        <v>2055</v>
      </c>
      <c r="K1715" s="10">
        <v>1</v>
      </c>
      <c r="L1715" s="10">
        <v>1</v>
      </c>
      <c r="M1715" s="14">
        <v>23</v>
      </c>
      <c r="N1715" s="14"/>
      <c r="O1715" s="55" t="s">
        <v>596</v>
      </c>
      <c r="Q1715" s="10">
        <v>20</v>
      </c>
      <c r="U1715" s="10">
        <v>60</v>
      </c>
      <c r="W1715" s="14">
        <v>1</v>
      </c>
      <c r="Y1715" s="79">
        <v>1.3</v>
      </c>
      <c r="Z1715" s="56" t="s">
        <v>44</v>
      </c>
      <c r="AA1715" s="14" t="s">
        <v>1387</v>
      </c>
    </row>
    <row r="1716" spans="1:28" ht="23.1" customHeight="1" x14ac:dyDescent="0.25">
      <c r="A1716" s="53" t="s">
        <v>1360</v>
      </c>
      <c r="B1716" s="10" t="s">
        <v>110</v>
      </c>
      <c r="C1716" s="10">
        <v>14</v>
      </c>
      <c r="D1716" s="10" t="s">
        <v>1388</v>
      </c>
      <c r="E1716" s="41" t="s">
        <v>625</v>
      </c>
      <c r="F1716" s="41" t="s">
        <v>625</v>
      </c>
      <c r="G1716" s="21" t="str">
        <f>VLOOKUP(D1716,[6]成飞半成品!$A:$B,2,0)</f>
        <v>支架</v>
      </c>
      <c r="H1716" s="10" t="s">
        <v>250</v>
      </c>
      <c r="I1716" s="10">
        <v>5</v>
      </c>
      <c r="J1716" s="10" t="s">
        <v>1930</v>
      </c>
      <c r="K1716" s="10">
        <v>8</v>
      </c>
      <c r="L1716" s="10">
        <v>8</v>
      </c>
      <c r="M1716" s="14">
        <v>9</v>
      </c>
      <c r="N1716" s="14"/>
      <c r="O1716" s="55" t="s">
        <v>1389</v>
      </c>
      <c r="Q1716" s="10">
        <v>60</v>
      </c>
      <c r="U1716" s="10">
        <v>60</v>
      </c>
      <c r="W1716" s="14">
        <v>1</v>
      </c>
      <c r="X1716" s="14">
        <v>3</v>
      </c>
      <c r="Y1716" s="79">
        <v>12</v>
      </c>
      <c r="Z1716" s="56" t="s">
        <v>31</v>
      </c>
      <c r="AA1716" s="14" t="s">
        <v>955</v>
      </c>
      <c r="AB1716" s="25" t="s">
        <v>238</v>
      </c>
    </row>
    <row r="1717" spans="1:28" ht="23.1" customHeight="1" x14ac:dyDescent="0.25">
      <c r="A1717" s="53" t="s">
        <v>1360</v>
      </c>
      <c r="B1717" s="10" t="s">
        <v>110</v>
      </c>
      <c r="C1717" s="10">
        <v>17</v>
      </c>
      <c r="D1717" s="25" t="s">
        <v>2551</v>
      </c>
      <c r="E1717" s="41" t="s">
        <v>1283</v>
      </c>
      <c r="F1717" s="41" t="e">
        <v>#N/A</v>
      </c>
      <c r="G1717" s="21" t="str">
        <f>VLOOKUP(D1717,[6]成飞半成品!$A:$B,2,0)</f>
        <v>工装</v>
      </c>
      <c r="H1717" s="10" t="s">
        <v>102</v>
      </c>
      <c r="I1717" s="10">
        <v>5</v>
      </c>
      <c r="L1717" s="10">
        <v>1</v>
      </c>
      <c r="M1717" s="14">
        <v>5</v>
      </c>
      <c r="N1717" s="14"/>
      <c r="W1717" s="14"/>
      <c r="X1717" s="14">
        <v>3.5</v>
      </c>
      <c r="Y1717" s="79">
        <v>3.5</v>
      </c>
      <c r="Z1717" s="56" t="s">
        <v>16</v>
      </c>
      <c r="AA1717" s="14" t="s">
        <v>1391</v>
      </c>
      <c r="AB1717" s="14" t="s">
        <v>238</v>
      </c>
    </row>
    <row r="1718" spans="1:28" ht="23.1" customHeight="1" x14ac:dyDescent="0.25">
      <c r="A1718" s="53" t="s">
        <v>1360</v>
      </c>
      <c r="B1718" s="10" t="s">
        <v>110</v>
      </c>
      <c r="C1718" s="10">
        <v>17</v>
      </c>
      <c r="D1718" s="25" t="s">
        <v>2551</v>
      </c>
      <c r="E1718" s="41" t="s">
        <v>1283</v>
      </c>
      <c r="F1718" s="41" t="e">
        <v>#N/A</v>
      </c>
      <c r="G1718" s="21" t="str">
        <f>VLOOKUP(D1718,[6]成飞半成品!$A:$B,2,0)</f>
        <v>工装</v>
      </c>
      <c r="H1718" s="10" t="s">
        <v>102</v>
      </c>
      <c r="I1718" s="10">
        <v>10</v>
      </c>
      <c r="L1718" s="10">
        <v>1</v>
      </c>
      <c r="M1718" s="14">
        <v>5</v>
      </c>
      <c r="N1718" s="14"/>
      <c r="W1718" s="14"/>
      <c r="X1718" s="14">
        <v>3.5</v>
      </c>
      <c r="Y1718" s="79">
        <v>3.5</v>
      </c>
      <c r="Z1718" s="56" t="s">
        <v>16</v>
      </c>
      <c r="AA1718" s="14" t="s">
        <v>1391</v>
      </c>
      <c r="AB1718" s="14" t="s">
        <v>238</v>
      </c>
    </row>
    <row r="1719" spans="1:28" ht="23.1" customHeight="1" x14ac:dyDescent="0.25">
      <c r="A1719" s="53" t="s">
        <v>1360</v>
      </c>
      <c r="B1719" s="10" t="s">
        <v>110</v>
      </c>
      <c r="C1719" s="10">
        <v>17</v>
      </c>
      <c r="D1719" s="25" t="s">
        <v>2551</v>
      </c>
      <c r="E1719" s="41" t="s">
        <v>1283</v>
      </c>
      <c r="F1719" s="41" t="e">
        <v>#N/A</v>
      </c>
      <c r="G1719" s="21" t="str">
        <f>VLOOKUP(D1719,[6]成飞半成品!$A:$B,2,0)</f>
        <v>工装</v>
      </c>
      <c r="H1719" s="10" t="s">
        <v>102</v>
      </c>
      <c r="I1719" s="10">
        <v>5</v>
      </c>
      <c r="L1719" s="10">
        <v>1</v>
      </c>
      <c r="M1719" s="14">
        <v>5</v>
      </c>
      <c r="N1719" s="14"/>
      <c r="W1719" s="14"/>
      <c r="X1719" s="14">
        <v>4</v>
      </c>
      <c r="Y1719" s="79">
        <v>4</v>
      </c>
      <c r="Z1719" s="56" t="s">
        <v>16</v>
      </c>
      <c r="AA1719" s="14" t="s">
        <v>1393</v>
      </c>
      <c r="AB1719" s="14" t="s">
        <v>238</v>
      </c>
    </row>
    <row r="1720" spans="1:28" ht="23.1" customHeight="1" x14ac:dyDescent="0.25">
      <c r="A1720" s="53" t="s">
        <v>1360</v>
      </c>
      <c r="B1720" s="10" t="s">
        <v>110</v>
      </c>
      <c r="C1720" s="10">
        <v>17</v>
      </c>
      <c r="D1720" s="25" t="s">
        <v>2551</v>
      </c>
      <c r="E1720" s="41" t="s">
        <v>1283</v>
      </c>
      <c r="F1720" s="41" t="e">
        <v>#N/A</v>
      </c>
      <c r="G1720" s="21" t="str">
        <f>VLOOKUP(D1720,[6]成飞半成品!$A:$B,2,0)</f>
        <v>工装</v>
      </c>
      <c r="H1720" s="10" t="s">
        <v>102</v>
      </c>
      <c r="I1720" s="10">
        <v>10</v>
      </c>
      <c r="L1720" s="10">
        <v>1</v>
      </c>
      <c r="M1720" s="14">
        <v>5</v>
      </c>
      <c r="N1720" s="14"/>
      <c r="W1720" s="14"/>
      <c r="X1720" s="14">
        <v>4</v>
      </c>
      <c r="Y1720" s="79">
        <v>4</v>
      </c>
      <c r="Z1720" s="56" t="s">
        <v>16</v>
      </c>
      <c r="AA1720" s="14" t="s">
        <v>1393</v>
      </c>
      <c r="AB1720" s="14" t="s">
        <v>238</v>
      </c>
    </row>
    <row r="1721" spans="1:28" ht="23.1" customHeight="1" x14ac:dyDescent="0.25">
      <c r="A1721" s="53" t="s">
        <v>1360</v>
      </c>
      <c r="B1721" s="10" t="s">
        <v>110</v>
      </c>
      <c r="C1721" s="10">
        <v>77</v>
      </c>
      <c r="D1721" s="10" t="s">
        <v>1383</v>
      </c>
      <c r="E1721" s="41" t="s">
        <v>1384</v>
      </c>
      <c r="F1721" s="41" t="s">
        <v>1384</v>
      </c>
      <c r="G1721" s="21" t="str">
        <f>VLOOKUP(D1721,[6]成飞半成品!$A:$B,2,0)</f>
        <v>角材</v>
      </c>
      <c r="H1721" s="10" t="s">
        <v>154</v>
      </c>
      <c r="I1721" s="10">
        <v>10</v>
      </c>
      <c r="J1721" s="10" t="s">
        <v>2241</v>
      </c>
      <c r="K1721" s="10">
        <v>24</v>
      </c>
      <c r="L1721" s="10">
        <v>26</v>
      </c>
      <c r="M1721" s="14">
        <v>9</v>
      </c>
      <c r="N1721" s="14"/>
      <c r="O1721" s="55" t="s">
        <v>1169</v>
      </c>
      <c r="Q1721" s="10">
        <v>30</v>
      </c>
      <c r="U1721" s="10">
        <v>60</v>
      </c>
      <c r="W1721" s="14"/>
      <c r="Y1721" s="79">
        <v>13</v>
      </c>
      <c r="Z1721" s="56" t="s">
        <v>15</v>
      </c>
    </row>
    <row r="1722" spans="1:28" ht="23.1" customHeight="1" x14ac:dyDescent="0.25">
      <c r="A1722" s="53" t="s">
        <v>1360</v>
      </c>
      <c r="B1722" s="10" t="s">
        <v>110</v>
      </c>
      <c r="C1722" s="10">
        <v>79</v>
      </c>
      <c r="D1722" s="10" t="s">
        <v>152</v>
      </c>
      <c r="E1722" s="41" t="s">
        <v>1247</v>
      </c>
      <c r="F1722" s="41" t="s">
        <v>1247</v>
      </c>
      <c r="G1722" s="21" t="str">
        <f>VLOOKUP(D1722,[6]成飞半成品!$A:$B,2,0)</f>
        <v>根肋前段</v>
      </c>
      <c r="H1722" s="10" t="s">
        <v>154</v>
      </c>
      <c r="I1722" s="10">
        <v>50</v>
      </c>
      <c r="J1722" s="10" t="s">
        <v>2204</v>
      </c>
      <c r="K1722" s="10">
        <v>0.3</v>
      </c>
      <c r="L1722" s="10">
        <v>0.3</v>
      </c>
      <c r="M1722" s="14">
        <v>9</v>
      </c>
      <c r="N1722" s="14"/>
      <c r="O1722" s="55" t="s">
        <v>421</v>
      </c>
      <c r="Q1722" s="10">
        <v>3700</v>
      </c>
      <c r="R1722" s="10">
        <v>90</v>
      </c>
      <c r="U1722" s="10">
        <v>180</v>
      </c>
      <c r="W1722" s="14"/>
      <c r="Y1722" s="79">
        <v>18.5</v>
      </c>
      <c r="Z1722" s="56" t="s">
        <v>19</v>
      </c>
    </row>
    <row r="1723" spans="1:28" ht="23.1" customHeight="1" x14ac:dyDescent="0.25">
      <c r="A1723" s="53" t="s">
        <v>1360</v>
      </c>
      <c r="B1723" s="10" t="s">
        <v>110</v>
      </c>
      <c r="C1723" s="10">
        <v>13</v>
      </c>
      <c r="D1723" s="10" t="s">
        <v>1394</v>
      </c>
      <c r="E1723" s="41" t="s">
        <v>1278</v>
      </c>
      <c r="F1723" s="41" t="s">
        <v>1278</v>
      </c>
      <c r="G1723" s="21" t="str">
        <f>VLOOKUP(D1723,[6]成飞半成品!$A:$B,2,0)</f>
        <v>接管嘴</v>
      </c>
      <c r="H1723" s="10" t="s">
        <v>123</v>
      </c>
      <c r="I1723" s="10">
        <v>30</v>
      </c>
      <c r="J1723" s="10" t="s">
        <v>2257</v>
      </c>
      <c r="K1723" s="10">
        <v>7</v>
      </c>
      <c r="L1723" s="10">
        <v>5</v>
      </c>
      <c r="M1723" s="14">
        <v>23</v>
      </c>
      <c r="N1723" s="14">
        <v>31</v>
      </c>
      <c r="O1723" s="55" t="s">
        <v>164</v>
      </c>
      <c r="Q1723" s="10">
        <v>70</v>
      </c>
      <c r="U1723" s="10">
        <v>60</v>
      </c>
      <c r="W1723" s="14"/>
      <c r="X1723" s="14">
        <v>2</v>
      </c>
      <c r="Y1723" s="79">
        <v>7.8</v>
      </c>
      <c r="Z1723" s="56" t="s">
        <v>72</v>
      </c>
      <c r="AA1723" s="14" t="s">
        <v>1395</v>
      </c>
    </row>
    <row r="1724" spans="1:28" ht="23.1" customHeight="1" x14ac:dyDescent="0.25">
      <c r="A1724" s="53" t="s">
        <v>1360</v>
      </c>
      <c r="B1724" s="10" t="s">
        <v>110</v>
      </c>
      <c r="C1724" s="10">
        <v>13</v>
      </c>
      <c r="D1724" s="10" t="s">
        <v>895</v>
      </c>
      <c r="E1724" s="41" t="s">
        <v>896</v>
      </c>
      <c r="F1724" s="41" t="s">
        <v>896</v>
      </c>
      <c r="G1724" s="21" t="str">
        <f>VLOOKUP(D1724,[6]成飞半成品!$A:$B,2,0)</f>
        <v>回收锁销接头</v>
      </c>
      <c r="H1724" s="10" t="s">
        <v>102</v>
      </c>
      <c r="I1724" s="10">
        <v>25</v>
      </c>
      <c r="J1724" s="10" t="s">
        <v>1850</v>
      </c>
      <c r="L1724" s="10">
        <v>8</v>
      </c>
      <c r="M1724" s="14">
        <v>23</v>
      </c>
      <c r="N1724" s="14">
        <v>5</v>
      </c>
      <c r="O1724" s="55" t="s">
        <v>596</v>
      </c>
      <c r="Q1724" s="10">
        <v>40</v>
      </c>
      <c r="U1724" s="10">
        <v>90</v>
      </c>
      <c r="W1724" s="14">
        <v>1</v>
      </c>
      <c r="X1724" s="14">
        <v>2</v>
      </c>
      <c r="Y1724" s="79">
        <v>8.8000000000000007</v>
      </c>
      <c r="Z1724" s="56" t="s">
        <v>72</v>
      </c>
      <c r="AA1724" s="14" t="s">
        <v>1396</v>
      </c>
    </row>
    <row r="1725" spans="1:28" ht="23.1" customHeight="1" x14ac:dyDescent="0.25">
      <c r="A1725" s="53" t="s">
        <v>1360</v>
      </c>
      <c r="B1725" s="10" t="s">
        <v>110</v>
      </c>
      <c r="C1725" s="10">
        <v>56</v>
      </c>
      <c r="D1725" s="10" t="s">
        <v>1397</v>
      </c>
      <c r="E1725" s="41" t="s">
        <v>1398</v>
      </c>
      <c r="F1725" s="41" t="s">
        <v>1398</v>
      </c>
      <c r="G1725" s="21" t="str">
        <f>VLOOKUP(D1725,[6]成飞半成品!$A:$B,2,0)</f>
        <v>受剪接头</v>
      </c>
      <c r="H1725" s="10" t="s">
        <v>118</v>
      </c>
      <c r="I1725" s="10">
        <v>20</v>
      </c>
      <c r="J1725" s="10" t="s">
        <v>1936</v>
      </c>
      <c r="K1725" s="10">
        <v>9</v>
      </c>
      <c r="L1725" s="10">
        <v>13</v>
      </c>
      <c r="M1725" s="14">
        <v>23</v>
      </c>
      <c r="N1725" s="14">
        <v>28</v>
      </c>
      <c r="O1725" s="55" t="s">
        <v>1399</v>
      </c>
      <c r="Q1725" s="10">
        <v>60</v>
      </c>
      <c r="U1725" s="10">
        <v>60</v>
      </c>
      <c r="W1725" s="14">
        <v>1</v>
      </c>
      <c r="X1725" s="14">
        <v>2</v>
      </c>
      <c r="Y1725" s="79">
        <v>16</v>
      </c>
      <c r="Z1725" s="56" t="s">
        <v>44</v>
      </c>
      <c r="AA1725" s="14" t="s">
        <v>1245</v>
      </c>
      <c r="AB1725" s="25" t="s">
        <v>238</v>
      </c>
    </row>
    <row r="1726" spans="1:28" ht="23.1" customHeight="1" x14ac:dyDescent="0.25">
      <c r="A1726" s="53" t="s">
        <v>1360</v>
      </c>
      <c r="B1726" s="10" t="s">
        <v>110</v>
      </c>
      <c r="C1726" s="10">
        <v>15</v>
      </c>
      <c r="D1726" s="10" t="s">
        <v>1255</v>
      </c>
      <c r="E1726" s="41" t="s">
        <v>117</v>
      </c>
      <c r="F1726" s="41" t="s">
        <v>117</v>
      </c>
      <c r="G1726" s="21" t="str">
        <f>VLOOKUP(D1726,[6]成飞半成品!$A:$B,2,0)</f>
        <v>7820~8270侧上梁</v>
      </c>
      <c r="H1726" s="10" t="s">
        <v>118</v>
      </c>
      <c r="I1726" s="10">
        <v>25</v>
      </c>
      <c r="J1726" s="10" t="s">
        <v>2018</v>
      </c>
      <c r="K1726" s="10">
        <v>0.8</v>
      </c>
      <c r="L1726" s="10">
        <v>1.2</v>
      </c>
      <c r="M1726" s="14">
        <v>37</v>
      </c>
      <c r="N1726" s="14">
        <v>37</v>
      </c>
      <c r="O1726" s="55" t="s">
        <v>1100</v>
      </c>
      <c r="Q1726" s="10">
        <v>900</v>
      </c>
      <c r="U1726" s="10">
        <v>120</v>
      </c>
      <c r="W1726" s="14"/>
      <c r="Y1726" s="79">
        <v>18</v>
      </c>
      <c r="Z1726" s="56" t="s">
        <v>31</v>
      </c>
    </row>
    <row r="1727" spans="1:28" ht="23.1" customHeight="1" x14ac:dyDescent="0.25">
      <c r="A1727" s="53" t="s">
        <v>1360</v>
      </c>
      <c r="B1727" s="10" t="s">
        <v>110</v>
      </c>
      <c r="C1727" s="10">
        <v>23</v>
      </c>
      <c r="D1727" s="10" t="s">
        <v>498</v>
      </c>
      <c r="E1727" s="41" t="s">
        <v>499</v>
      </c>
      <c r="F1727" s="41" t="s">
        <v>499</v>
      </c>
      <c r="G1727" s="21" t="str">
        <f>VLOOKUP(D1727,[6]成飞半成品!$A:$B,2,0)</f>
        <v>10540中框</v>
      </c>
      <c r="H1727" s="10" t="s">
        <v>118</v>
      </c>
      <c r="I1727" s="10">
        <v>10</v>
      </c>
      <c r="J1727" s="10" t="s">
        <v>2245</v>
      </c>
      <c r="K1727" s="10">
        <v>6</v>
      </c>
      <c r="L1727" s="10">
        <v>7</v>
      </c>
      <c r="M1727" s="14">
        <v>28</v>
      </c>
      <c r="N1727" s="14">
        <v>28</v>
      </c>
      <c r="O1727" s="55" t="s">
        <v>1400</v>
      </c>
      <c r="Q1727" s="10">
        <v>180</v>
      </c>
      <c r="R1727" s="10">
        <v>60</v>
      </c>
      <c r="T1727" s="10">
        <v>7</v>
      </c>
      <c r="U1727" s="10">
        <v>120</v>
      </c>
      <c r="W1727" s="14">
        <v>1</v>
      </c>
      <c r="Y1727" s="79">
        <v>30</v>
      </c>
      <c r="Z1727" s="56" t="s">
        <v>33</v>
      </c>
    </row>
    <row r="1728" spans="1:28" ht="23.1" customHeight="1" x14ac:dyDescent="0.25">
      <c r="A1728" s="53" t="s">
        <v>1360</v>
      </c>
      <c r="B1728" s="10" t="s">
        <v>110</v>
      </c>
      <c r="C1728" s="10">
        <v>47</v>
      </c>
      <c r="D1728" s="25" t="s">
        <v>294</v>
      </c>
      <c r="E1728" s="41" t="s">
        <v>259</v>
      </c>
      <c r="F1728" s="41" t="s">
        <v>284</v>
      </c>
      <c r="G1728" s="21" t="str">
        <f>VLOOKUP(D1728,[6]成飞半成品!$A:$B,2,0)</f>
        <v>梁（左件）</v>
      </c>
      <c r="H1728" s="10" t="s">
        <v>123</v>
      </c>
      <c r="I1728" s="10">
        <v>15</v>
      </c>
      <c r="J1728" s="10" t="s">
        <v>2473</v>
      </c>
      <c r="K1728" s="10">
        <v>1.5</v>
      </c>
      <c r="L1728" s="10">
        <v>1.5</v>
      </c>
      <c r="M1728" s="14">
        <v>28</v>
      </c>
      <c r="N1728" s="14">
        <v>28</v>
      </c>
      <c r="O1728" s="55" t="s">
        <v>1401</v>
      </c>
      <c r="Q1728" s="10">
        <v>480</v>
      </c>
      <c r="R1728" s="10">
        <v>90</v>
      </c>
      <c r="T1728" s="10">
        <v>2</v>
      </c>
      <c r="U1728" s="10">
        <v>60</v>
      </c>
      <c r="W1728" s="14"/>
      <c r="Y1728" s="79">
        <v>15</v>
      </c>
      <c r="Z1728" s="56" t="s">
        <v>33</v>
      </c>
    </row>
    <row r="1729" spans="1:28" ht="23.1" customHeight="1" x14ac:dyDescent="0.25">
      <c r="A1729" s="53" t="s">
        <v>1360</v>
      </c>
      <c r="B1729" s="10" t="s">
        <v>110</v>
      </c>
      <c r="C1729" s="10">
        <v>47</v>
      </c>
      <c r="D1729" s="25" t="s">
        <v>294</v>
      </c>
      <c r="E1729" s="41" t="s">
        <v>259</v>
      </c>
      <c r="F1729" s="41" t="s">
        <v>284</v>
      </c>
      <c r="G1729" s="21" t="str">
        <f>VLOOKUP(D1729,[6]成飞半成品!$A:$B,2,0)</f>
        <v>梁（左件）</v>
      </c>
      <c r="H1729" s="10" t="s">
        <v>123</v>
      </c>
      <c r="I1729" s="10">
        <v>30</v>
      </c>
      <c r="J1729" s="10" t="s">
        <v>2199</v>
      </c>
      <c r="K1729" s="10">
        <v>0.1</v>
      </c>
      <c r="L1729" s="10">
        <v>0.1</v>
      </c>
      <c r="M1729" s="14">
        <v>5</v>
      </c>
      <c r="N1729" s="14"/>
      <c r="O1729" s="55" t="s">
        <v>1402</v>
      </c>
      <c r="Q1729" s="10">
        <v>720</v>
      </c>
      <c r="R1729" s="10">
        <v>120</v>
      </c>
      <c r="T1729" s="10">
        <v>1</v>
      </c>
      <c r="U1729" s="10">
        <v>90</v>
      </c>
      <c r="W1729" s="14">
        <v>1</v>
      </c>
      <c r="Y1729" s="79">
        <v>4.7</v>
      </c>
      <c r="Z1729" s="56" t="s">
        <v>33</v>
      </c>
    </row>
    <row r="1730" spans="1:28" ht="23.1" customHeight="1" x14ac:dyDescent="0.25">
      <c r="A1730" s="53" t="s">
        <v>1360</v>
      </c>
      <c r="B1730" s="10" t="s">
        <v>110</v>
      </c>
      <c r="C1730" s="10">
        <v>21</v>
      </c>
      <c r="D1730" s="10" t="s">
        <v>321</v>
      </c>
      <c r="E1730" s="41" t="s">
        <v>322</v>
      </c>
      <c r="F1730" s="41" t="s">
        <v>322</v>
      </c>
      <c r="G1730" s="21" t="str">
        <f>VLOOKUP(D1730,[6]成飞半成品!$A:$B,2,0)</f>
        <v>10860框</v>
      </c>
      <c r="H1730" s="10" t="s">
        <v>323</v>
      </c>
      <c r="I1730" s="10">
        <v>55</v>
      </c>
      <c r="J1730" s="10" t="s">
        <v>2004</v>
      </c>
      <c r="K1730" s="10">
        <v>1</v>
      </c>
      <c r="L1730" s="10">
        <v>1.1000000000000001</v>
      </c>
      <c r="M1730" s="14">
        <v>28</v>
      </c>
      <c r="N1730" s="14">
        <v>26</v>
      </c>
      <c r="O1730" s="55" t="s">
        <v>1000</v>
      </c>
      <c r="Q1730" s="10">
        <v>660</v>
      </c>
      <c r="R1730" s="10">
        <v>120</v>
      </c>
      <c r="T1730" s="10">
        <v>2</v>
      </c>
      <c r="U1730" s="10">
        <v>180</v>
      </c>
      <c r="W1730" s="14">
        <v>1</v>
      </c>
      <c r="Y1730" s="79">
        <v>19.100000000000001</v>
      </c>
      <c r="Z1730" s="56" t="s">
        <v>58</v>
      </c>
    </row>
    <row r="1731" spans="1:28" ht="23.1" customHeight="1" x14ac:dyDescent="0.25">
      <c r="A1731" s="53" t="s">
        <v>1360</v>
      </c>
      <c r="B1731" s="10" t="s">
        <v>110</v>
      </c>
      <c r="C1731" s="10">
        <v>22</v>
      </c>
      <c r="D1731" s="47" t="s">
        <v>1403</v>
      </c>
      <c r="E1731" s="41" t="s">
        <v>612</v>
      </c>
      <c r="F1731" s="41" t="s">
        <v>101</v>
      </c>
      <c r="G1731" s="21" t="str">
        <f>VLOOKUP(D1731,[6]成飞半成品!$A:$B,2,0)</f>
        <v>前梁一段</v>
      </c>
      <c r="H1731" s="10" t="s">
        <v>154</v>
      </c>
      <c r="I1731" s="10">
        <v>10</v>
      </c>
      <c r="J1731" s="10" t="s">
        <v>2247</v>
      </c>
      <c r="K1731" s="10">
        <v>0.3</v>
      </c>
      <c r="L1731" s="10">
        <v>0.1</v>
      </c>
      <c r="M1731" s="14">
        <v>5</v>
      </c>
      <c r="N1731" s="14"/>
      <c r="O1731" s="55" t="s">
        <v>613</v>
      </c>
      <c r="Q1731" s="10">
        <v>2700</v>
      </c>
      <c r="R1731" s="10">
        <v>240</v>
      </c>
      <c r="U1731" s="10">
        <v>240</v>
      </c>
      <c r="W1731" s="14"/>
      <c r="Y1731" s="79">
        <v>4.5</v>
      </c>
      <c r="Z1731" s="56" t="s">
        <v>58</v>
      </c>
    </row>
    <row r="1732" spans="1:28" ht="23.1" customHeight="1" x14ac:dyDescent="0.25">
      <c r="A1732" s="53" t="s">
        <v>1360</v>
      </c>
      <c r="B1732" s="10" t="s">
        <v>110</v>
      </c>
      <c r="C1732" s="10">
        <v>22</v>
      </c>
      <c r="D1732" s="10" t="s">
        <v>100</v>
      </c>
      <c r="E1732" s="41" t="s">
        <v>101</v>
      </c>
      <c r="F1732" s="41" t="s">
        <v>101</v>
      </c>
      <c r="G1732" s="21" t="str">
        <f>VLOOKUP(D1732,[6]成飞半成品!$A:$B,2,0)</f>
        <v>前梁一段</v>
      </c>
      <c r="H1732" s="10" t="s">
        <v>154</v>
      </c>
      <c r="I1732" s="10">
        <v>15</v>
      </c>
      <c r="J1732" s="10" t="s">
        <v>2248</v>
      </c>
      <c r="K1732" s="10">
        <v>0.5</v>
      </c>
      <c r="L1732" s="10">
        <v>0.5</v>
      </c>
      <c r="M1732" s="14">
        <v>26</v>
      </c>
      <c r="N1732" s="14"/>
      <c r="O1732" s="55" t="s">
        <v>613</v>
      </c>
      <c r="Q1732" s="10">
        <v>2100</v>
      </c>
      <c r="R1732" s="10">
        <v>180</v>
      </c>
      <c r="T1732" s="10">
        <v>1</v>
      </c>
      <c r="U1732" s="10">
        <v>180</v>
      </c>
      <c r="W1732" s="14">
        <v>1</v>
      </c>
      <c r="X1732" s="14">
        <v>2</v>
      </c>
      <c r="Y1732" s="79">
        <v>25.5</v>
      </c>
      <c r="Z1732" s="56" t="s">
        <v>58</v>
      </c>
      <c r="AA1732" s="14" t="s">
        <v>1245</v>
      </c>
    </row>
    <row r="1733" spans="1:28" ht="23.1" customHeight="1" x14ac:dyDescent="0.25">
      <c r="A1733" s="53" t="s">
        <v>1360</v>
      </c>
      <c r="B1733" s="10" t="s">
        <v>110</v>
      </c>
      <c r="C1733" s="10">
        <v>12</v>
      </c>
      <c r="D1733" s="10" t="s">
        <v>735</v>
      </c>
      <c r="E1733" s="41" t="s">
        <v>249</v>
      </c>
      <c r="F1733" s="41" t="s">
        <v>249</v>
      </c>
      <c r="G1733" s="21" t="str">
        <f>VLOOKUP(D1733,[6]成飞半成品!$A:$B,2,0)</f>
        <v>10060下接头</v>
      </c>
      <c r="H1733" s="10" t="s">
        <v>250</v>
      </c>
      <c r="I1733" s="10">
        <v>25</v>
      </c>
      <c r="J1733" s="10" t="s">
        <v>1923</v>
      </c>
      <c r="K1733" s="10">
        <v>1</v>
      </c>
      <c r="L1733" s="10">
        <v>1</v>
      </c>
      <c r="M1733" s="14">
        <v>26</v>
      </c>
      <c r="N1733" s="14"/>
      <c r="O1733" s="55" t="s">
        <v>1404</v>
      </c>
      <c r="Q1733" s="10">
        <v>1080</v>
      </c>
      <c r="U1733" s="10">
        <v>120</v>
      </c>
      <c r="W1733" s="14"/>
      <c r="Y1733" s="79">
        <v>18</v>
      </c>
      <c r="Z1733" s="56" t="s">
        <v>72</v>
      </c>
    </row>
    <row r="1734" spans="1:28" ht="23.1" customHeight="1" x14ac:dyDescent="0.25">
      <c r="A1734" s="53" t="s">
        <v>1360</v>
      </c>
      <c r="B1734" s="10" t="s">
        <v>137</v>
      </c>
      <c r="C1734" s="10">
        <v>58</v>
      </c>
      <c r="D1734" s="85" t="s">
        <v>2551</v>
      </c>
      <c r="E1734" s="41" t="s">
        <v>1406</v>
      </c>
      <c r="F1734" s="41" t="e">
        <v>#N/A</v>
      </c>
      <c r="G1734" s="21" t="str">
        <f>VLOOKUP(D1734,[6]成飞半成品!$A:$B,2,0)</f>
        <v>工装</v>
      </c>
      <c r="H1734" s="10" t="s">
        <v>102</v>
      </c>
      <c r="I1734" s="10">
        <v>20</v>
      </c>
      <c r="K1734" s="10">
        <v>1</v>
      </c>
      <c r="L1734" s="10">
        <v>1</v>
      </c>
      <c r="M1734" s="14">
        <v>28</v>
      </c>
      <c r="N1734" s="14">
        <v>28</v>
      </c>
      <c r="O1734" s="55" t="s">
        <v>108</v>
      </c>
      <c r="W1734" s="14">
        <v>1</v>
      </c>
      <c r="X1734" s="14">
        <v>20</v>
      </c>
      <c r="Y1734" s="79">
        <v>20</v>
      </c>
      <c r="Z1734" s="56" t="s">
        <v>57</v>
      </c>
      <c r="AA1734" s="14" t="s">
        <v>1407</v>
      </c>
      <c r="AB1734" s="14" t="s">
        <v>238</v>
      </c>
    </row>
    <row r="1735" spans="1:28" ht="23.1" customHeight="1" x14ac:dyDescent="0.25">
      <c r="A1735" s="53" t="s">
        <v>1360</v>
      </c>
      <c r="B1735" s="10" t="s">
        <v>137</v>
      </c>
      <c r="C1735" s="10">
        <v>9</v>
      </c>
      <c r="D1735" s="10" t="s">
        <v>1287</v>
      </c>
      <c r="E1735" s="41" t="s">
        <v>1288</v>
      </c>
      <c r="F1735" s="41" t="s">
        <v>1367</v>
      </c>
      <c r="G1735" s="21" t="str">
        <f>VLOOKUP(D1735,[6]成飞半成品!$A:$B,2,0)</f>
        <v>垫板</v>
      </c>
      <c r="H1735" s="10" t="s">
        <v>123</v>
      </c>
      <c r="I1735" s="10">
        <v>10</v>
      </c>
      <c r="J1735" s="10" t="s">
        <v>2215</v>
      </c>
      <c r="K1735" s="10">
        <v>1.5</v>
      </c>
      <c r="L1735" s="10">
        <v>2</v>
      </c>
      <c r="M1735" s="14">
        <v>28</v>
      </c>
      <c r="N1735" s="14">
        <v>28</v>
      </c>
      <c r="O1735" s="55" t="s">
        <v>925</v>
      </c>
      <c r="Q1735" s="10">
        <v>390</v>
      </c>
      <c r="U1735" s="10">
        <v>90</v>
      </c>
      <c r="W1735" s="14"/>
      <c r="Y1735" s="79">
        <v>13</v>
      </c>
      <c r="Z1735" s="56" t="s">
        <v>55</v>
      </c>
    </row>
    <row r="1736" spans="1:28" ht="23.1" customHeight="1" x14ac:dyDescent="0.25">
      <c r="A1736" s="53" t="s">
        <v>1360</v>
      </c>
      <c r="B1736" s="10" t="s">
        <v>137</v>
      </c>
      <c r="C1736" s="10">
        <v>10</v>
      </c>
      <c r="D1736" s="10" t="s">
        <v>217</v>
      </c>
      <c r="E1736" s="41" t="s">
        <v>218</v>
      </c>
      <c r="F1736" s="41" t="s">
        <v>218</v>
      </c>
      <c r="G1736" s="21" t="str">
        <f>VLOOKUP(D1736,[6]成飞半成品!$A:$B,2,0)</f>
        <v>横梁</v>
      </c>
      <c r="H1736" s="10" t="s">
        <v>107</v>
      </c>
      <c r="I1736" s="10">
        <v>55</v>
      </c>
      <c r="J1736" s="10" t="s">
        <v>2227</v>
      </c>
      <c r="K1736" s="10">
        <v>2</v>
      </c>
      <c r="L1736" s="10">
        <v>2.2999999999999998</v>
      </c>
      <c r="M1736" s="14">
        <v>31</v>
      </c>
      <c r="N1736" s="14">
        <v>31</v>
      </c>
      <c r="O1736" s="55" t="s">
        <v>219</v>
      </c>
      <c r="Q1736" s="10">
        <v>270</v>
      </c>
      <c r="U1736" s="10">
        <v>90</v>
      </c>
      <c r="W1736" s="14"/>
      <c r="Y1736" s="79">
        <v>10.4</v>
      </c>
      <c r="Z1736" s="56" t="s">
        <v>55</v>
      </c>
    </row>
    <row r="1737" spans="1:28" ht="23.1" customHeight="1" x14ac:dyDescent="0.25">
      <c r="A1737" s="53" t="s">
        <v>1360</v>
      </c>
      <c r="B1737" s="10" t="s">
        <v>137</v>
      </c>
      <c r="C1737" s="10">
        <v>57</v>
      </c>
      <c r="D1737" s="10" t="s">
        <v>1031</v>
      </c>
      <c r="E1737" s="41" t="s">
        <v>1032</v>
      </c>
      <c r="F1737" s="41" t="s">
        <v>1032</v>
      </c>
      <c r="G1737" s="21" t="str">
        <f>VLOOKUP(D1737,[6]成飞半成品!$A:$B,2,0)</f>
        <v>前上大梁（左）</v>
      </c>
      <c r="H1737" s="10" t="s">
        <v>107</v>
      </c>
      <c r="I1737" s="10">
        <v>30</v>
      </c>
      <c r="J1737" s="10" t="s">
        <v>2242</v>
      </c>
      <c r="K1737" s="10">
        <v>2</v>
      </c>
      <c r="L1737" s="10">
        <v>3</v>
      </c>
      <c r="M1737" s="14">
        <v>28</v>
      </c>
      <c r="N1737" s="14">
        <v>28</v>
      </c>
      <c r="O1737" s="55" t="s">
        <v>1408</v>
      </c>
      <c r="Q1737" s="10">
        <v>220</v>
      </c>
      <c r="U1737" s="10">
        <v>90</v>
      </c>
      <c r="W1737" s="14"/>
      <c r="Y1737" s="79">
        <v>11</v>
      </c>
      <c r="Z1737" s="56" t="s">
        <v>57</v>
      </c>
    </row>
    <row r="1738" spans="1:28" ht="23.1" customHeight="1" x14ac:dyDescent="0.25">
      <c r="A1738" s="53" t="s">
        <v>1360</v>
      </c>
      <c r="B1738" s="10" t="s">
        <v>137</v>
      </c>
      <c r="C1738" s="10">
        <v>59</v>
      </c>
      <c r="D1738" s="10" t="s">
        <v>1386</v>
      </c>
      <c r="E1738" s="41" t="s">
        <v>1288</v>
      </c>
      <c r="F1738" s="41" t="s">
        <v>1288</v>
      </c>
      <c r="G1738" s="21" t="str">
        <f>VLOOKUP(D1738,[6]成飞半成品!$A:$B,2,0)</f>
        <v>垫片</v>
      </c>
      <c r="H1738" s="10" t="s">
        <v>102</v>
      </c>
      <c r="I1738" s="10">
        <v>30</v>
      </c>
      <c r="J1738" s="10" t="s">
        <v>2243</v>
      </c>
      <c r="K1738" s="10">
        <v>40</v>
      </c>
      <c r="L1738" s="10">
        <v>40</v>
      </c>
      <c r="M1738" s="14">
        <v>31</v>
      </c>
      <c r="N1738" s="14">
        <v>31</v>
      </c>
      <c r="O1738" s="55" t="s">
        <v>596</v>
      </c>
      <c r="Q1738" s="10">
        <v>20</v>
      </c>
      <c r="U1738" s="10">
        <v>90</v>
      </c>
      <c r="W1738" s="14"/>
      <c r="Y1738" s="79">
        <v>13.3</v>
      </c>
      <c r="Z1738" s="56" t="s">
        <v>42</v>
      </c>
    </row>
    <row r="1739" spans="1:28" ht="23.1" customHeight="1" x14ac:dyDescent="0.25">
      <c r="A1739" s="53" t="s">
        <v>1360</v>
      </c>
      <c r="B1739" s="10" t="s">
        <v>137</v>
      </c>
      <c r="C1739" s="10">
        <v>58</v>
      </c>
      <c r="D1739" s="10" t="s">
        <v>1386</v>
      </c>
      <c r="E1739" s="41" t="s">
        <v>1288</v>
      </c>
      <c r="F1739" s="41" t="s">
        <v>1288</v>
      </c>
      <c r="G1739" s="21" t="str">
        <f>VLOOKUP(D1739,[6]成飞半成品!$A:$B,2,0)</f>
        <v>垫片</v>
      </c>
      <c r="H1739" s="10" t="s">
        <v>102</v>
      </c>
      <c r="I1739" s="10">
        <v>30</v>
      </c>
      <c r="J1739" s="10" t="s">
        <v>2243</v>
      </c>
      <c r="L1739" s="10">
        <v>36</v>
      </c>
      <c r="M1739" s="14">
        <v>5</v>
      </c>
      <c r="N1739" s="14">
        <v>31</v>
      </c>
      <c r="O1739" s="55" t="s">
        <v>596</v>
      </c>
      <c r="Q1739" s="10">
        <v>20</v>
      </c>
      <c r="U1739" s="10">
        <v>90</v>
      </c>
      <c r="W1739" s="14"/>
      <c r="Y1739" s="79">
        <v>12</v>
      </c>
      <c r="Z1739" s="56" t="s">
        <v>42</v>
      </c>
    </row>
    <row r="1740" spans="1:28" ht="23.1" customHeight="1" x14ac:dyDescent="0.25">
      <c r="A1740" s="53" t="s">
        <v>1360</v>
      </c>
      <c r="B1740" s="10" t="s">
        <v>137</v>
      </c>
      <c r="C1740" s="10">
        <v>11</v>
      </c>
      <c r="D1740" s="10" t="s">
        <v>1296</v>
      </c>
      <c r="E1740" s="41" t="s">
        <v>1297</v>
      </c>
      <c r="F1740" s="41" t="s">
        <v>1297</v>
      </c>
      <c r="G1740" s="21" t="str">
        <f>VLOOKUP(D1740,[6]成飞半成品!$A:$B,2,0)</f>
        <v>固定板</v>
      </c>
      <c r="H1740" s="10" t="s">
        <v>154</v>
      </c>
      <c r="I1740" s="10">
        <v>35</v>
      </c>
      <c r="J1740" s="10" t="s">
        <v>2073</v>
      </c>
      <c r="K1740" s="10">
        <v>1</v>
      </c>
      <c r="L1740" s="10">
        <v>1</v>
      </c>
      <c r="M1740" s="14">
        <v>31</v>
      </c>
      <c r="N1740" s="14"/>
      <c r="O1740" s="55" t="s">
        <v>439</v>
      </c>
      <c r="Q1740" s="10">
        <v>150</v>
      </c>
      <c r="U1740" s="10">
        <v>60</v>
      </c>
      <c r="W1740" s="14"/>
      <c r="Y1740" s="79">
        <v>2.5</v>
      </c>
      <c r="Z1740" s="56" t="s">
        <v>38</v>
      </c>
    </row>
    <row r="1741" spans="1:28" ht="23.1" customHeight="1" x14ac:dyDescent="0.25">
      <c r="A1741" s="53" t="s">
        <v>1360</v>
      </c>
      <c r="B1741" s="10" t="s">
        <v>137</v>
      </c>
      <c r="C1741" s="10">
        <v>11</v>
      </c>
      <c r="D1741" s="25" t="s">
        <v>2551</v>
      </c>
      <c r="E1741" s="41" t="s">
        <v>1410</v>
      </c>
      <c r="F1741" s="41" t="e">
        <v>#N/A</v>
      </c>
      <c r="G1741" s="21" t="str">
        <f>VLOOKUP(D1741,[6]成飞半成品!$A:$B,2,0)</f>
        <v>工装</v>
      </c>
      <c r="H1741" s="10" t="s">
        <v>102</v>
      </c>
      <c r="I1741" s="10">
        <v>10</v>
      </c>
      <c r="K1741" s="10">
        <v>10</v>
      </c>
      <c r="L1741" s="10">
        <v>2</v>
      </c>
      <c r="M1741" s="14">
        <v>26</v>
      </c>
      <c r="N1741" s="14">
        <v>26</v>
      </c>
      <c r="W1741" s="14">
        <v>1</v>
      </c>
      <c r="X1741" s="14">
        <v>4</v>
      </c>
      <c r="Y1741" s="79">
        <v>4</v>
      </c>
      <c r="Z1741" s="56" t="s">
        <v>38</v>
      </c>
    </row>
    <row r="1742" spans="1:28" ht="23.1" customHeight="1" x14ac:dyDescent="0.25">
      <c r="A1742" s="53" t="s">
        <v>1360</v>
      </c>
      <c r="B1742" s="10" t="s">
        <v>137</v>
      </c>
      <c r="C1742" s="10">
        <v>16</v>
      </c>
      <c r="D1742" s="10" t="s">
        <v>1249</v>
      </c>
      <c r="E1742" s="41" t="s">
        <v>409</v>
      </c>
      <c r="F1742" s="41" t="s">
        <v>409</v>
      </c>
      <c r="G1742" s="21" t="str">
        <f>VLOOKUP(D1742,[6]成飞半成品!$A:$B,2,0)</f>
        <v>接头</v>
      </c>
      <c r="H1742" s="10" t="s">
        <v>102</v>
      </c>
      <c r="I1742" s="10">
        <v>15</v>
      </c>
      <c r="J1742" s="10" t="s">
        <v>2249</v>
      </c>
      <c r="L1742" s="10">
        <v>1</v>
      </c>
      <c r="M1742" s="14">
        <v>28</v>
      </c>
      <c r="N1742" s="14"/>
      <c r="O1742" s="55" t="s">
        <v>596</v>
      </c>
      <c r="Q1742" s="10">
        <v>150</v>
      </c>
      <c r="U1742" s="10">
        <v>90</v>
      </c>
      <c r="W1742" s="14">
        <v>1</v>
      </c>
      <c r="X1742" s="14">
        <v>3</v>
      </c>
      <c r="Y1742" s="79">
        <v>7</v>
      </c>
      <c r="Z1742" s="56" t="s">
        <v>38</v>
      </c>
      <c r="AA1742" s="14" t="s">
        <v>1326</v>
      </c>
      <c r="AB1742" s="25" t="s">
        <v>238</v>
      </c>
    </row>
    <row r="1743" spans="1:28" ht="23.1" customHeight="1" x14ac:dyDescent="0.25">
      <c r="A1743" s="53" t="s">
        <v>1360</v>
      </c>
      <c r="B1743" s="10" t="s">
        <v>137</v>
      </c>
      <c r="C1743" s="10">
        <v>16</v>
      </c>
      <c r="D1743" s="10" t="s">
        <v>1249</v>
      </c>
      <c r="E1743" s="41" t="s">
        <v>409</v>
      </c>
      <c r="F1743" s="41" t="s">
        <v>409</v>
      </c>
      <c r="G1743" s="21" t="str">
        <f>VLOOKUP(D1743,[6]成飞半成品!$A:$B,2,0)</f>
        <v>接头</v>
      </c>
      <c r="H1743" s="10" t="s">
        <v>102</v>
      </c>
      <c r="I1743" s="10">
        <v>20</v>
      </c>
      <c r="J1743" s="10" t="s">
        <v>2106</v>
      </c>
      <c r="L1743" s="10">
        <v>1</v>
      </c>
      <c r="M1743" s="14"/>
      <c r="N1743" s="14">
        <v>31</v>
      </c>
      <c r="O1743" s="55" t="s">
        <v>596</v>
      </c>
      <c r="Q1743" s="10">
        <v>25</v>
      </c>
      <c r="U1743" s="10">
        <v>60</v>
      </c>
      <c r="W1743" s="14">
        <v>1</v>
      </c>
      <c r="Y1743" s="79">
        <v>1.4</v>
      </c>
      <c r="Z1743" s="56" t="s">
        <v>38</v>
      </c>
    </row>
    <row r="1744" spans="1:28" ht="23.1" customHeight="1" x14ac:dyDescent="0.25">
      <c r="A1744" s="53" t="s">
        <v>1360</v>
      </c>
      <c r="B1744" s="10" t="s">
        <v>137</v>
      </c>
      <c r="C1744" s="10">
        <v>18</v>
      </c>
      <c r="D1744" s="10" t="s">
        <v>1030</v>
      </c>
      <c r="E1744" s="41" t="s">
        <v>919</v>
      </c>
      <c r="F1744" s="41" t="s">
        <v>919</v>
      </c>
      <c r="G1744" s="21" t="str">
        <f>VLOOKUP(D1744,[6]成飞半成品!$A:$B,2,0)</f>
        <v>雷达罩锁支座</v>
      </c>
      <c r="H1744" s="10" t="s">
        <v>323</v>
      </c>
      <c r="I1744" s="10">
        <v>30</v>
      </c>
      <c r="J1744" s="10" t="s">
        <v>2250</v>
      </c>
      <c r="K1744" s="10">
        <v>2</v>
      </c>
      <c r="L1744" s="10">
        <v>2</v>
      </c>
      <c r="M1744" s="14">
        <v>28</v>
      </c>
      <c r="N1744" s="14">
        <v>28</v>
      </c>
      <c r="O1744" s="55" t="s">
        <v>780</v>
      </c>
      <c r="Q1744" s="10">
        <v>90</v>
      </c>
      <c r="R1744" s="10">
        <v>30</v>
      </c>
      <c r="U1744" s="10">
        <v>120</v>
      </c>
      <c r="W1744" s="14"/>
      <c r="Y1744" s="79">
        <v>3</v>
      </c>
      <c r="Z1744" s="56" t="s">
        <v>43</v>
      </c>
    </row>
    <row r="1745" spans="1:27" ht="23.1" customHeight="1" x14ac:dyDescent="0.25">
      <c r="A1745" s="53" t="s">
        <v>1360</v>
      </c>
      <c r="B1745" s="10" t="s">
        <v>137</v>
      </c>
      <c r="C1745" s="10">
        <v>18</v>
      </c>
      <c r="D1745" s="10" t="s">
        <v>921</v>
      </c>
      <c r="E1745" s="41" t="s">
        <v>919</v>
      </c>
      <c r="F1745" s="41" t="s">
        <v>919</v>
      </c>
      <c r="G1745" s="21" t="str">
        <f>VLOOKUP(D1745,[6]成飞半成品!$A:$B,2,0)</f>
        <v>雷达罩锁支座</v>
      </c>
      <c r="H1745" s="10" t="s">
        <v>323</v>
      </c>
      <c r="I1745" s="10">
        <v>20</v>
      </c>
      <c r="J1745" s="10" t="s">
        <v>2240</v>
      </c>
      <c r="K1745" s="10">
        <v>2</v>
      </c>
      <c r="L1745" s="10">
        <v>4</v>
      </c>
      <c r="M1745" s="14">
        <v>28</v>
      </c>
      <c r="N1745" s="14">
        <v>28</v>
      </c>
      <c r="O1745" s="55" t="s">
        <v>860</v>
      </c>
      <c r="Q1745" s="10">
        <v>120</v>
      </c>
      <c r="U1745" s="10">
        <v>90</v>
      </c>
      <c r="W1745" s="14">
        <v>1</v>
      </c>
      <c r="Y1745" s="79">
        <v>9.5</v>
      </c>
      <c r="Z1745" s="56" t="s">
        <v>43</v>
      </c>
    </row>
    <row r="1746" spans="1:27" ht="23.1" customHeight="1" x14ac:dyDescent="0.25">
      <c r="A1746" s="53" t="s">
        <v>1360</v>
      </c>
      <c r="B1746" s="10" t="s">
        <v>137</v>
      </c>
      <c r="C1746" s="10">
        <v>17</v>
      </c>
      <c r="D1746" s="25" t="s">
        <v>2551</v>
      </c>
      <c r="E1746" s="41" t="s">
        <v>1283</v>
      </c>
      <c r="F1746" s="41" t="e">
        <v>#N/A</v>
      </c>
      <c r="G1746" s="21" t="str">
        <f>VLOOKUP(D1746,[6]成飞半成品!$A:$B,2,0)</f>
        <v>工装</v>
      </c>
      <c r="H1746" s="10" t="s">
        <v>102</v>
      </c>
      <c r="I1746" s="10">
        <v>15</v>
      </c>
      <c r="K1746" s="10">
        <v>1</v>
      </c>
      <c r="L1746" s="10">
        <v>1</v>
      </c>
      <c r="M1746" s="14">
        <v>28</v>
      </c>
      <c r="N1746" s="14"/>
      <c r="O1746" s="55">
        <v>1</v>
      </c>
      <c r="W1746" s="14">
        <v>1</v>
      </c>
      <c r="X1746" s="14">
        <v>8</v>
      </c>
      <c r="Y1746" s="79">
        <v>8</v>
      </c>
      <c r="Z1746" s="56" t="s">
        <v>43</v>
      </c>
    </row>
    <row r="1747" spans="1:27" ht="23.1" customHeight="1" x14ac:dyDescent="0.25">
      <c r="A1747" s="53" t="s">
        <v>1360</v>
      </c>
      <c r="B1747" s="10" t="s">
        <v>137</v>
      </c>
      <c r="C1747" s="10">
        <v>17</v>
      </c>
      <c r="D1747" s="10" t="s">
        <v>1282</v>
      </c>
      <c r="E1747" s="41" t="s">
        <v>1283</v>
      </c>
      <c r="F1747" s="41" t="s">
        <v>1283</v>
      </c>
      <c r="G1747" s="21" t="str">
        <f>VLOOKUP(D1747,[6]成飞半成品!$A:$B,2,0)</f>
        <v>9框前支柱</v>
      </c>
      <c r="H1747" s="10" t="s">
        <v>102</v>
      </c>
      <c r="I1747" s="10">
        <v>30</v>
      </c>
      <c r="J1747" s="10" t="s">
        <v>1992</v>
      </c>
      <c r="K1747" s="10">
        <v>1</v>
      </c>
      <c r="L1747" s="10">
        <v>1</v>
      </c>
      <c r="M1747" s="14">
        <v>28</v>
      </c>
      <c r="N1747" s="14"/>
      <c r="O1747" s="55" t="s">
        <v>596</v>
      </c>
      <c r="Q1747" s="10">
        <v>180</v>
      </c>
      <c r="U1747" s="10">
        <v>60</v>
      </c>
      <c r="W1747" s="14">
        <v>1</v>
      </c>
      <c r="Y1747" s="79">
        <v>4</v>
      </c>
      <c r="Z1747" s="56" t="s">
        <v>43</v>
      </c>
      <c r="AA1747" s="14" t="s">
        <v>1269</v>
      </c>
    </row>
    <row r="1748" spans="1:27" ht="23.1" customHeight="1" x14ac:dyDescent="0.25">
      <c r="A1748" s="53" t="s">
        <v>1360</v>
      </c>
      <c r="B1748" s="10" t="s">
        <v>113</v>
      </c>
      <c r="C1748" s="10">
        <v>10</v>
      </c>
      <c r="D1748" s="10" t="s">
        <v>217</v>
      </c>
      <c r="E1748" s="41" t="s">
        <v>218</v>
      </c>
      <c r="F1748" s="41" t="s">
        <v>218</v>
      </c>
      <c r="G1748" s="21" t="str">
        <f>VLOOKUP(D1748,[6]成飞半成品!$A:$B,2,0)</f>
        <v>横梁</v>
      </c>
      <c r="H1748" s="10" t="s">
        <v>107</v>
      </c>
      <c r="I1748" s="10">
        <v>55</v>
      </c>
      <c r="J1748" s="10" t="s">
        <v>2287</v>
      </c>
      <c r="K1748" s="10">
        <v>2</v>
      </c>
      <c r="L1748" s="10">
        <v>2</v>
      </c>
      <c r="M1748" s="14">
        <v>26</v>
      </c>
      <c r="N1748" s="14">
        <v>5</v>
      </c>
      <c r="O1748" s="55" t="s">
        <v>219</v>
      </c>
      <c r="Q1748" s="10">
        <v>270</v>
      </c>
      <c r="U1748" s="10">
        <v>90</v>
      </c>
      <c r="W1748" s="14"/>
      <c r="X1748" s="14">
        <v>2</v>
      </c>
      <c r="Y1748" s="79">
        <v>11</v>
      </c>
      <c r="Z1748" s="56" t="s">
        <v>23</v>
      </c>
    </row>
    <row r="1749" spans="1:27" ht="23.1" customHeight="1" x14ac:dyDescent="0.25">
      <c r="A1749" s="53" t="s">
        <v>1360</v>
      </c>
      <c r="B1749" s="10" t="s">
        <v>113</v>
      </c>
      <c r="C1749" s="10">
        <v>15</v>
      </c>
      <c r="D1749" s="10" t="s">
        <v>1255</v>
      </c>
      <c r="E1749" s="41" t="s">
        <v>117</v>
      </c>
      <c r="F1749" s="41" t="s">
        <v>117</v>
      </c>
      <c r="G1749" s="21" t="str">
        <f>VLOOKUP(D1749,[6]成飞半成品!$A:$B,2,0)</f>
        <v>7820~8270侧上梁</v>
      </c>
      <c r="H1749" s="10" t="s">
        <v>118</v>
      </c>
      <c r="I1749" s="10">
        <v>25</v>
      </c>
      <c r="J1749" s="10" t="s">
        <v>2018</v>
      </c>
      <c r="K1749" s="10">
        <v>1.2</v>
      </c>
      <c r="L1749" s="10">
        <v>1.5</v>
      </c>
      <c r="M1749" s="14">
        <v>37</v>
      </c>
      <c r="N1749" s="14">
        <v>37</v>
      </c>
      <c r="O1749" s="55" t="s">
        <v>357</v>
      </c>
      <c r="Q1749" s="10">
        <v>900</v>
      </c>
      <c r="U1749" s="10">
        <v>120</v>
      </c>
      <c r="W1749" s="14"/>
      <c r="Y1749" s="79">
        <v>22.5</v>
      </c>
      <c r="Z1749" s="56" t="s">
        <v>60</v>
      </c>
    </row>
    <row r="1750" spans="1:27" ht="23.1" customHeight="1" x14ac:dyDescent="0.25">
      <c r="A1750" s="53" t="s">
        <v>1360</v>
      </c>
      <c r="B1750" s="10" t="s">
        <v>113</v>
      </c>
      <c r="C1750" s="10">
        <v>79</v>
      </c>
      <c r="D1750" s="10" t="s">
        <v>152</v>
      </c>
      <c r="E1750" s="41" t="s">
        <v>153</v>
      </c>
      <c r="F1750" s="41" t="s">
        <v>1247</v>
      </c>
      <c r="G1750" s="21" t="str">
        <f>VLOOKUP(D1750,[6]成飞半成品!$A:$B,2,0)</f>
        <v>根肋前段</v>
      </c>
      <c r="H1750" s="10" t="s">
        <v>154</v>
      </c>
      <c r="I1750" s="10">
        <v>50</v>
      </c>
      <c r="J1750" s="10" t="s">
        <v>2204</v>
      </c>
      <c r="K1750" s="10">
        <v>0.3</v>
      </c>
      <c r="L1750" s="10">
        <v>0.3</v>
      </c>
      <c r="M1750" s="14">
        <v>26</v>
      </c>
      <c r="N1750" s="14"/>
      <c r="O1750" s="55" t="s">
        <v>675</v>
      </c>
      <c r="Q1750" s="10">
        <v>3700</v>
      </c>
      <c r="R1750" s="10">
        <v>90</v>
      </c>
      <c r="U1750" s="10">
        <v>180</v>
      </c>
      <c r="W1750" s="14">
        <v>1</v>
      </c>
      <c r="Y1750" s="79">
        <v>21.5</v>
      </c>
      <c r="Z1750" s="56" t="s">
        <v>5</v>
      </c>
    </row>
    <row r="1751" spans="1:27" ht="23.1" customHeight="1" x14ac:dyDescent="0.25">
      <c r="A1751" s="53" t="s">
        <v>1360</v>
      </c>
      <c r="B1751" s="10" t="s">
        <v>113</v>
      </c>
      <c r="C1751" s="10">
        <v>69</v>
      </c>
      <c r="D1751" s="10" t="s">
        <v>1411</v>
      </c>
      <c r="E1751" s="41" t="s">
        <v>1372</v>
      </c>
      <c r="F1751" s="41" t="s">
        <v>215</v>
      </c>
      <c r="G1751" s="21" t="str">
        <f>VLOOKUP(D1751,[6]成飞半成品!$A:$B,2,0)</f>
        <v>斜横梁</v>
      </c>
      <c r="H1751" s="10" t="s">
        <v>154</v>
      </c>
      <c r="I1751" s="10">
        <v>60</v>
      </c>
      <c r="J1751" s="10" t="s">
        <v>2251</v>
      </c>
      <c r="K1751" s="10">
        <v>4</v>
      </c>
      <c r="L1751" s="10">
        <v>4</v>
      </c>
      <c r="M1751" s="14">
        <v>37</v>
      </c>
      <c r="N1751" s="14"/>
      <c r="O1751" s="55" t="s">
        <v>427</v>
      </c>
      <c r="Q1751" s="10">
        <v>180</v>
      </c>
      <c r="R1751" s="10">
        <v>90</v>
      </c>
      <c r="U1751" s="10">
        <v>180</v>
      </c>
      <c r="W1751" s="14">
        <v>1</v>
      </c>
      <c r="X1751" s="14">
        <v>4</v>
      </c>
      <c r="Y1751" s="79">
        <v>19</v>
      </c>
      <c r="Z1751" s="56" t="s">
        <v>26</v>
      </c>
      <c r="AA1751" s="14" t="s">
        <v>1078</v>
      </c>
    </row>
    <row r="1752" spans="1:27" ht="23.1" customHeight="1" x14ac:dyDescent="0.25">
      <c r="A1752" s="53" t="s">
        <v>1360</v>
      </c>
      <c r="B1752" s="10" t="s">
        <v>113</v>
      </c>
      <c r="C1752" s="10">
        <v>69</v>
      </c>
      <c r="D1752" s="10" t="s">
        <v>1371</v>
      </c>
      <c r="E1752" s="41" t="s">
        <v>1372</v>
      </c>
      <c r="F1752" s="41" t="s">
        <v>215</v>
      </c>
      <c r="G1752" s="21" t="str">
        <f>VLOOKUP(D1752,[6]成飞半成品!$A:$B,2,0)</f>
        <v>斜横梁</v>
      </c>
      <c r="H1752" s="10" t="s">
        <v>154</v>
      </c>
      <c r="I1752" s="10">
        <v>60</v>
      </c>
      <c r="J1752" s="10" t="s">
        <v>2251</v>
      </c>
      <c r="K1752" s="10">
        <v>4</v>
      </c>
      <c r="L1752" s="10">
        <v>4</v>
      </c>
      <c r="M1752" s="14">
        <v>37</v>
      </c>
      <c r="N1752" s="14">
        <v>37</v>
      </c>
      <c r="O1752" s="55" t="s">
        <v>427</v>
      </c>
      <c r="Q1752" s="10">
        <v>180</v>
      </c>
      <c r="R1752" s="10">
        <v>90</v>
      </c>
      <c r="U1752" s="10">
        <v>180</v>
      </c>
      <c r="W1752" s="14">
        <v>1</v>
      </c>
      <c r="X1752" s="14">
        <v>4</v>
      </c>
      <c r="Y1752" s="79">
        <v>19</v>
      </c>
      <c r="Z1752" s="56" t="s">
        <v>26</v>
      </c>
      <c r="AA1752" s="14" t="s">
        <v>1078</v>
      </c>
    </row>
    <row r="1753" spans="1:27" ht="23.1" customHeight="1" x14ac:dyDescent="0.25">
      <c r="A1753" s="53" t="s">
        <v>1360</v>
      </c>
      <c r="B1753" s="10" t="s">
        <v>113</v>
      </c>
      <c r="C1753" s="10">
        <v>91</v>
      </c>
      <c r="D1753" s="10" t="s">
        <v>254</v>
      </c>
      <c r="E1753" s="41" t="s">
        <v>1016</v>
      </c>
      <c r="F1753" s="41" t="s">
        <v>1016</v>
      </c>
      <c r="G1753" s="21" t="str">
        <f>VLOOKUP(D1753,[6]成飞半成品!$A:$B,2,0)</f>
        <v>9350-11140右侧上梁</v>
      </c>
      <c r="H1753" s="10" t="s">
        <v>375</v>
      </c>
      <c r="I1753" s="10">
        <v>40</v>
      </c>
      <c r="J1753" s="10" t="s">
        <v>2110</v>
      </c>
      <c r="K1753" s="10">
        <v>0.4</v>
      </c>
      <c r="L1753" s="10">
        <v>0.4</v>
      </c>
      <c r="M1753" s="14">
        <v>28</v>
      </c>
      <c r="N1753" s="14">
        <v>28</v>
      </c>
      <c r="O1753" s="55" t="s">
        <v>476</v>
      </c>
      <c r="Q1753" s="10">
        <v>3000</v>
      </c>
      <c r="R1753" s="10">
        <v>90</v>
      </c>
      <c r="U1753" s="10">
        <v>120</v>
      </c>
      <c r="W1753" s="14"/>
      <c r="Y1753" s="79">
        <v>20</v>
      </c>
      <c r="Z1753" s="56" t="s">
        <v>26</v>
      </c>
    </row>
    <row r="1754" spans="1:27" ht="23.1" customHeight="1" x14ac:dyDescent="0.25">
      <c r="A1754" s="53" t="s">
        <v>1360</v>
      </c>
      <c r="B1754" s="10" t="s">
        <v>113</v>
      </c>
      <c r="C1754" s="10">
        <v>119</v>
      </c>
      <c r="D1754" s="10" t="s">
        <v>787</v>
      </c>
      <c r="E1754" s="41" t="s">
        <v>788</v>
      </c>
      <c r="F1754" s="41" t="s">
        <v>788</v>
      </c>
      <c r="G1754" s="21" t="str">
        <f>VLOOKUP(D1754,[6]成飞半成品!$A:$B,2,0)</f>
        <v>根肋二段</v>
      </c>
      <c r="H1754" s="10" t="s">
        <v>123</v>
      </c>
      <c r="I1754" s="10">
        <v>60</v>
      </c>
      <c r="J1754" s="10" t="s">
        <v>2222</v>
      </c>
      <c r="K1754" s="10">
        <v>7</v>
      </c>
      <c r="L1754" s="10">
        <v>6</v>
      </c>
      <c r="M1754" s="14">
        <v>28</v>
      </c>
      <c r="N1754" s="14">
        <v>37</v>
      </c>
      <c r="O1754" s="55" t="s">
        <v>1218</v>
      </c>
      <c r="Q1754" s="10">
        <v>210</v>
      </c>
      <c r="R1754" s="10">
        <v>60</v>
      </c>
      <c r="T1754" s="10">
        <v>5</v>
      </c>
      <c r="U1754" s="10">
        <v>90</v>
      </c>
      <c r="W1754" s="14"/>
      <c r="Y1754" s="79">
        <v>26</v>
      </c>
      <c r="Z1754" s="56" t="s">
        <v>26</v>
      </c>
    </row>
    <row r="1755" spans="1:27" ht="23.1" customHeight="1" x14ac:dyDescent="0.25">
      <c r="A1755" s="53" t="s">
        <v>1360</v>
      </c>
      <c r="B1755" s="10" t="s">
        <v>113</v>
      </c>
      <c r="C1755" s="10">
        <v>119</v>
      </c>
      <c r="D1755" s="10" t="s">
        <v>787</v>
      </c>
      <c r="E1755" s="41" t="s">
        <v>788</v>
      </c>
      <c r="F1755" s="41" t="s">
        <v>788</v>
      </c>
      <c r="G1755" s="21" t="str">
        <f>VLOOKUP(D1755,[6]成飞半成品!$A:$B,2,0)</f>
        <v>根肋二段</v>
      </c>
      <c r="H1755" s="10" t="s">
        <v>123</v>
      </c>
      <c r="I1755" s="10">
        <v>60</v>
      </c>
      <c r="J1755" s="10" t="s">
        <v>2222</v>
      </c>
      <c r="L1755" s="10">
        <v>1</v>
      </c>
      <c r="M1755" s="14"/>
      <c r="N1755" s="14">
        <v>26</v>
      </c>
      <c r="O1755" s="55" t="s">
        <v>1218</v>
      </c>
      <c r="Q1755" s="10">
        <v>210</v>
      </c>
      <c r="R1755" s="10">
        <v>60</v>
      </c>
      <c r="T1755" s="10">
        <v>1</v>
      </c>
      <c r="U1755" s="10">
        <v>90</v>
      </c>
      <c r="W1755" s="14"/>
      <c r="Y1755" s="79">
        <v>4.5</v>
      </c>
      <c r="Z1755" s="56" t="s">
        <v>26</v>
      </c>
    </row>
    <row r="1756" spans="1:27" ht="23.1" customHeight="1" x14ac:dyDescent="0.25">
      <c r="A1756" s="53" t="s">
        <v>1360</v>
      </c>
      <c r="B1756" s="10" t="s">
        <v>113</v>
      </c>
      <c r="C1756" s="10">
        <v>121</v>
      </c>
      <c r="D1756" s="10" t="s">
        <v>173</v>
      </c>
      <c r="E1756" s="41" t="s">
        <v>1246</v>
      </c>
      <c r="F1756" s="41" t="s">
        <v>1246</v>
      </c>
      <c r="G1756" s="21" t="str">
        <f>VLOOKUP(D1756,[6]成飞半成品!$A:$B,2,0)</f>
        <v>根肋后段</v>
      </c>
      <c r="H1756" s="10" t="s">
        <v>154</v>
      </c>
      <c r="I1756" s="10">
        <v>50</v>
      </c>
      <c r="J1756" s="10" t="s">
        <v>2210</v>
      </c>
      <c r="K1756" s="10">
        <v>0.2</v>
      </c>
      <c r="L1756" s="10">
        <v>0.2</v>
      </c>
      <c r="M1756" s="14">
        <v>31</v>
      </c>
      <c r="N1756" s="14">
        <v>37</v>
      </c>
      <c r="O1756" s="55" t="s">
        <v>532</v>
      </c>
      <c r="Q1756" s="10">
        <v>2100</v>
      </c>
      <c r="R1756" s="10">
        <v>90</v>
      </c>
      <c r="U1756" s="10">
        <v>150</v>
      </c>
      <c r="W1756" s="14"/>
      <c r="X1756" s="14">
        <v>3</v>
      </c>
      <c r="Y1756" s="79">
        <v>10</v>
      </c>
      <c r="Z1756" s="56" t="s">
        <v>26</v>
      </c>
      <c r="AA1756" s="14" t="s">
        <v>1011</v>
      </c>
    </row>
    <row r="1757" spans="1:27" ht="23.1" customHeight="1" x14ac:dyDescent="0.25">
      <c r="A1757" s="53" t="s">
        <v>1360</v>
      </c>
      <c r="B1757" s="10" t="s">
        <v>113</v>
      </c>
      <c r="C1757" s="10">
        <v>121</v>
      </c>
      <c r="D1757" s="10" t="s">
        <v>288</v>
      </c>
      <c r="E1757" s="41" t="s">
        <v>1532</v>
      </c>
      <c r="F1757" s="41" t="s">
        <v>1532</v>
      </c>
      <c r="G1757" s="21" t="str">
        <f>VLOOKUP(D1757,[6]成飞半成品!$A:$B,2,0)</f>
        <v>9350-11140左侧上梁</v>
      </c>
      <c r="H1757" s="10" t="s">
        <v>250</v>
      </c>
      <c r="I1757" s="10">
        <v>50</v>
      </c>
      <c r="J1757" s="10" t="s">
        <v>2021</v>
      </c>
      <c r="K1757" s="10">
        <v>0.3</v>
      </c>
      <c r="L1757" s="10">
        <v>0.2</v>
      </c>
      <c r="M1757" s="14">
        <v>26</v>
      </c>
      <c r="N1757" s="14">
        <v>26</v>
      </c>
      <c r="O1757" s="55" t="s">
        <v>256</v>
      </c>
      <c r="Q1757" s="10">
        <v>3000</v>
      </c>
      <c r="R1757" s="10">
        <v>90</v>
      </c>
      <c r="U1757" s="10">
        <v>150</v>
      </c>
      <c r="W1757" s="14">
        <v>1</v>
      </c>
      <c r="X1757" s="14">
        <v>5</v>
      </c>
      <c r="Y1757" s="79">
        <v>17.5</v>
      </c>
      <c r="Z1757" s="56" t="s">
        <v>26</v>
      </c>
      <c r="AA1757" s="14" t="s">
        <v>943</v>
      </c>
    </row>
    <row r="1758" spans="1:27" ht="23.1" customHeight="1" x14ac:dyDescent="0.25">
      <c r="A1758" s="53" t="s">
        <v>1360</v>
      </c>
      <c r="B1758" s="10" t="s">
        <v>113</v>
      </c>
      <c r="C1758" s="10">
        <v>84</v>
      </c>
      <c r="D1758" s="10" t="s">
        <v>1045</v>
      </c>
      <c r="E1758" s="41" t="s">
        <v>409</v>
      </c>
      <c r="F1758" s="41" t="s">
        <v>409</v>
      </c>
      <c r="G1758" s="21" t="str">
        <f>VLOOKUP(D1758,[6]成飞半成品!$A:$B,2,0)</f>
        <v>接头</v>
      </c>
      <c r="H1758" s="10" t="s">
        <v>102</v>
      </c>
      <c r="I1758" s="10">
        <v>25</v>
      </c>
      <c r="J1758" s="10" t="s">
        <v>2113</v>
      </c>
      <c r="L1758" s="10">
        <v>5</v>
      </c>
      <c r="M1758" s="14">
        <v>37</v>
      </c>
      <c r="N1758" s="14">
        <v>37</v>
      </c>
      <c r="O1758" s="55" t="s">
        <v>596</v>
      </c>
      <c r="Q1758" s="10">
        <v>180</v>
      </c>
      <c r="R1758" s="10">
        <v>60</v>
      </c>
      <c r="T1758" s="10">
        <v>5</v>
      </c>
      <c r="U1758" s="10">
        <v>120</v>
      </c>
      <c r="W1758" s="14">
        <v>1</v>
      </c>
      <c r="Y1758" s="79">
        <v>22</v>
      </c>
      <c r="Z1758" s="56" t="s">
        <v>26</v>
      </c>
      <c r="AA1758" s="14" t="s">
        <v>1412</v>
      </c>
    </row>
    <row r="1759" spans="1:27" ht="23.1" customHeight="1" x14ac:dyDescent="0.25">
      <c r="A1759" s="53" t="s">
        <v>1360</v>
      </c>
      <c r="B1759" s="10" t="s">
        <v>113</v>
      </c>
      <c r="C1759" s="10">
        <v>84</v>
      </c>
      <c r="D1759" s="10" t="s">
        <v>1045</v>
      </c>
      <c r="E1759" s="41" t="s">
        <v>409</v>
      </c>
      <c r="F1759" s="41" t="s">
        <v>409</v>
      </c>
      <c r="G1759" s="21" t="str">
        <f>VLOOKUP(D1759,[6]成飞半成品!$A:$B,2,0)</f>
        <v>接头</v>
      </c>
      <c r="H1759" s="10" t="s">
        <v>102</v>
      </c>
      <c r="I1759" s="10">
        <v>25</v>
      </c>
      <c r="J1759" s="10" t="s">
        <v>2113</v>
      </c>
      <c r="L1759" s="10">
        <v>1</v>
      </c>
      <c r="M1759" s="14">
        <v>37</v>
      </c>
      <c r="N1759" s="14"/>
      <c r="O1759" s="55" t="s">
        <v>596</v>
      </c>
      <c r="Q1759" s="10">
        <v>180</v>
      </c>
      <c r="R1759" s="10">
        <v>60</v>
      </c>
      <c r="T1759" s="10">
        <v>1</v>
      </c>
      <c r="U1759" s="10">
        <v>120</v>
      </c>
      <c r="W1759" s="14"/>
      <c r="Y1759" s="79">
        <v>4</v>
      </c>
      <c r="Z1759" s="56" t="s">
        <v>26</v>
      </c>
    </row>
    <row r="1760" spans="1:27" ht="23.1" customHeight="1" x14ac:dyDescent="0.25">
      <c r="A1760" s="53" t="s">
        <v>1360</v>
      </c>
      <c r="B1760" s="10" t="s">
        <v>113</v>
      </c>
      <c r="C1760" s="10">
        <v>108</v>
      </c>
      <c r="D1760" s="10" t="s">
        <v>889</v>
      </c>
      <c r="E1760" s="41" t="s">
        <v>887</v>
      </c>
      <c r="F1760" s="41" t="s">
        <v>887</v>
      </c>
      <c r="G1760" s="21" t="str">
        <f>VLOOKUP(D1760,[6]成飞半成品!$A:$B,2,0)</f>
        <v>外侧梁</v>
      </c>
      <c r="H1760" s="10" t="s">
        <v>154</v>
      </c>
      <c r="I1760" s="10">
        <v>50</v>
      </c>
      <c r="J1760" s="10" t="s">
        <v>2238</v>
      </c>
      <c r="K1760" s="10">
        <v>0.5</v>
      </c>
      <c r="L1760" s="10">
        <v>0.5</v>
      </c>
      <c r="M1760" s="14">
        <v>28</v>
      </c>
      <c r="N1760" s="14"/>
      <c r="O1760" s="55" t="s">
        <v>159</v>
      </c>
      <c r="Q1760" s="10">
        <v>1920</v>
      </c>
      <c r="R1760" s="10">
        <v>60</v>
      </c>
      <c r="T1760" s="10">
        <v>1</v>
      </c>
      <c r="U1760" s="10">
        <v>90</v>
      </c>
      <c r="W1760" s="14">
        <v>1</v>
      </c>
      <c r="Y1760" s="79">
        <v>18.5</v>
      </c>
      <c r="Z1760" s="56" t="s">
        <v>13</v>
      </c>
    </row>
    <row r="1761" spans="1:28" ht="23.1" customHeight="1" x14ac:dyDescent="0.25">
      <c r="A1761" s="53" t="s">
        <v>1360</v>
      </c>
      <c r="B1761" s="10" t="s">
        <v>113</v>
      </c>
      <c r="C1761" s="10">
        <v>22</v>
      </c>
      <c r="D1761" s="47" t="s">
        <v>100</v>
      </c>
      <c r="E1761" s="41" t="s">
        <v>612</v>
      </c>
      <c r="F1761" s="41" t="s">
        <v>101</v>
      </c>
      <c r="G1761" s="21" t="str">
        <f>VLOOKUP(D1761,[6]成飞半成品!$A:$B,2,0)</f>
        <v>前梁一段</v>
      </c>
      <c r="H1761" s="10" t="s">
        <v>154</v>
      </c>
      <c r="I1761" s="10">
        <v>15</v>
      </c>
      <c r="J1761" s="10" t="s">
        <v>2248</v>
      </c>
      <c r="K1761" s="10">
        <v>0.3</v>
      </c>
      <c r="L1761" s="10">
        <v>0.5</v>
      </c>
      <c r="M1761" s="14">
        <v>26</v>
      </c>
      <c r="N1761" s="14"/>
      <c r="O1761" s="55" t="s">
        <v>613</v>
      </c>
      <c r="Q1761" s="10">
        <v>2100</v>
      </c>
      <c r="R1761" s="10">
        <v>180</v>
      </c>
      <c r="U1761" s="10">
        <v>180</v>
      </c>
      <c r="W1761" s="14"/>
      <c r="Y1761" s="79">
        <v>17.5</v>
      </c>
      <c r="Z1761" s="56" t="s">
        <v>49</v>
      </c>
    </row>
    <row r="1762" spans="1:28" ht="23.1" customHeight="1" x14ac:dyDescent="0.25">
      <c r="A1762" s="53" t="s">
        <v>1360</v>
      </c>
      <c r="B1762" s="10" t="s">
        <v>113</v>
      </c>
      <c r="C1762" s="10">
        <v>22</v>
      </c>
      <c r="D1762" s="47" t="s">
        <v>1403</v>
      </c>
      <c r="E1762" s="41" t="s">
        <v>612</v>
      </c>
      <c r="F1762" s="41" t="s">
        <v>101</v>
      </c>
      <c r="G1762" s="21" t="str">
        <f>VLOOKUP(D1762,[6]成飞半成品!$A:$B,2,0)</f>
        <v>前梁一段</v>
      </c>
      <c r="H1762" s="10" t="s">
        <v>154</v>
      </c>
      <c r="I1762" s="10">
        <v>15</v>
      </c>
      <c r="J1762" s="10" t="s">
        <v>2248</v>
      </c>
      <c r="L1762" s="10">
        <v>0.4</v>
      </c>
      <c r="M1762" s="14">
        <v>5</v>
      </c>
      <c r="N1762" s="14"/>
      <c r="O1762" s="55" t="s">
        <v>613</v>
      </c>
      <c r="Q1762" s="10">
        <v>2100</v>
      </c>
      <c r="R1762" s="10">
        <v>180</v>
      </c>
      <c r="T1762" s="10">
        <v>1</v>
      </c>
      <c r="U1762" s="10">
        <v>180</v>
      </c>
      <c r="W1762" s="14">
        <v>1</v>
      </c>
      <c r="X1762" s="14">
        <v>3</v>
      </c>
      <c r="Y1762" s="79">
        <v>23</v>
      </c>
      <c r="Z1762" s="56" t="s">
        <v>49</v>
      </c>
      <c r="AA1762" s="14" t="s">
        <v>1413</v>
      </c>
    </row>
    <row r="1763" spans="1:28" ht="23.1" customHeight="1" x14ac:dyDescent="0.25">
      <c r="A1763" s="53" t="s">
        <v>1360</v>
      </c>
      <c r="B1763" s="10" t="s">
        <v>113</v>
      </c>
      <c r="C1763" s="10">
        <v>55</v>
      </c>
      <c r="D1763" s="10" t="s">
        <v>1268</v>
      </c>
      <c r="E1763" s="41" t="s">
        <v>409</v>
      </c>
      <c r="F1763" s="41" t="s">
        <v>409</v>
      </c>
      <c r="G1763" s="21" t="str">
        <f>VLOOKUP(D1763,[6]成飞半成品!$A:$B,2,0)</f>
        <v>接头</v>
      </c>
      <c r="H1763" s="10" t="s">
        <v>102</v>
      </c>
      <c r="I1763" s="10">
        <v>20</v>
      </c>
      <c r="J1763" s="10" t="s">
        <v>2252</v>
      </c>
      <c r="L1763" s="10">
        <v>9</v>
      </c>
      <c r="M1763" s="14">
        <v>26</v>
      </c>
      <c r="N1763" s="14">
        <v>26</v>
      </c>
      <c r="O1763" s="55" t="s">
        <v>596</v>
      </c>
      <c r="Q1763" s="10">
        <v>10</v>
      </c>
      <c r="W1763" s="14">
        <v>1</v>
      </c>
      <c r="Y1763" s="79">
        <v>1.5</v>
      </c>
      <c r="Z1763" s="56" t="s">
        <v>18</v>
      </c>
    </row>
    <row r="1764" spans="1:28" ht="23.1" customHeight="1" x14ac:dyDescent="0.25">
      <c r="A1764" s="53" t="s">
        <v>1360</v>
      </c>
      <c r="B1764" s="10" t="s">
        <v>113</v>
      </c>
      <c r="C1764" s="10">
        <v>55</v>
      </c>
      <c r="D1764" s="10" t="s">
        <v>1268</v>
      </c>
      <c r="E1764" s="41" t="s">
        <v>409</v>
      </c>
      <c r="F1764" s="41" t="s">
        <v>409</v>
      </c>
      <c r="G1764" s="21" t="str">
        <f>VLOOKUP(D1764,[6]成飞半成品!$A:$B,2,0)</f>
        <v>接头</v>
      </c>
      <c r="H1764" s="10" t="s">
        <v>102</v>
      </c>
      <c r="I1764" s="10">
        <v>25</v>
      </c>
      <c r="J1764" s="10" t="s">
        <v>2208</v>
      </c>
      <c r="L1764" s="10">
        <v>9</v>
      </c>
      <c r="M1764" s="14">
        <v>26</v>
      </c>
      <c r="N1764" s="14">
        <v>26</v>
      </c>
      <c r="O1764" s="55" t="s">
        <v>596</v>
      </c>
      <c r="Q1764" s="10">
        <v>70</v>
      </c>
      <c r="U1764" s="10">
        <v>60</v>
      </c>
      <c r="W1764" s="14">
        <v>1</v>
      </c>
      <c r="Y1764" s="79">
        <v>11.5</v>
      </c>
      <c r="Z1764" s="56" t="s">
        <v>18</v>
      </c>
    </row>
    <row r="1765" spans="1:28" ht="23.1" customHeight="1" x14ac:dyDescent="0.25">
      <c r="A1765" s="53" t="s">
        <v>1360</v>
      </c>
      <c r="B1765" s="10" t="s">
        <v>113</v>
      </c>
      <c r="C1765" s="10">
        <v>55</v>
      </c>
      <c r="D1765" s="10" t="s">
        <v>1268</v>
      </c>
      <c r="E1765" s="41" t="s">
        <v>409</v>
      </c>
      <c r="F1765" s="41" t="s">
        <v>409</v>
      </c>
      <c r="G1765" s="21" t="str">
        <f>VLOOKUP(D1765,[6]成飞半成品!$A:$B,2,0)</f>
        <v>接头</v>
      </c>
      <c r="H1765" s="10" t="s">
        <v>102</v>
      </c>
      <c r="I1765" s="10">
        <v>30</v>
      </c>
      <c r="J1765" s="10" t="s">
        <v>2058</v>
      </c>
      <c r="K1765" s="10">
        <v>2</v>
      </c>
      <c r="L1765" s="10">
        <v>2</v>
      </c>
      <c r="M1765" s="14">
        <v>9</v>
      </c>
      <c r="N1765" s="14"/>
      <c r="O1765" s="55" t="s">
        <v>596</v>
      </c>
      <c r="Q1765" s="10">
        <v>20</v>
      </c>
      <c r="U1765" s="10">
        <v>60</v>
      </c>
      <c r="W1765" s="14">
        <v>1</v>
      </c>
      <c r="Y1765" s="79">
        <v>1.7</v>
      </c>
      <c r="Z1765" s="56" t="s">
        <v>18</v>
      </c>
    </row>
    <row r="1766" spans="1:28" ht="23.1" customHeight="1" x14ac:dyDescent="0.25">
      <c r="A1766" s="53" t="s">
        <v>1360</v>
      </c>
      <c r="B1766" s="10" t="s">
        <v>113</v>
      </c>
      <c r="C1766" s="10">
        <v>107</v>
      </c>
      <c r="D1766" s="10" t="s">
        <v>1275</v>
      </c>
      <c r="E1766" s="41" t="s">
        <v>215</v>
      </c>
      <c r="F1766" s="41" t="s">
        <v>215</v>
      </c>
      <c r="G1766" s="21" t="str">
        <f>VLOOKUP(D1766,[6]成飞半成品!$A:$B,2,0)</f>
        <v>口盖</v>
      </c>
      <c r="H1766" s="10" t="s">
        <v>154</v>
      </c>
      <c r="I1766" s="10">
        <v>35</v>
      </c>
      <c r="J1766" s="10" t="s">
        <v>2073</v>
      </c>
      <c r="K1766" s="10">
        <v>4</v>
      </c>
      <c r="L1766" s="10">
        <v>1</v>
      </c>
      <c r="M1766" s="14">
        <v>26</v>
      </c>
      <c r="N1766" s="14"/>
      <c r="O1766" s="55" t="s">
        <v>1414</v>
      </c>
      <c r="Q1766" s="10">
        <v>150</v>
      </c>
      <c r="T1766" s="10">
        <v>1</v>
      </c>
      <c r="U1766" s="10">
        <v>60</v>
      </c>
      <c r="W1766" s="14"/>
      <c r="Y1766" s="79">
        <v>2.5</v>
      </c>
      <c r="Z1766" s="56" t="s">
        <v>13</v>
      </c>
    </row>
    <row r="1767" spans="1:28" ht="23.1" customHeight="1" x14ac:dyDescent="0.25">
      <c r="A1767" s="53" t="s">
        <v>1360</v>
      </c>
      <c r="B1767" s="10" t="s">
        <v>113</v>
      </c>
      <c r="C1767" s="10">
        <v>107</v>
      </c>
      <c r="D1767" s="10" t="s">
        <v>1415</v>
      </c>
      <c r="E1767" s="41" t="s">
        <v>215</v>
      </c>
      <c r="F1767" s="41" t="s">
        <v>215</v>
      </c>
      <c r="G1767" s="21" t="str">
        <f>VLOOKUP(D1767,[6]成飞半成品!$A:$B,2,0)</f>
        <v>口盖</v>
      </c>
      <c r="H1767" s="10" t="s">
        <v>154</v>
      </c>
      <c r="I1767" s="10">
        <v>35</v>
      </c>
      <c r="J1767" s="10" t="s">
        <v>2073</v>
      </c>
      <c r="K1767" s="10">
        <v>10</v>
      </c>
      <c r="L1767" s="10">
        <v>5</v>
      </c>
      <c r="M1767" s="14">
        <v>26</v>
      </c>
      <c r="N1767" s="14">
        <v>26</v>
      </c>
      <c r="O1767" s="55" t="s">
        <v>1416</v>
      </c>
      <c r="Q1767" s="10">
        <v>150</v>
      </c>
      <c r="T1767" s="10">
        <v>5</v>
      </c>
      <c r="U1767" s="10">
        <v>60</v>
      </c>
      <c r="W1767" s="14">
        <v>1</v>
      </c>
      <c r="Y1767" s="79">
        <v>13.5</v>
      </c>
      <c r="Z1767" s="56" t="s">
        <v>13</v>
      </c>
    </row>
    <row r="1768" spans="1:28" ht="23.1" customHeight="1" x14ac:dyDescent="0.25">
      <c r="A1768" s="53" t="s">
        <v>1360</v>
      </c>
      <c r="B1768" s="10" t="s">
        <v>113</v>
      </c>
      <c r="C1768" s="10">
        <v>108</v>
      </c>
      <c r="D1768" s="10" t="s">
        <v>886</v>
      </c>
      <c r="E1768" s="41" t="s">
        <v>887</v>
      </c>
      <c r="F1768" s="41" t="s">
        <v>887</v>
      </c>
      <c r="G1768" s="21" t="str">
        <f>VLOOKUP(D1768,[6]成飞半成品!$A:$B,2,0)</f>
        <v>外侧梁</v>
      </c>
      <c r="H1768" s="10" t="s">
        <v>154</v>
      </c>
      <c r="I1768" s="10">
        <v>50</v>
      </c>
      <c r="J1768" s="10" t="s">
        <v>2238</v>
      </c>
      <c r="K1768" s="10">
        <v>0.4</v>
      </c>
      <c r="L1768" s="10">
        <v>0.5</v>
      </c>
      <c r="M1768" s="14">
        <v>26</v>
      </c>
      <c r="N1768" s="14"/>
      <c r="O1768" s="55" t="s">
        <v>159</v>
      </c>
      <c r="Q1768" s="10">
        <v>1920</v>
      </c>
      <c r="R1768" s="10">
        <v>60</v>
      </c>
      <c r="U1768" s="10">
        <v>90</v>
      </c>
      <c r="W1768" s="14"/>
      <c r="Y1768" s="79">
        <v>16</v>
      </c>
      <c r="Z1768" s="56" t="s">
        <v>13</v>
      </c>
    </row>
    <row r="1769" spans="1:28" ht="23.1" customHeight="1" x14ac:dyDescent="0.25">
      <c r="A1769" s="53" t="s">
        <v>1360</v>
      </c>
      <c r="B1769" s="10" t="s">
        <v>113</v>
      </c>
      <c r="C1769" s="10">
        <v>57</v>
      </c>
      <c r="D1769" s="10" t="s">
        <v>1031</v>
      </c>
      <c r="E1769" s="41" t="s">
        <v>1032</v>
      </c>
      <c r="F1769" s="41" t="s">
        <v>1032</v>
      </c>
      <c r="G1769" s="21" t="str">
        <f>VLOOKUP(D1769,[6]成飞半成品!$A:$B,2,0)</f>
        <v>前上大梁（左）</v>
      </c>
      <c r="H1769" s="10" t="s">
        <v>107</v>
      </c>
      <c r="I1769" s="10">
        <v>30</v>
      </c>
      <c r="J1769" s="10" t="s">
        <v>2242</v>
      </c>
      <c r="K1769" s="10">
        <v>2</v>
      </c>
      <c r="L1769" s="10">
        <v>3</v>
      </c>
      <c r="M1769" s="14">
        <v>26</v>
      </c>
      <c r="N1769" s="14">
        <v>5</v>
      </c>
      <c r="O1769" s="55" t="s">
        <v>1043</v>
      </c>
      <c r="Q1769" s="10">
        <v>220</v>
      </c>
      <c r="U1769" s="10">
        <v>90</v>
      </c>
      <c r="W1769" s="14"/>
      <c r="Y1769" s="79">
        <v>11</v>
      </c>
      <c r="Z1769" s="56" t="s">
        <v>0</v>
      </c>
    </row>
    <row r="1770" spans="1:28" ht="23.1" customHeight="1" x14ac:dyDescent="0.25">
      <c r="A1770" s="53" t="s">
        <v>1360</v>
      </c>
      <c r="B1770" s="10" t="s">
        <v>113</v>
      </c>
      <c r="C1770" s="10">
        <v>56</v>
      </c>
      <c r="D1770" s="10" t="s">
        <v>1397</v>
      </c>
      <c r="E1770" s="41" t="s">
        <v>1398</v>
      </c>
      <c r="F1770" s="41" t="s">
        <v>1398</v>
      </c>
      <c r="G1770" s="21" t="str">
        <f>VLOOKUP(D1770,[6]成飞半成品!$A:$B,2,0)</f>
        <v>受剪接头</v>
      </c>
      <c r="H1770" s="10" t="s">
        <v>118</v>
      </c>
      <c r="I1770" s="10">
        <v>20</v>
      </c>
      <c r="J1770" s="10" t="s">
        <v>1936</v>
      </c>
      <c r="L1770" s="10">
        <v>4</v>
      </c>
      <c r="M1770" s="14">
        <v>37</v>
      </c>
      <c r="N1770" s="14">
        <v>37</v>
      </c>
      <c r="O1770" s="55" t="s">
        <v>1417</v>
      </c>
      <c r="Q1770" s="10">
        <v>60</v>
      </c>
      <c r="U1770" s="10">
        <v>60</v>
      </c>
      <c r="W1770" s="14">
        <v>1</v>
      </c>
      <c r="Y1770" s="79">
        <v>5</v>
      </c>
      <c r="Z1770" s="56" t="s">
        <v>18</v>
      </c>
    </row>
    <row r="1771" spans="1:28" ht="23.1" customHeight="1" x14ac:dyDescent="0.25">
      <c r="A1771" s="53" t="s">
        <v>1360</v>
      </c>
      <c r="B1771" s="10" t="s">
        <v>113</v>
      </c>
      <c r="C1771" s="10">
        <v>56</v>
      </c>
      <c r="D1771" s="10" t="s">
        <v>1418</v>
      </c>
      <c r="E1771" s="41" t="s">
        <v>1398</v>
      </c>
      <c r="F1771" s="41" t="s">
        <v>1398</v>
      </c>
      <c r="G1771" s="21" t="str">
        <f>VLOOKUP(D1771,[6]成飞半成品!$A:$B,2,0)</f>
        <v>受剪接头</v>
      </c>
      <c r="H1771" s="10" t="s">
        <v>118</v>
      </c>
      <c r="I1771" s="10">
        <v>20</v>
      </c>
      <c r="J1771" s="10" t="s">
        <v>1936</v>
      </c>
      <c r="L1771" s="10">
        <v>4</v>
      </c>
      <c r="M1771" s="14">
        <v>37</v>
      </c>
      <c r="N1771" s="14">
        <v>37</v>
      </c>
      <c r="O1771" s="55" t="s">
        <v>1417</v>
      </c>
      <c r="Q1771" s="10">
        <v>60</v>
      </c>
      <c r="U1771" s="10">
        <v>60</v>
      </c>
      <c r="W1771" s="14">
        <v>1</v>
      </c>
      <c r="Y1771" s="79">
        <v>5</v>
      </c>
      <c r="Z1771" s="56" t="s">
        <v>18</v>
      </c>
    </row>
    <row r="1772" spans="1:28" ht="23.1" customHeight="1" x14ac:dyDescent="0.25">
      <c r="A1772" s="53" t="s">
        <v>1360</v>
      </c>
      <c r="B1772" s="10" t="s">
        <v>113</v>
      </c>
      <c r="C1772" s="10">
        <v>77</v>
      </c>
      <c r="D1772" s="10" t="s">
        <v>727</v>
      </c>
      <c r="E1772" s="41" t="s">
        <v>625</v>
      </c>
      <c r="F1772" s="41" t="s">
        <v>625</v>
      </c>
      <c r="G1772" s="21" t="str">
        <f>VLOOKUP(D1772,[6]成飞半成品!$A:$B,2,0)</f>
        <v>支架</v>
      </c>
      <c r="H1772" s="10" t="s">
        <v>250</v>
      </c>
      <c r="I1772" s="10">
        <v>50</v>
      </c>
      <c r="J1772" s="10" t="s">
        <v>2032</v>
      </c>
      <c r="L1772" s="10">
        <v>10</v>
      </c>
      <c r="M1772" s="14">
        <v>28</v>
      </c>
      <c r="N1772" s="14">
        <v>26</v>
      </c>
      <c r="O1772" s="55" t="s">
        <v>247</v>
      </c>
      <c r="Q1772" s="10">
        <v>60</v>
      </c>
      <c r="U1772" s="10">
        <v>60</v>
      </c>
      <c r="W1772" s="14">
        <v>1</v>
      </c>
      <c r="X1772" s="14">
        <v>2</v>
      </c>
      <c r="Y1772" s="79">
        <v>13</v>
      </c>
      <c r="Z1772" s="56" t="s">
        <v>24</v>
      </c>
      <c r="AA1772" s="14" t="s">
        <v>929</v>
      </c>
      <c r="AB1772" s="25" t="s">
        <v>238</v>
      </c>
    </row>
    <row r="1773" spans="1:28" ht="23.1" customHeight="1" x14ac:dyDescent="0.25">
      <c r="A1773" s="53" t="s">
        <v>1360</v>
      </c>
      <c r="B1773" s="10" t="s">
        <v>113</v>
      </c>
      <c r="C1773" s="10">
        <v>77</v>
      </c>
      <c r="D1773" s="10" t="s">
        <v>1383</v>
      </c>
      <c r="E1773" s="41" t="s">
        <v>1384</v>
      </c>
      <c r="F1773" s="41" t="s">
        <v>1384</v>
      </c>
      <c r="G1773" s="21" t="str">
        <f>VLOOKUP(D1773,[6]成飞半成品!$A:$B,2,0)</f>
        <v>角材</v>
      </c>
      <c r="H1773" s="10" t="s">
        <v>102</v>
      </c>
      <c r="I1773" s="10">
        <v>10</v>
      </c>
      <c r="J1773" s="10" t="s">
        <v>2241</v>
      </c>
      <c r="K1773" s="10">
        <v>9</v>
      </c>
      <c r="L1773" s="10">
        <v>9</v>
      </c>
      <c r="M1773" s="14">
        <v>28</v>
      </c>
      <c r="N1773" s="14">
        <v>28</v>
      </c>
      <c r="O1773" s="55" t="s">
        <v>295</v>
      </c>
      <c r="Q1773" s="10">
        <v>25</v>
      </c>
      <c r="U1773" s="10">
        <v>60</v>
      </c>
      <c r="W1773" s="14"/>
      <c r="Y1773" s="79">
        <v>3.8</v>
      </c>
      <c r="Z1773" s="56" t="s">
        <v>12</v>
      </c>
    </row>
    <row r="1774" spans="1:28" ht="23.1" customHeight="1" x14ac:dyDescent="0.25">
      <c r="A1774" s="53" t="s">
        <v>1360</v>
      </c>
      <c r="B1774" s="10" t="s">
        <v>113</v>
      </c>
      <c r="C1774" s="10">
        <v>77</v>
      </c>
      <c r="D1774" s="65" t="s">
        <v>1842</v>
      </c>
      <c r="E1774" s="41" t="s">
        <v>1384</v>
      </c>
      <c r="F1774" s="41" t="s">
        <v>1384</v>
      </c>
      <c r="G1774" s="21" t="str">
        <f>VLOOKUP(D1774,[6]成飞半成品!$A:$B,2,0)</f>
        <v>角材</v>
      </c>
      <c r="H1774" s="10" t="s">
        <v>102</v>
      </c>
      <c r="I1774" s="10">
        <v>10</v>
      </c>
      <c r="J1774" s="10" t="s">
        <v>2241</v>
      </c>
      <c r="K1774" s="10">
        <v>23</v>
      </c>
      <c r="L1774" s="10">
        <v>23</v>
      </c>
      <c r="M1774" s="14">
        <v>28</v>
      </c>
      <c r="N1774" s="14">
        <v>28</v>
      </c>
      <c r="O1774" s="55" t="s">
        <v>567</v>
      </c>
      <c r="Q1774" s="10">
        <v>25</v>
      </c>
      <c r="U1774" s="10">
        <v>60</v>
      </c>
      <c r="W1774" s="14"/>
      <c r="Y1774" s="79">
        <v>9.6</v>
      </c>
      <c r="Z1774" s="56" t="s">
        <v>12</v>
      </c>
    </row>
    <row r="1775" spans="1:28" ht="23.1" customHeight="1" x14ac:dyDescent="0.25">
      <c r="A1775" s="53" t="s">
        <v>1360</v>
      </c>
      <c r="B1775" s="10" t="s">
        <v>113</v>
      </c>
      <c r="C1775" s="10">
        <v>76</v>
      </c>
      <c r="D1775" s="10" t="s">
        <v>1383</v>
      </c>
      <c r="E1775" s="41" t="s">
        <v>1384</v>
      </c>
      <c r="F1775" s="41" t="s">
        <v>1384</v>
      </c>
      <c r="G1775" s="21" t="str">
        <f>VLOOKUP(D1775,[6]成飞半成品!$A:$B,2,0)</f>
        <v>角材</v>
      </c>
      <c r="H1775" s="10" t="s">
        <v>154</v>
      </c>
      <c r="I1775" s="10">
        <v>10</v>
      </c>
      <c r="J1775" s="10" t="s">
        <v>2241</v>
      </c>
      <c r="K1775" s="10">
        <v>20</v>
      </c>
      <c r="L1775" s="10">
        <v>23</v>
      </c>
      <c r="M1775" s="14">
        <v>28</v>
      </c>
      <c r="N1775" s="14">
        <v>31</v>
      </c>
      <c r="O1775" s="55" t="s">
        <v>393</v>
      </c>
      <c r="Q1775" s="10">
        <v>30</v>
      </c>
      <c r="U1775" s="10">
        <v>60</v>
      </c>
      <c r="W1775" s="14"/>
      <c r="Y1775" s="79">
        <v>11.5</v>
      </c>
      <c r="Z1775" s="56" t="s">
        <v>12</v>
      </c>
    </row>
    <row r="1776" spans="1:28" ht="23.1" customHeight="1" x14ac:dyDescent="0.25">
      <c r="A1776" s="53" t="s">
        <v>1360</v>
      </c>
      <c r="B1776" s="10" t="s">
        <v>113</v>
      </c>
      <c r="C1776" s="10">
        <v>78</v>
      </c>
      <c r="D1776" s="10" t="s">
        <v>194</v>
      </c>
      <c r="E1776" s="41" t="s">
        <v>133</v>
      </c>
      <c r="F1776" s="41" t="s">
        <v>133</v>
      </c>
      <c r="G1776" s="21" t="str">
        <f>VLOOKUP(D1776,[6]成飞半成品!$A:$B,2,0)</f>
        <v>摇臂</v>
      </c>
      <c r="H1776" s="10" t="s">
        <v>102</v>
      </c>
      <c r="I1776" s="10">
        <v>20</v>
      </c>
      <c r="J1776" s="10" t="s">
        <v>2234</v>
      </c>
      <c r="L1776" s="10">
        <v>0.5</v>
      </c>
      <c r="M1776" s="14">
        <v>28</v>
      </c>
      <c r="N1776" s="14"/>
      <c r="O1776" s="55" t="s">
        <v>234</v>
      </c>
      <c r="Q1776" s="10">
        <v>630</v>
      </c>
      <c r="R1776" s="10">
        <v>60</v>
      </c>
      <c r="U1776" s="10">
        <v>120</v>
      </c>
      <c r="W1776" s="14"/>
      <c r="Y1776" s="79">
        <v>5.3</v>
      </c>
      <c r="Z1776" s="56" t="s">
        <v>5</v>
      </c>
    </row>
    <row r="1777" spans="1:28" ht="23.1" customHeight="1" x14ac:dyDescent="0.25">
      <c r="A1777" s="53" t="s">
        <v>1360</v>
      </c>
      <c r="B1777" s="10" t="s">
        <v>113</v>
      </c>
      <c r="C1777" s="10">
        <v>9</v>
      </c>
      <c r="D1777" s="10" t="s">
        <v>1364</v>
      </c>
      <c r="E1777" s="41" t="s">
        <v>409</v>
      </c>
      <c r="F1777" s="41" t="s">
        <v>409</v>
      </c>
      <c r="G1777" s="21" t="str">
        <f>VLOOKUP(D1777,[6]成飞半成品!$A:$B,2,0)</f>
        <v>接头</v>
      </c>
      <c r="H1777" s="10" t="s">
        <v>102</v>
      </c>
      <c r="I1777" s="10">
        <v>10</v>
      </c>
      <c r="J1777" s="10" t="s">
        <v>1952</v>
      </c>
      <c r="L1777" s="10">
        <v>1</v>
      </c>
      <c r="M1777" s="14">
        <v>26</v>
      </c>
      <c r="N1777" s="14"/>
      <c r="O1777" s="55" t="s">
        <v>596</v>
      </c>
      <c r="Q1777" s="10">
        <v>40</v>
      </c>
      <c r="U1777" s="10">
        <v>60</v>
      </c>
      <c r="W1777" s="14">
        <v>1</v>
      </c>
      <c r="Y1777" s="79">
        <v>1.7</v>
      </c>
      <c r="Z1777" s="56" t="s">
        <v>23</v>
      </c>
      <c r="AA1777" s="14" t="s">
        <v>1269</v>
      </c>
      <c r="AB1777" s="14" t="s">
        <v>957</v>
      </c>
    </row>
    <row r="1778" spans="1:28" ht="23.1" customHeight="1" x14ac:dyDescent="0.25">
      <c r="A1778" s="53" t="s">
        <v>1360</v>
      </c>
      <c r="B1778" s="10" t="s">
        <v>113</v>
      </c>
      <c r="C1778" s="10">
        <v>9</v>
      </c>
      <c r="D1778" s="10" t="s">
        <v>1419</v>
      </c>
      <c r="E1778" s="41" t="s">
        <v>409</v>
      </c>
      <c r="F1778" s="41" t="s">
        <v>409</v>
      </c>
      <c r="G1778" s="21" t="str">
        <f>VLOOKUP(D1778,[6]成飞半成品!$A:$B,2,0)</f>
        <v>接头</v>
      </c>
      <c r="H1778" s="10" t="s">
        <v>102</v>
      </c>
      <c r="I1778" s="10">
        <v>10</v>
      </c>
      <c r="J1778" s="10" t="s">
        <v>1952</v>
      </c>
      <c r="L1778" s="10">
        <v>1</v>
      </c>
      <c r="M1778" s="14">
        <v>26</v>
      </c>
      <c r="N1778" s="14"/>
      <c r="O1778" s="55" t="s">
        <v>596</v>
      </c>
      <c r="Q1778" s="10">
        <v>40</v>
      </c>
      <c r="U1778" s="10">
        <v>60</v>
      </c>
      <c r="W1778" s="14">
        <v>1</v>
      </c>
      <c r="Y1778" s="79">
        <v>1.7</v>
      </c>
      <c r="Z1778" s="56" t="s">
        <v>23</v>
      </c>
      <c r="AA1778" s="14" t="s">
        <v>1269</v>
      </c>
      <c r="AB1778" s="14" t="s">
        <v>957</v>
      </c>
    </row>
    <row r="1779" spans="1:28" ht="23.1" customHeight="1" x14ac:dyDescent="0.25">
      <c r="A1779" s="53" t="s">
        <v>1360</v>
      </c>
      <c r="B1779" s="10" t="s">
        <v>113</v>
      </c>
      <c r="C1779" s="10">
        <v>9</v>
      </c>
      <c r="D1779" s="10" t="s">
        <v>1419</v>
      </c>
      <c r="E1779" s="41" t="s">
        <v>409</v>
      </c>
      <c r="F1779" s="41" t="s">
        <v>409</v>
      </c>
      <c r="G1779" s="21" t="str">
        <f>VLOOKUP(D1779,[6]成飞半成品!$A:$B,2,0)</f>
        <v>接头</v>
      </c>
      <c r="H1779" s="10" t="s">
        <v>102</v>
      </c>
      <c r="I1779" s="10">
        <v>15</v>
      </c>
      <c r="J1779" s="10" t="s">
        <v>2205</v>
      </c>
      <c r="L1779" s="10">
        <v>1</v>
      </c>
      <c r="M1779" s="14">
        <v>26</v>
      </c>
      <c r="N1779" s="14"/>
      <c r="O1779" s="55" t="s">
        <v>596</v>
      </c>
      <c r="Q1779" s="10">
        <v>90</v>
      </c>
      <c r="U1779" s="10">
        <v>90</v>
      </c>
      <c r="W1779" s="14">
        <v>1</v>
      </c>
      <c r="X1779" s="14">
        <v>2</v>
      </c>
      <c r="Y1779" s="79">
        <v>5</v>
      </c>
      <c r="Z1779" s="56" t="s">
        <v>23</v>
      </c>
    </row>
    <row r="1780" spans="1:28" ht="23.1" customHeight="1" x14ac:dyDescent="0.25">
      <c r="A1780" s="53" t="s">
        <v>1360</v>
      </c>
      <c r="B1780" s="10" t="s">
        <v>113</v>
      </c>
      <c r="C1780" s="10">
        <v>16</v>
      </c>
      <c r="D1780" s="10" t="s">
        <v>1420</v>
      </c>
      <c r="E1780" s="41" t="s">
        <v>1421</v>
      </c>
      <c r="F1780" s="41" t="s">
        <v>1421</v>
      </c>
      <c r="G1780" s="21" t="str">
        <f>VLOOKUP(D1780,[6]成飞半成品!$A:$B,2,0)</f>
        <v>第5隔板</v>
      </c>
      <c r="H1780" s="10" t="s">
        <v>123</v>
      </c>
      <c r="I1780" s="10">
        <v>5</v>
      </c>
      <c r="J1780" s="10" t="s">
        <v>2381</v>
      </c>
      <c r="K1780" s="10">
        <v>4</v>
      </c>
      <c r="L1780" s="10">
        <v>8</v>
      </c>
      <c r="M1780" s="14">
        <v>26</v>
      </c>
      <c r="N1780" s="14">
        <v>26</v>
      </c>
      <c r="O1780" s="55" t="s">
        <v>597</v>
      </c>
      <c r="Q1780" s="10">
        <v>90</v>
      </c>
      <c r="U1780" s="10">
        <v>60</v>
      </c>
      <c r="W1780" s="14">
        <v>1</v>
      </c>
      <c r="Y1780" s="79">
        <v>13</v>
      </c>
      <c r="Z1780" s="56" t="s">
        <v>71</v>
      </c>
    </row>
    <row r="1781" spans="1:28" ht="23.1" customHeight="1" x14ac:dyDescent="0.25">
      <c r="A1781" s="53" t="s">
        <v>1360</v>
      </c>
      <c r="B1781" s="10" t="s">
        <v>113</v>
      </c>
      <c r="C1781" s="10">
        <v>11</v>
      </c>
      <c r="D1781" s="25" t="s">
        <v>2551</v>
      </c>
      <c r="E1781" s="41" t="s">
        <v>1410</v>
      </c>
      <c r="F1781" s="41" t="e">
        <v>#N/A</v>
      </c>
      <c r="G1781" s="21" t="str">
        <f>VLOOKUP(D1781,[6]成飞半成品!$A:$B,2,0)</f>
        <v>工装</v>
      </c>
      <c r="H1781" s="10" t="s">
        <v>102</v>
      </c>
      <c r="I1781" s="10">
        <v>10</v>
      </c>
      <c r="K1781" s="10">
        <v>16</v>
      </c>
      <c r="L1781" s="10">
        <v>16</v>
      </c>
      <c r="M1781" s="14">
        <v>26</v>
      </c>
      <c r="N1781" s="14">
        <v>26</v>
      </c>
      <c r="O1781" s="55" t="s">
        <v>108</v>
      </c>
      <c r="W1781" s="14"/>
      <c r="X1781" s="14">
        <v>15</v>
      </c>
      <c r="Y1781" s="79">
        <v>15</v>
      </c>
      <c r="Z1781" s="56" t="s">
        <v>71</v>
      </c>
      <c r="AA1781" s="14" t="s">
        <v>1422</v>
      </c>
      <c r="AB1781" s="25" t="s">
        <v>238</v>
      </c>
    </row>
    <row r="1782" spans="1:28" ht="23.1" customHeight="1" x14ac:dyDescent="0.25">
      <c r="A1782" s="53" t="s">
        <v>1360</v>
      </c>
      <c r="B1782" s="10" t="s">
        <v>113</v>
      </c>
      <c r="C1782" s="10">
        <v>78</v>
      </c>
      <c r="D1782" s="10" t="s">
        <v>1423</v>
      </c>
      <c r="E1782" s="41" t="s">
        <v>1424</v>
      </c>
      <c r="F1782" s="41" t="s">
        <v>1424</v>
      </c>
      <c r="G1782" s="21" t="str">
        <f>VLOOKUP(D1782,[6]成飞半成品!$A:$B,2,0)</f>
        <v>9480梁（右件）</v>
      </c>
      <c r="H1782" s="10" t="s">
        <v>300</v>
      </c>
      <c r="I1782" s="10">
        <v>10</v>
      </c>
      <c r="J1782" s="10" t="s">
        <v>1916</v>
      </c>
      <c r="K1782" s="10">
        <v>2</v>
      </c>
      <c r="L1782" s="10">
        <v>2</v>
      </c>
      <c r="M1782" s="14">
        <v>31</v>
      </c>
      <c r="N1782" s="14">
        <v>31</v>
      </c>
      <c r="O1782" s="55" t="s">
        <v>1425</v>
      </c>
      <c r="Q1782" s="10">
        <v>120</v>
      </c>
      <c r="R1782" s="10">
        <v>60</v>
      </c>
      <c r="T1782" s="10">
        <v>2</v>
      </c>
      <c r="U1782" s="10">
        <v>60</v>
      </c>
      <c r="W1782" s="14">
        <v>1</v>
      </c>
      <c r="Y1782" s="79">
        <v>7</v>
      </c>
      <c r="Z1782" s="56" t="s">
        <v>5</v>
      </c>
    </row>
    <row r="1783" spans="1:28" ht="23.1" customHeight="1" x14ac:dyDescent="0.25">
      <c r="A1783" s="53" t="s">
        <v>1360</v>
      </c>
      <c r="B1783" s="10" t="s">
        <v>113</v>
      </c>
      <c r="C1783" s="10">
        <v>78</v>
      </c>
      <c r="D1783" s="10" t="s">
        <v>1423</v>
      </c>
      <c r="E1783" s="41" t="s">
        <v>1424</v>
      </c>
      <c r="F1783" s="41" t="s">
        <v>1424</v>
      </c>
      <c r="G1783" s="21" t="str">
        <f>VLOOKUP(D1783,[6]成飞半成品!$A:$B,2,0)</f>
        <v>9480梁（右件）</v>
      </c>
      <c r="H1783" s="10" t="s">
        <v>300</v>
      </c>
      <c r="I1783" s="10">
        <v>15</v>
      </c>
      <c r="J1783" s="10" t="s">
        <v>1926</v>
      </c>
      <c r="K1783" s="10">
        <v>2</v>
      </c>
      <c r="L1783" s="10">
        <v>2</v>
      </c>
      <c r="M1783" s="14">
        <v>26</v>
      </c>
      <c r="N1783" s="14">
        <v>26</v>
      </c>
      <c r="O1783" s="55" t="s">
        <v>1425</v>
      </c>
      <c r="Q1783" s="10">
        <v>90</v>
      </c>
      <c r="R1783" s="10">
        <v>60</v>
      </c>
      <c r="T1783" s="10">
        <v>2</v>
      </c>
      <c r="U1783" s="10">
        <v>60</v>
      </c>
      <c r="W1783" s="14">
        <v>1</v>
      </c>
      <c r="Y1783" s="79">
        <v>6</v>
      </c>
      <c r="Z1783" s="56" t="s">
        <v>5</v>
      </c>
    </row>
    <row r="1784" spans="1:28" ht="23.1" customHeight="1" x14ac:dyDescent="0.25">
      <c r="A1784" s="53" t="s">
        <v>1360</v>
      </c>
      <c r="B1784" s="10" t="s">
        <v>113</v>
      </c>
      <c r="C1784" s="10">
        <v>17</v>
      </c>
      <c r="D1784" s="10" t="s">
        <v>1285</v>
      </c>
      <c r="E1784" s="41" t="s">
        <v>1283</v>
      </c>
      <c r="F1784" s="41" t="s">
        <v>1283</v>
      </c>
      <c r="G1784" s="21" t="str">
        <f>VLOOKUP(D1784,[6]成飞半成品!$A:$B,2,0)</f>
        <v>9框前支柱</v>
      </c>
      <c r="H1784" s="10" t="s">
        <v>102</v>
      </c>
      <c r="I1784" s="10">
        <v>35</v>
      </c>
      <c r="J1784" s="10" t="s">
        <v>2253</v>
      </c>
      <c r="K1784" s="10">
        <v>1</v>
      </c>
      <c r="L1784" s="10">
        <v>1</v>
      </c>
      <c r="M1784" s="14">
        <v>28</v>
      </c>
      <c r="N1784" s="14"/>
      <c r="O1784" s="55" t="s">
        <v>596</v>
      </c>
      <c r="Q1784" s="10">
        <v>180</v>
      </c>
      <c r="U1784" s="10">
        <v>90</v>
      </c>
      <c r="W1784" s="14">
        <v>1</v>
      </c>
      <c r="Y1784" s="79">
        <v>4.5</v>
      </c>
      <c r="Z1784" s="56" t="s">
        <v>14</v>
      </c>
      <c r="AA1784" s="14" t="s">
        <v>1269</v>
      </c>
    </row>
    <row r="1785" spans="1:28" ht="23.1" customHeight="1" x14ac:dyDescent="0.25">
      <c r="A1785" s="53" t="s">
        <v>1360</v>
      </c>
      <c r="B1785" s="10" t="s">
        <v>113</v>
      </c>
      <c r="C1785" s="10">
        <v>17</v>
      </c>
      <c r="D1785" s="10" t="s">
        <v>1285</v>
      </c>
      <c r="E1785" s="41" t="s">
        <v>1283</v>
      </c>
      <c r="F1785" s="41" t="s">
        <v>1283</v>
      </c>
      <c r="G1785" s="21" t="str">
        <f>VLOOKUP(D1785,[6]成飞半成品!$A:$B,2,0)</f>
        <v>9框前支柱</v>
      </c>
      <c r="H1785" s="10" t="s">
        <v>102</v>
      </c>
      <c r="I1785" s="10">
        <v>40</v>
      </c>
      <c r="J1785" s="10" t="s">
        <v>2254</v>
      </c>
      <c r="L1785" s="10">
        <v>1</v>
      </c>
      <c r="M1785" s="14">
        <v>37</v>
      </c>
      <c r="N1785" s="14"/>
      <c r="O1785" s="55" t="s">
        <v>596</v>
      </c>
      <c r="Q1785" s="10">
        <v>150</v>
      </c>
      <c r="U1785" s="10">
        <v>60</v>
      </c>
      <c r="W1785" s="14">
        <v>1</v>
      </c>
      <c r="X1785" s="14">
        <v>7</v>
      </c>
      <c r="Y1785" s="79">
        <v>10.5</v>
      </c>
      <c r="Z1785" s="56" t="s">
        <v>14</v>
      </c>
      <c r="AA1785" s="14" t="s">
        <v>1269</v>
      </c>
    </row>
    <row r="1786" spans="1:28" ht="23.1" customHeight="1" x14ac:dyDescent="0.25">
      <c r="A1786" s="53" t="s">
        <v>1360</v>
      </c>
      <c r="B1786" s="10" t="s">
        <v>113</v>
      </c>
      <c r="C1786" s="10">
        <v>21</v>
      </c>
      <c r="D1786" s="10" t="s">
        <v>321</v>
      </c>
      <c r="E1786" s="41" t="s">
        <v>322</v>
      </c>
      <c r="F1786" s="41" t="s">
        <v>322</v>
      </c>
      <c r="G1786" s="21" t="str">
        <f>VLOOKUP(D1786,[6]成飞半成品!$A:$B,2,0)</f>
        <v>10860框</v>
      </c>
      <c r="H1786" s="10" t="s">
        <v>323</v>
      </c>
      <c r="I1786" s="10">
        <v>55</v>
      </c>
      <c r="J1786" s="10" t="s">
        <v>2004</v>
      </c>
      <c r="K1786" s="10">
        <v>0.9</v>
      </c>
      <c r="L1786" s="10">
        <v>0.9</v>
      </c>
      <c r="M1786" s="14">
        <v>26</v>
      </c>
      <c r="N1786" s="14"/>
      <c r="O1786" s="55" t="s">
        <v>801</v>
      </c>
      <c r="Q1786" s="10">
        <v>660</v>
      </c>
      <c r="R1786" s="10">
        <v>120</v>
      </c>
      <c r="U1786" s="10">
        <v>180</v>
      </c>
      <c r="W1786" s="14"/>
      <c r="Y1786" s="79">
        <v>9.9</v>
      </c>
      <c r="Z1786" s="56" t="s">
        <v>49</v>
      </c>
    </row>
    <row r="1787" spans="1:28" ht="23.1" customHeight="1" x14ac:dyDescent="0.25">
      <c r="A1787" s="53" t="s">
        <v>1360</v>
      </c>
      <c r="B1787" s="10" t="s">
        <v>113</v>
      </c>
      <c r="C1787" s="10">
        <v>21</v>
      </c>
      <c r="D1787" s="10" t="s">
        <v>321</v>
      </c>
      <c r="E1787" s="41" t="s">
        <v>322</v>
      </c>
      <c r="F1787" s="41" t="s">
        <v>322</v>
      </c>
      <c r="G1787" s="21" t="str">
        <f>VLOOKUP(D1787,[6]成飞半成品!$A:$B,2,0)</f>
        <v>10860框</v>
      </c>
      <c r="H1787" s="10" t="s">
        <v>323</v>
      </c>
      <c r="I1787" s="10">
        <v>25</v>
      </c>
      <c r="J1787" s="10" t="s">
        <v>2074</v>
      </c>
      <c r="L1787" s="10">
        <v>0.9</v>
      </c>
      <c r="M1787" s="14">
        <v>23</v>
      </c>
      <c r="N1787" s="14"/>
      <c r="O1787" s="55" t="s">
        <v>508</v>
      </c>
      <c r="Q1787" s="10">
        <v>360</v>
      </c>
      <c r="R1787" s="10">
        <v>120</v>
      </c>
      <c r="T1787" s="10">
        <v>1</v>
      </c>
      <c r="U1787" s="10">
        <v>180</v>
      </c>
      <c r="W1787" s="14">
        <v>1</v>
      </c>
      <c r="Y1787" s="79">
        <v>10.4</v>
      </c>
      <c r="Z1787" s="56" t="s">
        <v>49</v>
      </c>
    </row>
    <row r="1788" spans="1:28" ht="23.1" customHeight="1" x14ac:dyDescent="0.25">
      <c r="A1788" s="53" t="s">
        <v>1360</v>
      </c>
      <c r="B1788" s="10" t="s">
        <v>113</v>
      </c>
      <c r="C1788" s="10">
        <v>14</v>
      </c>
      <c r="D1788" s="10" t="s">
        <v>1388</v>
      </c>
      <c r="E1788" s="41" t="s">
        <v>625</v>
      </c>
      <c r="F1788" s="41" t="s">
        <v>625</v>
      </c>
      <c r="G1788" s="21" t="str">
        <f>VLOOKUP(D1788,[6]成飞半成品!$A:$B,2,0)</f>
        <v>支架</v>
      </c>
      <c r="H1788" s="10" t="s">
        <v>250</v>
      </c>
      <c r="I1788" s="10">
        <v>10</v>
      </c>
      <c r="J1788" s="10" t="s">
        <v>2255</v>
      </c>
      <c r="K1788" s="10">
        <v>8</v>
      </c>
      <c r="L1788" s="10">
        <v>8</v>
      </c>
      <c r="M1788" s="14">
        <v>28</v>
      </c>
      <c r="N1788" s="14">
        <v>28</v>
      </c>
      <c r="O1788" s="55" t="s">
        <v>1389</v>
      </c>
      <c r="Q1788" s="10">
        <v>60</v>
      </c>
      <c r="U1788" s="10">
        <v>90</v>
      </c>
      <c r="W1788" s="14">
        <v>1</v>
      </c>
      <c r="X1788" s="14">
        <v>2</v>
      </c>
      <c r="Y1788" s="79">
        <v>11.5</v>
      </c>
      <c r="Z1788" s="56" t="s">
        <v>60</v>
      </c>
      <c r="AA1788" s="14" t="s">
        <v>1396</v>
      </c>
    </row>
    <row r="1789" spans="1:28" ht="23.1" customHeight="1" x14ac:dyDescent="0.25">
      <c r="A1789" s="53" t="s">
        <v>1360</v>
      </c>
      <c r="B1789" s="10" t="s">
        <v>113</v>
      </c>
      <c r="C1789" s="10">
        <v>14</v>
      </c>
      <c r="D1789" s="10" t="s">
        <v>1388</v>
      </c>
      <c r="E1789" s="41" t="s">
        <v>625</v>
      </c>
      <c r="F1789" s="41" t="s">
        <v>625</v>
      </c>
      <c r="G1789" s="21" t="str">
        <f>VLOOKUP(D1789,[6]成飞半成品!$A:$B,2,0)</f>
        <v>支架</v>
      </c>
      <c r="H1789" s="10" t="s">
        <v>250</v>
      </c>
      <c r="I1789" s="10">
        <v>15</v>
      </c>
      <c r="J1789" s="10" t="s">
        <v>2256</v>
      </c>
      <c r="K1789" s="10">
        <v>1</v>
      </c>
      <c r="L1789" s="10">
        <v>5</v>
      </c>
      <c r="M1789" s="14">
        <v>37</v>
      </c>
      <c r="N1789" s="14">
        <v>5</v>
      </c>
      <c r="O1789" s="55" t="s">
        <v>1389</v>
      </c>
      <c r="Q1789" s="10">
        <v>140</v>
      </c>
      <c r="U1789" s="10">
        <v>120</v>
      </c>
      <c r="W1789" s="14">
        <v>1</v>
      </c>
      <c r="X1789" s="14">
        <v>2</v>
      </c>
      <c r="Y1789" s="79">
        <v>15.7</v>
      </c>
      <c r="Z1789" s="56" t="s">
        <v>60</v>
      </c>
      <c r="AA1789" s="14" t="s">
        <v>1376</v>
      </c>
      <c r="AB1789" s="25" t="s">
        <v>238</v>
      </c>
    </row>
    <row r="1790" spans="1:28" ht="23.1" customHeight="1" x14ac:dyDescent="0.25">
      <c r="A1790" s="53" t="s">
        <v>1360</v>
      </c>
      <c r="B1790" s="10" t="s">
        <v>113</v>
      </c>
      <c r="C1790" s="10">
        <v>14</v>
      </c>
      <c r="D1790" s="10" t="s">
        <v>1388</v>
      </c>
      <c r="E1790" s="41" t="s">
        <v>625</v>
      </c>
      <c r="F1790" s="41" t="s">
        <v>625</v>
      </c>
      <c r="G1790" s="21" t="str">
        <f>VLOOKUP(D1790,[6]成飞半成品!$A:$B,2,0)</f>
        <v>支架</v>
      </c>
      <c r="H1790" s="10" t="s">
        <v>250</v>
      </c>
      <c r="I1790" s="10">
        <v>15</v>
      </c>
      <c r="J1790" s="10" t="s">
        <v>2256</v>
      </c>
      <c r="L1790" s="10">
        <v>3</v>
      </c>
      <c r="M1790" s="14"/>
      <c r="N1790" s="14">
        <v>26</v>
      </c>
      <c r="O1790" s="55" t="s">
        <v>1389</v>
      </c>
      <c r="Q1790" s="10">
        <v>140</v>
      </c>
      <c r="U1790" s="10">
        <v>120</v>
      </c>
      <c r="W1790" s="14"/>
      <c r="Y1790" s="79">
        <v>7</v>
      </c>
      <c r="Z1790" s="56" t="s">
        <v>60</v>
      </c>
    </row>
    <row r="1791" spans="1:28" ht="23.1" customHeight="1" x14ac:dyDescent="0.25">
      <c r="A1791" s="53" t="s">
        <v>1360</v>
      </c>
      <c r="B1791" s="10" t="s">
        <v>113</v>
      </c>
      <c r="C1791" s="10">
        <v>18</v>
      </c>
      <c r="D1791" s="10" t="s">
        <v>920</v>
      </c>
      <c r="E1791" s="41" t="s">
        <v>919</v>
      </c>
      <c r="F1791" s="41" t="s">
        <v>919</v>
      </c>
      <c r="G1791" s="21" t="str">
        <f>VLOOKUP(D1791,[6]成飞半成品!$A:$B,2,0)</f>
        <v>雷达罩锁支座</v>
      </c>
      <c r="H1791" s="10" t="s">
        <v>323</v>
      </c>
      <c r="I1791" s="10">
        <v>20</v>
      </c>
      <c r="J1791" s="10" t="s">
        <v>2474</v>
      </c>
      <c r="K1791" s="10">
        <v>4</v>
      </c>
      <c r="L1791" s="10">
        <v>6</v>
      </c>
      <c r="M1791" s="14">
        <v>5</v>
      </c>
      <c r="N1791" s="14">
        <v>5</v>
      </c>
      <c r="O1791" s="55" t="s">
        <v>860</v>
      </c>
      <c r="Q1791" s="10">
        <v>120</v>
      </c>
      <c r="U1791" s="10">
        <v>90</v>
      </c>
      <c r="W1791" s="14"/>
      <c r="Y1791" s="79">
        <v>12</v>
      </c>
      <c r="Z1791" s="56" t="s">
        <v>14</v>
      </c>
    </row>
    <row r="1792" spans="1:28" ht="23.1" customHeight="1" x14ac:dyDescent="0.25">
      <c r="A1792" s="53" t="s">
        <v>1360</v>
      </c>
      <c r="B1792" s="10" t="s">
        <v>113</v>
      </c>
      <c r="C1792" s="10">
        <v>13</v>
      </c>
      <c r="D1792" s="10" t="s">
        <v>1394</v>
      </c>
      <c r="E1792" s="41" t="s">
        <v>1278</v>
      </c>
      <c r="F1792" s="41" t="s">
        <v>1278</v>
      </c>
      <c r="G1792" s="21" t="str">
        <f>VLOOKUP(D1792,[6]成飞半成品!$A:$B,2,0)</f>
        <v>接管嘴</v>
      </c>
      <c r="H1792" s="10" t="s">
        <v>123</v>
      </c>
      <c r="I1792" s="10">
        <v>30</v>
      </c>
      <c r="J1792" s="10" t="s">
        <v>2257</v>
      </c>
      <c r="K1792" s="10">
        <v>10</v>
      </c>
      <c r="L1792" s="10">
        <v>16</v>
      </c>
      <c r="M1792" s="14">
        <v>31</v>
      </c>
      <c r="N1792" s="14">
        <v>26</v>
      </c>
      <c r="O1792" s="55" t="s">
        <v>164</v>
      </c>
      <c r="Q1792" s="10">
        <v>70</v>
      </c>
      <c r="U1792" s="10">
        <v>60</v>
      </c>
      <c r="W1792" s="14"/>
      <c r="Y1792" s="79">
        <v>18.7</v>
      </c>
      <c r="Z1792" s="56" t="s">
        <v>10</v>
      </c>
    </row>
    <row r="1793" spans="1:28" ht="23.1" customHeight="1" x14ac:dyDescent="0.25">
      <c r="A1793" s="53" t="s">
        <v>1360</v>
      </c>
      <c r="B1793" s="10" t="s">
        <v>113</v>
      </c>
      <c r="C1793" s="10">
        <v>12</v>
      </c>
      <c r="D1793" s="10" t="s">
        <v>248</v>
      </c>
      <c r="E1793" s="41" t="s">
        <v>249</v>
      </c>
      <c r="F1793" s="41" t="s">
        <v>249</v>
      </c>
      <c r="G1793" s="21" t="str">
        <f>VLOOKUP(D1793,[6]成飞半成品!$A:$B,2,0)</f>
        <v>10060下接头</v>
      </c>
      <c r="H1793" s="10" t="s">
        <v>250</v>
      </c>
      <c r="I1793" s="10">
        <v>3</v>
      </c>
      <c r="L1793" s="10">
        <v>6</v>
      </c>
      <c r="M1793" s="14">
        <v>26</v>
      </c>
      <c r="N1793" s="14">
        <v>26</v>
      </c>
      <c r="O1793" s="55" t="s">
        <v>1426</v>
      </c>
      <c r="P1793" s="10">
        <v>30</v>
      </c>
      <c r="V1793" s="10">
        <v>60</v>
      </c>
      <c r="W1793" s="14">
        <v>1</v>
      </c>
      <c r="Y1793" s="83">
        <v>4</v>
      </c>
      <c r="Z1793" s="56" t="s">
        <v>10</v>
      </c>
    </row>
    <row r="1794" spans="1:28" ht="23.1" customHeight="1" x14ac:dyDescent="0.25">
      <c r="A1794" s="53" t="s">
        <v>1360</v>
      </c>
      <c r="B1794" s="10" t="s">
        <v>113</v>
      </c>
      <c r="C1794" s="10">
        <v>12</v>
      </c>
      <c r="D1794" s="10" t="s">
        <v>248</v>
      </c>
      <c r="E1794" s="41" t="s">
        <v>249</v>
      </c>
      <c r="F1794" s="41" t="s">
        <v>249</v>
      </c>
      <c r="G1794" s="21" t="str">
        <f>VLOOKUP(D1794,[6]成飞半成品!$A:$B,2,0)</f>
        <v>10060下接头</v>
      </c>
      <c r="H1794" s="10" t="s">
        <v>250</v>
      </c>
      <c r="I1794" s="10">
        <v>5</v>
      </c>
      <c r="J1794" s="10" t="s">
        <v>1930</v>
      </c>
      <c r="L1794" s="10">
        <v>6</v>
      </c>
      <c r="M1794" s="14">
        <v>26</v>
      </c>
      <c r="N1794" s="14">
        <v>26</v>
      </c>
      <c r="O1794" s="55" t="s">
        <v>1426</v>
      </c>
      <c r="Q1794" s="10">
        <v>30</v>
      </c>
      <c r="U1794" s="10">
        <v>60</v>
      </c>
      <c r="W1794" s="14">
        <v>1</v>
      </c>
      <c r="Y1794" s="79">
        <v>4</v>
      </c>
      <c r="Z1794" s="56" t="s">
        <v>10</v>
      </c>
    </row>
    <row r="1795" spans="1:28" ht="23.1" customHeight="1" x14ac:dyDescent="0.25">
      <c r="A1795" s="53" t="s">
        <v>1360</v>
      </c>
      <c r="B1795" s="10" t="s">
        <v>113</v>
      </c>
      <c r="C1795" s="10">
        <v>12</v>
      </c>
      <c r="D1795" s="10" t="s">
        <v>248</v>
      </c>
      <c r="E1795" s="41" t="s">
        <v>249</v>
      </c>
      <c r="F1795" s="41" t="s">
        <v>249</v>
      </c>
      <c r="G1795" s="21" t="str">
        <f>VLOOKUP(D1795,[6]成飞半成品!$A:$B,2,0)</f>
        <v>10060下接头</v>
      </c>
      <c r="H1795" s="10" t="s">
        <v>250</v>
      </c>
      <c r="I1795" s="10">
        <v>8</v>
      </c>
      <c r="L1795" s="10">
        <v>6</v>
      </c>
      <c r="M1795" s="14">
        <v>26</v>
      </c>
      <c r="N1795" s="14">
        <v>26</v>
      </c>
      <c r="O1795" s="55" t="s">
        <v>1426</v>
      </c>
      <c r="P1795" s="10">
        <v>80</v>
      </c>
      <c r="V1795" s="10">
        <v>60</v>
      </c>
      <c r="W1795" s="14">
        <v>1</v>
      </c>
      <c r="Y1795" s="83">
        <v>9</v>
      </c>
      <c r="Z1795" s="56" t="s">
        <v>10</v>
      </c>
    </row>
    <row r="1796" spans="1:28" ht="23.1" customHeight="1" x14ac:dyDescent="0.25">
      <c r="A1796" s="53" t="s">
        <v>1360</v>
      </c>
      <c r="B1796" s="10" t="s">
        <v>113</v>
      </c>
      <c r="C1796" s="10">
        <v>12</v>
      </c>
      <c r="D1796" s="10" t="s">
        <v>248</v>
      </c>
      <c r="E1796" s="41" t="s">
        <v>249</v>
      </c>
      <c r="F1796" s="41" t="s">
        <v>249</v>
      </c>
      <c r="G1796" s="21" t="str">
        <f>VLOOKUP(D1796,[6]成飞半成品!$A:$B,2,0)</f>
        <v>10060下接头</v>
      </c>
      <c r="H1796" s="10" t="s">
        <v>250</v>
      </c>
      <c r="I1796" s="10">
        <v>10</v>
      </c>
      <c r="J1796" s="10" t="s">
        <v>1949</v>
      </c>
      <c r="K1796" s="10">
        <v>6</v>
      </c>
      <c r="L1796" s="10">
        <v>6</v>
      </c>
      <c r="M1796" s="14">
        <v>26</v>
      </c>
      <c r="N1796" s="14">
        <v>26</v>
      </c>
      <c r="O1796" s="55" t="s">
        <v>1426</v>
      </c>
      <c r="Q1796" s="10">
        <v>80</v>
      </c>
      <c r="U1796" s="10">
        <v>90</v>
      </c>
      <c r="W1796" s="14">
        <v>1</v>
      </c>
      <c r="Y1796" s="79">
        <v>9.5</v>
      </c>
      <c r="Z1796" s="56" t="s">
        <v>10</v>
      </c>
    </row>
    <row r="1797" spans="1:28" ht="23.1" customHeight="1" x14ac:dyDescent="0.25">
      <c r="A1797" s="53" t="s">
        <v>1360</v>
      </c>
      <c r="B1797" s="10" t="s">
        <v>113</v>
      </c>
      <c r="C1797" s="10">
        <v>59</v>
      </c>
      <c r="D1797" s="10" t="s">
        <v>1261</v>
      </c>
      <c r="E1797" s="41" t="s">
        <v>409</v>
      </c>
      <c r="F1797" s="41" t="s">
        <v>409</v>
      </c>
      <c r="G1797" s="21" t="str">
        <f>VLOOKUP(D1797,[6]成飞半成品!$A:$B,2,0)</f>
        <v>接头</v>
      </c>
      <c r="H1797" s="10" t="s">
        <v>102</v>
      </c>
      <c r="I1797" s="10">
        <v>25</v>
      </c>
      <c r="J1797" s="10" t="s">
        <v>2054</v>
      </c>
      <c r="L1797" s="10">
        <v>1</v>
      </c>
      <c r="M1797" s="14">
        <v>26</v>
      </c>
      <c r="N1797" s="14"/>
      <c r="O1797" s="55" t="s">
        <v>596</v>
      </c>
      <c r="Q1797" s="10">
        <v>20</v>
      </c>
      <c r="U1797" s="10">
        <v>60</v>
      </c>
      <c r="W1797" s="14">
        <v>1</v>
      </c>
      <c r="X1797" s="14">
        <v>2</v>
      </c>
      <c r="Y1797" s="79">
        <v>3.3</v>
      </c>
      <c r="Z1797" s="56" t="s">
        <v>6</v>
      </c>
      <c r="AA1797" s="14" t="s">
        <v>1427</v>
      </c>
      <c r="AB1797" s="25" t="s">
        <v>238</v>
      </c>
    </row>
    <row r="1798" spans="1:28" ht="23.1" customHeight="1" x14ac:dyDescent="0.25">
      <c r="A1798" s="53" t="s">
        <v>1360</v>
      </c>
      <c r="B1798" s="10" t="s">
        <v>113</v>
      </c>
      <c r="C1798" s="10">
        <v>59</v>
      </c>
      <c r="D1798" s="10" t="s">
        <v>1428</v>
      </c>
      <c r="E1798" s="41" t="s">
        <v>595</v>
      </c>
      <c r="F1798" s="41" t="s">
        <v>1452</v>
      </c>
      <c r="G1798" s="21" t="str">
        <f>VLOOKUP(D1798,[6]成飞半成品!$A:$B,2,0)</f>
        <v>加强梁</v>
      </c>
      <c r="H1798" s="10" t="s">
        <v>102</v>
      </c>
      <c r="I1798" s="10">
        <v>5</v>
      </c>
      <c r="J1798" s="10" t="s">
        <v>2060</v>
      </c>
      <c r="L1798" s="10">
        <v>2</v>
      </c>
      <c r="M1798" s="14">
        <v>26</v>
      </c>
      <c r="N1798" s="14"/>
      <c r="O1798" s="55" t="s">
        <v>596</v>
      </c>
      <c r="Q1798" s="10">
        <v>45</v>
      </c>
      <c r="U1798" s="10">
        <v>60</v>
      </c>
      <c r="W1798" s="14">
        <v>1</v>
      </c>
      <c r="Y1798" s="79">
        <v>2.5</v>
      </c>
      <c r="Z1798" s="56" t="s">
        <v>6</v>
      </c>
    </row>
    <row r="1799" spans="1:28" ht="23.1" customHeight="1" x14ac:dyDescent="0.25">
      <c r="A1799" s="53" t="s">
        <v>1360</v>
      </c>
      <c r="B1799" s="10" t="s">
        <v>113</v>
      </c>
      <c r="C1799" s="10">
        <v>59</v>
      </c>
      <c r="D1799" s="10" t="s">
        <v>1428</v>
      </c>
      <c r="E1799" s="41" t="s">
        <v>595</v>
      </c>
      <c r="F1799" s="41" t="s">
        <v>1452</v>
      </c>
      <c r="G1799" s="21" t="str">
        <f>VLOOKUP(D1799,[6]成飞半成品!$A:$B,2,0)</f>
        <v>加强梁</v>
      </c>
      <c r="H1799" s="10" t="s">
        <v>102</v>
      </c>
      <c r="I1799" s="10">
        <v>10</v>
      </c>
      <c r="J1799" s="10" t="s">
        <v>2258</v>
      </c>
      <c r="L1799" s="10">
        <v>2</v>
      </c>
      <c r="M1799" s="14">
        <v>9</v>
      </c>
      <c r="N1799" s="14">
        <v>9</v>
      </c>
      <c r="O1799" s="55" t="s">
        <v>596</v>
      </c>
      <c r="Q1799" s="10">
        <v>35</v>
      </c>
      <c r="U1799" s="10">
        <v>90</v>
      </c>
      <c r="W1799" s="14">
        <v>1</v>
      </c>
      <c r="X1799" s="14">
        <v>2</v>
      </c>
      <c r="Y1799" s="79">
        <v>4.7</v>
      </c>
      <c r="Z1799" s="56" t="s">
        <v>6</v>
      </c>
      <c r="AA1799" s="14" t="s">
        <v>1427</v>
      </c>
      <c r="AB1799" s="25" t="s">
        <v>238</v>
      </c>
    </row>
    <row r="1800" spans="1:28" ht="23.1" customHeight="1" x14ac:dyDescent="0.25">
      <c r="A1800" s="53" t="s">
        <v>1360</v>
      </c>
      <c r="B1800" s="10" t="s">
        <v>113</v>
      </c>
      <c r="C1800" s="10">
        <v>59</v>
      </c>
      <c r="D1800" s="10" t="s">
        <v>1428</v>
      </c>
      <c r="E1800" s="41" t="s">
        <v>595</v>
      </c>
      <c r="F1800" s="41" t="s">
        <v>1452</v>
      </c>
      <c r="G1800" s="21" t="str">
        <f>VLOOKUP(D1800,[6]成飞半成品!$A:$B,2,0)</f>
        <v>加强梁</v>
      </c>
      <c r="H1800" s="10" t="s">
        <v>102</v>
      </c>
      <c r="I1800" s="10">
        <v>15</v>
      </c>
      <c r="J1800" s="10" t="s">
        <v>2259</v>
      </c>
      <c r="L1800" s="10">
        <v>0.1</v>
      </c>
      <c r="M1800" s="14">
        <v>23</v>
      </c>
      <c r="N1800" s="14"/>
      <c r="O1800" s="55" t="s">
        <v>596</v>
      </c>
      <c r="Q1800" s="10">
        <v>80</v>
      </c>
      <c r="U1800" s="10">
        <v>60</v>
      </c>
      <c r="W1800" s="14">
        <v>1</v>
      </c>
      <c r="X1800" s="14">
        <v>2</v>
      </c>
      <c r="Y1800" s="79">
        <v>3.1</v>
      </c>
      <c r="Z1800" s="56" t="s">
        <v>6</v>
      </c>
      <c r="AA1800" s="14" t="s">
        <v>1427</v>
      </c>
      <c r="AB1800" s="25" t="s">
        <v>238</v>
      </c>
    </row>
    <row r="1801" spans="1:28" ht="23.1" customHeight="1" x14ac:dyDescent="0.25">
      <c r="A1801" s="53" t="s">
        <v>1360</v>
      </c>
      <c r="B1801" s="10" t="s">
        <v>113</v>
      </c>
      <c r="C1801" s="10">
        <v>47</v>
      </c>
      <c r="D1801" s="25" t="s">
        <v>294</v>
      </c>
      <c r="E1801" s="41" t="s">
        <v>259</v>
      </c>
      <c r="F1801" s="41" t="s">
        <v>284</v>
      </c>
      <c r="G1801" s="21" t="str">
        <f>VLOOKUP(D1801,[6]成飞半成品!$A:$B,2,0)</f>
        <v>梁（左件）</v>
      </c>
      <c r="H1801" s="10" t="s">
        <v>123</v>
      </c>
      <c r="I1801" s="10">
        <v>30</v>
      </c>
      <c r="J1801" s="10" t="s">
        <v>2199</v>
      </c>
      <c r="K1801" s="10">
        <v>0.7</v>
      </c>
      <c r="L1801" s="10">
        <v>0.9</v>
      </c>
      <c r="M1801" s="14">
        <v>5</v>
      </c>
      <c r="N1801" s="14"/>
      <c r="O1801" s="55" t="s">
        <v>1402</v>
      </c>
      <c r="Q1801" s="10">
        <v>720</v>
      </c>
      <c r="R1801" s="10">
        <v>120</v>
      </c>
      <c r="U1801" s="10">
        <v>90</v>
      </c>
      <c r="W1801" s="14"/>
      <c r="Y1801" s="79">
        <v>10.8</v>
      </c>
      <c r="Z1801" s="56" t="s">
        <v>22</v>
      </c>
    </row>
    <row r="1802" spans="1:28" ht="23.1" customHeight="1" x14ac:dyDescent="0.25">
      <c r="A1802" s="53" t="s">
        <v>1360</v>
      </c>
      <c r="B1802" s="10" t="s">
        <v>113</v>
      </c>
      <c r="C1802" s="10">
        <v>47</v>
      </c>
      <c r="D1802" s="25" t="s">
        <v>294</v>
      </c>
      <c r="E1802" s="41" t="s">
        <v>259</v>
      </c>
      <c r="F1802" s="41" t="s">
        <v>284</v>
      </c>
      <c r="G1802" s="21" t="str">
        <f>VLOOKUP(D1802,[6]成飞半成品!$A:$B,2,0)</f>
        <v>梁（左件）</v>
      </c>
      <c r="H1802" s="10" t="s">
        <v>123</v>
      </c>
      <c r="I1802" s="10">
        <v>15</v>
      </c>
      <c r="J1802" s="10" t="s">
        <v>2246</v>
      </c>
      <c r="K1802" s="10">
        <v>0.5</v>
      </c>
      <c r="L1802" s="10">
        <v>0.5</v>
      </c>
      <c r="M1802" s="14">
        <v>28</v>
      </c>
      <c r="N1802" s="14"/>
      <c r="O1802" s="55" t="s">
        <v>1402</v>
      </c>
      <c r="Q1802" s="10">
        <v>480</v>
      </c>
      <c r="R1802" s="10">
        <v>90</v>
      </c>
      <c r="U1802" s="10">
        <v>60</v>
      </c>
      <c r="W1802" s="14"/>
      <c r="Y1802" s="79">
        <v>4</v>
      </c>
      <c r="Z1802" s="56" t="s">
        <v>22</v>
      </c>
    </row>
    <row r="1803" spans="1:28" ht="23.1" customHeight="1" x14ac:dyDescent="0.25">
      <c r="A1803" s="53" t="s">
        <v>1360</v>
      </c>
      <c r="B1803" s="10" t="s">
        <v>113</v>
      </c>
      <c r="C1803" s="10">
        <v>23</v>
      </c>
      <c r="D1803" s="10" t="s">
        <v>498</v>
      </c>
      <c r="E1803" s="41" t="s">
        <v>499</v>
      </c>
      <c r="F1803" s="41" t="s">
        <v>499</v>
      </c>
      <c r="G1803" s="21" t="str">
        <f>VLOOKUP(D1803,[6]成飞半成品!$A:$B,2,0)</f>
        <v>10540中框</v>
      </c>
      <c r="H1803" s="10" t="s">
        <v>118</v>
      </c>
      <c r="I1803" s="10">
        <v>10</v>
      </c>
      <c r="J1803" s="10" t="s">
        <v>2245</v>
      </c>
      <c r="K1803" s="10">
        <v>0.1</v>
      </c>
      <c r="L1803" s="10">
        <v>0.9</v>
      </c>
      <c r="M1803" s="14">
        <v>5</v>
      </c>
      <c r="N1803" s="14"/>
      <c r="O1803" s="55" t="s">
        <v>1429</v>
      </c>
      <c r="Q1803" s="10">
        <v>180</v>
      </c>
      <c r="R1803" s="10">
        <v>60</v>
      </c>
      <c r="T1803" s="10">
        <v>1</v>
      </c>
      <c r="U1803" s="10">
        <v>120</v>
      </c>
      <c r="W1803" s="14"/>
      <c r="X1803" s="14">
        <v>4</v>
      </c>
      <c r="Y1803" s="79">
        <v>7.7</v>
      </c>
      <c r="Z1803" s="56" t="s">
        <v>22</v>
      </c>
      <c r="AA1803" s="14" t="s">
        <v>1430</v>
      </c>
    </row>
    <row r="1804" spans="1:28" ht="23.1" customHeight="1" x14ac:dyDescent="0.25">
      <c r="A1804" s="53" t="s">
        <v>1360</v>
      </c>
      <c r="B1804" s="10" t="s">
        <v>113</v>
      </c>
      <c r="C1804" s="10">
        <v>23</v>
      </c>
      <c r="D1804" s="10" t="s">
        <v>498</v>
      </c>
      <c r="E1804" s="41" t="s">
        <v>499</v>
      </c>
      <c r="F1804" s="41" t="s">
        <v>499</v>
      </c>
      <c r="G1804" s="21" t="str">
        <f>VLOOKUP(D1804,[6]成飞半成品!$A:$B,2,0)</f>
        <v>10540中框</v>
      </c>
      <c r="H1804" s="10" t="s">
        <v>118</v>
      </c>
      <c r="I1804" s="10">
        <v>15</v>
      </c>
      <c r="J1804" s="10" t="s">
        <v>2260</v>
      </c>
      <c r="K1804" s="10">
        <v>1</v>
      </c>
      <c r="L1804" s="10">
        <v>1</v>
      </c>
      <c r="M1804" s="14">
        <v>26</v>
      </c>
      <c r="N1804" s="14"/>
      <c r="O1804" s="55" t="s">
        <v>222</v>
      </c>
      <c r="Q1804" s="10">
        <v>420</v>
      </c>
      <c r="R1804" s="10">
        <v>120</v>
      </c>
      <c r="T1804" s="10">
        <v>1</v>
      </c>
      <c r="U1804" s="10">
        <v>180</v>
      </c>
      <c r="W1804" s="14">
        <v>1</v>
      </c>
      <c r="Y1804" s="79">
        <v>12</v>
      </c>
      <c r="Z1804" s="56" t="s">
        <v>22</v>
      </c>
    </row>
    <row r="1805" spans="1:28" ht="23.1" customHeight="1" x14ac:dyDescent="0.25">
      <c r="A1805" s="53" t="s">
        <v>1360</v>
      </c>
      <c r="B1805" s="10" t="s">
        <v>113</v>
      </c>
      <c r="C1805" s="10">
        <v>24</v>
      </c>
      <c r="D1805" s="10" t="s">
        <v>294</v>
      </c>
      <c r="E1805" s="41" t="s">
        <v>259</v>
      </c>
      <c r="F1805" s="41" t="s">
        <v>284</v>
      </c>
      <c r="G1805" s="21" t="str">
        <f>VLOOKUP(D1805,[6]成飞半成品!$A:$B,2,0)</f>
        <v>梁（左件）</v>
      </c>
      <c r="H1805" s="31" t="s">
        <v>118</v>
      </c>
      <c r="I1805" s="10">
        <v>45</v>
      </c>
      <c r="J1805" s="10" t="s">
        <v>1920</v>
      </c>
      <c r="M1805" s="14"/>
      <c r="N1805" s="14"/>
      <c r="O1805" s="55" t="s">
        <v>684</v>
      </c>
      <c r="Q1805" s="10">
        <v>300</v>
      </c>
      <c r="R1805" s="10">
        <v>120</v>
      </c>
      <c r="U1805" s="10">
        <v>120</v>
      </c>
      <c r="W1805" s="14"/>
      <c r="Y1805" s="79">
        <v>0</v>
      </c>
      <c r="Z1805" s="56" t="s">
        <v>26</v>
      </c>
      <c r="AA1805" s="14" t="s">
        <v>1431</v>
      </c>
    </row>
    <row r="1806" spans="1:28" ht="23.1" customHeight="1" x14ac:dyDescent="0.25">
      <c r="A1806" s="53" t="s">
        <v>1432</v>
      </c>
      <c r="B1806" s="10" t="s">
        <v>110</v>
      </c>
      <c r="C1806" s="10">
        <v>76</v>
      </c>
      <c r="D1806" s="10" t="s">
        <v>1433</v>
      </c>
      <c r="E1806" s="41" t="s">
        <v>1384</v>
      </c>
      <c r="F1806" s="41" t="s">
        <v>1384</v>
      </c>
      <c r="G1806" s="21" t="str">
        <f>VLOOKUP(D1806,[6]成飞半成品!$A:$B,2,0)</f>
        <v>角材</v>
      </c>
      <c r="H1806" s="10" t="s">
        <v>154</v>
      </c>
      <c r="I1806" s="10">
        <v>10</v>
      </c>
      <c r="J1806" s="10" t="s">
        <v>2241</v>
      </c>
      <c r="K1806" s="10">
        <v>20</v>
      </c>
      <c r="L1806" s="10">
        <v>19</v>
      </c>
      <c r="M1806" s="14">
        <v>5</v>
      </c>
      <c r="N1806" s="14">
        <v>9</v>
      </c>
      <c r="O1806" s="55" t="s">
        <v>567</v>
      </c>
      <c r="Q1806" s="10">
        <v>30</v>
      </c>
      <c r="U1806" s="10">
        <v>60</v>
      </c>
      <c r="W1806" s="14">
        <v>1</v>
      </c>
      <c r="X1806" s="14">
        <v>2</v>
      </c>
      <c r="Y1806" s="79">
        <v>12.5</v>
      </c>
      <c r="Z1806" s="56" t="s">
        <v>46</v>
      </c>
      <c r="AA1806" s="14" t="s">
        <v>1427</v>
      </c>
      <c r="AB1806" s="25" t="s">
        <v>238</v>
      </c>
    </row>
    <row r="1807" spans="1:28" ht="23.1" customHeight="1" x14ac:dyDescent="0.25">
      <c r="A1807" s="53" t="s">
        <v>1432</v>
      </c>
      <c r="B1807" s="10" t="s">
        <v>110</v>
      </c>
      <c r="C1807" s="10">
        <v>76</v>
      </c>
      <c r="D1807" s="10" t="s">
        <v>1433</v>
      </c>
      <c r="E1807" s="41" t="s">
        <v>1384</v>
      </c>
      <c r="F1807" s="41" t="s">
        <v>1384</v>
      </c>
      <c r="G1807" s="21" t="str">
        <f>VLOOKUP(D1807,[6]成飞半成品!$A:$B,2,0)</f>
        <v>角材</v>
      </c>
      <c r="H1807" s="10" t="s">
        <v>154</v>
      </c>
      <c r="I1807" s="10">
        <v>10</v>
      </c>
      <c r="J1807" s="10" t="s">
        <v>2241</v>
      </c>
      <c r="K1807" s="10">
        <v>0</v>
      </c>
      <c r="L1807" s="10">
        <v>12</v>
      </c>
      <c r="M1807" s="14">
        <v>9</v>
      </c>
      <c r="N1807" s="14">
        <v>9</v>
      </c>
      <c r="O1807" s="55" t="s">
        <v>393</v>
      </c>
      <c r="Q1807" s="10">
        <v>30</v>
      </c>
      <c r="U1807" s="10">
        <v>60</v>
      </c>
      <c r="W1807" s="14"/>
      <c r="Y1807" s="79">
        <v>6</v>
      </c>
      <c r="Z1807" s="56" t="s">
        <v>46</v>
      </c>
    </row>
    <row r="1808" spans="1:28" ht="23.1" customHeight="1" x14ac:dyDescent="0.25">
      <c r="A1808" s="53" t="s">
        <v>1432</v>
      </c>
      <c r="B1808" s="10" t="s">
        <v>110</v>
      </c>
      <c r="C1808" s="10">
        <v>77</v>
      </c>
      <c r="D1808" s="10" t="s">
        <v>727</v>
      </c>
      <c r="E1808" s="41" t="s">
        <v>625</v>
      </c>
      <c r="F1808" s="41" t="s">
        <v>625</v>
      </c>
      <c r="G1808" s="21" t="str">
        <f>VLOOKUP(D1808,[6]成飞半成品!$A:$B,2,0)</f>
        <v>支架</v>
      </c>
      <c r="H1808" s="10" t="s">
        <v>250</v>
      </c>
      <c r="I1808" s="10">
        <v>50</v>
      </c>
      <c r="J1808" s="10" t="s">
        <v>2032</v>
      </c>
      <c r="L1808" s="10">
        <v>5</v>
      </c>
      <c r="M1808" s="14">
        <v>5</v>
      </c>
      <c r="N1808" s="14">
        <v>23</v>
      </c>
      <c r="O1808" s="55" t="s">
        <v>216</v>
      </c>
      <c r="Q1808" s="10">
        <v>60</v>
      </c>
      <c r="U1808" s="10">
        <v>60</v>
      </c>
      <c r="W1808" s="14"/>
      <c r="Y1808" s="79">
        <v>5</v>
      </c>
      <c r="Z1808" s="56" t="s">
        <v>15</v>
      </c>
    </row>
    <row r="1809" spans="1:28" ht="23.1" customHeight="1" x14ac:dyDescent="0.25">
      <c r="A1809" s="53" t="s">
        <v>1432</v>
      </c>
      <c r="B1809" s="10" t="s">
        <v>110</v>
      </c>
      <c r="C1809" s="10">
        <v>10</v>
      </c>
      <c r="D1809" s="10" t="s">
        <v>217</v>
      </c>
      <c r="E1809" s="41" t="s">
        <v>218</v>
      </c>
      <c r="F1809" s="41" t="s">
        <v>218</v>
      </c>
      <c r="G1809" s="21" t="str">
        <f>VLOOKUP(D1809,[6]成飞半成品!$A:$B,2,0)</f>
        <v>横梁</v>
      </c>
      <c r="H1809" s="10" t="s">
        <v>107</v>
      </c>
      <c r="I1809" s="10">
        <v>55</v>
      </c>
      <c r="J1809" s="10" t="s">
        <v>2227</v>
      </c>
      <c r="K1809" s="10">
        <v>2</v>
      </c>
      <c r="L1809" s="10">
        <v>2.2000000000000002</v>
      </c>
      <c r="M1809" s="14">
        <v>5</v>
      </c>
      <c r="N1809" s="14">
        <v>31</v>
      </c>
      <c r="O1809" s="55" t="s">
        <v>1094</v>
      </c>
      <c r="Q1809" s="10">
        <v>270</v>
      </c>
      <c r="U1809" s="10">
        <v>90</v>
      </c>
      <c r="W1809" s="14"/>
      <c r="X1809" s="14">
        <v>2.2000000000000002</v>
      </c>
      <c r="Y1809" s="79">
        <v>12.1</v>
      </c>
      <c r="Z1809" s="56" t="s">
        <v>30</v>
      </c>
      <c r="AA1809" s="14" t="s">
        <v>1434</v>
      </c>
      <c r="AB1809" s="14" t="s">
        <v>957</v>
      </c>
    </row>
    <row r="1810" spans="1:28" ht="23.1" customHeight="1" x14ac:dyDescent="0.25">
      <c r="A1810" s="53" t="s">
        <v>1432</v>
      </c>
      <c r="B1810" s="10" t="s">
        <v>110</v>
      </c>
      <c r="C1810" s="10">
        <v>24</v>
      </c>
      <c r="D1810" s="10" t="s">
        <v>776</v>
      </c>
      <c r="E1810" s="41" t="s">
        <v>777</v>
      </c>
      <c r="F1810" s="41" t="s">
        <v>777</v>
      </c>
      <c r="G1810" s="21" t="str">
        <f>VLOOKUP(D1810,[6]成飞半成品!$A:$B,2,0)</f>
        <v>BL280侧壁（左件）</v>
      </c>
      <c r="H1810" s="10" t="s">
        <v>107</v>
      </c>
      <c r="I1810" s="10">
        <v>25</v>
      </c>
      <c r="J1810" s="10" t="s">
        <v>2035</v>
      </c>
      <c r="K1810" s="10">
        <v>0.5</v>
      </c>
      <c r="M1810" s="14"/>
      <c r="N1810" s="14"/>
      <c r="O1810" s="55" t="s">
        <v>778</v>
      </c>
      <c r="Q1810" s="10">
        <v>840</v>
      </c>
      <c r="R1810" s="10">
        <v>120</v>
      </c>
      <c r="U1810" s="10">
        <v>150</v>
      </c>
      <c r="W1810" s="14"/>
      <c r="Y1810" s="79">
        <v>0</v>
      </c>
      <c r="Z1810" s="56" t="s">
        <v>54</v>
      </c>
      <c r="AA1810" s="14" t="s">
        <v>1431</v>
      </c>
    </row>
    <row r="1811" spans="1:28" ht="23.1" customHeight="1" x14ac:dyDescent="0.25">
      <c r="A1811" s="53" t="s">
        <v>1432</v>
      </c>
      <c r="B1811" s="10" t="s">
        <v>110</v>
      </c>
      <c r="C1811" s="10">
        <v>69</v>
      </c>
      <c r="D1811" s="10" t="s">
        <v>1371</v>
      </c>
      <c r="E1811" s="41" t="s">
        <v>1372</v>
      </c>
      <c r="F1811" s="41" t="s">
        <v>215</v>
      </c>
      <c r="G1811" s="21" t="str">
        <f>VLOOKUP(D1811,[6]成飞半成品!$A:$B,2,0)</f>
        <v>斜横梁</v>
      </c>
      <c r="H1811" s="10" t="s">
        <v>154</v>
      </c>
      <c r="I1811" s="10">
        <v>70</v>
      </c>
      <c r="J1811" s="10" t="s">
        <v>1966</v>
      </c>
      <c r="K1811" s="10">
        <v>4</v>
      </c>
      <c r="L1811" s="10">
        <v>4</v>
      </c>
      <c r="M1811" s="14">
        <v>5</v>
      </c>
      <c r="N1811" s="14">
        <v>23</v>
      </c>
      <c r="O1811" s="55" t="s">
        <v>427</v>
      </c>
      <c r="Q1811" s="10">
        <v>60</v>
      </c>
      <c r="R1811" s="10">
        <v>90</v>
      </c>
      <c r="T1811" s="10">
        <v>4</v>
      </c>
      <c r="U1811" s="10">
        <v>150</v>
      </c>
      <c r="W1811" s="14">
        <v>1</v>
      </c>
      <c r="X1811" s="10">
        <v>4</v>
      </c>
      <c r="Y1811" s="79">
        <v>16.5</v>
      </c>
      <c r="Z1811" s="56" t="s">
        <v>54</v>
      </c>
      <c r="AA1811" s="14" t="s">
        <v>1193</v>
      </c>
    </row>
    <row r="1812" spans="1:28" ht="23.1" customHeight="1" x14ac:dyDescent="0.25">
      <c r="A1812" s="53" t="s">
        <v>1432</v>
      </c>
      <c r="B1812" s="10" t="s">
        <v>110</v>
      </c>
      <c r="C1812" s="10">
        <v>69</v>
      </c>
      <c r="D1812" s="10" t="s">
        <v>1411</v>
      </c>
      <c r="E1812" s="41" t="s">
        <v>1372</v>
      </c>
      <c r="F1812" s="41" t="s">
        <v>215</v>
      </c>
      <c r="G1812" s="21" t="str">
        <f>VLOOKUP(D1812,[6]成飞半成品!$A:$B,2,0)</f>
        <v>斜横梁</v>
      </c>
      <c r="H1812" s="10" t="s">
        <v>154</v>
      </c>
      <c r="I1812" s="10">
        <v>70</v>
      </c>
      <c r="J1812" s="10" t="s">
        <v>1966</v>
      </c>
      <c r="K1812" s="10">
        <v>4</v>
      </c>
      <c r="L1812" s="10">
        <v>4</v>
      </c>
      <c r="M1812" s="14">
        <v>5</v>
      </c>
      <c r="N1812" s="14">
        <v>23</v>
      </c>
      <c r="O1812" s="55" t="s">
        <v>427</v>
      </c>
      <c r="Q1812" s="10">
        <v>60</v>
      </c>
      <c r="R1812" s="10">
        <v>90</v>
      </c>
      <c r="T1812" s="10">
        <v>4</v>
      </c>
      <c r="U1812" s="10">
        <v>150</v>
      </c>
      <c r="W1812" s="14">
        <v>1</v>
      </c>
      <c r="Y1812" s="79">
        <v>12.5</v>
      </c>
      <c r="Z1812" s="56" t="s">
        <v>54</v>
      </c>
    </row>
    <row r="1813" spans="1:28" ht="23.1" customHeight="1" x14ac:dyDescent="0.25">
      <c r="A1813" s="53" t="s">
        <v>1432</v>
      </c>
      <c r="B1813" s="10" t="s">
        <v>110</v>
      </c>
      <c r="C1813" s="10">
        <v>84</v>
      </c>
      <c r="D1813" s="10" t="s">
        <v>1047</v>
      </c>
      <c r="E1813" s="41" t="s">
        <v>424</v>
      </c>
      <c r="F1813" s="41" t="s">
        <v>424</v>
      </c>
      <c r="G1813" s="21" t="str">
        <f>VLOOKUP(D1813,[6]成飞半成品!$A:$B,2,0)</f>
        <v>后梁四段</v>
      </c>
      <c r="H1813" s="10" t="s">
        <v>107</v>
      </c>
      <c r="I1813" s="10">
        <v>40</v>
      </c>
      <c r="J1813" s="10" t="s">
        <v>2096</v>
      </c>
      <c r="K1813" s="10">
        <v>2</v>
      </c>
      <c r="L1813" s="10">
        <v>2.1</v>
      </c>
      <c r="M1813" s="14">
        <v>23</v>
      </c>
      <c r="N1813" s="14">
        <v>28</v>
      </c>
      <c r="O1813" s="55" t="s">
        <v>1435</v>
      </c>
      <c r="Q1813" s="10">
        <v>360</v>
      </c>
      <c r="R1813" s="10">
        <v>30</v>
      </c>
      <c r="T1813" s="10">
        <v>3</v>
      </c>
      <c r="U1813" s="10">
        <v>120</v>
      </c>
      <c r="W1813" s="14">
        <v>1</v>
      </c>
      <c r="X1813" s="10">
        <v>4</v>
      </c>
      <c r="Y1813" s="79">
        <v>20.100000000000001</v>
      </c>
      <c r="Z1813" s="56" t="s">
        <v>54</v>
      </c>
      <c r="AA1813" s="14" t="s">
        <v>1436</v>
      </c>
    </row>
    <row r="1814" spans="1:28" ht="23.1" customHeight="1" x14ac:dyDescent="0.25">
      <c r="A1814" s="53" t="s">
        <v>1432</v>
      </c>
      <c r="B1814" s="10" t="s">
        <v>110</v>
      </c>
      <c r="C1814" s="10">
        <v>84</v>
      </c>
      <c r="D1814" s="10" t="s">
        <v>1047</v>
      </c>
      <c r="E1814" s="41" t="s">
        <v>424</v>
      </c>
      <c r="F1814" s="41" t="s">
        <v>424</v>
      </c>
      <c r="G1814" s="21" t="str">
        <f>VLOOKUP(D1814,[6]成飞半成品!$A:$B,2,0)</f>
        <v>后梁四段</v>
      </c>
      <c r="H1814" s="10" t="s">
        <v>107</v>
      </c>
      <c r="I1814" s="10">
        <v>38</v>
      </c>
      <c r="L1814" s="10">
        <v>3</v>
      </c>
      <c r="M1814" s="14">
        <v>23</v>
      </c>
      <c r="N1814" s="14">
        <v>28</v>
      </c>
      <c r="O1814" s="55" t="s">
        <v>1435</v>
      </c>
      <c r="P1814" s="10">
        <v>90</v>
      </c>
      <c r="S1814" s="10">
        <v>30</v>
      </c>
      <c r="T1814" s="10">
        <v>3</v>
      </c>
      <c r="V1814" s="10">
        <v>120</v>
      </c>
      <c r="W1814" s="14">
        <v>1</v>
      </c>
      <c r="Y1814" s="83">
        <v>8</v>
      </c>
      <c r="Z1814" s="56" t="s">
        <v>54</v>
      </c>
    </row>
    <row r="1815" spans="1:28" ht="23.1" customHeight="1" x14ac:dyDescent="0.25">
      <c r="A1815" s="53" t="s">
        <v>1432</v>
      </c>
      <c r="B1815" s="10" t="s">
        <v>110</v>
      </c>
      <c r="C1815" s="10">
        <v>91</v>
      </c>
      <c r="D1815" s="10" t="s">
        <v>254</v>
      </c>
      <c r="E1815" s="41" t="s">
        <v>255</v>
      </c>
      <c r="F1815" s="41" t="s">
        <v>1016</v>
      </c>
      <c r="G1815" s="21" t="str">
        <f>VLOOKUP(D1815,[6]成飞半成品!$A:$B,2,0)</f>
        <v>9350-11140右侧上梁</v>
      </c>
      <c r="H1815" s="10" t="s">
        <v>375</v>
      </c>
      <c r="I1815" s="10">
        <v>40</v>
      </c>
      <c r="J1815" s="10" t="s">
        <v>2110</v>
      </c>
      <c r="K1815" s="10">
        <v>0.4</v>
      </c>
      <c r="L1815" s="10">
        <v>0.4</v>
      </c>
      <c r="M1815" s="14">
        <v>28</v>
      </c>
      <c r="N1815" s="14"/>
      <c r="O1815" s="55" t="s">
        <v>678</v>
      </c>
      <c r="Q1815" s="10">
        <v>3000</v>
      </c>
      <c r="R1815" s="10">
        <v>90</v>
      </c>
      <c r="U1815" s="10">
        <v>120</v>
      </c>
      <c r="W1815" s="14"/>
      <c r="Y1815" s="79">
        <v>20</v>
      </c>
      <c r="Z1815" s="56" t="s">
        <v>54</v>
      </c>
    </row>
    <row r="1816" spans="1:28" ht="23.1" customHeight="1" x14ac:dyDescent="0.25">
      <c r="A1816" s="53" t="s">
        <v>1432</v>
      </c>
      <c r="B1816" s="10" t="s">
        <v>110</v>
      </c>
      <c r="C1816" s="10">
        <v>119</v>
      </c>
      <c r="D1816" s="10" t="s">
        <v>1176</v>
      </c>
      <c r="E1816" s="41" t="s">
        <v>1098</v>
      </c>
      <c r="F1816" s="41" t="s">
        <v>1098</v>
      </c>
      <c r="G1816" s="21" t="str">
        <f>VLOOKUP(D1816,[6]成飞半成品!$A:$B,2,0)</f>
        <v>根肋一段</v>
      </c>
      <c r="H1816" s="10" t="s">
        <v>250</v>
      </c>
      <c r="I1816" s="10">
        <v>55</v>
      </c>
      <c r="J1816" s="10" t="s">
        <v>2276</v>
      </c>
      <c r="K1816" s="10">
        <v>0.8</v>
      </c>
      <c r="L1816" s="10">
        <v>2</v>
      </c>
      <c r="M1816" s="14">
        <v>23</v>
      </c>
      <c r="N1816" s="14">
        <v>28</v>
      </c>
      <c r="O1816" s="55" t="s">
        <v>429</v>
      </c>
      <c r="Q1816" s="10">
        <v>540</v>
      </c>
      <c r="R1816" s="10">
        <v>60</v>
      </c>
      <c r="T1816" s="10">
        <v>2</v>
      </c>
      <c r="U1816" s="10">
        <v>90</v>
      </c>
      <c r="W1816" s="14">
        <v>1</v>
      </c>
      <c r="X1816" s="10">
        <v>5</v>
      </c>
      <c r="Y1816" s="79">
        <v>26.5</v>
      </c>
      <c r="Z1816" s="56" t="s">
        <v>54</v>
      </c>
      <c r="AA1816" s="14" t="s">
        <v>943</v>
      </c>
    </row>
    <row r="1817" spans="1:28" ht="23.1" customHeight="1" x14ac:dyDescent="0.25">
      <c r="A1817" s="53" t="s">
        <v>1432</v>
      </c>
      <c r="B1817" s="10" t="s">
        <v>110</v>
      </c>
      <c r="C1817" s="10">
        <v>121</v>
      </c>
      <c r="D1817" s="10" t="s">
        <v>288</v>
      </c>
      <c r="E1817" s="41" t="s">
        <v>255</v>
      </c>
      <c r="F1817" s="41" t="s">
        <v>1532</v>
      </c>
      <c r="G1817" s="21" t="str">
        <f>VLOOKUP(D1817,[6]成飞半成品!$A:$B,2,0)</f>
        <v>9350-11140左侧上梁</v>
      </c>
      <c r="H1817" s="10" t="s">
        <v>250</v>
      </c>
      <c r="I1817" s="10">
        <v>50</v>
      </c>
      <c r="J1817" s="10" t="s">
        <v>2021</v>
      </c>
      <c r="K1817" s="10">
        <v>0.4</v>
      </c>
      <c r="L1817" s="10">
        <v>0.4</v>
      </c>
      <c r="M1817" s="14">
        <v>26</v>
      </c>
      <c r="N1817" s="14"/>
      <c r="O1817" s="55" t="s">
        <v>256</v>
      </c>
      <c r="Q1817" s="10">
        <v>3000</v>
      </c>
      <c r="R1817" s="10">
        <v>90</v>
      </c>
      <c r="U1817" s="10">
        <v>150</v>
      </c>
      <c r="W1817" s="14"/>
      <c r="Y1817" s="79">
        <v>20</v>
      </c>
      <c r="Z1817" s="56" t="s">
        <v>54</v>
      </c>
    </row>
    <row r="1818" spans="1:28" ht="23.1" customHeight="1" x14ac:dyDescent="0.25">
      <c r="A1818" s="53" t="s">
        <v>1432</v>
      </c>
      <c r="B1818" s="10" t="s">
        <v>110</v>
      </c>
      <c r="C1818" s="10">
        <v>69</v>
      </c>
      <c r="D1818" s="10" t="s">
        <v>1285</v>
      </c>
      <c r="E1818" s="41" t="s">
        <v>1283</v>
      </c>
      <c r="F1818" s="41" t="s">
        <v>1283</v>
      </c>
      <c r="G1818" s="21" t="str">
        <f>VLOOKUP(D1818,[6]成飞半成品!$A:$B,2,0)</f>
        <v>9框前支柱</v>
      </c>
      <c r="H1818" s="10" t="s">
        <v>102</v>
      </c>
      <c r="I1818" s="10">
        <v>45</v>
      </c>
      <c r="J1818" s="10" t="s">
        <v>2475</v>
      </c>
      <c r="K1818" s="10">
        <v>1</v>
      </c>
      <c r="L1818" s="10">
        <v>0.3</v>
      </c>
      <c r="M1818" s="14">
        <v>28</v>
      </c>
      <c r="N1818" s="14"/>
      <c r="O1818" s="55" t="s">
        <v>596</v>
      </c>
      <c r="Q1818" s="10">
        <v>360</v>
      </c>
      <c r="R1818" s="10">
        <v>60</v>
      </c>
      <c r="T1818" s="10">
        <v>1</v>
      </c>
      <c r="U1818" s="10">
        <v>150</v>
      </c>
      <c r="W1818" s="14">
        <v>1</v>
      </c>
      <c r="X1818" s="10">
        <v>4</v>
      </c>
      <c r="Y1818" s="79">
        <v>9.3000000000000007</v>
      </c>
      <c r="Z1818" s="56" t="s">
        <v>54</v>
      </c>
      <c r="AA1818" s="14" t="s">
        <v>1437</v>
      </c>
    </row>
    <row r="1819" spans="1:28" ht="23.1" customHeight="1" x14ac:dyDescent="0.25">
      <c r="A1819" s="53" t="s">
        <v>1432</v>
      </c>
      <c r="B1819" s="10" t="s">
        <v>110</v>
      </c>
      <c r="C1819" s="10">
        <v>79</v>
      </c>
      <c r="D1819" s="10" t="s">
        <v>420</v>
      </c>
      <c r="E1819" s="41" t="s">
        <v>153</v>
      </c>
      <c r="F1819" s="41" t="s">
        <v>1247</v>
      </c>
      <c r="G1819" s="21" t="str">
        <f>VLOOKUP(D1819,[6]成飞半成品!$A:$B,2,0)</f>
        <v>根肋前段</v>
      </c>
      <c r="H1819" s="10" t="s">
        <v>154</v>
      </c>
      <c r="I1819" s="10">
        <v>50</v>
      </c>
      <c r="J1819" s="10" t="s">
        <v>2204</v>
      </c>
      <c r="K1819" s="10">
        <v>0.3</v>
      </c>
      <c r="L1819" s="10">
        <v>0.4</v>
      </c>
      <c r="M1819" s="14">
        <v>26</v>
      </c>
      <c r="N1819" s="14"/>
      <c r="O1819" s="55" t="s">
        <v>675</v>
      </c>
      <c r="Q1819" s="10">
        <v>3700</v>
      </c>
      <c r="R1819" s="10">
        <v>90</v>
      </c>
      <c r="U1819" s="10">
        <v>180</v>
      </c>
      <c r="W1819" s="14"/>
      <c r="Y1819" s="79">
        <v>24.7</v>
      </c>
      <c r="Z1819" s="56" t="s">
        <v>19</v>
      </c>
    </row>
    <row r="1820" spans="1:28" ht="23.1" customHeight="1" x14ac:dyDescent="0.25">
      <c r="A1820" s="53" t="s">
        <v>1432</v>
      </c>
      <c r="B1820" s="10" t="s">
        <v>110</v>
      </c>
      <c r="C1820" s="10">
        <v>11</v>
      </c>
      <c r="D1820" s="65" t="s">
        <v>2571</v>
      </c>
      <c r="E1820" s="41" t="s">
        <v>1439</v>
      </c>
      <c r="F1820" s="41" t="e">
        <v>#N/A</v>
      </c>
      <c r="G1820" s="21" t="str">
        <f>VLOOKUP(D1820,[6]成飞半成品!$A:$B,2,0)</f>
        <v>工装</v>
      </c>
      <c r="H1820" s="47" t="s">
        <v>939</v>
      </c>
      <c r="I1820" s="10">
        <v>5</v>
      </c>
      <c r="L1820" s="10">
        <v>1</v>
      </c>
      <c r="M1820" s="14">
        <v>31</v>
      </c>
      <c r="N1820" s="14"/>
      <c r="O1820" s="55" t="s">
        <v>940</v>
      </c>
      <c r="W1820" s="14">
        <v>1</v>
      </c>
      <c r="Y1820" s="79">
        <v>0</v>
      </c>
      <c r="Z1820" s="56" t="s">
        <v>63</v>
      </c>
    </row>
    <row r="1821" spans="1:28" ht="23.1" customHeight="1" x14ac:dyDescent="0.25">
      <c r="A1821" s="53" t="s">
        <v>1432</v>
      </c>
      <c r="B1821" s="10" t="s">
        <v>110</v>
      </c>
      <c r="C1821" s="10">
        <v>16</v>
      </c>
      <c r="D1821" s="10" t="s">
        <v>1420</v>
      </c>
      <c r="E1821" s="41" t="s">
        <v>1421</v>
      </c>
      <c r="F1821" s="41" t="s">
        <v>1421</v>
      </c>
      <c r="G1821" s="21" t="str">
        <f>VLOOKUP(D1821,[6]成飞半成品!$A:$B,2,0)</f>
        <v>第5隔板</v>
      </c>
      <c r="H1821" s="10" t="s">
        <v>123</v>
      </c>
      <c r="I1821" s="10">
        <v>10</v>
      </c>
      <c r="J1821" s="10" t="s">
        <v>2098</v>
      </c>
      <c r="K1821" s="10">
        <v>4</v>
      </c>
      <c r="L1821" s="10">
        <v>8</v>
      </c>
      <c r="M1821" s="14">
        <v>9</v>
      </c>
      <c r="N1821" s="14">
        <v>9</v>
      </c>
      <c r="O1821" s="55" t="s">
        <v>597</v>
      </c>
      <c r="Q1821" s="10">
        <v>60</v>
      </c>
      <c r="U1821" s="10">
        <v>60</v>
      </c>
      <c r="W1821" s="14">
        <v>1</v>
      </c>
      <c r="Y1821" s="79">
        <v>9</v>
      </c>
      <c r="Z1821" s="56" t="s">
        <v>63</v>
      </c>
    </row>
    <row r="1822" spans="1:28" ht="23.1" customHeight="1" x14ac:dyDescent="0.25">
      <c r="A1822" s="53" t="s">
        <v>1432</v>
      </c>
      <c r="B1822" s="10" t="s">
        <v>110</v>
      </c>
      <c r="C1822" s="10">
        <v>16</v>
      </c>
      <c r="D1822" s="10" t="s">
        <v>1420</v>
      </c>
      <c r="E1822" s="41" t="s">
        <v>1421</v>
      </c>
      <c r="F1822" s="41" t="s">
        <v>1421</v>
      </c>
      <c r="G1822" s="21" t="str">
        <f>VLOOKUP(D1822,[6]成飞半成品!$A:$B,2,0)</f>
        <v>第5隔板</v>
      </c>
      <c r="H1822" s="10" t="s">
        <v>123</v>
      </c>
      <c r="I1822" s="10">
        <v>15</v>
      </c>
      <c r="J1822" s="10" t="s">
        <v>2262</v>
      </c>
      <c r="K1822" s="10">
        <v>1</v>
      </c>
      <c r="L1822" s="10">
        <v>0.5</v>
      </c>
      <c r="M1822" s="14">
        <v>31</v>
      </c>
      <c r="N1822" s="14"/>
      <c r="O1822" s="55" t="s">
        <v>1440</v>
      </c>
      <c r="Q1822" s="10">
        <v>180</v>
      </c>
      <c r="U1822" s="10">
        <v>90</v>
      </c>
      <c r="W1822" s="14">
        <v>1</v>
      </c>
      <c r="X1822" s="14">
        <v>2</v>
      </c>
      <c r="Y1822" s="79">
        <v>5</v>
      </c>
      <c r="Z1822" s="56" t="s">
        <v>63</v>
      </c>
      <c r="AA1822" s="14" t="s">
        <v>1441</v>
      </c>
      <c r="AB1822" s="25" t="s">
        <v>238</v>
      </c>
    </row>
    <row r="1823" spans="1:28" ht="23.1" customHeight="1" x14ac:dyDescent="0.25">
      <c r="A1823" s="53" t="s">
        <v>1432</v>
      </c>
      <c r="B1823" s="10" t="s">
        <v>110</v>
      </c>
      <c r="C1823" s="10">
        <v>107</v>
      </c>
      <c r="D1823" s="10" t="s">
        <v>1415</v>
      </c>
      <c r="E1823" s="41" t="s">
        <v>215</v>
      </c>
      <c r="F1823" s="41" t="s">
        <v>215</v>
      </c>
      <c r="G1823" s="21" t="str">
        <f>VLOOKUP(D1823,[6]成飞半成品!$A:$B,2,0)</f>
        <v>口盖</v>
      </c>
      <c r="H1823" s="10" t="s">
        <v>154</v>
      </c>
      <c r="I1823" s="10">
        <v>35</v>
      </c>
      <c r="J1823" s="10" t="s">
        <v>2073</v>
      </c>
      <c r="K1823" s="10">
        <v>4</v>
      </c>
      <c r="L1823" s="10">
        <v>4</v>
      </c>
      <c r="M1823" s="14">
        <v>31</v>
      </c>
      <c r="N1823" s="14">
        <v>31</v>
      </c>
      <c r="O1823" s="55" t="s">
        <v>1442</v>
      </c>
      <c r="Q1823" s="10">
        <v>150</v>
      </c>
      <c r="T1823" s="10">
        <v>4</v>
      </c>
      <c r="U1823" s="10">
        <v>60</v>
      </c>
      <c r="W1823" s="14"/>
      <c r="Y1823" s="79">
        <v>10</v>
      </c>
      <c r="Z1823" s="56" t="s">
        <v>45</v>
      </c>
    </row>
    <row r="1824" spans="1:28" ht="23.1" customHeight="1" x14ac:dyDescent="0.25">
      <c r="A1824" s="53" t="s">
        <v>1432</v>
      </c>
      <c r="B1824" s="10" t="s">
        <v>110</v>
      </c>
      <c r="C1824" s="10">
        <v>107</v>
      </c>
      <c r="D1824" s="10" t="s">
        <v>1275</v>
      </c>
      <c r="E1824" s="41" t="s">
        <v>215</v>
      </c>
      <c r="F1824" s="41" t="s">
        <v>215</v>
      </c>
      <c r="G1824" s="21" t="str">
        <f>VLOOKUP(D1824,[6]成飞半成品!$A:$B,2,0)</f>
        <v>口盖</v>
      </c>
      <c r="H1824" s="10" t="s">
        <v>154</v>
      </c>
      <c r="I1824" s="10">
        <v>40</v>
      </c>
      <c r="J1824" s="10" t="s">
        <v>2263</v>
      </c>
      <c r="L1824" s="10">
        <v>0.5</v>
      </c>
      <c r="M1824" s="14">
        <v>26</v>
      </c>
      <c r="N1824" s="14"/>
      <c r="O1824" s="55" t="s">
        <v>1443</v>
      </c>
      <c r="Q1824" s="10">
        <v>390</v>
      </c>
      <c r="T1824" s="10">
        <v>1</v>
      </c>
      <c r="U1824" s="10">
        <v>60</v>
      </c>
      <c r="W1824" s="14">
        <v>1</v>
      </c>
      <c r="X1824" s="10">
        <v>2</v>
      </c>
      <c r="Y1824" s="79">
        <v>6.3</v>
      </c>
      <c r="Z1824" s="56" t="s">
        <v>45</v>
      </c>
      <c r="AA1824" s="14" t="s">
        <v>1245</v>
      </c>
      <c r="AB1824" s="25" t="s">
        <v>238</v>
      </c>
    </row>
    <row r="1825" spans="1:28" ht="23.1" customHeight="1" x14ac:dyDescent="0.25">
      <c r="A1825" s="53" t="s">
        <v>1432</v>
      </c>
      <c r="B1825" s="10" t="s">
        <v>110</v>
      </c>
      <c r="C1825" s="10">
        <v>23</v>
      </c>
      <c r="D1825" s="10" t="s">
        <v>498</v>
      </c>
      <c r="E1825" s="41" t="s">
        <v>499</v>
      </c>
      <c r="F1825" s="41" t="s">
        <v>499</v>
      </c>
      <c r="G1825" s="21" t="str">
        <f>VLOOKUP(D1825,[6]成飞半成品!$A:$B,2,0)</f>
        <v>10540中框</v>
      </c>
      <c r="H1825" s="10" t="s">
        <v>118</v>
      </c>
      <c r="I1825" s="10">
        <v>15</v>
      </c>
      <c r="J1825" s="10" t="s">
        <v>2476</v>
      </c>
      <c r="K1825" s="10">
        <v>0.8</v>
      </c>
      <c r="L1825" s="10">
        <v>1.5</v>
      </c>
      <c r="M1825" s="14">
        <v>5</v>
      </c>
      <c r="N1825" s="14">
        <v>28</v>
      </c>
      <c r="O1825" s="55" t="s">
        <v>1444</v>
      </c>
      <c r="Q1825" s="10">
        <v>420</v>
      </c>
      <c r="R1825" s="10">
        <v>120</v>
      </c>
      <c r="T1825" s="10">
        <v>2</v>
      </c>
      <c r="U1825" s="10">
        <v>180</v>
      </c>
      <c r="W1825" s="14"/>
      <c r="Y1825" s="79">
        <v>14.5</v>
      </c>
      <c r="Z1825" s="56" t="s">
        <v>33</v>
      </c>
    </row>
    <row r="1826" spans="1:28" ht="23.1" customHeight="1" x14ac:dyDescent="0.25">
      <c r="A1826" s="53" t="s">
        <v>1432</v>
      </c>
      <c r="B1826" s="10" t="s">
        <v>110</v>
      </c>
      <c r="C1826" s="10">
        <v>47</v>
      </c>
      <c r="D1826" s="25" t="s">
        <v>294</v>
      </c>
      <c r="E1826" s="41" t="s">
        <v>259</v>
      </c>
      <c r="F1826" s="41" t="s">
        <v>284</v>
      </c>
      <c r="G1826" s="21" t="str">
        <f>VLOOKUP(D1826,[6]成飞半成品!$A:$B,2,0)</f>
        <v>梁（左件）</v>
      </c>
      <c r="H1826" s="10" t="s">
        <v>123</v>
      </c>
      <c r="I1826" s="10">
        <v>30</v>
      </c>
      <c r="J1826" s="10" t="s">
        <v>2199</v>
      </c>
      <c r="K1826" s="10">
        <v>1</v>
      </c>
      <c r="L1826" s="10">
        <v>1</v>
      </c>
      <c r="M1826" s="14">
        <v>28</v>
      </c>
      <c r="N1826" s="14"/>
      <c r="O1826" s="55" t="s">
        <v>1445</v>
      </c>
      <c r="Q1826" s="10">
        <v>720</v>
      </c>
      <c r="R1826" s="10">
        <v>120</v>
      </c>
      <c r="T1826" s="10">
        <v>1</v>
      </c>
      <c r="U1826" s="10">
        <v>90</v>
      </c>
      <c r="W1826" s="14"/>
      <c r="Y1826" s="79">
        <v>14</v>
      </c>
      <c r="Z1826" s="56" t="s">
        <v>33</v>
      </c>
    </row>
    <row r="1827" spans="1:28" ht="23.1" customHeight="1" x14ac:dyDescent="0.25">
      <c r="A1827" s="53" t="s">
        <v>1432</v>
      </c>
      <c r="B1827" s="10" t="s">
        <v>110</v>
      </c>
      <c r="C1827" s="10">
        <v>15</v>
      </c>
      <c r="D1827" s="10" t="s">
        <v>1255</v>
      </c>
      <c r="E1827" s="41" t="s">
        <v>117</v>
      </c>
      <c r="F1827" s="41" t="s">
        <v>117</v>
      </c>
      <c r="G1827" s="21" t="str">
        <f>VLOOKUP(D1827,[6]成飞半成品!$A:$B,2,0)</f>
        <v>7820~8270侧上梁</v>
      </c>
      <c r="H1827" s="10" t="s">
        <v>118</v>
      </c>
      <c r="I1827" s="10">
        <v>25</v>
      </c>
      <c r="J1827" s="10" t="s">
        <v>2018</v>
      </c>
      <c r="K1827" s="10">
        <v>1.2</v>
      </c>
      <c r="L1827" s="10">
        <v>1.1000000000000001</v>
      </c>
      <c r="M1827" s="14">
        <v>5</v>
      </c>
      <c r="N1827" s="14">
        <v>31</v>
      </c>
      <c r="O1827" s="55" t="s">
        <v>1446</v>
      </c>
      <c r="Q1827" s="10">
        <v>900</v>
      </c>
      <c r="T1827" s="10">
        <v>1</v>
      </c>
      <c r="U1827" s="10">
        <v>120</v>
      </c>
      <c r="W1827" s="14"/>
      <c r="Y1827" s="79">
        <v>16.5</v>
      </c>
      <c r="Z1827" s="56" t="s">
        <v>31</v>
      </c>
    </row>
    <row r="1828" spans="1:28" ht="23.1" customHeight="1" x14ac:dyDescent="0.25">
      <c r="A1828" s="53" t="s">
        <v>1432</v>
      </c>
      <c r="B1828" s="10" t="s">
        <v>110</v>
      </c>
      <c r="C1828" s="10">
        <v>13</v>
      </c>
      <c r="D1828" s="10" t="s">
        <v>1394</v>
      </c>
      <c r="E1828" s="41" t="s">
        <v>1278</v>
      </c>
      <c r="F1828" s="41" t="s">
        <v>1278</v>
      </c>
      <c r="G1828" s="21" t="str">
        <f>VLOOKUP(D1828,[6]成飞半成品!$A:$B,2,0)</f>
        <v>接管嘴</v>
      </c>
      <c r="H1828" s="10" t="s">
        <v>123</v>
      </c>
      <c r="I1828" s="10">
        <v>30</v>
      </c>
      <c r="J1828" s="10" t="s">
        <v>2257</v>
      </c>
      <c r="K1828" s="10">
        <v>10</v>
      </c>
      <c r="L1828" s="10">
        <v>21</v>
      </c>
      <c r="M1828" s="14">
        <v>23</v>
      </c>
      <c r="N1828" s="14">
        <v>31</v>
      </c>
      <c r="O1828" s="55" t="s">
        <v>1447</v>
      </c>
      <c r="Q1828" s="10">
        <v>70</v>
      </c>
      <c r="U1828" s="10">
        <v>60</v>
      </c>
      <c r="W1828" s="14"/>
      <c r="Y1828" s="79">
        <v>24.5</v>
      </c>
      <c r="Z1828" s="56" t="s">
        <v>72</v>
      </c>
    </row>
    <row r="1829" spans="1:28" ht="23.1" customHeight="1" x14ac:dyDescent="0.25">
      <c r="A1829" s="53" t="s">
        <v>1432</v>
      </c>
      <c r="B1829" s="10" t="s">
        <v>110</v>
      </c>
      <c r="C1829" s="10">
        <v>12</v>
      </c>
      <c r="D1829" s="10" t="s">
        <v>248</v>
      </c>
      <c r="E1829" s="41" t="s">
        <v>249</v>
      </c>
      <c r="F1829" s="41" t="s">
        <v>249</v>
      </c>
      <c r="G1829" s="21" t="str">
        <f>VLOOKUP(D1829,[6]成飞半成品!$A:$B,2,0)</f>
        <v>10060下接头</v>
      </c>
      <c r="H1829" s="10" t="s">
        <v>250</v>
      </c>
      <c r="I1829" s="10">
        <v>15</v>
      </c>
      <c r="J1829" s="10" t="s">
        <v>1903</v>
      </c>
      <c r="K1829" s="10">
        <v>0</v>
      </c>
      <c r="L1829" s="10">
        <v>1.5</v>
      </c>
      <c r="M1829" s="14">
        <v>23</v>
      </c>
      <c r="N1829" s="14">
        <v>28</v>
      </c>
      <c r="O1829" s="55" t="s">
        <v>951</v>
      </c>
      <c r="Q1829" s="10">
        <v>600</v>
      </c>
      <c r="U1829" s="10">
        <v>120</v>
      </c>
      <c r="W1829" s="14">
        <v>1</v>
      </c>
      <c r="X1829" s="14">
        <v>2</v>
      </c>
      <c r="Y1829" s="79">
        <v>19</v>
      </c>
      <c r="Z1829" s="56" t="s">
        <v>72</v>
      </c>
      <c r="AA1829" s="88" t="s">
        <v>941</v>
      </c>
      <c r="AB1829" s="25" t="s">
        <v>238</v>
      </c>
    </row>
    <row r="1830" spans="1:28" ht="23.1" customHeight="1" x14ac:dyDescent="0.25">
      <c r="A1830" s="53" t="s">
        <v>1432</v>
      </c>
      <c r="B1830" s="10" t="s">
        <v>110</v>
      </c>
      <c r="C1830" s="10">
        <v>21</v>
      </c>
      <c r="D1830" s="10" t="s">
        <v>321</v>
      </c>
      <c r="E1830" s="41" t="s">
        <v>322</v>
      </c>
      <c r="F1830" s="41" t="s">
        <v>322</v>
      </c>
      <c r="G1830" s="21" t="str">
        <f>VLOOKUP(D1830,[6]成飞半成品!$A:$B,2,0)</f>
        <v>10860框</v>
      </c>
      <c r="H1830" s="10" t="s">
        <v>323</v>
      </c>
      <c r="I1830" s="10">
        <v>25</v>
      </c>
      <c r="J1830" s="10" t="s">
        <v>2074</v>
      </c>
      <c r="K1830" s="10">
        <v>1.5</v>
      </c>
      <c r="L1830" s="10">
        <v>1.6</v>
      </c>
      <c r="M1830" s="14">
        <v>23</v>
      </c>
      <c r="N1830" s="14">
        <v>28</v>
      </c>
      <c r="O1830" s="55" t="s">
        <v>1448</v>
      </c>
      <c r="Q1830" s="10">
        <v>360</v>
      </c>
      <c r="R1830" s="10">
        <v>120</v>
      </c>
      <c r="T1830" s="10">
        <v>2</v>
      </c>
      <c r="U1830" s="10">
        <v>180</v>
      </c>
      <c r="W1830" s="14"/>
      <c r="X1830" s="14">
        <v>3</v>
      </c>
      <c r="Y1830" s="79">
        <v>16.600000000000001</v>
      </c>
      <c r="Z1830" s="56" t="s">
        <v>58</v>
      </c>
      <c r="AA1830" s="14" t="s">
        <v>1449</v>
      </c>
    </row>
    <row r="1831" spans="1:28" ht="23.1" customHeight="1" x14ac:dyDescent="0.25">
      <c r="A1831" s="53" t="s">
        <v>1432</v>
      </c>
      <c r="B1831" s="10" t="s">
        <v>110</v>
      </c>
      <c r="C1831" s="10">
        <v>17</v>
      </c>
      <c r="D1831" s="10" t="s">
        <v>1282</v>
      </c>
      <c r="E1831" s="41" t="s">
        <v>1283</v>
      </c>
      <c r="F1831" s="41" t="s">
        <v>1283</v>
      </c>
      <c r="G1831" s="21" t="str">
        <f>VLOOKUP(D1831,[6]成飞半成品!$A:$B,2,0)</f>
        <v>9框前支柱</v>
      </c>
      <c r="H1831" s="10" t="s">
        <v>102</v>
      </c>
      <c r="I1831" s="10">
        <v>30</v>
      </c>
      <c r="J1831" s="10" t="s">
        <v>1992</v>
      </c>
      <c r="K1831" s="10">
        <v>1</v>
      </c>
      <c r="L1831" s="10">
        <v>1</v>
      </c>
      <c r="M1831" s="14">
        <v>5</v>
      </c>
      <c r="N1831" s="14"/>
      <c r="O1831" s="55" t="s">
        <v>596</v>
      </c>
      <c r="Q1831" s="10">
        <v>180</v>
      </c>
      <c r="U1831" s="10">
        <v>60</v>
      </c>
      <c r="W1831" s="14">
        <v>1</v>
      </c>
      <c r="Y1831" s="79">
        <v>4</v>
      </c>
      <c r="Z1831" s="56" t="s">
        <v>16</v>
      </c>
    </row>
    <row r="1832" spans="1:28" ht="23.1" customHeight="1" x14ac:dyDescent="0.25">
      <c r="A1832" s="53" t="s">
        <v>1432</v>
      </c>
      <c r="B1832" s="10" t="s">
        <v>110</v>
      </c>
      <c r="C1832" s="10">
        <v>17</v>
      </c>
      <c r="D1832" s="10" t="s">
        <v>1282</v>
      </c>
      <c r="E1832" s="41" t="s">
        <v>1283</v>
      </c>
      <c r="F1832" s="41" t="s">
        <v>1283</v>
      </c>
      <c r="G1832" s="21" t="str">
        <f>VLOOKUP(D1832,[6]成飞半成品!$A:$B,2,0)</f>
        <v>9框前支柱</v>
      </c>
      <c r="H1832" s="10" t="s">
        <v>102</v>
      </c>
      <c r="I1832" s="10">
        <v>35</v>
      </c>
      <c r="J1832" s="10" t="s">
        <v>2253</v>
      </c>
      <c r="K1832" s="10">
        <v>1</v>
      </c>
      <c r="L1832" s="10">
        <v>1</v>
      </c>
      <c r="M1832" s="14"/>
      <c r="N1832" s="14">
        <v>9</v>
      </c>
      <c r="O1832" s="55" t="s">
        <v>596</v>
      </c>
      <c r="Q1832" s="10">
        <v>180</v>
      </c>
      <c r="U1832" s="10">
        <v>90</v>
      </c>
      <c r="W1832" s="14">
        <v>1</v>
      </c>
      <c r="Y1832" s="79">
        <v>4.5</v>
      </c>
      <c r="Z1832" s="56" t="s">
        <v>16</v>
      </c>
    </row>
    <row r="1833" spans="1:28" ht="23.1" customHeight="1" x14ac:dyDescent="0.25">
      <c r="A1833" s="53" t="s">
        <v>1432</v>
      </c>
      <c r="B1833" s="10" t="s">
        <v>110</v>
      </c>
      <c r="C1833" s="10">
        <v>17</v>
      </c>
      <c r="D1833" s="10" t="s">
        <v>1282</v>
      </c>
      <c r="E1833" s="41" t="s">
        <v>1283</v>
      </c>
      <c r="F1833" s="41" t="s">
        <v>1283</v>
      </c>
      <c r="G1833" s="21" t="str">
        <f>VLOOKUP(D1833,[6]成飞半成品!$A:$B,2,0)</f>
        <v>9框前支柱</v>
      </c>
      <c r="H1833" s="10" t="s">
        <v>102</v>
      </c>
      <c r="I1833" s="10">
        <v>40</v>
      </c>
      <c r="J1833" s="10" t="s">
        <v>2254</v>
      </c>
      <c r="K1833" s="10">
        <v>1</v>
      </c>
      <c r="L1833" s="10">
        <v>1</v>
      </c>
      <c r="M1833" s="14"/>
      <c r="N1833" s="14">
        <v>9</v>
      </c>
      <c r="O1833" s="55" t="s">
        <v>596</v>
      </c>
      <c r="Q1833" s="10">
        <v>150</v>
      </c>
      <c r="U1833" s="10">
        <v>60</v>
      </c>
      <c r="W1833" s="14">
        <v>1</v>
      </c>
      <c r="Y1833" s="79">
        <v>3.5</v>
      </c>
      <c r="Z1833" s="56" t="s">
        <v>16</v>
      </c>
    </row>
    <row r="1834" spans="1:28" ht="23.1" customHeight="1" x14ac:dyDescent="0.25">
      <c r="A1834" s="53" t="s">
        <v>1432</v>
      </c>
      <c r="B1834" s="10" t="s">
        <v>110</v>
      </c>
      <c r="C1834" s="10">
        <v>18</v>
      </c>
      <c r="D1834" s="10" t="s">
        <v>921</v>
      </c>
      <c r="E1834" s="41" t="s">
        <v>919</v>
      </c>
      <c r="F1834" s="41" t="s">
        <v>919</v>
      </c>
      <c r="G1834" s="21" t="str">
        <f>VLOOKUP(D1834,[6]成飞半成品!$A:$B,2,0)</f>
        <v>雷达罩锁支座</v>
      </c>
      <c r="H1834" s="10" t="s">
        <v>323</v>
      </c>
      <c r="I1834" s="10">
        <v>20</v>
      </c>
      <c r="J1834" s="10" t="s">
        <v>1960</v>
      </c>
      <c r="K1834" s="10">
        <v>4</v>
      </c>
      <c r="L1834" s="10">
        <v>3</v>
      </c>
      <c r="M1834" s="14">
        <v>9</v>
      </c>
      <c r="N1834" s="14">
        <v>28</v>
      </c>
      <c r="O1834" s="55" t="s">
        <v>780</v>
      </c>
      <c r="Q1834" s="10">
        <v>120</v>
      </c>
      <c r="U1834" s="10">
        <v>90</v>
      </c>
      <c r="W1834" s="14">
        <v>1</v>
      </c>
      <c r="Y1834" s="79">
        <v>7.5</v>
      </c>
      <c r="Z1834" s="56" t="s">
        <v>16</v>
      </c>
    </row>
    <row r="1835" spans="1:28" ht="23.1" customHeight="1" x14ac:dyDescent="0.25">
      <c r="A1835" s="53" t="s">
        <v>1432</v>
      </c>
      <c r="B1835" s="10" t="s">
        <v>110</v>
      </c>
      <c r="C1835" s="10">
        <v>18</v>
      </c>
      <c r="D1835" s="10" t="s">
        <v>921</v>
      </c>
      <c r="E1835" s="41" t="s">
        <v>919</v>
      </c>
      <c r="F1835" s="41" t="s">
        <v>919</v>
      </c>
      <c r="G1835" s="21" t="str">
        <f>VLOOKUP(D1835,[6]成飞半成品!$A:$B,2,0)</f>
        <v>雷达罩锁支座</v>
      </c>
      <c r="H1835" s="10" t="s">
        <v>323</v>
      </c>
      <c r="I1835" s="10">
        <v>20</v>
      </c>
      <c r="J1835" s="10" t="s">
        <v>1960</v>
      </c>
      <c r="L1835" s="10">
        <v>3</v>
      </c>
      <c r="M1835" s="14"/>
      <c r="N1835" s="14">
        <v>26</v>
      </c>
      <c r="O1835" s="55" t="s">
        <v>780</v>
      </c>
      <c r="Q1835" s="10">
        <v>120</v>
      </c>
      <c r="U1835" s="10">
        <v>90</v>
      </c>
      <c r="W1835" s="14"/>
      <c r="Y1835" s="79">
        <v>6</v>
      </c>
      <c r="Z1835" s="56" t="s">
        <v>16</v>
      </c>
    </row>
    <row r="1836" spans="1:28" ht="23.1" customHeight="1" x14ac:dyDescent="0.25">
      <c r="A1836" s="53" t="s">
        <v>1432</v>
      </c>
      <c r="B1836" s="10" t="s">
        <v>110</v>
      </c>
      <c r="C1836" s="10">
        <v>77</v>
      </c>
      <c r="D1836" s="10" t="s">
        <v>727</v>
      </c>
      <c r="E1836" s="41" t="s">
        <v>625</v>
      </c>
      <c r="F1836" s="41" t="s">
        <v>625</v>
      </c>
      <c r="G1836" s="21" t="str">
        <f>VLOOKUP(D1836,[6]成飞半成品!$A:$B,2,0)</f>
        <v>支架</v>
      </c>
      <c r="H1836" s="10" t="s">
        <v>250</v>
      </c>
      <c r="I1836" s="10">
        <v>50</v>
      </c>
      <c r="J1836" s="10" t="s">
        <v>2032</v>
      </c>
      <c r="L1836" s="10">
        <v>10</v>
      </c>
      <c r="M1836" s="14">
        <v>5</v>
      </c>
      <c r="N1836" s="14">
        <v>9</v>
      </c>
      <c r="O1836" s="55" t="s">
        <v>247</v>
      </c>
      <c r="Q1836" s="10">
        <v>60</v>
      </c>
      <c r="U1836" s="10">
        <v>60</v>
      </c>
      <c r="W1836" s="14"/>
      <c r="Y1836" s="79">
        <v>10</v>
      </c>
      <c r="Z1836" s="56" t="s">
        <v>15</v>
      </c>
    </row>
    <row r="1837" spans="1:28" ht="23.1" customHeight="1" x14ac:dyDescent="0.25">
      <c r="A1837" s="53" t="s">
        <v>1432</v>
      </c>
      <c r="B1837" s="10" t="s">
        <v>110</v>
      </c>
      <c r="C1837" s="10">
        <v>77</v>
      </c>
      <c r="D1837" s="10" t="s">
        <v>727</v>
      </c>
      <c r="E1837" s="41" t="s">
        <v>625</v>
      </c>
      <c r="F1837" s="41" t="s">
        <v>625</v>
      </c>
      <c r="G1837" s="21" t="str">
        <f>VLOOKUP(D1837,[6]成飞半成品!$A:$B,2,0)</f>
        <v>支架</v>
      </c>
      <c r="H1837" s="10" t="s">
        <v>250</v>
      </c>
      <c r="I1837" s="10">
        <v>50</v>
      </c>
      <c r="J1837" s="10" t="s">
        <v>2032</v>
      </c>
      <c r="L1837" s="10">
        <v>5</v>
      </c>
      <c r="M1837" s="14">
        <v>5</v>
      </c>
      <c r="N1837" s="14">
        <v>23</v>
      </c>
      <c r="O1837" s="55" t="s">
        <v>216</v>
      </c>
      <c r="Q1837" s="10">
        <v>60</v>
      </c>
      <c r="U1837" s="10">
        <v>60</v>
      </c>
      <c r="W1837" s="14"/>
      <c r="Y1837" s="79">
        <v>5</v>
      </c>
      <c r="Z1837" s="56" t="s">
        <v>15</v>
      </c>
    </row>
    <row r="1838" spans="1:28" ht="23.1" customHeight="1" x14ac:dyDescent="0.25">
      <c r="A1838" s="53" t="s">
        <v>1432</v>
      </c>
      <c r="B1838" s="10" t="s">
        <v>110</v>
      </c>
      <c r="C1838" s="10">
        <v>59</v>
      </c>
      <c r="D1838" s="10" t="s">
        <v>1261</v>
      </c>
      <c r="E1838" s="41" t="s">
        <v>409</v>
      </c>
      <c r="F1838" s="41" t="s">
        <v>409</v>
      </c>
      <c r="G1838" s="21" t="str">
        <f>VLOOKUP(D1838,[6]成飞半成品!$A:$B,2,0)</f>
        <v>接头</v>
      </c>
      <c r="H1838" s="10" t="s">
        <v>102</v>
      </c>
      <c r="I1838" s="10">
        <v>30</v>
      </c>
      <c r="J1838" s="10" t="s">
        <v>2264</v>
      </c>
      <c r="L1838" s="10">
        <v>1</v>
      </c>
      <c r="M1838" s="14">
        <v>9</v>
      </c>
      <c r="N1838" s="14"/>
      <c r="O1838" s="55" t="s">
        <v>596</v>
      </c>
      <c r="Q1838" s="10">
        <v>15</v>
      </c>
      <c r="U1838" s="10">
        <v>60</v>
      </c>
      <c r="W1838" s="14">
        <v>1</v>
      </c>
      <c r="X1838" s="14">
        <v>3</v>
      </c>
      <c r="Y1838" s="79">
        <v>4.3</v>
      </c>
      <c r="Z1838" s="65" t="s">
        <v>1847</v>
      </c>
      <c r="AA1838" s="14" t="s">
        <v>1450</v>
      </c>
    </row>
    <row r="1839" spans="1:28" ht="23.1" customHeight="1" x14ac:dyDescent="0.25">
      <c r="A1839" s="53" t="s">
        <v>1432</v>
      </c>
      <c r="B1839" s="10" t="s">
        <v>110</v>
      </c>
      <c r="C1839" s="10">
        <v>59</v>
      </c>
      <c r="D1839" s="10" t="s">
        <v>1261</v>
      </c>
      <c r="E1839" s="41" t="s">
        <v>409</v>
      </c>
      <c r="F1839" s="41" t="s">
        <v>409</v>
      </c>
      <c r="G1839" s="21" t="str">
        <f>VLOOKUP(D1839,[6]成飞半成品!$A:$B,2,0)</f>
        <v>接头</v>
      </c>
      <c r="H1839" s="10" t="s">
        <v>102</v>
      </c>
      <c r="I1839" s="10">
        <v>35</v>
      </c>
      <c r="J1839" s="10" t="s">
        <v>2265</v>
      </c>
      <c r="L1839" s="10">
        <v>1</v>
      </c>
      <c r="M1839" s="14"/>
      <c r="N1839" s="14">
        <v>5</v>
      </c>
      <c r="O1839" s="55" t="s">
        <v>596</v>
      </c>
      <c r="Q1839" s="10">
        <v>15</v>
      </c>
      <c r="U1839" s="10">
        <v>60</v>
      </c>
      <c r="W1839" s="14">
        <v>1</v>
      </c>
      <c r="X1839" s="14">
        <v>2</v>
      </c>
      <c r="Y1839" s="79">
        <v>3.3</v>
      </c>
      <c r="Z1839" s="65" t="s">
        <v>1847</v>
      </c>
      <c r="AA1839" s="14" t="s">
        <v>1451</v>
      </c>
    </row>
    <row r="1840" spans="1:28" ht="23.1" customHeight="1" x14ac:dyDescent="0.25">
      <c r="A1840" s="53" t="s">
        <v>1432</v>
      </c>
      <c r="B1840" s="10" t="s">
        <v>110</v>
      </c>
      <c r="C1840" s="10">
        <v>59</v>
      </c>
      <c r="D1840" s="10" t="s">
        <v>1428</v>
      </c>
      <c r="E1840" s="41" t="s">
        <v>1452</v>
      </c>
      <c r="F1840" s="41" t="s">
        <v>1452</v>
      </c>
      <c r="G1840" s="21" t="str">
        <f>VLOOKUP(D1840,[6]成飞半成品!$A:$B,2,0)</f>
        <v>加强梁</v>
      </c>
      <c r="H1840" s="10" t="s">
        <v>102</v>
      </c>
      <c r="I1840" s="10">
        <v>15</v>
      </c>
      <c r="J1840" s="10" t="s">
        <v>2259</v>
      </c>
      <c r="L1840" s="10">
        <v>1.9</v>
      </c>
      <c r="M1840" s="14">
        <v>5</v>
      </c>
      <c r="N1840" s="14">
        <v>9</v>
      </c>
      <c r="O1840" s="55" t="s">
        <v>596</v>
      </c>
      <c r="Q1840" s="10">
        <v>80</v>
      </c>
      <c r="U1840" s="10">
        <v>60</v>
      </c>
      <c r="W1840" s="14"/>
      <c r="Y1840" s="79">
        <v>2.5</v>
      </c>
      <c r="Z1840" s="65" t="s">
        <v>1847</v>
      </c>
    </row>
    <row r="1841" spans="1:28" ht="23.1" customHeight="1" x14ac:dyDescent="0.25">
      <c r="A1841" s="53" t="s">
        <v>1432</v>
      </c>
      <c r="B1841" s="10" t="s">
        <v>110</v>
      </c>
      <c r="C1841" s="10">
        <v>57</v>
      </c>
      <c r="D1841" s="10" t="s">
        <v>1031</v>
      </c>
      <c r="E1841" s="41" t="s">
        <v>1032</v>
      </c>
      <c r="F1841" s="41" t="s">
        <v>1032</v>
      </c>
      <c r="G1841" s="21" t="str">
        <f>VLOOKUP(D1841,[6]成飞半成品!$A:$B,2,0)</f>
        <v>前上大梁（左）</v>
      </c>
      <c r="H1841" s="10" t="s">
        <v>107</v>
      </c>
      <c r="I1841" s="10">
        <v>30</v>
      </c>
      <c r="J1841" s="10" t="s">
        <v>2242</v>
      </c>
      <c r="K1841" s="10">
        <v>2</v>
      </c>
      <c r="L1841" s="10">
        <v>3</v>
      </c>
      <c r="M1841" s="14">
        <v>5</v>
      </c>
      <c r="N1841" s="14">
        <v>5</v>
      </c>
      <c r="O1841" s="55" t="s">
        <v>1453</v>
      </c>
      <c r="Q1841" s="10">
        <v>220</v>
      </c>
      <c r="U1841" s="10">
        <v>90</v>
      </c>
      <c r="W1841" s="14"/>
      <c r="Y1841" s="79">
        <v>11</v>
      </c>
      <c r="Z1841" s="56" t="s">
        <v>7</v>
      </c>
    </row>
    <row r="1842" spans="1:28" ht="23.1" customHeight="1" x14ac:dyDescent="0.25">
      <c r="A1842" s="53" t="s">
        <v>1432</v>
      </c>
      <c r="B1842" s="10" t="s">
        <v>110</v>
      </c>
      <c r="C1842" s="10">
        <v>58</v>
      </c>
      <c r="D1842" s="85" t="s">
        <v>2551</v>
      </c>
      <c r="E1842" s="41" t="s">
        <v>1406</v>
      </c>
      <c r="F1842" s="41" t="e">
        <v>#N/A</v>
      </c>
      <c r="G1842" s="21" t="str">
        <f>VLOOKUP(D1842,[6]成飞半成品!$A:$B,2,0)</f>
        <v>工装</v>
      </c>
      <c r="H1842" s="10" t="s">
        <v>102</v>
      </c>
      <c r="I1842" s="10">
        <v>30</v>
      </c>
      <c r="K1842" s="10">
        <v>1</v>
      </c>
      <c r="L1842" s="10">
        <v>1</v>
      </c>
      <c r="M1842" s="14">
        <v>5</v>
      </c>
      <c r="N1842" s="14"/>
      <c r="O1842" s="55" t="s">
        <v>108</v>
      </c>
      <c r="W1842" s="14"/>
      <c r="X1842" s="14">
        <v>20</v>
      </c>
      <c r="Y1842" s="79">
        <v>20</v>
      </c>
      <c r="Z1842" s="56" t="s">
        <v>7</v>
      </c>
      <c r="AA1842" s="14" t="s">
        <v>1454</v>
      </c>
      <c r="AB1842" s="14" t="s">
        <v>957</v>
      </c>
    </row>
    <row r="1843" spans="1:28" ht="23.1" customHeight="1" x14ac:dyDescent="0.25">
      <c r="A1843" s="53" t="s">
        <v>1432</v>
      </c>
      <c r="B1843" s="10" t="s">
        <v>110</v>
      </c>
      <c r="C1843" s="10">
        <v>11</v>
      </c>
      <c r="D1843" s="25" t="s">
        <v>2551</v>
      </c>
      <c r="E1843" s="41" t="s">
        <v>1410</v>
      </c>
      <c r="F1843" s="41" t="e">
        <v>#N/A</v>
      </c>
      <c r="G1843" s="21" t="str">
        <f>VLOOKUP(D1843,[6]成飞半成品!$A:$B,2,0)</f>
        <v>工装</v>
      </c>
      <c r="I1843" s="10">
        <v>10</v>
      </c>
      <c r="K1843" s="10">
        <v>2</v>
      </c>
      <c r="L1843" s="10">
        <v>8</v>
      </c>
      <c r="M1843" s="14">
        <v>28</v>
      </c>
      <c r="N1843" s="14">
        <v>28</v>
      </c>
      <c r="W1843" s="14"/>
      <c r="X1843" s="14">
        <v>10</v>
      </c>
      <c r="Y1843" s="79">
        <v>10</v>
      </c>
      <c r="Z1843" s="56" t="s">
        <v>63</v>
      </c>
    </row>
    <row r="1844" spans="1:28" ht="23.1" customHeight="1" x14ac:dyDescent="0.25">
      <c r="A1844" s="53" t="s">
        <v>1432</v>
      </c>
      <c r="B1844" s="10" t="s">
        <v>110</v>
      </c>
      <c r="C1844" s="10">
        <v>11</v>
      </c>
      <c r="D1844" s="10" t="s">
        <v>1296</v>
      </c>
      <c r="E1844" s="41" t="s">
        <v>1297</v>
      </c>
      <c r="F1844" s="41" t="s">
        <v>1297</v>
      </c>
      <c r="G1844" s="21" t="str">
        <f>VLOOKUP(D1844,[6]成飞半成品!$A:$B,2,0)</f>
        <v>固定板</v>
      </c>
      <c r="H1844" s="10" t="s">
        <v>154</v>
      </c>
      <c r="I1844" s="10">
        <v>35</v>
      </c>
      <c r="J1844" s="10" t="s">
        <v>2073</v>
      </c>
      <c r="K1844" s="10">
        <v>10</v>
      </c>
      <c r="L1844" s="10">
        <v>1</v>
      </c>
      <c r="M1844" s="14">
        <v>28</v>
      </c>
      <c r="N1844" s="14"/>
      <c r="O1844" s="55" t="s">
        <v>199</v>
      </c>
      <c r="Q1844" s="10">
        <v>150</v>
      </c>
      <c r="U1844" s="10">
        <v>60</v>
      </c>
      <c r="W1844" s="14"/>
      <c r="Y1844" s="79">
        <v>2.5</v>
      </c>
      <c r="Z1844" s="56" t="s">
        <v>63</v>
      </c>
    </row>
    <row r="1845" spans="1:28" ht="23.1" customHeight="1" x14ac:dyDescent="0.25">
      <c r="A1845" s="53" t="s">
        <v>1432</v>
      </c>
      <c r="B1845" s="10" t="s">
        <v>110</v>
      </c>
      <c r="C1845" s="10">
        <v>22</v>
      </c>
      <c r="D1845" s="10" t="s">
        <v>635</v>
      </c>
      <c r="E1845" s="41" t="s">
        <v>612</v>
      </c>
      <c r="F1845" s="41" t="s">
        <v>612</v>
      </c>
      <c r="G1845" s="21" t="str">
        <f>VLOOKUP(D1845,[6]成飞半成品!$A:$B,2,0)</f>
        <v>前梁二段</v>
      </c>
      <c r="H1845" s="10" t="s">
        <v>154</v>
      </c>
      <c r="I1845" s="10">
        <v>15</v>
      </c>
      <c r="J1845" s="10" t="s">
        <v>2266</v>
      </c>
      <c r="K1845" s="10">
        <v>0.5</v>
      </c>
      <c r="L1845" s="10">
        <v>0.6</v>
      </c>
      <c r="M1845" s="14">
        <v>5</v>
      </c>
      <c r="N1845" s="14"/>
      <c r="O1845" s="55" t="s">
        <v>613</v>
      </c>
      <c r="Q1845" s="10">
        <v>300</v>
      </c>
      <c r="W1845" s="14"/>
      <c r="Y1845" s="79">
        <v>3</v>
      </c>
      <c r="Z1845" s="56" t="s">
        <v>58</v>
      </c>
      <c r="AA1845" s="14" t="s">
        <v>1456</v>
      </c>
    </row>
    <row r="1846" spans="1:28" ht="23.1" customHeight="1" x14ac:dyDescent="0.25">
      <c r="A1846" s="53" t="s">
        <v>1432</v>
      </c>
      <c r="B1846" s="10" t="s">
        <v>110</v>
      </c>
      <c r="C1846" s="10">
        <v>55</v>
      </c>
      <c r="D1846" s="10" t="s">
        <v>1457</v>
      </c>
      <c r="E1846" s="41" t="s">
        <v>409</v>
      </c>
      <c r="F1846" s="41" t="s">
        <v>409</v>
      </c>
      <c r="G1846" s="21" t="str">
        <f>VLOOKUP(D1846,[6]成飞半成品!$A:$B,2,0)</f>
        <v>接头</v>
      </c>
      <c r="H1846" s="10" t="s">
        <v>102</v>
      </c>
      <c r="I1846" s="10">
        <v>30</v>
      </c>
      <c r="J1846" s="10" t="s">
        <v>2267</v>
      </c>
      <c r="K1846" s="10">
        <v>6</v>
      </c>
      <c r="L1846" s="10">
        <v>7</v>
      </c>
      <c r="M1846" s="14">
        <v>9</v>
      </c>
      <c r="N1846" s="14">
        <v>5</v>
      </c>
      <c r="O1846" s="55" t="s">
        <v>596</v>
      </c>
      <c r="Q1846" s="10">
        <v>90</v>
      </c>
      <c r="U1846" s="10">
        <v>60</v>
      </c>
      <c r="W1846" s="14"/>
      <c r="Y1846" s="79">
        <v>10.5</v>
      </c>
      <c r="Z1846" s="56" t="s">
        <v>44</v>
      </c>
    </row>
    <row r="1847" spans="1:28" ht="23.1" customHeight="1" x14ac:dyDescent="0.25">
      <c r="A1847" s="53" t="s">
        <v>1432</v>
      </c>
      <c r="B1847" s="10" t="s">
        <v>110</v>
      </c>
      <c r="C1847" s="10">
        <v>78</v>
      </c>
      <c r="D1847" s="10" t="s">
        <v>1423</v>
      </c>
      <c r="E1847" s="41" t="s">
        <v>1424</v>
      </c>
      <c r="F1847" s="41" t="s">
        <v>1424</v>
      </c>
      <c r="G1847" s="21" t="str">
        <f>VLOOKUP(D1847,[6]成飞半成品!$A:$B,2,0)</f>
        <v>9480梁（右件）</v>
      </c>
      <c r="H1847" s="10" t="s">
        <v>300</v>
      </c>
      <c r="I1847" s="10">
        <v>20</v>
      </c>
      <c r="J1847" s="10" t="s">
        <v>2477</v>
      </c>
      <c r="K1847" s="10">
        <v>2</v>
      </c>
      <c r="L1847" s="10">
        <v>1</v>
      </c>
      <c r="M1847" s="14">
        <v>28</v>
      </c>
      <c r="N1847" s="14"/>
      <c r="O1847" s="55" t="s">
        <v>1312</v>
      </c>
      <c r="Q1847" s="10">
        <v>320</v>
      </c>
      <c r="R1847" s="10">
        <v>60</v>
      </c>
      <c r="T1847" s="10">
        <v>1</v>
      </c>
      <c r="U1847" s="10">
        <v>60</v>
      </c>
      <c r="W1847" s="14"/>
      <c r="X1847" s="14">
        <v>5</v>
      </c>
      <c r="Y1847" s="79">
        <v>11.3</v>
      </c>
      <c r="Z1847" s="56" t="s">
        <v>19</v>
      </c>
      <c r="AA1847" s="14" t="s">
        <v>1458</v>
      </c>
      <c r="AB1847" s="14" t="s">
        <v>957</v>
      </c>
    </row>
    <row r="1848" spans="1:28" ht="23.1" customHeight="1" x14ac:dyDescent="0.25">
      <c r="A1848" s="53" t="s">
        <v>1432</v>
      </c>
      <c r="B1848" s="10" t="s">
        <v>110</v>
      </c>
      <c r="C1848" s="10">
        <v>56</v>
      </c>
      <c r="D1848" s="10" t="s">
        <v>1397</v>
      </c>
      <c r="E1848" s="41" t="s">
        <v>1398</v>
      </c>
      <c r="F1848" s="41" t="s">
        <v>1398</v>
      </c>
      <c r="G1848" s="21" t="str">
        <f>VLOOKUP(D1848,[6]成飞半成品!$A:$B,2,0)</f>
        <v>受剪接头</v>
      </c>
      <c r="H1848" s="10" t="s">
        <v>118</v>
      </c>
      <c r="I1848" s="10">
        <v>25</v>
      </c>
      <c r="J1848" s="10" t="s">
        <v>2054</v>
      </c>
      <c r="K1848" s="10">
        <v>3.5</v>
      </c>
      <c r="L1848" s="10">
        <v>5</v>
      </c>
      <c r="M1848" s="14">
        <v>23</v>
      </c>
      <c r="N1848" s="14">
        <v>28</v>
      </c>
      <c r="O1848" s="55" t="s">
        <v>1459</v>
      </c>
      <c r="Q1848" s="10">
        <v>160</v>
      </c>
      <c r="U1848" s="10">
        <v>60</v>
      </c>
      <c r="W1848" s="14">
        <v>1</v>
      </c>
      <c r="Y1848" s="79">
        <v>14.3</v>
      </c>
      <c r="Z1848" s="56" t="s">
        <v>44</v>
      </c>
    </row>
    <row r="1849" spans="1:28" ht="23.1" customHeight="1" x14ac:dyDescent="0.25">
      <c r="A1849" s="53" t="s">
        <v>1432</v>
      </c>
      <c r="B1849" s="10" t="s">
        <v>110</v>
      </c>
      <c r="C1849" s="10">
        <v>56</v>
      </c>
      <c r="D1849" s="10" t="s">
        <v>1397</v>
      </c>
      <c r="E1849" s="41" t="s">
        <v>1398</v>
      </c>
      <c r="F1849" s="41" t="s">
        <v>1398</v>
      </c>
      <c r="G1849" s="21" t="str">
        <f>VLOOKUP(D1849,[6]成飞半成品!$A:$B,2,0)</f>
        <v>受剪接头</v>
      </c>
      <c r="H1849" s="10" t="s">
        <v>118</v>
      </c>
      <c r="I1849" s="10">
        <v>22</v>
      </c>
      <c r="K1849" s="10">
        <v>0</v>
      </c>
      <c r="L1849" s="10">
        <v>8</v>
      </c>
      <c r="M1849" s="14">
        <v>23</v>
      </c>
      <c r="N1849" s="14">
        <v>28</v>
      </c>
      <c r="O1849" s="55" t="s">
        <v>1399</v>
      </c>
      <c r="P1849" s="10">
        <v>15</v>
      </c>
      <c r="W1849" s="14"/>
      <c r="Y1849" s="83">
        <v>2</v>
      </c>
      <c r="Z1849" s="56" t="s">
        <v>44</v>
      </c>
    </row>
    <row r="1850" spans="1:28" ht="23.1" customHeight="1" x14ac:dyDescent="0.25">
      <c r="A1850" s="53" t="s">
        <v>1432</v>
      </c>
      <c r="B1850" s="10" t="s">
        <v>110</v>
      </c>
      <c r="C1850" s="10">
        <v>108</v>
      </c>
      <c r="D1850" s="10" t="s">
        <v>889</v>
      </c>
      <c r="E1850" s="41" t="s">
        <v>887</v>
      </c>
      <c r="F1850" s="41" t="s">
        <v>887</v>
      </c>
      <c r="G1850" s="21" t="str">
        <f>VLOOKUP(D1850,[6]成飞半成品!$A:$B,2,0)</f>
        <v>外侧梁</v>
      </c>
      <c r="H1850" s="10" t="s">
        <v>154</v>
      </c>
      <c r="I1850" s="10">
        <v>50</v>
      </c>
      <c r="J1850" s="10" t="s">
        <v>2238</v>
      </c>
      <c r="K1850" s="10">
        <v>0.5</v>
      </c>
      <c r="L1850" s="10">
        <v>0.5</v>
      </c>
      <c r="M1850" s="14">
        <v>28</v>
      </c>
      <c r="N1850" s="14"/>
      <c r="O1850" s="55" t="s">
        <v>159</v>
      </c>
      <c r="Q1850" s="10">
        <v>1920</v>
      </c>
      <c r="R1850" s="10">
        <v>60</v>
      </c>
      <c r="U1850" s="10">
        <v>90</v>
      </c>
      <c r="W1850" s="14"/>
      <c r="Y1850" s="79">
        <v>16</v>
      </c>
      <c r="Z1850" s="56" t="s">
        <v>45</v>
      </c>
    </row>
    <row r="1851" spans="1:28" ht="23.1" customHeight="1" x14ac:dyDescent="0.25">
      <c r="A1851" s="53" t="s">
        <v>1432</v>
      </c>
      <c r="B1851" s="10" t="s">
        <v>110</v>
      </c>
      <c r="C1851" s="10">
        <v>14</v>
      </c>
      <c r="D1851" s="10" t="s">
        <v>1388</v>
      </c>
      <c r="E1851" s="41" t="s">
        <v>625</v>
      </c>
      <c r="F1851" s="41" t="s">
        <v>625</v>
      </c>
      <c r="G1851" s="21" t="str">
        <f>VLOOKUP(D1851,[6]成飞半成品!$A:$B,2,0)</f>
        <v>支架</v>
      </c>
      <c r="H1851" s="10" t="s">
        <v>250</v>
      </c>
      <c r="I1851" s="10">
        <v>15</v>
      </c>
      <c r="J1851" s="10" t="s">
        <v>2256</v>
      </c>
      <c r="K1851" s="10">
        <v>4</v>
      </c>
      <c r="L1851" s="10">
        <v>3</v>
      </c>
      <c r="M1851" s="14">
        <v>5</v>
      </c>
      <c r="N1851" s="14">
        <v>5</v>
      </c>
      <c r="O1851" s="55" t="s">
        <v>1389</v>
      </c>
      <c r="Q1851" s="10">
        <v>140</v>
      </c>
      <c r="U1851" s="10">
        <v>120</v>
      </c>
      <c r="W1851" s="14"/>
      <c r="Y1851" s="79">
        <v>7</v>
      </c>
      <c r="Z1851" s="56" t="s">
        <v>31</v>
      </c>
    </row>
    <row r="1852" spans="1:28" ht="23.1" customHeight="1" x14ac:dyDescent="0.25">
      <c r="A1852" s="53" t="s">
        <v>1432</v>
      </c>
      <c r="B1852" s="10" t="s">
        <v>110</v>
      </c>
      <c r="C1852" s="10">
        <v>14</v>
      </c>
      <c r="D1852" s="10" t="s">
        <v>1388</v>
      </c>
      <c r="E1852" s="41" t="s">
        <v>625</v>
      </c>
      <c r="F1852" s="41" t="s">
        <v>625</v>
      </c>
      <c r="G1852" s="21" t="str">
        <f>VLOOKUP(D1852,[6]成飞半成品!$A:$B,2,0)</f>
        <v>支架</v>
      </c>
      <c r="H1852" s="10" t="s">
        <v>250</v>
      </c>
      <c r="I1852" s="10">
        <v>20</v>
      </c>
      <c r="J1852" s="10" t="s">
        <v>2311</v>
      </c>
      <c r="L1852" s="10">
        <v>5</v>
      </c>
      <c r="M1852" s="14">
        <v>5</v>
      </c>
      <c r="N1852" s="14">
        <v>31</v>
      </c>
      <c r="O1852" s="55" t="s">
        <v>1389</v>
      </c>
      <c r="Q1852" s="10">
        <v>140</v>
      </c>
      <c r="U1852" s="10">
        <v>120</v>
      </c>
      <c r="W1852" s="14">
        <v>1</v>
      </c>
      <c r="X1852" s="14">
        <v>2</v>
      </c>
      <c r="Y1852" s="79">
        <v>15.7</v>
      </c>
      <c r="Z1852" s="56" t="s">
        <v>31</v>
      </c>
      <c r="AA1852" s="14" t="s">
        <v>1376</v>
      </c>
      <c r="AB1852" s="25" t="s">
        <v>238</v>
      </c>
    </row>
    <row r="1853" spans="1:28" ht="23.1" customHeight="1" x14ac:dyDescent="0.25">
      <c r="A1853" s="53" t="s">
        <v>1432</v>
      </c>
      <c r="B1853" s="10" t="s">
        <v>137</v>
      </c>
      <c r="C1853" s="10">
        <v>57</v>
      </c>
      <c r="D1853" s="10" t="s">
        <v>1042</v>
      </c>
      <c r="E1853" s="41" t="s">
        <v>1032</v>
      </c>
      <c r="F1853" s="41" t="s">
        <v>1281</v>
      </c>
      <c r="G1853" s="21" t="str">
        <f>VLOOKUP(D1853,[6]成飞半成品!$A:$B,2,0)</f>
        <v>前上大梁（右）</v>
      </c>
      <c r="H1853" s="10" t="s">
        <v>107</v>
      </c>
      <c r="I1853" s="10">
        <v>30</v>
      </c>
      <c r="J1853" s="10" t="s">
        <v>2242</v>
      </c>
      <c r="K1853" s="10">
        <v>3</v>
      </c>
      <c r="L1853" s="10">
        <v>3</v>
      </c>
      <c r="M1853" s="14">
        <v>28</v>
      </c>
      <c r="N1853" s="14">
        <v>28</v>
      </c>
      <c r="O1853" s="55" t="s">
        <v>1033</v>
      </c>
      <c r="Q1853" s="10">
        <v>220</v>
      </c>
      <c r="U1853" s="10">
        <v>90</v>
      </c>
      <c r="W1853" s="14">
        <v>1</v>
      </c>
      <c r="Y1853" s="79">
        <v>12.5</v>
      </c>
      <c r="Z1853" s="56" t="s">
        <v>57</v>
      </c>
    </row>
    <row r="1854" spans="1:28" ht="23.1" customHeight="1" x14ac:dyDescent="0.25">
      <c r="A1854" s="53" t="s">
        <v>1432</v>
      </c>
      <c r="B1854" s="10" t="s">
        <v>137</v>
      </c>
      <c r="C1854" s="10">
        <v>59</v>
      </c>
      <c r="D1854" s="10" t="s">
        <v>1428</v>
      </c>
      <c r="E1854" s="41" t="s">
        <v>1452</v>
      </c>
      <c r="F1854" s="41" t="s">
        <v>1452</v>
      </c>
      <c r="G1854" s="21" t="str">
        <f>VLOOKUP(D1854,[6]成飞半成品!$A:$B,2,0)</f>
        <v>加强梁</v>
      </c>
      <c r="H1854" s="10" t="s">
        <v>102</v>
      </c>
      <c r="I1854" s="10">
        <v>20</v>
      </c>
      <c r="J1854" s="10" t="s">
        <v>2269</v>
      </c>
      <c r="L1854" s="10">
        <v>2</v>
      </c>
      <c r="M1854" s="14"/>
      <c r="N1854" s="14"/>
      <c r="O1854" s="55" t="s">
        <v>596</v>
      </c>
      <c r="Q1854" s="10">
        <v>100</v>
      </c>
      <c r="U1854" s="10">
        <v>90</v>
      </c>
      <c r="W1854" s="14"/>
      <c r="Y1854" s="79">
        <v>3.3</v>
      </c>
      <c r="Z1854" s="56" t="s">
        <v>42</v>
      </c>
      <c r="AA1854" s="14" t="s">
        <v>1460</v>
      </c>
    </row>
    <row r="1855" spans="1:28" ht="23.1" customHeight="1" x14ac:dyDescent="0.25">
      <c r="A1855" s="53" t="s">
        <v>1432</v>
      </c>
      <c r="B1855" s="10" t="s">
        <v>137</v>
      </c>
      <c r="C1855" s="10">
        <v>59</v>
      </c>
      <c r="D1855" s="10" t="s">
        <v>1428</v>
      </c>
      <c r="E1855" s="41" t="s">
        <v>1452</v>
      </c>
      <c r="F1855" s="41" t="s">
        <v>1452</v>
      </c>
      <c r="G1855" s="21" t="str">
        <f>VLOOKUP(D1855,[6]成飞半成品!$A:$B,2,0)</f>
        <v>加强梁</v>
      </c>
      <c r="H1855" s="10" t="s">
        <v>102</v>
      </c>
      <c r="I1855" s="10">
        <v>25</v>
      </c>
      <c r="J1855" s="10" t="s">
        <v>2270</v>
      </c>
      <c r="L1855" s="10">
        <v>2</v>
      </c>
      <c r="M1855" s="14"/>
      <c r="N1855" s="14"/>
      <c r="O1855" s="55" t="s">
        <v>596</v>
      </c>
      <c r="Q1855" s="10">
        <v>35</v>
      </c>
      <c r="U1855" s="10">
        <v>60</v>
      </c>
      <c r="W1855" s="14"/>
      <c r="X1855" s="14">
        <v>2</v>
      </c>
      <c r="Y1855" s="79">
        <v>3.2</v>
      </c>
      <c r="Z1855" s="56" t="s">
        <v>42</v>
      </c>
      <c r="AA1855" s="14" t="s">
        <v>1441</v>
      </c>
      <c r="AB1855" s="25" t="s">
        <v>238</v>
      </c>
    </row>
    <row r="1856" spans="1:28" ht="23.1" customHeight="1" x14ac:dyDescent="0.25">
      <c r="A1856" s="53" t="s">
        <v>1432</v>
      </c>
      <c r="B1856" s="10" t="s">
        <v>137</v>
      </c>
      <c r="C1856" s="10">
        <v>59</v>
      </c>
      <c r="D1856" s="10" t="s">
        <v>1428</v>
      </c>
      <c r="E1856" s="41" t="s">
        <v>1452</v>
      </c>
      <c r="F1856" s="41" t="s">
        <v>1452</v>
      </c>
      <c r="G1856" s="21" t="str">
        <f>VLOOKUP(D1856,[6]成飞半成品!$A:$B,2,0)</f>
        <v>加强梁</v>
      </c>
      <c r="H1856" s="10" t="s">
        <v>102</v>
      </c>
      <c r="I1856" s="10">
        <v>30</v>
      </c>
      <c r="J1856" s="10" t="s">
        <v>1990</v>
      </c>
      <c r="L1856" s="10">
        <v>2</v>
      </c>
      <c r="M1856" s="14"/>
      <c r="N1856" s="14"/>
      <c r="O1856" s="55" t="s">
        <v>596</v>
      </c>
      <c r="Q1856" s="10">
        <v>80</v>
      </c>
      <c r="U1856" s="10">
        <v>60</v>
      </c>
      <c r="W1856" s="14"/>
      <c r="Y1856" s="79">
        <v>2.7</v>
      </c>
      <c r="Z1856" s="56" t="s">
        <v>42</v>
      </c>
      <c r="AA1856" s="14" t="s">
        <v>1269</v>
      </c>
      <c r="AB1856" s="14" t="s">
        <v>957</v>
      </c>
    </row>
    <row r="1857" spans="1:28" ht="23.1" customHeight="1" x14ac:dyDescent="0.25">
      <c r="A1857" s="53" t="s">
        <v>1432</v>
      </c>
      <c r="B1857" s="10" t="s">
        <v>137</v>
      </c>
      <c r="C1857" s="10">
        <v>9</v>
      </c>
      <c r="D1857" s="10" t="s">
        <v>1362</v>
      </c>
      <c r="E1857" s="41" t="s">
        <v>409</v>
      </c>
      <c r="F1857" s="41" t="s">
        <v>409</v>
      </c>
      <c r="G1857" s="21" t="str">
        <f>VLOOKUP(D1857,[6]成飞半成品!$A:$B,2,0)</f>
        <v>接头</v>
      </c>
      <c r="H1857" s="10" t="s">
        <v>102</v>
      </c>
      <c r="I1857" s="10">
        <v>25</v>
      </c>
      <c r="J1857" s="10" t="s">
        <v>2208</v>
      </c>
      <c r="K1857" s="10">
        <v>1</v>
      </c>
      <c r="L1857" s="10">
        <v>1</v>
      </c>
      <c r="M1857" s="14">
        <v>28</v>
      </c>
      <c r="N1857" s="14">
        <v>28</v>
      </c>
      <c r="O1857" s="55" t="s">
        <v>596</v>
      </c>
      <c r="Q1857" s="10">
        <v>55</v>
      </c>
      <c r="U1857" s="10">
        <v>90</v>
      </c>
      <c r="W1857" s="14">
        <v>1</v>
      </c>
      <c r="Y1857" s="79">
        <v>2.4</v>
      </c>
      <c r="Z1857" s="56" t="s">
        <v>55</v>
      </c>
      <c r="AA1857" s="14" t="s">
        <v>1269</v>
      </c>
      <c r="AB1857" s="14" t="s">
        <v>957</v>
      </c>
    </row>
    <row r="1858" spans="1:28" ht="23.1" customHeight="1" x14ac:dyDescent="0.25">
      <c r="A1858" s="53" t="s">
        <v>1432</v>
      </c>
      <c r="B1858" s="10" t="s">
        <v>137</v>
      </c>
      <c r="C1858" s="10">
        <v>9</v>
      </c>
      <c r="D1858" s="10" t="s">
        <v>1419</v>
      </c>
      <c r="E1858" s="41" t="s">
        <v>409</v>
      </c>
      <c r="F1858" s="41" t="s">
        <v>409</v>
      </c>
      <c r="G1858" s="21" t="str">
        <f>VLOOKUP(D1858,[6]成飞半成品!$A:$B,2,0)</f>
        <v>接头</v>
      </c>
      <c r="H1858" s="10" t="s">
        <v>102</v>
      </c>
      <c r="I1858" s="10">
        <v>20</v>
      </c>
      <c r="J1858" s="10" t="s">
        <v>2271</v>
      </c>
      <c r="L1858" s="10">
        <v>1</v>
      </c>
      <c r="M1858" s="14">
        <v>28</v>
      </c>
      <c r="N1858" s="14"/>
      <c r="O1858" s="55" t="s">
        <v>596</v>
      </c>
      <c r="Q1858" s="10">
        <v>25</v>
      </c>
      <c r="U1858" s="10">
        <v>60</v>
      </c>
      <c r="W1858" s="14">
        <v>1</v>
      </c>
      <c r="Y1858" s="79">
        <v>1.4</v>
      </c>
      <c r="Z1858" s="56" t="s">
        <v>55</v>
      </c>
      <c r="AA1858" s="14" t="s">
        <v>1269</v>
      </c>
      <c r="AB1858" s="14" t="s">
        <v>957</v>
      </c>
    </row>
    <row r="1859" spans="1:28" ht="23.1" customHeight="1" x14ac:dyDescent="0.25">
      <c r="A1859" s="53" t="s">
        <v>1432</v>
      </c>
      <c r="B1859" s="10" t="s">
        <v>137</v>
      </c>
      <c r="C1859" s="10">
        <v>9</v>
      </c>
      <c r="D1859" s="10" t="s">
        <v>1419</v>
      </c>
      <c r="E1859" s="41" t="s">
        <v>409</v>
      </c>
      <c r="F1859" s="41" t="s">
        <v>409</v>
      </c>
      <c r="G1859" s="21" t="str">
        <f>VLOOKUP(D1859,[6]成飞半成品!$A:$B,2,0)</f>
        <v>接头</v>
      </c>
      <c r="H1859" s="10" t="s">
        <v>102</v>
      </c>
      <c r="I1859" s="10">
        <v>25</v>
      </c>
      <c r="J1859" s="10" t="s">
        <v>1970</v>
      </c>
      <c r="L1859" s="10">
        <v>1</v>
      </c>
      <c r="M1859" s="14">
        <v>28</v>
      </c>
      <c r="N1859" s="14"/>
      <c r="O1859" s="55" t="s">
        <v>596</v>
      </c>
      <c r="Q1859" s="10">
        <v>15</v>
      </c>
      <c r="U1859" s="10">
        <v>60</v>
      </c>
      <c r="W1859" s="14">
        <v>1</v>
      </c>
      <c r="Y1859" s="79">
        <v>1.3</v>
      </c>
      <c r="Z1859" s="56" t="s">
        <v>55</v>
      </c>
    </row>
    <row r="1860" spans="1:28" ht="23.1" customHeight="1" x14ac:dyDescent="0.25">
      <c r="A1860" s="53" t="s">
        <v>1432</v>
      </c>
      <c r="B1860" s="10" t="s">
        <v>137</v>
      </c>
      <c r="C1860" s="10">
        <v>10</v>
      </c>
      <c r="D1860" s="10" t="s">
        <v>217</v>
      </c>
      <c r="E1860" s="41" t="s">
        <v>218</v>
      </c>
      <c r="F1860" s="41" t="s">
        <v>218</v>
      </c>
      <c r="G1860" s="21" t="str">
        <f>VLOOKUP(D1860,[6]成飞半成品!$A:$B,2,0)</f>
        <v>横梁</v>
      </c>
      <c r="H1860" s="10" t="s">
        <v>107</v>
      </c>
      <c r="I1860" s="10">
        <v>55</v>
      </c>
      <c r="J1860" s="10" t="s">
        <v>2227</v>
      </c>
      <c r="K1860" s="10">
        <v>0.3</v>
      </c>
      <c r="L1860" s="10">
        <v>0.3</v>
      </c>
      <c r="M1860" s="14">
        <v>31</v>
      </c>
      <c r="N1860" s="14"/>
      <c r="O1860" s="55" t="s">
        <v>664</v>
      </c>
      <c r="Q1860" s="10">
        <v>270</v>
      </c>
      <c r="U1860" s="10">
        <v>90</v>
      </c>
      <c r="W1860" s="14"/>
      <c r="Y1860" s="79">
        <v>1.4</v>
      </c>
      <c r="Z1860" s="56" t="s">
        <v>55</v>
      </c>
    </row>
    <row r="1861" spans="1:28" ht="23.1" customHeight="1" x14ac:dyDescent="0.25">
      <c r="A1861" s="53" t="s">
        <v>1432</v>
      </c>
      <c r="B1861" s="10" t="s">
        <v>137</v>
      </c>
      <c r="C1861" s="10">
        <v>10</v>
      </c>
      <c r="D1861" s="10" t="s">
        <v>217</v>
      </c>
      <c r="E1861" s="41" t="s">
        <v>218</v>
      </c>
      <c r="F1861" s="41" t="s">
        <v>218</v>
      </c>
      <c r="G1861" s="21" t="str">
        <f>VLOOKUP(D1861,[6]成飞半成品!$A:$B,2,0)</f>
        <v>横梁</v>
      </c>
      <c r="H1861" s="10" t="s">
        <v>107</v>
      </c>
      <c r="I1861" s="10">
        <v>55</v>
      </c>
      <c r="J1861" s="10" t="s">
        <v>2227</v>
      </c>
      <c r="K1861" s="10">
        <v>1.5</v>
      </c>
      <c r="L1861" s="10">
        <v>1.8</v>
      </c>
      <c r="M1861" s="14">
        <v>31</v>
      </c>
      <c r="N1861" s="14"/>
      <c r="O1861" s="55" t="s">
        <v>456</v>
      </c>
      <c r="Q1861" s="10">
        <v>270</v>
      </c>
      <c r="U1861" s="10">
        <v>90</v>
      </c>
      <c r="W1861" s="14">
        <v>1</v>
      </c>
      <c r="X1861" s="14">
        <v>2</v>
      </c>
      <c r="Y1861" s="79">
        <v>11.6</v>
      </c>
      <c r="Z1861" s="56" t="s">
        <v>55</v>
      </c>
      <c r="AA1861" s="14" t="s">
        <v>1461</v>
      </c>
      <c r="AB1861" s="14" t="s">
        <v>957</v>
      </c>
    </row>
    <row r="1862" spans="1:28" ht="23.1" customHeight="1" x14ac:dyDescent="0.25">
      <c r="A1862" s="53" t="s">
        <v>1432</v>
      </c>
      <c r="B1862" s="10" t="s">
        <v>137</v>
      </c>
      <c r="C1862" s="10">
        <v>58</v>
      </c>
      <c r="D1862" s="25" t="s">
        <v>2552</v>
      </c>
      <c r="E1862" s="41" t="s">
        <v>1462</v>
      </c>
      <c r="F1862" s="41" t="e">
        <v>#N/A</v>
      </c>
      <c r="G1862" s="21" t="str">
        <f>VLOOKUP(D1862,[6]成飞半成品!$A:$B,2,0)</f>
        <v>3D打印</v>
      </c>
      <c r="H1862" s="10" t="s">
        <v>107</v>
      </c>
      <c r="I1862" s="10">
        <v>25</v>
      </c>
      <c r="K1862" s="10">
        <v>2</v>
      </c>
      <c r="L1862" s="10">
        <v>2.2999999999999998</v>
      </c>
      <c r="M1862" s="14">
        <v>5</v>
      </c>
      <c r="N1862" s="14"/>
      <c r="O1862" s="55" t="s">
        <v>1312</v>
      </c>
      <c r="W1862" s="14"/>
      <c r="X1862" s="14">
        <v>12</v>
      </c>
      <c r="Y1862" s="79">
        <v>12</v>
      </c>
      <c r="Z1862" s="56" t="s">
        <v>0</v>
      </c>
    </row>
    <row r="1863" spans="1:28" ht="23.1" customHeight="1" x14ac:dyDescent="0.25">
      <c r="A1863" s="53" t="s">
        <v>1432</v>
      </c>
      <c r="B1863" s="10" t="s">
        <v>137</v>
      </c>
      <c r="C1863" s="10">
        <v>16</v>
      </c>
      <c r="D1863" s="10" t="s">
        <v>1420</v>
      </c>
      <c r="E1863" s="41" t="s">
        <v>1421</v>
      </c>
      <c r="F1863" s="41" t="s">
        <v>1421</v>
      </c>
      <c r="G1863" s="21" t="str">
        <f>VLOOKUP(D1863,[6]成飞半成品!$A:$B,2,0)</f>
        <v>第5隔板</v>
      </c>
      <c r="H1863" s="10" t="s">
        <v>123</v>
      </c>
      <c r="I1863" s="10">
        <v>15</v>
      </c>
      <c r="J1863" s="10" t="s">
        <v>2262</v>
      </c>
      <c r="K1863" s="10">
        <v>2.8</v>
      </c>
      <c r="L1863" s="10">
        <v>2.5</v>
      </c>
      <c r="M1863" s="14">
        <v>31</v>
      </c>
      <c r="N1863" s="14">
        <v>26</v>
      </c>
      <c r="O1863" s="55" t="s">
        <v>1440</v>
      </c>
      <c r="Q1863" s="10">
        <v>180</v>
      </c>
      <c r="U1863" s="10">
        <v>90</v>
      </c>
      <c r="W1863" s="14"/>
      <c r="Y1863" s="79">
        <v>7.5</v>
      </c>
      <c r="Z1863" s="56" t="s">
        <v>38</v>
      </c>
    </row>
    <row r="1864" spans="1:28" ht="23.1" customHeight="1" x14ac:dyDescent="0.25">
      <c r="A1864" s="53" t="s">
        <v>1432</v>
      </c>
      <c r="B1864" s="10" t="s">
        <v>137</v>
      </c>
      <c r="C1864" s="10">
        <v>11</v>
      </c>
      <c r="D1864" s="65" t="s">
        <v>2571</v>
      </c>
      <c r="E1864" s="41" t="s">
        <v>1439</v>
      </c>
      <c r="F1864" s="41" t="e">
        <v>#N/A</v>
      </c>
      <c r="G1864" s="21" t="str">
        <f>VLOOKUP(D1864,[6]成飞半成品!$A:$B,2,0)</f>
        <v>工装</v>
      </c>
      <c r="H1864" s="47" t="s">
        <v>939</v>
      </c>
      <c r="I1864" s="10">
        <v>5</v>
      </c>
      <c r="L1864" s="10">
        <v>1</v>
      </c>
      <c r="M1864" s="14">
        <v>28</v>
      </c>
      <c r="N1864" s="14"/>
      <c r="O1864" s="55" t="s">
        <v>108</v>
      </c>
      <c r="W1864" s="14">
        <v>1</v>
      </c>
      <c r="X1864" s="14">
        <v>4</v>
      </c>
      <c r="Y1864" s="79">
        <v>4</v>
      </c>
      <c r="Z1864" s="56" t="s">
        <v>38</v>
      </c>
    </row>
    <row r="1865" spans="1:28" ht="23.1" customHeight="1" x14ac:dyDescent="0.25">
      <c r="A1865" s="53" t="s">
        <v>1432</v>
      </c>
      <c r="B1865" s="10" t="s">
        <v>137</v>
      </c>
      <c r="C1865" s="10">
        <v>11</v>
      </c>
      <c r="D1865" s="65" t="s">
        <v>2571</v>
      </c>
      <c r="E1865" s="41" t="s">
        <v>1439</v>
      </c>
      <c r="F1865" s="41" t="e">
        <v>#N/A</v>
      </c>
      <c r="G1865" s="21" t="str">
        <f>VLOOKUP(D1865,[6]成飞半成品!$A:$B,2,0)</f>
        <v>工装</v>
      </c>
      <c r="H1865" s="47" t="s">
        <v>939</v>
      </c>
      <c r="I1865" s="10">
        <v>10</v>
      </c>
      <c r="L1865" s="10">
        <v>1</v>
      </c>
      <c r="M1865" s="14"/>
      <c r="N1865" s="14">
        <v>26</v>
      </c>
      <c r="O1865" s="55" t="s">
        <v>108</v>
      </c>
      <c r="W1865" s="14">
        <v>1</v>
      </c>
      <c r="X1865" s="14">
        <v>4</v>
      </c>
      <c r="Y1865" s="79">
        <v>4</v>
      </c>
      <c r="Z1865" s="56" t="s">
        <v>38</v>
      </c>
    </row>
    <row r="1866" spans="1:28" ht="23.1" customHeight="1" x14ac:dyDescent="0.25">
      <c r="A1866" s="53" t="s">
        <v>1432</v>
      </c>
      <c r="B1866" s="10" t="s">
        <v>137</v>
      </c>
      <c r="C1866" s="10">
        <v>11</v>
      </c>
      <c r="D1866" s="65" t="s">
        <v>2571</v>
      </c>
      <c r="E1866" s="41" t="s">
        <v>1439</v>
      </c>
      <c r="F1866" s="41" t="e">
        <v>#N/A</v>
      </c>
      <c r="G1866" s="21" t="str">
        <f>VLOOKUP(D1866,[6]成飞半成品!$A:$B,2,0)</f>
        <v>工装</v>
      </c>
      <c r="H1866" s="47" t="s">
        <v>939</v>
      </c>
      <c r="I1866" s="10">
        <v>15</v>
      </c>
      <c r="L1866" s="10">
        <v>1</v>
      </c>
      <c r="M1866" s="14"/>
      <c r="N1866" s="14">
        <v>26</v>
      </c>
      <c r="O1866" s="55" t="s">
        <v>108</v>
      </c>
      <c r="W1866" s="14">
        <v>1</v>
      </c>
      <c r="X1866" s="14">
        <v>4</v>
      </c>
      <c r="Y1866" s="79">
        <v>4</v>
      </c>
      <c r="Z1866" s="56" t="s">
        <v>38</v>
      </c>
    </row>
    <row r="1867" spans="1:28" ht="23.1" customHeight="1" x14ac:dyDescent="0.25">
      <c r="A1867" s="53" t="s">
        <v>1432</v>
      </c>
      <c r="B1867" s="10" t="s">
        <v>137</v>
      </c>
      <c r="C1867" s="10">
        <v>18</v>
      </c>
      <c r="D1867" s="47" t="s">
        <v>921</v>
      </c>
      <c r="E1867" s="41" t="s">
        <v>919</v>
      </c>
      <c r="F1867" s="41" t="s">
        <v>919</v>
      </c>
      <c r="G1867" s="21" t="str">
        <f>VLOOKUP(D1867,[6]成飞半成品!$A:$B,2,0)</f>
        <v>雷达罩锁支座</v>
      </c>
      <c r="H1867" s="10" t="s">
        <v>323</v>
      </c>
      <c r="I1867" s="10">
        <v>20</v>
      </c>
      <c r="J1867" s="10" t="s">
        <v>2478</v>
      </c>
      <c r="K1867" s="10">
        <v>4</v>
      </c>
      <c r="L1867" s="10">
        <v>4</v>
      </c>
      <c r="M1867" s="14">
        <v>28</v>
      </c>
      <c r="N1867" s="14">
        <v>28</v>
      </c>
      <c r="O1867" s="55" t="s">
        <v>780</v>
      </c>
      <c r="Q1867" s="10">
        <v>120</v>
      </c>
      <c r="U1867" s="10">
        <v>90</v>
      </c>
      <c r="W1867" s="14"/>
      <c r="Y1867" s="79">
        <v>8</v>
      </c>
      <c r="Z1867" s="56" t="s">
        <v>43</v>
      </c>
    </row>
    <row r="1868" spans="1:28" ht="23.1" customHeight="1" x14ac:dyDescent="0.25">
      <c r="A1868" s="53" t="s">
        <v>1432</v>
      </c>
      <c r="B1868" s="10" t="s">
        <v>137</v>
      </c>
      <c r="C1868" s="10">
        <v>18</v>
      </c>
      <c r="D1868" s="10" t="s">
        <v>921</v>
      </c>
      <c r="E1868" s="41" t="s">
        <v>919</v>
      </c>
      <c r="F1868" s="41" t="s">
        <v>919</v>
      </c>
      <c r="G1868" s="21" t="str">
        <f>VLOOKUP(D1868,[6]成飞半成品!$A:$B,2,0)</f>
        <v>雷达罩锁支座</v>
      </c>
      <c r="H1868" s="10" t="s">
        <v>323</v>
      </c>
      <c r="I1868" s="10">
        <v>25</v>
      </c>
      <c r="J1868" s="10" t="s">
        <v>2149</v>
      </c>
      <c r="L1868" s="10">
        <v>1</v>
      </c>
      <c r="M1868" s="14">
        <v>37</v>
      </c>
      <c r="N1868" s="14"/>
      <c r="O1868" s="55" t="s">
        <v>860</v>
      </c>
      <c r="Q1868" s="10">
        <v>220</v>
      </c>
      <c r="U1868" s="10">
        <v>90</v>
      </c>
      <c r="W1868" s="14">
        <v>1</v>
      </c>
      <c r="Y1868" s="79">
        <v>5.2</v>
      </c>
      <c r="Z1868" s="56" t="s">
        <v>43</v>
      </c>
    </row>
    <row r="1869" spans="1:28" ht="23.1" customHeight="1" x14ac:dyDescent="0.25">
      <c r="A1869" s="53" t="s">
        <v>1432</v>
      </c>
      <c r="B1869" s="10" t="s">
        <v>137</v>
      </c>
      <c r="C1869" s="10">
        <v>17</v>
      </c>
      <c r="D1869" s="10" t="s">
        <v>1282</v>
      </c>
      <c r="E1869" s="41" t="s">
        <v>1283</v>
      </c>
      <c r="F1869" s="41" t="s">
        <v>1283</v>
      </c>
      <c r="G1869" s="21" t="str">
        <f>VLOOKUP(D1869,[6]成飞半成品!$A:$B,2,0)</f>
        <v>9框前支柱</v>
      </c>
      <c r="H1869" s="10" t="s">
        <v>102</v>
      </c>
      <c r="I1869" s="10">
        <v>40</v>
      </c>
      <c r="J1869" s="10" t="s">
        <v>2254</v>
      </c>
      <c r="K1869" s="10">
        <v>1</v>
      </c>
      <c r="L1869" s="10">
        <v>1</v>
      </c>
      <c r="M1869" s="14">
        <v>31</v>
      </c>
      <c r="N1869" s="14"/>
      <c r="O1869" s="55" t="s">
        <v>596</v>
      </c>
      <c r="Q1869" s="10">
        <v>150</v>
      </c>
      <c r="U1869" s="10">
        <v>60</v>
      </c>
      <c r="W1869" s="14">
        <v>1</v>
      </c>
      <c r="Y1869" s="79">
        <v>3.5</v>
      </c>
      <c r="Z1869" s="56" t="s">
        <v>43</v>
      </c>
      <c r="AA1869" s="14" t="s">
        <v>1269</v>
      </c>
    </row>
    <row r="1870" spans="1:28" ht="23.1" customHeight="1" x14ac:dyDescent="0.25">
      <c r="A1870" s="53" t="s">
        <v>1432</v>
      </c>
      <c r="B1870" s="10" t="s">
        <v>137</v>
      </c>
      <c r="C1870" s="10">
        <v>76</v>
      </c>
      <c r="D1870" s="10" t="s">
        <v>1433</v>
      </c>
      <c r="E1870" s="41" t="s">
        <v>1384</v>
      </c>
      <c r="F1870" s="41" t="s">
        <v>1384</v>
      </c>
      <c r="G1870" s="21" t="str">
        <f>VLOOKUP(D1870,[6]成飞半成品!$A:$B,2,0)</f>
        <v>角材</v>
      </c>
      <c r="H1870" s="10" t="s">
        <v>154</v>
      </c>
      <c r="I1870" s="10">
        <v>10</v>
      </c>
      <c r="J1870" s="10" t="s">
        <v>2241</v>
      </c>
      <c r="K1870" s="10">
        <v>30</v>
      </c>
      <c r="L1870" s="10">
        <v>27</v>
      </c>
      <c r="M1870" s="14">
        <v>28</v>
      </c>
      <c r="N1870" s="14">
        <v>28</v>
      </c>
      <c r="O1870" s="55" t="s">
        <v>1169</v>
      </c>
      <c r="Q1870" s="10">
        <v>30</v>
      </c>
      <c r="U1870" s="10">
        <v>60</v>
      </c>
      <c r="W1870" s="14"/>
      <c r="Y1870" s="79">
        <v>13.5</v>
      </c>
      <c r="Z1870" s="56" t="s">
        <v>12</v>
      </c>
    </row>
    <row r="1871" spans="1:28" ht="23.1" customHeight="1" x14ac:dyDescent="0.25">
      <c r="A1871" s="53" t="s">
        <v>1432</v>
      </c>
      <c r="B1871" s="10" t="s">
        <v>113</v>
      </c>
      <c r="C1871" s="10">
        <v>107</v>
      </c>
      <c r="D1871" s="10" t="s">
        <v>1275</v>
      </c>
      <c r="E1871" s="41" t="s">
        <v>215</v>
      </c>
      <c r="F1871" s="41" t="s">
        <v>215</v>
      </c>
      <c r="G1871" s="21" t="str">
        <f>VLOOKUP(D1871,[6]成飞半成品!$A:$B,2,0)</f>
        <v>口盖</v>
      </c>
      <c r="H1871" s="10" t="s">
        <v>154</v>
      </c>
      <c r="I1871" s="10">
        <v>40</v>
      </c>
      <c r="J1871" s="10" t="s">
        <v>2263</v>
      </c>
      <c r="K1871" s="10">
        <v>1.5</v>
      </c>
      <c r="L1871" s="10">
        <v>2.5</v>
      </c>
      <c r="M1871" s="14">
        <v>26</v>
      </c>
      <c r="N1871" s="14"/>
      <c r="O1871" s="55" t="s">
        <v>1463</v>
      </c>
      <c r="Q1871" s="10">
        <v>390</v>
      </c>
      <c r="T1871" s="10">
        <v>3</v>
      </c>
      <c r="U1871" s="10">
        <v>60</v>
      </c>
      <c r="W1871" s="14"/>
      <c r="Y1871" s="79">
        <v>16.3</v>
      </c>
      <c r="Z1871" s="56" t="s">
        <v>13</v>
      </c>
    </row>
    <row r="1872" spans="1:28" ht="23.1" customHeight="1" x14ac:dyDescent="0.25">
      <c r="A1872" s="53" t="s">
        <v>1432</v>
      </c>
      <c r="B1872" s="10" t="s">
        <v>113</v>
      </c>
      <c r="C1872" s="10">
        <v>55</v>
      </c>
      <c r="D1872" s="10" t="s">
        <v>1268</v>
      </c>
      <c r="E1872" s="41" t="s">
        <v>409</v>
      </c>
      <c r="F1872" s="41" t="s">
        <v>409</v>
      </c>
      <c r="G1872" s="21" t="str">
        <f>VLOOKUP(D1872,[6]成飞半成品!$A:$B,2,0)</f>
        <v>接头</v>
      </c>
      <c r="H1872" s="10" t="s">
        <v>102</v>
      </c>
      <c r="I1872" s="10">
        <v>50</v>
      </c>
      <c r="J1872" s="10" t="s">
        <v>2360</v>
      </c>
      <c r="K1872" s="10">
        <v>2</v>
      </c>
      <c r="L1872" s="10">
        <v>2</v>
      </c>
      <c r="M1872" s="14">
        <v>26</v>
      </c>
      <c r="N1872" s="14">
        <v>26</v>
      </c>
      <c r="O1872" s="55" t="s">
        <v>596</v>
      </c>
      <c r="Q1872" s="10">
        <v>20</v>
      </c>
      <c r="U1872" s="10">
        <v>60</v>
      </c>
      <c r="W1872" s="14">
        <v>1</v>
      </c>
      <c r="Y1872" s="79">
        <v>1.7</v>
      </c>
      <c r="Z1872" s="56" t="s">
        <v>18</v>
      </c>
      <c r="AA1872" s="14" t="s">
        <v>1464</v>
      </c>
      <c r="AB1872" s="25" t="s">
        <v>238</v>
      </c>
    </row>
    <row r="1873" spans="1:28" ht="23.1" customHeight="1" x14ac:dyDescent="0.25">
      <c r="A1873" s="53" t="s">
        <v>1432</v>
      </c>
      <c r="B1873" s="10" t="s">
        <v>113</v>
      </c>
      <c r="C1873" s="10">
        <v>77</v>
      </c>
      <c r="D1873" s="10" t="s">
        <v>1465</v>
      </c>
      <c r="E1873" s="41" t="s">
        <v>1466</v>
      </c>
      <c r="F1873" s="41" t="s">
        <v>1466</v>
      </c>
      <c r="G1873" s="21" t="str">
        <f>VLOOKUP(D1873,[6]成飞半成品!$A:$B,2,0)</f>
        <v>扶手支座</v>
      </c>
      <c r="H1873" s="10" t="s">
        <v>102</v>
      </c>
      <c r="I1873" s="10">
        <v>25</v>
      </c>
      <c r="J1873" s="10" t="s">
        <v>2285</v>
      </c>
      <c r="K1873" s="10">
        <v>20</v>
      </c>
      <c r="L1873" s="10">
        <v>10</v>
      </c>
      <c r="M1873" s="14">
        <v>9</v>
      </c>
      <c r="N1873" s="14"/>
      <c r="O1873" s="55" t="s">
        <v>728</v>
      </c>
      <c r="Q1873" s="10">
        <v>30</v>
      </c>
      <c r="U1873" s="10">
        <v>60</v>
      </c>
      <c r="W1873" s="14">
        <v>1</v>
      </c>
      <c r="Y1873" s="79">
        <v>6</v>
      </c>
      <c r="Z1873" s="56" t="s">
        <v>24</v>
      </c>
      <c r="AA1873" s="14" t="s">
        <v>1467</v>
      </c>
      <c r="AB1873" s="25" t="s">
        <v>238</v>
      </c>
    </row>
    <row r="1874" spans="1:28" ht="23.1" customHeight="1" x14ac:dyDescent="0.25">
      <c r="A1874" s="53" t="s">
        <v>1432</v>
      </c>
      <c r="B1874" s="10" t="s">
        <v>113</v>
      </c>
      <c r="C1874" s="10">
        <v>18</v>
      </c>
      <c r="D1874" s="10" t="s">
        <v>921</v>
      </c>
      <c r="E1874" s="41" t="s">
        <v>919</v>
      </c>
      <c r="F1874" s="41" t="s">
        <v>919</v>
      </c>
      <c r="G1874" s="21" t="str">
        <f>VLOOKUP(D1874,[6]成飞半成品!$A:$B,2,0)</f>
        <v>雷达罩锁支座</v>
      </c>
      <c r="H1874" s="10" t="s">
        <v>323</v>
      </c>
      <c r="I1874" s="10">
        <v>25</v>
      </c>
      <c r="J1874" s="10" t="s">
        <v>2149</v>
      </c>
      <c r="K1874" s="10">
        <v>2</v>
      </c>
      <c r="L1874" s="10">
        <v>3</v>
      </c>
      <c r="M1874" s="14">
        <v>5</v>
      </c>
      <c r="N1874" s="14">
        <v>5</v>
      </c>
      <c r="O1874" s="55" t="s">
        <v>860</v>
      </c>
      <c r="Q1874" s="10">
        <v>220</v>
      </c>
      <c r="U1874" s="10">
        <v>90</v>
      </c>
      <c r="W1874" s="14"/>
      <c r="Y1874" s="79">
        <v>11</v>
      </c>
      <c r="Z1874" s="56" t="s">
        <v>14</v>
      </c>
    </row>
    <row r="1875" spans="1:28" ht="23.1" customHeight="1" x14ac:dyDescent="0.25">
      <c r="A1875" s="53" t="s">
        <v>1432</v>
      </c>
      <c r="B1875" s="10" t="s">
        <v>113</v>
      </c>
      <c r="C1875" s="10">
        <v>13</v>
      </c>
      <c r="D1875" s="10" t="s">
        <v>1394</v>
      </c>
      <c r="E1875" s="41" t="s">
        <v>1278</v>
      </c>
      <c r="F1875" s="41" t="s">
        <v>1278</v>
      </c>
      <c r="G1875" s="21" t="str">
        <f>VLOOKUP(D1875,[6]成飞半成品!$A:$B,2,0)</f>
        <v>接管嘴</v>
      </c>
      <c r="H1875" s="10" t="s">
        <v>123</v>
      </c>
      <c r="I1875" s="10">
        <v>30</v>
      </c>
      <c r="J1875" s="10" t="s">
        <v>2257</v>
      </c>
      <c r="K1875" s="10">
        <v>15</v>
      </c>
      <c r="L1875" s="10">
        <v>2</v>
      </c>
      <c r="M1875" s="14">
        <v>31</v>
      </c>
      <c r="N1875" s="14">
        <v>31</v>
      </c>
      <c r="O1875" s="55" t="s">
        <v>487</v>
      </c>
      <c r="Q1875" s="10">
        <v>70</v>
      </c>
      <c r="U1875" s="10">
        <v>60</v>
      </c>
      <c r="W1875" s="14"/>
      <c r="Y1875" s="79">
        <v>2.2999999999999998</v>
      </c>
      <c r="Z1875" s="56" t="s">
        <v>10</v>
      </c>
    </row>
    <row r="1876" spans="1:28" ht="23.1" customHeight="1" x14ac:dyDescent="0.25">
      <c r="A1876" s="53" t="s">
        <v>1432</v>
      </c>
      <c r="B1876" s="10" t="s">
        <v>113</v>
      </c>
      <c r="C1876" s="10">
        <v>13</v>
      </c>
      <c r="D1876" s="47" t="s">
        <v>1394</v>
      </c>
      <c r="E1876" s="41" t="s">
        <v>1278</v>
      </c>
      <c r="F1876" s="41" t="s">
        <v>1278</v>
      </c>
      <c r="G1876" s="21" t="str">
        <f>VLOOKUP(D1876,[6]成飞半成品!$A:$B,2,0)</f>
        <v>接管嘴</v>
      </c>
      <c r="H1876" s="10" t="s">
        <v>123</v>
      </c>
      <c r="I1876" s="10">
        <v>35</v>
      </c>
      <c r="J1876" s="10" t="s">
        <v>2274</v>
      </c>
      <c r="K1876" s="10">
        <v>20</v>
      </c>
      <c r="L1876" s="10">
        <v>20</v>
      </c>
      <c r="M1876" s="14">
        <v>31</v>
      </c>
      <c r="N1876" s="14">
        <v>26</v>
      </c>
      <c r="O1876" s="55" t="s">
        <v>487</v>
      </c>
      <c r="Q1876" s="10">
        <v>30</v>
      </c>
      <c r="W1876" s="14">
        <v>1</v>
      </c>
      <c r="X1876" s="14">
        <v>2</v>
      </c>
      <c r="Y1876" s="79">
        <v>12</v>
      </c>
      <c r="Z1876" s="56" t="s">
        <v>10</v>
      </c>
      <c r="AA1876" s="14" t="s">
        <v>1395</v>
      </c>
    </row>
    <row r="1877" spans="1:28" ht="23.1" customHeight="1" x14ac:dyDescent="0.25">
      <c r="A1877" s="53" t="s">
        <v>1432</v>
      </c>
      <c r="B1877" s="10" t="s">
        <v>113</v>
      </c>
      <c r="C1877" s="10">
        <v>79</v>
      </c>
      <c r="D1877" s="10" t="s">
        <v>420</v>
      </c>
      <c r="E1877" s="41" t="s">
        <v>153</v>
      </c>
      <c r="F1877" s="41" t="s">
        <v>1247</v>
      </c>
      <c r="G1877" s="21" t="str">
        <f>VLOOKUP(D1877,[6]成飞半成品!$A:$B,2,0)</f>
        <v>根肋前段</v>
      </c>
      <c r="H1877" s="10" t="s">
        <v>154</v>
      </c>
      <c r="I1877" s="10">
        <v>50</v>
      </c>
      <c r="J1877" s="10" t="s">
        <v>2204</v>
      </c>
      <c r="K1877" s="10">
        <v>0.3</v>
      </c>
      <c r="L1877" s="10">
        <v>0.3</v>
      </c>
      <c r="M1877" s="14">
        <v>26</v>
      </c>
      <c r="N1877" s="14"/>
      <c r="O1877" s="55" t="s">
        <v>675</v>
      </c>
      <c r="Q1877" s="10">
        <v>3700</v>
      </c>
      <c r="R1877" s="10">
        <v>90</v>
      </c>
      <c r="U1877" s="10">
        <v>180</v>
      </c>
      <c r="W1877" s="14"/>
      <c r="Y1877" s="79">
        <v>18.5</v>
      </c>
      <c r="Z1877" s="56" t="s">
        <v>5</v>
      </c>
    </row>
    <row r="1878" spans="1:28" ht="23.1" customHeight="1" x14ac:dyDescent="0.25">
      <c r="A1878" s="53" t="s">
        <v>1432</v>
      </c>
      <c r="B1878" s="10" t="s">
        <v>113</v>
      </c>
      <c r="C1878" s="10">
        <v>17</v>
      </c>
      <c r="D1878" s="10" t="s">
        <v>1468</v>
      </c>
      <c r="E1878" s="41" t="s">
        <v>1469</v>
      </c>
      <c r="F1878" s="41" t="s">
        <v>1469</v>
      </c>
      <c r="G1878" s="21" t="str">
        <f>VLOOKUP(D1878,[6]成飞半成品!$A:$B,2,0)</f>
        <v>2750肋</v>
      </c>
      <c r="H1878" s="10" t="s">
        <v>102</v>
      </c>
      <c r="I1878" s="10">
        <v>2</v>
      </c>
      <c r="L1878" s="10">
        <v>1</v>
      </c>
      <c r="M1878" s="14"/>
      <c r="N1878" s="14"/>
      <c r="O1878" s="55" t="s">
        <v>103</v>
      </c>
      <c r="P1878" s="10">
        <v>40</v>
      </c>
      <c r="V1878" s="10">
        <v>60</v>
      </c>
      <c r="W1878" s="14">
        <v>1</v>
      </c>
      <c r="Y1878" s="83">
        <v>1.7</v>
      </c>
      <c r="Z1878" s="56" t="s">
        <v>14</v>
      </c>
    </row>
    <row r="1879" spans="1:28" ht="23.1" customHeight="1" x14ac:dyDescent="0.25">
      <c r="A1879" s="53" t="s">
        <v>1432</v>
      </c>
      <c r="B1879" s="10" t="s">
        <v>113</v>
      </c>
      <c r="C1879" s="10">
        <v>17</v>
      </c>
      <c r="D1879" s="10" t="s">
        <v>1468</v>
      </c>
      <c r="E1879" s="41" t="s">
        <v>1469</v>
      </c>
      <c r="F1879" s="41" t="s">
        <v>1469</v>
      </c>
      <c r="G1879" s="21" t="str">
        <f>VLOOKUP(D1879,[6]成飞半成品!$A:$B,2,0)</f>
        <v>2750肋</v>
      </c>
      <c r="H1879" s="10" t="s">
        <v>102</v>
      </c>
      <c r="I1879" s="10">
        <v>5</v>
      </c>
      <c r="J1879" s="10" t="s">
        <v>1930</v>
      </c>
      <c r="L1879" s="10">
        <v>1</v>
      </c>
      <c r="M1879" s="14"/>
      <c r="N1879" s="14"/>
      <c r="O1879" s="55" t="s">
        <v>103</v>
      </c>
      <c r="Q1879" s="10">
        <v>40</v>
      </c>
      <c r="U1879" s="10">
        <v>60</v>
      </c>
      <c r="W1879" s="14">
        <v>1</v>
      </c>
      <c r="Y1879" s="79">
        <v>1.7</v>
      </c>
      <c r="Z1879" s="56" t="s">
        <v>14</v>
      </c>
    </row>
    <row r="1880" spans="1:28" ht="23.1" customHeight="1" x14ac:dyDescent="0.25">
      <c r="A1880" s="53" t="s">
        <v>1432</v>
      </c>
      <c r="B1880" s="10" t="s">
        <v>113</v>
      </c>
      <c r="C1880" s="10">
        <v>17</v>
      </c>
      <c r="D1880" s="10" t="s">
        <v>1468</v>
      </c>
      <c r="E1880" s="41" t="s">
        <v>1469</v>
      </c>
      <c r="F1880" s="41" t="s">
        <v>1469</v>
      </c>
      <c r="G1880" s="21" t="str">
        <f>VLOOKUP(D1880,[6]成飞半成品!$A:$B,2,0)</f>
        <v>2750肋</v>
      </c>
      <c r="H1880" s="10" t="s">
        <v>102</v>
      </c>
      <c r="I1880" s="10">
        <v>8</v>
      </c>
      <c r="L1880" s="10">
        <v>1</v>
      </c>
      <c r="M1880" s="14"/>
      <c r="N1880" s="14"/>
      <c r="O1880" s="55" t="s">
        <v>103</v>
      </c>
      <c r="P1880" s="10">
        <v>80</v>
      </c>
      <c r="V1880" s="10">
        <v>60</v>
      </c>
      <c r="W1880" s="14">
        <v>1</v>
      </c>
      <c r="Y1880" s="83">
        <v>2.2999999999999998</v>
      </c>
      <c r="Z1880" s="56" t="s">
        <v>14</v>
      </c>
    </row>
    <row r="1881" spans="1:28" ht="23.1" customHeight="1" x14ac:dyDescent="0.25">
      <c r="A1881" s="53" t="s">
        <v>1432</v>
      </c>
      <c r="B1881" s="10" t="s">
        <v>113</v>
      </c>
      <c r="C1881" s="10">
        <v>17</v>
      </c>
      <c r="D1881" s="10" t="s">
        <v>1468</v>
      </c>
      <c r="E1881" s="41" t="s">
        <v>1469</v>
      </c>
      <c r="F1881" s="41" t="s">
        <v>1469</v>
      </c>
      <c r="G1881" s="21" t="str">
        <f>VLOOKUP(D1881,[6]成飞半成品!$A:$B,2,0)</f>
        <v>2750肋</v>
      </c>
      <c r="H1881" s="10" t="s">
        <v>102</v>
      </c>
      <c r="I1881" s="10">
        <v>10</v>
      </c>
      <c r="J1881" s="10" t="s">
        <v>2023</v>
      </c>
      <c r="L1881" s="10">
        <v>1</v>
      </c>
      <c r="M1881" s="14"/>
      <c r="N1881" s="14"/>
      <c r="O1881" s="55" t="s">
        <v>103</v>
      </c>
      <c r="Q1881" s="10">
        <v>80</v>
      </c>
      <c r="U1881" s="10">
        <v>60</v>
      </c>
      <c r="W1881" s="14">
        <v>1</v>
      </c>
      <c r="Y1881" s="79">
        <v>2.2999999999999998</v>
      </c>
      <c r="Z1881" s="56" t="s">
        <v>14</v>
      </c>
    </row>
    <row r="1882" spans="1:28" ht="23.1" customHeight="1" x14ac:dyDescent="0.25">
      <c r="A1882" s="53" t="s">
        <v>1432</v>
      </c>
      <c r="B1882" s="10" t="s">
        <v>113</v>
      </c>
      <c r="C1882" s="10">
        <v>58</v>
      </c>
      <c r="D1882" s="10" t="s">
        <v>1470</v>
      </c>
      <c r="E1882" s="41" t="s">
        <v>1278</v>
      </c>
      <c r="F1882" s="41" t="s">
        <v>1278</v>
      </c>
      <c r="G1882" s="21" t="str">
        <f>VLOOKUP(D1882,[6]成飞半成品!$A:$B,2,0)</f>
        <v>接管嘴</v>
      </c>
      <c r="H1882" s="10" t="s">
        <v>250</v>
      </c>
      <c r="I1882" s="10">
        <v>35</v>
      </c>
      <c r="J1882" s="10" t="s">
        <v>2479</v>
      </c>
      <c r="K1882" s="10">
        <v>20</v>
      </c>
      <c r="L1882" s="10">
        <v>20</v>
      </c>
      <c r="M1882" s="14">
        <v>26</v>
      </c>
      <c r="N1882" s="14">
        <v>26</v>
      </c>
      <c r="O1882" s="55" t="s">
        <v>487</v>
      </c>
      <c r="Q1882" s="10">
        <v>60</v>
      </c>
      <c r="U1882" s="10">
        <v>60</v>
      </c>
      <c r="W1882" s="14"/>
      <c r="Y1882" s="79">
        <v>20</v>
      </c>
      <c r="Z1882" s="56" t="s">
        <v>0</v>
      </c>
    </row>
    <row r="1883" spans="1:28" ht="23.1" customHeight="1" x14ac:dyDescent="0.25">
      <c r="A1883" s="53" t="s">
        <v>1432</v>
      </c>
      <c r="B1883" s="10" t="s">
        <v>113</v>
      </c>
      <c r="C1883" s="10">
        <v>59</v>
      </c>
      <c r="D1883" s="10" t="s">
        <v>1428</v>
      </c>
      <c r="E1883" s="41" t="s">
        <v>1452</v>
      </c>
      <c r="F1883" s="41" t="s">
        <v>1452</v>
      </c>
      <c r="G1883" s="21" t="str">
        <f>VLOOKUP(D1883,[6]成飞半成品!$A:$B,2,0)</f>
        <v>加强梁</v>
      </c>
      <c r="H1883" s="10" t="s">
        <v>102</v>
      </c>
      <c r="I1883" s="10">
        <v>25</v>
      </c>
      <c r="J1883" s="10" t="s">
        <v>2270</v>
      </c>
      <c r="K1883" s="10">
        <v>2</v>
      </c>
      <c r="L1883" s="10">
        <v>2</v>
      </c>
      <c r="M1883" s="14">
        <v>26</v>
      </c>
      <c r="N1883" s="14">
        <v>5</v>
      </c>
      <c r="O1883" s="55" t="s">
        <v>596</v>
      </c>
      <c r="Q1883" s="10">
        <v>35</v>
      </c>
      <c r="U1883" s="10">
        <v>60</v>
      </c>
      <c r="W1883" s="14">
        <v>1</v>
      </c>
      <c r="X1883" s="14">
        <v>4</v>
      </c>
      <c r="Y1883" s="79">
        <v>6.2</v>
      </c>
      <c r="Z1883" s="56" t="s">
        <v>6</v>
      </c>
      <c r="AA1883" s="14" t="s">
        <v>1471</v>
      </c>
      <c r="AB1883" s="25" t="s">
        <v>238</v>
      </c>
    </row>
    <row r="1884" spans="1:28" ht="23.1" customHeight="1" x14ac:dyDescent="0.25">
      <c r="A1884" s="53" t="s">
        <v>1432</v>
      </c>
      <c r="B1884" s="10" t="s">
        <v>113</v>
      </c>
      <c r="C1884" s="10">
        <v>9</v>
      </c>
      <c r="D1884" s="10" t="s">
        <v>1472</v>
      </c>
      <c r="E1884" s="41" t="s">
        <v>595</v>
      </c>
      <c r="F1884" s="41" t="s">
        <v>595</v>
      </c>
      <c r="G1884" s="21" t="str">
        <f>VLOOKUP(D1884,[6]成飞半成品!$A:$B,2,0)</f>
        <v>加强件</v>
      </c>
      <c r="H1884" s="10" t="s">
        <v>102</v>
      </c>
      <c r="I1884" s="10">
        <v>5</v>
      </c>
      <c r="J1884" s="10" t="s">
        <v>2387</v>
      </c>
      <c r="L1884" s="10">
        <v>2</v>
      </c>
      <c r="M1884" s="14">
        <v>26</v>
      </c>
      <c r="N1884" s="14"/>
      <c r="O1884" s="55" t="s">
        <v>596</v>
      </c>
      <c r="Q1884" s="10">
        <v>40</v>
      </c>
      <c r="U1884" s="10">
        <v>60</v>
      </c>
      <c r="W1884" s="14"/>
      <c r="Y1884" s="79">
        <v>1.3</v>
      </c>
      <c r="Z1884" s="56" t="s">
        <v>23</v>
      </c>
      <c r="AA1884" s="14" t="s">
        <v>1269</v>
      </c>
    </row>
    <row r="1885" spans="1:28" ht="23.1" customHeight="1" x14ac:dyDescent="0.25">
      <c r="A1885" s="53" t="s">
        <v>1432</v>
      </c>
      <c r="B1885" s="10" t="s">
        <v>113</v>
      </c>
      <c r="C1885" s="10">
        <v>9</v>
      </c>
      <c r="D1885" s="10" t="s">
        <v>1472</v>
      </c>
      <c r="E1885" s="41" t="s">
        <v>595</v>
      </c>
      <c r="F1885" s="41" t="s">
        <v>595</v>
      </c>
      <c r="G1885" s="21" t="str">
        <f>VLOOKUP(D1885,[6]成飞半成品!$A:$B,2,0)</f>
        <v>加强件</v>
      </c>
      <c r="H1885" s="10" t="s">
        <v>102</v>
      </c>
      <c r="I1885" s="10">
        <v>10</v>
      </c>
      <c r="J1885" s="10" t="s">
        <v>2275</v>
      </c>
      <c r="L1885" s="10">
        <v>2</v>
      </c>
      <c r="M1885" s="14">
        <v>26</v>
      </c>
      <c r="N1885" s="14"/>
      <c r="O1885" s="55" t="s">
        <v>596</v>
      </c>
      <c r="Q1885" s="10">
        <v>35</v>
      </c>
      <c r="U1885" s="10">
        <v>90</v>
      </c>
      <c r="W1885" s="14"/>
      <c r="Y1885" s="79">
        <v>1.2</v>
      </c>
      <c r="Z1885" s="56" t="s">
        <v>23</v>
      </c>
    </row>
    <row r="1886" spans="1:28" ht="23.1" customHeight="1" x14ac:dyDescent="0.25">
      <c r="A1886" s="53" t="s">
        <v>1432</v>
      </c>
      <c r="B1886" s="10" t="s">
        <v>113</v>
      </c>
      <c r="C1886" s="10">
        <v>9</v>
      </c>
      <c r="D1886" s="10" t="s">
        <v>1472</v>
      </c>
      <c r="E1886" s="41" t="s">
        <v>595</v>
      </c>
      <c r="F1886" s="41" t="s">
        <v>595</v>
      </c>
      <c r="G1886" s="21" t="str">
        <f>VLOOKUP(D1886,[6]成飞半成品!$A:$B,2,0)</f>
        <v>加强件</v>
      </c>
      <c r="H1886" s="10" t="s">
        <v>102</v>
      </c>
      <c r="I1886" s="10">
        <v>15</v>
      </c>
      <c r="J1886" s="10" t="s">
        <v>1895</v>
      </c>
      <c r="M1886" s="14"/>
      <c r="N1886" s="14"/>
      <c r="O1886" s="55" t="s">
        <v>596</v>
      </c>
      <c r="U1886" s="10">
        <v>60</v>
      </c>
      <c r="W1886" s="14"/>
      <c r="X1886" s="14">
        <v>6</v>
      </c>
      <c r="Y1886" s="79">
        <v>6</v>
      </c>
      <c r="Z1886" s="56" t="s">
        <v>23</v>
      </c>
      <c r="AA1886" s="14" t="s">
        <v>1473</v>
      </c>
      <c r="AB1886" s="14" t="s">
        <v>957</v>
      </c>
    </row>
    <row r="1887" spans="1:28" ht="23.1" customHeight="1" x14ac:dyDescent="0.25">
      <c r="A1887" s="53" t="s">
        <v>1432</v>
      </c>
      <c r="B1887" s="10" t="s">
        <v>113</v>
      </c>
      <c r="C1887" s="10">
        <v>69</v>
      </c>
      <c r="D1887" s="10" t="s">
        <v>1285</v>
      </c>
      <c r="E1887" s="41" t="s">
        <v>1283</v>
      </c>
      <c r="F1887" s="41" t="s">
        <v>1283</v>
      </c>
      <c r="G1887" s="21" t="str">
        <f>VLOOKUP(D1887,[6]成飞半成品!$A:$B,2,0)</f>
        <v>9框前支柱</v>
      </c>
      <c r="H1887" s="10" t="s">
        <v>102</v>
      </c>
      <c r="I1887" s="10">
        <v>40</v>
      </c>
      <c r="J1887" s="10" t="s">
        <v>2254</v>
      </c>
      <c r="K1887" s="10">
        <v>0.4</v>
      </c>
      <c r="L1887" s="10">
        <v>0.7</v>
      </c>
      <c r="M1887" s="14">
        <v>28</v>
      </c>
      <c r="N1887" s="14"/>
      <c r="O1887" s="55" t="s">
        <v>596</v>
      </c>
      <c r="Q1887" s="10">
        <v>150</v>
      </c>
      <c r="U1887" s="10">
        <v>60</v>
      </c>
      <c r="W1887" s="14"/>
      <c r="X1887" s="14">
        <v>3</v>
      </c>
      <c r="Y1887" s="79">
        <v>4.8</v>
      </c>
      <c r="Z1887" s="56" t="s">
        <v>26</v>
      </c>
      <c r="AA1887" s="14" t="s">
        <v>1011</v>
      </c>
    </row>
    <row r="1888" spans="1:28" ht="23.1" customHeight="1" x14ac:dyDescent="0.25">
      <c r="A1888" s="53" t="s">
        <v>1432</v>
      </c>
      <c r="B1888" s="10" t="s">
        <v>113</v>
      </c>
      <c r="C1888" s="10">
        <v>69</v>
      </c>
      <c r="D1888" s="65" t="s">
        <v>2551</v>
      </c>
      <c r="E1888" s="41" t="s">
        <v>938</v>
      </c>
      <c r="F1888" s="41" t="s">
        <v>938</v>
      </c>
      <c r="G1888" s="21" t="str">
        <f>VLOOKUP(D1888,[6]成飞半成品!$A:$B,2,0)</f>
        <v>工装</v>
      </c>
      <c r="H1888" s="10" t="s">
        <v>939</v>
      </c>
      <c r="I1888" s="10">
        <v>60</v>
      </c>
      <c r="J1888" s="10" t="s">
        <v>2203</v>
      </c>
      <c r="K1888" s="10">
        <v>0.7</v>
      </c>
      <c r="L1888" s="10">
        <v>0.6</v>
      </c>
      <c r="M1888" s="14">
        <v>5</v>
      </c>
      <c r="N1888" s="14"/>
      <c r="O1888" s="55" t="s">
        <v>890</v>
      </c>
      <c r="Q1888" s="10">
        <v>900</v>
      </c>
      <c r="R1888" s="10">
        <v>90</v>
      </c>
      <c r="U1888" s="10">
        <v>180</v>
      </c>
      <c r="W1888" s="14">
        <v>1</v>
      </c>
      <c r="X1888" s="14">
        <v>4</v>
      </c>
      <c r="Y1888" s="79">
        <v>16</v>
      </c>
      <c r="Z1888" s="56" t="s">
        <v>26</v>
      </c>
      <c r="AA1888" s="14" t="s">
        <v>1474</v>
      </c>
      <c r="AB1888" s="14" t="s">
        <v>1475</v>
      </c>
    </row>
    <row r="1889" spans="1:28" ht="23.1" customHeight="1" x14ac:dyDescent="0.25">
      <c r="A1889" s="53" t="s">
        <v>1432</v>
      </c>
      <c r="B1889" s="10" t="s">
        <v>113</v>
      </c>
      <c r="C1889" s="10">
        <v>84</v>
      </c>
      <c r="D1889" s="10" t="s">
        <v>1047</v>
      </c>
      <c r="E1889" s="41" t="s">
        <v>424</v>
      </c>
      <c r="F1889" s="41" t="s">
        <v>424</v>
      </c>
      <c r="G1889" s="21" t="str">
        <f>VLOOKUP(D1889,[6]成飞半成品!$A:$B,2,0)</f>
        <v>后梁四段</v>
      </c>
      <c r="H1889" s="10" t="s">
        <v>107</v>
      </c>
      <c r="I1889" s="10">
        <v>40</v>
      </c>
      <c r="J1889" s="10" t="s">
        <v>2096</v>
      </c>
      <c r="K1889" s="10">
        <v>2.5</v>
      </c>
      <c r="L1889" s="10">
        <v>1.6</v>
      </c>
      <c r="M1889" s="14">
        <v>28</v>
      </c>
      <c r="N1889" s="14">
        <v>23</v>
      </c>
      <c r="O1889" s="55" t="s">
        <v>1476</v>
      </c>
      <c r="Q1889" s="10">
        <v>360</v>
      </c>
      <c r="R1889" s="10">
        <v>30</v>
      </c>
      <c r="U1889" s="10">
        <v>120</v>
      </c>
      <c r="W1889" s="14"/>
      <c r="Y1889" s="79">
        <v>9.6</v>
      </c>
      <c r="Z1889" s="56" t="s">
        <v>26</v>
      </c>
    </row>
    <row r="1890" spans="1:28" ht="23.1" customHeight="1" x14ac:dyDescent="0.25">
      <c r="A1890" s="53" t="s">
        <v>1432</v>
      </c>
      <c r="B1890" s="10" t="s">
        <v>113</v>
      </c>
      <c r="C1890" s="10">
        <v>84</v>
      </c>
      <c r="D1890" s="10" t="s">
        <v>1047</v>
      </c>
      <c r="E1890" s="41" t="s">
        <v>424</v>
      </c>
      <c r="F1890" s="41" t="s">
        <v>424</v>
      </c>
      <c r="G1890" s="21" t="str">
        <f>VLOOKUP(D1890,[6]成飞半成品!$A:$B,2,0)</f>
        <v>后梁四段</v>
      </c>
      <c r="H1890" s="10" t="s">
        <v>107</v>
      </c>
      <c r="I1890" s="10">
        <v>40</v>
      </c>
      <c r="J1890" s="10" t="s">
        <v>2096</v>
      </c>
      <c r="L1890" s="10">
        <v>2</v>
      </c>
      <c r="M1890" s="14"/>
      <c r="N1890" s="14">
        <v>37</v>
      </c>
      <c r="O1890" s="55" t="s">
        <v>1476</v>
      </c>
      <c r="Q1890" s="10">
        <v>360</v>
      </c>
      <c r="R1890" s="10">
        <v>30</v>
      </c>
      <c r="U1890" s="10">
        <v>120</v>
      </c>
      <c r="W1890" s="14"/>
      <c r="Y1890" s="79">
        <v>12</v>
      </c>
      <c r="Z1890" s="56" t="s">
        <v>26</v>
      </c>
    </row>
    <row r="1891" spans="1:28" ht="23.1" customHeight="1" x14ac:dyDescent="0.25">
      <c r="A1891" s="53" t="s">
        <v>1432</v>
      </c>
      <c r="B1891" s="10" t="s">
        <v>113</v>
      </c>
      <c r="C1891" s="10">
        <v>84</v>
      </c>
      <c r="D1891" s="10" t="s">
        <v>1047</v>
      </c>
      <c r="E1891" s="41" t="s">
        <v>424</v>
      </c>
      <c r="F1891" s="41" t="s">
        <v>424</v>
      </c>
      <c r="G1891" s="21" t="str">
        <f>VLOOKUP(D1891,[6]成飞半成品!$A:$B,2,0)</f>
        <v>后梁四段</v>
      </c>
      <c r="H1891" s="10" t="s">
        <v>107</v>
      </c>
      <c r="I1891" s="10">
        <v>38</v>
      </c>
      <c r="K1891" s="10">
        <v>3</v>
      </c>
      <c r="L1891" s="10">
        <v>3</v>
      </c>
      <c r="M1891" s="14">
        <v>37</v>
      </c>
      <c r="N1891" s="14"/>
      <c r="O1891" s="55" t="s">
        <v>1477</v>
      </c>
      <c r="P1891" s="10">
        <v>90</v>
      </c>
      <c r="S1891" s="10">
        <v>30</v>
      </c>
      <c r="W1891" s="14"/>
      <c r="Y1891" s="83">
        <v>4.5</v>
      </c>
      <c r="Z1891" s="56" t="s">
        <v>26</v>
      </c>
    </row>
    <row r="1892" spans="1:28" ht="23.1" customHeight="1" x14ac:dyDescent="0.25">
      <c r="A1892" s="53" t="s">
        <v>1432</v>
      </c>
      <c r="B1892" s="10" t="s">
        <v>113</v>
      </c>
      <c r="C1892" s="10">
        <v>91</v>
      </c>
      <c r="D1892" s="10" t="s">
        <v>254</v>
      </c>
      <c r="E1892" s="41" t="s">
        <v>255</v>
      </c>
      <c r="F1892" s="41" t="s">
        <v>1016</v>
      </c>
      <c r="G1892" s="21" t="str">
        <f>VLOOKUP(D1892,[6]成飞半成品!$A:$B,2,0)</f>
        <v>9350-11140右侧上梁</v>
      </c>
      <c r="H1892" s="10" t="s">
        <v>375</v>
      </c>
      <c r="I1892" s="10">
        <v>40</v>
      </c>
      <c r="J1892" s="10" t="s">
        <v>2110</v>
      </c>
      <c r="K1892" s="10">
        <v>0.4</v>
      </c>
      <c r="L1892" s="10">
        <v>0.1</v>
      </c>
      <c r="M1892" s="14">
        <v>28</v>
      </c>
      <c r="N1892" s="14"/>
      <c r="O1892" s="55" t="s">
        <v>476</v>
      </c>
      <c r="Q1892" s="10">
        <v>3000</v>
      </c>
      <c r="R1892" s="10">
        <v>90</v>
      </c>
      <c r="U1892" s="10">
        <v>120</v>
      </c>
      <c r="W1892" s="14"/>
      <c r="Y1892" s="79">
        <v>5</v>
      </c>
      <c r="Z1892" s="56" t="s">
        <v>26</v>
      </c>
      <c r="AA1892" s="14" t="s">
        <v>1478</v>
      </c>
    </row>
    <row r="1893" spans="1:28" ht="23.1" customHeight="1" x14ac:dyDescent="0.25">
      <c r="A1893" s="53" t="s">
        <v>1432</v>
      </c>
      <c r="B1893" s="10" t="s">
        <v>113</v>
      </c>
      <c r="C1893" s="10">
        <v>91</v>
      </c>
      <c r="D1893" s="10" t="s">
        <v>254</v>
      </c>
      <c r="E1893" s="41" t="s">
        <v>255</v>
      </c>
      <c r="F1893" s="41" t="s">
        <v>1016</v>
      </c>
      <c r="G1893" s="21" t="str">
        <f>VLOOKUP(D1893,[6]成飞半成品!$A:$B,2,0)</f>
        <v>9350-11140右侧上梁</v>
      </c>
      <c r="H1893" s="10" t="s">
        <v>375</v>
      </c>
      <c r="I1893" s="10">
        <v>40</v>
      </c>
      <c r="J1893" s="10" t="s">
        <v>2110</v>
      </c>
      <c r="L1893" s="10">
        <v>0.3</v>
      </c>
      <c r="M1893" s="14">
        <v>28</v>
      </c>
      <c r="N1893" s="14"/>
      <c r="O1893" s="55" t="s">
        <v>475</v>
      </c>
      <c r="Q1893" s="10">
        <v>3000</v>
      </c>
      <c r="R1893" s="10">
        <v>90</v>
      </c>
      <c r="T1893" s="10">
        <v>1</v>
      </c>
      <c r="U1893" s="10">
        <v>120</v>
      </c>
      <c r="W1893" s="14"/>
      <c r="Y1893" s="79">
        <v>16.5</v>
      </c>
      <c r="Z1893" s="56" t="s">
        <v>26</v>
      </c>
    </row>
    <row r="1894" spans="1:28" ht="23.1" customHeight="1" x14ac:dyDescent="0.25">
      <c r="A1894" s="53" t="s">
        <v>1432</v>
      </c>
      <c r="B1894" s="10" t="s">
        <v>113</v>
      </c>
      <c r="C1894" s="10">
        <v>119</v>
      </c>
      <c r="D1894" s="10" t="s">
        <v>1176</v>
      </c>
      <c r="E1894" s="41" t="s">
        <v>1098</v>
      </c>
      <c r="F1894" s="41" t="s">
        <v>1098</v>
      </c>
      <c r="G1894" s="21" t="str">
        <f>VLOOKUP(D1894,[6]成飞半成品!$A:$B,2,0)</f>
        <v>根肋一段</v>
      </c>
      <c r="H1894" s="10" t="s">
        <v>250</v>
      </c>
      <c r="I1894" s="10">
        <v>55</v>
      </c>
      <c r="J1894" s="10" t="s">
        <v>2480</v>
      </c>
      <c r="K1894" s="10">
        <v>2</v>
      </c>
      <c r="L1894" s="10">
        <v>2</v>
      </c>
      <c r="M1894" s="14">
        <v>28</v>
      </c>
      <c r="N1894" s="14">
        <v>37</v>
      </c>
      <c r="O1894" s="55" t="s">
        <v>429</v>
      </c>
      <c r="Q1894" s="10">
        <v>540</v>
      </c>
      <c r="R1894" s="10">
        <v>60</v>
      </c>
      <c r="T1894" s="10">
        <v>2</v>
      </c>
      <c r="U1894" s="10">
        <v>90</v>
      </c>
      <c r="W1894" s="14"/>
      <c r="Y1894" s="79">
        <v>20</v>
      </c>
      <c r="Z1894" s="56" t="s">
        <v>26</v>
      </c>
    </row>
    <row r="1895" spans="1:28" ht="23.1" customHeight="1" x14ac:dyDescent="0.25">
      <c r="A1895" s="53" t="s">
        <v>1432</v>
      </c>
      <c r="B1895" s="10" t="s">
        <v>113</v>
      </c>
      <c r="C1895" s="10">
        <v>119</v>
      </c>
      <c r="D1895" s="10" t="s">
        <v>1097</v>
      </c>
      <c r="E1895" s="41" t="s">
        <v>1098</v>
      </c>
      <c r="F1895" s="41" t="s">
        <v>1098</v>
      </c>
      <c r="G1895" s="21" t="str">
        <f>VLOOKUP(D1895,[6]成飞半成品!$A:$B,2,0)</f>
        <v>根肋一段</v>
      </c>
      <c r="H1895" s="10" t="s">
        <v>250</v>
      </c>
      <c r="I1895" s="10">
        <v>55</v>
      </c>
      <c r="J1895" s="10" t="s">
        <v>2276</v>
      </c>
      <c r="K1895" s="10">
        <v>1</v>
      </c>
      <c r="L1895" s="10">
        <v>0.5</v>
      </c>
      <c r="M1895" s="14">
        <v>23</v>
      </c>
      <c r="N1895" s="14"/>
      <c r="O1895" s="55" t="s">
        <v>292</v>
      </c>
      <c r="Q1895" s="10">
        <v>540</v>
      </c>
      <c r="R1895" s="10">
        <v>60</v>
      </c>
      <c r="U1895" s="10">
        <v>90</v>
      </c>
      <c r="W1895" s="14">
        <v>1</v>
      </c>
      <c r="X1895" s="14">
        <v>4</v>
      </c>
      <c r="Y1895" s="79">
        <v>10</v>
      </c>
      <c r="Z1895" s="56" t="s">
        <v>26</v>
      </c>
      <c r="AA1895" s="14" t="s">
        <v>1479</v>
      </c>
    </row>
    <row r="1896" spans="1:28" ht="23.1" customHeight="1" x14ac:dyDescent="0.25">
      <c r="A1896" s="53" t="s">
        <v>1432</v>
      </c>
      <c r="B1896" s="10" t="s">
        <v>113</v>
      </c>
      <c r="C1896" s="10">
        <v>121</v>
      </c>
      <c r="D1896" s="10" t="s">
        <v>288</v>
      </c>
      <c r="E1896" s="41" t="s">
        <v>255</v>
      </c>
      <c r="F1896" s="41" t="s">
        <v>1532</v>
      </c>
      <c r="G1896" s="21" t="str">
        <f>VLOOKUP(D1896,[6]成飞半成品!$A:$B,2,0)</f>
        <v>9350-11140左侧上梁</v>
      </c>
      <c r="H1896" s="10" t="s">
        <v>250</v>
      </c>
      <c r="I1896" s="10">
        <v>50</v>
      </c>
      <c r="J1896" s="10" t="s">
        <v>2021</v>
      </c>
      <c r="K1896" s="10">
        <v>0.4</v>
      </c>
      <c r="L1896" s="10">
        <v>0.5</v>
      </c>
      <c r="M1896" s="14">
        <v>26</v>
      </c>
      <c r="N1896" s="14"/>
      <c r="O1896" s="55" t="s">
        <v>256</v>
      </c>
      <c r="Q1896" s="10">
        <v>3000</v>
      </c>
      <c r="R1896" s="10">
        <v>90</v>
      </c>
      <c r="U1896" s="10">
        <v>150</v>
      </c>
      <c r="W1896" s="14"/>
      <c r="Y1896" s="79">
        <v>25</v>
      </c>
      <c r="Z1896" s="56" t="s">
        <v>26</v>
      </c>
    </row>
    <row r="1897" spans="1:28" ht="23.1" customHeight="1" x14ac:dyDescent="0.25">
      <c r="A1897" s="53" t="s">
        <v>1432</v>
      </c>
      <c r="B1897" s="10" t="s">
        <v>113</v>
      </c>
      <c r="C1897" s="10">
        <v>58</v>
      </c>
      <c r="D1897" s="25" t="s">
        <v>2552</v>
      </c>
      <c r="E1897" s="41" t="s">
        <v>731</v>
      </c>
      <c r="F1897" s="41" t="e">
        <v>#N/A</v>
      </c>
      <c r="G1897" s="21" t="str">
        <f>VLOOKUP(D1897,[6]成飞半成品!$A:$B,2,0)</f>
        <v>3D打印</v>
      </c>
      <c r="H1897" s="10" t="s">
        <v>108</v>
      </c>
      <c r="M1897" s="14"/>
      <c r="N1897" s="14"/>
      <c r="O1897" s="55" t="s">
        <v>108</v>
      </c>
      <c r="W1897" s="14"/>
      <c r="X1897" s="14">
        <v>20</v>
      </c>
      <c r="Y1897" s="79">
        <v>20</v>
      </c>
      <c r="Z1897" s="56" t="s">
        <v>57</v>
      </c>
      <c r="AA1897" s="14" t="s">
        <v>1480</v>
      </c>
      <c r="AB1897" s="14" t="s">
        <v>238</v>
      </c>
    </row>
    <row r="1898" spans="1:28" ht="23.1" customHeight="1" x14ac:dyDescent="0.25">
      <c r="A1898" s="53" t="s">
        <v>1432</v>
      </c>
      <c r="B1898" s="10" t="s">
        <v>113</v>
      </c>
      <c r="C1898" s="10">
        <v>24</v>
      </c>
      <c r="D1898" s="10" t="s">
        <v>776</v>
      </c>
      <c r="E1898" s="41" t="s">
        <v>777</v>
      </c>
      <c r="F1898" s="41" t="s">
        <v>777</v>
      </c>
      <c r="G1898" s="21" t="str">
        <f>VLOOKUP(D1898,[6]成飞半成品!$A:$B,2,0)</f>
        <v>BL280侧壁（左件）</v>
      </c>
      <c r="H1898" s="10" t="s">
        <v>107</v>
      </c>
      <c r="I1898" s="10">
        <v>25</v>
      </c>
      <c r="J1898" s="10" t="s">
        <v>2035</v>
      </c>
      <c r="M1898" s="14"/>
      <c r="N1898" s="14"/>
      <c r="O1898" s="55" t="s">
        <v>684</v>
      </c>
      <c r="Q1898" s="10">
        <v>840</v>
      </c>
      <c r="R1898" s="10">
        <v>120</v>
      </c>
      <c r="U1898" s="10">
        <v>150</v>
      </c>
      <c r="W1898" s="14"/>
      <c r="Y1898" s="79">
        <v>0</v>
      </c>
      <c r="Z1898" s="56" t="s">
        <v>26</v>
      </c>
      <c r="AA1898" s="14" t="s">
        <v>1481</v>
      </c>
    </row>
    <row r="1899" spans="1:28" ht="23.1" customHeight="1" x14ac:dyDescent="0.25">
      <c r="A1899" s="53" t="s">
        <v>1432</v>
      </c>
      <c r="B1899" s="10" t="s">
        <v>113</v>
      </c>
      <c r="C1899" s="10">
        <v>21</v>
      </c>
      <c r="D1899" s="10" t="s">
        <v>321</v>
      </c>
      <c r="E1899" s="41" t="s">
        <v>322</v>
      </c>
      <c r="F1899" s="41" t="s">
        <v>322</v>
      </c>
      <c r="G1899" s="21" t="str">
        <f>VLOOKUP(D1899,[6]成飞半成品!$A:$B,2,0)</f>
        <v>10860框</v>
      </c>
      <c r="H1899" s="10" t="s">
        <v>323</v>
      </c>
      <c r="I1899" s="10">
        <v>30</v>
      </c>
      <c r="J1899" s="10" t="s">
        <v>2078</v>
      </c>
      <c r="K1899" s="10">
        <v>2.5</v>
      </c>
      <c r="L1899" s="10">
        <v>1.8</v>
      </c>
      <c r="M1899" s="14">
        <v>37</v>
      </c>
      <c r="N1899" s="14">
        <v>5</v>
      </c>
      <c r="O1899" s="55" t="s">
        <v>1482</v>
      </c>
      <c r="Q1899" s="10">
        <v>360</v>
      </c>
      <c r="R1899" s="10">
        <v>120</v>
      </c>
      <c r="T1899" s="10">
        <v>1</v>
      </c>
      <c r="U1899" s="10">
        <v>180</v>
      </c>
      <c r="W1899" s="14">
        <v>1</v>
      </c>
      <c r="Y1899" s="79">
        <v>15.8</v>
      </c>
      <c r="Z1899" s="56" t="s">
        <v>49</v>
      </c>
    </row>
    <row r="1900" spans="1:28" ht="23.1" customHeight="1" x14ac:dyDescent="0.25">
      <c r="A1900" s="53" t="s">
        <v>1432</v>
      </c>
      <c r="B1900" s="10" t="s">
        <v>113</v>
      </c>
      <c r="C1900" s="10">
        <v>21</v>
      </c>
      <c r="D1900" s="10" t="s">
        <v>321</v>
      </c>
      <c r="E1900" s="41" t="s">
        <v>322</v>
      </c>
      <c r="F1900" s="41" t="s">
        <v>322</v>
      </c>
      <c r="G1900" s="21" t="str">
        <f>VLOOKUP(D1900,[6]成飞半成品!$A:$B,2,0)</f>
        <v>10860框</v>
      </c>
      <c r="H1900" s="10" t="s">
        <v>323</v>
      </c>
      <c r="I1900" s="10">
        <v>25</v>
      </c>
      <c r="J1900" s="10" t="s">
        <v>2074</v>
      </c>
      <c r="L1900" s="10">
        <v>0.5</v>
      </c>
      <c r="M1900" s="14">
        <v>28</v>
      </c>
      <c r="N1900" s="14"/>
      <c r="O1900" s="55" t="s">
        <v>607</v>
      </c>
      <c r="Q1900" s="10">
        <v>360</v>
      </c>
      <c r="R1900" s="10">
        <v>120</v>
      </c>
      <c r="U1900" s="10">
        <v>180</v>
      </c>
      <c r="W1900" s="14"/>
      <c r="Y1900" s="79">
        <v>3</v>
      </c>
      <c r="Z1900" s="56" t="s">
        <v>49</v>
      </c>
    </row>
    <row r="1901" spans="1:28" ht="23.1" customHeight="1" x14ac:dyDescent="0.25">
      <c r="A1901" s="53" t="s">
        <v>1432</v>
      </c>
      <c r="B1901" s="10" t="s">
        <v>113</v>
      </c>
      <c r="C1901" s="10">
        <v>10</v>
      </c>
      <c r="D1901" s="10" t="s">
        <v>217</v>
      </c>
      <c r="E1901" s="41" t="s">
        <v>218</v>
      </c>
      <c r="F1901" s="41" t="s">
        <v>218</v>
      </c>
      <c r="G1901" s="21" t="str">
        <f>VLOOKUP(D1901,[6]成飞半成品!$A:$B,2,0)</f>
        <v>横梁</v>
      </c>
      <c r="H1901" s="10" t="s">
        <v>107</v>
      </c>
      <c r="I1901" s="10">
        <v>55</v>
      </c>
      <c r="J1901" s="10" t="s">
        <v>2287</v>
      </c>
      <c r="K1901" s="10">
        <v>2</v>
      </c>
      <c r="L1901" s="10">
        <v>2</v>
      </c>
      <c r="M1901" s="14">
        <v>26</v>
      </c>
      <c r="N1901" s="14">
        <v>23</v>
      </c>
      <c r="O1901" s="55" t="s">
        <v>530</v>
      </c>
      <c r="Q1901" s="10">
        <v>270</v>
      </c>
      <c r="U1901" s="10">
        <v>90</v>
      </c>
      <c r="W1901" s="14"/>
      <c r="X1901" s="14">
        <v>2</v>
      </c>
      <c r="Y1901" s="79">
        <v>11</v>
      </c>
      <c r="Z1901" s="56" t="s">
        <v>23</v>
      </c>
      <c r="AA1901" s="14" t="s">
        <v>1461</v>
      </c>
      <c r="AB1901" s="14" t="s">
        <v>238</v>
      </c>
    </row>
    <row r="1902" spans="1:28" ht="23.1" customHeight="1" x14ac:dyDescent="0.25">
      <c r="A1902" s="53" t="s">
        <v>1432</v>
      </c>
      <c r="B1902" s="10" t="s">
        <v>113</v>
      </c>
      <c r="C1902" s="10">
        <v>15</v>
      </c>
      <c r="D1902" s="10" t="s">
        <v>116</v>
      </c>
      <c r="E1902" s="41" t="s">
        <v>117</v>
      </c>
      <c r="F1902" s="41" t="s">
        <v>117</v>
      </c>
      <c r="G1902" s="21" t="str">
        <f>VLOOKUP(D1902,[6]成飞半成品!$A:$B,2,0)</f>
        <v>7820~8270侧上梁</v>
      </c>
      <c r="H1902" s="10" t="s">
        <v>118</v>
      </c>
      <c r="I1902" s="10">
        <v>25</v>
      </c>
      <c r="J1902" s="10" t="s">
        <v>2225</v>
      </c>
      <c r="K1902" s="10">
        <v>1</v>
      </c>
      <c r="L1902" s="10">
        <v>1.2</v>
      </c>
      <c r="M1902" s="14">
        <v>31</v>
      </c>
      <c r="N1902" s="14">
        <v>23</v>
      </c>
      <c r="O1902" s="55" t="s">
        <v>1483</v>
      </c>
      <c r="Q1902" s="10">
        <v>900</v>
      </c>
      <c r="U1902" s="10">
        <v>120</v>
      </c>
      <c r="W1902" s="14"/>
      <c r="Y1902" s="79">
        <v>18</v>
      </c>
      <c r="Z1902" s="56" t="s">
        <v>60</v>
      </c>
    </row>
    <row r="1903" spans="1:28" ht="23.1" customHeight="1" x14ac:dyDescent="0.25">
      <c r="A1903" s="53" t="s">
        <v>1432</v>
      </c>
      <c r="B1903" s="10" t="s">
        <v>113</v>
      </c>
      <c r="C1903" s="10">
        <v>16</v>
      </c>
      <c r="D1903" s="10" t="s">
        <v>1420</v>
      </c>
      <c r="E1903" s="41" t="s">
        <v>1421</v>
      </c>
      <c r="F1903" s="41" t="s">
        <v>1421</v>
      </c>
      <c r="G1903" s="21" t="str">
        <f>VLOOKUP(D1903,[6]成飞半成品!$A:$B,2,0)</f>
        <v>第5隔板</v>
      </c>
      <c r="H1903" s="10" t="s">
        <v>123</v>
      </c>
      <c r="I1903" s="10">
        <v>15</v>
      </c>
      <c r="J1903" s="10" t="s">
        <v>2481</v>
      </c>
      <c r="K1903" s="10">
        <v>3</v>
      </c>
      <c r="L1903" s="10">
        <v>3</v>
      </c>
      <c r="M1903" s="14">
        <v>5</v>
      </c>
      <c r="N1903" s="14">
        <v>5</v>
      </c>
      <c r="O1903" s="55" t="s">
        <v>1049</v>
      </c>
      <c r="Q1903" s="10">
        <v>180</v>
      </c>
      <c r="U1903" s="10">
        <v>90</v>
      </c>
      <c r="W1903" s="14"/>
      <c r="Y1903" s="79">
        <v>9</v>
      </c>
      <c r="Z1903" s="56" t="s">
        <v>71</v>
      </c>
    </row>
    <row r="1904" spans="1:28" ht="23.1" customHeight="1" x14ac:dyDescent="0.25">
      <c r="A1904" s="53" t="s">
        <v>1432</v>
      </c>
      <c r="B1904" s="10" t="s">
        <v>113</v>
      </c>
      <c r="C1904" s="10">
        <v>11</v>
      </c>
      <c r="D1904" s="65" t="s">
        <v>2571</v>
      </c>
      <c r="E1904" s="41" t="s">
        <v>1439</v>
      </c>
      <c r="F1904" s="41" t="e">
        <v>#N/A</v>
      </c>
      <c r="G1904" s="21" t="str">
        <f>VLOOKUP(D1904,[6]成飞半成品!$A:$B,2,0)</f>
        <v>工装</v>
      </c>
      <c r="H1904" s="47" t="s">
        <v>939</v>
      </c>
      <c r="I1904" s="10">
        <v>5</v>
      </c>
      <c r="L1904" s="10">
        <v>2</v>
      </c>
      <c r="M1904" s="14">
        <v>26</v>
      </c>
      <c r="N1904" s="14"/>
      <c r="O1904" s="55" t="s">
        <v>108</v>
      </c>
      <c r="W1904" s="14"/>
      <c r="X1904" s="14">
        <v>6</v>
      </c>
      <c r="Y1904" s="79">
        <v>6</v>
      </c>
      <c r="Z1904" s="56" t="s">
        <v>71</v>
      </c>
    </row>
    <row r="1905" spans="1:27" ht="23.1" customHeight="1" x14ac:dyDescent="0.25">
      <c r="A1905" s="53" t="s">
        <v>1432</v>
      </c>
      <c r="B1905" s="10" t="s">
        <v>113</v>
      </c>
      <c r="C1905" s="10">
        <v>11</v>
      </c>
      <c r="D1905" s="65" t="s">
        <v>2571</v>
      </c>
      <c r="E1905" s="41" t="s">
        <v>1439</v>
      </c>
      <c r="F1905" s="41" t="e">
        <v>#N/A</v>
      </c>
      <c r="G1905" s="21" t="str">
        <f>VLOOKUP(D1905,[6]成飞半成品!$A:$B,2,0)</f>
        <v>工装</v>
      </c>
      <c r="H1905" s="47" t="s">
        <v>939</v>
      </c>
      <c r="I1905" s="10">
        <v>10</v>
      </c>
      <c r="L1905" s="10">
        <v>3</v>
      </c>
      <c r="M1905" s="14"/>
      <c r="N1905" s="14">
        <v>2</v>
      </c>
      <c r="O1905" s="55" t="s">
        <v>108</v>
      </c>
      <c r="W1905" s="14">
        <v>1</v>
      </c>
      <c r="X1905" s="14">
        <v>6</v>
      </c>
      <c r="Y1905" s="79">
        <v>6</v>
      </c>
      <c r="Z1905" s="56" t="s">
        <v>71</v>
      </c>
    </row>
    <row r="1906" spans="1:27" ht="23.1" customHeight="1" x14ac:dyDescent="0.25">
      <c r="A1906" s="53" t="s">
        <v>1432</v>
      </c>
      <c r="B1906" s="10" t="s">
        <v>113</v>
      </c>
      <c r="C1906" s="10">
        <v>107</v>
      </c>
      <c r="D1906" s="10" t="s">
        <v>1275</v>
      </c>
      <c r="E1906" s="41" t="s">
        <v>215</v>
      </c>
      <c r="F1906" s="41" t="s">
        <v>215</v>
      </c>
      <c r="G1906" s="21" t="str">
        <f>VLOOKUP(D1906,[6]成飞半成品!$A:$B,2,0)</f>
        <v>口盖</v>
      </c>
      <c r="H1906" s="10" t="s">
        <v>154</v>
      </c>
      <c r="I1906" s="10">
        <v>40</v>
      </c>
      <c r="J1906" s="10" t="s">
        <v>2263</v>
      </c>
      <c r="K1906" s="10">
        <v>1.5</v>
      </c>
      <c r="L1906" s="10">
        <v>2.5</v>
      </c>
      <c r="M1906" s="14">
        <v>26</v>
      </c>
      <c r="N1906" s="14">
        <v>23</v>
      </c>
      <c r="O1906" s="55" t="s">
        <v>1463</v>
      </c>
      <c r="Q1906" s="10">
        <v>390</v>
      </c>
      <c r="T1906" s="10">
        <v>2</v>
      </c>
      <c r="U1906" s="10">
        <v>60</v>
      </c>
      <c r="W1906" s="14"/>
      <c r="Y1906" s="79">
        <v>16.3</v>
      </c>
      <c r="Z1906" s="56" t="s">
        <v>13</v>
      </c>
    </row>
    <row r="1907" spans="1:27" ht="23.1" customHeight="1" x14ac:dyDescent="0.25">
      <c r="A1907" s="53" t="s">
        <v>1432</v>
      </c>
      <c r="B1907" s="10" t="s">
        <v>113</v>
      </c>
      <c r="C1907" s="10">
        <v>78</v>
      </c>
      <c r="D1907" s="10" t="s">
        <v>1423</v>
      </c>
      <c r="E1907" s="41" t="s">
        <v>1424</v>
      </c>
      <c r="F1907" s="41" t="s">
        <v>1424</v>
      </c>
      <c r="G1907" s="21" t="str">
        <f>VLOOKUP(D1907,[6]成飞半成品!$A:$B,2,0)</f>
        <v>9480梁（右件）</v>
      </c>
      <c r="H1907" s="10" t="s">
        <v>300</v>
      </c>
      <c r="I1907" s="10">
        <v>20</v>
      </c>
      <c r="J1907" s="10" t="s">
        <v>2268</v>
      </c>
      <c r="L1907" s="10">
        <v>1</v>
      </c>
      <c r="M1907" s="14">
        <v>31</v>
      </c>
      <c r="N1907" s="14"/>
      <c r="O1907" s="55" t="s">
        <v>1425</v>
      </c>
      <c r="Q1907" s="10">
        <v>320</v>
      </c>
      <c r="R1907" s="10">
        <v>60</v>
      </c>
      <c r="T1907" s="10">
        <v>1</v>
      </c>
      <c r="U1907" s="10">
        <v>60</v>
      </c>
      <c r="W1907" s="14">
        <v>1</v>
      </c>
      <c r="Y1907" s="79">
        <v>7.3</v>
      </c>
      <c r="Z1907" s="56" t="s">
        <v>5</v>
      </c>
    </row>
    <row r="1908" spans="1:27" ht="23.1" customHeight="1" x14ac:dyDescent="0.25">
      <c r="A1908" s="53" t="s">
        <v>1432</v>
      </c>
      <c r="B1908" s="10" t="s">
        <v>113</v>
      </c>
      <c r="C1908" s="10">
        <v>78</v>
      </c>
      <c r="D1908" s="10" t="s">
        <v>1423</v>
      </c>
      <c r="E1908" s="41" t="s">
        <v>1424</v>
      </c>
      <c r="F1908" s="41" t="s">
        <v>1424</v>
      </c>
      <c r="G1908" s="21" t="str">
        <f>VLOOKUP(D1908,[6]成飞半成品!$A:$B,2,0)</f>
        <v>9480梁（右件）</v>
      </c>
      <c r="H1908" s="10" t="s">
        <v>300</v>
      </c>
      <c r="I1908" s="10">
        <v>25</v>
      </c>
      <c r="J1908" s="10" t="s">
        <v>2277</v>
      </c>
      <c r="L1908" s="10">
        <v>2</v>
      </c>
      <c r="M1908" s="14">
        <v>37</v>
      </c>
      <c r="N1908" s="14">
        <v>5</v>
      </c>
      <c r="O1908" s="55" t="s">
        <v>1425</v>
      </c>
      <c r="Q1908" s="10">
        <v>280</v>
      </c>
      <c r="R1908" s="10">
        <v>60</v>
      </c>
      <c r="T1908" s="10">
        <v>2</v>
      </c>
      <c r="U1908" s="10">
        <v>60</v>
      </c>
      <c r="W1908" s="14">
        <v>1</v>
      </c>
      <c r="Y1908" s="79">
        <v>12.3</v>
      </c>
      <c r="Z1908" s="56" t="s">
        <v>5</v>
      </c>
    </row>
    <row r="1909" spans="1:27" ht="23.1" customHeight="1" x14ac:dyDescent="0.25">
      <c r="A1909" s="53" t="s">
        <v>1432</v>
      </c>
      <c r="B1909" s="10" t="s">
        <v>113</v>
      </c>
      <c r="C1909" s="10">
        <v>47</v>
      </c>
      <c r="D1909" s="10" t="s">
        <v>2560</v>
      </c>
      <c r="E1909" s="41" t="s">
        <v>979</v>
      </c>
      <c r="F1909" s="41" t="s">
        <v>979</v>
      </c>
      <c r="G1909" s="21" t="str">
        <f>VLOOKUP(D1909,[6]成飞半成品!$A:$B,2,0)</f>
        <v>翼尖接头</v>
      </c>
      <c r="H1909" s="10" t="s">
        <v>123</v>
      </c>
      <c r="I1909" s="10">
        <v>30</v>
      </c>
      <c r="J1909" s="10" t="s">
        <v>2199</v>
      </c>
      <c r="K1909" s="10">
        <v>1</v>
      </c>
      <c r="L1909" s="10">
        <v>1.2</v>
      </c>
      <c r="M1909" s="14">
        <v>37</v>
      </c>
      <c r="N1909" s="14">
        <v>5</v>
      </c>
      <c r="O1909" s="55" t="s">
        <v>1484</v>
      </c>
      <c r="Q1909" s="10">
        <v>720</v>
      </c>
      <c r="R1909" s="10">
        <v>120</v>
      </c>
      <c r="T1909" s="10">
        <v>2</v>
      </c>
      <c r="U1909" s="10">
        <v>90</v>
      </c>
      <c r="W1909" s="14">
        <v>1</v>
      </c>
      <c r="Y1909" s="79">
        <v>19.899999999999999</v>
      </c>
      <c r="Z1909" s="56" t="s">
        <v>22</v>
      </c>
    </row>
    <row r="1910" spans="1:27" ht="23.1" customHeight="1" x14ac:dyDescent="0.25">
      <c r="A1910" s="53" t="s">
        <v>1432</v>
      </c>
      <c r="B1910" s="10" t="s">
        <v>113</v>
      </c>
      <c r="C1910" s="10">
        <v>23</v>
      </c>
      <c r="D1910" s="10" t="s">
        <v>498</v>
      </c>
      <c r="E1910" s="41" t="s">
        <v>499</v>
      </c>
      <c r="F1910" s="41" t="s">
        <v>499</v>
      </c>
      <c r="G1910" s="21" t="str">
        <f>VLOOKUP(D1910,[6]成飞半成品!$A:$B,2,0)</f>
        <v>10540中框</v>
      </c>
      <c r="H1910" s="10" t="s">
        <v>118</v>
      </c>
      <c r="I1910" s="10">
        <v>15</v>
      </c>
      <c r="J1910" s="10" t="s">
        <v>2260</v>
      </c>
      <c r="K1910" s="10">
        <v>1.5</v>
      </c>
      <c r="L1910" s="10">
        <v>1.5</v>
      </c>
      <c r="M1910" s="14">
        <v>28</v>
      </c>
      <c r="N1910" s="14">
        <v>26</v>
      </c>
      <c r="O1910" s="55" t="s">
        <v>1485</v>
      </c>
      <c r="Q1910" s="10">
        <v>420</v>
      </c>
      <c r="R1910" s="10">
        <v>120</v>
      </c>
      <c r="T1910" s="10">
        <v>1</v>
      </c>
      <c r="U1910" s="10">
        <v>180</v>
      </c>
      <c r="W1910" s="14"/>
      <c r="Y1910" s="79">
        <v>12.5</v>
      </c>
      <c r="Z1910" s="56" t="s">
        <v>22</v>
      </c>
    </row>
    <row r="1911" spans="1:27" ht="23.1" customHeight="1" x14ac:dyDescent="0.25">
      <c r="A1911" s="53" t="s">
        <v>1432</v>
      </c>
      <c r="B1911" s="10" t="s">
        <v>113</v>
      </c>
      <c r="C1911" s="10">
        <v>23</v>
      </c>
      <c r="D1911" s="10" t="s">
        <v>498</v>
      </c>
      <c r="E1911" s="41" t="s">
        <v>499</v>
      </c>
      <c r="F1911" s="41" t="s">
        <v>499</v>
      </c>
      <c r="G1911" s="21" t="str">
        <f>VLOOKUP(D1911,[6]成飞半成品!$A:$B,2,0)</f>
        <v>10540中框</v>
      </c>
      <c r="H1911" s="10" t="s">
        <v>118</v>
      </c>
      <c r="I1911" s="10">
        <v>15</v>
      </c>
      <c r="J1911" s="10" t="s">
        <v>2260</v>
      </c>
      <c r="K1911" s="10">
        <v>0.5</v>
      </c>
      <c r="L1911" s="10">
        <v>0.5</v>
      </c>
      <c r="M1911" s="14">
        <v>23</v>
      </c>
      <c r="N1911" s="14"/>
      <c r="O1911" s="55" t="s">
        <v>506</v>
      </c>
      <c r="Q1911" s="10">
        <v>420</v>
      </c>
      <c r="R1911" s="10">
        <v>120</v>
      </c>
      <c r="T1911" s="10">
        <v>1</v>
      </c>
      <c r="U1911" s="10">
        <v>180</v>
      </c>
      <c r="W1911" s="14"/>
      <c r="Y1911" s="79">
        <v>5.5</v>
      </c>
      <c r="Z1911" s="56" t="s">
        <v>22</v>
      </c>
    </row>
    <row r="1912" spans="1:27" ht="23.1" customHeight="1" x14ac:dyDescent="0.25">
      <c r="A1912" s="53" t="s">
        <v>1432</v>
      </c>
      <c r="B1912" s="10" t="s">
        <v>113</v>
      </c>
      <c r="C1912" s="10">
        <v>12</v>
      </c>
      <c r="D1912" s="10" t="s">
        <v>248</v>
      </c>
      <c r="E1912" s="41" t="s">
        <v>249</v>
      </c>
      <c r="F1912" s="41" t="s">
        <v>249</v>
      </c>
      <c r="G1912" s="21" t="str">
        <f>VLOOKUP(D1912,[6]成飞半成品!$A:$B,2,0)</f>
        <v>10060下接头</v>
      </c>
      <c r="H1912" s="10" t="s">
        <v>250</v>
      </c>
      <c r="I1912" s="10">
        <v>15</v>
      </c>
      <c r="J1912" s="10" t="s">
        <v>1903</v>
      </c>
      <c r="K1912" s="10">
        <v>1</v>
      </c>
      <c r="L1912" s="10">
        <v>1.5</v>
      </c>
      <c r="M1912" s="14">
        <v>28</v>
      </c>
      <c r="N1912" s="14">
        <v>23</v>
      </c>
      <c r="O1912" s="55" t="s">
        <v>1486</v>
      </c>
      <c r="Q1912" s="10">
        <v>600</v>
      </c>
      <c r="U1912" s="10">
        <v>120</v>
      </c>
      <c r="W1912" s="14"/>
      <c r="Y1912" s="79">
        <v>15</v>
      </c>
      <c r="Z1912" s="56" t="s">
        <v>10</v>
      </c>
    </row>
    <row r="1913" spans="1:27" ht="23.1" customHeight="1" x14ac:dyDescent="0.25">
      <c r="A1913" s="53" t="s">
        <v>1432</v>
      </c>
      <c r="B1913" s="10" t="s">
        <v>113</v>
      </c>
      <c r="C1913" s="10">
        <v>56</v>
      </c>
      <c r="D1913" s="10" t="s">
        <v>1397</v>
      </c>
      <c r="E1913" s="41" t="s">
        <v>1398</v>
      </c>
      <c r="F1913" s="41" t="s">
        <v>1398</v>
      </c>
      <c r="G1913" s="21" t="str">
        <f>VLOOKUP(D1913,[6]成飞半成品!$A:$B,2,0)</f>
        <v>受剪接头</v>
      </c>
      <c r="H1913" s="10" t="s">
        <v>118</v>
      </c>
      <c r="I1913" s="10">
        <v>25</v>
      </c>
      <c r="J1913" s="10" t="s">
        <v>2054</v>
      </c>
      <c r="K1913" s="10">
        <v>3</v>
      </c>
      <c r="L1913" s="10">
        <v>4</v>
      </c>
      <c r="M1913" s="14">
        <v>37</v>
      </c>
      <c r="N1913" s="14">
        <v>37</v>
      </c>
      <c r="O1913" s="55" t="s">
        <v>1487</v>
      </c>
      <c r="Q1913" s="10">
        <v>160</v>
      </c>
      <c r="U1913" s="10">
        <v>60</v>
      </c>
      <c r="W1913" s="14"/>
      <c r="Y1913" s="79">
        <v>10.7</v>
      </c>
      <c r="Z1913" s="56" t="s">
        <v>18</v>
      </c>
    </row>
    <row r="1914" spans="1:27" ht="23.1" customHeight="1" x14ac:dyDescent="0.25">
      <c r="A1914" s="53" t="s">
        <v>1432</v>
      </c>
      <c r="B1914" s="10" t="s">
        <v>113</v>
      </c>
      <c r="C1914" s="10">
        <v>56</v>
      </c>
      <c r="D1914" s="10" t="s">
        <v>1397</v>
      </c>
      <c r="E1914" s="41" t="s">
        <v>1398</v>
      </c>
      <c r="F1914" s="41" t="s">
        <v>1398</v>
      </c>
      <c r="G1914" s="21" t="str">
        <f>VLOOKUP(D1914,[6]成飞半成品!$A:$B,2,0)</f>
        <v>受剪接头</v>
      </c>
      <c r="H1914" s="10" t="s">
        <v>118</v>
      </c>
      <c r="I1914" s="10">
        <v>30</v>
      </c>
      <c r="J1914" s="10" t="s">
        <v>1863</v>
      </c>
      <c r="K1914" s="10">
        <v>1</v>
      </c>
      <c r="L1914" s="10">
        <v>3</v>
      </c>
      <c r="M1914" s="14">
        <v>37</v>
      </c>
      <c r="N1914" s="14">
        <v>9</v>
      </c>
      <c r="O1914" s="55" t="s">
        <v>1488</v>
      </c>
      <c r="Q1914" s="10">
        <v>75</v>
      </c>
      <c r="U1914" s="10">
        <v>90</v>
      </c>
      <c r="W1914" s="14">
        <v>1</v>
      </c>
      <c r="Y1914" s="79">
        <v>5.3</v>
      </c>
      <c r="Z1914" s="56" t="s">
        <v>18</v>
      </c>
    </row>
    <row r="1915" spans="1:27" ht="23.1" customHeight="1" x14ac:dyDescent="0.25">
      <c r="A1915" s="53" t="s">
        <v>1432</v>
      </c>
      <c r="B1915" s="10" t="s">
        <v>113</v>
      </c>
      <c r="C1915" s="10">
        <v>22</v>
      </c>
      <c r="D1915" s="10" t="s">
        <v>611</v>
      </c>
      <c r="E1915" s="41" t="s">
        <v>612</v>
      </c>
      <c r="F1915" s="41" t="s">
        <v>612</v>
      </c>
      <c r="G1915" s="21" t="str">
        <f>VLOOKUP(D1915,[6]成飞半成品!$A:$B,2,0)</f>
        <v>前梁二段</v>
      </c>
      <c r="H1915" s="10" t="s">
        <v>154</v>
      </c>
      <c r="I1915" s="10">
        <v>30</v>
      </c>
      <c r="J1915" s="10" t="s">
        <v>1992</v>
      </c>
      <c r="K1915" s="10">
        <v>0.3</v>
      </c>
      <c r="L1915" s="10">
        <v>0.15</v>
      </c>
      <c r="M1915" s="14">
        <v>28</v>
      </c>
      <c r="N1915" s="14"/>
      <c r="O1915" s="55" t="s">
        <v>613</v>
      </c>
      <c r="Q1915" s="10">
        <v>4800</v>
      </c>
      <c r="R1915" s="10">
        <v>180</v>
      </c>
      <c r="T1915" s="10">
        <v>1</v>
      </c>
      <c r="U1915" s="10">
        <v>180</v>
      </c>
      <c r="W1915" s="14">
        <v>1</v>
      </c>
      <c r="Y1915" s="79">
        <v>18</v>
      </c>
      <c r="Z1915" s="56" t="s">
        <v>49</v>
      </c>
    </row>
    <row r="1916" spans="1:27" ht="23.1" customHeight="1" x14ac:dyDescent="0.25">
      <c r="A1916" s="53" t="s">
        <v>1489</v>
      </c>
      <c r="B1916" s="10" t="s">
        <v>110</v>
      </c>
      <c r="C1916" s="10">
        <v>107</v>
      </c>
      <c r="D1916" s="10" t="s">
        <v>1275</v>
      </c>
      <c r="E1916" s="41" t="s">
        <v>215</v>
      </c>
      <c r="F1916" s="41" t="s">
        <v>215</v>
      </c>
      <c r="G1916" s="21" t="str">
        <f>VLOOKUP(D1916,[6]成飞半成品!$A:$B,2,0)</f>
        <v>口盖</v>
      </c>
      <c r="H1916" s="10" t="s">
        <v>154</v>
      </c>
      <c r="I1916" s="10">
        <v>40</v>
      </c>
      <c r="J1916" s="10" t="s">
        <v>2263</v>
      </c>
      <c r="K1916" s="10">
        <v>1.5</v>
      </c>
      <c r="L1916" s="10">
        <v>2</v>
      </c>
      <c r="M1916" s="14">
        <v>28</v>
      </c>
      <c r="N1916" s="14">
        <v>28</v>
      </c>
      <c r="O1916" s="55" t="s">
        <v>1490</v>
      </c>
      <c r="Q1916" s="10">
        <v>390</v>
      </c>
      <c r="T1916" s="10">
        <v>2</v>
      </c>
      <c r="U1916" s="10">
        <v>60</v>
      </c>
      <c r="W1916" s="14"/>
      <c r="Y1916" s="79">
        <v>13</v>
      </c>
      <c r="Z1916" s="56" t="s">
        <v>45</v>
      </c>
    </row>
    <row r="1917" spans="1:27" ht="23.1" customHeight="1" x14ac:dyDescent="0.25">
      <c r="A1917" s="53" t="s">
        <v>1489</v>
      </c>
      <c r="B1917" s="10" t="s">
        <v>110</v>
      </c>
      <c r="C1917" s="10">
        <v>22</v>
      </c>
      <c r="D1917" s="10" t="s">
        <v>611</v>
      </c>
      <c r="E1917" s="41" t="s">
        <v>612</v>
      </c>
      <c r="F1917" s="41" t="s">
        <v>612</v>
      </c>
      <c r="G1917" s="21" t="str">
        <f>VLOOKUP(D1917,[6]成飞半成品!$A:$B,2,0)</f>
        <v>前梁二段</v>
      </c>
      <c r="H1917" s="10" t="s">
        <v>154</v>
      </c>
      <c r="I1917" s="10">
        <v>30</v>
      </c>
      <c r="J1917" s="10" t="s">
        <v>1992</v>
      </c>
      <c r="K1917" s="10">
        <v>0.3</v>
      </c>
      <c r="L1917" s="10">
        <v>0.15</v>
      </c>
      <c r="M1917" s="14">
        <v>28</v>
      </c>
      <c r="N1917" s="14"/>
      <c r="O1917" s="55" t="s">
        <v>613</v>
      </c>
      <c r="Q1917" s="10">
        <v>4800</v>
      </c>
      <c r="R1917" s="10">
        <v>180</v>
      </c>
      <c r="U1917" s="10">
        <v>180</v>
      </c>
      <c r="W1917" s="14"/>
      <c r="Y1917" s="79">
        <v>12</v>
      </c>
      <c r="Z1917" s="56" t="s">
        <v>58</v>
      </c>
    </row>
    <row r="1918" spans="1:27" ht="23.1" customHeight="1" x14ac:dyDescent="0.25">
      <c r="A1918" s="53" t="s">
        <v>1489</v>
      </c>
      <c r="B1918" s="10" t="s">
        <v>110</v>
      </c>
      <c r="C1918" s="10">
        <v>69</v>
      </c>
      <c r="D1918" s="65" t="s">
        <v>2551</v>
      </c>
      <c r="E1918" s="41" t="s">
        <v>938</v>
      </c>
      <c r="F1918" s="41" t="s">
        <v>938</v>
      </c>
      <c r="G1918" s="21" t="str">
        <f>VLOOKUP(D1918,[6]成飞半成品!$A:$B,2,0)</f>
        <v>工装</v>
      </c>
      <c r="H1918" s="47" t="s">
        <v>939</v>
      </c>
      <c r="I1918" s="10">
        <v>60</v>
      </c>
      <c r="J1918" s="10" t="s">
        <v>2203</v>
      </c>
      <c r="K1918" s="10">
        <v>0.3</v>
      </c>
      <c r="L1918" s="10">
        <v>0.4</v>
      </c>
      <c r="M1918" s="14">
        <v>5</v>
      </c>
      <c r="N1918" s="14"/>
      <c r="O1918" s="55" t="s">
        <v>532</v>
      </c>
      <c r="Q1918" s="10">
        <v>900</v>
      </c>
      <c r="R1918" s="10">
        <v>90</v>
      </c>
      <c r="U1918" s="10">
        <v>180</v>
      </c>
      <c r="W1918" s="14"/>
      <c r="X1918" s="14">
        <v>2</v>
      </c>
      <c r="Y1918" s="79">
        <v>8</v>
      </c>
      <c r="Z1918" s="56" t="s">
        <v>54</v>
      </c>
      <c r="AA1918" s="14" t="s">
        <v>1357</v>
      </c>
    </row>
    <row r="1919" spans="1:27" ht="23.1" customHeight="1" x14ac:dyDescent="0.25">
      <c r="A1919" s="53" t="s">
        <v>1489</v>
      </c>
      <c r="B1919" s="10" t="s">
        <v>110</v>
      </c>
      <c r="C1919" s="10">
        <v>69</v>
      </c>
      <c r="D1919" s="10" t="s">
        <v>484</v>
      </c>
      <c r="E1919" s="41" t="s">
        <v>485</v>
      </c>
      <c r="F1919" s="41" t="s">
        <v>485</v>
      </c>
      <c r="G1919" s="21" t="str">
        <f>VLOOKUP(D1919,[6]成飞半成品!$A:$B,2,0)</f>
        <v>8635左隔框</v>
      </c>
      <c r="H1919" s="10" t="s">
        <v>300</v>
      </c>
      <c r="I1919" s="10">
        <v>30</v>
      </c>
      <c r="J1919" s="10" t="s">
        <v>1921</v>
      </c>
      <c r="K1919" s="10">
        <v>0.6</v>
      </c>
      <c r="L1919" s="10">
        <v>0.2</v>
      </c>
      <c r="M1919" s="14">
        <v>28</v>
      </c>
      <c r="N1919" s="14"/>
      <c r="O1919" s="55" t="s">
        <v>456</v>
      </c>
      <c r="Q1919" s="10">
        <v>960</v>
      </c>
      <c r="R1919" s="10">
        <v>120</v>
      </c>
      <c r="T1919" s="10">
        <v>1</v>
      </c>
      <c r="U1919" s="10">
        <v>180</v>
      </c>
      <c r="W1919" s="14">
        <v>1</v>
      </c>
      <c r="X1919" s="10">
        <v>6.5</v>
      </c>
      <c r="Y1919" s="79">
        <v>14.7</v>
      </c>
      <c r="Z1919" s="56" t="s">
        <v>54</v>
      </c>
      <c r="AA1919" s="14" t="s">
        <v>1491</v>
      </c>
    </row>
    <row r="1920" spans="1:27" ht="23.1" customHeight="1" x14ac:dyDescent="0.25">
      <c r="A1920" s="53" t="s">
        <v>1489</v>
      </c>
      <c r="B1920" s="10" t="s">
        <v>110</v>
      </c>
      <c r="C1920" s="10">
        <v>84</v>
      </c>
      <c r="D1920" s="10" t="s">
        <v>1047</v>
      </c>
      <c r="E1920" s="41" t="s">
        <v>424</v>
      </c>
      <c r="F1920" s="41" t="s">
        <v>424</v>
      </c>
      <c r="G1920" s="21" t="str">
        <f>VLOOKUP(D1920,[6]成飞半成品!$A:$B,2,0)</f>
        <v>后梁四段</v>
      </c>
      <c r="H1920" s="10" t="s">
        <v>107</v>
      </c>
      <c r="I1920" s="10">
        <v>40</v>
      </c>
      <c r="J1920" s="10" t="s">
        <v>2096</v>
      </c>
      <c r="K1920" s="10">
        <v>1.5</v>
      </c>
      <c r="L1920" s="10">
        <v>1.3</v>
      </c>
      <c r="M1920" s="14">
        <v>5</v>
      </c>
      <c r="N1920" s="14">
        <v>23</v>
      </c>
      <c r="O1920" s="55" t="s">
        <v>1492</v>
      </c>
      <c r="Q1920" s="10">
        <v>360</v>
      </c>
      <c r="R1920" s="10">
        <v>30</v>
      </c>
      <c r="T1920" s="10">
        <v>1</v>
      </c>
      <c r="U1920" s="10">
        <v>120</v>
      </c>
      <c r="W1920" s="14"/>
      <c r="Y1920" s="79">
        <v>8.3000000000000007</v>
      </c>
      <c r="Z1920" s="56" t="s">
        <v>54</v>
      </c>
    </row>
    <row r="1921" spans="1:28" ht="23.1" customHeight="1" x14ac:dyDescent="0.25">
      <c r="A1921" s="53" t="s">
        <v>1489</v>
      </c>
      <c r="B1921" s="10" t="s">
        <v>110</v>
      </c>
      <c r="C1921" s="10">
        <v>84</v>
      </c>
      <c r="D1921" s="10" t="s">
        <v>1047</v>
      </c>
      <c r="E1921" s="41" t="s">
        <v>424</v>
      </c>
      <c r="F1921" s="41" t="s">
        <v>424</v>
      </c>
      <c r="G1921" s="21" t="str">
        <f>VLOOKUP(D1921,[6]成飞半成品!$A:$B,2,0)</f>
        <v>后梁四段</v>
      </c>
      <c r="H1921" s="10" t="s">
        <v>107</v>
      </c>
      <c r="I1921" s="10">
        <v>38</v>
      </c>
      <c r="L1921" s="10">
        <v>1</v>
      </c>
      <c r="M1921" s="14">
        <v>5</v>
      </c>
      <c r="N1921" s="14">
        <v>23</v>
      </c>
      <c r="O1921" s="55" t="s">
        <v>1440</v>
      </c>
      <c r="T1921" s="10">
        <v>1</v>
      </c>
      <c r="W1921" s="14"/>
      <c r="X1921" s="14">
        <v>5</v>
      </c>
      <c r="Y1921" s="83">
        <v>5</v>
      </c>
      <c r="Z1921" s="56" t="s">
        <v>54</v>
      </c>
      <c r="AA1921" s="14" t="s">
        <v>1493</v>
      </c>
    </row>
    <row r="1922" spans="1:28" ht="23.1" customHeight="1" x14ac:dyDescent="0.25">
      <c r="A1922" s="53" t="s">
        <v>1489</v>
      </c>
      <c r="B1922" s="10" t="s">
        <v>110</v>
      </c>
      <c r="C1922" s="10">
        <v>91</v>
      </c>
      <c r="D1922" s="10" t="s">
        <v>254</v>
      </c>
      <c r="E1922" s="41" t="s">
        <v>255</v>
      </c>
      <c r="F1922" s="41" t="s">
        <v>1016</v>
      </c>
      <c r="G1922" s="21" t="str">
        <f>VLOOKUP(D1922,[6]成飞半成品!$A:$B,2,0)</f>
        <v>9350-11140右侧上梁</v>
      </c>
      <c r="H1922" s="10" t="s">
        <v>375</v>
      </c>
      <c r="I1922" s="10">
        <v>40</v>
      </c>
      <c r="J1922" s="10" t="s">
        <v>2110</v>
      </c>
      <c r="K1922" s="10">
        <v>0.4</v>
      </c>
      <c r="L1922" s="10">
        <v>0.4</v>
      </c>
      <c r="M1922" s="14">
        <v>28</v>
      </c>
      <c r="N1922" s="14"/>
      <c r="O1922" s="55" t="s">
        <v>475</v>
      </c>
      <c r="Q1922" s="10">
        <v>3000</v>
      </c>
      <c r="R1922" s="10">
        <v>90</v>
      </c>
      <c r="U1922" s="10">
        <v>120</v>
      </c>
      <c r="W1922" s="14"/>
      <c r="Y1922" s="79">
        <v>20</v>
      </c>
      <c r="Z1922" s="56" t="s">
        <v>54</v>
      </c>
    </row>
    <row r="1923" spans="1:28" ht="23.1" customHeight="1" x14ac:dyDescent="0.25">
      <c r="A1923" s="53" t="s">
        <v>1489</v>
      </c>
      <c r="B1923" s="10" t="s">
        <v>110</v>
      </c>
      <c r="C1923" s="10">
        <v>24</v>
      </c>
      <c r="D1923" s="10" t="s">
        <v>776</v>
      </c>
      <c r="E1923" s="41" t="s">
        <v>777</v>
      </c>
      <c r="F1923" s="41" t="s">
        <v>777</v>
      </c>
      <c r="G1923" s="21" t="str">
        <f>VLOOKUP(D1923,[6]成飞半成品!$A:$B,2,0)</f>
        <v>BL280侧壁（左件）</v>
      </c>
      <c r="H1923" s="10" t="s">
        <v>107</v>
      </c>
      <c r="I1923" s="10">
        <v>25</v>
      </c>
      <c r="J1923" s="10" t="s">
        <v>2035</v>
      </c>
      <c r="L1923" s="10">
        <v>0.5</v>
      </c>
      <c r="M1923" s="14">
        <v>28</v>
      </c>
      <c r="N1923" s="14">
        <v>23</v>
      </c>
      <c r="O1923" s="55" t="s">
        <v>684</v>
      </c>
      <c r="Q1923" s="10">
        <v>840</v>
      </c>
      <c r="R1923" s="10">
        <v>120</v>
      </c>
      <c r="T1923" s="10">
        <v>1</v>
      </c>
      <c r="U1923" s="10">
        <v>150</v>
      </c>
      <c r="W1923" s="14">
        <v>1</v>
      </c>
      <c r="X1923" s="10">
        <v>3</v>
      </c>
      <c r="Y1923" s="79">
        <v>14.5</v>
      </c>
      <c r="Z1923" s="56" t="s">
        <v>54</v>
      </c>
      <c r="AA1923" s="14" t="s">
        <v>1494</v>
      </c>
    </row>
    <row r="1924" spans="1:28" ht="23.1" customHeight="1" x14ac:dyDescent="0.25">
      <c r="A1924" s="53" t="s">
        <v>1489</v>
      </c>
      <c r="B1924" s="10" t="s">
        <v>110</v>
      </c>
      <c r="C1924" s="10">
        <v>119</v>
      </c>
      <c r="D1924" s="10" t="s">
        <v>1097</v>
      </c>
      <c r="E1924" s="41" t="s">
        <v>1098</v>
      </c>
      <c r="F1924" s="41" t="s">
        <v>1098</v>
      </c>
      <c r="G1924" s="21" t="str">
        <f>VLOOKUP(D1924,[6]成飞半成品!$A:$B,2,0)</f>
        <v>根肋一段</v>
      </c>
      <c r="H1924" s="10" t="s">
        <v>250</v>
      </c>
      <c r="I1924" s="10">
        <v>55</v>
      </c>
      <c r="J1924" s="10" t="s">
        <v>2276</v>
      </c>
      <c r="K1924" s="10">
        <v>3</v>
      </c>
      <c r="L1924" s="10">
        <v>2.7</v>
      </c>
      <c r="M1924" s="14">
        <v>23</v>
      </c>
      <c r="N1924" s="14">
        <v>31</v>
      </c>
      <c r="O1924" s="55" t="s">
        <v>1132</v>
      </c>
      <c r="Q1924" s="10">
        <v>540</v>
      </c>
      <c r="R1924" s="10">
        <v>60</v>
      </c>
      <c r="T1924" s="10">
        <v>3</v>
      </c>
      <c r="U1924" s="10">
        <v>90</v>
      </c>
      <c r="W1924" s="14"/>
      <c r="Y1924" s="79">
        <v>27.3</v>
      </c>
      <c r="Z1924" s="56" t="s">
        <v>54</v>
      </c>
    </row>
    <row r="1925" spans="1:28" ht="23.1" customHeight="1" x14ac:dyDescent="0.25">
      <c r="A1925" s="53" t="s">
        <v>1489</v>
      </c>
      <c r="B1925" s="10" t="s">
        <v>110</v>
      </c>
      <c r="C1925" s="10">
        <v>121</v>
      </c>
      <c r="D1925" s="10" t="s">
        <v>288</v>
      </c>
      <c r="E1925" s="41" t="s">
        <v>255</v>
      </c>
      <c r="F1925" s="41" t="s">
        <v>1532</v>
      </c>
      <c r="G1925" s="21" t="str">
        <f>VLOOKUP(D1925,[6]成飞半成品!$A:$B,2,0)</f>
        <v>9350-11140左侧上梁</v>
      </c>
      <c r="H1925" s="10" t="s">
        <v>250</v>
      </c>
      <c r="I1925" s="10">
        <v>50</v>
      </c>
      <c r="J1925" s="10" t="s">
        <v>2261</v>
      </c>
      <c r="K1925" s="10">
        <v>0.4</v>
      </c>
      <c r="L1925" s="10">
        <v>0.4</v>
      </c>
      <c r="M1925" s="14">
        <v>28</v>
      </c>
      <c r="N1925" s="14">
        <v>23</v>
      </c>
      <c r="O1925" s="55" t="s">
        <v>155</v>
      </c>
      <c r="Q1925" s="10">
        <v>3000</v>
      </c>
      <c r="R1925" s="10">
        <v>90</v>
      </c>
      <c r="T1925" s="10">
        <v>1</v>
      </c>
      <c r="U1925" s="10">
        <v>150</v>
      </c>
      <c r="W1925" s="14"/>
      <c r="Y1925" s="79">
        <v>21.5</v>
      </c>
      <c r="Z1925" s="56" t="s">
        <v>54</v>
      </c>
    </row>
    <row r="1926" spans="1:28" ht="23.1" customHeight="1" x14ac:dyDescent="0.25">
      <c r="A1926" s="53" t="s">
        <v>1489</v>
      </c>
      <c r="B1926" s="10" t="s">
        <v>110</v>
      </c>
      <c r="C1926" s="10">
        <v>108</v>
      </c>
      <c r="D1926" s="10" t="s">
        <v>889</v>
      </c>
      <c r="E1926" s="41" t="s">
        <v>887</v>
      </c>
      <c r="F1926" s="41" t="s">
        <v>887</v>
      </c>
      <c r="G1926" s="21" t="str">
        <f>VLOOKUP(D1926,[6]成飞半成品!$A:$B,2,0)</f>
        <v>外侧梁</v>
      </c>
      <c r="H1926" s="10" t="s">
        <v>154</v>
      </c>
      <c r="I1926" s="10">
        <v>55</v>
      </c>
      <c r="J1926" s="10" t="s">
        <v>2278</v>
      </c>
      <c r="K1926" s="10">
        <v>0.5</v>
      </c>
      <c r="L1926" s="10">
        <v>0.2</v>
      </c>
      <c r="M1926" s="14">
        <v>9</v>
      </c>
      <c r="N1926" s="14"/>
      <c r="O1926" s="55" t="s">
        <v>159</v>
      </c>
      <c r="Q1926" s="10">
        <v>1440</v>
      </c>
      <c r="R1926" s="10">
        <v>60</v>
      </c>
      <c r="U1926" s="10">
        <v>90</v>
      </c>
      <c r="W1926" s="14"/>
      <c r="Y1926" s="79">
        <v>4.8</v>
      </c>
      <c r="Z1926" s="56" t="s">
        <v>45</v>
      </c>
    </row>
    <row r="1927" spans="1:28" ht="23.1" customHeight="1" x14ac:dyDescent="0.25">
      <c r="A1927" s="53" t="s">
        <v>1489</v>
      </c>
      <c r="B1927" s="10" t="s">
        <v>110</v>
      </c>
      <c r="C1927" s="10">
        <v>108</v>
      </c>
      <c r="D1927" s="10" t="s">
        <v>886</v>
      </c>
      <c r="E1927" s="41" t="s">
        <v>887</v>
      </c>
      <c r="F1927" s="41" t="s">
        <v>887</v>
      </c>
      <c r="G1927" s="21" t="str">
        <f>VLOOKUP(D1927,[6]成飞半成品!$A:$B,2,0)</f>
        <v>外侧梁</v>
      </c>
      <c r="H1927" s="10" t="s">
        <v>154</v>
      </c>
      <c r="I1927" s="10">
        <v>55</v>
      </c>
      <c r="J1927" s="10" t="s">
        <v>2278</v>
      </c>
      <c r="L1927" s="10">
        <v>0.5</v>
      </c>
      <c r="M1927" s="14">
        <v>28</v>
      </c>
      <c r="N1927" s="14"/>
      <c r="O1927" s="55" t="s">
        <v>159</v>
      </c>
      <c r="Q1927" s="10">
        <v>1440</v>
      </c>
      <c r="R1927" s="10">
        <v>60</v>
      </c>
      <c r="T1927" s="10">
        <v>1</v>
      </c>
      <c r="U1927" s="10">
        <v>90</v>
      </c>
      <c r="W1927" s="14">
        <v>1</v>
      </c>
      <c r="X1927" s="10">
        <v>2</v>
      </c>
      <c r="Y1927" s="79">
        <v>16.5</v>
      </c>
      <c r="Z1927" s="56" t="s">
        <v>45</v>
      </c>
      <c r="AA1927" s="14" t="s">
        <v>1245</v>
      </c>
      <c r="AB1927" s="25" t="s">
        <v>238</v>
      </c>
    </row>
    <row r="1928" spans="1:28" ht="23.1" customHeight="1" x14ac:dyDescent="0.25">
      <c r="A1928" s="53" t="s">
        <v>1489</v>
      </c>
      <c r="B1928" s="10" t="s">
        <v>110</v>
      </c>
      <c r="C1928" s="10">
        <v>23</v>
      </c>
      <c r="D1928" s="10" t="s">
        <v>498</v>
      </c>
      <c r="E1928" s="41" t="s">
        <v>499</v>
      </c>
      <c r="F1928" s="41" t="s">
        <v>499</v>
      </c>
      <c r="G1928" s="21" t="str">
        <f>VLOOKUP(D1928,[6]成飞半成品!$A:$B,2,0)</f>
        <v>10540中框</v>
      </c>
      <c r="H1928" s="10" t="s">
        <v>118</v>
      </c>
      <c r="I1928" s="10">
        <v>15</v>
      </c>
      <c r="J1928" s="10" t="s">
        <v>2476</v>
      </c>
      <c r="K1928" s="10">
        <v>1</v>
      </c>
      <c r="L1928" s="10">
        <v>1.5</v>
      </c>
      <c r="M1928" s="14">
        <v>23</v>
      </c>
      <c r="N1928" s="14"/>
      <c r="O1928" s="55" t="s">
        <v>1495</v>
      </c>
      <c r="Q1928" s="10">
        <v>420</v>
      </c>
      <c r="R1928" s="10">
        <v>120</v>
      </c>
      <c r="T1928" s="10">
        <v>1</v>
      </c>
      <c r="U1928" s="10">
        <v>180</v>
      </c>
      <c r="W1928" s="14"/>
      <c r="Y1928" s="79">
        <v>12.5</v>
      </c>
      <c r="Z1928" s="56" t="s">
        <v>33</v>
      </c>
    </row>
    <row r="1929" spans="1:28" ht="23.1" customHeight="1" x14ac:dyDescent="0.25">
      <c r="A1929" s="53" t="s">
        <v>1489</v>
      </c>
      <c r="B1929" s="10" t="s">
        <v>110</v>
      </c>
      <c r="C1929" s="10">
        <v>23</v>
      </c>
      <c r="D1929" s="10" t="s">
        <v>498</v>
      </c>
      <c r="E1929" s="41" t="s">
        <v>499</v>
      </c>
      <c r="F1929" s="41" t="s">
        <v>499</v>
      </c>
      <c r="G1929" s="21" t="str">
        <f>VLOOKUP(D1929,[6]成飞半成品!$A:$B,2,0)</f>
        <v>10540中框</v>
      </c>
      <c r="H1929" s="10" t="s">
        <v>118</v>
      </c>
      <c r="I1929" s="10">
        <v>25</v>
      </c>
      <c r="J1929" s="10" t="s">
        <v>2054</v>
      </c>
      <c r="K1929" s="10">
        <v>1</v>
      </c>
      <c r="L1929" s="10">
        <v>1</v>
      </c>
      <c r="M1929" s="14">
        <v>28</v>
      </c>
      <c r="N1929" s="14">
        <v>28</v>
      </c>
      <c r="O1929" s="55" t="s">
        <v>222</v>
      </c>
      <c r="Q1929" s="10">
        <v>180</v>
      </c>
      <c r="R1929" s="10">
        <v>120</v>
      </c>
      <c r="T1929" s="10">
        <v>1</v>
      </c>
      <c r="U1929" s="10">
        <v>120</v>
      </c>
      <c r="W1929" s="14">
        <v>1</v>
      </c>
      <c r="Y1929" s="79">
        <v>7</v>
      </c>
      <c r="Z1929" s="56" t="s">
        <v>33</v>
      </c>
    </row>
    <row r="1930" spans="1:28" ht="23.1" customHeight="1" x14ac:dyDescent="0.25">
      <c r="A1930" s="53" t="s">
        <v>1489</v>
      </c>
      <c r="B1930" s="10" t="s">
        <v>110</v>
      </c>
      <c r="C1930" s="10">
        <v>47</v>
      </c>
      <c r="D1930" s="10" t="s">
        <v>2560</v>
      </c>
      <c r="E1930" s="41" t="s">
        <v>979</v>
      </c>
      <c r="F1930" s="41" t="s">
        <v>979</v>
      </c>
      <c r="G1930" s="21" t="str">
        <f>VLOOKUP(D1930,[6]成飞半成品!$A:$B,2,0)</f>
        <v>翼尖接头</v>
      </c>
      <c r="H1930" s="10" t="s">
        <v>123</v>
      </c>
      <c r="I1930" s="10">
        <v>30</v>
      </c>
      <c r="J1930" s="10" t="s">
        <v>2199</v>
      </c>
      <c r="K1930" s="10">
        <v>1</v>
      </c>
      <c r="L1930" s="10">
        <v>0.8</v>
      </c>
      <c r="M1930" s="14">
        <v>5</v>
      </c>
      <c r="N1930" s="14"/>
      <c r="O1930" s="55" t="s">
        <v>1445</v>
      </c>
      <c r="Q1930" s="10">
        <v>720</v>
      </c>
      <c r="R1930" s="10">
        <v>120</v>
      </c>
      <c r="U1930" s="10">
        <v>90</v>
      </c>
      <c r="W1930" s="14"/>
      <c r="Y1930" s="79">
        <v>9.6</v>
      </c>
      <c r="Z1930" s="56" t="s">
        <v>33</v>
      </c>
    </row>
    <row r="1931" spans="1:28" ht="23.1" customHeight="1" x14ac:dyDescent="0.25">
      <c r="A1931" s="53" t="s">
        <v>1489</v>
      </c>
      <c r="B1931" s="10" t="s">
        <v>110</v>
      </c>
      <c r="C1931" s="10">
        <v>47</v>
      </c>
      <c r="D1931" s="10" t="s">
        <v>2560</v>
      </c>
      <c r="E1931" s="41" t="s">
        <v>979</v>
      </c>
      <c r="F1931" s="41" t="s">
        <v>979</v>
      </c>
      <c r="G1931" s="21" t="str">
        <f>VLOOKUP(D1931,[6]成飞半成品!$A:$B,2,0)</f>
        <v>翼尖接头</v>
      </c>
      <c r="H1931" s="10" t="s">
        <v>123</v>
      </c>
      <c r="I1931" s="10">
        <v>30</v>
      </c>
      <c r="J1931" s="10" t="s">
        <v>2199</v>
      </c>
      <c r="L1931" s="10">
        <v>0.9</v>
      </c>
      <c r="M1931" s="14">
        <v>28</v>
      </c>
      <c r="N1931" s="14"/>
      <c r="O1931" s="55" t="s">
        <v>1445</v>
      </c>
      <c r="Q1931" s="10">
        <v>720</v>
      </c>
      <c r="R1931" s="10">
        <v>120</v>
      </c>
      <c r="T1931" s="10">
        <v>1</v>
      </c>
      <c r="U1931" s="10">
        <v>90</v>
      </c>
      <c r="W1931" s="14"/>
      <c r="Y1931" s="79">
        <v>12.8</v>
      </c>
      <c r="Z1931" s="56" t="s">
        <v>33</v>
      </c>
    </row>
    <row r="1932" spans="1:28" ht="23.1" customHeight="1" x14ac:dyDescent="0.25">
      <c r="A1932" s="53" t="s">
        <v>1489</v>
      </c>
      <c r="B1932" s="10" t="s">
        <v>110</v>
      </c>
      <c r="C1932" s="10">
        <v>17</v>
      </c>
      <c r="D1932" s="10" t="s">
        <v>1468</v>
      </c>
      <c r="E1932" s="41" t="s">
        <v>1469</v>
      </c>
      <c r="F1932" s="41" t="s">
        <v>1469</v>
      </c>
      <c r="G1932" s="21" t="str">
        <f>VLOOKUP(D1932,[6]成飞半成品!$A:$B,2,0)</f>
        <v>2750肋</v>
      </c>
      <c r="H1932" s="10" t="s">
        <v>102</v>
      </c>
      <c r="I1932" s="10">
        <v>15</v>
      </c>
      <c r="J1932" s="10" t="s">
        <v>2042</v>
      </c>
      <c r="L1932" s="10">
        <v>1</v>
      </c>
      <c r="M1932" s="14">
        <v>9</v>
      </c>
      <c r="N1932" s="14"/>
      <c r="O1932" s="55" t="s">
        <v>103</v>
      </c>
      <c r="Q1932" s="10">
        <v>240</v>
      </c>
      <c r="U1932" s="10">
        <v>90</v>
      </c>
      <c r="W1932" s="14">
        <v>1</v>
      </c>
      <c r="Y1932" s="79">
        <v>5.5</v>
      </c>
      <c r="Z1932" s="56" t="s">
        <v>16</v>
      </c>
      <c r="AA1932" s="14" t="s">
        <v>1496</v>
      </c>
    </row>
    <row r="1933" spans="1:28" ht="23.1" customHeight="1" x14ac:dyDescent="0.25">
      <c r="A1933" s="53" t="s">
        <v>1489</v>
      </c>
      <c r="B1933" s="10" t="s">
        <v>110</v>
      </c>
      <c r="C1933" s="10">
        <v>17</v>
      </c>
      <c r="D1933" s="47" t="s">
        <v>1468</v>
      </c>
      <c r="E1933" s="41" t="s">
        <v>1469</v>
      </c>
      <c r="F1933" s="41" t="s">
        <v>1469</v>
      </c>
      <c r="G1933" s="21" t="str">
        <f>VLOOKUP(D1933,[6]成飞半成品!$A:$B,2,0)</f>
        <v>2750肋</v>
      </c>
      <c r="H1933" s="10" t="s">
        <v>102</v>
      </c>
      <c r="I1933" s="10">
        <v>20</v>
      </c>
      <c r="J1933" s="10" t="s">
        <v>2279</v>
      </c>
      <c r="L1933" s="10">
        <v>1</v>
      </c>
      <c r="M1933" s="14">
        <v>9</v>
      </c>
      <c r="N1933" s="14"/>
      <c r="O1933" s="55" t="s">
        <v>103</v>
      </c>
      <c r="Q1933" s="10">
        <v>210</v>
      </c>
      <c r="U1933" s="10">
        <v>90</v>
      </c>
      <c r="W1933" s="14">
        <v>1</v>
      </c>
      <c r="Y1933" s="79">
        <v>5</v>
      </c>
      <c r="Z1933" s="56" t="s">
        <v>16</v>
      </c>
    </row>
    <row r="1934" spans="1:28" ht="23.1" customHeight="1" x14ac:dyDescent="0.25">
      <c r="A1934" s="53" t="s">
        <v>1489</v>
      </c>
      <c r="B1934" s="10" t="s">
        <v>110</v>
      </c>
      <c r="C1934" s="10">
        <v>12</v>
      </c>
      <c r="D1934" s="10" t="s">
        <v>248</v>
      </c>
      <c r="E1934" s="41" t="s">
        <v>249</v>
      </c>
      <c r="F1934" s="41" t="s">
        <v>249</v>
      </c>
      <c r="G1934" s="21" t="str">
        <f>VLOOKUP(D1934,[6]成飞半成品!$A:$B,2,0)</f>
        <v>10060下接头</v>
      </c>
      <c r="H1934" s="10" t="s">
        <v>250</v>
      </c>
      <c r="I1934" s="10">
        <v>15</v>
      </c>
      <c r="J1934" s="10" t="s">
        <v>1903</v>
      </c>
      <c r="K1934" s="10">
        <v>1</v>
      </c>
      <c r="L1934" s="10">
        <v>1.5</v>
      </c>
      <c r="M1934" s="14">
        <v>5</v>
      </c>
      <c r="N1934" s="14">
        <v>5</v>
      </c>
      <c r="O1934" s="55" t="s">
        <v>1497</v>
      </c>
      <c r="Q1934" s="10">
        <v>600</v>
      </c>
      <c r="U1934" s="10">
        <v>120</v>
      </c>
      <c r="W1934" s="14"/>
      <c r="Y1934" s="79">
        <v>15</v>
      </c>
      <c r="Z1934" s="56" t="s">
        <v>72</v>
      </c>
    </row>
    <row r="1935" spans="1:28" ht="23.1" customHeight="1" x14ac:dyDescent="0.25">
      <c r="A1935" s="53" t="s">
        <v>1489</v>
      </c>
      <c r="B1935" s="10" t="s">
        <v>110</v>
      </c>
      <c r="C1935" s="10">
        <v>11</v>
      </c>
      <c r="D1935" s="65" t="s">
        <v>2571</v>
      </c>
      <c r="E1935" s="41" t="s">
        <v>1439</v>
      </c>
      <c r="F1935" s="41" t="e">
        <v>#N/A</v>
      </c>
      <c r="G1935" s="21" t="str">
        <f>VLOOKUP(D1935,[6]成飞半成品!$A:$B,2,0)</f>
        <v>工装</v>
      </c>
      <c r="H1935" s="47" t="s">
        <v>939</v>
      </c>
      <c r="I1935" s="10">
        <v>15</v>
      </c>
      <c r="K1935" s="10">
        <v>2</v>
      </c>
      <c r="L1935" s="10">
        <v>3</v>
      </c>
      <c r="M1935" s="14">
        <v>5</v>
      </c>
      <c r="N1935" s="14">
        <v>9</v>
      </c>
      <c r="O1935" s="55" t="s">
        <v>940</v>
      </c>
      <c r="W1935" s="14">
        <v>1</v>
      </c>
      <c r="X1935" s="14">
        <v>3</v>
      </c>
      <c r="Y1935" s="79">
        <v>3</v>
      </c>
      <c r="Z1935" s="56" t="s">
        <v>63</v>
      </c>
    </row>
    <row r="1936" spans="1:28" ht="23.1" customHeight="1" x14ac:dyDescent="0.25">
      <c r="A1936" s="53" t="s">
        <v>1489</v>
      </c>
      <c r="B1936" s="10" t="s">
        <v>110</v>
      </c>
      <c r="C1936" s="10">
        <v>11</v>
      </c>
      <c r="D1936" s="25" t="s">
        <v>2551</v>
      </c>
      <c r="E1936" s="41" t="s">
        <v>1499</v>
      </c>
      <c r="F1936" s="41" t="e">
        <v>#N/A</v>
      </c>
      <c r="G1936" s="21" t="str">
        <f>VLOOKUP(D1936,[6]成飞半成品!$A:$B,2,0)</f>
        <v>工装</v>
      </c>
      <c r="H1936" s="10" t="s">
        <v>102</v>
      </c>
      <c r="I1936" s="10">
        <v>5</v>
      </c>
      <c r="L1936" s="10">
        <v>1</v>
      </c>
      <c r="M1936" s="14">
        <v>31</v>
      </c>
      <c r="N1936" s="14"/>
      <c r="O1936" s="55" t="s">
        <v>108</v>
      </c>
      <c r="W1936" s="14">
        <v>1</v>
      </c>
      <c r="X1936" s="14">
        <v>3</v>
      </c>
      <c r="Y1936" s="79">
        <v>3</v>
      </c>
      <c r="Z1936" s="56" t="s">
        <v>63</v>
      </c>
    </row>
    <row r="1937" spans="1:28" ht="23.1" customHeight="1" x14ac:dyDescent="0.25">
      <c r="A1937" s="53" t="s">
        <v>1489</v>
      </c>
      <c r="B1937" s="10" t="s">
        <v>110</v>
      </c>
      <c r="C1937" s="10">
        <v>11</v>
      </c>
      <c r="D1937" s="25" t="s">
        <v>2551</v>
      </c>
      <c r="E1937" s="41" t="s">
        <v>1499</v>
      </c>
      <c r="F1937" s="41" t="e">
        <v>#N/A</v>
      </c>
      <c r="G1937" s="21" t="str">
        <f>VLOOKUP(D1937,[6]成飞半成品!$A:$B,2,0)</f>
        <v>工装</v>
      </c>
      <c r="H1937" s="10" t="s">
        <v>102</v>
      </c>
      <c r="I1937" s="10">
        <v>10</v>
      </c>
      <c r="L1937" s="10">
        <v>1</v>
      </c>
      <c r="M1937" s="14">
        <v>31</v>
      </c>
      <c r="N1937" s="14"/>
      <c r="O1937" s="55" t="s">
        <v>108</v>
      </c>
      <c r="W1937" s="14">
        <v>1</v>
      </c>
      <c r="X1937" s="14">
        <v>3</v>
      </c>
      <c r="Y1937" s="79">
        <v>3</v>
      </c>
      <c r="Z1937" s="56" t="s">
        <v>63</v>
      </c>
    </row>
    <row r="1938" spans="1:28" ht="23.1" customHeight="1" x14ac:dyDescent="0.25">
      <c r="A1938" s="53" t="s">
        <v>1489</v>
      </c>
      <c r="B1938" s="10" t="s">
        <v>110</v>
      </c>
      <c r="C1938" s="10">
        <v>11</v>
      </c>
      <c r="D1938" s="25" t="s">
        <v>2551</v>
      </c>
      <c r="E1938" s="41" t="s">
        <v>1499</v>
      </c>
      <c r="F1938" s="41" t="e">
        <v>#N/A</v>
      </c>
      <c r="G1938" s="21" t="str">
        <f>VLOOKUP(D1938,[6]成飞半成品!$A:$B,2,0)</f>
        <v>工装</v>
      </c>
      <c r="H1938" s="10" t="s">
        <v>102</v>
      </c>
      <c r="I1938" s="10">
        <v>15</v>
      </c>
      <c r="L1938" s="10">
        <v>1</v>
      </c>
      <c r="M1938" s="14">
        <v>31</v>
      </c>
      <c r="N1938" s="14"/>
      <c r="O1938" s="55" t="s">
        <v>108</v>
      </c>
      <c r="W1938" s="14">
        <v>1</v>
      </c>
      <c r="X1938" s="14">
        <v>3</v>
      </c>
      <c r="Y1938" s="79">
        <v>3</v>
      </c>
      <c r="Z1938" s="56" t="s">
        <v>63</v>
      </c>
    </row>
    <row r="1939" spans="1:28" ht="23.1" customHeight="1" x14ac:dyDescent="0.25">
      <c r="A1939" s="53" t="s">
        <v>1489</v>
      </c>
      <c r="B1939" s="10" t="s">
        <v>110</v>
      </c>
      <c r="C1939" s="10">
        <v>21</v>
      </c>
      <c r="D1939" s="10" t="s">
        <v>321</v>
      </c>
      <c r="E1939" s="41" t="s">
        <v>322</v>
      </c>
      <c r="F1939" s="41" t="s">
        <v>322</v>
      </c>
      <c r="G1939" s="21" t="str">
        <f>VLOOKUP(D1939,[6]成飞半成品!$A:$B,2,0)</f>
        <v>10860框</v>
      </c>
      <c r="H1939" s="10" t="s">
        <v>323</v>
      </c>
      <c r="I1939" s="10">
        <v>30</v>
      </c>
      <c r="J1939" s="10" t="s">
        <v>2078</v>
      </c>
      <c r="K1939" s="10">
        <v>0.5</v>
      </c>
      <c r="L1939" s="10">
        <v>1.2</v>
      </c>
      <c r="M1939" s="14">
        <v>5</v>
      </c>
      <c r="N1939" s="14">
        <v>5</v>
      </c>
      <c r="O1939" s="55" t="s">
        <v>1500</v>
      </c>
      <c r="Q1939" s="10">
        <v>360</v>
      </c>
      <c r="R1939" s="10">
        <v>120</v>
      </c>
      <c r="T1939" s="10">
        <v>1</v>
      </c>
      <c r="U1939" s="10">
        <v>180</v>
      </c>
      <c r="W1939" s="14"/>
      <c r="Y1939" s="79">
        <v>9.1999999999999993</v>
      </c>
      <c r="Z1939" s="56" t="s">
        <v>58</v>
      </c>
    </row>
    <row r="1940" spans="1:28" ht="23.1" customHeight="1" x14ac:dyDescent="0.25">
      <c r="A1940" s="53" t="s">
        <v>1489</v>
      </c>
      <c r="B1940" s="10" t="s">
        <v>110</v>
      </c>
      <c r="C1940" s="10">
        <v>21</v>
      </c>
      <c r="D1940" s="10" t="s">
        <v>321</v>
      </c>
      <c r="E1940" s="41" t="s">
        <v>322</v>
      </c>
      <c r="F1940" s="41" t="s">
        <v>322</v>
      </c>
      <c r="G1940" s="21" t="str">
        <f>VLOOKUP(D1940,[6]成飞半成品!$A:$B,2,0)</f>
        <v>10860框</v>
      </c>
      <c r="H1940" s="10" t="s">
        <v>323</v>
      </c>
      <c r="I1940" s="10">
        <v>35</v>
      </c>
      <c r="J1940" s="10" t="s">
        <v>1925</v>
      </c>
      <c r="K1940" s="10">
        <v>1</v>
      </c>
      <c r="L1940" s="10">
        <v>0.5</v>
      </c>
      <c r="M1940" s="14">
        <v>28</v>
      </c>
      <c r="N1940" s="14"/>
      <c r="O1940" s="55" t="s">
        <v>508</v>
      </c>
      <c r="Q1940" s="10">
        <v>480</v>
      </c>
      <c r="R1940" s="10">
        <v>120</v>
      </c>
      <c r="T1940" s="10">
        <v>1</v>
      </c>
      <c r="U1940" s="10">
        <v>180</v>
      </c>
      <c r="W1940" s="14">
        <v>1</v>
      </c>
      <c r="Y1940" s="79">
        <v>9</v>
      </c>
      <c r="Z1940" s="56" t="s">
        <v>58</v>
      </c>
    </row>
    <row r="1941" spans="1:28" ht="23.1" customHeight="1" x14ac:dyDescent="0.25">
      <c r="A1941" s="53" t="s">
        <v>1489</v>
      </c>
      <c r="B1941" s="10" t="s">
        <v>110</v>
      </c>
      <c r="C1941" s="10">
        <v>16</v>
      </c>
      <c r="D1941" s="10" t="s">
        <v>1420</v>
      </c>
      <c r="E1941" s="41" t="s">
        <v>1421</v>
      </c>
      <c r="F1941" s="41" t="s">
        <v>1421</v>
      </c>
      <c r="G1941" s="21" t="str">
        <f>VLOOKUP(D1941,[6]成飞半成品!$A:$B,2,0)</f>
        <v>第5隔板</v>
      </c>
      <c r="H1941" s="10" t="s">
        <v>123</v>
      </c>
      <c r="I1941" s="10">
        <v>15</v>
      </c>
      <c r="J1941" s="10" t="s">
        <v>2262</v>
      </c>
      <c r="K1941" s="10">
        <v>1</v>
      </c>
      <c r="L1941" s="10">
        <v>2</v>
      </c>
      <c r="M1941" s="14">
        <v>5</v>
      </c>
      <c r="N1941" s="14">
        <v>9</v>
      </c>
      <c r="O1941" s="55" t="s">
        <v>1501</v>
      </c>
      <c r="Q1941" s="10">
        <v>180</v>
      </c>
      <c r="U1941" s="10">
        <v>90</v>
      </c>
      <c r="W1941" s="14"/>
      <c r="Y1941" s="79">
        <v>6</v>
      </c>
      <c r="Z1941" s="56" t="s">
        <v>63</v>
      </c>
    </row>
    <row r="1942" spans="1:28" ht="23.1" customHeight="1" x14ac:dyDescent="0.25">
      <c r="A1942" s="53" t="s">
        <v>1489</v>
      </c>
      <c r="B1942" s="10" t="s">
        <v>110</v>
      </c>
      <c r="C1942" s="10">
        <v>16</v>
      </c>
      <c r="D1942" s="10" t="s">
        <v>1420</v>
      </c>
      <c r="E1942" s="41" t="s">
        <v>1421</v>
      </c>
      <c r="F1942" s="41" t="s">
        <v>1421</v>
      </c>
      <c r="G1942" s="21" t="str">
        <f>VLOOKUP(D1942,[6]成飞半成品!$A:$B,2,0)</f>
        <v>第5隔板</v>
      </c>
      <c r="H1942" s="10" t="s">
        <v>123</v>
      </c>
      <c r="I1942" s="10">
        <v>20</v>
      </c>
      <c r="J1942" s="10" t="s">
        <v>2280</v>
      </c>
      <c r="K1942" s="10">
        <v>2</v>
      </c>
      <c r="L1942" s="10">
        <v>1</v>
      </c>
      <c r="M1942" s="14">
        <v>31</v>
      </c>
      <c r="N1942" s="14"/>
      <c r="O1942" s="55" t="s">
        <v>1440</v>
      </c>
      <c r="Q1942" s="10">
        <v>180</v>
      </c>
      <c r="U1942" s="10">
        <v>90</v>
      </c>
      <c r="W1942" s="14">
        <v>1</v>
      </c>
      <c r="Y1942" s="79">
        <v>4.5</v>
      </c>
      <c r="Z1942" s="56" t="s">
        <v>63</v>
      </c>
    </row>
    <row r="1943" spans="1:28" ht="23.1" customHeight="1" x14ac:dyDescent="0.25">
      <c r="A1943" s="53" t="s">
        <v>1489</v>
      </c>
      <c r="B1943" s="10" t="s">
        <v>110</v>
      </c>
      <c r="C1943" s="10">
        <v>18</v>
      </c>
      <c r="D1943" s="10" t="s">
        <v>921</v>
      </c>
      <c r="E1943" s="41" t="s">
        <v>919</v>
      </c>
      <c r="F1943" s="41" t="s">
        <v>919</v>
      </c>
      <c r="G1943" s="21" t="str">
        <f>VLOOKUP(D1943,[6]成飞半成品!$A:$B,2,0)</f>
        <v>雷达罩锁支座</v>
      </c>
      <c r="H1943" s="10" t="s">
        <v>323</v>
      </c>
      <c r="I1943" s="10">
        <v>25</v>
      </c>
      <c r="J1943" s="10" t="s">
        <v>2149</v>
      </c>
      <c r="K1943" s="10">
        <v>2</v>
      </c>
      <c r="L1943" s="10">
        <v>4</v>
      </c>
      <c r="M1943" s="14">
        <v>5</v>
      </c>
      <c r="N1943" s="14">
        <v>28</v>
      </c>
      <c r="O1943" s="55" t="s">
        <v>860</v>
      </c>
      <c r="Q1943" s="10">
        <v>220</v>
      </c>
      <c r="U1943" s="10">
        <v>90</v>
      </c>
      <c r="W1943" s="14"/>
      <c r="Y1943" s="79">
        <v>14.7</v>
      </c>
      <c r="Z1943" s="56" t="s">
        <v>16</v>
      </c>
    </row>
    <row r="1944" spans="1:28" ht="23.1" customHeight="1" x14ac:dyDescent="0.25">
      <c r="A1944" s="53" t="s">
        <v>1489</v>
      </c>
      <c r="B1944" s="10" t="s">
        <v>110</v>
      </c>
      <c r="C1944" s="10">
        <v>57</v>
      </c>
      <c r="D1944" s="10" t="s">
        <v>1042</v>
      </c>
      <c r="E1944" s="41" t="s">
        <v>1032</v>
      </c>
      <c r="F1944" s="41" t="s">
        <v>1281</v>
      </c>
      <c r="G1944" s="21" t="str">
        <f>VLOOKUP(D1944,[6]成飞半成品!$A:$B,2,0)</f>
        <v>前上大梁（右）</v>
      </c>
      <c r="H1944" s="10" t="s">
        <v>107</v>
      </c>
      <c r="I1944" s="10">
        <v>30</v>
      </c>
      <c r="J1944" s="10" t="s">
        <v>2242</v>
      </c>
      <c r="K1944" s="10">
        <v>3</v>
      </c>
      <c r="L1944" s="10">
        <v>3</v>
      </c>
      <c r="M1944" s="14">
        <v>5</v>
      </c>
      <c r="N1944" s="14">
        <v>28</v>
      </c>
      <c r="O1944" s="55" t="s">
        <v>1043</v>
      </c>
      <c r="Q1944" s="10">
        <v>220</v>
      </c>
      <c r="U1944" s="10">
        <v>90</v>
      </c>
      <c r="W1944" s="14"/>
      <c r="Y1944" s="79">
        <v>11</v>
      </c>
      <c r="Z1944" s="56" t="s">
        <v>7</v>
      </c>
    </row>
    <row r="1945" spans="1:28" ht="23.1" customHeight="1" x14ac:dyDescent="0.25">
      <c r="A1945" s="53" t="s">
        <v>1489</v>
      </c>
      <c r="B1945" s="10" t="s">
        <v>110</v>
      </c>
      <c r="C1945" s="10">
        <v>10</v>
      </c>
      <c r="D1945" s="10" t="s">
        <v>217</v>
      </c>
      <c r="E1945" s="41" t="s">
        <v>218</v>
      </c>
      <c r="F1945" s="41" t="s">
        <v>218</v>
      </c>
      <c r="G1945" s="21" t="str">
        <f>VLOOKUP(D1945,[6]成飞半成品!$A:$B,2,0)</f>
        <v>横梁</v>
      </c>
      <c r="H1945" s="10" t="s">
        <v>107</v>
      </c>
      <c r="I1945" s="10">
        <v>55</v>
      </c>
      <c r="J1945" s="10" t="s">
        <v>2227</v>
      </c>
      <c r="K1945" s="10">
        <v>2</v>
      </c>
      <c r="L1945" s="10">
        <v>2.2000000000000002</v>
      </c>
      <c r="M1945" s="14">
        <v>23</v>
      </c>
      <c r="N1945" s="14">
        <v>5</v>
      </c>
      <c r="O1945" s="55" t="s">
        <v>456</v>
      </c>
      <c r="Q1945" s="10">
        <v>270</v>
      </c>
      <c r="U1945" s="10">
        <v>90</v>
      </c>
      <c r="W1945" s="14"/>
      <c r="X1945" s="14">
        <v>2</v>
      </c>
      <c r="Y1945" s="79">
        <v>11.9</v>
      </c>
      <c r="Z1945" s="56" t="s">
        <v>30</v>
      </c>
      <c r="AA1945" s="14" t="s">
        <v>1461</v>
      </c>
      <c r="AB1945" s="14" t="s">
        <v>238</v>
      </c>
    </row>
    <row r="1946" spans="1:28" ht="23.1" customHeight="1" x14ac:dyDescent="0.25">
      <c r="A1946" s="53" t="s">
        <v>1489</v>
      </c>
      <c r="B1946" s="10" t="s">
        <v>110</v>
      </c>
      <c r="C1946" s="10">
        <v>9</v>
      </c>
      <c r="D1946" s="10" t="s">
        <v>1472</v>
      </c>
      <c r="E1946" s="41" t="s">
        <v>595</v>
      </c>
      <c r="F1946" s="41" t="s">
        <v>595</v>
      </c>
      <c r="G1946" s="21" t="str">
        <f>VLOOKUP(D1946,[6]成飞半成品!$A:$B,2,0)</f>
        <v>加强件</v>
      </c>
      <c r="H1946" s="10" t="s">
        <v>102</v>
      </c>
      <c r="I1946" s="10">
        <v>15</v>
      </c>
      <c r="J1946" s="10" t="s">
        <v>1895</v>
      </c>
      <c r="L1946" s="10">
        <v>2</v>
      </c>
      <c r="M1946" s="14">
        <v>5</v>
      </c>
      <c r="N1946" s="14">
        <v>5</v>
      </c>
      <c r="O1946" s="55" t="s">
        <v>596</v>
      </c>
      <c r="U1946" s="10">
        <v>60</v>
      </c>
      <c r="W1946" s="14">
        <v>1</v>
      </c>
      <c r="X1946" s="14">
        <v>5</v>
      </c>
      <c r="Y1946" s="79">
        <v>6</v>
      </c>
      <c r="Z1946" s="56" t="s">
        <v>30</v>
      </c>
      <c r="AA1946" s="14" t="s">
        <v>1502</v>
      </c>
      <c r="AB1946" s="14" t="s">
        <v>238</v>
      </c>
    </row>
    <row r="1947" spans="1:28" ht="23.1" customHeight="1" x14ac:dyDescent="0.25">
      <c r="A1947" s="53" t="s">
        <v>1489</v>
      </c>
      <c r="B1947" s="10" t="s">
        <v>110</v>
      </c>
      <c r="C1947" s="10">
        <v>9</v>
      </c>
      <c r="D1947" s="10" t="s">
        <v>1472</v>
      </c>
      <c r="E1947" s="41" t="s">
        <v>595</v>
      </c>
      <c r="F1947" s="41" t="s">
        <v>595</v>
      </c>
      <c r="G1947" s="21" t="str">
        <f>VLOOKUP(D1947,[6]成飞半成品!$A:$B,2,0)</f>
        <v>加强件</v>
      </c>
      <c r="H1947" s="10" t="s">
        <v>102</v>
      </c>
      <c r="I1947" s="10">
        <v>20</v>
      </c>
      <c r="J1947" s="10" t="s">
        <v>2212</v>
      </c>
      <c r="L1947" s="10">
        <v>2</v>
      </c>
      <c r="M1947" s="14">
        <v>5</v>
      </c>
      <c r="N1947" s="14">
        <v>5</v>
      </c>
      <c r="O1947" s="55" t="s">
        <v>596</v>
      </c>
      <c r="U1947" s="10">
        <v>60</v>
      </c>
      <c r="W1947" s="14">
        <v>1</v>
      </c>
      <c r="Y1947" s="79">
        <v>1</v>
      </c>
      <c r="Z1947" s="56" t="s">
        <v>30</v>
      </c>
      <c r="AB1947" s="14" t="s">
        <v>238</v>
      </c>
    </row>
    <row r="1948" spans="1:28" ht="23.1" customHeight="1" x14ac:dyDescent="0.25">
      <c r="A1948" s="53" t="s">
        <v>1489</v>
      </c>
      <c r="B1948" s="10" t="s">
        <v>110</v>
      </c>
      <c r="C1948" s="10">
        <v>9</v>
      </c>
      <c r="D1948" s="10" t="s">
        <v>1503</v>
      </c>
      <c r="E1948" s="41" t="s">
        <v>409</v>
      </c>
      <c r="F1948" s="41" t="s">
        <v>409</v>
      </c>
      <c r="G1948" s="21" t="str">
        <f>VLOOKUP(D1948,[6]成飞半成品!$A:$B,2,0)</f>
        <v>接头</v>
      </c>
      <c r="H1948" s="10" t="s">
        <v>102</v>
      </c>
      <c r="I1948" s="10">
        <v>5</v>
      </c>
      <c r="J1948" s="10" t="s">
        <v>2060</v>
      </c>
      <c r="L1948" s="10">
        <v>1</v>
      </c>
      <c r="M1948" s="14">
        <v>5</v>
      </c>
      <c r="N1948" s="14">
        <v>5</v>
      </c>
      <c r="O1948" s="55" t="s">
        <v>596</v>
      </c>
      <c r="Q1948" s="10">
        <v>20</v>
      </c>
      <c r="U1948" s="10">
        <v>60</v>
      </c>
      <c r="W1948" s="14"/>
      <c r="X1948" s="14">
        <v>2.5</v>
      </c>
      <c r="Y1948" s="79">
        <v>2.8</v>
      </c>
      <c r="Z1948" s="56" t="s">
        <v>30</v>
      </c>
      <c r="AA1948" s="14" t="s">
        <v>1504</v>
      </c>
      <c r="AB1948" s="14" t="s">
        <v>238</v>
      </c>
    </row>
    <row r="1949" spans="1:28" ht="23.1" customHeight="1" x14ac:dyDescent="0.25">
      <c r="A1949" s="53" t="s">
        <v>1489</v>
      </c>
      <c r="B1949" s="10" t="s">
        <v>110</v>
      </c>
      <c r="C1949" s="10">
        <v>9</v>
      </c>
      <c r="D1949" s="10" t="s">
        <v>1503</v>
      </c>
      <c r="E1949" s="41" t="s">
        <v>409</v>
      </c>
      <c r="F1949" s="41" t="s">
        <v>409</v>
      </c>
      <c r="G1949" s="21" t="str">
        <f>VLOOKUP(D1949,[6]成飞半成品!$A:$B,2,0)</f>
        <v>接头</v>
      </c>
      <c r="H1949" s="10" t="s">
        <v>102</v>
      </c>
      <c r="I1949" s="10">
        <v>10</v>
      </c>
      <c r="J1949" s="10" t="s">
        <v>2281</v>
      </c>
      <c r="L1949" s="10">
        <v>1</v>
      </c>
      <c r="M1949" s="14">
        <v>5</v>
      </c>
      <c r="N1949" s="14">
        <v>5</v>
      </c>
      <c r="O1949" s="55" t="s">
        <v>596</v>
      </c>
      <c r="Q1949" s="10">
        <v>70</v>
      </c>
      <c r="U1949" s="10">
        <v>90</v>
      </c>
      <c r="W1949" s="14"/>
      <c r="Y1949" s="79">
        <v>1.2</v>
      </c>
      <c r="Z1949" s="56" t="s">
        <v>30</v>
      </c>
      <c r="AB1949" s="14" t="s">
        <v>238</v>
      </c>
    </row>
    <row r="1950" spans="1:28" ht="23.1" customHeight="1" x14ac:dyDescent="0.25">
      <c r="A1950" s="53" t="s">
        <v>1489</v>
      </c>
      <c r="B1950" s="10" t="s">
        <v>110</v>
      </c>
      <c r="C1950" s="10">
        <v>108</v>
      </c>
      <c r="D1950" s="10" t="s">
        <v>889</v>
      </c>
      <c r="E1950" s="41" t="s">
        <v>887</v>
      </c>
      <c r="F1950" s="41" t="s">
        <v>887</v>
      </c>
      <c r="G1950" s="21" t="str">
        <f>VLOOKUP(D1950,[6]成飞半成品!$A:$B,2,0)</f>
        <v>外侧梁</v>
      </c>
      <c r="H1950" s="10" t="s">
        <v>154</v>
      </c>
      <c r="I1950" s="10">
        <v>65</v>
      </c>
      <c r="J1950" s="10" t="s">
        <v>2282</v>
      </c>
      <c r="K1950" s="10">
        <v>1</v>
      </c>
      <c r="L1950" s="10">
        <v>1</v>
      </c>
      <c r="M1950" s="14">
        <v>9</v>
      </c>
      <c r="N1950" s="14"/>
      <c r="O1950" s="55" t="s">
        <v>159</v>
      </c>
      <c r="Q1950" s="10">
        <v>90</v>
      </c>
      <c r="R1950" s="10">
        <v>60</v>
      </c>
      <c r="T1950" s="10">
        <v>1</v>
      </c>
      <c r="U1950" s="10">
        <v>90</v>
      </c>
      <c r="W1950" s="14">
        <v>1</v>
      </c>
      <c r="X1950" s="10">
        <v>1</v>
      </c>
      <c r="Y1950" s="79">
        <v>5</v>
      </c>
      <c r="Z1950" s="56" t="s">
        <v>45</v>
      </c>
      <c r="AA1950" s="14" t="s">
        <v>1505</v>
      </c>
      <c r="AB1950" s="25" t="s">
        <v>238</v>
      </c>
    </row>
    <row r="1951" spans="1:28" ht="23.1" customHeight="1" x14ac:dyDescent="0.25">
      <c r="A1951" s="53" t="s">
        <v>1489</v>
      </c>
      <c r="B1951" s="10" t="s">
        <v>110</v>
      </c>
      <c r="C1951" s="10">
        <v>76</v>
      </c>
      <c r="D1951" s="10" t="s">
        <v>1383</v>
      </c>
      <c r="E1951" s="41" t="s">
        <v>1384</v>
      </c>
      <c r="F1951" s="41" t="s">
        <v>1384</v>
      </c>
      <c r="G1951" s="21" t="str">
        <f>VLOOKUP(D1951,[6]成飞半成品!$A:$B,2,0)</f>
        <v>角材</v>
      </c>
      <c r="H1951" s="10" t="s">
        <v>154</v>
      </c>
      <c r="I1951" s="10">
        <v>10</v>
      </c>
      <c r="J1951" s="10" t="s">
        <v>2241</v>
      </c>
      <c r="K1951" s="10">
        <v>30</v>
      </c>
      <c r="L1951" s="10">
        <v>25</v>
      </c>
      <c r="M1951" s="14">
        <v>9</v>
      </c>
      <c r="N1951" s="14">
        <v>9</v>
      </c>
      <c r="O1951" s="55" t="s">
        <v>295</v>
      </c>
      <c r="Q1951" s="10">
        <v>30</v>
      </c>
      <c r="U1951" s="10">
        <v>60</v>
      </c>
      <c r="W1951" s="14"/>
      <c r="Y1951" s="79">
        <v>12.5</v>
      </c>
      <c r="Z1951" s="56" t="s">
        <v>46</v>
      </c>
    </row>
    <row r="1952" spans="1:28" ht="23.1" customHeight="1" x14ac:dyDescent="0.25">
      <c r="A1952" s="53" t="s">
        <v>1489</v>
      </c>
      <c r="B1952" s="10" t="s">
        <v>110</v>
      </c>
      <c r="C1952" s="10">
        <v>55</v>
      </c>
      <c r="D1952" s="10" t="s">
        <v>1506</v>
      </c>
      <c r="E1952" s="41" t="s">
        <v>1507</v>
      </c>
      <c r="F1952" s="41" t="s">
        <v>1507</v>
      </c>
      <c r="G1952" s="21" t="str">
        <f>VLOOKUP(D1952,[6]成飞半成品!$A:$B,2,0)</f>
        <v>转盘</v>
      </c>
      <c r="H1952" s="10" t="s">
        <v>154</v>
      </c>
      <c r="I1952" s="10">
        <v>40</v>
      </c>
      <c r="J1952" s="10" t="s">
        <v>2482</v>
      </c>
      <c r="K1952" s="10">
        <v>3</v>
      </c>
      <c r="L1952" s="10">
        <v>1</v>
      </c>
      <c r="M1952" s="14">
        <v>28</v>
      </c>
      <c r="N1952" s="14"/>
      <c r="O1952" s="55" t="s">
        <v>164</v>
      </c>
      <c r="Q1952" s="10">
        <v>120</v>
      </c>
      <c r="U1952" s="10">
        <v>90</v>
      </c>
      <c r="W1952" s="14">
        <v>1</v>
      </c>
      <c r="X1952" s="14">
        <v>7</v>
      </c>
      <c r="Y1952" s="79">
        <v>10.5</v>
      </c>
      <c r="Z1952" s="56" t="s">
        <v>44</v>
      </c>
      <c r="AA1952" s="14" t="s">
        <v>1508</v>
      </c>
      <c r="AB1952" s="14" t="s">
        <v>238</v>
      </c>
    </row>
    <row r="1953" spans="1:28" ht="23.1" customHeight="1" x14ac:dyDescent="0.25">
      <c r="A1953" s="53" t="s">
        <v>1489</v>
      </c>
      <c r="B1953" s="10" t="s">
        <v>110</v>
      </c>
      <c r="C1953" s="10">
        <v>56</v>
      </c>
      <c r="D1953" s="10" t="s">
        <v>1397</v>
      </c>
      <c r="E1953" s="41" t="s">
        <v>1398</v>
      </c>
      <c r="F1953" s="41" t="s">
        <v>1398</v>
      </c>
      <c r="G1953" s="21" t="str">
        <f>VLOOKUP(D1953,[6]成飞半成品!$A:$B,2,0)</f>
        <v>受剪接头</v>
      </c>
      <c r="H1953" s="10" t="s">
        <v>118</v>
      </c>
      <c r="I1953" s="10">
        <v>30</v>
      </c>
      <c r="J1953" s="10" t="s">
        <v>2390</v>
      </c>
      <c r="K1953" s="10">
        <v>7</v>
      </c>
      <c r="L1953" s="10">
        <v>5</v>
      </c>
      <c r="M1953" s="14">
        <v>9</v>
      </c>
      <c r="N1953" s="14">
        <v>9</v>
      </c>
      <c r="O1953" s="55" t="s">
        <v>1509</v>
      </c>
      <c r="Q1953" s="10">
        <v>75</v>
      </c>
      <c r="U1953" s="10">
        <v>90</v>
      </c>
      <c r="W1953" s="14"/>
      <c r="Y1953" s="79">
        <v>6.3</v>
      </c>
      <c r="Z1953" s="56" t="s">
        <v>44</v>
      </c>
    </row>
    <row r="1954" spans="1:28" ht="23.1" customHeight="1" x14ac:dyDescent="0.25">
      <c r="A1954" s="53" t="s">
        <v>1489</v>
      </c>
      <c r="B1954" s="10" t="s">
        <v>110</v>
      </c>
      <c r="C1954" s="10">
        <v>56</v>
      </c>
      <c r="D1954" s="10" t="s">
        <v>1397</v>
      </c>
      <c r="E1954" s="41" t="s">
        <v>1398</v>
      </c>
      <c r="F1954" s="41" t="s">
        <v>1398</v>
      </c>
      <c r="G1954" s="21" t="str">
        <f>VLOOKUP(D1954,[6]成飞半成品!$A:$B,2,0)</f>
        <v>受剪接头</v>
      </c>
      <c r="H1954" s="10" t="s">
        <v>118</v>
      </c>
      <c r="I1954" s="10">
        <v>22</v>
      </c>
      <c r="L1954" s="10">
        <v>2</v>
      </c>
      <c r="M1954" s="14">
        <v>28</v>
      </c>
      <c r="N1954" s="14">
        <v>28</v>
      </c>
      <c r="O1954" s="55" t="s">
        <v>1510</v>
      </c>
      <c r="P1954" s="10">
        <v>15</v>
      </c>
      <c r="W1954" s="14"/>
      <c r="Y1954" s="83">
        <v>0.5</v>
      </c>
      <c r="Z1954" s="56" t="s">
        <v>44</v>
      </c>
    </row>
    <row r="1955" spans="1:28" ht="23.1" customHeight="1" x14ac:dyDescent="0.25">
      <c r="A1955" s="53" t="s">
        <v>1489</v>
      </c>
      <c r="B1955" s="10" t="s">
        <v>110</v>
      </c>
      <c r="C1955" s="10">
        <v>56</v>
      </c>
      <c r="D1955" s="10" t="s">
        <v>1397</v>
      </c>
      <c r="E1955" s="41" t="s">
        <v>1398</v>
      </c>
      <c r="F1955" s="41" t="s">
        <v>1398</v>
      </c>
      <c r="G1955" s="21" t="str">
        <f>VLOOKUP(D1955,[6]成飞半成品!$A:$B,2,0)</f>
        <v>受剪接头</v>
      </c>
      <c r="H1955" s="10" t="s">
        <v>118</v>
      </c>
      <c r="I1955" s="10">
        <v>25</v>
      </c>
      <c r="J1955" s="10" t="s">
        <v>2054</v>
      </c>
      <c r="L1955" s="10">
        <v>2</v>
      </c>
      <c r="M1955" s="14">
        <v>28</v>
      </c>
      <c r="N1955" s="14">
        <v>28</v>
      </c>
      <c r="O1955" s="55" t="s">
        <v>1510</v>
      </c>
      <c r="Q1955" s="10">
        <v>160</v>
      </c>
      <c r="U1955" s="10">
        <v>60</v>
      </c>
      <c r="W1955" s="14"/>
      <c r="Y1955" s="79">
        <v>5.3</v>
      </c>
      <c r="Z1955" s="56" t="s">
        <v>44</v>
      </c>
    </row>
    <row r="1956" spans="1:28" ht="23.1" customHeight="1" x14ac:dyDescent="0.25">
      <c r="A1956" s="53" t="s">
        <v>1489</v>
      </c>
      <c r="B1956" s="10" t="s">
        <v>110</v>
      </c>
      <c r="C1956" s="10">
        <v>79</v>
      </c>
      <c r="D1956" s="10" t="s">
        <v>420</v>
      </c>
      <c r="E1956" s="41" t="s">
        <v>153</v>
      </c>
      <c r="F1956" s="41" t="s">
        <v>1247</v>
      </c>
      <c r="G1956" s="21" t="str">
        <f>VLOOKUP(D1956,[6]成飞半成品!$A:$B,2,0)</f>
        <v>根肋前段</v>
      </c>
      <c r="H1956" s="10" t="s">
        <v>154</v>
      </c>
      <c r="I1956" s="10">
        <v>25</v>
      </c>
      <c r="J1956" s="10" t="s">
        <v>2017</v>
      </c>
      <c r="K1956" s="10">
        <v>0.5</v>
      </c>
      <c r="L1956" s="10">
        <v>1</v>
      </c>
      <c r="M1956" s="14">
        <v>28</v>
      </c>
      <c r="N1956" s="14"/>
      <c r="O1956" s="55" t="s">
        <v>1511</v>
      </c>
      <c r="Q1956" s="10">
        <v>1260</v>
      </c>
      <c r="R1956" s="10">
        <v>90</v>
      </c>
      <c r="T1956" s="10">
        <v>1</v>
      </c>
      <c r="U1956" s="10">
        <v>120</v>
      </c>
      <c r="W1956" s="14"/>
      <c r="Y1956" s="79">
        <v>22.5</v>
      </c>
      <c r="Z1956" s="56" t="s">
        <v>19</v>
      </c>
    </row>
    <row r="1957" spans="1:28" ht="23.1" customHeight="1" x14ac:dyDescent="0.25">
      <c r="A1957" s="53" t="s">
        <v>1489</v>
      </c>
      <c r="B1957" s="10" t="s">
        <v>110</v>
      </c>
      <c r="C1957" s="10">
        <v>78</v>
      </c>
      <c r="D1957" s="10" t="s">
        <v>276</v>
      </c>
      <c r="E1957" s="41" t="s">
        <v>277</v>
      </c>
      <c r="F1957" s="41" t="s">
        <v>277</v>
      </c>
      <c r="G1957" s="21" t="str">
        <f>VLOOKUP(D1957,[6]成飞半成品!$A:$B,2,0)</f>
        <v>左外侧接头</v>
      </c>
      <c r="H1957" s="10" t="s">
        <v>154</v>
      </c>
      <c r="I1957" s="10">
        <v>80</v>
      </c>
      <c r="J1957" s="10" t="s">
        <v>1964</v>
      </c>
      <c r="K1957" s="10">
        <v>1</v>
      </c>
      <c r="L1957" s="10">
        <v>1</v>
      </c>
      <c r="M1957" s="14">
        <v>23</v>
      </c>
      <c r="N1957" s="14"/>
      <c r="O1957" s="55" t="s">
        <v>108</v>
      </c>
      <c r="Q1957" s="10">
        <v>360</v>
      </c>
      <c r="T1957" s="10">
        <v>1</v>
      </c>
      <c r="U1957" s="10">
        <v>120</v>
      </c>
      <c r="W1957" s="14">
        <v>1</v>
      </c>
      <c r="X1957" s="10">
        <v>4</v>
      </c>
      <c r="Y1957" s="79">
        <v>12</v>
      </c>
      <c r="Z1957" s="56" t="s">
        <v>19</v>
      </c>
      <c r="AA1957" s="14" t="s">
        <v>1471</v>
      </c>
      <c r="AB1957" s="14" t="s">
        <v>238</v>
      </c>
    </row>
    <row r="1958" spans="1:28" ht="23.1" customHeight="1" x14ac:dyDescent="0.25">
      <c r="A1958" s="53" t="s">
        <v>1489</v>
      </c>
      <c r="B1958" s="10" t="s">
        <v>110</v>
      </c>
      <c r="C1958" s="10">
        <v>78</v>
      </c>
      <c r="D1958" s="10" t="s">
        <v>235</v>
      </c>
      <c r="E1958" s="41" t="s">
        <v>236</v>
      </c>
      <c r="F1958" s="41" t="s">
        <v>236</v>
      </c>
      <c r="G1958" s="21" t="str">
        <f>VLOOKUP(D1958,[6]成飞半成品!$A:$B,2,0)</f>
        <v>右外侧接头</v>
      </c>
      <c r="H1958" s="10" t="s">
        <v>154</v>
      </c>
      <c r="I1958" s="10">
        <v>80</v>
      </c>
      <c r="J1958" s="10" t="s">
        <v>1964</v>
      </c>
      <c r="K1958" s="10">
        <v>1</v>
      </c>
      <c r="L1958" s="10">
        <v>1</v>
      </c>
      <c r="M1958" s="14">
        <v>23</v>
      </c>
      <c r="N1958" s="14"/>
      <c r="O1958" s="55" t="s">
        <v>234</v>
      </c>
      <c r="Q1958" s="10">
        <v>360</v>
      </c>
      <c r="T1958" s="10">
        <v>1</v>
      </c>
      <c r="U1958" s="10">
        <v>120</v>
      </c>
      <c r="W1958" s="14">
        <v>1</v>
      </c>
      <c r="X1958" s="10">
        <v>2</v>
      </c>
      <c r="Y1958" s="79">
        <v>10</v>
      </c>
      <c r="Z1958" s="56" t="s">
        <v>19</v>
      </c>
      <c r="AA1958" s="14" t="s">
        <v>1512</v>
      </c>
      <c r="AB1958" s="25" t="s">
        <v>238</v>
      </c>
    </row>
    <row r="1959" spans="1:28" ht="23.1" customHeight="1" x14ac:dyDescent="0.25">
      <c r="A1959" s="53" t="s">
        <v>1489</v>
      </c>
      <c r="B1959" s="10" t="s">
        <v>110</v>
      </c>
      <c r="C1959" s="10">
        <v>58</v>
      </c>
      <c r="D1959" s="10" t="s">
        <v>1513</v>
      </c>
      <c r="E1959" s="41" t="s">
        <v>1514</v>
      </c>
      <c r="F1959" s="41" t="s">
        <v>1514</v>
      </c>
      <c r="G1959" s="21" t="str">
        <f>VLOOKUP(D1959,[6]成飞半成品!$A:$B,2,0)</f>
        <v>外套螺母</v>
      </c>
      <c r="H1959" s="10" t="s">
        <v>250</v>
      </c>
      <c r="I1959" s="10">
        <v>30</v>
      </c>
      <c r="J1959" s="10" t="s">
        <v>1901</v>
      </c>
      <c r="L1959" s="10">
        <v>40</v>
      </c>
      <c r="M1959" s="14">
        <v>23</v>
      </c>
      <c r="N1959" s="14">
        <v>23</v>
      </c>
      <c r="O1959" s="55" t="s">
        <v>487</v>
      </c>
      <c r="Q1959" s="10">
        <v>25</v>
      </c>
      <c r="U1959" s="10">
        <v>60</v>
      </c>
      <c r="W1959" s="14"/>
      <c r="Y1959" s="79">
        <v>16.7</v>
      </c>
      <c r="Z1959" s="56" t="s">
        <v>72</v>
      </c>
    </row>
    <row r="1960" spans="1:28" ht="23.1" customHeight="1" x14ac:dyDescent="0.25">
      <c r="A1960" s="53" t="s">
        <v>1489</v>
      </c>
      <c r="B1960" s="10" t="s">
        <v>110</v>
      </c>
      <c r="C1960" s="10">
        <v>77</v>
      </c>
      <c r="D1960" s="10" t="s">
        <v>1465</v>
      </c>
      <c r="E1960" s="41" t="s">
        <v>1466</v>
      </c>
      <c r="F1960" s="41" t="s">
        <v>1466</v>
      </c>
      <c r="G1960" s="21" t="str">
        <f>VLOOKUP(D1960,[6]成飞半成品!$A:$B,2,0)</f>
        <v>扶手支座</v>
      </c>
      <c r="H1960" s="10" t="s">
        <v>102</v>
      </c>
      <c r="I1960" s="10">
        <v>25</v>
      </c>
      <c r="J1960" s="10" t="s">
        <v>2285</v>
      </c>
      <c r="K1960" s="10">
        <v>20</v>
      </c>
      <c r="L1960" s="10">
        <v>33</v>
      </c>
      <c r="M1960" s="14">
        <v>23</v>
      </c>
      <c r="N1960" s="14">
        <v>31</v>
      </c>
      <c r="O1960" s="55" t="s">
        <v>728</v>
      </c>
      <c r="Q1960" s="10">
        <v>30</v>
      </c>
      <c r="U1960" s="10">
        <v>60</v>
      </c>
      <c r="W1960" s="14"/>
      <c r="Y1960" s="79">
        <v>16.5</v>
      </c>
      <c r="Z1960" s="56" t="s">
        <v>15</v>
      </c>
    </row>
    <row r="1961" spans="1:28" ht="23.1" customHeight="1" x14ac:dyDescent="0.25">
      <c r="A1961" s="53" t="s">
        <v>1489</v>
      </c>
      <c r="B1961" s="10" t="s">
        <v>110</v>
      </c>
      <c r="C1961" s="10">
        <v>77</v>
      </c>
      <c r="D1961" s="10" t="s">
        <v>727</v>
      </c>
      <c r="E1961" s="41" t="s">
        <v>625</v>
      </c>
      <c r="F1961" s="41" t="s">
        <v>625</v>
      </c>
      <c r="G1961" s="21" t="str">
        <f>VLOOKUP(D1961,[6]成飞半成品!$A:$B,2,0)</f>
        <v>支架</v>
      </c>
      <c r="H1961" s="10" t="s">
        <v>250</v>
      </c>
      <c r="I1961" s="10">
        <v>50</v>
      </c>
      <c r="J1961" s="10" t="s">
        <v>2032</v>
      </c>
      <c r="L1961" s="10">
        <v>6</v>
      </c>
      <c r="M1961" s="14">
        <v>23</v>
      </c>
      <c r="N1961" s="14">
        <v>31</v>
      </c>
      <c r="O1961" s="55" t="s">
        <v>429</v>
      </c>
      <c r="Q1961" s="10">
        <v>60</v>
      </c>
      <c r="U1961" s="10">
        <v>60</v>
      </c>
      <c r="W1961" s="14"/>
      <c r="Y1961" s="79">
        <v>6</v>
      </c>
      <c r="Z1961" s="56" t="s">
        <v>15</v>
      </c>
    </row>
    <row r="1962" spans="1:28" ht="23.1" customHeight="1" x14ac:dyDescent="0.25">
      <c r="A1962" s="53" t="s">
        <v>1489</v>
      </c>
      <c r="B1962" s="10" t="s">
        <v>110</v>
      </c>
      <c r="C1962" s="10">
        <v>59</v>
      </c>
      <c r="D1962" s="25" t="s">
        <v>2551</v>
      </c>
      <c r="E1962" s="41" t="s">
        <v>1516</v>
      </c>
      <c r="F1962" s="41" t="e">
        <v>#N/A</v>
      </c>
      <c r="G1962" s="21" t="str">
        <f>VLOOKUP(D1962,[6]成飞半成品!$A:$B,2,0)</f>
        <v>工装</v>
      </c>
      <c r="H1962" s="10" t="s">
        <v>102</v>
      </c>
      <c r="I1962" s="10">
        <v>5</v>
      </c>
      <c r="L1962" s="10">
        <v>1</v>
      </c>
      <c r="M1962" s="14">
        <v>23</v>
      </c>
      <c r="N1962" s="14"/>
      <c r="O1962" s="55" t="s">
        <v>108</v>
      </c>
      <c r="W1962" s="14">
        <v>1</v>
      </c>
      <c r="X1962" s="14">
        <v>6</v>
      </c>
      <c r="Y1962" s="79">
        <v>6</v>
      </c>
      <c r="Z1962" s="65" t="s">
        <v>1847</v>
      </c>
    </row>
    <row r="1963" spans="1:28" ht="23.1" customHeight="1" x14ac:dyDescent="0.25">
      <c r="A1963" s="53" t="s">
        <v>1489</v>
      </c>
      <c r="B1963" s="10" t="s">
        <v>110</v>
      </c>
      <c r="C1963" s="10">
        <v>59</v>
      </c>
      <c r="D1963" s="25" t="s">
        <v>2551</v>
      </c>
      <c r="E1963" s="41" t="s">
        <v>1516</v>
      </c>
      <c r="F1963" s="41" t="e">
        <v>#N/A</v>
      </c>
      <c r="G1963" s="21" t="str">
        <f>VLOOKUP(D1963,[6]成飞半成品!$A:$B,2,0)</f>
        <v>工装</v>
      </c>
      <c r="H1963" s="10" t="s">
        <v>102</v>
      </c>
      <c r="I1963" s="10">
        <v>10</v>
      </c>
      <c r="L1963" s="10">
        <v>1</v>
      </c>
      <c r="M1963" s="14"/>
      <c r="N1963" s="14">
        <v>23</v>
      </c>
      <c r="O1963" s="55" t="s">
        <v>108</v>
      </c>
      <c r="W1963" s="14">
        <v>1</v>
      </c>
      <c r="X1963" s="14">
        <v>6</v>
      </c>
      <c r="Y1963" s="79">
        <v>6</v>
      </c>
      <c r="Z1963" s="65" t="s">
        <v>1847</v>
      </c>
    </row>
    <row r="1964" spans="1:28" ht="23.1" customHeight="1" x14ac:dyDescent="0.25">
      <c r="A1964" s="53" t="s">
        <v>1489</v>
      </c>
      <c r="B1964" s="10" t="s">
        <v>110</v>
      </c>
      <c r="C1964" s="10">
        <v>15</v>
      </c>
      <c r="D1964" s="10" t="s">
        <v>1255</v>
      </c>
      <c r="E1964" s="41" t="s">
        <v>117</v>
      </c>
      <c r="F1964" s="41" t="s">
        <v>117</v>
      </c>
      <c r="G1964" s="21" t="str">
        <f>VLOOKUP(D1964,[6]成飞半成品!$A:$B,2,0)</f>
        <v>7820~8270侧上梁</v>
      </c>
      <c r="H1964" s="10" t="s">
        <v>118</v>
      </c>
      <c r="I1964" s="10">
        <v>5</v>
      </c>
      <c r="J1964" s="10" t="s">
        <v>1930</v>
      </c>
      <c r="L1964" s="10">
        <v>10</v>
      </c>
      <c r="M1964" s="14">
        <v>5</v>
      </c>
      <c r="N1964" s="14">
        <v>23</v>
      </c>
      <c r="O1964" s="55" t="s">
        <v>1517</v>
      </c>
      <c r="Q1964" s="10">
        <v>80</v>
      </c>
      <c r="U1964" s="10">
        <v>60</v>
      </c>
      <c r="W1964" s="14"/>
      <c r="Y1964" s="79">
        <v>13.3</v>
      </c>
      <c r="Z1964" s="56" t="s">
        <v>31</v>
      </c>
    </row>
    <row r="1965" spans="1:28" ht="23.1" customHeight="1" x14ac:dyDescent="0.25">
      <c r="A1965" s="53" t="s">
        <v>1489</v>
      </c>
      <c r="B1965" s="10" t="s">
        <v>110</v>
      </c>
      <c r="C1965" s="10">
        <v>15</v>
      </c>
      <c r="D1965" s="10" t="s">
        <v>1255</v>
      </c>
      <c r="E1965" s="41" t="s">
        <v>117</v>
      </c>
      <c r="F1965" s="41" t="s">
        <v>117</v>
      </c>
      <c r="G1965" s="21" t="str">
        <f>VLOOKUP(D1965,[6]成飞半成品!$A:$B,2,0)</f>
        <v>7820~8270侧上梁</v>
      </c>
      <c r="H1965" s="10" t="s">
        <v>118</v>
      </c>
      <c r="I1965" s="10">
        <v>7</v>
      </c>
      <c r="L1965" s="10">
        <v>10</v>
      </c>
      <c r="M1965" s="14">
        <v>5</v>
      </c>
      <c r="N1965" s="14">
        <v>23</v>
      </c>
      <c r="O1965" s="55" t="s">
        <v>1100</v>
      </c>
      <c r="P1965" s="10">
        <v>80</v>
      </c>
      <c r="W1965" s="14"/>
      <c r="Y1965" s="83">
        <v>13.3</v>
      </c>
      <c r="Z1965" s="56" t="s">
        <v>31</v>
      </c>
    </row>
    <row r="1966" spans="1:28" ht="23.1" customHeight="1" x14ac:dyDescent="0.25">
      <c r="A1966" s="53" t="s">
        <v>1489</v>
      </c>
      <c r="B1966" s="10" t="s">
        <v>110</v>
      </c>
      <c r="C1966" s="10">
        <v>15</v>
      </c>
      <c r="D1966" s="10" t="s">
        <v>1255</v>
      </c>
      <c r="E1966" s="41" t="s">
        <v>117</v>
      </c>
      <c r="F1966" s="41" t="s">
        <v>117</v>
      </c>
      <c r="G1966" s="21" t="str">
        <f>VLOOKUP(D1966,[6]成飞半成品!$A:$B,2,0)</f>
        <v>7820~8270侧上梁</v>
      </c>
      <c r="H1966" s="10" t="s">
        <v>118</v>
      </c>
      <c r="I1966" s="10">
        <v>8</v>
      </c>
      <c r="L1966" s="10">
        <v>10</v>
      </c>
      <c r="M1966" s="14">
        <v>5</v>
      </c>
      <c r="N1966" s="14">
        <v>23</v>
      </c>
      <c r="O1966" s="55" t="s">
        <v>1100</v>
      </c>
      <c r="P1966" s="10">
        <v>90</v>
      </c>
      <c r="W1966" s="14"/>
      <c r="Y1966" s="83">
        <v>15</v>
      </c>
      <c r="Z1966" s="56" t="s">
        <v>31</v>
      </c>
    </row>
    <row r="1967" spans="1:28" ht="23.1" customHeight="1" x14ac:dyDescent="0.25">
      <c r="A1967" s="53" t="s">
        <v>1489</v>
      </c>
      <c r="B1967" s="10" t="s">
        <v>110</v>
      </c>
      <c r="C1967" s="10">
        <v>58</v>
      </c>
      <c r="D1967" s="25" t="s">
        <v>2551</v>
      </c>
      <c r="E1967" s="14" t="s">
        <v>1518</v>
      </c>
      <c r="F1967" s="41">
        <v>0</v>
      </c>
      <c r="G1967" s="21" t="str">
        <f>VLOOKUP(D1967,[6]成飞半成品!$A:$B,2,0)</f>
        <v>工装</v>
      </c>
      <c r="M1967" s="14"/>
      <c r="N1967" s="14"/>
      <c r="W1967" s="14"/>
      <c r="X1967" s="14">
        <v>20</v>
      </c>
      <c r="Y1967" s="79">
        <v>20</v>
      </c>
      <c r="Z1967" s="56" t="s">
        <v>7</v>
      </c>
      <c r="AA1967" s="14" t="s">
        <v>1518</v>
      </c>
      <c r="AB1967" s="14" t="s">
        <v>238</v>
      </c>
    </row>
    <row r="1968" spans="1:28" ht="23.1" customHeight="1" x14ac:dyDescent="0.25">
      <c r="A1968" s="53" t="s">
        <v>1489</v>
      </c>
      <c r="B1968" s="10" t="s">
        <v>110</v>
      </c>
      <c r="C1968" s="10">
        <v>13</v>
      </c>
      <c r="D1968" s="10" t="s">
        <v>1513</v>
      </c>
      <c r="E1968" s="41" t="s">
        <v>1514</v>
      </c>
      <c r="F1968" s="41" t="s">
        <v>1514</v>
      </c>
      <c r="G1968" s="21" t="str">
        <f>VLOOKUP(D1968,[6]成飞半成品!$A:$B,2,0)</f>
        <v>外套螺母</v>
      </c>
      <c r="H1968" s="10" t="s">
        <v>250</v>
      </c>
      <c r="I1968" s="10">
        <v>30</v>
      </c>
      <c r="J1968" s="10" t="s">
        <v>1901</v>
      </c>
      <c r="L1968" s="10">
        <v>20</v>
      </c>
      <c r="M1968" s="14">
        <v>23</v>
      </c>
      <c r="N1968" s="14">
        <v>23</v>
      </c>
      <c r="O1968" s="55" t="s">
        <v>487</v>
      </c>
      <c r="Q1968" s="10">
        <v>25</v>
      </c>
      <c r="U1968" s="10">
        <v>60</v>
      </c>
      <c r="W1968" s="14"/>
      <c r="Y1968" s="79">
        <v>8.3000000000000007</v>
      </c>
      <c r="Z1968" s="56" t="s">
        <v>72</v>
      </c>
    </row>
    <row r="1969" spans="1:28" ht="23.1" customHeight="1" x14ac:dyDescent="0.25">
      <c r="A1969" s="53" t="s">
        <v>1489</v>
      </c>
      <c r="B1969" s="10" t="s">
        <v>110</v>
      </c>
      <c r="C1969" s="10">
        <v>13</v>
      </c>
      <c r="D1969" s="10" t="s">
        <v>1519</v>
      </c>
      <c r="E1969" s="41" t="s">
        <v>133</v>
      </c>
      <c r="F1969" s="41" t="s">
        <v>133</v>
      </c>
      <c r="G1969" s="21" t="str">
        <f>VLOOKUP(D1969,[6]成飞半成品!$A:$B,2,0)</f>
        <v>摇臂</v>
      </c>
      <c r="H1969" s="10" t="s">
        <v>300</v>
      </c>
      <c r="I1969" s="10">
        <v>15</v>
      </c>
      <c r="J1969" s="10" t="s">
        <v>1931</v>
      </c>
      <c r="M1969" s="14">
        <v>23</v>
      </c>
      <c r="N1969" s="14"/>
      <c r="O1969" s="55" t="s">
        <v>287</v>
      </c>
      <c r="Q1969" s="10">
        <v>90</v>
      </c>
      <c r="U1969" s="10">
        <v>120</v>
      </c>
      <c r="W1969" s="14">
        <v>1</v>
      </c>
      <c r="Y1969" s="79">
        <v>2</v>
      </c>
      <c r="Z1969" s="56" t="s">
        <v>72</v>
      </c>
    </row>
    <row r="1970" spans="1:28" ht="23.1" customHeight="1" x14ac:dyDescent="0.25">
      <c r="A1970" s="53" t="s">
        <v>1489</v>
      </c>
      <c r="B1970" s="10" t="s">
        <v>137</v>
      </c>
      <c r="C1970" s="10">
        <v>17</v>
      </c>
      <c r="D1970" s="10" t="s">
        <v>1520</v>
      </c>
      <c r="E1970" s="41" t="s">
        <v>133</v>
      </c>
      <c r="F1970" s="41" t="s">
        <v>133</v>
      </c>
      <c r="G1970" s="21" t="str">
        <f>VLOOKUP(D1970,[6]成飞半成品!$A:$B,2,0)</f>
        <v>摇臂</v>
      </c>
      <c r="H1970" s="10" t="s">
        <v>154</v>
      </c>
      <c r="I1970" s="10">
        <v>5</v>
      </c>
      <c r="L1970" s="10">
        <v>6</v>
      </c>
      <c r="M1970" s="14">
        <v>28</v>
      </c>
      <c r="N1970" s="14">
        <v>28</v>
      </c>
      <c r="O1970" s="55" t="s">
        <v>1521</v>
      </c>
      <c r="P1970" s="10">
        <v>40</v>
      </c>
      <c r="V1970" s="10">
        <v>60</v>
      </c>
      <c r="W1970" s="14">
        <v>1</v>
      </c>
      <c r="X1970" s="14">
        <v>3</v>
      </c>
      <c r="Y1970" s="83">
        <v>8</v>
      </c>
      <c r="Z1970" s="56" t="s">
        <v>43</v>
      </c>
      <c r="AA1970" s="14" t="s">
        <v>1522</v>
      </c>
    </row>
    <row r="1971" spans="1:28" ht="23.1" customHeight="1" x14ac:dyDescent="0.25">
      <c r="A1971" s="53" t="s">
        <v>1489</v>
      </c>
      <c r="B1971" s="10" t="s">
        <v>137</v>
      </c>
      <c r="C1971" s="10">
        <v>17</v>
      </c>
      <c r="D1971" s="10" t="s">
        <v>1520</v>
      </c>
      <c r="E1971" s="41" t="s">
        <v>133</v>
      </c>
      <c r="F1971" s="41" t="s">
        <v>133</v>
      </c>
      <c r="G1971" s="21" t="str">
        <f>VLOOKUP(D1971,[6]成飞半成品!$A:$B,2,0)</f>
        <v>摇臂</v>
      </c>
      <c r="H1971" s="10" t="s">
        <v>154</v>
      </c>
      <c r="I1971" s="10">
        <v>10</v>
      </c>
      <c r="L1971" s="10">
        <v>6</v>
      </c>
      <c r="M1971" s="14">
        <v>28</v>
      </c>
      <c r="N1971" s="14">
        <v>28</v>
      </c>
      <c r="O1971" s="55" t="s">
        <v>1521</v>
      </c>
      <c r="P1971" s="10">
        <v>60</v>
      </c>
      <c r="V1971" s="10">
        <v>60</v>
      </c>
      <c r="W1971" s="14">
        <v>1</v>
      </c>
      <c r="X1971" s="14">
        <v>2</v>
      </c>
      <c r="Y1971" s="83">
        <v>9</v>
      </c>
      <c r="Z1971" s="56" t="s">
        <v>43</v>
      </c>
      <c r="AA1971" s="14" t="s">
        <v>1473</v>
      </c>
      <c r="AB1971" s="25" t="s">
        <v>238</v>
      </c>
    </row>
    <row r="1972" spans="1:28" ht="23.1" customHeight="1" x14ac:dyDescent="0.25">
      <c r="A1972" s="53" t="s">
        <v>1489</v>
      </c>
      <c r="B1972" s="10" t="s">
        <v>137</v>
      </c>
      <c r="C1972" s="10">
        <v>58</v>
      </c>
      <c r="D1972" s="25" t="s">
        <v>2552</v>
      </c>
      <c r="E1972" s="41" t="s">
        <v>731</v>
      </c>
      <c r="F1972" s="41" t="e">
        <v>#N/A</v>
      </c>
      <c r="G1972" s="21" t="str">
        <f>VLOOKUP(D1972,[6]成飞半成品!$A:$B,2,0)</f>
        <v>3D打印</v>
      </c>
      <c r="H1972" s="10" t="s">
        <v>102</v>
      </c>
      <c r="I1972" s="10">
        <v>15</v>
      </c>
      <c r="K1972" s="10">
        <v>1</v>
      </c>
      <c r="L1972" s="10">
        <v>1</v>
      </c>
      <c r="M1972" s="14">
        <v>28</v>
      </c>
      <c r="N1972" s="14"/>
      <c r="O1972" s="55" t="s">
        <v>108</v>
      </c>
      <c r="W1972" s="14"/>
      <c r="X1972" s="14">
        <v>15</v>
      </c>
      <c r="Y1972" s="79">
        <v>15</v>
      </c>
      <c r="Z1972" s="56" t="s">
        <v>57</v>
      </c>
      <c r="AA1972" s="14" t="s">
        <v>1523</v>
      </c>
      <c r="AB1972" s="14" t="s">
        <v>238</v>
      </c>
    </row>
    <row r="1973" spans="1:28" ht="23.1" customHeight="1" x14ac:dyDescent="0.25">
      <c r="A1973" s="53" t="s">
        <v>1489</v>
      </c>
      <c r="B1973" s="10" t="s">
        <v>137</v>
      </c>
      <c r="C1973" s="10">
        <v>57</v>
      </c>
      <c r="D1973" s="10" t="s">
        <v>1042</v>
      </c>
      <c r="E1973" s="41" t="s">
        <v>1281</v>
      </c>
      <c r="F1973" s="41" t="s">
        <v>1281</v>
      </c>
      <c r="G1973" s="21" t="str">
        <f>VLOOKUP(D1973,[6]成飞半成品!$A:$B,2,0)</f>
        <v>前上大梁（右）</v>
      </c>
      <c r="H1973" s="10" t="s">
        <v>107</v>
      </c>
      <c r="I1973" s="10">
        <v>30</v>
      </c>
      <c r="J1973" s="10" t="s">
        <v>2242</v>
      </c>
      <c r="L1973" s="10">
        <v>1.7</v>
      </c>
      <c r="M1973" s="14">
        <v>28</v>
      </c>
      <c r="N1973" s="14">
        <v>28</v>
      </c>
      <c r="O1973" s="55" t="s">
        <v>1453</v>
      </c>
      <c r="Q1973" s="10">
        <v>220</v>
      </c>
      <c r="U1973" s="10">
        <v>90</v>
      </c>
      <c r="W1973" s="14"/>
      <c r="Y1973" s="79">
        <v>6.2</v>
      </c>
      <c r="Z1973" s="56" t="s">
        <v>57</v>
      </c>
    </row>
    <row r="1974" spans="1:28" ht="23.1" customHeight="1" x14ac:dyDescent="0.25">
      <c r="A1974" s="53" t="s">
        <v>1489</v>
      </c>
      <c r="B1974" s="10" t="s">
        <v>137</v>
      </c>
      <c r="C1974" s="10">
        <v>57</v>
      </c>
      <c r="D1974" s="10" t="s">
        <v>1031</v>
      </c>
      <c r="E1974" s="41" t="s">
        <v>1032</v>
      </c>
      <c r="F1974" s="41" t="s">
        <v>1032</v>
      </c>
      <c r="G1974" s="21" t="str">
        <f>VLOOKUP(D1974,[6]成飞半成品!$A:$B,2,0)</f>
        <v>前上大梁（左）</v>
      </c>
      <c r="H1974" s="10" t="s">
        <v>107</v>
      </c>
      <c r="I1974" s="10">
        <v>35</v>
      </c>
      <c r="J1974" s="10" t="s">
        <v>2141</v>
      </c>
      <c r="L1974" s="10">
        <v>0.5</v>
      </c>
      <c r="M1974" s="14">
        <v>28</v>
      </c>
      <c r="N1974" s="14"/>
      <c r="O1974" s="55" t="s">
        <v>1033</v>
      </c>
      <c r="Q1974" s="10">
        <v>540</v>
      </c>
      <c r="U1974" s="10">
        <v>100</v>
      </c>
      <c r="W1974" s="14">
        <v>1</v>
      </c>
      <c r="Y1974" s="79">
        <v>6.2</v>
      </c>
      <c r="Z1974" s="56" t="s">
        <v>57</v>
      </c>
    </row>
    <row r="1975" spans="1:28" ht="23.1" customHeight="1" x14ac:dyDescent="0.25">
      <c r="A1975" s="53" t="s">
        <v>1489</v>
      </c>
      <c r="B1975" s="10" t="s">
        <v>137</v>
      </c>
      <c r="C1975" s="10">
        <v>9</v>
      </c>
      <c r="D1975" s="10" t="s">
        <v>1503</v>
      </c>
      <c r="E1975" s="41" t="s">
        <v>409</v>
      </c>
      <c r="F1975" s="41" t="s">
        <v>409</v>
      </c>
      <c r="G1975" s="21" t="str">
        <f>VLOOKUP(D1975,[6]成飞半成品!$A:$B,2,0)</f>
        <v>接头</v>
      </c>
      <c r="H1975" s="10" t="s">
        <v>102</v>
      </c>
      <c r="I1975" s="10">
        <v>15</v>
      </c>
      <c r="J1975" s="10" t="s">
        <v>2286</v>
      </c>
      <c r="K1975" s="10">
        <v>1</v>
      </c>
      <c r="L1975" s="10">
        <v>1</v>
      </c>
      <c r="M1975" s="14">
        <v>31</v>
      </c>
      <c r="N1975" s="14"/>
      <c r="O1975" s="55" t="s">
        <v>596</v>
      </c>
      <c r="Q1975" s="10">
        <v>80</v>
      </c>
      <c r="U1975" s="10">
        <v>90</v>
      </c>
      <c r="W1975" s="14">
        <v>1</v>
      </c>
      <c r="X1975" s="14">
        <v>2</v>
      </c>
      <c r="Y1975" s="79">
        <v>4.8</v>
      </c>
      <c r="Z1975" s="56" t="s">
        <v>55</v>
      </c>
      <c r="AA1975" s="14" t="s">
        <v>1524</v>
      </c>
      <c r="AB1975" s="14" t="s">
        <v>238</v>
      </c>
    </row>
    <row r="1976" spans="1:28" ht="23.1" customHeight="1" x14ac:dyDescent="0.25">
      <c r="A1976" s="53" t="s">
        <v>1489</v>
      </c>
      <c r="B1976" s="10" t="s">
        <v>137</v>
      </c>
      <c r="C1976" s="10">
        <v>9</v>
      </c>
      <c r="D1976" s="25" t="s">
        <v>2551</v>
      </c>
      <c r="E1976" s="41" t="s">
        <v>1526</v>
      </c>
      <c r="F1976" s="41" t="e">
        <v>#N/A</v>
      </c>
      <c r="G1976" s="21" t="str">
        <f>VLOOKUP(D1976,[6]成飞半成品!$A:$B,2,0)</f>
        <v>工装</v>
      </c>
      <c r="H1976" s="10" t="s">
        <v>102</v>
      </c>
      <c r="I1976" s="10">
        <v>5</v>
      </c>
      <c r="L1976" s="10">
        <v>1</v>
      </c>
      <c r="M1976" s="14">
        <v>28</v>
      </c>
      <c r="N1976" s="14"/>
      <c r="O1976" s="55" t="s">
        <v>108</v>
      </c>
      <c r="W1976" s="14"/>
      <c r="X1976" s="14">
        <v>2</v>
      </c>
      <c r="Y1976" s="79">
        <v>2</v>
      </c>
      <c r="Z1976" s="56" t="s">
        <v>55</v>
      </c>
      <c r="AA1976" s="14" t="s">
        <v>1527</v>
      </c>
      <c r="AB1976" s="14" t="s">
        <v>238</v>
      </c>
    </row>
    <row r="1977" spans="1:28" ht="23.1" customHeight="1" x14ac:dyDescent="0.25">
      <c r="A1977" s="53" t="s">
        <v>1489</v>
      </c>
      <c r="B1977" s="10" t="s">
        <v>137</v>
      </c>
      <c r="C1977" s="10">
        <v>9</v>
      </c>
      <c r="D1977" s="25" t="s">
        <v>2551</v>
      </c>
      <c r="E1977" s="41" t="s">
        <v>1526</v>
      </c>
      <c r="F1977" s="41" t="e">
        <v>#N/A</v>
      </c>
      <c r="G1977" s="21" t="str">
        <f>VLOOKUP(D1977,[6]成飞半成品!$A:$B,2,0)</f>
        <v>工装</v>
      </c>
      <c r="H1977" s="10" t="s">
        <v>102</v>
      </c>
      <c r="I1977" s="10">
        <v>10</v>
      </c>
      <c r="L1977" s="10">
        <v>1</v>
      </c>
      <c r="M1977" s="14"/>
      <c r="N1977" s="14">
        <v>28</v>
      </c>
      <c r="O1977" s="55" t="s">
        <v>108</v>
      </c>
      <c r="W1977" s="14"/>
      <c r="X1977" s="14">
        <v>2</v>
      </c>
      <c r="Y1977" s="79">
        <v>2</v>
      </c>
      <c r="Z1977" s="56" t="s">
        <v>55</v>
      </c>
      <c r="AA1977" s="14" t="s">
        <v>1527</v>
      </c>
      <c r="AB1977" s="14" t="s">
        <v>238</v>
      </c>
    </row>
    <row r="1978" spans="1:28" ht="23.1" customHeight="1" x14ac:dyDescent="0.25">
      <c r="A1978" s="53" t="s">
        <v>1489</v>
      </c>
      <c r="B1978" s="10" t="s">
        <v>137</v>
      </c>
      <c r="C1978" s="10">
        <v>9</v>
      </c>
      <c r="D1978" s="25" t="s">
        <v>2551</v>
      </c>
      <c r="E1978" s="41" t="s">
        <v>1526</v>
      </c>
      <c r="F1978" s="41" t="e">
        <v>#N/A</v>
      </c>
      <c r="G1978" s="21" t="str">
        <f>VLOOKUP(D1978,[6]成飞半成品!$A:$B,2,0)</f>
        <v>工装</v>
      </c>
      <c r="H1978" s="10" t="s">
        <v>102</v>
      </c>
      <c r="I1978" s="10">
        <v>15</v>
      </c>
      <c r="L1978" s="10">
        <v>1</v>
      </c>
      <c r="M1978" s="14"/>
      <c r="N1978" s="14">
        <v>28</v>
      </c>
      <c r="O1978" s="55" t="s">
        <v>108</v>
      </c>
      <c r="W1978" s="14"/>
      <c r="X1978" s="14">
        <v>2</v>
      </c>
      <c r="Y1978" s="79">
        <v>2</v>
      </c>
      <c r="Z1978" s="56" t="s">
        <v>55</v>
      </c>
      <c r="AA1978" s="14" t="s">
        <v>1527</v>
      </c>
      <c r="AB1978" s="14" t="s">
        <v>238</v>
      </c>
    </row>
    <row r="1979" spans="1:28" ht="23.1" customHeight="1" x14ac:dyDescent="0.25">
      <c r="A1979" s="53" t="s">
        <v>1489</v>
      </c>
      <c r="B1979" s="10" t="s">
        <v>137</v>
      </c>
      <c r="C1979" s="10">
        <v>10</v>
      </c>
      <c r="D1979" s="10" t="s">
        <v>217</v>
      </c>
      <c r="E1979" s="41" t="s">
        <v>218</v>
      </c>
      <c r="F1979" s="41" t="s">
        <v>218</v>
      </c>
      <c r="G1979" s="21" t="str">
        <f>VLOOKUP(D1979,[6]成飞半成品!$A:$B,2,0)</f>
        <v>横梁</v>
      </c>
      <c r="H1979" s="10" t="s">
        <v>107</v>
      </c>
      <c r="I1979" s="10">
        <v>55</v>
      </c>
      <c r="J1979" s="10" t="s">
        <v>2287</v>
      </c>
      <c r="K1979" s="10">
        <v>2</v>
      </c>
      <c r="L1979" s="10">
        <v>2</v>
      </c>
      <c r="M1979" s="14">
        <v>31</v>
      </c>
      <c r="N1979" s="14">
        <v>31</v>
      </c>
      <c r="O1979" s="55" t="s">
        <v>456</v>
      </c>
      <c r="Q1979" s="10">
        <v>270</v>
      </c>
      <c r="U1979" s="10">
        <v>90</v>
      </c>
      <c r="W1979" s="14"/>
      <c r="X1979" s="14">
        <v>2</v>
      </c>
      <c r="Y1979" s="79">
        <v>11</v>
      </c>
      <c r="Z1979" s="56" t="s">
        <v>55</v>
      </c>
      <c r="AA1979" s="14" t="s">
        <v>1461</v>
      </c>
      <c r="AB1979" s="14" t="s">
        <v>238</v>
      </c>
    </row>
    <row r="1980" spans="1:28" ht="23.1" customHeight="1" x14ac:dyDescent="0.25">
      <c r="A1980" s="53" t="s">
        <v>1489</v>
      </c>
      <c r="B1980" s="10" t="s">
        <v>137</v>
      </c>
      <c r="C1980" s="10">
        <v>59</v>
      </c>
      <c r="D1980" s="25" t="s">
        <v>2551</v>
      </c>
      <c r="E1980" s="41" t="s">
        <v>1516</v>
      </c>
      <c r="F1980" s="41" t="e">
        <v>#N/A</v>
      </c>
      <c r="G1980" s="21" t="str">
        <f>VLOOKUP(D1980,[6]成飞半成品!$A:$B,2,0)</f>
        <v>工装</v>
      </c>
      <c r="H1980" s="10" t="s">
        <v>102</v>
      </c>
      <c r="I1980" s="10">
        <v>15</v>
      </c>
      <c r="L1980" s="10">
        <v>1</v>
      </c>
      <c r="M1980" s="14">
        <v>31</v>
      </c>
      <c r="N1980" s="14"/>
      <c r="O1980" s="55" t="s">
        <v>108</v>
      </c>
      <c r="W1980" s="14">
        <v>1</v>
      </c>
      <c r="X1980" s="14">
        <v>5</v>
      </c>
      <c r="Y1980" s="79">
        <v>5</v>
      </c>
      <c r="Z1980" s="56" t="s">
        <v>42</v>
      </c>
      <c r="AA1980" s="14" t="s">
        <v>1502</v>
      </c>
      <c r="AB1980" s="14" t="s">
        <v>238</v>
      </c>
    </row>
    <row r="1981" spans="1:28" ht="23.1" customHeight="1" x14ac:dyDescent="0.25">
      <c r="A1981" s="53" t="s">
        <v>1489</v>
      </c>
      <c r="B1981" s="10" t="s">
        <v>137</v>
      </c>
      <c r="C1981" s="10">
        <v>59</v>
      </c>
      <c r="D1981" s="10" t="s">
        <v>1428</v>
      </c>
      <c r="E1981" s="41" t="s">
        <v>1452</v>
      </c>
      <c r="F1981" s="41" t="s">
        <v>1452</v>
      </c>
      <c r="G1981" s="21" t="str">
        <f>VLOOKUP(D1981,[6]成飞半成品!$A:$B,2,0)</f>
        <v>加强梁</v>
      </c>
      <c r="H1981" s="10" t="s">
        <v>102</v>
      </c>
      <c r="I1981" s="10">
        <v>30</v>
      </c>
      <c r="J1981" s="10" t="s">
        <v>1990</v>
      </c>
      <c r="L1981" s="10">
        <v>0.2</v>
      </c>
      <c r="M1981" s="14">
        <v>26</v>
      </c>
      <c r="N1981" s="14"/>
      <c r="O1981" s="55" t="s">
        <v>596</v>
      </c>
      <c r="Q1981" s="10">
        <v>80</v>
      </c>
      <c r="U1981" s="10">
        <v>60</v>
      </c>
      <c r="W1981" s="14"/>
      <c r="Y1981" s="79">
        <v>0.3</v>
      </c>
      <c r="Z1981" s="56" t="s">
        <v>42</v>
      </c>
      <c r="AA1981" s="14" t="s">
        <v>1269</v>
      </c>
      <c r="AB1981" s="14" t="s">
        <v>238</v>
      </c>
    </row>
    <row r="1982" spans="1:28" ht="23.1" customHeight="1" x14ac:dyDescent="0.25">
      <c r="A1982" s="53" t="s">
        <v>1489</v>
      </c>
      <c r="B1982" s="10" t="s">
        <v>137</v>
      </c>
      <c r="C1982" s="10">
        <v>11</v>
      </c>
      <c r="D1982" s="25" t="s">
        <v>2551</v>
      </c>
      <c r="E1982" s="41" t="s">
        <v>1499</v>
      </c>
      <c r="F1982" s="41" t="e">
        <v>#N/A</v>
      </c>
      <c r="G1982" s="21" t="str">
        <f>VLOOKUP(D1982,[6]成飞半成品!$A:$B,2,0)</f>
        <v>工装</v>
      </c>
      <c r="H1982" s="10" t="s">
        <v>102</v>
      </c>
      <c r="I1982" s="10">
        <v>20</v>
      </c>
      <c r="L1982" s="10">
        <v>1</v>
      </c>
      <c r="M1982" s="14">
        <v>31</v>
      </c>
      <c r="N1982" s="14"/>
      <c r="O1982" s="55" t="s">
        <v>108</v>
      </c>
      <c r="W1982" s="14">
        <v>1</v>
      </c>
      <c r="X1982" s="14">
        <v>6</v>
      </c>
      <c r="Y1982" s="79">
        <v>6</v>
      </c>
      <c r="Z1982" s="56" t="s">
        <v>38</v>
      </c>
    </row>
    <row r="1983" spans="1:28" ht="23.1" customHeight="1" x14ac:dyDescent="0.25">
      <c r="A1983" s="53" t="s">
        <v>1489</v>
      </c>
      <c r="B1983" s="10" t="s">
        <v>137</v>
      </c>
      <c r="C1983" s="10">
        <v>11</v>
      </c>
      <c r="D1983" s="25" t="s">
        <v>2551</v>
      </c>
      <c r="E1983" s="41" t="s">
        <v>1529</v>
      </c>
      <c r="F1983" s="41" t="e">
        <v>#N/A</v>
      </c>
      <c r="G1983" s="21" t="str">
        <f>VLOOKUP(D1983,[6]成飞半成品!$A:$B,2,0)</f>
        <v>工装</v>
      </c>
      <c r="H1983" s="10" t="s">
        <v>102</v>
      </c>
      <c r="I1983" s="10">
        <v>10</v>
      </c>
      <c r="L1983" s="10">
        <v>1</v>
      </c>
      <c r="M1983" s="14">
        <v>37</v>
      </c>
      <c r="N1983" s="14">
        <v>37</v>
      </c>
      <c r="O1983" s="55" t="s">
        <v>108</v>
      </c>
      <c r="W1983" s="14">
        <v>1</v>
      </c>
      <c r="X1983" s="14">
        <v>6</v>
      </c>
      <c r="Y1983" s="79">
        <v>6</v>
      </c>
      <c r="Z1983" s="56" t="s">
        <v>38</v>
      </c>
    </row>
    <row r="1984" spans="1:28" ht="23.1" customHeight="1" x14ac:dyDescent="0.25">
      <c r="A1984" s="53" t="s">
        <v>1489</v>
      </c>
      <c r="B1984" s="10" t="s">
        <v>137</v>
      </c>
      <c r="C1984" s="10">
        <v>18</v>
      </c>
      <c r="D1984" s="10" t="s">
        <v>921</v>
      </c>
      <c r="E1984" s="41" t="s">
        <v>919</v>
      </c>
      <c r="F1984" s="41" t="s">
        <v>919</v>
      </c>
      <c r="G1984" s="21" t="str">
        <f>VLOOKUP(D1984,[6]成飞半成品!$A:$B,2,0)</f>
        <v>雷达罩锁支座</v>
      </c>
      <c r="H1984" s="10" t="s">
        <v>323</v>
      </c>
      <c r="I1984" s="10">
        <v>25</v>
      </c>
      <c r="J1984" s="10" t="s">
        <v>2149</v>
      </c>
      <c r="L1984" s="10">
        <v>2</v>
      </c>
      <c r="M1984" s="14">
        <v>28</v>
      </c>
      <c r="N1984" s="14">
        <v>28</v>
      </c>
      <c r="O1984" s="55" t="s">
        <v>860</v>
      </c>
      <c r="Q1984" s="10">
        <v>220</v>
      </c>
      <c r="U1984" s="10">
        <v>90</v>
      </c>
      <c r="W1984" s="14"/>
      <c r="Y1984" s="79">
        <v>7.3</v>
      </c>
      <c r="Z1984" s="56" t="s">
        <v>43</v>
      </c>
    </row>
    <row r="1985" spans="1:28" ht="23.1" customHeight="1" x14ac:dyDescent="0.25">
      <c r="A1985" s="53" t="s">
        <v>1489</v>
      </c>
      <c r="B1985" s="10" t="s">
        <v>137</v>
      </c>
      <c r="C1985" s="10">
        <v>18</v>
      </c>
      <c r="D1985" s="10" t="s">
        <v>1030</v>
      </c>
      <c r="E1985" s="41" t="s">
        <v>919</v>
      </c>
      <c r="F1985" s="41" t="s">
        <v>919</v>
      </c>
      <c r="G1985" s="21" t="str">
        <f>VLOOKUP(D1985,[6]成飞半成品!$A:$B,2,0)</f>
        <v>雷达罩锁支座</v>
      </c>
      <c r="H1985" s="10" t="s">
        <v>323</v>
      </c>
      <c r="I1985" s="10">
        <v>25</v>
      </c>
      <c r="J1985" s="10" t="s">
        <v>2391</v>
      </c>
      <c r="L1985" s="10">
        <v>2</v>
      </c>
      <c r="M1985" s="14">
        <v>28</v>
      </c>
      <c r="N1985" s="14">
        <v>31</v>
      </c>
      <c r="O1985" s="55" t="s">
        <v>778</v>
      </c>
      <c r="Q1985" s="10">
        <v>220</v>
      </c>
      <c r="U1985" s="10">
        <v>90</v>
      </c>
      <c r="W1985" s="14">
        <v>1</v>
      </c>
      <c r="Y1985" s="79">
        <v>8.8000000000000007</v>
      </c>
      <c r="Z1985" s="56" t="s">
        <v>43</v>
      </c>
    </row>
    <row r="1986" spans="1:28" ht="23.1" customHeight="1" x14ac:dyDescent="0.25">
      <c r="A1986" s="53" t="s">
        <v>1489</v>
      </c>
      <c r="B1986" s="10" t="s">
        <v>113</v>
      </c>
      <c r="C1986" s="10">
        <v>12</v>
      </c>
      <c r="D1986" s="10" t="s">
        <v>248</v>
      </c>
      <c r="E1986" s="41" t="s">
        <v>249</v>
      </c>
      <c r="F1986" s="41" t="s">
        <v>249</v>
      </c>
      <c r="G1986" s="21" t="str">
        <f>VLOOKUP(D1986,[6]成飞半成品!$A:$B,2,0)</f>
        <v>10060下接头</v>
      </c>
      <c r="H1986" s="10" t="s">
        <v>250</v>
      </c>
      <c r="I1986" s="10">
        <v>15</v>
      </c>
      <c r="J1986" s="10" t="s">
        <v>1903</v>
      </c>
      <c r="K1986" s="10">
        <v>1.5</v>
      </c>
      <c r="L1986" s="10">
        <v>1.5</v>
      </c>
      <c r="M1986" s="14">
        <v>28</v>
      </c>
      <c r="N1986" s="14">
        <v>28</v>
      </c>
      <c r="O1986" s="55" t="s">
        <v>1530</v>
      </c>
      <c r="Q1986" s="10">
        <v>600</v>
      </c>
      <c r="U1986" s="10">
        <v>120</v>
      </c>
      <c r="W1986" s="14"/>
      <c r="Y1986" s="79">
        <v>15</v>
      </c>
      <c r="Z1986" s="56" t="s">
        <v>10</v>
      </c>
    </row>
    <row r="1987" spans="1:28" ht="23.1" customHeight="1" x14ac:dyDescent="0.25">
      <c r="A1987" s="53" t="s">
        <v>1489</v>
      </c>
      <c r="B1987" s="10" t="s">
        <v>113</v>
      </c>
      <c r="C1987" s="10">
        <v>69</v>
      </c>
      <c r="D1987" s="10" t="s">
        <v>484</v>
      </c>
      <c r="E1987" s="41" t="s">
        <v>485</v>
      </c>
      <c r="F1987" s="41" t="s">
        <v>485</v>
      </c>
      <c r="G1987" s="21" t="str">
        <f>VLOOKUP(D1987,[6]成飞半成品!$A:$B,2,0)</f>
        <v>8635左隔框</v>
      </c>
      <c r="H1987" s="10" t="s">
        <v>300</v>
      </c>
      <c r="I1987" s="10">
        <v>30</v>
      </c>
      <c r="J1987" s="10" t="s">
        <v>2392</v>
      </c>
      <c r="K1987" s="10">
        <v>0.6</v>
      </c>
      <c r="L1987" s="10">
        <v>0.8</v>
      </c>
      <c r="M1987" s="14">
        <v>28</v>
      </c>
      <c r="N1987" s="14"/>
      <c r="O1987" s="55" t="s">
        <v>456</v>
      </c>
      <c r="Q1987" s="10">
        <v>960</v>
      </c>
      <c r="R1987" s="10">
        <v>120</v>
      </c>
      <c r="U1987" s="10">
        <v>180</v>
      </c>
      <c r="W1987" s="14"/>
      <c r="Y1987" s="79">
        <v>12.8</v>
      </c>
      <c r="Z1987" s="56" t="s">
        <v>25</v>
      </c>
    </row>
    <row r="1988" spans="1:28" ht="23.1" customHeight="1" x14ac:dyDescent="0.25">
      <c r="A1988" s="53" t="s">
        <v>1489</v>
      </c>
      <c r="B1988" s="10" t="s">
        <v>113</v>
      </c>
      <c r="C1988" s="10">
        <v>69</v>
      </c>
      <c r="D1988" s="10" t="s">
        <v>484</v>
      </c>
      <c r="E1988" s="41" t="s">
        <v>485</v>
      </c>
      <c r="F1988" s="41" t="s">
        <v>485</v>
      </c>
      <c r="G1988" s="21" t="str">
        <f>VLOOKUP(D1988,[6]成飞半成品!$A:$B,2,0)</f>
        <v>8635左隔框</v>
      </c>
      <c r="H1988" s="10" t="s">
        <v>300</v>
      </c>
      <c r="I1988" s="10">
        <v>32</v>
      </c>
      <c r="L1988" s="10">
        <v>1</v>
      </c>
      <c r="M1988" s="14">
        <v>28</v>
      </c>
      <c r="N1988" s="14"/>
      <c r="O1988" s="55" t="s">
        <v>456</v>
      </c>
      <c r="P1988" s="10">
        <v>150</v>
      </c>
      <c r="S1988" s="10">
        <v>120</v>
      </c>
      <c r="T1988" s="10">
        <v>1</v>
      </c>
      <c r="V1988" s="10">
        <v>180</v>
      </c>
      <c r="W1988" s="14">
        <v>1</v>
      </c>
      <c r="Y1988" s="83">
        <v>7.5</v>
      </c>
      <c r="Z1988" s="56" t="s">
        <v>25</v>
      </c>
    </row>
    <row r="1989" spans="1:28" ht="23.1" customHeight="1" x14ac:dyDescent="0.25">
      <c r="A1989" s="53" t="s">
        <v>1489</v>
      </c>
      <c r="B1989" s="10" t="s">
        <v>113</v>
      </c>
      <c r="C1989" s="10">
        <v>91</v>
      </c>
      <c r="D1989" s="10" t="s">
        <v>254</v>
      </c>
      <c r="E1989" s="41" t="s">
        <v>1016</v>
      </c>
      <c r="F1989" s="41" t="s">
        <v>1016</v>
      </c>
      <c r="G1989" s="21" t="str">
        <f>VLOOKUP(D1989,[6]成飞半成品!$A:$B,2,0)</f>
        <v>9350-11140右侧上梁</v>
      </c>
      <c r="H1989" s="10" t="s">
        <v>375</v>
      </c>
      <c r="I1989" s="10">
        <v>40</v>
      </c>
      <c r="J1989" s="10" t="s">
        <v>2110</v>
      </c>
      <c r="K1989" s="10">
        <v>0.3</v>
      </c>
      <c r="L1989" s="10">
        <v>0.3</v>
      </c>
      <c r="M1989" s="14">
        <v>28</v>
      </c>
      <c r="N1989" s="14"/>
      <c r="O1989" s="55" t="s">
        <v>475</v>
      </c>
      <c r="Q1989" s="10">
        <v>3000</v>
      </c>
      <c r="R1989" s="10">
        <v>90</v>
      </c>
      <c r="U1989" s="10">
        <v>120</v>
      </c>
      <c r="W1989" s="14"/>
      <c r="Y1989" s="79">
        <v>15</v>
      </c>
      <c r="Z1989" s="56" t="s">
        <v>25</v>
      </c>
    </row>
    <row r="1990" spans="1:28" ht="23.1" customHeight="1" x14ac:dyDescent="0.25">
      <c r="A1990" s="53" t="s">
        <v>1489</v>
      </c>
      <c r="B1990" s="10" t="s">
        <v>113</v>
      </c>
      <c r="C1990" s="10">
        <v>119</v>
      </c>
      <c r="D1990" s="10" t="s">
        <v>1097</v>
      </c>
      <c r="E1990" s="41" t="s">
        <v>1098</v>
      </c>
      <c r="F1990" s="41" t="s">
        <v>1098</v>
      </c>
      <c r="G1990" s="21" t="str">
        <f>VLOOKUP(D1990,[6]成飞半成品!$A:$B,2,0)</f>
        <v>根肋一段</v>
      </c>
      <c r="H1990" s="10" t="s">
        <v>250</v>
      </c>
      <c r="I1990" s="10">
        <v>55</v>
      </c>
      <c r="J1990" s="10" t="s">
        <v>2276</v>
      </c>
      <c r="K1990" s="10">
        <v>2</v>
      </c>
      <c r="L1990" s="10">
        <v>1.8</v>
      </c>
      <c r="M1990" s="14">
        <v>28</v>
      </c>
      <c r="N1990" s="14">
        <v>31</v>
      </c>
      <c r="O1990" s="55" t="s">
        <v>1531</v>
      </c>
      <c r="Q1990" s="10">
        <v>540</v>
      </c>
      <c r="R1990" s="10">
        <v>60</v>
      </c>
      <c r="T1990" s="10">
        <v>1</v>
      </c>
      <c r="U1990" s="10">
        <v>90</v>
      </c>
      <c r="W1990" s="14"/>
      <c r="Y1990" s="79">
        <v>17.2</v>
      </c>
      <c r="Z1990" s="56" t="s">
        <v>25</v>
      </c>
    </row>
    <row r="1991" spans="1:28" ht="23.1" customHeight="1" x14ac:dyDescent="0.25">
      <c r="A1991" s="53" t="s">
        <v>1489</v>
      </c>
      <c r="B1991" s="10" t="s">
        <v>113</v>
      </c>
      <c r="C1991" s="10">
        <v>121</v>
      </c>
      <c r="D1991" s="10" t="s">
        <v>288</v>
      </c>
      <c r="E1991" s="41" t="s">
        <v>1532</v>
      </c>
      <c r="F1991" s="41" t="s">
        <v>1532</v>
      </c>
      <c r="G1991" s="21" t="str">
        <f>VLOOKUP(D1991,[6]成飞半成品!$A:$B,2,0)</f>
        <v>9350-11140左侧上梁</v>
      </c>
      <c r="H1991" s="10" t="s">
        <v>250</v>
      </c>
      <c r="I1991" s="10">
        <v>50</v>
      </c>
      <c r="J1991" s="10" t="s">
        <v>2021</v>
      </c>
      <c r="K1991" s="10">
        <v>0.3</v>
      </c>
      <c r="L1991" s="10">
        <v>0.3</v>
      </c>
      <c r="M1991" s="14">
        <v>28</v>
      </c>
      <c r="N1991" s="14"/>
      <c r="O1991" s="55" t="s">
        <v>155</v>
      </c>
      <c r="Q1991" s="10">
        <v>3000</v>
      </c>
      <c r="R1991" s="10">
        <v>90</v>
      </c>
      <c r="U1991" s="10">
        <v>150</v>
      </c>
      <c r="W1991" s="14"/>
      <c r="Y1991" s="79">
        <v>15</v>
      </c>
      <c r="Z1991" s="56" t="s">
        <v>25</v>
      </c>
    </row>
    <row r="1992" spans="1:28" ht="23.1" customHeight="1" x14ac:dyDescent="0.25">
      <c r="A1992" s="53" t="s">
        <v>1489</v>
      </c>
      <c r="B1992" s="10" t="s">
        <v>113</v>
      </c>
      <c r="C1992" s="10">
        <v>24</v>
      </c>
      <c r="D1992" s="10" t="s">
        <v>776</v>
      </c>
      <c r="E1992" s="41" t="s">
        <v>777</v>
      </c>
      <c r="F1992" s="41" t="s">
        <v>777</v>
      </c>
      <c r="G1992" s="21" t="str">
        <f>VLOOKUP(D1992,[6]成飞半成品!$A:$B,2,0)</f>
        <v>BL280侧壁（左件）</v>
      </c>
      <c r="H1992" s="10" t="s">
        <v>107</v>
      </c>
      <c r="I1992" s="10">
        <v>25</v>
      </c>
      <c r="J1992" s="10" t="s">
        <v>2035</v>
      </c>
      <c r="L1992" s="10">
        <v>0.5</v>
      </c>
      <c r="M1992" s="14">
        <v>28</v>
      </c>
      <c r="N1992" s="14"/>
      <c r="O1992" s="55" t="s">
        <v>684</v>
      </c>
      <c r="Q1992" s="10">
        <v>840</v>
      </c>
      <c r="R1992" s="10">
        <v>120</v>
      </c>
      <c r="U1992" s="10">
        <v>150</v>
      </c>
      <c r="W1992" s="14"/>
      <c r="X1992" s="14">
        <v>6.5</v>
      </c>
      <c r="Y1992" s="79">
        <v>13.5</v>
      </c>
      <c r="Z1992" s="56" t="s">
        <v>25</v>
      </c>
      <c r="AA1992" s="88" t="s">
        <v>1533</v>
      </c>
    </row>
    <row r="1993" spans="1:28" ht="23.1" customHeight="1" x14ac:dyDescent="0.25">
      <c r="A1993" s="53" t="s">
        <v>1489</v>
      </c>
      <c r="B1993" s="10" t="s">
        <v>113</v>
      </c>
      <c r="C1993" s="10">
        <v>84</v>
      </c>
      <c r="D1993" s="10" t="s">
        <v>1047</v>
      </c>
      <c r="E1993" s="41" t="s">
        <v>424</v>
      </c>
      <c r="F1993" s="41" t="s">
        <v>424</v>
      </c>
      <c r="G1993" s="21" t="str">
        <f>VLOOKUP(D1993,[6]成飞半成品!$A:$B,2,0)</f>
        <v>后梁四段</v>
      </c>
      <c r="H1993" s="10" t="s">
        <v>107</v>
      </c>
      <c r="I1993" s="10">
        <v>40</v>
      </c>
      <c r="J1993" s="10" t="s">
        <v>2096</v>
      </c>
      <c r="M1993" s="14">
        <v>28</v>
      </c>
      <c r="N1993" s="14"/>
      <c r="O1993" s="55" t="s">
        <v>1440</v>
      </c>
      <c r="Q1993" s="10">
        <v>360</v>
      </c>
      <c r="R1993" s="10">
        <v>30</v>
      </c>
      <c r="U1993" s="10">
        <v>120</v>
      </c>
      <c r="W1993" s="14"/>
      <c r="X1993" s="14">
        <v>10.4</v>
      </c>
      <c r="Y1993" s="79">
        <v>10.4</v>
      </c>
      <c r="Z1993" s="56" t="s">
        <v>25</v>
      </c>
      <c r="AA1993" s="14" t="s">
        <v>1534</v>
      </c>
    </row>
    <row r="1994" spans="1:28" ht="23.1" customHeight="1" x14ac:dyDescent="0.25">
      <c r="A1994" s="53" t="s">
        <v>1489</v>
      </c>
      <c r="B1994" s="10" t="s">
        <v>113</v>
      </c>
      <c r="C1994" s="10">
        <v>16</v>
      </c>
      <c r="D1994" s="10" t="s">
        <v>1535</v>
      </c>
      <c r="E1994" s="41" t="s">
        <v>1536</v>
      </c>
      <c r="F1994" s="41" t="s">
        <v>1536</v>
      </c>
      <c r="G1994" s="21" t="str">
        <f>VLOOKUP(D1994,[6]成飞半成品!$A:$B,2,0)</f>
        <v>第1隔板</v>
      </c>
      <c r="H1994" s="10" t="s">
        <v>123</v>
      </c>
      <c r="I1994" s="10">
        <v>20</v>
      </c>
      <c r="J1994" s="10" t="s">
        <v>2280</v>
      </c>
      <c r="L1994" s="10">
        <v>2.7</v>
      </c>
      <c r="M1994" s="14">
        <v>9</v>
      </c>
      <c r="N1994" s="14">
        <v>9</v>
      </c>
      <c r="O1994" s="55" t="s">
        <v>1440</v>
      </c>
      <c r="Q1994" s="10">
        <v>180</v>
      </c>
      <c r="U1994" s="10">
        <v>90</v>
      </c>
      <c r="W1994" s="14"/>
      <c r="Y1994" s="79">
        <v>8.1</v>
      </c>
      <c r="Z1994" s="56" t="s">
        <v>25</v>
      </c>
    </row>
    <row r="1995" spans="1:28" ht="23.1" customHeight="1" x14ac:dyDescent="0.25">
      <c r="A1995" s="53" t="s">
        <v>1489</v>
      </c>
      <c r="B1995" s="10" t="s">
        <v>113</v>
      </c>
      <c r="C1995" s="10">
        <v>108</v>
      </c>
      <c r="D1995" s="10" t="s">
        <v>886</v>
      </c>
      <c r="E1995" s="41" t="s">
        <v>887</v>
      </c>
      <c r="F1995" s="41" t="s">
        <v>887</v>
      </c>
      <c r="G1995" s="21" t="str">
        <f>VLOOKUP(D1995,[6]成飞半成品!$A:$B,2,0)</f>
        <v>外侧梁</v>
      </c>
      <c r="H1995" s="10" t="s">
        <v>154</v>
      </c>
      <c r="I1995" s="10">
        <v>55</v>
      </c>
      <c r="J1995" s="10" t="s">
        <v>2278</v>
      </c>
      <c r="K1995" s="10">
        <v>1</v>
      </c>
      <c r="L1995" s="10">
        <v>0.5</v>
      </c>
      <c r="M1995" s="14">
        <v>28</v>
      </c>
      <c r="N1995" s="14"/>
      <c r="O1995" s="55" t="s">
        <v>159</v>
      </c>
      <c r="Q1995" s="10">
        <v>1440</v>
      </c>
      <c r="R1995" s="10">
        <v>60</v>
      </c>
      <c r="U1995" s="10">
        <v>90</v>
      </c>
      <c r="W1995" s="14"/>
      <c r="Y1995" s="79">
        <v>12</v>
      </c>
      <c r="Z1995" s="56" t="s">
        <v>13</v>
      </c>
    </row>
    <row r="1996" spans="1:28" ht="23.1" customHeight="1" x14ac:dyDescent="0.25">
      <c r="A1996" s="53" t="s">
        <v>1489</v>
      </c>
      <c r="B1996" s="10" t="s">
        <v>113</v>
      </c>
      <c r="C1996" s="10">
        <v>108</v>
      </c>
      <c r="D1996" s="10" t="s">
        <v>886</v>
      </c>
      <c r="E1996" s="41" t="s">
        <v>887</v>
      </c>
      <c r="F1996" s="41" t="s">
        <v>887</v>
      </c>
      <c r="G1996" s="21" t="str">
        <f>VLOOKUP(D1996,[6]成飞半成品!$A:$B,2,0)</f>
        <v>外侧梁</v>
      </c>
      <c r="H1996" s="10" t="s">
        <v>154</v>
      </c>
      <c r="I1996" s="10">
        <v>65</v>
      </c>
      <c r="J1996" s="10" t="s">
        <v>2282</v>
      </c>
      <c r="K1996" s="10">
        <v>1</v>
      </c>
      <c r="L1996" s="10">
        <v>1</v>
      </c>
      <c r="M1996" s="14">
        <v>28</v>
      </c>
      <c r="N1996" s="14"/>
      <c r="O1996" s="55" t="s">
        <v>159</v>
      </c>
      <c r="Q1996" s="10">
        <v>90</v>
      </c>
      <c r="R1996" s="10">
        <v>60</v>
      </c>
      <c r="T1996" s="10">
        <v>1</v>
      </c>
      <c r="U1996" s="10">
        <v>90</v>
      </c>
      <c r="W1996" s="14">
        <v>1</v>
      </c>
      <c r="Y1996" s="79">
        <v>4</v>
      </c>
      <c r="Z1996" s="56" t="s">
        <v>13</v>
      </c>
    </row>
    <row r="1997" spans="1:28" ht="23.1" customHeight="1" x14ac:dyDescent="0.25">
      <c r="A1997" s="53" t="s">
        <v>1489</v>
      </c>
      <c r="B1997" s="10" t="s">
        <v>113</v>
      </c>
      <c r="C1997" s="10">
        <v>77</v>
      </c>
      <c r="D1997" s="10" t="s">
        <v>1465</v>
      </c>
      <c r="E1997" s="41" t="s">
        <v>1466</v>
      </c>
      <c r="F1997" s="41" t="s">
        <v>1466</v>
      </c>
      <c r="G1997" s="21" t="str">
        <f>VLOOKUP(D1997,[6]成飞半成品!$A:$B,2,0)</f>
        <v>扶手支座</v>
      </c>
      <c r="H1997" s="10" t="s">
        <v>102</v>
      </c>
      <c r="I1997" s="10">
        <v>25</v>
      </c>
      <c r="J1997" s="10" t="s">
        <v>2285</v>
      </c>
      <c r="K1997" s="10">
        <v>31</v>
      </c>
      <c r="L1997" s="10">
        <v>28</v>
      </c>
      <c r="M1997" s="14">
        <v>28</v>
      </c>
      <c r="N1997" s="14"/>
      <c r="O1997" s="55" t="s">
        <v>728</v>
      </c>
      <c r="Q1997" s="10">
        <v>30</v>
      </c>
      <c r="U1997" s="10">
        <v>60</v>
      </c>
      <c r="W1997" s="14"/>
      <c r="Y1997" s="79">
        <v>14</v>
      </c>
      <c r="Z1997" s="56" t="s">
        <v>24</v>
      </c>
    </row>
    <row r="1998" spans="1:28" ht="23.1" customHeight="1" x14ac:dyDescent="0.25">
      <c r="A1998" s="53" t="s">
        <v>1489</v>
      </c>
      <c r="B1998" s="10" t="s">
        <v>113</v>
      </c>
      <c r="C1998" s="10">
        <v>18</v>
      </c>
      <c r="D1998" s="10" t="s">
        <v>918</v>
      </c>
      <c r="E1998" s="41" t="s">
        <v>919</v>
      </c>
      <c r="F1998" s="41" t="s">
        <v>919</v>
      </c>
      <c r="G1998" s="21" t="str">
        <f>VLOOKUP(D1998,[6]成飞半成品!$A:$B,2,0)</f>
        <v>雷达罩锁支座</v>
      </c>
      <c r="H1998" s="10" t="s">
        <v>323</v>
      </c>
      <c r="I1998" s="10">
        <v>25</v>
      </c>
      <c r="J1998" s="10" t="s">
        <v>2149</v>
      </c>
      <c r="L1998" s="10">
        <v>3</v>
      </c>
      <c r="M1998" s="14">
        <v>31</v>
      </c>
      <c r="N1998" s="14">
        <v>31</v>
      </c>
      <c r="O1998" s="55" t="s">
        <v>778</v>
      </c>
      <c r="Q1998" s="10">
        <v>220</v>
      </c>
      <c r="U1998" s="10">
        <v>90</v>
      </c>
      <c r="W1998" s="14"/>
      <c r="Y1998" s="79">
        <v>11</v>
      </c>
      <c r="Z1998" s="56" t="s">
        <v>43</v>
      </c>
    </row>
    <row r="1999" spans="1:28" ht="23.1" customHeight="1" x14ac:dyDescent="0.25">
      <c r="A1999" s="53" t="s">
        <v>1489</v>
      </c>
      <c r="B1999" s="10" t="s">
        <v>113</v>
      </c>
      <c r="C1999" s="10">
        <v>59</v>
      </c>
      <c r="D1999" s="10" t="s">
        <v>1428</v>
      </c>
      <c r="E1999" s="41" t="s">
        <v>1452</v>
      </c>
      <c r="F1999" s="41" t="s">
        <v>1452</v>
      </c>
      <c r="G1999" s="21" t="str">
        <f>VLOOKUP(D1999,[6]成飞半成品!$A:$B,2,0)</f>
        <v>加强梁</v>
      </c>
      <c r="H1999" s="10" t="s">
        <v>102</v>
      </c>
      <c r="I1999" s="10">
        <v>30</v>
      </c>
      <c r="J1999" s="10" t="s">
        <v>1990</v>
      </c>
      <c r="L1999" s="10">
        <v>1.8</v>
      </c>
      <c r="M1999" s="14">
        <v>26</v>
      </c>
      <c r="N1999" s="14">
        <v>26</v>
      </c>
      <c r="O1999" s="55" t="s">
        <v>596</v>
      </c>
      <c r="Q1999" s="10">
        <v>80</v>
      </c>
      <c r="U1999" s="10">
        <v>60</v>
      </c>
      <c r="W1999" s="14"/>
      <c r="Y1999" s="79">
        <v>2.4</v>
      </c>
      <c r="Z1999" s="56" t="s">
        <v>6</v>
      </c>
      <c r="AA1999" s="14" t="s">
        <v>1537</v>
      </c>
    </row>
    <row r="2000" spans="1:28" ht="23.1" customHeight="1" x14ac:dyDescent="0.25">
      <c r="A2000" s="53" t="s">
        <v>1489</v>
      </c>
      <c r="B2000" s="10" t="s">
        <v>113</v>
      </c>
      <c r="C2000" s="10">
        <v>59</v>
      </c>
      <c r="D2000" s="10" t="s">
        <v>1428</v>
      </c>
      <c r="E2000" s="41" t="s">
        <v>1452</v>
      </c>
      <c r="F2000" s="41" t="s">
        <v>1452</v>
      </c>
      <c r="G2000" s="21" t="str">
        <f>VLOOKUP(D2000,[6]成飞半成品!$A:$B,2,0)</f>
        <v>加强梁</v>
      </c>
      <c r="H2000" s="10" t="s">
        <v>102</v>
      </c>
      <c r="I2000" s="10">
        <v>35</v>
      </c>
      <c r="J2000" s="10" t="s">
        <v>2288</v>
      </c>
      <c r="L2000" s="10">
        <v>2</v>
      </c>
      <c r="M2000" s="14">
        <v>28</v>
      </c>
      <c r="N2000" s="14">
        <v>28</v>
      </c>
      <c r="O2000" s="55" t="s">
        <v>596</v>
      </c>
      <c r="Q2000" s="10">
        <v>20</v>
      </c>
      <c r="U2000" s="10">
        <v>60</v>
      </c>
      <c r="W2000" s="14">
        <v>1</v>
      </c>
      <c r="X2000" s="14">
        <v>4</v>
      </c>
      <c r="Y2000" s="79">
        <v>5.7</v>
      </c>
      <c r="Z2000" s="56" t="s">
        <v>6</v>
      </c>
      <c r="AA2000" s="14" t="s">
        <v>1538</v>
      </c>
      <c r="AB2000" s="25" t="s">
        <v>238</v>
      </c>
    </row>
    <row r="2001" spans="1:28" ht="23.1" customHeight="1" x14ac:dyDescent="0.25">
      <c r="A2001" s="53" t="s">
        <v>1489</v>
      </c>
      <c r="B2001" s="10" t="s">
        <v>113</v>
      </c>
      <c r="C2001" s="10">
        <v>21</v>
      </c>
      <c r="D2001" s="10" t="s">
        <v>321</v>
      </c>
      <c r="E2001" s="41" t="s">
        <v>322</v>
      </c>
      <c r="F2001" s="41" t="s">
        <v>322</v>
      </c>
      <c r="G2001" s="21" t="str">
        <f>VLOOKUP(D2001,[6]成飞半成品!$A:$B,2,0)</f>
        <v>10860框</v>
      </c>
      <c r="H2001" s="10" t="s">
        <v>323</v>
      </c>
      <c r="I2001" s="10">
        <v>35</v>
      </c>
      <c r="J2001" s="10" t="s">
        <v>1925</v>
      </c>
      <c r="K2001" s="10">
        <v>1</v>
      </c>
      <c r="L2001" s="10">
        <v>1.5</v>
      </c>
      <c r="M2001" s="14">
        <v>37</v>
      </c>
      <c r="N2001" s="14">
        <v>28</v>
      </c>
      <c r="O2001" s="55" t="s">
        <v>1500</v>
      </c>
      <c r="Q2001" s="10">
        <v>480</v>
      </c>
      <c r="R2001" s="10">
        <v>120</v>
      </c>
      <c r="T2001" s="10">
        <v>1</v>
      </c>
      <c r="U2001" s="10">
        <v>180</v>
      </c>
      <c r="W2001" s="14"/>
      <c r="Y2001" s="79">
        <v>14</v>
      </c>
      <c r="Z2001" s="56" t="s">
        <v>49</v>
      </c>
    </row>
    <row r="2002" spans="1:28" ht="23.1" customHeight="1" x14ac:dyDescent="0.25">
      <c r="A2002" s="53" t="s">
        <v>1489</v>
      </c>
      <c r="B2002" s="10" t="s">
        <v>113</v>
      </c>
      <c r="C2002" s="10">
        <v>15</v>
      </c>
      <c r="D2002" s="10" t="s">
        <v>1255</v>
      </c>
      <c r="E2002" s="41" t="s">
        <v>117</v>
      </c>
      <c r="F2002" s="41" t="s">
        <v>117</v>
      </c>
      <c r="G2002" s="21" t="str">
        <f>VLOOKUP(D2002,[6]成飞半成品!$A:$B,2,0)</f>
        <v>7820~8270侧上梁</v>
      </c>
      <c r="H2002" s="10" t="s">
        <v>300</v>
      </c>
      <c r="I2002" s="10">
        <v>10</v>
      </c>
      <c r="J2002" s="10" t="s">
        <v>1867</v>
      </c>
      <c r="K2002" s="10">
        <v>1</v>
      </c>
      <c r="L2002" s="10">
        <v>10</v>
      </c>
      <c r="M2002" s="14">
        <v>31</v>
      </c>
      <c r="N2002" s="14">
        <v>28</v>
      </c>
      <c r="O2002" s="55" t="s">
        <v>1517</v>
      </c>
      <c r="Q2002" s="10">
        <v>100</v>
      </c>
      <c r="U2002" s="10">
        <v>90</v>
      </c>
      <c r="W2002" s="14">
        <v>1</v>
      </c>
      <c r="X2002" s="14">
        <v>24</v>
      </c>
      <c r="Y2002" s="79">
        <v>42.2</v>
      </c>
      <c r="Z2002" s="56" t="s">
        <v>60</v>
      </c>
      <c r="AA2002" s="14" t="s">
        <v>1376</v>
      </c>
      <c r="AB2002" s="25" t="s">
        <v>238</v>
      </c>
    </row>
    <row r="2003" spans="1:28" ht="23.1" customHeight="1" x14ac:dyDescent="0.25">
      <c r="A2003" s="53" t="s">
        <v>1489</v>
      </c>
      <c r="B2003" s="10" t="s">
        <v>113</v>
      </c>
      <c r="C2003" s="10">
        <v>76</v>
      </c>
      <c r="D2003" s="10" t="s">
        <v>1433</v>
      </c>
      <c r="E2003" s="41" t="s">
        <v>1384</v>
      </c>
      <c r="F2003" s="41" t="s">
        <v>1384</v>
      </c>
      <c r="G2003" s="21" t="str">
        <f>VLOOKUP(D2003,[6]成飞半成品!$A:$B,2,0)</f>
        <v>角材</v>
      </c>
      <c r="H2003" s="10" t="s">
        <v>154</v>
      </c>
      <c r="I2003" s="10">
        <v>10</v>
      </c>
      <c r="J2003" s="10" t="s">
        <v>2241</v>
      </c>
      <c r="K2003" s="10">
        <v>22</v>
      </c>
      <c r="L2003" s="10">
        <v>22</v>
      </c>
      <c r="M2003" s="14">
        <v>28</v>
      </c>
      <c r="N2003" s="14">
        <v>28</v>
      </c>
      <c r="O2003" s="55" t="s">
        <v>410</v>
      </c>
      <c r="Q2003" s="10">
        <v>30</v>
      </c>
      <c r="U2003" s="10">
        <v>60</v>
      </c>
      <c r="W2003" s="14"/>
      <c r="Y2003" s="79">
        <v>11</v>
      </c>
      <c r="Z2003" s="56" t="s">
        <v>12</v>
      </c>
    </row>
    <row r="2004" spans="1:28" ht="23.1" customHeight="1" x14ac:dyDescent="0.25">
      <c r="A2004" s="53" t="s">
        <v>1489</v>
      </c>
      <c r="B2004" s="10" t="s">
        <v>113</v>
      </c>
      <c r="C2004" s="10">
        <v>9</v>
      </c>
      <c r="D2004" s="10" t="s">
        <v>1539</v>
      </c>
      <c r="E2004" s="41" t="s">
        <v>409</v>
      </c>
      <c r="F2004" s="41" t="s">
        <v>409</v>
      </c>
      <c r="G2004" s="21" t="str">
        <f>VLOOKUP(D2004,[6]成飞半成品!$A:$B,2,0)</f>
        <v>接头</v>
      </c>
      <c r="H2004" s="10" t="s">
        <v>375</v>
      </c>
      <c r="I2004" s="10">
        <v>10</v>
      </c>
      <c r="J2004" s="10" t="s">
        <v>2483</v>
      </c>
      <c r="L2004" s="10">
        <v>22</v>
      </c>
      <c r="M2004" s="14">
        <v>26</v>
      </c>
      <c r="N2004" s="14">
        <v>26</v>
      </c>
      <c r="O2004" s="55" t="s">
        <v>282</v>
      </c>
      <c r="Q2004" s="10">
        <v>30</v>
      </c>
      <c r="U2004" s="10">
        <v>90</v>
      </c>
      <c r="W2004" s="14">
        <v>1</v>
      </c>
      <c r="X2004" s="14">
        <v>2</v>
      </c>
      <c r="Y2004" s="79">
        <v>14.5</v>
      </c>
      <c r="Z2004" s="56" t="s">
        <v>23</v>
      </c>
      <c r="AA2004" s="14" t="s">
        <v>1540</v>
      </c>
      <c r="AB2004" s="25" t="s">
        <v>238</v>
      </c>
    </row>
    <row r="2005" spans="1:28" ht="23.1" customHeight="1" x14ac:dyDescent="0.25">
      <c r="A2005" s="53" t="s">
        <v>1489</v>
      </c>
      <c r="B2005" s="10" t="s">
        <v>113</v>
      </c>
      <c r="C2005" s="10">
        <v>79</v>
      </c>
      <c r="D2005" s="10" t="s">
        <v>420</v>
      </c>
      <c r="E2005" s="41" t="s">
        <v>1247</v>
      </c>
      <c r="F2005" s="41" t="s">
        <v>1247</v>
      </c>
      <c r="G2005" s="21" t="str">
        <f>VLOOKUP(D2005,[6]成飞半成品!$A:$B,2,0)</f>
        <v>根肋前段</v>
      </c>
      <c r="H2005" s="10" t="s">
        <v>154</v>
      </c>
      <c r="I2005" s="10">
        <v>25</v>
      </c>
      <c r="J2005" s="10" t="s">
        <v>2017</v>
      </c>
      <c r="L2005" s="10">
        <v>1</v>
      </c>
      <c r="M2005" s="14">
        <v>26</v>
      </c>
      <c r="N2005" s="14"/>
      <c r="O2005" s="55" t="s">
        <v>421</v>
      </c>
      <c r="Q2005" s="10">
        <v>1260</v>
      </c>
      <c r="R2005" s="10">
        <v>90</v>
      </c>
      <c r="T2005" s="10">
        <v>1</v>
      </c>
      <c r="U2005" s="10">
        <v>120</v>
      </c>
      <c r="W2005" s="14"/>
      <c r="Y2005" s="79">
        <v>22.5</v>
      </c>
      <c r="Z2005" s="56" t="s">
        <v>5</v>
      </c>
    </row>
    <row r="2006" spans="1:28" ht="23.1" customHeight="1" x14ac:dyDescent="0.25">
      <c r="A2006" s="53" t="s">
        <v>1489</v>
      </c>
      <c r="B2006" s="10" t="s">
        <v>113</v>
      </c>
      <c r="C2006" s="10">
        <v>13</v>
      </c>
      <c r="D2006" s="10" t="s">
        <v>1541</v>
      </c>
      <c r="E2006" s="41" t="s">
        <v>1040</v>
      </c>
      <c r="F2006" s="41" t="s">
        <v>1040</v>
      </c>
      <c r="G2006" s="21" t="str">
        <f>VLOOKUP(D2006,[6]成飞半成品!$A:$B,2,0)</f>
        <v>底部连接接头</v>
      </c>
      <c r="H2006" s="10" t="s">
        <v>102</v>
      </c>
      <c r="I2006" s="10">
        <v>5</v>
      </c>
      <c r="J2006" s="10" t="s">
        <v>1957</v>
      </c>
      <c r="K2006" s="10">
        <v>8</v>
      </c>
      <c r="L2006" s="10">
        <v>8</v>
      </c>
      <c r="M2006" s="14">
        <v>28</v>
      </c>
      <c r="N2006" s="14">
        <v>28</v>
      </c>
      <c r="O2006" s="55" t="s">
        <v>596</v>
      </c>
      <c r="Q2006" s="10">
        <v>40</v>
      </c>
      <c r="U2006" s="10">
        <v>60</v>
      </c>
      <c r="W2006" s="14">
        <v>1</v>
      </c>
      <c r="X2006" s="14">
        <v>2</v>
      </c>
      <c r="Y2006" s="79">
        <v>8.3000000000000007</v>
      </c>
      <c r="Z2006" s="56" t="s">
        <v>10</v>
      </c>
      <c r="AA2006" s="14" t="s">
        <v>1542</v>
      </c>
      <c r="AB2006" s="25" t="s">
        <v>238</v>
      </c>
    </row>
    <row r="2007" spans="1:28" ht="23.1" customHeight="1" x14ac:dyDescent="0.25">
      <c r="A2007" s="53" t="s">
        <v>1489</v>
      </c>
      <c r="B2007" s="10" t="s">
        <v>113</v>
      </c>
      <c r="C2007" s="10">
        <v>13</v>
      </c>
      <c r="D2007" s="10" t="s">
        <v>1541</v>
      </c>
      <c r="E2007" s="41" t="s">
        <v>1040</v>
      </c>
      <c r="F2007" s="41" t="s">
        <v>1040</v>
      </c>
      <c r="G2007" s="21" t="str">
        <f>VLOOKUP(D2007,[6]成飞半成品!$A:$B,2,0)</f>
        <v>底部连接接头</v>
      </c>
      <c r="H2007" s="10" t="s">
        <v>102</v>
      </c>
      <c r="I2007" s="10">
        <v>10</v>
      </c>
      <c r="J2007" s="10" t="s">
        <v>2226</v>
      </c>
      <c r="K2007" s="10">
        <v>8</v>
      </c>
      <c r="L2007" s="10">
        <v>8</v>
      </c>
      <c r="M2007" s="14">
        <v>28</v>
      </c>
      <c r="N2007" s="14">
        <v>26</v>
      </c>
      <c r="O2007" s="55" t="s">
        <v>596</v>
      </c>
      <c r="Q2007" s="10">
        <v>60</v>
      </c>
      <c r="U2007" s="10">
        <v>90</v>
      </c>
      <c r="W2007" s="14">
        <v>1</v>
      </c>
      <c r="X2007" s="14">
        <v>2</v>
      </c>
      <c r="Y2007" s="79">
        <v>11.5</v>
      </c>
      <c r="Z2007" s="56" t="s">
        <v>10</v>
      </c>
      <c r="AA2007" s="14" t="s">
        <v>1540</v>
      </c>
      <c r="AB2007" s="25" t="s">
        <v>238</v>
      </c>
    </row>
    <row r="2008" spans="1:28" ht="23.1" customHeight="1" x14ac:dyDescent="0.25">
      <c r="A2008" s="53" t="s">
        <v>1489</v>
      </c>
      <c r="B2008" s="10" t="s">
        <v>113</v>
      </c>
      <c r="C2008" s="10">
        <v>22</v>
      </c>
      <c r="D2008" s="10" t="s">
        <v>611</v>
      </c>
      <c r="E2008" s="41" t="s">
        <v>612</v>
      </c>
      <c r="F2008" s="41" t="s">
        <v>612</v>
      </c>
      <c r="G2008" s="21" t="str">
        <f>VLOOKUP(D2008,[6]成飞半成品!$A:$B,2,0)</f>
        <v>前梁二段</v>
      </c>
      <c r="H2008" s="10" t="s">
        <v>154</v>
      </c>
      <c r="I2008" s="10">
        <v>30</v>
      </c>
      <c r="J2008" s="10" t="s">
        <v>1992</v>
      </c>
      <c r="K2008" s="10">
        <v>0.15</v>
      </c>
      <c r="L2008" s="10">
        <v>0.15</v>
      </c>
      <c r="M2008" s="14">
        <v>28</v>
      </c>
      <c r="N2008" s="14"/>
      <c r="O2008" s="55" t="s">
        <v>613</v>
      </c>
      <c r="Q2008" s="10">
        <v>4800</v>
      </c>
      <c r="R2008" s="10">
        <v>180</v>
      </c>
      <c r="U2008" s="10">
        <v>180</v>
      </c>
      <c r="W2008" s="14"/>
      <c r="Y2008" s="79">
        <v>12</v>
      </c>
      <c r="Z2008" s="56" t="s">
        <v>49</v>
      </c>
    </row>
    <row r="2009" spans="1:28" ht="23.1" customHeight="1" x14ac:dyDescent="0.25">
      <c r="A2009" s="53" t="s">
        <v>1489</v>
      </c>
      <c r="B2009" s="10" t="s">
        <v>113</v>
      </c>
      <c r="C2009" s="10">
        <v>11</v>
      </c>
      <c r="D2009" s="25" t="s">
        <v>2551</v>
      </c>
      <c r="E2009" s="41" t="s">
        <v>1544</v>
      </c>
      <c r="F2009" s="41" t="e">
        <v>#N/A</v>
      </c>
      <c r="G2009" s="21" t="str">
        <f>VLOOKUP(D2009,[6]成飞半成品!$A:$B,2,0)</f>
        <v>工装</v>
      </c>
      <c r="H2009" s="10" t="s">
        <v>102</v>
      </c>
      <c r="I2009" s="10">
        <v>5</v>
      </c>
      <c r="L2009" s="10">
        <v>1</v>
      </c>
      <c r="M2009" s="14"/>
      <c r="N2009" s="14">
        <v>37</v>
      </c>
      <c r="O2009" s="55" t="s">
        <v>108</v>
      </c>
      <c r="W2009" s="14"/>
      <c r="X2009" s="14">
        <v>4</v>
      </c>
      <c r="Y2009" s="79">
        <v>4</v>
      </c>
      <c r="Z2009" s="56" t="s">
        <v>71</v>
      </c>
      <c r="AA2009" s="14" t="s">
        <v>1545</v>
      </c>
      <c r="AB2009" s="14" t="s">
        <v>238</v>
      </c>
    </row>
    <row r="2010" spans="1:28" ht="23.1" customHeight="1" x14ac:dyDescent="0.25">
      <c r="A2010" s="53" t="s">
        <v>1489</v>
      </c>
      <c r="B2010" s="10" t="s">
        <v>113</v>
      </c>
      <c r="C2010" s="10">
        <v>11</v>
      </c>
      <c r="D2010" s="25" t="s">
        <v>2551</v>
      </c>
      <c r="E2010" s="41" t="s">
        <v>1544</v>
      </c>
      <c r="F2010" s="41" t="e">
        <v>#N/A</v>
      </c>
      <c r="G2010" s="21" t="str">
        <f>VLOOKUP(D2010,[6]成飞半成品!$A:$B,2,0)</f>
        <v>工装</v>
      </c>
      <c r="H2010" s="10" t="s">
        <v>102</v>
      </c>
      <c r="I2010" s="10">
        <v>10</v>
      </c>
      <c r="L2010" s="10">
        <v>1</v>
      </c>
      <c r="M2010" s="14"/>
      <c r="N2010" s="14">
        <v>37</v>
      </c>
      <c r="O2010" s="55" t="s">
        <v>108</v>
      </c>
      <c r="W2010" s="14"/>
      <c r="X2010" s="14">
        <v>4</v>
      </c>
      <c r="Y2010" s="79">
        <v>4</v>
      </c>
      <c r="Z2010" s="56" t="s">
        <v>71</v>
      </c>
      <c r="AA2010" s="14" t="s">
        <v>1545</v>
      </c>
      <c r="AB2010" s="14" t="s">
        <v>238</v>
      </c>
    </row>
    <row r="2011" spans="1:28" ht="23.1" customHeight="1" x14ac:dyDescent="0.25">
      <c r="A2011" s="53" t="s">
        <v>1489</v>
      </c>
      <c r="B2011" s="10" t="s">
        <v>113</v>
      </c>
      <c r="C2011" s="10">
        <v>108</v>
      </c>
      <c r="D2011" s="10" t="s">
        <v>889</v>
      </c>
      <c r="E2011" s="41" t="s">
        <v>887</v>
      </c>
      <c r="F2011" s="41" t="s">
        <v>887</v>
      </c>
      <c r="G2011" s="21" t="str">
        <f>VLOOKUP(D2011,[6]成飞半成品!$A:$B,2,0)</f>
        <v>外侧梁</v>
      </c>
      <c r="H2011" s="10" t="s">
        <v>154</v>
      </c>
      <c r="I2011" s="10">
        <v>70</v>
      </c>
      <c r="J2011" s="10" t="s">
        <v>2289</v>
      </c>
      <c r="L2011" s="10">
        <v>0.2</v>
      </c>
      <c r="M2011" s="14">
        <v>28</v>
      </c>
      <c r="N2011" s="14"/>
      <c r="O2011" s="55" t="s">
        <v>159</v>
      </c>
      <c r="Q2011" s="10">
        <v>4800</v>
      </c>
      <c r="R2011" s="10">
        <v>60</v>
      </c>
      <c r="T2011" s="10">
        <v>1</v>
      </c>
      <c r="U2011" s="10">
        <v>180</v>
      </c>
      <c r="W2011" s="14">
        <v>1</v>
      </c>
      <c r="Y2011" s="79">
        <v>20</v>
      </c>
      <c r="Z2011" s="56" t="s">
        <v>13</v>
      </c>
      <c r="AA2011" s="14" t="s">
        <v>1245</v>
      </c>
      <c r="AB2011" s="25" t="s">
        <v>238</v>
      </c>
    </row>
    <row r="2012" spans="1:28" ht="23.1" customHeight="1" x14ac:dyDescent="0.25">
      <c r="A2012" s="53" t="s">
        <v>1489</v>
      </c>
      <c r="B2012" s="10" t="s">
        <v>113</v>
      </c>
      <c r="C2012" s="10">
        <v>57</v>
      </c>
      <c r="D2012" s="10" t="s">
        <v>1031</v>
      </c>
      <c r="E2012" s="41" t="s">
        <v>1032</v>
      </c>
      <c r="F2012" s="41" t="s">
        <v>1032</v>
      </c>
      <c r="G2012" s="21" t="str">
        <f>VLOOKUP(D2012,[6]成飞半成品!$A:$B,2,0)</f>
        <v>前上大梁（左）</v>
      </c>
      <c r="H2012" s="10" t="s">
        <v>107</v>
      </c>
      <c r="I2012" s="10">
        <v>35</v>
      </c>
      <c r="J2012" s="10" t="s">
        <v>2141</v>
      </c>
      <c r="L2012" s="10">
        <v>1.5</v>
      </c>
      <c r="M2012" s="14">
        <v>28</v>
      </c>
      <c r="N2012" s="14">
        <v>28</v>
      </c>
      <c r="O2012" s="55" t="s">
        <v>1043</v>
      </c>
      <c r="Q2012" s="10">
        <v>540</v>
      </c>
      <c r="U2012" s="10">
        <v>100</v>
      </c>
      <c r="W2012" s="14"/>
      <c r="Y2012" s="79">
        <v>13.5</v>
      </c>
      <c r="Z2012" s="56" t="s">
        <v>0</v>
      </c>
    </row>
    <row r="2013" spans="1:28" ht="23.1" customHeight="1" x14ac:dyDescent="0.25">
      <c r="A2013" s="53" t="s">
        <v>1489</v>
      </c>
      <c r="B2013" s="10" t="s">
        <v>113</v>
      </c>
      <c r="C2013" s="10">
        <v>10</v>
      </c>
      <c r="D2013" s="10" t="s">
        <v>217</v>
      </c>
      <c r="E2013" s="41" t="s">
        <v>218</v>
      </c>
      <c r="F2013" s="41" t="s">
        <v>218</v>
      </c>
      <c r="G2013" s="21" t="str">
        <f>VLOOKUP(D2013,[6]成飞半成品!$A:$B,2,0)</f>
        <v>横梁</v>
      </c>
      <c r="H2013" s="10" t="s">
        <v>107</v>
      </c>
      <c r="I2013" s="10">
        <v>55</v>
      </c>
      <c r="J2013" s="10" t="s">
        <v>2227</v>
      </c>
      <c r="L2013" s="10">
        <v>1</v>
      </c>
      <c r="M2013" s="14">
        <v>31</v>
      </c>
      <c r="N2013" s="14"/>
      <c r="O2013" s="55" t="s">
        <v>247</v>
      </c>
      <c r="Q2013" s="10">
        <v>270</v>
      </c>
      <c r="T2013" s="10">
        <v>1</v>
      </c>
      <c r="U2013" s="10">
        <v>90</v>
      </c>
      <c r="W2013" s="14"/>
      <c r="X2013" s="14">
        <v>1</v>
      </c>
      <c r="Y2013" s="79">
        <v>5.5</v>
      </c>
      <c r="Z2013" s="56" t="s">
        <v>23</v>
      </c>
      <c r="AA2013" s="14" t="s">
        <v>1546</v>
      </c>
      <c r="AB2013" s="14" t="s">
        <v>238</v>
      </c>
    </row>
    <row r="2014" spans="1:28" ht="23.1" customHeight="1" x14ac:dyDescent="0.25">
      <c r="A2014" s="53" t="s">
        <v>1489</v>
      </c>
      <c r="B2014" s="10" t="s">
        <v>113</v>
      </c>
      <c r="C2014" s="10">
        <v>10</v>
      </c>
      <c r="D2014" s="10" t="s">
        <v>217</v>
      </c>
      <c r="E2014" s="41" t="s">
        <v>218</v>
      </c>
      <c r="F2014" s="41" t="s">
        <v>218</v>
      </c>
      <c r="G2014" s="21" t="str">
        <f>VLOOKUP(D2014,[6]成飞半成品!$A:$B,2,0)</f>
        <v>横梁</v>
      </c>
      <c r="H2014" s="10" t="s">
        <v>107</v>
      </c>
      <c r="I2014" s="10">
        <v>55</v>
      </c>
      <c r="J2014" s="10" t="s">
        <v>2227</v>
      </c>
      <c r="L2014" s="10">
        <v>1</v>
      </c>
      <c r="M2014" s="14">
        <v>31</v>
      </c>
      <c r="N2014" s="14"/>
      <c r="O2014" s="55" t="s">
        <v>456</v>
      </c>
      <c r="Q2014" s="10">
        <v>270</v>
      </c>
      <c r="U2014" s="10">
        <v>90</v>
      </c>
      <c r="W2014" s="14"/>
      <c r="X2014" s="14">
        <v>1</v>
      </c>
      <c r="Y2014" s="79">
        <v>5.5</v>
      </c>
      <c r="Z2014" s="56" t="s">
        <v>23</v>
      </c>
    </row>
    <row r="2015" spans="1:28" ht="23.1" customHeight="1" x14ac:dyDescent="0.25">
      <c r="A2015" s="53" t="s">
        <v>1489</v>
      </c>
      <c r="B2015" s="10" t="s">
        <v>113</v>
      </c>
      <c r="C2015" s="10">
        <v>56</v>
      </c>
      <c r="D2015" s="10" t="s">
        <v>1397</v>
      </c>
      <c r="E2015" s="41" t="s">
        <v>1398</v>
      </c>
      <c r="F2015" s="41" t="s">
        <v>1398</v>
      </c>
      <c r="G2015" s="21" t="str">
        <f>VLOOKUP(D2015,[6]成飞半成品!$A:$B,2,0)</f>
        <v>受剪接头</v>
      </c>
      <c r="H2015" s="10" t="s">
        <v>118</v>
      </c>
      <c r="I2015" s="10">
        <v>22</v>
      </c>
      <c r="L2015" s="10">
        <v>3</v>
      </c>
      <c r="M2015" s="14">
        <v>26</v>
      </c>
      <c r="N2015" s="14">
        <v>31</v>
      </c>
      <c r="O2015" s="55" t="s">
        <v>1547</v>
      </c>
      <c r="P2015" s="10">
        <v>15</v>
      </c>
      <c r="W2015" s="14"/>
      <c r="Y2015" s="83">
        <v>0.8</v>
      </c>
      <c r="Z2015" s="56" t="s">
        <v>18</v>
      </c>
    </row>
    <row r="2016" spans="1:28" ht="23.1" customHeight="1" x14ac:dyDescent="0.25">
      <c r="A2016" s="53" t="s">
        <v>1489</v>
      </c>
      <c r="B2016" s="10" t="s">
        <v>113</v>
      </c>
      <c r="C2016" s="10">
        <v>56</v>
      </c>
      <c r="D2016" s="10" t="s">
        <v>1397</v>
      </c>
      <c r="E2016" s="41" t="s">
        <v>1398</v>
      </c>
      <c r="F2016" s="41" t="s">
        <v>1398</v>
      </c>
      <c r="G2016" s="21" t="str">
        <f>VLOOKUP(D2016,[6]成飞半成品!$A:$B,2,0)</f>
        <v>受剪接头</v>
      </c>
      <c r="H2016" s="10" t="s">
        <v>118</v>
      </c>
      <c r="I2016" s="10">
        <v>25</v>
      </c>
      <c r="J2016" s="10" t="s">
        <v>2284</v>
      </c>
      <c r="L2016" s="10">
        <v>3</v>
      </c>
      <c r="M2016" s="14">
        <v>26</v>
      </c>
      <c r="N2016" s="14">
        <v>31</v>
      </c>
      <c r="O2016" s="55" t="s">
        <v>1547</v>
      </c>
      <c r="Q2016" s="10">
        <v>160</v>
      </c>
      <c r="U2016" s="10">
        <v>60</v>
      </c>
      <c r="W2016" s="14"/>
      <c r="Y2016" s="79">
        <v>8</v>
      </c>
      <c r="Z2016" s="56" t="s">
        <v>18</v>
      </c>
    </row>
    <row r="2017" spans="1:28" ht="23.1" customHeight="1" x14ac:dyDescent="0.25">
      <c r="A2017" s="53" t="s">
        <v>1489</v>
      </c>
      <c r="B2017" s="10" t="s">
        <v>113</v>
      </c>
      <c r="C2017" s="10">
        <v>56</v>
      </c>
      <c r="D2017" s="10" t="s">
        <v>1397</v>
      </c>
      <c r="E2017" s="41" t="s">
        <v>1398</v>
      </c>
      <c r="F2017" s="41" t="s">
        <v>1398</v>
      </c>
      <c r="G2017" s="21" t="str">
        <f>VLOOKUP(D2017,[6]成飞半成品!$A:$B,2,0)</f>
        <v>受剪接头</v>
      </c>
      <c r="H2017" s="10" t="s">
        <v>118</v>
      </c>
      <c r="I2017" s="10">
        <v>30</v>
      </c>
      <c r="J2017" s="10" t="s">
        <v>2370</v>
      </c>
      <c r="L2017" s="10">
        <v>5</v>
      </c>
      <c r="M2017" s="14">
        <v>26</v>
      </c>
      <c r="N2017" s="14">
        <v>31</v>
      </c>
      <c r="O2017" s="55" t="s">
        <v>1547</v>
      </c>
      <c r="Q2017" s="10">
        <v>75</v>
      </c>
      <c r="U2017" s="10">
        <v>90</v>
      </c>
      <c r="W2017" s="14">
        <v>1</v>
      </c>
      <c r="Y2017" s="79">
        <v>7.8</v>
      </c>
      <c r="Z2017" s="56" t="s">
        <v>18</v>
      </c>
    </row>
    <row r="2018" spans="1:28" ht="23.1" customHeight="1" x14ac:dyDescent="0.25">
      <c r="A2018" s="53" t="s">
        <v>1489</v>
      </c>
      <c r="B2018" s="10" t="s">
        <v>113</v>
      </c>
      <c r="C2018" s="10">
        <v>55</v>
      </c>
      <c r="D2018" s="10" t="s">
        <v>1506</v>
      </c>
      <c r="E2018" s="41" t="s">
        <v>1507</v>
      </c>
      <c r="F2018" s="41" t="s">
        <v>1507</v>
      </c>
      <c r="G2018" s="21" t="str">
        <f>VLOOKUP(D2018,[6]成飞半成品!$A:$B,2,0)</f>
        <v>转盘</v>
      </c>
      <c r="H2018" s="10" t="s">
        <v>154</v>
      </c>
      <c r="I2018" s="10">
        <v>40</v>
      </c>
      <c r="J2018" s="10" t="s">
        <v>2283</v>
      </c>
      <c r="L2018" s="10">
        <v>5</v>
      </c>
      <c r="M2018" s="14">
        <v>28</v>
      </c>
      <c r="N2018" s="14">
        <v>28</v>
      </c>
      <c r="O2018" s="55" t="s">
        <v>164</v>
      </c>
      <c r="Q2018" s="10">
        <v>120</v>
      </c>
      <c r="U2018" s="10">
        <v>90</v>
      </c>
      <c r="W2018" s="14"/>
      <c r="Y2018" s="79">
        <v>10</v>
      </c>
      <c r="Z2018" s="56" t="s">
        <v>18</v>
      </c>
    </row>
    <row r="2019" spans="1:28" ht="23.1" customHeight="1" x14ac:dyDescent="0.25">
      <c r="A2019" s="53" t="s">
        <v>1489</v>
      </c>
      <c r="B2019" s="10" t="s">
        <v>113</v>
      </c>
      <c r="C2019" s="10">
        <v>78</v>
      </c>
      <c r="D2019" s="10" t="s">
        <v>992</v>
      </c>
      <c r="E2019" s="41" t="s">
        <v>993</v>
      </c>
      <c r="F2019" s="41" t="s">
        <v>993</v>
      </c>
      <c r="G2019" s="21" t="str">
        <f>VLOOKUP(D2019,[6]成飞半成品!$A:$B,2,0)</f>
        <v>内侧梁</v>
      </c>
      <c r="H2019" s="10" t="s">
        <v>154</v>
      </c>
      <c r="I2019" s="10">
        <v>25</v>
      </c>
      <c r="J2019" s="10" t="s">
        <v>1993</v>
      </c>
      <c r="L2019" s="10">
        <v>1</v>
      </c>
      <c r="M2019" s="14">
        <v>31</v>
      </c>
      <c r="N2019" s="14"/>
      <c r="O2019" s="55" t="s">
        <v>234</v>
      </c>
      <c r="Q2019" s="10">
        <v>400</v>
      </c>
      <c r="R2019" s="10">
        <v>60</v>
      </c>
      <c r="T2019" s="10">
        <v>1</v>
      </c>
      <c r="U2019" s="10">
        <v>90</v>
      </c>
      <c r="W2019" s="14">
        <v>1</v>
      </c>
      <c r="X2019" s="10">
        <v>2</v>
      </c>
      <c r="Y2019" s="79">
        <v>11.2</v>
      </c>
      <c r="Z2019" s="56" t="s">
        <v>5</v>
      </c>
      <c r="AA2019" s="14" t="s">
        <v>1548</v>
      </c>
      <c r="AB2019" s="25" t="s">
        <v>238</v>
      </c>
    </row>
    <row r="2020" spans="1:28" ht="23.1" customHeight="1" x14ac:dyDescent="0.25">
      <c r="A2020" s="53" t="s">
        <v>1489</v>
      </c>
      <c r="B2020" s="10" t="s">
        <v>113</v>
      </c>
      <c r="C2020" s="10">
        <v>107</v>
      </c>
      <c r="D2020" s="10" t="s">
        <v>1275</v>
      </c>
      <c r="E2020" s="41" t="s">
        <v>215</v>
      </c>
      <c r="F2020" s="41" t="s">
        <v>215</v>
      </c>
      <c r="G2020" s="21" t="str">
        <f>VLOOKUP(D2020,[6]成飞半成品!$A:$B,2,0)</f>
        <v>口盖</v>
      </c>
      <c r="H2020" s="10" t="s">
        <v>154</v>
      </c>
      <c r="I2020" s="10">
        <v>40</v>
      </c>
      <c r="J2020" s="10" t="s">
        <v>2272</v>
      </c>
      <c r="K2020" s="10">
        <v>2</v>
      </c>
      <c r="L2020" s="10">
        <v>2</v>
      </c>
      <c r="M2020" s="14">
        <v>28</v>
      </c>
      <c r="N2020" s="14">
        <v>28</v>
      </c>
      <c r="O2020" s="55" t="s">
        <v>1276</v>
      </c>
      <c r="Q2020" s="10">
        <v>390</v>
      </c>
      <c r="T2020" s="10">
        <v>2</v>
      </c>
      <c r="U2020" s="10">
        <v>60</v>
      </c>
      <c r="W2020" s="14"/>
      <c r="Y2020" s="79">
        <v>13</v>
      </c>
      <c r="Z2020" s="56" t="s">
        <v>13</v>
      </c>
    </row>
    <row r="2021" spans="1:28" ht="23.1" customHeight="1" x14ac:dyDescent="0.25">
      <c r="A2021" s="53" t="s">
        <v>1549</v>
      </c>
      <c r="B2021" s="10" t="s">
        <v>110</v>
      </c>
      <c r="C2021" s="10">
        <v>21</v>
      </c>
      <c r="D2021" s="10" t="s">
        <v>100</v>
      </c>
      <c r="E2021" s="41" t="s">
        <v>101</v>
      </c>
      <c r="F2021" s="41" t="s">
        <v>101</v>
      </c>
      <c r="G2021" s="21" t="str">
        <f>VLOOKUP(D2021,[6]成飞半成品!$A:$B,2,0)</f>
        <v>前梁一段</v>
      </c>
      <c r="H2021" s="10" t="s">
        <v>154</v>
      </c>
      <c r="I2021" s="10">
        <v>30</v>
      </c>
      <c r="J2021" s="10" t="s">
        <v>1877</v>
      </c>
      <c r="L2021" s="10">
        <v>0.15</v>
      </c>
      <c r="M2021" s="14">
        <v>28</v>
      </c>
      <c r="N2021" s="14"/>
      <c r="O2021" s="55" t="s">
        <v>613</v>
      </c>
      <c r="Q2021" s="10">
        <v>6000</v>
      </c>
      <c r="R2021" s="10">
        <v>180</v>
      </c>
      <c r="U2021" s="10">
        <v>180</v>
      </c>
      <c r="W2021" s="14"/>
      <c r="Y2021" s="79">
        <v>15</v>
      </c>
      <c r="Z2021" s="56" t="s">
        <v>58</v>
      </c>
    </row>
    <row r="2022" spans="1:28" ht="23.1" customHeight="1" x14ac:dyDescent="0.25">
      <c r="A2022" s="53" t="s">
        <v>1549</v>
      </c>
      <c r="B2022" s="10" t="s">
        <v>110</v>
      </c>
      <c r="C2022" s="10">
        <v>76</v>
      </c>
      <c r="D2022" s="10" t="s">
        <v>1433</v>
      </c>
      <c r="E2022" s="41" t="s">
        <v>1384</v>
      </c>
      <c r="F2022" s="41" t="s">
        <v>1384</v>
      </c>
      <c r="G2022" s="21" t="str">
        <f>VLOOKUP(D2022,[6]成飞半成品!$A:$B,2,0)</f>
        <v>角材</v>
      </c>
      <c r="H2022" s="10" t="s">
        <v>154</v>
      </c>
      <c r="I2022" s="10">
        <v>10</v>
      </c>
      <c r="J2022" s="10" t="s">
        <v>2484</v>
      </c>
      <c r="L2022" s="10">
        <v>8</v>
      </c>
      <c r="M2022" s="14">
        <v>9</v>
      </c>
      <c r="N2022" s="14">
        <v>9</v>
      </c>
      <c r="O2022" s="55" t="s">
        <v>393</v>
      </c>
      <c r="Q2022" s="10">
        <v>30</v>
      </c>
      <c r="U2022" s="10">
        <v>60</v>
      </c>
      <c r="W2022" s="14"/>
      <c r="Y2022" s="79">
        <v>4</v>
      </c>
      <c r="Z2022" s="56" t="s">
        <v>46</v>
      </c>
    </row>
    <row r="2023" spans="1:28" ht="23.1" customHeight="1" x14ac:dyDescent="0.25">
      <c r="A2023" s="53" t="s">
        <v>1549</v>
      </c>
      <c r="B2023" s="10" t="s">
        <v>110</v>
      </c>
      <c r="C2023" s="10">
        <v>11</v>
      </c>
      <c r="D2023" s="10" t="s">
        <v>1535</v>
      </c>
      <c r="E2023" s="41" t="s">
        <v>1536</v>
      </c>
      <c r="F2023" s="41" t="s">
        <v>1536</v>
      </c>
      <c r="G2023" s="21" t="str">
        <f>VLOOKUP(D2023,[6]成飞半成品!$A:$B,2,0)</f>
        <v>第1隔板</v>
      </c>
      <c r="H2023" s="10" t="s">
        <v>123</v>
      </c>
      <c r="I2023" s="10">
        <v>20</v>
      </c>
      <c r="J2023" s="10" t="s">
        <v>2280</v>
      </c>
      <c r="L2023" s="10">
        <v>3</v>
      </c>
      <c r="M2023" s="14">
        <v>37</v>
      </c>
      <c r="N2023" s="14">
        <v>37</v>
      </c>
      <c r="O2023" s="55" t="s">
        <v>1435</v>
      </c>
      <c r="Q2023" s="10">
        <v>180</v>
      </c>
      <c r="U2023" s="10">
        <v>90</v>
      </c>
      <c r="W2023" s="14"/>
      <c r="Y2023" s="79">
        <v>9</v>
      </c>
      <c r="Z2023" s="56" t="s">
        <v>38</v>
      </c>
    </row>
    <row r="2024" spans="1:28" ht="23.1" customHeight="1" x14ac:dyDescent="0.25">
      <c r="A2024" s="53" t="s">
        <v>1549</v>
      </c>
      <c r="B2024" s="10" t="s">
        <v>113</v>
      </c>
      <c r="C2024" s="10">
        <v>9</v>
      </c>
      <c r="D2024" s="10" t="s">
        <v>1539</v>
      </c>
      <c r="E2024" s="41" t="s">
        <v>409</v>
      </c>
      <c r="F2024" s="41" t="s">
        <v>409</v>
      </c>
      <c r="G2024" s="21" t="str">
        <f>VLOOKUP(D2024,[6]成飞半成品!$A:$B,2,0)</f>
        <v>接头</v>
      </c>
      <c r="H2024" s="10" t="s">
        <v>375</v>
      </c>
      <c r="I2024" s="10">
        <v>15</v>
      </c>
      <c r="J2024" s="10" t="s">
        <v>2290</v>
      </c>
      <c r="L2024" s="10">
        <v>22</v>
      </c>
      <c r="M2024" s="14">
        <v>28</v>
      </c>
      <c r="N2024" s="14">
        <v>28</v>
      </c>
      <c r="O2024" s="55" t="s">
        <v>282</v>
      </c>
      <c r="Q2024" s="10">
        <v>20</v>
      </c>
      <c r="U2024" s="10">
        <v>90</v>
      </c>
      <c r="W2024" s="14">
        <v>1</v>
      </c>
      <c r="X2024" s="14">
        <v>2</v>
      </c>
      <c r="Y2024" s="79">
        <v>10.8</v>
      </c>
      <c r="Z2024" s="56" t="s">
        <v>23</v>
      </c>
      <c r="AA2024" s="14" t="s">
        <v>1540</v>
      </c>
      <c r="AB2024" s="25" t="s">
        <v>238</v>
      </c>
    </row>
    <row r="2025" spans="1:28" ht="23.1" customHeight="1" x14ac:dyDescent="0.25">
      <c r="A2025" s="53" t="s">
        <v>1549</v>
      </c>
      <c r="B2025" s="10" t="s">
        <v>110</v>
      </c>
      <c r="C2025" s="10">
        <v>21</v>
      </c>
      <c r="D2025" s="10" t="s">
        <v>321</v>
      </c>
      <c r="E2025" s="41" t="s">
        <v>322</v>
      </c>
      <c r="F2025" s="41" t="s">
        <v>322</v>
      </c>
      <c r="G2025" s="21" t="str">
        <f>VLOOKUP(D2025,[6]成飞半成品!$A:$B,2,0)</f>
        <v>10860框</v>
      </c>
      <c r="H2025" s="10" t="s">
        <v>323</v>
      </c>
      <c r="I2025" s="10">
        <v>40</v>
      </c>
      <c r="J2025" s="10" t="s">
        <v>1969</v>
      </c>
      <c r="L2025" s="10">
        <v>2</v>
      </c>
      <c r="M2025" s="14">
        <v>28</v>
      </c>
      <c r="N2025" s="14">
        <v>28</v>
      </c>
      <c r="O2025" s="55" t="s">
        <v>1500</v>
      </c>
      <c r="Q2025" s="10">
        <v>390</v>
      </c>
      <c r="R2025" s="10">
        <v>120</v>
      </c>
      <c r="T2025" s="10">
        <v>2</v>
      </c>
      <c r="U2025" s="10">
        <v>180</v>
      </c>
      <c r="W2025" s="14">
        <v>1</v>
      </c>
      <c r="Y2025" s="79">
        <v>20</v>
      </c>
      <c r="Z2025" s="56" t="s">
        <v>58</v>
      </c>
    </row>
    <row r="2026" spans="1:28" ht="23.1" customHeight="1" x14ac:dyDescent="0.25">
      <c r="A2026" s="53" t="s">
        <v>1549</v>
      </c>
      <c r="B2026" s="10" t="s">
        <v>110</v>
      </c>
      <c r="C2026" s="10">
        <v>24</v>
      </c>
      <c r="D2026" s="10" t="s">
        <v>321</v>
      </c>
      <c r="E2026" s="41" t="s">
        <v>322</v>
      </c>
      <c r="F2026" s="41" t="s">
        <v>322</v>
      </c>
      <c r="G2026" s="21" t="str">
        <f>VLOOKUP(D2026,[6]成飞半成品!$A:$B,2,0)</f>
        <v>10860框</v>
      </c>
      <c r="H2026" s="10" t="s">
        <v>323</v>
      </c>
      <c r="I2026" s="10">
        <v>35</v>
      </c>
      <c r="J2026" s="10" t="s">
        <v>1925</v>
      </c>
      <c r="L2026" s="10">
        <v>0.7</v>
      </c>
      <c r="M2026" s="14">
        <v>28</v>
      </c>
      <c r="N2026" s="14"/>
      <c r="O2026" s="55" t="s">
        <v>1550</v>
      </c>
      <c r="Q2026" s="10">
        <v>480</v>
      </c>
      <c r="R2026" s="10">
        <v>120</v>
      </c>
      <c r="T2026" s="10">
        <v>1</v>
      </c>
      <c r="U2026" s="10">
        <v>180</v>
      </c>
      <c r="W2026" s="14">
        <v>1</v>
      </c>
      <c r="Y2026" s="79">
        <v>10.6</v>
      </c>
      <c r="Z2026" s="56" t="s">
        <v>58</v>
      </c>
    </row>
    <row r="2027" spans="1:28" ht="23.1" customHeight="1" x14ac:dyDescent="0.25">
      <c r="A2027" s="53" t="s">
        <v>1549</v>
      </c>
      <c r="B2027" s="10" t="s">
        <v>110</v>
      </c>
      <c r="C2027" s="10">
        <v>24</v>
      </c>
      <c r="D2027" s="10" t="s">
        <v>254</v>
      </c>
      <c r="E2027" s="41" t="s">
        <v>1016</v>
      </c>
      <c r="F2027" s="41" t="s">
        <v>1016</v>
      </c>
      <c r="G2027" s="21" t="str">
        <f>VLOOKUP(D2027,[6]成飞半成品!$A:$B,2,0)</f>
        <v>9350-11140右侧上梁</v>
      </c>
      <c r="H2027" s="10" t="s">
        <v>375</v>
      </c>
      <c r="I2027" s="10">
        <v>40</v>
      </c>
      <c r="J2027" s="10" t="s">
        <v>2110</v>
      </c>
      <c r="L2027" s="10">
        <v>0.5</v>
      </c>
      <c r="M2027" s="14">
        <v>37</v>
      </c>
      <c r="N2027" s="14">
        <v>37</v>
      </c>
      <c r="O2027" s="55" t="s">
        <v>256</v>
      </c>
      <c r="Q2027" s="10">
        <v>3000</v>
      </c>
      <c r="R2027" s="10">
        <v>90</v>
      </c>
      <c r="U2027" s="10">
        <v>120</v>
      </c>
      <c r="W2027" s="14"/>
      <c r="Y2027" s="79">
        <v>25</v>
      </c>
      <c r="Z2027" s="56" t="s">
        <v>2</v>
      </c>
    </row>
    <row r="2028" spans="1:28" ht="23.1" customHeight="1" x14ac:dyDescent="0.25">
      <c r="A2028" s="53" t="s">
        <v>1549</v>
      </c>
      <c r="B2028" s="10" t="s">
        <v>110</v>
      </c>
      <c r="C2028" s="10">
        <v>121</v>
      </c>
      <c r="D2028" s="10" t="s">
        <v>288</v>
      </c>
      <c r="E2028" s="41" t="s">
        <v>1532</v>
      </c>
      <c r="F2028" s="41" t="s">
        <v>1532</v>
      </c>
      <c r="G2028" s="21" t="str">
        <f>VLOOKUP(D2028,[6]成飞半成品!$A:$B,2,0)</f>
        <v>9350-11140左侧上梁</v>
      </c>
      <c r="H2028" s="10" t="s">
        <v>250</v>
      </c>
      <c r="I2028" s="10">
        <v>50</v>
      </c>
      <c r="J2028" s="10" t="s">
        <v>2021</v>
      </c>
      <c r="L2028" s="10">
        <v>0.4</v>
      </c>
      <c r="M2028" s="14">
        <v>28</v>
      </c>
      <c r="N2028" s="14">
        <v>28</v>
      </c>
      <c r="O2028" s="55" t="s">
        <v>1551</v>
      </c>
      <c r="Q2028" s="10">
        <v>3000</v>
      </c>
      <c r="R2028" s="10">
        <v>90</v>
      </c>
      <c r="T2028" s="10">
        <v>1</v>
      </c>
      <c r="U2028" s="10">
        <v>150</v>
      </c>
      <c r="W2028" s="14"/>
      <c r="Y2028" s="79">
        <v>21.5</v>
      </c>
      <c r="Z2028" s="56" t="s">
        <v>2</v>
      </c>
    </row>
    <row r="2029" spans="1:28" ht="23.1" customHeight="1" x14ac:dyDescent="0.25">
      <c r="A2029" s="53" t="s">
        <v>1549</v>
      </c>
      <c r="B2029" s="10" t="s">
        <v>110</v>
      </c>
      <c r="C2029" s="10">
        <v>69</v>
      </c>
      <c r="D2029" s="10" t="s">
        <v>484</v>
      </c>
      <c r="E2029" s="41" t="s">
        <v>485</v>
      </c>
      <c r="F2029" s="41" t="s">
        <v>485</v>
      </c>
      <c r="G2029" s="21" t="str">
        <f>VLOOKUP(D2029,[6]成飞半成品!$A:$B,2,0)</f>
        <v>8635左隔框</v>
      </c>
      <c r="H2029" s="10" t="s">
        <v>300</v>
      </c>
      <c r="I2029" s="10">
        <v>30</v>
      </c>
      <c r="J2029" s="10" t="s">
        <v>1921</v>
      </c>
      <c r="K2029" s="10">
        <v>1.2</v>
      </c>
      <c r="L2029" s="10">
        <v>1.2</v>
      </c>
      <c r="M2029" s="14">
        <v>28</v>
      </c>
      <c r="N2029" s="14">
        <v>28</v>
      </c>
      <c r="O2029" s="55" t="s">
        <v>1552</v>
      </c>
      <c r="Q2029" s="10">
        <v>960</v>
      </c>
      <c r="R2029" s="10">
        <v>120</v>
      </c>
      <c r="T2029" s="10">
        <v>2</v>
      </c>
      <c r="U2029" s="10">
        <v>180</v>
      </c>
      <c r="W2029" s="14"/>
      <c r="Y2029" s="79">
        <v>23.2</v>
      </c>
      <c r="Z2029" s="56" t="s">
        <v>2</v>
      </c>
    </row>
    <row r="2030" spans="1:28" ht="23.1" customHeight="1" x14ac:dyDescent="0.25">
      <c r="A2030" s="53" t="s">
        <v>1549</v>
      </c>
      <c r="B2030" s="10" t="s">
        <v>113</v>
      </c>
      <c r="C2030" s="10">
        <v>69</v>
      </c>
      <c r="D2030" s="10" t="s">
        <v>484</v>
      </c>
      <c r="E2030" s="41" t="s">
        <v>485</v>
      </c>
      <c r="F2030" s="41" t="s">
        <v>485</v>
      </c>
      <c r="G2030" s="21" t="str">
        <f>VLOOKUP(D2030,[6]成飞半成品!$A:$B,2,0)</f>
        <v>8635左隔框</v>
      </c>
      <c r="H2030" s="10" t="s">
        <v>300</v>
      </c>
      <c r="I2030" s="10">
        <v>32</v>
      </c>
      <c r="L2030" s="10">
        <v>1</v>
      </c>
      <c r="M2030" s="14">
        <v>28</v>
      </c>
      <c r="N2030" s="14">
        <v>28</v>
      </c>
      <c r="O2030" s="55" t="s">
        <v>1552</v>
      </c>
      <c r="P2030" s="10">
        <v>150</v>
      </c>
      <c r="S2030" s="10">
        <v>120</v>
      </c>
      <c r="T2030" s="10">
        <v>1</v>
      </c>
      <c r="W2030" s="14"/>
      <c r="Y2030" s="83">
        <v>4.5</v>
      </c>
      <c r="Z2030" s="56" t="s">
        <v>2</v>
      </c>
    </row>
    <row r="2031" spans="1:28" ht="23.1" customHeight="1" x14ac:dyDescent="0.25">
      <c r="A2031" s="53" t="s">
        <v>1337</v>
      </c>
      <c r="B2031" s="10" t="s">
        <v>113</v>
      </c>
      <c r="C2031" s="10">
        <v>76</v>
      </c>
      <c r="D2031" s="10" t="s">
        <v>1553</v>
      </c>
      <c r="E2031" s="41" t="s">
        <v>409</v>
      </c>
      <c r="F2031" s="41" t="e">
        <v>#N/A</v>
      </c>
      <c r="G2031" s="21" t="e">
        <f>VLOOKUP(D2031,[6]成飞半成品!$A:$B,2,0)</f>
        <v>#N/A</v>
      </c>
      <c r="H2031" s="10" t="s">
        <v>102</v>
      </c>
      <c r="I2031" s="10">
        <v>25</v>
      </c>
      <c r="K2031" s="10">
        <v>3</v>
      </c>
      <c r="L2031" s="10">
        <v>2</v>
      </c>
      <c r="M2031" s="14">
        <v>9</v>
      </c>
      <c r="N2031" s="14">
        <v>9</v>
      </c>
      <c r="O2031" s="55" t="s">
        <v>596</v>
      </c>
      <c r="P2031" s="10">
        <v>55</v>
      </c>
      <c r="W2031" s="14"/>
      <c r="Y2031" s="83">
        <v>1.8</v>
      </c>
      <c r="Z2031" s="56" t="s">
        <v>12</v>
      </c>
    </row>
    <row r="2032" spans="1:28" ht="23.1" customHeight="1" x14ac:dyDescent="0.25">
      <c r="A2032" s="53" t="s">
        <v>1337</v>
      </c>
      <c r="B2032" s="10" t="s">
        <v>113</v>
      </c>
      <c r="C2032" s="10">
        <v>76</v>
      </c>
      <c r="D2032" s="10" t="s">
        <v>1553</v>
      </c>
      <c r="E2032" s="41" t="s">
        <v>409</v>
      </c>
      <c r="F2032" s="41" t="e">
        <v>#N/A</v>
      </c>
      <c r="G2032" s="21" t="e">
        <f>VLOOKUP(D2032,[6]成飞半成品!$A:$B,2,0)</f>
        <v>#N/A</v>
      </c>
      <c r="H2032" s="10" t="s">
        <v>102</v>
      </c>
      <c r="I2032" s="10">
        <v>30</v>
      </c>
      <c r="K2032" s="10">
        <v>16</v>
      </c>
      <c r="L2032" s="10">
        <v>1</v>
      </c>
      <c r="M2032" s="14">
        <v>26</v>
      </c>
      <c r="N2032" s="14"/>
      <c r="O2032" s="55" t="s">
        <v>596</v>
      </c>
      <c r="P2032" s="10">
        <v>20</v>
      </c>
      <c r="V2032" s="10">
        <v>60</v>
      </c>
      <c r="W2032" s="14">
        <v>1</v>
      </c>
      <c r="Y2032" s="83">
        <v>1.3</v>
      </c>
      <c r="Z2032" s="56" t="s">
        <v>12</v>
      </c>
    </row>
    <row r="2033" spans="1:28" ht="23.1" customHeight="1" x14ac:dyDescent="0.25">
      <c r="A2033" s="53" t="s">
        <v>1432</v>
      </c>
      <c r="B2033" s="10" t="s">
        <v>113</v>
      </c>
      <c r="C2033" s="10">
        <v>108</v>
      </c>
      <c r="D2033" s="10" t="s">
        <v>889</v>
      </c>
      <c r="E2033" s="41" t="s">
        <v>887</v>
      </c>
      <c r="F2033" s="41" t="s">
        <v>887</v>
      </c>
      <c r="G2033" s="21" t="str">
        <f>VLOOKUP(D2033,[6]成飞半成品!$A:$B,2,0)</f>
        <v>外侧梁</v>
      </c>
      <c r="H2033" s="10" t="s">
        <v>154</v>
      </c>
      <c r="I2033" s="10">
        <v>55</v>
      </c>
      <c r="J2033" s="10" t="s">
        <v>2485</v>
      </c>
      <c r="K2033" s="10">
        <v>0.5</v>
      </c>
      <c r="L2033" s="10">
        <v>0.8</v>
      </c>
      <c r="M2033" s="14">
        <v>9</v>
      </c>
      <c r="N2033" s="14">
        <v>9</v>
      </c>
      <c r="O2033" s="55" t="s">
        <v>159</v>
      </c>
      <c r="Q2033" s="10">
        <v>1440</v>
      </c>
      <c r="R2033" s="10">
        <v>60</v>
      </c>
      <c r="T2033" s="10">
        <v>1</v>
      </c>
      <c r="U2033" s="10">
        <v>90</v>
      </c>
      <c r="W2033" s="14">
        <v>1</v>
      </c>
      <c r="X2033" s="10">
        <v>2</v>
      </c>
      <c r="Y2033" s="79">
        <v>23.7</v>
      </c>
      <c r="Z2033" s="56" t="s">
        <v>13</v>
      </c>
      <c r="AA2033" s="14" t="s">
        <v>1245</v>
      </c>
      <c r="AB2033" s="25" t="s">
        <v>238</v>
      </c>
    </row>
    <row r="2034" spans="1:28" ht="23.1" customHeight="1" x14ac:dyDescent="0.25">
      <c r="A2034" s="53" t="s">
        <v>1221</v>
      </c>
      <c r="B2034" s="10" t="s">
        <v>113</v>
      </c>
      <c r="C2034" s="10">
        <v>12</v>
      </c>
      <c r="D2034" s="10" t="s">
        <v>735</v>
      </c>
      <c r="E2034" s="41" t="s">
        <v>249</v>
      </c>
      <c r="F2034" s="41" t="s">
        <v>249</v>
      </c>
      <c r="G2034" s="21" t="str">
        <f>VLOOKUP(D2034,[6]成飞半成品!$A:$B,2,0)</f>
        <v>10060下接头</v>
      </c>
      <c r="H2034" s="10" t="s">
        <v>250</v>
      </c>
      <c r="I2034" s="10">
        <v>25</v>
      </c>
      <c r="J2034" s="10" t="s">
        <v>1923</v>
      </c>
      <c r="K2034" s="10">
        <v>1</v>
      </c>
      <c r="L2034" s="10">
        <v>1</v>
      </c>
      <c r="M2034" s="14">
        <v>37</v>
      </c>
      <c r="N2034" s="14">
        <v>37</v>
      </c>
      <c r="O2034" s="55" t="s">
        <v>1554</v>
      </c>
      <c r="Q2034" s="10">
        <v>1080</v>
      </c>
      <c r="U2034" s="10">
        <v>120</v>
      </c>
      <c r="W2034" s="14"/>
      <c r="Y2034" s="79">
        <v>18</v>
      </c>
      <c r="Z2034" s="56" t="s">
        <v>72</v>
      </c>
    </row>
    <row r="2035" spans="1:28" ht="23.1" customHeight="1" x14ac:dyDescent="0.25">
      <c r="A2035" s="53" t="s">
        <v>1337</v>
      </c>
      <c r="B2035" s="10" t="s">
        <v>110</v>
      </c>
      <c r="C2035" s="10">
        <v>19</v>
      </c>
      <c r="D2035" s="10" t="s">
        <v>395</v>
      </c>
      <c r="E2035" s="41" t="s">
        <v>396</v>
      </c>
      <c r="F2035" s="41" t="e">
        <v>#N/A</v>
      </c>
      <c r="G2035" s="21" t="e">
        <f>VLOOKUP(D2035,[6]成飞半成品!$A:$B,2,0)</f>
        <v>#N/A</v>
      </c>
      <c r="H2035" s="10" t="s">
        <v>300</v>
      </c>
      <c r="I2035" s="10">
        <v>30</v>
      </c>
      <c r="J2035" s="10" t="s">
        <v>2193</v>
      </c>
      <c r="K2035" s="10">
        <v>1</v>
      </c>
      <c r="L2035" s="10">
        <v>2</v>
      </c>
      <c r="M2035" s="14">
        <v>32</v>
      </c>
      <c r="N2035" s="14">
        <v>32</v>
      </c>
      <c r="O2035" s="55" t="s">
        <v>1555</v>
      </c>
      <c r="Q2035" s="10">
        <v>630</v>
      </c>
      <c r="R2035" s="10">
        <v>90</v>
      </c>
      <c r="T2035" s="10">
        <v>2</v>
      </c>
      <c r="U2035" s="10">
        <v>90</v>
      </c>
      <c r="W2035" s="14"/>
      <c r="Y2035" s="79">
        <v>24</v>
      </c>
      <c r="Z2035" s="56" t="s">
        <v>17</v>
      </c>
    </row>
    <row r="2036" spans="1:28" ht="23.1" customHeight="1" x14ac:dyDescent="0.25">
      <c r="A2036" s="53" t="s">
        <v>1337</v>
      </c>
      <c r="B2036" s="10" t="s">
        <v>110</v>
      </c>
      <c r="C2036" s="10">
        <v>44</v>
      </c>
      <c r="D2036" s="10" t="s">
        <v>495</v>
      </c>
      <c r="E2036" s="41" t="s">
        <v>267</v>
      </c>
      <c r="F2036" s="41" t="s">
        <v>267</v>
      </c>
      <c r="G2036" s="21" t="str">
        <f>VLOOKUP(D2036,[6]成飞半成品!$A:$B,2,0)</f>
        <v>后端框</v>
      </c>
      <c r="H2036" s="10" t="s">
        <v>118</v>
      </c>
      <c r="I2036" s="10">
        <v>55</v>
      </c>
      <c r="J2036" s="10" t="s">
        <v>2166</v>
      </c>
      <c r="K2036" s="10">
        <v>0.5</v>
      </c>
      <c r="L2036" s="10">
        <v>0.5</v>
      </c>
      <c r="M2036" s="14">
        <v>32</v>
      </c>
      <c r="N2036" s="14">
        <v>32</v>
      </c>
      <c r="O2036" s="55" t="s">
        <v>155</v>
      </c>
      <c r="Q2036" s="10">
        <v>1260</v>
      </c>
      <c r="R2036" s="10">
        <v>90</v>
      </c>
      <c r="U2036" s="10">
        <v>60</v>
      </c>
      <c r="W2036" s="14">
        <v>1</v>
      </c>
      <c r="X2036" s="14">
        <v>1</v>
      </c>
      <c r="Y2036" s="79">
        <v>12.5</v>
      </c>
      <c r="Z2036" s="56" t="s">
        <v>64</v>
      </c>
      <c r="AA2036" s="14" t="s">
        <v>1556</v>
      </c>
    </row>
    <row r="2037" spans="1:28" ht="23.1" customHeight="1" x14ac:dyDescent="0.25">
      <c r="A2037" s="53" t="s">
        <v>1337</v>
      </c>
      <c r="B2037" s="10" t="s">
        <v>110</v>
      </c>
      <c r="C2037" s="10">
        <v>97</v>
      </c>
      <c r="D2037" s="10" t="s">
        <v>787</v>
      </c>
      <c r="E2037" s="41" t="s">
        <v>1065</v>
      </c>
      <c r="F2037" s="41" t="s">
        <v>1065</v>
      </c>
      <c r="G2037" s="21" t="str">
        <f>VLOOKUP(D2037,[6]成飞半成品!$A:$B,2,0)</f>
        <v>根肋二段</v>
      </c>
      <c r="H2037" s="10" t="s">
        <v>250</v>
      </c>
      <c r="I2037" s="10">
        <v>60</v>
      </c>
      <c r="J2037" s="10" t="s">
        <v>2156</v>
      </c>
      <c r="K2037" s="10">
        <v>1</v>
      </c>
      <c r="L2037" s="10">
        <v>1.1000000000000001</v>
      </c>
      <c r="M2037" s="14">
        <v>32</v>
      </c>
      <c r="N2037" s="14">
        <v>32</v>
      </c>
      <c r="O2037" s="55" t="s">
        <v>429</v>
      </c>
      <c r="Q2037" s="10">
        <v>570</v>
      </c>
      <c r="R2037" s="10">
        <v>60</v>
      </c>
      <c r="T2037" s="10">
        <v>1</v>
      </c>
      <c r="U2037" s="10">
        <v>60</v>
      </c>
      <c r="W2037" s="14"/>
      <c r="Y2037" s="79">
        <v>11.5</v>
      </c>
      <c r="Z2037" s="56" t="s">
        <v>39</v>
      </c>
    </row>
    <row r="2038" spans="1:28" ht="23.1" customHeight="1" x14ac:dyDescent="0.25">
      <c r="A2038" s="53" t="s">
        <v>1337</v>
      </c>
      <c r="B2038" s="10" t="s">
        <v>110</v>
      </c>
      <c r="C2038" s="10">
        <v>101</v>
      </c>
      <c r="D2038" s="10" t="s">
        <v>1128</v>
      </c>
      <c r="E2038" s="41" t="s">
        <v>708</v>
      </c>
      <c r="F2038" s="41" t="e">
        <v>#N/A</v>
      </c>
      <c r="G2038" s="21" t="e">
        <f>VLOOKUP(D2038,[6]成飞半成品!$A:$B,2,0)</f>
        <v>#N/A</v>
      </c>
      <c r="H2038" s="10" t="s">
        <v>250</v>
      </c>
      <c r="I2038" s="10">
        <v>30</v>
      </c>
      <c r="J2038" s="10" t="s">
        <v>2199</v>
      </c>
      <c r="K2038" s="10">
        <v>1</v>
      </c>
      <c r="L2038" s="10">
        <v>1</v>
      </c>
      <c r="M2038" s="14">
        <v>32</v>
      </c>
      <c r="N2038" s="14">
        <v>32</v>
      </c>
      <c r="O2038" s="55" t="s">
        <v>722</v>
      </c>
      <c r="Q2038" s="10">
        <v>750</v>
      </c>
      <c r="R2038" s="10">
        <v>60</v>
      </c>
      <c r="T2038" s="10">
        <v>1</v>
      </c>
      <c r="U2038" s="10">
        <v>180</v>
      </c>
      <c r="W2038" s="14"/>
      <c r="Y2038" s="79">
        <v>13.5</v>
      </c>
      <c r="Z2038" s="56" t="s">
        <v>47</v>
      </c>
    </row>
    <row r="2039" spans="1:28" ht="23.1" customHeight="1" x14ac:dyDescent="0.25">
      <c r="A2039" s="53" t="s">
        <v>1337</v>
      </c>
      <c r="B2039" s="10" t="s">
        <v>110</v>
      </c>
      <c r="C2039" s="10">
        <v>101</v>
      </c>
      <c r="D2039" s="10" t="s">
        <v>1128</v>
      </c>
      <c r="E2039" s="41" t="s">
        <v>708</v>
      </c>
      <c r="F2039" s="41" t="e">
        <v>#N/A</v>
      </c>
      <c r="G2039" s="21" t="e">
        <f>VLOOKUP(D2039,[6]成飞半成品!$A:$B,2,0)</f>
        <v>#N/A</v>
      </c>
      <c r="H2039" s="10" t="s">
        <v>250</v>
      </c>
      <c r="I2039" s="10">
        <v>30</v>
      </c>
      <c r="J2039" s="10" t="s">
        <v>2199</v>
      </c>
      <c r="K2039" s="10">
        <v>1</v>
      </c>
      <c r="L2039" s="10">
        <v>1</v>
      </c>
      <c r="M2039" s="14">
        <v>32</v>
      </c>
      <c r="N2039" s="14">
        <v>32</v>
      </c>
      <c r="O2039" s="55" t="s">
        <v>722</v>
      </c>
      <c r="Q2039" s="10">
        <v>750</v>
      </c>
      <c r="R2039" s="10">
        <v>60</v>
      </c>
      <c r="T2039" s="10">
        <v>1</v>
      </c>
      <c r="U2039" s="10">
        <v>180</v>
      </c>
      <c r="W2039" s="14">
        <v>1</v>
      </c>
      <c r="Y2039" s="79">
        <v>16.5</v>
      </c>
      <c r="Z2039" s="56" t="s">
        <v>47</v>
      </c>
    </row>
    <row r="2040" spans="1:28" ht="23.1" customHeight="1" x14ac:dyDescent="0.25">
      <c r="A2040" s="53" t="s">
        <v>1337</v>
      </c>
      <c r="B2040" s="10" t="s">
        <v>110</v>
      </c>
      <c r="C2040" s="10">
        <v>105</v>
      </c>
      <c r="D2040" s="10" t="s">
        <v>1176</v>
      </c>
      <c r="E2040" s="41" t="s">
        <v>1098</v>
      </c>
      <c r="F2040" s="41" t="s">
        <v>1098</v>
      </c>
      <c r="G2040" s="21" t="str">
        <f>VLOOKUP(D2040,[6]成飞半成品!$A:$B,2,0)</f>
        <v>根肋一段</v>
      </c>
      <c r="H2040" s="10" t="s">
        <v>250</v>
      </c>
      <c r="I2040" s="10">
        <v>50</v>
      </c>
      <c r="J2040" s="10" t="s">
        <v>2185</v>
      </c>
      <c r="K2040" s="10">
        <v>0.6</v>
      </c>
      <c r="L2040" s="10">
        <v>0.4</v>
      </c>
      <c r="M2040" s="14">
        <v>32</v>
      </c>
      <c r="N2040" s="14">
        <v>32</v>
      </c>
      <c r="O2040" s="55" t="s">
        <v>429</v>
      </c>
      <c r="Q2040" s="10">
        <v>1080</v>
      </c>
      <c r="R2040" s="10">
        <v>60</v>
      </c>
      <c r="T2040" s="10">
        <v>1</v>
      </c>
      <c r="U2040" s="10">
        <v>120</v>
      </c>
      <c r="W2040" s="14"/>
      <c r="Y2040" s="79">
        <v>8.1999999999999993</v>
      </c>
      <c r="Z2040" s="56" t="s">
        <v>9</v>
      </c>
    </row>
    <row r="2041" spans="1:28" ht="23.1" customHeight="1" x14ac:dyDescent="0.25">
      <c r="A2041" s="53" t="s">
        <v>1337</v>
      </c>
      <c r="B2041" s="10" t="s">
        <v>110</v>
      </c>
      <c r="C2041" s="10">
        <v>99</v>
      </c>
      <c r="D2041" s="10" t="s">
        <v>1191</v>
      </c>
      <c r="E2041" s="41" t="s">
        <v>1192</v>
      </c>
      <c r="F2041" s="41" t="s">
        <v>1192</v>
      </c>
      <c r="G2041" s="21" t="str">
        <f>VLOOKUP(D2041,[6]成飞半成品!$A:$B,2,0)</f>
        <v>后顶板</v>
      </c>
      <c r="H2041" s="10" t="s">
        <v>300</v>
      </c>
      <c r="I2041" s="10">
        <v>15</v>
      </c>
      <c r="J2041" s="10" t="s">
        <v>1871</v>
      </c>
      <c r="K2041" s="10">
        <v>1</v>
      </c>
      <c r="L2041" s="10">
        <v>0.9</v>
      </c>
      <c r="M2041" s="14">
        <v>32</v>
      </c>
      <c r="N2041" s="14">
        <v>32</v>
      </c>
      <c r="O2041" s="55" t="s">
        <v>219</v>
      </c>
      <c r="Q2041" s="10">
        <v>360</v>
      </c>
      <c r="R2041" s="10">
        <v>60</v>
      </c>
      <c r="T2041" s="10">
        <v>1</v>
      </c>
      <c r="U2041" s="10">
        <v>90</v>
      </c>
      <c r="W2041" s="14">
        <v>1</v>
      </c>
      <c r="Y2041" s="79">
        <v>7.9</v>
      </c>
      <c r="Z2041" s="56" t="s">
        <v>29</v>
      </c>
      <c r="AA2041" s="14" t="s">
        <v>1557</v>
      </c>
    </row>
    <row r="2042" spans="1:28" ht="23.1" customHeight="1" x14ac:dyDescent="0.25">
      <c r="A2042" s="53" t="s">
        <v>1337</v>
      </c>
      <c r="B2042" s="10" t="s">
        <v>110</v>
      </c>
      <c r="C2042" s="10">
        <v>103</v>
      </c>
      <c r="D2042" s="10" t="s">
        <v>834</v>
      </c>
      <c r="E2042" s="41" t="s">
        <v>835</v>
      </c>
      <c r="F2042" s="41" t="s">
        <v>835</v>
      </c>
      <c r="G2042" s="21" t="str">
        <f>VLOOKUP(D2042,[6]成飞半成品!$A:$B,2,0)</f>
        <v>根肋三段</v>
      </c>
      <c r="H2042" s="10" t="s">
        <v>154</v>
      </c>
      <c r="I2042" s="10">
        <v>65</v>
      </c>
      <c r="J2042" s="10" t="s">
        <v>2200</v>
      </c>
      <c r="K2042" s="10">
        <v>3</v>
      </c>
      <c r="L2042" s="10">
        <v>2</v>
      </c>
      <c r="M2042" s="14">
        <v>32</v>
      </c>
      <c r="N2042" s="14">
        <v>32</v>
      </c>
      <c r="O2042" s="55" t="s">
        <v>1374</v>
      </c>
      <c r="Q2042" s="10">
        <v>100</v>
      </c>
      <c r="R2042" s="10">
        <v>60</v>
      </c>
      <c r="T2042" s="10">
        <v>2</v>
      </c>
      <c r="U2042" s="10">
        <v>60</v>
      </c>
      <c r="W2042" s="14">
        <v>1</v>
      </c>
      <c r="Y2042" s="79">
        <v>6.3</v>
      </c>
      <c r="Z2042" s="56" t="s">
        <v>61</v>
      </c>
      <c r="AA2042" s="14" t="s">
        <v>1557</v>
      </c>
    </row>
    <row r="2043" spans="1:28" ht="23.1" customHeight="1" x14ac:dyDescent="0.25">
      <c r="A2043" s="53" t="s">
        <v>1337</v>
      </c>
      <c r="B2043" s="10" t="s">
        <v>110</v>
      </c>
      <c r="C2043" s="10">
        <v>102</v>
      </c>
      <c r="D2043" s="10" t="s">
        <v>1097</v>
      </c>
      <c r="E2043" s="41" t="s">
        <v>1098</v>
      </c>
      <c r="F2043" s="41" t="s">
        <v>1098</v>
      </c>
      <c r="G2043" s="21" t="str">
        <f>VLOOKUP(D2043,[6]成飞半成品!$A:$B,2,0)</f>
        <v>根肋一段</v>
      </c>
      <c r="H2043" s="10" t="s">
        <v>250</v>
      </c>
      <c r="I2043" s="10">
        <v>50</v>
      </c>
      <c r="J2043" s="10" t="s">
        <v>2185</v>
      </c>
      <c r="K2043" s="10">
        <v>0.6</v>
      </c>
      <c r="L2043" s="10">
        <v>0.6</v>
      </c>
      <c r="M2043" s="14">
        <v>32</v>
      </c>
      <c r="N2043" s="14">
        <v>32</v>
      </c>
      <c r="O2043" s="55" t="s">
        <v>292</v>
      </c>
      <c r="Q2043" s="10">
        <v>1080</v>
      </c>
      <c r="R2043" s="10">
        <v>60</v>
      </c>
      <c r="T2043" s="10">
        <v>1</v>
      </c>
      <c r="U2043" s="10">
        <v>120</v>
      </c>
      <c r="W2043" s="14"/>
      <c r="Y2043" s="79">
        <v>11.8</v>
      </c>
      <c r="Z2043" s="56" t="s">
        <v>36</v>
      </c>
    </row>
    <row r="2044" spans="1:28" ht="23.1" customHeight="1" x14ac:dyDescent="0.25">
      <c r="A2044" s="53" t="s">
        <v>1337</v>
      </c>
      <c r="B2044" s="10" t="s">
        <v>110</v>
      </c>
      <c r="C2044" s="10">
        <v>98</v>
      </c>
      <c r="D2044" s="10" t="s">
        <v>404</v>
      </c>
      <c r="E2044" s="41" t="s">
        <v>405</v>
      </c>
      <c r="F2044" s="41" t="s">
        <v>405</v>
      </c>
      <c r="G2044" s="21" t="str">
        <f>VLOOKUP(D2044,[6]成飞半成品!$A:$B,2,0)</f>
        <v>11140框右下半框</v>
      </c>
      <c r="H2044" s="10" t="s">
        <v>118</v>
      </c>
      <c r="I2044" s="10">
        <v>35</v>
      </c>
      <c r="J2044" s="10" t="s">
        <v>2174</v>
      </c>
      <c r="K2044" s="10">
        <v>0.5</v>
      </c>
      <c r="L2044" s="10">
        <v>0.1</v>
      </c>
      <c r="M2044" s="14">
        <v>32</v>
      </c>
      <c r="N2044" s="14">
        <v>32</v>
      </c>
      <c r="O2044" s="55" t="s">
        <v>199</v>
      </c>
      <c r="Q2044" s="10">
        <v>800</v>
      </c>
      <c r="R2044" s="10">
        <v>60</v>
      </c>
      <c r="U2044" s="10">
        <v>120</v>
      </c>
      <c r="W2044" s="14"/>
      <c r="Y2044" s="79">
        <v>1.3</v>
      </c>
      <c r="Z2044" s="56" t="s">
        <v>36</v>
      </c>
    </row>
    <row r="2045" spans="1:28" ht="23.1" customHeight="1" x14ac:dyDescent="0.25">
      <c r="A2045" s="53" t="s">
        <v>1337</v>
      </c>
      <c r="B2045" s="10" t="s">
        <v>110</v>
      </c>
      <c r="C2045" s="10">
        <v>98</v>
      </c>
      <c r="D2045" s="10" t="s">
        <v>404</v>
      </c>
      <c r="E2045" s="41" t="s">
        <v>405</v>
      </c>
      <c r="F2045" s="41" t="s">
        <v>405</v>
      </c>
      <c r="G2045" s="21" t="str">
        <f>VLOOKUP(D2045,[6]成飞半成品!$A:$B,2,0)</f>
        <v>11140框右下半框</v>
      </c>
      <c r="H2045" s="10" t="s">
        <v>118</v>
      </c>
      <c r="I2045" s="10">
        <v>13</v>
      </c>
      <c r="K2045" s="10">
        <v>1</v>
      </c>
      <c r="L2045" s="10">
        <v>1.8</v>
      </c>
      <c r="M2045" s="14">
        <v>32</v>
      </c>
      <c r="N2045" s="14">
        <v>32</v>
      </c>
      <c r="O2045" s="55" t="s">
        <v>1558</v>
      </c>
      <c r="P2045" s="47">
        <v>300</v>
      </c>
      <c r="Q2045" s="47"/>
      <c r="R2045" s="47"/>
      <c r="S2045" s="47">
        <v>60</v>
      </c>
      <c r="T2045" s="10">
        <v>2</v>
      </c>
      <c r="V2045" s="10">
        <v>120</v>
      </c>
      <c r="W2045" s="14">
        <v>1</v>
      </c>
      <c r="Y2045" s="83">
        <v>13</v>
      </c>
      <c r="Z2045" s="56" t="s">
        <v>36</v>
      </c>
    </row>
    <row r="2046" spans="1:28" ht="23.1" customHeight="1" x14ac:dyDescent="0.25">
      <c r="A2046" s="53" t="s">
        <v>1337</v>
      </c>
      <c r="B2046" s="10" t="s">
        <v>110</v>
      </c>
      <c r="C2046" s="10">
        <v>106</v>
      </c>
      <c r="D2046" s="10" t="s">
        <v>1070</v>
      </c>
      <c r="E2046" s="41" t="s">
        <v>101</v>
      </c>
      <c r="F2046" s="41" t="s">
        <v>101</v>
      </c>
      <c r="G2046" s="21" t="str">
        <f>VLOOKUP(D2046,[6]成飞半成品!$A:$B,2,0)</f>
        <v>前梁一段</v>
      </c>
      <c r="H2046" s="10" t="s">
        <v>300</v>
      </c>
      <c r="I2046" s="10">
        <v>25</v>
      </c>
      <c r="J2046" s="10" t="s">
        <v>2163</v>
      </c>
      <c r="K2046" s="10">
        <v>0.2</v>
      </c>
      <c r="L2046" s="10">
        <v>0.1</v>
      </c>
      <c r="M2046" s="14">
        <v>32</v>
      </c>
      <c r="N2046" s="14">
        <v>32</v>
      </c>
      <c r="O2046" s="55" t="s">
        <v>476</v>
      </c>
      <c r="Q2046" s="10">
        <v>4800</v>
      </c>
      <c r="R2046" s="10">
        <v>180</v>
      </c>
      <c r="U2046" s="10">
        <v>180</v>
      </c>
      <c r="W2046" s="14"/>
      <c r="Y2046" s="79">
        <v>8</v>
      </c>
      <c r="Z2046" s="56" t="s">
        <v>36</v>
      </c>
    </row>
    <row r="2047" spans="1:28" ht="23.1" customHeight="1" x14ac:dyDescent="0.25">
      <c r="A2047" s="53" t="s">
        <v>1337</v>
      </c>
      <c r="B2047" s="10" t="s">
        <v>110</v>
      </c>
      <c r="C2047" s="10">
        <v>106</v>
      </c>
      <c r="D2047" s="10" t="s">
        <v>1070</v>
      </c>
      <c r="E2047" s="41" t="s">
        <v>101</v>
      </c>
      <c r="F2047" s="41" t="s">
        <v>101</v>
      </c>
      <c r="G2047" s="21" t="str">
        <f>VLOOKUP(D2047,[6]成飞半成品!$A:$B,2,0)</f>
        <v>前梁一段</v>
      </c>
      <c r="H2047" s="10" t="s">
        <v>300</v>
      </c>
      <c r="I2047" s="10">
        <v>30</v>
      </c>
      <c r="J2047" s="10" t="s">
        <v>2486</v>
      </c>
      <c r="L2047" s="10">
        <v>0.3</v>
      </c>
      <c r="M2047" s="14">
        <v>32</v>
      </c>
      <c r="N2047" s="14">
        <v>32</v>
      </c>
      <c r="O2047" s="55" t="s">
        <v>476</v>
      </c>
      <c r="Q2047" s="10">
        <v>1500</v>
      </c>
      <c r="R2047" s="10">
        <v>180</v>
      </c>
      <c r="T2047" s="10">
        <v>1</v>
      </c>
      <c r="U2047" s="10">
        <v>180</v>
      </c>
      <c r="W2047" s="14">
        <v>1</v>
      </c>
      <c r="Y2047" s="79">
        <v>13.5</v>
      </c>
      <c r="Z2047" s="56" t="s">
        <v>36</v>
      </c>
    </row>
    <row r="2048" spans="1:28" ht="23.1" customHeight="1" x14ac:dyDescent="0.25">
      <c r="A2048" s="53" t="s">
        <v>1337</v>
      </c>
      <c r="B2048" s="10" t="s">
        <v>110</v>
      </c>
      <c r="C2048" s="10">
        <v>118</v>
      </c>
      <c r="D2048" s="10" t="s">
        <v>1171</v>
      </c>
      <c r="E2048" s="41" t="s">
        <v>1172</v>
      </c>
      <c r="F2048" s="41" t="s">
        <v>1172</v>
      </c>
      <c r="G2048" s="21" t="str">
        <f>VLOOKUP(D2048,[6]成飞半成品!$A:$B,2,0)</f>
        <v>后梁</v>
      </c>
      <c r="H2048" s="10" t="s">
        <v>300</v>
      </c>
      <c r="I2048" s="10">
        <v>38</v>
      </c>
      <c r="L2048" s="10">
        <v>0.2</v>
      </c>
      <c r="M2048" s="14">
        <v>32</v>
      </c>
      <c r="N2048" s="14">
        <v>32</v>
      </c>
      <c r="O2048" s="55" t="s">
        <v>330</v>
      </c>
      <c r="P2048" s="10">
        <v>400</v>
      </c>
      <c r="W2048" s="14"/>
      <c r="Y2048" s="83">
        <v>1.3</v>
      </c>
      <c r="Z2048" s="56" t="s">
        <v>36</v>
      </c>
    </row>
    <row r="2049" spans="1:26" ht="23.1" customHeight="1" x14ac:dyDescent="0.25">
      <c r="A2049" s="53" t="s">
        <v>1337</v>
      </c>
      <c r="B2049" s="10" t="s">
        <v>110</v>
      </c>
      <c r="C2049" s="10">
        <v>118</v>
      </c>
      <c r="D2049" s="10" t="s">
        <v>1171</v>
      </c>
      <c r="E2049" s="41" t="s">
        <v>1172</v>
      </c>
      <c r="F2049" s="41" t="s">
        <v>1172</v>
      </c>
      <c r="G2049" s="21" t="str">
        <f>VLOOKUP(D2049,[6]成飞半成品!$A:$B,2,0)</f>
        <v>后梁</v>
      </c>
      <c r="H2049" s="10" t="s">
        <v>300</v>
      </c>
      <c r="I2049" s="10">
        <v>5</v>
      </c>
      <c r="J2049" s="10" t="s">
        <v>1930</v>
      </c>
      <c r="L2049" s="10">
        <v>0.5</v>
      </c>
      <c r="M2049" s="14">
        <v>32</v>
      </c>
      <c r="N2049" s="14">
        <v>32</v>
      </c>
      <c r="O2049" s="55" t="s">
        <v>1036</v>
      </c>
      <c r="Q2049" s="10">
        <v>180</v>
      </c>
      <c r="R2049" s="10">
        <v>60</v>
      </c>
      <c r="T2049" s="10">
        <v>1</v>
      </c>
      <c r="U2049" s="10">
        <v>60</v>
      </c>
      <c r="W2049" s="14">
        <v>1</v>
      </c>
      <c r="Y2049" s="79">
        <v>3.5</v>
      </c>
      <c r="Z2049" s="56" t="s">
        <v>36</v>
      </c>
    </row>
    <row r="2050" spans="1:26" ht="23.1" customHeight="1" x14ac:dyDescent="0.25">
      <c r="A2050" s="53" t="s">
        <v>1337</v>
      </c>
      <c r="B2050" s="10" t="s">
        <v>110</v>
      </c>
      <c r="C2050" s="10">
        <v>117</v>
      </c>
      <c r="D2050" s="10" t="s">
        <v>1081</v>
      </c>
      <c r="E2050" s="41" t="s">
        <v>1082</v>
      </c>
      <c r="F2050" s="41" t="s">
        <v>1082</v>
      </c>
      <c r="G2050" s="21" t="str">
        <f>VLOOKUP(D2050,[6]成飞半成品!$A:$B,2,0)</f>
        <v xml:space="preserve"> 前梁</v>
      </c>
      <c r="H2050" s="10" t="s">
        <v>123</v>
      </c>
      <c r="I2050" s="10">
        <v>35</v>
      </c>
      <c r="J2050" s="10" t="s">
        <v>2201</v>
      </c>
      <c r="L2050" s="10">
        <v>0.8</v>
      </c>
      <c r="M2050" s="14">
        <v>32</v>
      </c>
      <c r="N2050" s="14">
        <v>32</v>
      </c>
      <c r="O2050" s="55" t="s">
        <v>861</v>
      </c>
      <c r="Q2050" s="10">
        <v>700</v>
      </c>
      <c r="R2050" s="10">
        <v>60</v>
      </c>
      <c r="U2050" s="10">
        <v>90</v>
      </c>
      <c r="W2050" s="14"/>
      <c r="Y2050" s="79">
        <v>9.3000000000000007</v>
      </c>
      <c r="Z2050" s="56" t="s">
        <v>36</v>
      </c>
    </row>
    <row r="2051" spans="1:26" ht="23.1" customHeight="1" x14ac:dyDescent="0.25">
      <c r="A2051" s="53" t="s">
        <v>1337</v>
      </c>
      <c r="B2051" s="10" t="s">
        <v>110</v>
      </c>
      <c r="C2051" s="10">
        <v>45</v>
      </c>
      <c r="D2051" s="10" t="s">
        <v>1128</v>
      </c>
      <c r="E2051" s="41" t="s">
        <v>708</v>
      </c>
      <c r="F2051" s="41" t="e">
        <v>#N/A</v>
      </c>
      <c r="G2051" s="21" t="e">
        <f>VLOOKUP(D2051,[6]成飞半成品!$A:$B,2,0)</f>
        <v>#N/A</v>
      </c>
      <c r="H2051" s="10" t="s">
        <v>250</v>
      </c>
      <c r="I2051" s="10">
        <v>10</v>
      </c>
      <c r="J2051" s="10" t="s">
        <v>2487</v>
      </c>
      <c r="K2051" s="10">
        <v>1</v>
      </c>
      <c r="L2051" s="10">
        <v>6.5</v>
      </c>
      <c r="M2051" s="14">
        <v>32</v>
      </c>
      <c r="N2051" s="14">
        <v>32</v>
      </c>
      <c r="O2051" s="55" t="s">
        <v>1342</v>
      </c>
      <c r="Q2051" s="10">
        <v>180</v>
      </c>
      <c r="R2051" s="10">
        <v>60</v>
      </c>
      <c r="T2051" s="10">
        <v>7</v>
      </c>
      <c r="U2051" s="10">
        <v>60</v>
      </c>
      <c r="W2051" s="14">
        <v>1</v>
      </c>
      <c r="Y2051" s="79">
        <v>27.5</v>
      </c>
      <c r="Z2051" s="56" t="s">
        <v>36</v>
      </c>
    </row>
    <row r="2052" spans="1:26" ht="23.1" customHeight="1" x14ac:dyDescent="0.25">
      <c r="A2052" s="53" t="s">
        <v>1337</v>
      </c>
      <c r="B2052" s="10" t="s">
        <v>110</v>
      </c>
      <c r="C2052" s="10">
        <v>100</v>
      </c>
      <c r="D2052" s="10" t="s">
        <v>484</v>
      </c>
      <c r="E2052" s="41" t="s">
        <v>485</v>
      </c>
      <c r="F2052" s="41" t="s">
        <v>485</v>
      </c>
      <c r="G2052" s="21" t="str">
        <f>VLOOKUP(D2052,[6]成飞半成品!$A:$B,2,0)</f>
        <v>8635左隔框</v>
      </c>
      <c r="H2052" s="10" t="s">
        <v>300</v>
      </c>
      <c r="I2052" s="10">
        <v>25</v>
      </c>
      <c r="J2052" s="10" t="s">
        <v>2140</v>
      </c>
      <c r="K2052" s="10">
        <v>0.5</v>
      </c>
      <c r="L2052" s="10">
        <v>0.5</v>
      </c>
      <c r="M2052" s="14">
        <v>32</v>
      </c>
      <c r="N2052" s="14">
        <v>32</v>
      </c>
      <c r="O2052" s="55" t="s">
        <v>247</v>
      </c>
      <c r="Q2052" s="10">
        <v>660</v>
      </c>
      <c r="R2052" s="10">
        <v>60</v>
      </c>
      <c r="U2052" s="10">
        <v>180</v>
      </c>
      <c r="W2052" s="14"/>
      <c r="Y2052" s="79">
        <v>5.5</v>
      </c>
      <c r="Z2052" s="56" t="s">
        <v>36</v>
      </c>
    </row>
    <row r="2053" spans="1:26" ht="23.1" customHeight="1" x14ac:dyDescent="0.25">
      <c r="A2053" s="53" t="s">
        <v>1337</v>
      </c>
      <c r="B2053" s="10" t="s">
        <v>110</v>
      </c>
      <c r="C2053" s="10">
        <v>100</v>
      </c>
      <c r="D2053" s="10" t="s">
        <v>298</v>
      </c>
      <c r="E2053" s="41" t="s">
        <v>299</v>
      </c>
      <c r="F2053" s="41" t="s">
        <v>299</v>
      </c>
      <c r="G2053" s="21" t="str">
        <f>VLOOKUP(D2053,[6]成飞半成品!$A:$B,2,0)</f>
        <v>8635右隔框</v>
      </c>
      <c r="H2053" s="10" t="s">
        <v>300</v>
      </c>
      <c r="I2053" s="10">
        <v>25</v>
      </c>
      <c r="J2053" s="10" t="s">
        <v>2140</v>
      </c>
      <c r="K2053" s="10">
        <v>0.5</v>
      </c>
      <c r="L2053" s="10">
        <v>0.3</v>
      </c>
      <c r="M2053" s="14">
        <v>32</v>
      </c>
      <c r="N2053" s="14">
        <v>32</v>
      </c>
      <c r="O2053" s="55" t="s">
        <v>164</v>
      </c>
      <c r="Q2053" s="10">
        <v>660</v>
      </c>
      <c r="R2053" s="10">
        <v>60</v>
      </c>
      <c r="T2053" s="10">
        <v>1</v>
      </c>
      <c r="U2053" s="10">
        <v>180</v>
      </c>
      <c r="W2053" s="14">
        <v>1</v>
      </c>
      <c r="Y2053" s="79">
        <v>7.3</v>
      </c>
      <c r="Z2053" s="56" t="s">
        <v>36</v>
      </c>
    </row>
    <row r="2054" spans="1:26" ht="23.1" customHeight="1" x14ac:dyDescent="0.25">
      <c r="A2054" s="53" t="s">
        <v>1337</v>
      </c>
      <c r="B2054" s="10" t="s">
        <v>110</v>
      </c>
      <c r="C2054" s="10">
        <v>82</v>
      </c>
      <c r="D2054" s="10" t="s">
        <v>1074</v>
      </c>
      <c r="E2054" s="41" t="s">
        <v>1075</v>
      </c>
      <c r="F2054" s="41" t="s">
        <v>1075</v>
      </c>
      <c r="G2054" s="21" t="str">
        <f>VLOOKUP(D2054,[6]成飞半成品!$A:$B,2,0)</f>
        <v>油箱底板（中）</v>
      </c>
      <c r="H2054" s="10" t="s">
        <v>154</v>
      </c>
      <c r="I2054" s="10">
        <v>25</v>
      </c>
      <c r="J2054" s="10" t="s">
        <v>2488</v>
      </c>
      <c r="K2054" s="10">
        <v>3</v>
      </c>
      <c r="L2054" s="10">
        <v>3</v>
      </c>
      <c r="M2054" s="14">
        <v>32</v>
      </c>
      <c r="N2054" s="14">
        <v>32</v>
      </c>
      <c r="O2054" s="55" t="s">
        <v>1114</v>
      </c>
      <c r="Q2054" s="10">
        <v>210</v>
      </c>
      <c r="U2054" s="10">
        <v>120</v>
      </c>
      <c r="W2054" s="14"/>
      <c r="Y2054" s="79">
        <v>10.5</v>
      </c>
      <c r="Z2054" s="56" t="s">
        <v>36</v>
      </c>
    </row>
    <row r="2055" spans="1:26" ht="23.1" customHeight="1" x14ac:dyDescent="0.25">
      <c r="A2055" s="53" t="s">
        <v>1337</v>
      </c>
      <c r="B2055" s="10" t="s">
        <v>110</v>
      </c>
      <c r="C2055" s="10">
        <v>83</v>
      </c>
      <c r="D2055" s="10" t="s">
        <v>1095</v>
      </c>
      <c r="E2055" s="41" t="s">
        <v>1096</v>
      </c>
      <c r="F2055" s="41" t="s">
        <v>1096</v>
      </c>
      <c r="G2055" s="21" t="str">
        <f>VLOOKUP(D2055,[6]成飞半成品!$A:$B,2,0)</f>
        <v>1150肋根肋</v>
      </c>
      <c r="H2055" s="10" t="s">
        <v>658</v>
      </c>
      <c r="I2055" s="10">
        <v>15</v>
      </c>
      <c r="J2055" s="10" t="s">
        <v>2048</v>
      </c>
      <c r="K2055" s="10">
        <v>3</v>
      </c>
      <c r="L2055" s="10">
        <v>3.6</v>
      </c>
      <c r="M2055" s="14">
        <v>32</v>
      </c>
      <c r="N2055" s="14">
        <v>32</v>
      </c>
      <c r="O2055" s="55" t="s">
        <v>412</v>
      </c>
      <c r="Q2055" s="10">
        <v>270</v>
      </c>
      <c r="R2055" s="10">
        <v>60</v>
      </c>
      <c r="T2055" s="10">
        <v>4</v>
      </c>
      <c r="U2055" s="10">
        <v>60</v>
      </c>
      <c r="W2055" s="14"/>
      <c r="Y2055" s="79">
        <v>20.2</v>
      </c>
      <c r="Z2055" s="56" t="s">
        <v>36</v>
      </c>
    </row>
    <row r="2056" spans="1:26" ht="23.1" customHeight="1" x14ac:dyDescent="0.25">
      <c r="A2056" s="53" t="s">
        <v>1337</v>
      </c>
      <c r="B2056" s="10" t="s">
        <v>110</v>
      </c>
      <c r="C2056" s="10">
        <v>82</v>
      </c>
      <c r="D2056" s="10" t="s">
        <v>1074</v>
      </c>
      <c r="E2056" s="41" t="s">
        <v>1075</v>
      </c>
      <c r="F2056" s="41" t="s">
        <v>1075</v>
      </c>
      <c r="G2056" s="21" t="str">
        <f>VLOOKUP(D2056,[6]成飞半成品!$A:$B,2,0)</f>
        <v>油箱底板（中）</v>
      </c>
      <c r="H2056" s="10" t="s">
        <v>154</v>
      </c>
      <c r="I2056" s="10">
        <v>30</v>
      </c>
      <c r="J2056" s="10" t="s">
        <v>2291</v>
      </c>
      <c r="L2056" s="10">
        <v>0.6</v>
      </c>
      <c r="M2056" s="14">
        <v>32</v>
      </c>
      <c r="N2056" s="14">
        <v>32</v>
      </c>
      <c r="O2056" s="55" t="s">
        <v>221</v>
      </c>
      <c r="Q2056" s="10">
        <v>240</v>
      </c>
      <c r="T2056" s="10">
        <v>1</v>
      </c>
      <c r="U2056" s="10">
        <v>120</v>
      </c>
      <c r="W2056" s="14">
        <v>1</v>
      </c>
      <c r="Y2056" s="79">
        <v>4.4000000000000004</v>
      </c>
      <c r="Z2056" s="56" t="s">
        <v>36</v>
      </c>
    </row>
    <row r="2057" spans="1:26" ht="23.1" customHeight="1" x14ac:dyDescent="0.25">
      <c r="A2057" s="53" t="s">
        <v>1337</v>
      </c>
      <c r="B2057" s="10" t="s">
        <v>113</v>
      </c>
      <c r="C2057" s="10">
        <v>99</v>
      </c>
      <c r="D2057" s="10" t="s">
        <v>1191</v>
      </c>
      <c r="E2057" s="41" t="s">
        <v>1192</v>
      </c>
      <c r="F2057" s="41" t="s">
        <v>1192</v>
      </c>
      <c r="G2057" s="21" t="str">
        <f>VLOOKUP(D2057,[6]成飞半成品!$A:$B,2,0)</f>
        <v>后顶板</v>
      </c>
      <c r="H2057" s="10" t="s">
        <v>300</v>
      </c>
      <c r="I2057" s="10">
        <v>15</v>
      </c>
      <c r="J2057" s="10" t="s">
        <v>2489</v>
      </c>
      <c r="K2057" s="10">
        <v>2</v>
      </c>
      <c r="L2057" s="10">
        <v>3</v>
      </c>
      <c r="M2057" s="14">
        <v>25</v>
      </c>
      <c r="N2057" s="14">
        <v>25</v>
      </c>
      <c r="O2057" s="55" t="s">
        <v>1559</v>
      </c>
      <c r="Q2057" s="10">
        <v>360</v>
      </c>
      <c r="R2057" s="10">
        <v>60</v>
      </c>
      <c r="T2057" s="10">
        <v>3</v>
      </c>
      <c r="U2057" s="10">
        <v>90</v>
      </c>
      <c r="W2057" s="14"/>
      <c r="Y2057" s="79">
        <v>21</v>
      </c>
      <c r="Z2057" s="56" t="s">
        <v>21</v>
      </c>
    </row>
    <row r="2058" spans="1:26" ht="23.1" customHeight="1" x14ac:dyDescent="0.25">
      <c r="A2058" s="53" t="s">
        <v>1337</v>
      </c>
      <c r="B2058" s="10" t="s">
        <v>113</v>
      </c>
      <c r="C2058" s="10">
        <v>98</v>
      </c>
      <c r="D2058" s="10" t="s">
        <v>404</v>
      </c>
      <c r="E2058" s="41" t="s">
        <v>405</v>
      </c>
      <c r="F2058" s="41" t="s">
        <v>405</v>
      </c>
      <c r="G2058" s="21" t="str">
        <f>VLOOKUP(D2058,[6]成飞半成品!$A:$B,2,0)</f>
        <v>11140框右下半框</v>
      </c>
      <c r="H2058" s="10" t="s">
        <v>118</v>
      </c>
      <c r="I2058" s="10">
        <v>13</v>
      </c>
      <c r="K2058" s="10">
        <v>3</v>
      </c>
      <c r="L2058" s="10">
        <v>2.1</v>
      </c>
      <c r="M2058" s="14">
        <v>25</v>
      </c>
      <c r="N2058" s="14">
        <v>25</v>
      </c>
      <c r="O2058" s="55" t="s">
        <v>1560</v>
      </c>
      <c r="P2058" s="47">
        <v>300</v>
      </c>
      <c r="Q2058" s="47"/>
      <c r="R2058" s="47"/>
      <c r="S2058" s="47">
        <v>60</v>
      </c>
      <c r="T2058" s="10">
        <v>2</v>
      </c>
      <c r="W2058" s="14"/>
      <c r="Y2058" s="83">
        <v>12.5</v>
      </c>
      <c r="Z2058" s="56" t="s">
        <v>62</v>
      </c>
    </row>
    <row r="2059" spans="1:26" ht="23.1" customHeight="1" x14ac:dyDescent="0.25">
      <c r="A2059" s="53" t="s">
        <v>1337</v>
      </c>
      <c r="B2059" s="10" t="s">
        <v>113</v>
      </c>
      <c r="C2059" s="10">
        <v>97</v>
      </c>
      <c r="D2059" s="10" t="s">
        <v>787</v>
      </c>
      <c r="E2059" s="41" t="s">
        <v>1065</v>
      </c>
      <c r="F2059" s="41" t="s">
        <v>1065</v>
      </c>
      <c r="G2059" s="21" t="str">
        <f>VLOOKUP(D2059,[6]成飞半成品!$A:$B,2,0)</f>
        <v>根肋二段</v>
      </c>
      <c r="H2059" s="10" t="s">
        <v>250</v>
      </c>
      <c r="I2059" s="10">
        <v>60</v>
      </c>
      <c r="J2059" s="10" t="s">
        <v>2161</v>
      </c>
      <c r="K2059" s="10">
        <v>1</v>
      </c>
      <c r="L2059" s="10">
        <v>0.9</v>
      </c>
      <c r="M2059" s="14">
        <v>25</v>
      </c>
      <c r="N2059" s="14">
        <v>25</v>
      </c>
      <c r="O2059" s="55" t="s">
        <v>429</v>
      </c>
      <c r="Q2059" s="10">
        <v>570</v>
      </c>
      <c r="R2059" s="10">
        <v>60</v>
      </c>
      <c r="T2059" s="10">
        <v>1</v>
      </c>
      <c r="U2059" s="10">
        <v>60</v>
      </c>
      <c r="W2059" s="14"/>
      <c r="Y2059" s="79">
        <v>9.6</v>
      </c>
      <c r="Z2059" s="56" t="s">
        <v>1</v>
      </c>
    </row>
    <row r="2060" spans="1:26" ht="23.1" customHeight="1" x14ac:dyDescent="0.25">
      <c r="A2060" s="53" t="s">
        <v>1337</v>
      </c>
      <c r="B2060" s="10" t="s">
        <v>113</v>
      </c>
      <c r="C2060" s="10">
        <v>105</v>
      </c>
      <c r="D2060" s="10" t="s">
        <v>1176</v>
      </c>
      <c r="E2060" s="41" t="s">
        <v>1098</v>
      </c>
      <c r="F2060" s="41" t="s">
        <v>1098</v>
      </c>
      <c r="G2060" s="21" t="str">
        <f>VLOOKUP(D2060,[6]成飞半成品!$A:$B,2,0)</f>
        <v>根肋一段</v>
      </c>
      <c r="H2060" s="10" t="s">
        <v>250</v>
      </c>
      <c r="I2060" s="10">
        <v>50</v>
      </c>
      <c r="J2060" s="10" t="s">
        <v>2185</v>
      </c>
      <c r="K2060" s="10">
        <v>0.4</v>
      </c>
      <c r="L2060" s="10">
        <v>0.6</v>
      </c>
      <c r="M2060" s="14">
        <v>25</v>
      </c>
      <c r="N2060" s="14">
        <v>25</v>
      </c>
      <c r="O2060" s="55" t="s">
        <v>429</v>
      </c>
      <c r="Q2060" s="10">
        <v>1080</v>
      </c>
      <c r="R2060" s="10">
        <v>60</v>
      </c>
      <c r="U2060" s="10">
        <v>120</v>
      </c>
      <c r="W2060" s="14"/>
      <c r="Y2060" s="79">
        <v>10.8</v>
      </c>
      <c r="Z2060" s="56" t="s">
        <v>28</v>
      </c>
    </row>
    <row r="2061" spans="1:26" ht="23.1" customHeight="1" x14ac:dyDescent="0.25">
      <c r="A2061" s="53" t="s">
        <v>1337</v>
      </c>
      <c r="B2061" s="10" t="s">
        <v>113</v>
      </c>
      <c r="C2061" s="10">
        <v>82</v>
      </c>
      <c r="D2061" s="10" t="s">
        <v>1074</v>
      </c>
      <c r="E2061" s="41" t="s">
        <v>1075</v>
      </c>
      <c r="F2061" s="41" t="s">
        <v>1075</v>
      </c>
      <c r="G2061" s="21" t="str">
        <f>VLOOKUP(D2061,[6]成飞半成品!$A:$B,2,0)</f>
        <v>油箱底板（中）</v>
      </c>
      <c r="H2061" s="10" t="s">
        <v>154</v>
      </c>
      <c r="I2061" s="10">
        <v>30</v>
      </c>
      <c r="J2061" s="10" t="s">
        <v>2291</v>
      </c>
      <c r="K2061" s="10">
        <v>3</v>
      </c>
      <c r="L2061" s="10">
        <v>3.4</v>
      </c>
      <c r="M2061" s="14">
        <v>25</v>
      </c>
      <c r="N2061" s="14">
        <v>25</v>
      </c>
      <c r="O2061" s="55" t="s">
        <v>1561</v>
      </c>
      <c r="Q2061" s="10">
        <v>240</v>
      </c>
      <c r="T2061" s="10">
        <v>3</v>
      </c>
      <c r="U2061" s="10">
        <v>120</v>
      </c>
      <c r="W2061" s="14"/>
      <c r="Y2061" s="79">
        <v>13.6</v>
      </c>
      <c r="Z2061" s="56" t="s">
        <v>56</v>
      </c>
    </row>
    <row r="2062" spans="1:26" ht="23.1" customHeight="1" x14ac:dyDescent="0.25">
      <c r="A2062" s="53" t="s">
        <v>1337</v>
      </c>
      <c r="B2062" s="10" t="s">
        <v>113</v>
      </c>
      <c r="C2062" s="10">
        <v>19</v>
      </c>
      <c r="D2062" s="10" t="s">
        <v>395</v>
      </c>
      <c r="E2062" s="41" t="s">
        <v>396</v>
      </c>
      <c r="F2062" s="41" t="e">
        <v>#N/A</v>
      </c>
      <c r="G2062" s="21" t="e">
        <f>VLOOKUP(D2062,[6]成飞半成品!$A:$B,2,0)</f>
        <v>#N/A</v>
      </c>
      <c r="H2062" s="10" t="s">
        <v>300</v>
      </c>
      <c r="I2062" s="10">
        <v>30</v>
      </c>
      <c r="J2062" s="10" t="s">
        <v>2193</v>
      </c>
      <c r="K2062" s="10">
        <v>3</v>
      </c>
      <c r="L2062" s="10">
        <v>0.5</v>
      </c>
      <c r="M2062" s="14">
        <v>25</v>
      </c>
      <c r="N2062" s="14">
        <v>25</v>
      </c>
      <c r="O2062" s="55" t="s">
        <v>399</v>
      </c>
      <c r="Q2062" s="10">
        <v>630</v>
      </c>
      <c r="R2062" s="10">
        <v>90</v>
      </c>
      <c r="T2062" s="10">
        <v>1</v>
      </c>
      <c r="U2062" s="10">
        <v>90</v>
      </c>
      <c r="W2062" s="14">
        <v>1</v>
      </c>
      <c r="Y2062" s="79">
        <v>8.3000000000000007</v>
      </c>
      <c r="Z2062" s="56" t="s">
        <v>11</v>
      </c>
    </row>
    <row r="2063" spans="1:26" ht="23.1" customHeight="1" x14ac:dyDescent="0.25">
      <c r="A2063" s="53" t="s">
        <v>1337</v>
      </c>
      <c r="B2063" s="10" t="s">
        <v>113</v>
      </c>
      <c r="C2063" s="10">
        <v>83</v>
      </c>
      <c r="D2063" s="10" t="s">
        <v>1095</v>
      </c>
      <c r="E2063" s="41" t="s">
        <v>1096</v>
      </c>
      <c r="F2063" s="41" t="s">
        <v>1096</v>
      </c>
      <c r="G2063" s="21" t="str">
        <f>VLOOKUP(D2063,[6]成飞半成品!$A:$B,2,0)</f>
        <v>1150肋根肋</v>
      </c>
      <c r="H2063" s="10" t="s">
        <v>658</v>
      </c>
      <c r="I2063" s="10">
        <v>15</v>
      </c>
      <c r="J2063" s="10" t="s">
        <v>2292</v>
      </c>
      <c r="K2063" s="10">
        <v>3</v>
      </c>
      <c r="L2063" s="10">
        <v>3</v>
      </c>
      <c r="M2063" s="14">
        <v>25</v>
      </c>
      <c r="N2063" s="14">
        <v>25</v>
      </c>
      <c r="O2063" s="55" t="s">
        <v>412</v>
      </c>
      <c r="Q2063" s="10">
        <v>270</v>
      </c>
      <c r="R2063" s="10">
        <v>60</v>
      </c>
      <c r="T2063" s="10">
        <v>3</v>
      </c>
      <c r="U2063" s="10">
        <v>60</v>
      </c>
      <c r="W2063" s="14"/>
      <c r="Y2063" s="79">
        <v>16.5</v>
      </c>
      <c r="Z2063" s="56" t="s">
        <v>48</v>
      </c>
    </row>
    <row r="2064" spans="1:26" ht="23.1" customHeight="1" x14ac:dyDescent="0.25">
      <c r="A2064" s="53" t="s">
        <v>1337</v>
      </c>
      <c r="B2064" s="10" t="s">
        <v>113</v>
      </c>
      <c r="C2064" s="10">
        <v>44</v>
      </c>
      <c r="D2064" s="10" t="s">
        <v>495</v>
      </c>
      <c r="E2064" s="41" t="s">
        <v>267</v>
      </c>
      <c r="F2064" s="41" t="s">
        <v>267</v>
      </c>
      <c r="G2064" s="21" t="str">
        <f>VLOOKUP(D2064,[6]成飞半成品!$A:$B,2,0)</f>
        <v>后端框</v>
      </c>
      <c r="H2064" s="10" t="s">
        <v>118</v>
      </c>
      <c r="I2064" s="10">
        <v>55</v>
      </c>
      <c r="J2064" s="10" t="s">
        <v>2166</v>
      </c>
      <c r="K2064" s="10">
        <v>0.6</v>
      </c>
      <c r="L2064" s="10">
        <v>0.6</v>
      </c>
      <c r="M2064" s="14">
        <v>25</v>
      </c>
      <c r="N2064" s="14">
        <v>25</v>
      </c>
      <c r="O2064" s="55" t="s">
        <v>429</v>
      </c>
      <c r="Q2064" s="10">
        <v>1260</v>
      </c>
      <c r="R2064" s="10">
        <v>90</v>
      </c>
      <c r="U2064" s="10">
        <v>60</v>
      </c>
      <c r="W2064" s="14"/>
      <c r="Y2064" s="79">
        <v>12.6</v>
      </c>
      <c r="Z2064" s="56" t="s">
        <v>48</v>
      </c>
    </row>
    <row r="2065" spans="1:27" ht="23.1" customHeight="1" x14ac:dyDescent="0.25">
      <c r="A2065" s="53" t="s">
        <v>1337</v>
      </c>
      <c r="B2065" s="10" t="s">
        <v>113</v>
      </c>
      <c r="C2065" s="10">
        <v>100</v>
      </c>
      <c r="D2065" s="10" t="s">
        <v>298</v>
      </c>
      <c r="E2065" s="41" t="s">
        <v>299</v>
      </c>
      <c r="F2065" s="41" t="s">
        <v>299</v>
      </c>
      <c r="G2065" s="21" t="str">
        <f>VLOOKUP(D2065,[6]成飞半成品!$A:$B,2,0)</f>
        <v>8635右隔框</v>
      </c>
      <c r="H2065" s="10" t="s">
        <v>300</v>
      </c>
      <c r="I2065" s="10">
        <v>25</v>
      </c>
      <c r="J2065" s="10" t="s">
        <v>2140</v>
      </c>
      <c r="K2065" s="10">
        <v>1</v>
      </c>
      <c r="L2065" s="10">
        <v>1</v>
      </c>
      <c r="M2065" s="14">
        <v>25</v>
      </c>
      <c r="N2065" s="14">
        <v>25</v>
      </c>
      <c r="O2065" s="55" t="s">
        <v>914</v>
      </c>
      <c r="Q2065" s="10">
        <v>660</v>
      </c>
      <c r="R2065" s="10">
        <v>60</v>
      </c>
      <c r="T2065" s="10">
        <v>1</v>
      </c>
      <c r="U2065" s="10">
        <v>180</v>
      </c>
      <c r="W2065" s="14"/>
      <c r="Y2065" s="79">
        <v>12</v>
      </c>
      <c r="Z2065" s="56" t="s">
        <v>48</v>
      </c>
    </row>
    <row r="2066" spans="1:27" ht="23.1" customHeight="1" x14ac:dyDescent="0.25">
      <c r="A2066" s="53" t="s">
        <v>1337</v>
      </c>
      <c r="B2066" s="10" t="s">
        <v>113</v>
      </c>
      <c r="C2066" s="10">
        <v>102</v>
      </c>
      <c r="D2066" s="10" t="s">
        <v>1067</v>
      </c>
      <c r="E2066" s="41" t="s">
        <v>1068</v>
      </c>
      <c r="F2066" s="41" t="s">
        <v>1068</v>
      </c>
      <c r="G2066" s="21" t="str">
        <f>VLOOKUP(D2066,[6]成飞半成品!$A:$B,2,0)</f>
        <v>11900梁一段（右件）</v>
      </c>
      <c r="H2066" s="47" t="s">
        <v>323</v>
      </c>
      <c r="I2066" s="10">
        <v>10</v>
      </c>
      <c r="J2066" s="10" t="s">
        <v>2293</v>
      </c>
      <c r="K2066" s="10">
        <v>1</v>
      </c>
      <c r="M2066" s="14">
        <v>25</v>
      </c>
      <c r="N2066" s="14">
        <v>25</v>
      </c>
      <c r="O2066" s="55" t="s">
        <v>316</v>
      </c>
      <c r="Q2066" s="10">
        <v>220</v>
      </c>
      <c r="R2066" s="10">
        <v>60</v>
      </c>
      <c r="T2066" s="10">
        <v>1</v>
      </c>
      <c r="U2066" s="10">
        <v>60</v>
      </c>
      <c r="W2066" s="14"/>
      <c r="Y2066" s="79">
        <v>1</v>
      </c>
      <c r="Z2066" s="56" t="s">
        <v>48</v>
      </c>
    </row>
    <row r="2067" spans="1:27" ht="23.1" customHeight="1" x14ac:dyDescent="0.25">
      <c r="A2067" s="53" t="s">
        <v>1337</v>
      </c>
      <c r="B2067" s="10" t="s">
        <v>113</v>
      </c>
      <c r="C2067" s="10">
        <v>106</v>
      </c>
      <c r="D2067" s="10" t="s">
        <v>1070</v>
      </c>
      <c r="E2067" s="41" t="s">
        <v>101</v>
      </c>
      <c r="F2067" s="41" t="s">
        <v>101</v>
      </c>
      <c r="G2067" s="21" t="str">
        <f>VLOOKUP(D2067,[6]成飞半成品!$A:$B,2,0)</f>
        <v>前梁一段</v>
      </c>
      <c r="H2067" s="10" t="s">
        <v>300</v>
      </c>
      <c r="I2067" s="10">
        <v>30</v>
      </c>
      <c r="J2067" s="10" t="s">
        <v>2127</v>
      </c>
      <c r="K2067" s="10">
        <v>0.7</v>
      </c>
      <c r="L2067" s="10">
        <v>0.5</v>
      </c>
      <c r="M2067" s="14">
        <v>25</v>
      </c>
      <c r="N2067" s="14">
        <v>25</v>
      </c>
      <c r="O2067" s="55" t="s">
        <v>476</v>
      </c>
      <c r="Q2067" s="10">
        <v>1500</v>
      </c>
      <c r="R2067" s="10">
        <v>180</v>
      </c>
      <c r="U2067" s="10">
        <v>180</v>
      </c>
      <c r="W2067" s="14"/>
      <c r="Y2067" s="79">
        <v>12.5</v>
      </c>
      <c r="Z2067" s="56" t="s">
        <v>48</v>
      </c>
    </row>
    <row r="2068" spans="1:27" ht="23.1" customHeight="1" x14ac:dyDescent="0.25">
      <c r="A2068" s="53" t="s">
        <v>1337</v>
      </c>
      <c r="B2068" s="10" t="s">
        <v>113</v>
      </c>
      <c r="C2068" s="10">
        <v>45</v>
      </c>
      <c r="D2068" s="10" t="s">
        <v>1128</v>
      </c>
      <c r="E2068" s="41" t="s">
        <v>708</v>
      </c>
      <c r="F2068" s="41" t="e">
        <v>#N/A</v>
      </c>
      <c r="G2068" s="21" t="e">
        <f>VLOOKUP(D2068,[6]成飞半成品!$A:$B,2,0)</f>
        <v>#N/A</v>
      </c>
      <c r="H2068" s="10" t="s">
        <v>250</v>
      </c>
      <c r="I2068" s="10">
        <v>10</v>
      </c>
      <c r="J2068" s="10" t="s">
        <v>2059</v>
      </c>
      <c r="K2068" s="10">
        <v>3</v>
      </c>
      <c r="L2068" s="10">
        <v>3.5</v>
      </c>
      <c r="M2068" s="14">
        <v>25</v>
      </c>
      <c r="N2068" s="14">
        <v>25</v>
      </c>
      <c r="O2068" s="55" t="s">
        <v>852</v>
      </c>
      <c r="Q2068" s="10">
        <v>180</v>
      </c>
      <c r="R2068" s="10">
        <v>60</v>
      </c>
      <c r="T2068" s="10">
        <v>3</v>
      </c>
      <c r="U2068" s="10">
        <v>60</v>
      </c>
      <c r="W2068" s="14"/>
      <c r="Y2068" s="79">
        <v>13.5</v>
      </c>
      <c r="Z2068" s="56" t="s">
        <v>48</v>
      </c>
    </row>
    <row r="2069" spans="1:27" ht="23.1" customHeight="1" x14ac:dyDescent="0.25">
      <c r="A2069" s="53" t="s">
        <v>1337</v>
      </c>
      <c r="B2069" s="10" t="s">
        <v>113</v>
      </c>
      <c r="C2069" s="10">
        <v>103</v>
      </c>
      <c r="D2069" s="10" t="s">
        <v>834</v>
      </c>
      <c r="E2069" s="41" t="s">
        <v>835</v>
      </c>
      <c r="F2069" s="41" t="s">
        <v>835</v>
      </c>
      <c r="G2069" s="21" t="str">
        <f>VLOOKUP(D2069,[6]成飞半成品!$A:$B,2,0)</f>
        <v>根肋三段</v>
      </c>
      <c r="H2069" s="10" t="s">
        <v>154</v>
      </c>
      <c r="I2069" s="10">
        <v>65</v>
      </c>
      <c r="J2069" s="10" t="s">
        <v>2200</v>
      </c>
      <c r="K2069" s="10">
        <v>2</v>
      </c>
      <c r="L2069" s="10">
        <v>2</v>
      </c>
      <c r="M2069" s="14">
        <v>25</v>
      </c>
      <c r="N2069" s="14">
        <v>25</v>
      </c>
      <c r="O2069" s="55" t="s">
        <v>1562</v>
      </c>
      <c r="Q2069" s="10">
        <v>100</v>
      </c>
      <c r="R2069" s="10">
        <v>60</v>
      </c>
      <c r="T2069" s="10">
        <v>2</v>
      </c>
      <c r="U2069" s="10">
        <v>60</v>
      </c>
      <c r="W2069" s="14"/>
      <c r="X2069" s="14">
        <v>3</v>
      </c>
      <c r="Y2069" s="79">
        <v>8.3000000000000007</v>
      </c>
      <c r="Z2069" s="56" t="s">
        <v>48</v>
      </c>
      <c r="AA2069" s="14" t="s">
        <v>1413</v>
      </c>
    </row>
    <row r="2070" spans="1:27" ht="23.1" customHeight="1" x14ac:dyDescent="0.25">
      <c r="A2070" s="53" t="s">
        <v>1337</v>
      </c>
      <c r="B2070" s="10" t="s">
        <v>113</v>
      </c>
      <c r="C2070" s="10">
        <v>103</v>
      </c>
      <c r="D2070" s="65" t="s">
        <v>2551</v>
      </c>
      <c r="E2070" s="41" t="s">
        <v>938</v>
      </c>
      <c r="F2070" s="41" t="s">
        <v>938</v>
      </c>
      <c r="G2070" s="21" t="str">
        <f>VLOOKUP(D2070,[6]成飞半成品!$A:$B,2,0)</f>
        <v>工装</v>
      </c>
      <c r="H2070" s="47" t="s">
        <v>939</v>
      </c>
      <c r="I2070" s="10">
        <v>50</v>
      </c>
      <c r="J2070" s="10" t="s">
        <v>2490</v>
      </c>
      <c r="L2070" s="10">
        <v>1</v>
      </c>
      <c r="M2070" s="14">
        <v>25</v>
      </c>
      <c r="N2070" s="14">
        <v>25</v>
      </c>
      <c r="O2070" s="55" t="s">
        <v>425</v>
      </c>
      <c r="Q2070" s="10">
        <v>60</v>
      </c>
      <c r="R2070" s="10">
        <v>60</v>
      </c>
      <c r="T2070" s="10">
        <v>1</v>
      </c>
      <c r="U2070" s="10">
        <v>60</v>
      </c>
      <c r="W2070" s="14">
        <v>1</v>
      </c>
      <c r="X2070" s="10">
        <v>3</v>
      </c>
      <c r="Y2070" s="79">
        <v>6</v>
      </c>
      <c r="Z2070" s="56" t="s">
        <v>48</v>
      </c>
      <c r="AA2070" s="14" t="s">
        <v>1413</v>
      </c>
    </row>
    <row r="2071" spans="1:27" ht="23.1" customHeight="1" x14ac:dyDescent="0.25">
      <c r="A2071" s="53" t="s">
        <v>1337</v>
      </c>
      <c r="B2071" s="10" t="s">
        <v>113</v>
      </c>
      <c r="C2071" s="10">
        <v>103</v>
      </c>
      <c r="D2071" s="65" t="s">
        <v>2551</v>
      </c>
      <c r="E2071" s="41" t="s">
        <v>938</v>
      </c>
      <c r="F2071" s="41" t="s">
        <v>938</v>
      </c>
      <c r="G2071" s="21" t="str">
        <f>VLOOKUP(D2071,[6]成飞半成品!$A:$B,2,0)</f>
        <v>工装</v>
      </c>
      <c r="H2071" s="47" t="s">
        <v>939</v>
      </c>
      <c r="I2071" s="10">
        <v>55</v>
      </c>
      <c r="J2071" s="10" t="s">
        <v>2004</v>
      </c>
      <c r="L2071" s="10">
        <v>0.3</v>
      </c>
      <c r="M2071" s="14">
        <v>25</v>
      </c>
      <c r="N2071" s="14">
        <v>25</v>
      </c>
      <c r="O2071" s="55" t="s">
        <v>425</v>
      </c>
      <c r="Q2071" s="10">
        <v>600</v>
      </c>
      <c r="R2071" s="10">
        <v>60</v>
      </c>
      <c r="T2071" s="10">
        <v>1</v>
      </c>
      <c r="U2071" s="10">
        <v>90</v>
      </c>
      <c r="W2071" s="14">
        <v>1</v>
      </c>
      <c r="Y2071" s="79">
        <v>5.5</v>
      </c>
      <c r="Z2071" s="56" t="s">
        <v>48</v>
      </c>
    </row>
    <row r="2072" spans="1:27" ht="23.1" customHeight="1" x14ac:dyDescent="0.25">
      <c r="A2072" s="53" t="s">
        <v>1337</v>
      </c>
      <c r="B2072" s="10" t="s">
        <v>113</v>
      </c>
      <c r="C2072" s="10">
        <v>117</v>
      </c>
      <c r="D2072" s="10" t="s">
        <v>1081</v>
      </c>
      <c r="E2072" s="41" t="s">
        <v>1082</v>
      </c>
      <c r="F2072" s="41" t="s">
        <v>1082</v>
      </c>
      <c r="G2072" s="21" t="str">
        <f>VLOOKUP(D2072,[6]成飞半成品!$A:$B,2,0)</f>
        <v xml:space="preserve"> 前梁</v>
      </c>
      <c r="H2072" s="10" t="s">
        <v>123</v>
      </c>
      <c r="I2072" s="10">
        <v>35</v>
      </c>
      <c r="J2072" s="10" t="s">
        <v>2201</v>
      </c>
      <c r="L2072" s="10">
        <v>0.2</v>
      </c>
      <c r="M2072" s="14">
        <v>25</v>
      </c>
      <c r="N2072" s="14">
        <v>25</v>
      </c>
      <c r="O2072" s="55" t="s">
        <v>860</v>
      </c>
      <c r="Q2072" s="10">
        <v>700</v>
      </c>
      <c r="R2072" s="10">
        <v>60</v>
      </c>
      <c r="U2072" s="10">
        <v>90</v>
      </c>
      <c r="W2072" s="14"/>
      <c r="Y2072" s="79">
        <v>2.2999999999999998</v>
      </c>
      <c r="Z2072" s="56" t="s">
        <v>48</v>
      </c>
    </row>
    <row r="2073" spans="1:27" ht="23.1" customHeight="1" x14ac:dyDescent="0.25">
      <c r="A2073" s="53" t="s">
        <v>1337</v>
      </c>
      <c r="B2073" s="10" t="s">
        <v>113</v>
      </c>
      <c r="C2073" s="10">
        <v>117</v>
      </c>
      <c r="D2073" s="10" t="s">
        <v>1083</v>
      </c>
      <c r="E2073" s="41" t="s">
        <v>1082</v>
      </c>
      <c r="F2073" s="41" t="s">
        <v>1082</v>
      </c>
      <c r="G2073" s="21" t="str">
        <f>VLOOKUP(D2073,[6]成飞半成品!$A:$B,2,0)</f>
        <v xml:space="preserve"> 前梁</v>
      </c>
      <c r="H2073" s="10" t="s">
        <v>123</v>
      </c>
      <c r="I2073" s="10">
        <v>35</v>
      </c>
      <c r="J2073" s="10" t="s">
        <v>2201</v>
      </c>
      <c r="L2073" s="10">
        <v>0.6</v>
      </c>
      <c r="M2073" s="14">
        <v>25</v>
      </c>
      <c r="N2073" s="14">
        <v>25</v>
      </c>
      <c r="O2073" s="55" t="s">
        <v>860</v>
      </c>
      <c r="Q2073" s="10">
        <v>700</v>
      </c>
      <c r="R2073" s="10">
        <v>60</v>
      </c>
      <c r="U2073" s="10">
        <v>90</v>
      </c>
      <c r="W2073" s="14">
        <v>1</v>
      </c>
      <c r="Y2073" s="79">
        <v>8.5</v>
      </c>
      <c r="Z2073" s="56" t="s">
        <v>48</v>
      </c>
    </row>
    <row r="2074" spans="1:27" ht="23.1" customHeight="1" x14ac:dyDescent="0.25">
      <c r="A2074" s="53" t="s">
        <v>1337</v>
      </c>
      <c r="B2074" s="10" t="s">
        <v>113</v>
      </c>
      <c r="C2074" s="10">
        <v>118</v>
      </c>
      <c r="D2074" s="10" t="s">
        <v>1171</v>
      </c>
      <c r="E2074" s="41" t="s">
        <v>1172</v>
      </c>
      <c r="F2074" s="41" t="s">
        <v>1172</v>
      </c>
      <c r="G2074" s="21" t="str">
        <f>VLOOKUP(D2074,[6]成飞半成品!$A:$B,2,0)</f>
        <v>后梁</v>
      </c>
      <c r="H2074" s="10" t="s">
        <v>300</v>
      </c>
      <c r="I2074" s="10">
        <v>5</v>
      </c>
      <c r="J2074" s="10" t="s">
        <v>2448</v>
      </c>
      <c r="L2074" s="10">
        <v>1.5</v>
      </c>
      <c r="M2074" s="14">
        <v>25</v>
      </c>
      <c r="N2074" s="14">
        <v>25</v>
      </c>
      <c r="O2074" s="55" t="s">
        <v>1563</v>
      </c>
      <c r="Q2074" s="10">
        <v>180</v>
      </c>
      <c r="R2074" s="10">
        <v>60</v>
      </c>
      <c r="U2074" s="10">
        <v>60</v>
      </c>
      <c r="W2074" s="14"/>
      <c r="Y2074" s="79">
        <v>4.5</v>
      </c>
      <c r="Z2074" s="56" t="s">
        <v>48</v>
      </c>
    </row>
    <row r="2075" spans="1:27" ht="23.1" customHeight="1" x14ac:dyDescent="0.25">
      <c r="A2075" s="53" t="s">
        <v>1337</v>
      </c>
      <c r="B2075" s="10" t="s">
        <v>113</v>
      </c>
      <c r="C2075" s="10">
        <v>118</v>
      </c>
      <c r="D2075" s="25" t="s">
        <v>2551</v>
      </c>
      <c r="E2075" s="41" t="s">
        <v>1564</v>
      </c>
      <c r="F2075" s="41">
        <v>0</v>
      </c>
      <c r="G2075" s="21" t="str">
        <f>VLOOKUP(D2075,[6]成飞半成品!$A:$B,2,0)</f>
        <v>工装</v>
      </c>
      <c r="H2075" s="10" t="s">
        <v>102</v>
      </c>
      <c r="M2075" s="14">
        <v>25</v>
      </c>
      <c r="N2075" s="14">
        <v>25</v>
      </c>
      <c r="W2075" s="14">
        <v>1</v>
      </c>
      <c r="X2075" s="14">
        <v>6</v>
      </c>
      <c r="Y2075" s="79">
        <v>6</v>
      </c>
      <c r="Z2075" s="56" t="s">
        <v>48</v>
      </c>
      <c r="AA2075" s="14" t="s">
        <v>1565</v>
      </c>
    </row>
    <row r="2076" spans="1:27" ht="23.1" customHeight="1" x14ac:dyDescent="0.25">
      <c r="A2076" s="53" t="s">
        <v>1333</v>
      </c>
      <c r="B2076" s="10" t="s">
        <v>110</v>
      </c>
      <c r="C2076" s="10">
        <v>19</v>
      </c>
      <c r="D2076" s="10" t="s">
        <v>395</v>
      </c>
      <c r="E2076" s="41" t="s">
        <v>396</v>
      </c>
      <c r="F2076" s="41" t="e">
        <v>#N/A</v>
      </c>
      <c r="G2076" s="21" t="e">
        <f>VLOOKUP(D2076,[6]成飞半成品!$A:$B,2,0)</f>
        <v>#N/A</v>
      </c>
      <c r="H2076" s="10" t="s">
        <v>300</v>
      </c>
      <c r="I2076" s="10">
        <v>30</v>
      </c>
      <c r="J2076" s="10" t="s">
        <v>2491</v>
      </c>
      <c r="K2076" s="10">
        <v>1</v>
      </c>
      <c r="L2076" s="10">
        <v>0.7</v>
      </c>
      <c r="M2076" s="14">
        <v>32</v>
      </c>
      <c r="N2076" s="14">
        <v>32</v>
      </c>
      <c r="O2076" s="55" t="s">
        <v>1177</v>
      </c>
      <c r="Q2076" s="10">
        <v>630</v>
      </c>
      <c r="R2076" s="10">
        <v>90</v>
      </c>
      <c r="T2076" s="10">
        <v>1</v>
      </c>
      <c r="U2076" s="10">
        <v>90</v>
      </c>
      <c r="W2076" s="14"/>
      <c r="Y2076" s="79">
        <v>8.9</v>
      </c>
      <c r="Z2076" s="56" t="s">
        <v>17</v>
      </c>
    </row>
    <row r="2077" spans="1:27" ht="23.1" customHeight="1" x14ac:dyDescent="0.25">
      <c r="A2077" s="53" t="s">
        <v>1333</v>
      </c>
      <c r="B2077" s="10" t="s">
        <v>110</v>
      </c>
      <c r="C2077" s="10">
        <v>44</v>
      </c>
      <c r="D2077" s="10" t="s">
        <v>495</v>
      </c>
      <c r="E2077" s="41" t="s">
        <v>267</v>
      </c>
      <c r="F2077" s="41" t="s">
        <v>267</v>
      </c>
      <c r="G2077" s="21" t="str">
        <f>VLOOKUP(D2077,[6]成飞半成品!$A:$B,2,0)</f>
        <v>后端框</v>
      </c>
      <c r="H2077" s="10" t="s">
        <v>118</v>
      </c>
      <c r="I2077" s="10">
        <v>55</v>
      </c>
      <c r="J2077" s="10" t="s">
        <v>2166</v>
      </c>
      <c r="K2077" s="10">
        <v>0.6</v>
      </c>
      <c r="L2077" s="10">
        <v>0.5</v>
      </c>
      <c r="M2077" s="14">
        <v>32</v>
      </c>
      <c r="N2077" s="14">
        <v>32</v>
      </c>
      <c r="O2077" s="55" t="s">
        <v>155</v>
      </c>
      <c r="Q2077" s="10">
        <v>1260</v>
      </c>
      <c r="R2077" s="10">
        <v>90</v>
      </c>
      <c r="U2077" s="10">
        <v>60</v>
      </c>
      <c r="W2077" s="14"/>
      <c r="X2077" s="14">
        <v>2</v>
      </c>
      <c r="Y2077" s="79">
        <v>12.5</v>
      </c>
      <c r="Z2077" s="56" t="s">
        <v>64</v>
      </c>
      <c r="AA2077" s="14" t="s">
        <v>1566</v>
      </c>
    </row>
    <row r="2078" spans="1:27" ht="23.1" customHeight="1" x14ac:dyDescent="0.25">
      <c r="A2078" s="53" t="s">
        <v>1333</v>
      </c>
      <c r="B2078" s="10" t="s">
        <v>110</v>
      </c>
      <c r="C2078" s="10">
        <v>97</v>
      </c>
      <c r="D2078" s="10" t="s">
        <v>787</v>
      </c>
      <c r="E2078" s="41" t="s">
        <v>1065</v>
      </c>
      <c r="F2078" s="41" t="s">
        <v>1065</v>
      </c>
      <c r="G2078" s="21" t="str">
        <f>VLOOKUP(D2078,[6]成飞半成品!$A:$B,2,0)</f>
        <v>根肋二段</v>
      </c>
      <c r="H2078" s="10" t="s">
        <v>250</v>
      </c>
      <c r="I2078" s="10">
        <v>60</v>
      </c>
      <c r="J2078" s="10" t="s">
        <v>2156</v>
      </c>
      <c r="K2078" s="10">
        <v>1</v>
      </c>
      <c r="L2078" s="10">
        <v>1.1000000000000001</v>
      </c>
      <c r="M2078" s="14">
        <v>32</v>
      </c>
      <c r="N2078" s="14">
        <v>32</v>
      </c>
      <c r="O2078" s="55" t="s">
        <v>429</v>
      </c>
      <c r="Q2078" s="10">
        <v>570</v>
      </c>
      <c r="R2078" s="10">
        <v>60</v>
      </c>
      <c r="T2078" s="10">
        <v>1</v>
      </c>
      <c r="U2078" s="10">
        <v>60</v>
      </c>
      <c r="W2078" s="14"/>
      <c r="Y2078" s="79">
        <v>11.5</v>
      </c>
      <c r="Z2078" s="56" t="s">
        <v>39</v>
      </c>
    </row>
    <row r="2079" spans="1:27" ht="23.1" customHeight="1" x14ac:dyDescent="0.25">
      <c r="A2079" s="53" t="s">
        <v>1333</v>
      </c>
      <c r="B2079" s="10" t="s">
        <v>110</v>
      </c>
      <c r="C2079" s="10">
        <v>101</v>
      </c>
      <c r="D2079" s="10" t="s">
        <v>1128</v>
      </c>
      <c r="E2079" s="41" t="s">
        <v>708</v>
      </c>
      <c r="F2079" s="41" t="e">
        <v>#N/A</v>
      </c>
      <c r="G2079" s="21" t="e">
        <f>VLOOKUP(D2079,[6]成飞半成品!$A:$B,2,0)</f>
        <v>#N/A</v>
      </c>
      <c r="H2079" s="10" t="s">
        <v>250</v>
      </c>
      <c r="I2079" s="10">
        <v>35</v>
      </c>
      <c r="J2079" s="10" t="s">
        <v>2027</v>
      </c>
      <c r="L2079" s="10">
        <v>3</v>
      </c>
      <c r="M2079" s="14">
        <v>32</v>
      </c>
      <c r="N2079" s="14">
        <v>32</v>
      </c>
      <c r="O2079" s="55" t="s">
        <v>1114</v>
      </c>
      <c r="Q2079" s="10">
        <v>150</v>
      </c>
      <c r="R2079" s="10">
        <v>75</v>
      </c>
      <c r="T2079" s="10">
        <v>3</v>
      </c>
      <c r="U2079" s="10">
        <v>180</v>
      </c>
      <c r="W2079" s="14"/>
      <c r="X2079" s="14">
        <v>2</v>
      </c>
      <c r="Y2079" s="79">
        <v>13.3</v>
      </c>
      <c r="Z2079" s="56" t="s">
        <v>47</v>
      </c>
      <c r="AA2079" s="14" t="s">
        <v>1011</v>
      </c>
    </row>
    <row r="2080" spans="1:27" ht="23.1" customHeight="1" x14ac:dyDescent="0.25">
      <c r="A2080" s="53" t="s">
        <v>1333</v>
      </c>
      <c r="B2080" s="10" t="s">
        <v>110</v>
      </c>
      <c r="C2080" s="10">
        <v>105</v>
      </c>
      <c r="D2080" s="10" t="s">
        <v>1176</v>
      </c>
      <c r="E2080" s="41" t="s">
        <v>1098</v>
      </c>
      <c r="F2080" s="41" t="s">
        <v>1098</v>
      </c>
      <c r="G2080" s="21" t="str">
        <f>VLOOKUP(D2080,[6]成飞半成品!$A:$B,2,0)</f>
        <v>根肋一段</v>
      </c>
      <c r="H2080" s="10" t="s">
        <v>250</v>
      </c>
      <c r="I2080" s="10">
        <v>35</v>
      </c>
      <c r="J2080" s="10" t="s">
        <v>2073</v>
      </c>
      <c r="K2080" s="10">
        <v>4</v>
      </c>
      <c r="L2080" s="10">
        <v>6</v>
      </c>
      <c r="M2080" s="14">
        <v>32</v>
      </c>
      <c r="N2080" s="14">
        <v>32</v>
      </c>
      <c r="O2080" s="55" t="s">
        <v>1567</v>
      </c>
      <c r="Q2080" s="10">
        <v>90</v>
      </c>
      <c r="R2080" s="10">
        <v>60</v>
      </c>
      <c r="T2080" s="10">
        <v>6</v>
      </c>
      <c r="U2080" s="10">
        <v>60</v>
      </c>
      <c r="W2080" s="14"/>
      <c r="Y2080" s="79">
        <v>15</v>
      </c>
      <c r="Z2080" s="56" t="s">
        <v>9</v>
      </c>
    </row>
    <row r="2081" spans="1:26" ht="23.1" customHeight="1" x14ac:dyDescent="0.25">
      <c r="A2081" s="53" t="s">
        <v>1333</v>
      </c>
      <c r="B2081" s="10" t="s">
        <v>110</v>
      </c>
      <c r="C2081" s="10">
        <v>99</v>
      </c>
      <c r="D2081" s="10" t="s">
        <v>1191</v>
      </c>
      <c r="E2081" s="41" t="s">
        <v>1192</v>
      </c>
      <c r="F2081" s="41" t="s">
        <v>1192</v>
      </c>
      <c r="G2081" s="21" t="str">
        <f>VLOOKUP(D2081,[6]成飞半成品!$A:$B,2,0)</f>
        <v>后顶板</v>
      </c>
      <c r="H2081" s="10" t="s">
        <v>300</v>
      </c>
      <c r="I2081" s="10">
        <v>15</v>
      </c>
      <c r="J2081" s="10" t="s">
        <v>1871</v>
      </c>
      <c r="K2081" s="10">
        <v>1</v>
      </c>
      <c r="L2081" s="10">
        <v>0.1</v>
      </c>
      <c r="M2081" s="14">
        <v>32</v>
      </c>
      <c r="N2081" s="14">
        <v>32</v>
      </c>
      <c r="O2081" s="55" t="s">
        <v>519</v>
      </c>
      <c r="Q2081" s="10">
        <v>360</v>
      </c>
      <c r="R2081" s="10">
        <v>60</v>
      </c>
      <c r="U2081" s="10">
        <v>90</v>
      </c>
      <c r="W2081" s="14"/>
      <c r="Y2081" s="79">
        <v>0.6</v>
      </c>
      <c r="Z2081" s="56" t="s">
        <v>29</v>
      </c>
    </row>
    <row r="2082" spans="1:26" ht="23.1" customHeight="1" x14ac:dyDescent="0.25">
      <c r="A2082" s="53" t="s">
        <v>1333</v>
      </c>
      <c r="B2082" s="10" t="s">
        <v>110</v>
      </c>
      <c r="C2082" s="10">
        <v>99</v>
      </c>
      <c r="D2082" s="10" t="s">
        <v>1191</v>
      </c>
      <c r="E2082" s="41" t="s">
        <v>1192</v>
      </c>
      <c r="F2082" s="41" t="s">
        <v>1192</v>
      </c>
      <c r="G2082" s="21" t="str">
        <f>VLOOKUP(D2082,[6]成飞半成品!$A:$B,2,0)</f>
        <v>后顶板</v>
      </c>
      <c r="H2082" s="10" t="s">
        <v>300</v>
      </c>
      <c r="I2082" s="10">
        <v>20</v>
      </c>
      <c r="J2082" s="10" t="s">
        <v>2181</v>
      </c>
      <c r="K2082" s="10">
        <v>0.5</v>
      </c>
      <c r="L2082" s="10">
        <v>1.8</v>
      </c>
      <c r="M2082" s="14">
        <v>32</v>
      </c>
      <c r="N2082" s="14">
        <v>32</v>
      </c>
      <c r="O2082" s="55" t="s">
        <v>1137</v>
      </c>
      <c r="Q2082" s="10">
        <v>450</v>
      </c>
      <c r="R2082" s="10">
        <v>60</v>
      </c>
      <c r="T2082" s="10">
        <v>2</v>
      </c>
      <c r="U2082" s="10">
        <v>90</v>
      </c>
      <c r="W2082" s="14">
        <v>1</v>
      </c>
      <c r="Y2082" s="79">
        <v>17</v>
      </c>
      <c r="Z2082" s="56" t="s">
        <v>29</v>
      </c>
    </row>
    <row r="2083" spans="1:26" ht="23.1" customHeight="1" x14ac:dyDescent="0.25">
      <c r="A2083" s="53" t="s">
        <v>1333</v>
      </c>
      <c r="B2083" s="10" t="s">
        <v>110</v>
      </c>
      <c r="C2083" s="10">
        <v>103</v>
      </c>
      <c r="D2083" s="65" t="s">
        <v>2551</v>
      </c>
      <c r="E2083" s="41" t="s">
        <v>938</v>
      </c>
      <c r="F2083" s="41" t="s">
        <v>938</v>
      </c>
      <c r="G2083" s="21" t="str">
        <f>VLOOKUP(D2083,[6]成飞半成品!$A:$B,2,0)</f>
        <v>工装</v>
      </c>
      <c r="H2083" s="47" t="s">
        <v>939</v>
      </c>
      <c r="I2083" s="10">
        <v>55</v>
      </c>
      <c r="J2083" s="10" t="s">
        <v>2004</v>
      </c>
      <c r="K2083" s="10">
        <v>0.7</v>
      </c>
      <c r="L2083" s="10">
        <v>0.7</v>
      </c>
      <c r="M2083" s="14">
        <v>32</v>
      </c>
      <c r="N2083" s="14">
        <v>32</v>
      </c>
      <c r="O2083" s="55" t="s">
        <v>425</v>
      </c>
      <c r="Q2083" s="10">
        <v>600</v>
      </c>
      <c r="R2083" s="10">
        <v>60</v>
      </c>
      <c r="U2083" s="10">
        <v>90</v>
      </c>
      <c r="W2083" s="14"/>
      <c r="Y2083" s="79">
        <v>7</v>
      </c>
      <c r="Z2083" s="56" t="s">
        <v>61</v>
      </c>
    </row>
    <row r="2084" spans="1:26" ht="23.1" customHeight="1" x14ac:dyDescent="0.25">
      <c r="A2084" s="53" t="s">
        <v>1333</v>
      </c>
      <c r="B2084" s="10" t="s">
        <v>110</v>
      </c>
      <c r="C2084" s="10">
        <v>102</v>
      </c>
      <c r="D2084" s="10" t="s">
        <v>1097</v>
      </c>
      <c r="E2084" s="41" t="s">
        <v>1098</v>
      </c>
      <c r="F2084" s="41" t="s">
        <v>1098</v>
      </c>
      <c r="G2084" s="21" t="str">
        <f>VLOOKUP(D2084,[6]成飞半成品!$A:$B,2,0)</f>
        <v>根肋一段</v>
      </c>
      <c r="H2084" s="10" t="s">
        <v>250</v>
      </c>
      <c r="I2084" s="10">
        <v>35</v>
      </c>
      <c r="J2084" s="10" t="s">
        <v>2073</v>
      </c>
      <c r="K2084" s="10">
        <v>1</v>
      </c>
      <c r="L2084" s="10">
        <v>4</v>
      </c>
      <c r="M2084" s="14">
        <v>32</v>
      </c>
      <c r="N2084" s="14">
        <v>32</v>
      </c>
      <c r="O2084" s="55" t="s">
        <v>292</v>
      </c>
      <c r="Q2084" s="10">
        <v>90</v>
      </c>
      <c r="R2084" s="10">
        <v>60</v>
      </c>
      <c r="T2084" s="10">
        <v>4</v>
      </c>
      <c r="U2084" s="10">
        <v>60</v>
      </c>
      <c r="W2084" s="14"/>
      <c r="Y2084" s="79">
        <v>10</v>
      </c>
      <c r="Z2084" s="56" t="s">
        <v>36</v>
      </c>
    </row>
    <row r="2085" spans="1:26" ht="23.1" customHeight="1" x14ac:dyDescent="0.25">
      <c r="A2085" s="53" t="s">
        <v>1333</v>
      </c>
      <c r="B2085" s="10" t="s">
        <v>110</v>
      </c>
      <c r="C2085" s="10">
        <v>102</v>
      </c>
      <c r="D2085" s="10" t="s">
        <v>1067</v>
      </c>
      <c r="E2085" s="41" t="s">
        <v>1068</v>
      </c>
      <c r="F2085" s="41" t="s">
        <v>1068</v>
      </c>
      <c r="G2085" s="21" t="str">
        <f>VLOOKUP(D2085,[6]成飞半成品!$A:$B,2,0)</f>
        <v>11900梁一段（右件）</v>
      </c>
      <c r="H2085" s="47" t="s">
        <v>323</v>
      </c>
      <c r="I2085" s="10">
        <v>55</v>
      </c>
      <c r="J2085" s="10" t="s">
        <v>2295</v>
      </c>
      <c r="K2085" s="10">
        <v>0</v>
      </c>
      <c r="L2085" s="10">
        <v>4</v>
      </c>
      <c r="M2085" s="14">
        <v>32</v>
      </c>
      <c r="N2085" s="14">
        <v>32</v>
      </c>
      <c r="O2085" s="55" t="s">
        <v>427</v>
      </c>
      <c r="Q2085" s="10">
        <v>120</v>
      </c>
      <c r="R2085" s="10">
        <v>60</v>
      </c>
      <c r="T2085" s="10">
        <v>4</v>
      </c>
      <c r="U2085" s="10">
        <v>120</v>
      </c>
      <c r="W2085" s="14">
        <v>1</v>
      </c>
      <c r="Y2085" s="79">
        <v>14</v>
      </c>
      <c r="Z2085" s="56" t="s">
        <v>36</v>
      </c>
    </row>
    <row r="2086" spans="1:26" ht="23.1" customHeight="1" x14ac:dyDescent="0.25">
      <c r="A2086" s="53" t="s">
        <v>1333</v>
      </c>
      <c r="B2086" s="10" t="s">
        <v>110</v>
      </c>
      <c r="C2086" s="10">
        <v>98</v>
      </c>
      <c r="D2086" s="10" t="s">
        <v>404</v>
      </c>
      <c r="E2086" s="41" t="s">
        <v>405</v>
      </c>
      <c r="F2086" s="41" t="s">
        <v>405</v>
      </c>
      <c r="G2086" s="21" t="str">
        <f>VLOOKUP(D2086,[6]成飞半成品!$A:$B,2,0)</f>
        <v>11140框右下半框</v>
      </c>
      <c r="H2086" s="10" t="s">
        <v>118</v>
      </c>
      <c r="I2086" s="10">
        <v>13</v>
      </c>
      <c r="K2086" s="10">
        <v>0.8</v>
      </c>
      <c r="L2086" s="10">
        <v>1.1000000000000001</v>
      </c>
      <c r="M2086" s="14">
        <v>32</v>
      </c>
      <c r="N2086" s="14">
        <v>32</v>
      </c>
      <c r="O2086" s="55" t="s">
        <v>1115</v>
      </c>
      <c r="P2086" s="47">
        <v>300</v>
      </c>
      <c r="Q2086" s="47"/>
      <c r="R2086" s="47"/>
      <c r="S2086" s="47">
        <v>60</v>
      </c>
      <c r="T2086" s="10">
        <v>1</v>
      </c>
      <c r="W2086" s="14"/>
      <c r="Y2086" s="83">
        <v>6.5</v>
      </c>
      <c r="Z2086" s="56" t="s">
        <v>36</v>
      </c>
    </row>
    <row r="2087" spans="1:26" ht="23.1" customHeight="1" x14ac:dyDescent="0.25">
      <c r="A2087" s="53" t="s">
        <v>1333</v>
      </c>
      <c r="B2087" s="10" t="s">
        <v>110</v>
      </c>
      <c r="C2087" s="10">
        <v>98</v>
      </c>
      <c r="D2087" s="10" t="s">
        <v>404</v>
      </c>
      <c r="E2087" s="41" t="s">
        <v>405</v>
      </c>
      <c r="F2087" s="41" t="s">
        <v>405</v>
      </c>
      <c r="G2087" s="21" t="str">
        <f>VLOOKUP(D2087,[6]成飞半成品!$A:$B,2,0)</f>
        <v>11140框右下半框</v>
      </c>
      <c r="H2087" s="10" t="s">
        <v>118</v>
      </c>
      <c r="I2087" s="10">
        <v>13</v>
      </c>
      <c r="L2087" s="10">
        <v>1</v>
      </c>
      <c r="M2087" s="14">
        <v>32</v>
      </c>
      <c r="N2087" s="14">
        <v>32</v>
      </c>
      <c r="O2087" s="55" t="s">
        <v>355</v>
      </c>
      <c r="P2087" s="47">
        <v>300</v>
      </c>
      <c r="Q2087" s="47"/>
      <c r="R2087" s="47"/>
      <c r="S2087" s="47">
        <v>60</v>
      </c>
      <c r="T2087" s="10">
        <v>1</v>
      </c>
      <c r="V2087" s="10">
        <v>120</v>
      </c>
      <c r="W2087" s="14">
        <v>1</v>
      </c>
      <c r="Y2087" s="83">
        <v>8</v>
      </c>
      <c r="Z2087" s="56" t="s">
        <v>36</v>
      </c>
    </row>
    <row r="2088" spans="1:26" ht="23.1" customHeight="1" x14ac:dyDescent="0.25">
      <c r="A2088" s="53" t="s">
        <v>1333</v>
      </c>
      <c r="B2088" s="10" t="s">
        <v>110</v>
      </c>
      <c r="C2088" s="10">
        <v>106</v>
      </c>
      <c r="D2088" s="10" t="s">
        <v>1070</v>
      </c>
      <c r="E2088" s="41" t="s">
        <v>101</v>
      </c>
      <c r="F2088" s="41" t="s">
        <v>101</v>
      </c>
      <c r="G2088" s="21" t="str">
        <f>VLOOKUP(D2088,[6]成飞半成品!$A:$B,2,0)</f>
        <v>前梁一段</v>
      </c>
      <c r="H2088" s="10" t="s">
        <v>300</v>
      </c>
      <c r="I2088" s="10">
        <v>35</v>
      </c>
      <c r="J2088" s="10" t="s">
        <v>2157</v>
      </c>
      <c r="K2088" s="10">
        <v>0.5</v>
      </c>
      <c r="L2088" s="10">
        <v>0.4</v>
      </c>
      <c r="M2088" s="14">
        <v>32</v>
      </c>
      <c r="N2088" s="14">
        <v>32</v>
      </c>
      <c r="O2088" s="55" t="s">
        <v>476</v>
      </c>
      <c r="Q2088" s="10">
        <v>1200</v>
      </c>
      <c r="R2088" s="10">
        <v>150</v>
      </c>
      <c r="T2088" s="10">
        <v>1</v>
      </c>
      <c r="U2088" s="10">
        <v>180</v>
      </c>
      <c r="W2088" s="14">
        <v>1</v>
      </c>
      <c r="Y2088" s="79">
        <v>13.5</v>
      </c>
      <c r="Z2088" s="56" t="s">
        <v>36</v>
      </c>
    </row>
    <row r="2089" spans="1:26" ht="23.1" customHeight="1" x14ac:dyDescent="0.25">
      <c r="A2089" s="53" t="s">
        <v>1333</v>
      </c>
      <c r="B2089" s="10" t="s">
        <v>110</v>
      </c>
      <c r="C2089" s="10">
        <v>106</v>
      </c>
      <c r="D2089" s="10" t="s">
        <v>1070</v>
      </c>
      <c r="E2089" s="41" t="s">
        <v>101</v>
      </c>
      <c r="F2089" s="41" t="s">
        <v>101</v>
      </c>
      <c r="G2089" s="21" t="str">
        <f>VLOOKUP(D2089,[6]成飞半成品!$A:$B,2,0)</f>
        <v>前梁一段</v>
      </c>
      <c r="H2089" s="10" t="s">
        <v>300</v>
      </c>
      <c r="I2089" s="10">
        <v>30</v>
      </c>
      <c r="J2089" s="10" t="s">
        <v>2492</v>
      </c>
      <c r="L2089" s="10">
        <v>0.2</v>
      </c>
      <c r="M2089" s="14">
        <v>32</v>
      </c>
      <c r="N2089" s="14">
        <v>32</v>
      </c>
      <c r="O2089" s="55" t="s">
        <v>476</v>
      </c>
      <c r="Q2089" s="10">
        <v>1500</v>
      </c>
      <c r="R2089" s="10">
        <v>180</v>
      </c>
      <c r="U2089" s="10">
        <v>180</v>
      </c>
      <c r="W2089" s="14"/>
      <c r="Y2089" s="79">
        <v>5</v>
      </c>
      <c r="Z2089" s="56" t="s">
        <v>36</v>
      </c>
    </row>
    <row r="2090" spans="1:26" ht="23.1" customHeight="1" x14ac:dyDescent="0.25">
      <c r="A2090" s="53" t="s">
        <v>1333</v>
      </c>
      <c r="B2090" s="10" t="s">
        <v>110</v>
      </c>
      <c r="C2090" s="10">
        <v>118</v>
      </c>
      <c r="D2090" s="10" t="s">
        <v>1171</v>
      </c>
      <c r="E2090" s="41" t="s">
        <v>1172</v>
      </c>
      <c r="F2090" s="41" t="s">
        <v>1172</v>
      </c>
      <c r="G2090" s="21" t="str">
        <f>VLOOKUP(D2090,[6]成飞半成品!$A:$B,2,0)</f>
        <v>后梁</v>
      </c>
      <c r="H2090" s="10" t="s">
        <v>300</v>
      </c>
      <c r="I2090" s="10">
        <v>10</v>
      </c>
      <c r="J2090" s="10" t="s">
        <v>2493</v>
      </c>
      <c r="L2090" s="10">
        <v>2</v>
      </c>
      <c r="M2090" s="14">
        <v>32</v>
      </c>
      <c r="N2090" s="14">
        <v>32</v>
      </c>
      <c r="O2090" s="55" t="s">
        <v>1568</v>
      </c>
      <c r="Q2090" s="10">
        <v>180</v>
      </c>
      <c r="R2090" s="10">
        <v>60</v>
      </c>
      <c r="U2090" s="10">
        <v>90</v>
      </c>
      <c r="W2090" s="14">
        <v>1</v>
      </c>
      <c r="Y2090" s="79">
        <v>7.5</v>
      </c>
      <c r="Z2090" s="56" t="s">
        <v>36</v>
      </c>
    </row>
    <row r="2091" spans="1:26" ht="23.1" customHeight="1" x14ac:dyDescent="0.25">
      <c r="A2091" s="53" t="s">
        <v>1333</v>
      </c>
      <c r="B2091" s="10" t="s">
        <v>110</v>
      </c>
      <c r="C2091" s="10">
        <v>117</v>
      </c>
      <c r="D2091" s="10" t="s">
        <v>1083</v>
      </c>
      <c r="E2091" s="41" t="s">
        <v>1082</v>
      </c>
      <c r="F2091" s="41" t="s">
        <v>1082</v>
      </c>
      <c r="G2091" s="21" t="str">
        <f>VLOOKUP(D2091,[6]成飞半成品!$A:$B,2,0)</f>
        <v xml:space="preserve"> 前梁</v>
      </c>
      <c r="H2091" s="10" t="s">
        <v>123</v>
      </c>
      <c r="I2091" s="10">
        <v>35</v>
      </c>
      <c r="J2091" s="10" t="s">
        <v>2201</v>
      </c>
      <c r="L2091" s="10">
        <v>0.4</v>
      </c>
      <c r="M2091" s="14">
        <v>32</v>
      </c>
      <c r="N2091" s="14">
        <v>32</v>
      </c>
      <c r="O2091" s="55" t="s">
        <v>860</v>
      </c>
      <c r="Q2091" s="10">
        <v>700</v>
      </c>
      <c r="R2091" s="10">
        <v>60</v>
      </c>
      <c r="U2091" s="10">
        <v>90</v>
      </c>
      <c r="W2091" s="14"/>
      <c r="Y2091" s="79">
        <v>4.7</v>
      </c>
      <c r="Z2091" s="56" t="s">
        <v>36</v>
      </c>
    </row>
    <row r="2092" spans="1:26" ht="23.1" customHeight="1" x14ac:dyDescent="0.25">
      <c r="A2092" s="53" t="s">
        <v>1333</v>
      </c>
      <c r="B2092" s="10" t="s">
        <v>110</v>
      </c>
      <c r="C2092" s="10">
        <v>100</v>
      </c>
      <c r="D2092" s="10" t="s">
        <v>298</v>
      </c>
      <c r="E2092" s="41" t="s">
        <v>299</v>
      </c>
      <c r="F2092" s="41" t="s">
        <v>299</v>
      </c>
      <c r="G2092" s="21" t="str">
        <f>VLOOKUP(D2092,[6]成飞半成品!$A:$B,2,0)</f>
        <v>8635右隔框</v>
      </c>
      <c r="H2092" s="10" t="s">
        <v>300</v>
      </c>
      <c r="I2092" s="10">
        <v>25</v>
      </c>
      <c r="J2092" s="10" t="s">
        <v>2140</v>
      </c>
      <c r="K2092" s="10">
        <v>1</v>
      </c>
      <c r="L2092" s="10">
        <v>1.1000000000000001</v>
      </c>
      <c r="M2092" s="14">
        <v>32</v>
      </c>
      <c r="N2092" s="14">
        <v>32</v>
      </c>
      <c r="O2092" s="55" t="s">
        <v>1205</v>
      </c>
      <c r="Q2092" s="10">
        <v>660</v>
      </c>
      <c r="R2092" s="10">
        <v>60</v>
      </c>
      <c r="T2092" s="10">
        <v>1</v>
      </c>
      <c r="U2092" s="10">
        <v>180</v>
      </c>
      <c r="W2092" s="14"/>
      <c r="Y2092" s="79">
        <v>13.1</v>
      </c>
      <c r="Z2092" s="56" t="s">
        <v>36</v>
      </c>
    </row>
    <row r="2093" spans="1:26" ht="23.1" customHeight="1" x14ac:dyDescent="0.25">
      <c r="A2093" s="53" t="s">
        <v>1333</v>
      </c>
      <c r="B2093" s="10" t="s">
        <v>110</v>
      </c>
      <c r="C2093" s="10">
        <v>82</v>
      </c>
      <c r="D2093" s="10" t="s">
        <v>1074</v>
      </c>
      <c r="E2093" s="41" t="s">
        <v>1075</v>
      </c>
      <c r="F2093" s="41" t="s">
        <v>1075</v>
      </c>
      <c r="G2093" s="21" t="str">
        <f>VLOOKUP(D2093,[6]成飞半成品!$A:$B,2,0)</f>
        <v>油箱底板（中）</v>
      </c>
      <c r="H2093" s="10" t="s">
        <v>154</v>
      </c>
      <c r="I2093" s="10">
        <v>30</v>
      </c>
      <c r="J2093" s="10" t="s">
        <v>2291</v>
      </c>
      <c r="K2093" s="10">
        <v>1</v>
      </c>
      <c r="L2093" s="10">
        <v>1.1000000000000001</v>
      </c>
      <c r="M2093" s="14">
        <v>32</v>
      </c>
      <c r="N2093" s="14">
        <v>32</v>
      </c>
      <c r="O2093" s="55" t="s">
        <v>1119</v>
      </c>
      <c r="Q2093" s="10">
        <v>240</v>
      </c>
      <c r="T2093" s="10">
        <v>1</v>
      </c>
      <c r="U2093" s="10">
        <v>120</v>
      </c>
      <c r="W2093" s="14"/>
      <c r="Y2093" s="79">
        <v>4.4000000000000004</v>
      </c>
      <c r="Z2093" s="56" t="s">
        <v>36</v>
      </c>
    </row>
    <row r="2094" spans="1:26" ht="23.1" customHeight="1" x14ac:dyDescent="0.25">
      <c r="A2094" s="53" t="s">
        <v>1333</v>
      </c>
      <c r="B2094" s="10" t="s">
        <v>110</v>
      </c>
      <c r="C2094" s="10">
        <v>83</v>
      </c>
      <c r="D2094" s="10" t="s">
        <v>1095</v>
      </c>
      <c r="E2094" s="41" t="s">
        <v>1096</v>
      </c>
      <c r="F2094" s="41" t="s">
        <v>1096</v>
      </c>
      <c r="G2094" s="21" t="str">
        <f>VLOOKUP(D2094,[6]成飞半成品!$A:$B,2,0)</f>
        <v>1150肋根肋</v>
      </c>
      <c r="H2094" s="10" t="s">
        <v>658</v>
      </c>
      <c r="I2094" s="10">
        <v>15</v>
      </c>
      <c r="J2094" s="10" t="s">
        <v>2048</v>
      </c>
      <c r="K2094" s="10">
        <v>3</v>
      </c>
      <c r="L2094" s="10">
        <v>2.4</v>
      </c>
      <c r="M2094" s="14">
        <v>32</v>
      </c>
      <c r="N2094" s="14">
        <v>32</v>
      </c>
      <c r="O2094" s="55" t="s">
        <v>412</v>
      </c>
      <c r="Q2094" s="10">
        <v>270</v>
      </c>
      <c r="R2094" s="10">
        <v>60</v>
      </c>
      <c r="T2094" s="10">
        <v>2</v>
      </c>
      <c r="U2094" s="10">
        <v>60</v>
      </c>
      <c r="W2094" s="14"/>
      <c r="Y2094" s="79">
        <v>12.8</v>
      </c>
      <c r="Z2094" s="56" t="s">
        <v>36</v>
      </c>
    </row>
    <row r="2095" spans="1:26" ht="23.1" customHeight="1" x14ac:dyDescent="0.25">
      <c r="A2095" s="53" t="s">
        <v>1333</v>
      </c>
      <c r="B2095" s="10" t="s">
        <v>110</v>
      </c>
      <c r="C2095" s="10">
        <v>83</v>
      </c>
      <c r="D2095" s="10" t="s">
        <v>1095</v>
      </c>
      <c r="E2095" s="41" t="s">
        <v>1096</v>
      </c>
      <c r="F2095" s="41" t="s">
        <v>1096</v>
      </c>
      <c r="G2095" s="21" t="str">
        <f>VLOOKUP(D2095,[6]成飞半成品!$A:$B,2,0)</f>
        <v>1150肋根肋</v>
      </c>
      <c r="H2095" s="10" t="s">
        <v>658</v>
      </c>
      <c r="I2095" s="10">
        <v>25</v>
      </c>
      <c r="J2095" s="10" t="s">
        <v>2054</v>
      </c>
      <c r="L2095" s="10">
        <v>1</v>
      </c>
      <c r="M2095" s="14">
        <v>32</v>
      </c>
      <c r="N2095" s="14">
        <v>32</v>
      </c>
      <c r="O2095" s="55" t="s">
        <v>351</v>
      </c>
      <c r="Q2095" s="10">
        <v>90</v>
      </c>
      <c r="R2095" s="10">
        <v>60</v>
      </c>
      <c r="T2095" s="10">
        <v>1</v>
      </c>
      <c r="U2095" s="10">
        <v>60</v>
      </c>
      <c r="W2095" s="14">
        <v>1</v>
      </c>
      <c r="Y2095" s="79">
        <v>3.5</v>
      </c>
      <c r="Z2095" s="56" t="s">
        <v>36</v>
      </c>
    </row>
    <row r="2096" spans="1:26" ht="23.1" customHeight="1" x14ac:dyDescent="0.25">
      <c r="A2096" s="53" t="s">
        <v>1333</v>
      </c>
      <c r="B2096" s="10" t="s">
        <v>110</v>
      </c>
      <c r="C2096" s="10">
        <v>82</v>
      </c>
      <c r="D2096" s="10" t="s">
        <v>1569</v>
      </c>
      <c r="E2096" s="41" t="s">
        <v>1570</v>
      </c>
      <c r="F2096" s="41" t="s">
        <v>1570</v>
      </c>
      <c r="G2096" s="21" t="str">
        <f>VLOOKUP(D2096,[6]成飞半成品!$A:$B,2,0)</f>
        <v>剖形支柱</v>
      </c>
      <c r="H2096" s="10" t="s">
        <v>102</v>
      </c>
      <c r="I2096" s="10">
        <v>5</v>
      </c>
      <c r="J2096" s="10" t="s">
        <v>2060</v>
      </c>
      <c r="L2096" s="10">
        <v>1</v>
      </c>
      <c r="M2096" s="14">
        <v>32</v>
      </c>
      <c r="N2096" s="14">
        <v>32</v>
      </c>
      <c r="O2096" s="55" t="s">
        <v>596</v>
      </c>
      <c r="Q2096" s="10">
        <v>180</v>
      </c>
      <c r="R2096" s="10">
        <v>60</v>
      </c>
      <c r="T2096" s="10">
        <v>1</v>
      </c>
      <c r="U2096" s="10">
        <v>60</v>
      </c>
      <c r="W2096" s="14">
        <v>1</v>
      </c>
      <c r="Y2096" s="79">
        <v>5</v>
      </c>
      <c r="Z2096" s="56" t="s">
        <v>36</v>
      </c>
    </row>
    <row r="2097" spans="1:27" ht="23.1" customHeight="1" x14ac:dyDescent="0.25">
      <c r="A2097" s="53" t="s">
        <v>1333</v>
      </c>
      <c r="B2097" s="10" t="s">
        <v>113</v>
      </c>
      <c r="C2097" s="10">
        <v>99</v>
      </c>
      <c r="D2097" s="10" t="s">
        <v>1191</v>
      </c>
      <c r="E2097" s="41" t="s">
        <v>1192</v>
      </c>
      <c r="F2097" s="41" t="s">
        <v>1192</v>
      </c>
      <c r="G2097" s="21" t="str">
        <f>VLOOKUP(D2097,[6]成飞半成品!$A:$B,2,0)</f>
        <v>后顶板</v>
      </c>
      <c r="H2097" s="10" t="s">
        <v>300</v>
      </c>
      <c r="I2097" s="10">
        <v>20</v>
      </c>
      <c r="J2097" s="10" t="s">
        <v>2294</v>
      </c>
      <c r="L2097" s="10">
        <v>2.1</v>
      </c>
      <c r="M2097" s="14">
        <v>25</v>
      </c>
      <c r="N2097" s="14">
        <v>25</v>
      </c>
      <c r="O2097" s="55" t="s">
        <v>1120</v>
      </c>
      <c r="Q2097" s="10">
        <v>450</v>
      </c>
      <c r="R2097" s="10">
        <v>60</v>
      </c>
      <c r="T2097" s="10">
        <v>2</v>
      </c>
      <c r="U2097" s="10">
        <v>90</v>
      </c>
      <c r="W2097" s="14"/>
      <c r="Y2097" s="79">
        <v>17.8</v>
      </c>
      <c r="Z2097" s="56" t="s">
        <v>21</v>
      </c>
    </row>
    <row r="2098" spans="1:27" ht="23.1" customHeight="1" x14ac:dyDescent="0.25">
      <c r="A2098" s="53" t="s">
        <v>1333</v>
      </c>
      <c r="B2098" s="10" t="s">
        <v>113</v>
      </c>
      <c r="C2098" s="10">
        <v>99</v>
      </c>
      <c r="D2098" s="10" t="s">
        <v>1191</v>
      </c>
      <c r="E2098" s="41" t="s">
        <v>1192</v>
      </c>
      <c r="F2098" s="41" t="s">
        <v>1192</v>
      </c>
      <c r="G2098" s="21" t="str">
        <f>VLOOKUP(D2098,[6]成飞半成品!$A:$B,2,0)</f>
        <v>后顶板</v>
      </c>
      <c r="H2098" s="10" t="s">
        <v>300</v>
      </c>
      <c r="I2098" s="10">
        <v>25</v>
      </c>
      <c r="J2098" s="10" t="s">
        <v>2182</v>
      </c>
      <c r="L2098" s="10">
        <v>2</v>
      </c>
      <c r="M2098" s="14">
        <v>25</v>
      </c>
      <c r="N2098" s="14">
        <v>25</v>
      </c>
      <c r="O2098" s="55" t="s">
        <v>1120</v>
      </c>
      <c r="Q2098" s="10">
        <v>120</v>
      </c>
      <c r="R2098" s="10">
        <v>60</v>
      </c>
      <c r="T2098" s="10">
        <v>2</v>
      </c>
      <c r="U2098" s="10">
        <v>60</v>
      </c>
      <c r="W2098" s="14"/>
      <c r="Y2098" s="79">
        <v>6</v>
      </c>
      <c r="Z2098" s="56" t="s">
        <v>21</v>
      </c>
    </row>
    <row r="2099" spans="1:27" ht="23.1" customHeight="1" x14ac:dyDescent="0.25">
      <c r="A2099" s="53" t="s">
        <v>1333</v>
      </c>
      <c r="B2099" s="10" t="s">
        <v>113</v>
      </c>
      <c r="C2099" s="10">
        <v>97</v>
      </c>
      <c r="D2099" s="10" t="s">
        <v>787</v>
      </c>
      <c r="E2099" s="41" t="s">
        <v>1065</v>
      </c>
      <c r="F2099" s="41" t="s">
        <v>1065</v>
      </c>
      <c r="G2099" s="21" t="str">
        <f>VLOOKUP(D2099,[6]成飞半成品!$A:$B,2,0)</f>
        <v>根肋二段</v>
      </c>
      <c r="H2099" s="10" t="s">
        <v>250</v>
      </c>
      <c r="I2099" s="10">
        <v>60</v>
      </c>
      <c r="J2099" s="10" t="s">
        <v>2156</v>
      </c>
      <c r="K2099" s="10">
        <v>1</v>
      </c>
      <c r="L2099" s="10">
        <v>1</v>
      </c>
      <c r="M2099" s="14">
        <v>25</v>
      </c>
      <c r="N2099" s="14">
        <v>25</v>
      </c>
      <c r="O2099" s="55" t="s">
        <v>429</v>
      </c>
      <c r="Q2099" s="10">
        <v>570</v>
      </c>
      <c r="R2099" s="10">
        <v>60</v>
      </c>
      <c r="T2099" s="10">
        <v>1</v>
      </c>
      <c r="U2099" s="10">
        <v>60</v>
      </c>
      <c r="W2099" s="14"/>
      <c r="Y2099" s="79">
        <v>10.5</v>
      </c>
      <c r="Z2099" s="56" t="s">
        <v>1</v>
      </c>
    </row>
    <row r="2100" spans="1:27" ht="23.1" customHeight="1" x14ac:dyDescent="0.25">
      <c r="A2100" s="53" t="s">
        <v>1333</v>
      </c>
      <c r="B2100" s="10" t="s">
        <v>113</v>
      </c>
      <c r="C2100" s="10">
        <v>105</v>
      </c>
      <c r="D2100" s="10" t="s">
        <v>1176</v>
      </c>
      <c r="E2100" s="41" t="s">
        <v>1098</v>
      </c>
      <c r="F2100" s="41" t="s">
        <v>1098</v>
      </c>
      <c r="G2100" s="21" t="str">
        <f>VLOOKUP(D2100,[6]成飞半成品!$A:$B,2,0)</f>
        <v>根肋一段</v>
      </c>
      <c r="H2100" s="10" t="s">
        <v>250</v>
      </c>
      <c r="I2100" s="10">
        <v>40</v>
      </c>
      <c r="J2100" s="10" t="s">
        <v>2494</v>
      </c>
      <c r="K2100" s="10">
        <v>1</v>
      </c>
      <c r="L2100" s="10">
        <v>0.9</v>
      </c>
      <c r="M2100" s="14">
        <v>25</v>
      </c>
      <c r="N2100" s="14">
        <v>25</v>
      </c>
      <c r="O2100" s="55" t="s">
        <v>429</v>
      </c>
      <c r="Q2100" s="10">
        <v>450</v>
      </c>
      <c r="R2100" s="10">
        <v>60</v>
      </c>
      <c r="T2100" s="10">
        <v>1</v>
      </c>
      <c r="U2100" s="10">
        <v>120</v>
      </c>
      <c r="W2100" s="14">
        <v>1</v>
      </c>
      <c r="Y2100" s="79">
        <v>9.8000000000000007</v>
      </c>
      <c r="Z2100" s="56" t="s">
        <v>28</v>
      </c>
    </row>
    <row r="2101" spans="1:27" ht="23.1" customHeight="1" x14ac:dyDescent="0.25">
      <c r="A2101" s="53" t="s">
        <v>1333</v>
      </c>
      <c r="B2101" s="10" t="s">
        <v>113</v>
      </c>
      <c r="C2101" s="10">
        <v>82</v>
      </c>
      <c r="D2101" s="10" t="s">
        <v>1571</v>
      </c>
      <c r="E2101" s="41" t="s">
        <v>1570</v>
      </c>
      <c r="F2101" s="41" t="e">
        <v>#N/A</v>
      </c>
      <c r="G2101" s="21" t="e">
        <f>VLOOKUP(D2101,[6]成飞半成品!$A:$B,2,0)</f>
        <v>#N/A</v>
      </c>
      <c r="H2101" s="10" t="s">
        <v>102</v>
      </c>
      <c r="I2101" s="10">
        <v>5</v>
      </c>
      <c r="K2101" s="10">
        <v>3</v>
      </c>
      <c r="L2101" s="10">
        <v>3</v>
      </c>
      <c r="M2101" s="14">
        <v>25</v>
      </c>
      <c r="N2101" s="14">
        <v>25</v>
      </c>
      <c r="O2101" s="55" t="s">
        <v>596</v>
      </c>
      <c r="Q2101" s="10">
        <v>40</v>
      </c>
      <c r="T2101" s="10">
        <v>3</v>
      </c>
      <c r="W2101" s="14"/>
      <c r="Y2101" s="79">
        <v>2</v>
      </c>
      <c r="Z2101" s="56" t="s">
        <v>56</v>
      </c>
    </row>
    <row r="2102" spans="1:27" ht="23.1" customHeight="1" x14ac:dyDescent="0.25">
      <c r="A2102" s="53" t="s">
        <v>1333</v>
      </c>
      <c r="B2102" s="10" t="s">
        <v>113</v>
      </c>
      <c r="C2102" s="10">
        <v>82</v>
      </c>
      <c r="D2102" s="10" t="s">
        <v>1571</v>
      </c>
      <c r="E2102" s="41" t="s">
        <v>1570</v>
      </c>
      <c r="F2102" s="41" t="e">
        <v>#N/A</v>
      </c>
      <c r="G2102" s="21" t="e">
        <f>VLOOKUP(D2102,[6]成飞半成品!$A:$B,2,0)</f>
        <v>#N/A</v>
      </c>
      <c r="H2102" s="10" t="s">
        <v>102</v>
      </c>
      <c r="I2102" s="10">
        <v>10</v>
      </c>
      <c r="K2102" s="10">
        <v>4</v>
      </c>
      <c r="L2102" s="10">
        <v>4</v>
      </c>
      <c r="M2102" s="14">
        <v>25</v>
      </c>
      <c r="N2102" s="14">
        <v>25</v>
      </c>
      <c r="O2102" s="55" t="s">
        <v>596</v>
      </c>
      <c r="Q2102" s="10">
        <v>90</v>
      </c>
      <c r="T2102" s="10">
        <v>4</v>
      </c>
      <c r="V2102" s="10">
        <v>90</v>
      </c>
      <c r="W2102" s="14">
        <v>1</v>
      </c>
      <c r="Y2102" s="79">
        <v>6</v>
      </c>
      <c r="Z2102" s="56" t="s">
        <v>56</v>
      </c>
    </row>
    <row r="2103" spans="1:27" ht="23.1" customHeight="1" x14ac:dyDescent="0.25">
      <c r="A2103" s="53" t="s">
        <v>1333</v>
      </c>
      <c r="B2103" s="10" t="s">
        <v>113</v>
      </c>
      <c r="C2103" s="10">
        <v>103</v>
      </c>
      <c r="D2103" s="10" t="s">
        <v>1071</v>
      </c>
      <c r="E2103" s="41" t="s">
        <v>1072</v>
      </c>
      <c r="F2103" s="41" t="e">
        <v>#N/A</v>
      </c>
      <c r="G2103" s="21" t="e">
        <f>VLOOKUP(D2103,[6]成飞半成品!$A:$B,2,0)</f>
        <v>#N/A</v>
      </c>
      <c r="H2103" s="10" t="s">
        <v>250</v>
      </c>
      <c r="I2103" s="10">
        <v>40</v>
      </c>
      <c r="J2103" s="10" t="s">
        <v>2296</v>
      </c>
      <c r="K2103" s="10">
        <v>0.6</v>
      </c>
      <c r="L2103" s="10">
        <v>0.6</v>
      </c>
      <c r="M2103" s="14">
        <v>25</v>
      </c>
      <c r="N2103" s="14">
        <v>25</v>
      </c>
      <c r="O2103" s="55" t="s">
        <v>1100</v>
      </c>
      <c r="Q2103" s="10">
        <v>1020</v>
      </c>
      <c r="R2103" s="10">
        <v>90</v>
      </c>
      <c r="T2103" s="10">
        <v>1</v>
      </c>
      <c r="U2103" s="10">
        <v>180</v>
      </c>
      <c r="W2103" s="14">
        <v>1</v>
      </c>
      <c r="X2103" s="10">
        <v>3</v>
      </c>
      <c r="Y2103" s="79">
        <v>17.7</v>
      </c>
      <c r="Z2103" s="56" t="s">
        <v>62</v>
      </c>
      <c r="AA2103" s="14" t="s">
        <v>1572</v>
      </c>
    </row>
    <row r="2104" spans="1:27" ht="23.1" customHeight="1" x14ac:dyDescent="0.25">
      <c r="A2104" s="53" t="s">
        <v>1333</v>
      </c>
      <c r="B2104" s="10" t="s">
        <v>113</v>
      </c>
      <c r="C2104" s="10">
        <v>19</v>
      </c>
      <c r="D2104" s="10" t="s">
        <v>395</v>
      </c>
      <c r="E2104" s="41" t="s">
        <v>396</v>
      </c>
      <c r="F2104" s="41" t="e">
        <v>#N/A</v>
      </c>
      <c r="G2104" s="21" t="e">
        <f>VLOOKUP(D2104,[6]成飞半成品!$A:$B,2,0)</f>
        <v>#N/A</v>
      </c>
      <c r="H2104" s="10" t="s">
        <v>300</v>
      </c>
      <c r="I2104" s="10">
        <v>30</v>
      </c>
      <c r="J2104" s="10" t="s">
        <v>2193</v>
      </c>
      <c r="K2104" s="10">
        <v>1</v>
      </c>
      <c r="L2104" s="10">
        <v>1.4</v>
      </c>
      <c r="M2104" s="14">
        <v>25</v>
      </c>
      <c r="N2104" s="14">
        <v>25</v>
      </c>
      <c r="O2104" s="55" t="s">
        <v>1100</v>
      </c>
      <c r="Q2104" s="10">
        <v>630</v>
      </c>
      <c r="R2104" s="10">
        <v>90</v>
      </c>
      <c r="T2104" s="10">
        <v>1</v>
      </c>
      <c r="U2104" s="10">
        <v>90</v>
      </c>
      <c r="W2104" s="14"/>
      <c r="Y2104" s="79">
        <v>16.2</v>
      </c>
      <c r="Z2104" s="56" t="s">
        <v>11</v>
      </c>
    </row>
    <row r="2105" spans="1:27" ht="23.1" customHeight="1" x14ac:dyDescent="0.25">
      <c r="A2105" s="53" t="s">
        <v>1333</v>
      </c>
      <c r="B2105" s="10" t="s">
        <v>113</v>
      </c>
      <c r="C2105" s="10">
        <v>83</v>
      </c>
      <c r="D2105" s="10" t="s">
        <v>1095</v>
      </c>
      <c r="E2105" s="41" t="s">
        <v>1096</v>
      </c>
      <c r="F2105" s="41" t="s">
        <v>1096</v>
      </c>
      <c r="G2105" s="21" t="str">
        <f>VLOOKUP(D2105,[6]成飞半成品!$A:$B,2,0)</f>
        <v>1150肋根肋</v>
      </c>
      <c r="H2105" s="10" t="s">
        <v>658</v>
      </c>
      <c r="I2105" s="10">
        <v>25</v>
      </c>
      <c r="J2105" s="10" t="s">
        <v>2054</v>
      </c>
      <c r="K2105" s="10">
        <v>5</v>
      </c>
      <c r="L2105" s="10">
        <v>7</v>
      </c>
      <c r="M2105" s="14">
        <v>25</v>
      </c>
      <c r="N2105" s="14">
        <v>25</v>
      </c>
      <c r="O2105" s="55" t="s">
        <v>351</v>
      </c>
      <c r="Q2105" s="10">
        <v>90</v>
      </c>
      <c r="R2105" s="10">
        <v>60</v>
      </c>
      <c r="T2105" s="10">
        <v>7</v>
      </c>
      <c r="U2105" s="10">
        <v>60</v>
      </c>
      <c r="W2105" s="14"/>
      <c r="Y2105" s="79">
        <v>17.5</v>
      </c>
      <c r="Z2105" s="56" t="s">
        <v>65</v>
      </c>
    </row>
    <row r="2106" spans="1:27" ht="23.1" customHeight="1" x14ac:dyDescent="0.25">
      <c r="A2106" s="53" t="s">
        <v>1333</v>
      </c>
      <c r="B2106" s="10" t="s">
        <v>113</v>
      </c>
      <c r="C2106" s="10">
        <v>44</v>
      </c>
      <c r="D2106" s="10" t="s">
        <v>495</v>
      </c>
      <c r="E2106" s="41" t="s">
        <v>267</v>
      </c>
      <c r="F2106" s="41" t="s">
        <v>267</v>
      </c>
      <c r="G2106" s="21" t="str">
        <f>VLOOKUP(D2106,[6]成飞半成品!$A:$B,2,0)</f>
        <v>后端框</v>
      </c>
      <c r="H2106" s="10" t="s">
        <v>118</v>
      </c>
      <c r="I2106" s="10">
        <v>55</v>
      </c>
      <c r="J2106" s="10" t="s">
        <v>2166</v>
      </c>
      <c r="K2106" s="10">
        <v>0.6</v>
      </c>
      <c r="L2106" s="10">
        <v>0.5</v>
      </c>
      <c r="M2106" s="14">
        <v>25</v>
      </c>
      <c r="N2106" s="14">
        <v>25</v>
      </c>
      <c r="O2106" s="55" t="s">
        <v>429</v>
      </c>
      <c r="Q2106" s="10">
        <v>1260</v>
      </c>
      <c r="R2106" s="10">
        <v>90</v>
      </c>
      <c r="T2106" s="10">
        <v>1</v>
      </c>
      <c r="U2106" s="10">
        <v>60</v>
      </c>
      <c r="W2106" s="14"/>
      <c r="Y2106" s="79">
        <v>12</v>
      </c>
      <c r="Z2106" s="56" t="s">
        <v>65</v>
      </c>
    </row>
    <row r="2107" spans="1:27" ht="23.1" customHeight="1" x14ac:dyDescent="0.25">
      <c r="A2107" s="53" t="s">
        <v>1333</v>
      </c>
      <c r="B2107" s="10" t="s">
        <v>113</v>
      </c>
      <c r="C2107" s="10">
        <v>100</v>
      </c>
      <c r="D2107" s="10" t="s">
        <v>298</v>
      </c>
      <c r="E2107" s="41" t="s">
        <v>299</v>
      </c>
      <c r="F2107" s="41" t="s">
        <v>299</v>
      </c>
      <c r="G2107" s="21" t="str">
        <f>VLOOKUP(D2107,[6]成飞半成品!$A:$B,2,0)</f>
        <v>8635右隔框</v>
      </c>
      <c r="H2107" s="10" t="s">
        <v>300</v>
      </c>
      <c r="I2107" s="10">
        <v>25</v>
      </c>
      <c r="J2107" s="10" t="s">
        <v>2393</v>
      </c>
      <c r="K2107" s="10">
        <v>0.5</v>
      </c>
      <c r="L2107" s="10">
        <v>0.6</v>
      </c>
      <c r="M2107" s="14">
        <v>25</v>
      </c>
      <c r="N2107" s="14">
        <v>25</v>
      </c>
      <c r="O2107" s="55" t="s">
        <v>456</v>
      </c>
      <c r="Q2107" s="10">
        <v>660</v>
      </c>
      <c r="R2107" s="10">
        <v>60</v>
      </c>
      <c r="U2107" s="10">
        <v>180</v>
      </c>
      <c r="W2107" s="14"/>
      <c r="Y2107" s="79">
        <v>6.6</v>
      </c>
      <c r="Z2107" s="56" t="s">
        <v>65</v>
      </c>
    </row>
    <row r="2108" spans="1:27" ht="23.1" customHeight="1" x14ac:dyDescent="0.25">
      <c r="A2108" s="53" t="s">
        <v>1333</v>
      </c>
      <c r="B2108" s="10" t="s">
        <v>113</v>
      </c>
      <c r="C2108" s="10">
        <v>100</v>
      </c>
      <c r="D2108" s="10" t="s">
        <v>484</v>
      </c>
      <c r="E2108" s="41" t="s">
        <v>485</v>
      </c>
      <c r="F2108" s="41" t="s">
        <v>485</v>
      </c>
      <c r="G2108" s="21" t="str">
        <f>VLOOKUP(D2108,[6]成飞半成品!$A:$B,2,0)</f>
        <v>8635左隔框</v>
      </c>
      <c r="H2108" s="10" t="s">
        <v>300</v>
      </c>
      <c r="I2108" s="10">
        <v>15</v>
      </c>
      <c r="J2108" s="10" t="s">
        <v>2495</v>
      </c>
      <c r="K2108" s="10">
        <v>2</v>
      </c>
      <c r="L2108" s="10">
        <v>2</v>
      </c>
      <c r="M2108" s="14">
        <v>25</v>
      </c>
      <c r="N2108" s="14">
        <v>25</v>
      </c>
      <c r="O2108" s="55" t="s">
        <v>1573</v>
      </c>
      <c r="Q2108" s="10">
        <v>120</v>
      </c>
      <c r="R2108" s="10">
        <v>60</v>
      </c>
      <c r="T2108" s="10">
        <v>2</v>
      </c>
      <c r="U2108" s="10">
        <v>90</v>
      </c>
      <c r="W2108" s="14">
        <v>1</v>
      </c>
      <c r="Y2108" s="79">
        <v>7.5</v>
      </c>
      <c r="Z2108" s="56" t="s">
        <v>65</v>
      </c>
    </row>
    <row r="2109" spans="1:27" ht="23.1" customHeight="1" x14ac:dyDescent="0.25">
      <c r="A2109" s="53" t="s">
        <v>1333</v>
      </c>
      <c r="B2109" s="10" t="s">
        <v>113</v>
      </c>
      <c r="C2109" s="10">
        <v>102</v>
      </c>
      <c r="D2109" s="10" t="s">
        <v>1097</v>
      </c>
      <c r="E2109" s="41" t="s">
        <v>1098</v>
      </c>
      <c r="F2109" s="41" t="s">
        <v>1098</v>
      </c>
      <c r="G2109" s="21" t="str">
        <f>VLOOKUP(D2109,[6]成飞半成品!$A:$B,2,0)</f>
        <v>根肋一段</v>
      </c>
      <c r="H2109" s="10" t="s">
        <v>250</v>
      </c>
      <c r="I2109" s="10">
        <v>40</v>
      </c>
      <c r="J2109" s="10" t="s">
        <v>2172</v>
      </c>
      <c r="K2109" s="10">
        <v>1</v>
      </c>
      <c r="L2109" s="10">
        <v>1</v>
      </c>
      <c r="M2109" s="14">
        <v>25</v>
      </c>
      <c r="N2109" s="14">
        <v>25</v>
      </c>
      <c r="O2109" s="55" t="s">
        <v>292</v>
      </c>
      <c r="Q2109" s="10">
        <v>450</v>
      </c>
      <c r="R2109" s="10">
        <v>60</v>
      </c>
      <c r="T2109" s="10">
        <v>1</v>
      </c>
      <c r="U2109" s="10">
        <v>120</v>
      </c>
      <c r="W2109" s="14">
        <v>1</v>
      </c>
      <c r="Y2109" s="79">
        <v>10.5</v>
      </c>
      <c r="Z2109" s="56" t="s">
        <v>65</v>
      </c>
    </row>
    <row r="2110" spans="1:27" ht="23.1" customHeight="1" x14ac:dyDescent="0.25">
      <c r="A2110" s="53" t="s">
        <v>1333</v>
      </c>
      <c r="B2110" s="10" t="s">
        <v>113</v>
      </c>
      <c r="C2110" s="10">
        <v>98</v>
      </c>
      <c r="D2110" s="10" t="s">
        <v>481</v>
      </c>
      <c r="E2110" s="41" t="s">
        <v>482</v>
      </c>
      <c r="F2110" s="41" t="s">
        <v>482</v>
      </c>
      <c r="G2110" s="21" t="str">
        <f>VLOOKUP(D2110,[6]成飞半成品!$A:$B,2,0)</f>
        <v>11140框左下半框</v>
      </c>
      <c r="H2110" s="10" t="s">
        <v>118</v>
      </c>
      <c r="I2110" s="10">
        <v>13</v>
      </c>
      <c r="K2110" s="10">
        <v>2</v>
      </c>
      <c r="L2110" s="10">
        <v>3</v>
      </c>
      <c r="M2110" s="14">
        <v>25</v>
      </c>
      <c r="N2110" s="14">
        <v>25</v>
      </c>
      <c r="O2110" s="55" t="s">
        <v>1051</v>
      </c>
      <c r="P2110" s="47">
        <v>300</v>
      </c>
      <c r="Q2110" s="47"/>
      <c r="R2110" s="47"/>
      <c r="S2110" s="47">
        <v>60</v>
      </c>
      <c r="T2110" s="10">
        <v>3</v>
      </c>
      <c r="W2110" s="14"/>
      <c r="Y2110" s="83">
        <v>18</v>
      </c>
      <c r="Z2110" s="56" t="s">
        <v>65</v>
      </c>
    </row>
    <row r="2111" spans="1:27" ht="23.1" customHeight="1" x14ac:dyDescent="0.25">
      <c r="A2111" s="53" t="s">
        <v>1333</v>
      </c>
      <c r="B2111" s="10" t="s">
        <v>113</v>
      </c>
      <c r="C2111" s="10">
        <v>101</v>
      </c>
      <c r="D2111" s="10" t="s">
        <v>1099</v>
      </c>
      <c r="E2111" s="41" t="s">
        <v>760</v>
      </c>
      <c r="F2111" s="41" t="e">
        <v>#N/A</v>
      </c>
      <c r="G2111" s="21" t="e">
        <f>VLOOKUP(D2111,[6]成飞半成品!$A:$B,2,0)</f>
        <v>#N/A</v>
      </c>
      <c r="H2111" s="10" t="s">
        <v>300</v>
      </c>
      <c r="I2111" s="10">
        <v>15</v>
      </c>
      <c r="J2111" s="10" t="s">
        <v>2297</v>
      </c>
      <c r="K2111" s="10">
        <v>5</v>
      </c>
      <c r="L2111" s="10">
        <v>2</v>
      </c>
      <c r="M2111" s="14">
        <v>25</v>
      </c>
      <c r="N2111" s="14">
        <v>25</v>
      </c>
      <c r="O2111" s="55" t="s">
        <v>1080</v>
      </c>
      <c r="Q2111" s="10">
        <v>100</v>
      </c>
      <c r="R2111" s="10">
        <v>60</v>
      </c>
      <c r="T2111" s="10">
        <v>2</v>
      </c>
      <c r="U2111" s="10">
        <v>60</v>
      </c>
      <c r="W2111" s="14">
        <v>1</v>
      </c>
      <c r="Y2111" s="79">
        <v>6.3</v>
      </c>
      <c r="Z2111" s="56" t="s">
        <v>65</v>
      </c>
    </row>
    <row r="2112" spans="1:27" ht="23.1" customHeight="1" x14ac:dyDescent="0.25">
      <c r="A2112" s="53" t="s">
        <v>1333</v>
      </c>
      <c r="B2112" s="10" t="s">
        <v>113</v>
      </c>
      <c r="C2112" s="10">
        <v>101</v>
      </c>
      <c r="D2112" s="10" t="s">
        <v>1099</v>
      </c>
      <c r="E2112" s="41" t="s">
        <v>760</v>
      </c>
      <c r="F2112" s="41" t="e">
        <v>#N/A</v>
      </c>
      <c r="G2112" s="21" t="e">
        <f>VLOOKUP(D2112,[6]成飞半成品!$A:$B,2,0)</f>
        <v>#N/A</v>
      </c>
      <c r="H2112" s="10" t="s">
        <v>300</v>
      </c>
      <c r="I2112" s="10">
        <v>20</v>
      </c>
      <c r="J2112" s="10" t="s">
        <v>2150</v>
      </c>
      <c r="K2112" s="10">
        <v>0.3</v>
      </c>
      <c r="L2112" s="10">
        <v>1.7</v>
      </c>
      <c r="M2112" s="14">
        <v>25</v>
      </c>
      <c r="N2112" s="14">
        <v>25</v>
      </c>
      <c r="O2112" s="55" t="s">
        <v>1080</v>
      </c>
      <c r="Q2112" s="10">
        <v>300</v>
      </c>
      <c r="R2112" s="10">
        <v>60</v>
      </c>
      <c r="T2112" s="10">
        <v>2</v>
      </c>
      <c r="U2112" s="10">
        <v>120</v>
      </c>
      <c r="W2112" s="14">
        <v>1</v>
      </c>
      <c r="X2112" s="10">
        <v>3</v>
      </c>
      <c r="Y2112" s="79">
        <v>15.5</v>
      </c>
      <c r="Z2112" s="56" t="s">
        <v>65</v>
      </c>
      <c r="AA2112" s="14" t="s">
        <v>1413</v>
      </c>
    </row>
    <row r="2113" spans="1:26" ht="23.1" customHeight="1" x14ac:dyDescent="0.25">
      <c r="A2113" s="53" t="s">
        <v>1333</v>
      </c>
      <c r="B2113" s="10" t="s">
        <v>113</v>
      </c>
      <c r="C2113" s="10">
        <v>118</v>
      </c>
      <c r="D2113" s="10" t="s">
        <v>1171</v>
      </c>
      <c r="E2113" s="41" t="s">
        <v>1172</v>
      </c>
      <c r="F2113" s="41" t="s">
        <v>1172</v>
      </c>
      <c r="G2113" s="21" t="str">
        <f>VLOOKUP(D2113,[6]成飞半成品!$A:$B,2,0)</f>
        <v>后梁</v>
      </c>
      <c r="H2113" s="10" t="s">
        <v>300</v>
      </c>
      <c r="I2113" s="10">
        <v>15</v>
      </c>
      <c r="J2113" s="10" t="s">
        <v>1931</v>
      </c>
      <c r="L2113" s="10">
        <v>0.9</v>
      </c>
      <c r="M2113" s="14">
        <v>25</v>
      </c>
      <c r="N2113" s="14">
        <v>25</v>
      </c>
      <c r="O2113" s="55" t="s">
        <v>1574</v>
      </c>
      <c r="Q2113" s="10">
        <v>900</v>
      </c>
      <c r="R2113" s="10">
        <v>120</v>
      </c>
      <c r="T2113" s="10">
        <v>1</v>
      </c>
      <c r="U2113" s="10">
        <v>60</v>
      </c>
      <c r="W2113" s="14">
        <v>1</v>
      </c>
      <c r="Y2113" s="79">
        <v>16.5</v>
      </c>
      <c r="Z2113" s="56" t="s">
        <v>65</v>
      </c>
    </row>
    <row r="2114" spans="1:26" ht="23.1" customHeight="1" x14ac:dyDescent="0.25">
      <c r="A2114" s="53" t="s">
        <v>1244</v>
      </c>
      <c r="B2114" s="10" t="s">
        <v>110</v>
      </c>
      <c r="C2114" s="10">
        <v>19</v>
      </c>
      <c r="D2114" s="10" t="s">
        <v>395</v>
      </c>
      <c r="E2114" s="41" t="s">
        <v>396</v>
      </c>
      <c r="F2114" s="41" t="e">
        <v>#N/A</v>
      </c>
      <c r="G2114" s="21" t="e">
        <f>VLOOKUP(D2114,[6]成飞半成品!$A:$B,2,0)</f>
        <v>#N/A</v>
      </c>
      <c r="H2114" s="10" t="s">
        <v>300</v>
      </c>
      <c r="I2114" s="10">
        <v>30</v>
      </c>
      <c r="J2114" s="10" t="s">
        <v>2193</v>
      </c>
      <c r="K2114" s="10">
        <v>1</v>
      </c>
      <c r="L2114" s="10">
        <v>1</v>
      </c>
      <c r="M2114" s="14">
        <v>32</v>
      </c>
      <c r="N2114" s="14">
        <v>32</v>
      </c>
      <c r="O2114" s="55" t="s">
        <v>506</v>
      </c>
      <c r="Q2114" s="10">
        <v>630</v>
      </c>
      <c r="R2114" s="10">
        <v>90</v>
      </c>
      <c r="T2114" s="10">
        <v>1</v>
      </c>
      <c r="U2114" s="10">
        <v>90</v>
      </c>
      <c r="W2114" s="14"/>
      <c r="Y2114" s="79">
        <v>12</v>
      </c>
      <c r="Z2114" s="56" t="s">
        <v>17</v>
      </c>
    </row>
    <row r="2115" spans="1:26" ht="23.1" customHeight="1" x14ac:dyDescent="0.25">
      <c r="A2115" s="53" t="s">
        <v>1244</v>
      </c>
      <c r="B2115" s="10" t="s">
        <v>110</v>
      </c>
      <c r="C2115" s="10">
        <v>44</v>
      </c>
      <c r="D2115" s="10" t="s">
        <v>495</v>
      </c>
      <c r="E2115" s="41" t="s">
        <v>267</v>
      </c>
      <c r="F2115" s="41" t="s">
        <v>267</v>
      </c>
      <c r="G2115" s="21" t="str">
        <f>VLOOKUP(D2115,[6]成飞半成品!$A:$B,2,0)</f>
        <v>后端框</v>
      </c>
      <c r="H2115" s="10" t="s">
        <v>118</v>
      </c>
      <c r="I2115" s="10">
        <v>55</v>
      </c>
      <c r="J2115" s="10" t="s">
        <v>2496</v>
      </c>
      <c r="K2115" s="10">
        <v>0.6</v>
      </c>
      <c r="L2115" s="10">
        <v>0.6</v>
      </c>
      <c r="M2115" s="14">
        <v>32</v>
      </c>
      <c r="N2115" s="14">
        <v>32</v>
      </c>
      <c r="O2115" s="55" t="s">
        <v>429</v>
      </c>
      <c r="Q2115" s="10">
        <v>1260</v>
      </c>
      <c r="R2115" s="10">
        <v>90</v>
      </c>
      <c r="T2115" s="10">
        <v>1</v>
      </c>
      <c r="U2115" s="10">
        <v>60</v>
      </c>
      <c r="W2115" s="14"/>
      <c r="Y2115" s="79">
        <v>14.1</v>
      </c>
      <c r="Z2115" s="56" t="s">
        <v>64</v>
      </c>
    </row>
    <row r="2116" spans="1:26" ht="23.1" customHeight="1" x14ac:dyDescent="0.25">
      <c r="A2116" s="53" t="s">
        <v>1244</v>
      </c>
      <c r="B2116" s="10" t="s">
        <v>110</v>
      </c>
      <c r="C2116" s="10">
        <v>97</v>
      </c>
      <c r="D2116" s="10" t="s">
        <v>787</v>
      </c>
      <c r="E2116" s="41" t="s">
        <v>1065</v>
      </c>
      <c r="F2116" s="41" t="s">
        <v>1065</v>
      </c>
      <c r="G2116" s="21" t="str">
        <f>VLOOKUP(D2116,[6]成飞半成品!$A:$B,2,0)</f>
        <v>根肋二段</v>
      </c>
      <c r="H2116" s="10" t="s">
        <v>250</v>
      </c>
      <c r="I2116" s="10">
        <v>60</v>
      </c>
      <c r="J2116" s="10" t="s">
        <v>2156</v>
      </c>
      <c r="K2116" s="10">
        <v>1</v>
      </c>
      <c r="L2116" s="10">
        <v>1</v>
      </c>
      <c r="M2116" s="14">
        <v>32</v>
      </c>
      <c r="N2116" s="14">
        <v>32</v>
      </c>
      <c r="O2116" s="55" t="s">
        <v>429</v>
      </c>
      <c r="Q2116" s="10">
        <v>570</v>
      </c>
      <c r="R2116" s="10">
        <v>60</v>
      </c>
      <c r="T2116" s="10">
        <v>1</v>
      </c>
      <c r="U2116" s="10">
        <v>60</v>
      </c>
      <c r="W2116" s="14">
        <v>1</v>
      </c>
      <c r="Y2116" s="79">
        <v>11.5</v>
      </c>
      <c r="Z2116" s="56" t="s">
        <v>39</v>
      </c>
    </row>
    <row r="2117" spans="1:26" ht="23.1" customHeight="1" x14ac:dyDescent="0.25">
      <c r="A2117" s="53" t="s">
        <v>1244</v>
      </c>
      <c r="B2117" s="10" t="s">
        <v>110</v>
      </c>
      <c r="C2117" s="10">
        <v>101</v>
      </c>
      <c r="D2117" s="10" t="s">
        <v>1211</v>
      </c>
      <c r="E2117" s="41" t="s">
        <v>760</v>
      </c>
      <c r="F2117" s="41" t="s">
        <v>760</v>
      </c>
      <c r="G2117" s="21" t="str">
        <f>VLOOKUP(D2117,[6]成飞半成品!$A:$B,2,0)</f>
        <v>9555侧隔框</v>
      </c>
      <c r="H2117" s="10" t="s">
        <v>300</v>
      </c>
      <c r="I2117" s="10">
        <v>20</v>
      </c>
      <c r="J2117" s="10" t="s">
        <v>2150</v>
      </c>
      <c r="K2117" s="10">
        <v>2.5</v>
      </c>
      <c r="L2117" s="10">
        <v>2</v>
      </c>
      <c r="M2117" s="14">
        <v>32</v>
      </c>
      <c r="N2117" s="14">
        <v>32</v>
      </c>
      <c r="O2117" s="55" t="s">
        <v>1051</v>
      </c>
      <c r="Q2117" s="10">
        <v>300</v>
      </c>
      <c r="R2117" s="10">
        <v>60</v>
      </c>
      <c r="T2117" s="10">
        <v>2</v>
      </c>
      <c r="U2117" s="10">
        <v>120</v>
      </c>
      <c r="W2117" s="14"/>
      <c r="Y2117" s="79">
        <v>12</v>
      </c>
      <c r="Z2117" s="56" t="s">
        <v>47</v>
      </c>
    </row>
    <row r="2118" spans="1:26" ht="23.1" customHeight="1" x14ac:dyDescent="0.25">
      <c r="A2118" s="53" t="s">
        <v>1244</v>
      </c>
      <c r="B2118" s="10" t="s">
        <v>110</v>
      </c>
      <c r="C2118" s="10">
        <v>101</v>
      </c>
      <c r="D2118" s="10" t="s">
        <v>1211</v>
      </c>
      <c r="E2118" s="41" t="s">
        <v>760</v>
      </c>
      <c r="F2118" s="41" t="s">
        <v>760</v>
      </c>
      <c r="G2118" s="21" t="str">
        <f>VLOOKUP(D2118,[6]成飞半成品!$A:$B,2,0)</f>
        <v>9555侧隔框</v>
      </c>
      <c r="H2118" s="10" t="s">
        <v>300</v>
      </c>
      <c r="I2118" s="10">
        <v>15</v>
      </c>
      <c r="J2118" s="10" t="s">
        <v>2297</v>
      </c>
      <c r="K2118" s="10">
        <v>2</v>
      </c>
      <c r="L2118" s="10">
        <v>2</v>
      </c>
      <c r="M2118" s="14">
        <v>32</v>
      </c>
      <c r="N2118" s="14">
        <v>32</v>
      </c>
      <c r="O2118" s="55" t="s">
        <v>1115</v>
      </c>
      <c r="Q2118" s="10">
        <v>100</v>
      </c>
      <c r="R2118" s="10">
        <v>60</v>
      </c>
      <c r="T2118" s="10">
        <v>2</v>
      </c>
      <c r="U2118" s="10">
        <v>60</v>
      </c>
      <c r="W2118" s="14"/>
      <c r="Y2118" s="79">
        <v>5.3</v>
      </c>
      <c r="Z2118" s="56" t="s">
        <v>47</v>
      </c>
    </row>
    <row r="2119" spans="1:26" ht="23.1" customHeight="1" x14ac:dyDescent="0.25">
      <c r="A2119" s="53" t="s">
        <v>1244</v>
      </c>
      <c r="B2119" s="10" t="s">
        <v>110</v>
      </c>
      <c r="C2119" s="10">
        <v>105</v>
      </c>
      <c r="D2119" s="10" t="s">
        <v>1176</v>
      </c>
      <c r="E2119" s="41" t="s">
        <v>1098</v>
      </c>
      <c r="F2119" s="41" t="s">
        <v>1098</v>
      </c>
      <c r="G2119" s="21" t="str">
        <f>VLOOKUP(D2119,[6]成飞半成品!$A:$B,2,0)</f>
        <v>根肋一段</v>
      </c>
      <c r="H2119" s="10" t="s">
        <v>250</v>
      </c>
      <c r="I2119" s="10">
        <v>40</v>
      </c>
      <c r="J2119" s="10" t="s">
        <v>2172</v>
      </c>
      <c r="K2119" s="10">
        <v>1.3</v>
      </c>
      <c r="L2119" s="10">
        <v>0.6</v>
      </c>
      <c r="M2119" s="14">
        <v>32</v>
      </c>
      <c r="N2119" s="14">
        <v>32</v>
      </c>
      <c r="O2119" s="55" t="s">
        <v>429</v>
      </c>
      <c r="Q2119" s="10">
        <v>450</v>
      </c>
      <c r="R2119" s="10">
        <v>60</v>
      </c>
      <c r="T2119" s="10">
        <v>1</v>
      </c>
      <c r="U2119" s="10">
        <v>120</v>
      </c>
      <c r="W2119" s="14"/>
      <c r="Y2119" s="79">
        <v>5.5</v>
      </c>
      <c r="Z2119" s="56" t="s">
        <v>9</v>
      </c>
    </row>
    <row r="2120" spans="1:26" ht="23.1" customHeight="1" x14ac:dyDescent="0.25">
      <c r="A2120" s="53" t="s">
        <v>1244</v>
      </c>
      <c r="B2120" s="10" t="s">
        <v>110</v>
      </c>
      <c r="C2120" s="10">
        <v>105</v>
      </c>
      <c r="D2120" s="10" t="s">
        <v>1176</v>
      </c>
      <c r="E2120" s="41" t="s">
        <v>1098</v>
      </c>
      <c r="F2120" s="41" t="s">
        <v>1098</v>
      </c>
      <c r="G2120" s="21" t="str">
        <f>VLOOKUP(D2120,[6]成飞半成品!$A:$B,2,0)</f>
        <v>根肋一段</v>
      </c>
      <c r="H2120" s="10" t="s">
        <v>250</v>
      </c>
      <c r="I2120" s="10">
        <v>45</v>
      </c>
      <c r="J2120" s="10" t="s">
        <v>2189</v>
      </c>
      <c r="K2120" s="10">
        <v>1</v>
      </c>
      <c r="L2120" s="10">
        <v>1</v>
      </c>
      <c r="M2120" s="14">
        <v>32</v>
      </c>
      <c r="N2120" s="14">
        <v>32</v>
      </c>
      <c r="O2120" s="55" t="s">
        <v>429</v>
      </c>
      <c r="Q2120" s="10">
        <v>30</v>
      </c>
      <c r="R2120" s="10">
        <v>60</v>
      </c>
      <c r="T2120" s="10">
        <v>1</v>
      </c>
      <c r="U2120" s="10">
        <v>60</v>
      </c>
      <c r="W2120" s="14"/>
      <c r="Y2120" s="79">
        <v>1.5</v>
      </c>
      <c r="Z2120" s="56" t="s">
        <v>9</v>
      </c>
    </row>
    <row r="2121" spans="1:26" ht="23.1" customHeight="1" x14ac:dyDescent="0.25">
      <c r="A2121" s="53" t="s">
        <v>1244</v>
      </c>
      <c r="B2121" s="10" t="s">
        <v>110</v>
      </c>
      <c r="C2121" s="10">
        <v>99</v>
      </c>
      <c r="D2121" s="10" t="s">
        <v>1191</v>
      </c>
      <c r="E2121" s="41" t="s">
        <v>1192</v>
      </c>
      <c r="F2121" s="41" t="s">
        <v>1192</v>
      </c>
      <c r="G2121" s="21" t="str">
        <f>VLOOKUP(D2121,[6]成飞半成品!$A:$B,2,0)</f>
        <v>后顶板</v>
      </c>
      <c r="H2121" s="10" t="s">
        <v>300</v>
      </c>
      <c r="I2121" s="10">
        <v>25</v>
      </c>
      <c r="J2121" s="10" t="s">
        <v>2497</v>
      </c>
      <c r="L2121" s="10">
        <v>2</v>
      </c>
      <c r="M2121" s="14">
        <v>32</v>
      </c>
      <c r="N2121" s="14">
        <v>32</v>
      </c>
      <c r="O2121" s="55" t="s">
        <v>1575</v>
      </c>
      <c r="Q2121" s="10">
        <v>120</v>
      </c>
      <c r="R2121" s="10">
        <v>60</v>
      </c>
      <c r="T2121" s="10">
        <v>2</v>
      </c>
      <c r="U2121" s="10">
        <v>60</v>
      </c>
      <c r="W2121" s="14">
        <v>1</v>
      </c>
      <c r="Y2121" s="79">
        <v>7</v>
      </c>
      <c r="Z2121" s="56" t="s">
        <v>29</v>
      </c>
    </row>
    <row r="2122" spans="1:26" ht="23.1" customHeight="1" x14ac:dyDescent="0.25">
      <c r="A2122" s="53" t="s">
        <v>1244</v>
      </c>
      <c r="B2122" s="10" t="s">
        <v>110</v>
      </c>
      <c r="C2122" s="10">
        <v>99</v>
      </c>
      <c r="D2122" s="10" t="s">
        <v>1191</v>
      </c>
      <c r="E2122" s="41" t="s">
        <v>1192</v>
      </c>
      <c r="F2122" s="41" t="s">
        <v>1192</v>
      </c>
      <c r="G2122" s="21" t="str">
        <f>VLOOKUP(D2122,[6]成飞半成品!$A:$B,2,0)</f>
        <v>后顶板</v>
      </c>
      <c r="H2122" s="10" t="s">
        <v>300</v>
      </c>
      <c r="I2122" s="10">
        <v>30</v>
      </c>
      <c r="J2122" s="10" t="s">
        <v>2186</v>
      </c>
      <c r="L2122" s="10">
        <v>0.1</v>
      </c>
      <c r="M2122" s="14">
        <v>32</v>
      </c>
      <c r="N2122" s="14">
        <v>32</v>
      </c>
      <c r="O2122" s="55" t="s">
        <v>221</v>
      </c>
      <c r="Q2122" s="10">
        <v>1080</v>
      </c>
      <c r="R2122" s="10">
        <v>120</v>
      </c>
      <c r="T2122" s="10">
        <v>1</v>
      </c>
      <c r="U2122" s="10">
        <v>120</v>
      </c>
      <c r="W2122" s="14">
        <v>1</v>
      </c>
      <c r="Y2122" s="79">
        <v>5.8</v>
      </c>
      <c r="Z2122" s="56" t="s">
        <v>29</v>
      </c>
    </row>
    <row r="2123" spans="1:26" ht="23.1" customHeight="1" x14ac:dyDescent="0.25">
      <c r="A2123" s="53" t="s">
        <v>1244</v>
      </c>
      <c r="B2123" s="10" t="s">
        <v>110</v>
      </c>
      <c r="C2123" s="10">
        <v>99</v>
      </c>
      <c r="D2123" s="10" t="s">
        <v>1191</v>
      </c>
      <c r="E2123" s="41" t="s">
        <v>1192</v>
      </c>
      <c r="F2123" s="41" t="s">
        <v>1192</v>
      </c>
      <c r="G2123" s="21" t="str">
        <f>VLOOKUP(D2123,[6]成飞半成品!$A:$B,2,0)</f>
        <v>后顶板</v>
      </c>
      <c r="H2123" s="10" t="s">
        <v>300</v>
      </c>
      <c r="I2123" s="10">
        <v>20</v>
      </c>
      <c r="J2123" s="10" t="s">
        <v>2181</v>
      </c>
      <c r="K2123" s="10">
        <v>0.5</v>
      </c>
      <c r="L2123" s="10">
        <v>0.1</v>
      </c>
      <c r="M2123" s="14">
        <v>32</v>
      </c>
      <c r="N2123" s="14">
        <v>32</v>
      </c>
      <c r="O2123" s="55" t="s">
        <v>219</v>
      </c>
      <c r="Q2123" s="10">
        <v>450</v>
      </c>
      <c r="R2123" s="10">
        <v>60</v>
      </c>
      <c r="U2123" s="10">
        <v>90</v>
      </c>
      <c r="W2123" s="14"/>
      <c r="Y2123" s="79">
        <v>0.8</v>
      </c>
      <c r="Z2123" s="56" t="s">
        <v>29</v>
      </c>
    </row>
    <row r="2124" spans="1:26" ht="23.1" customHeight="1" x14ac:dyDescent="0.25">
      <c r="A2124" s="53" t="s">
        <v>1244</v>
      </c>
      <c r="B2124" s="10" t="s">
        <v>110</v>
      </c>
      <c r="C2124" s="10">
        <v>99</v>
      </c>
      <c r="D2124" s="10" t="s">
        <v>1191</v>
      </c>
      <c r="E2124" s="41" t="s">
        <v>1192</v>
      </c>
      <c r="F2124" s="41" t="s">
        <v>1192</v>
      </c>
      <c r="G2124" s="21" t="str">
        <f>VLOOKUP(D2124,[6]成飞半成品!$A:$B,2,0)</f>
        <v>后顶板</v>
      </c>
      <c r="H2124" s="10" t="s">
        <v>300</v>
      </c>
      <c r="I2124" s="10">
        <v>25</v>
      </c>
      <c r="J2124" s="10" t="s">
        <v>2182</v>
      </c>
      <c r="K2124" s="10">
        <v>1</v>
      </c>
      <c r="L2124" s="10">
        <v>4</v>
      </c>
      <c r="M2124" s="14">
        <v>32</v>
      </c>
      <c r="N2124" s="14">
        <v>32</v>
      </c>
      <c r="O2124" s="55" t="s">
        <v>1561</v>
      </c>
      <c r="Q2124" s="10">
        <v>120</v>
      </c>
      <c r="R2124" s="10">
        <v>60</v>
      </c>
      <c r="T2124" s="10">
        <v>4</v>
      </c>
      <c r="U2124" s="10">
        <v>60</v>
      </c>
      <c r="W2124" s="14">
        <v>1</v>
      </c>
      <c r="Y2124" s="79">
        <v>13</v>
      </c>
      <c r="Z2124" s="56" t="s">
        <v>29</v>
      </c>
    </row>
    <row r="2125" spans="1:26" ht="23.1" customHeight="1" x14ac:dyDescent="0.25">
      <c r="A2125" s="53" t="s">
        <v>1244</v>
      </c>
      <c r="B2125" s="10" t="s">
        <v>110</v>
      </c>
      <c r="C2125" s="10">
        <v>103</v>
      </c>
      <c r="D2125" s="10" t="s">
        <v>1071</v>
      </c>
      <c r="E2125" s="41" t="s">
        <v>1072</v>
      </c>
      <c r="F2125" s="41" t="e">
        <v>#N/A</v>
      </c>
      <c r="G2125" s="21" t="e">
        <f>VLOOKUP(D2125,[6]成飞半成品!$A:$B,2,0)</f>
        <v>#N/A</v>
      </c>
      <c r="H2125" s="10" t="s">
        <v>250</v>
      </c>
      <c r="I2125" s="10">
        <v>40</v>
      </c>
      <c r="J2125" s="10" t="s">
        <v>2296</v>
      </c>
      <c r="K2125" s="10">
        <v>0.8</v>
      </c>
      <c r="L2125" s="10">
        <v>0.6</v>
      </c>
      <c r="M2125" s="14">
        <v>32</v>
      </c>
      <c r="N2125" s="14">
        <v>32</v>
      </c>
      <c r="O2125" s="55" t="s">
        <v>1184</v>
      </c>
      <c r="Q2125" s="10">
        <v>1020</v>
      </c>
      <c r="R2125" s="10">
        <v>90</v>
      </c>
      <c r="U2125" s="10">
        <v>180</v>
      </c>
      <c r="W2125" s="14"/>
      <c r="Y2125" s="79">
        <v>10.199999999999999</v>
      </c>
      <c r="Z2125" s="56" t="s">
        <v>61</v>
      </c>
    </row>
    <row r="2126" spans="1:26" ht="23.1" customHeight="1" x14ac:dyDescent="0.25">
      <c r="A2126" s="53" t="s">
        <v>1244</v>
      </c>
      <c r="B2126" s="10" t="s">
        <v>110</v>
      </c>
      <c r="C2126" s="10">
        <v>102</v>
      </c>
      <c r="D2126" s="10" t="s">
        <v>1097</v>
      </c>
      <c r="E2126" s="41" t="s">
        <v>1098</v>
      </c>
      <c r="F2126" s="41" t="s">
        <v>1098</v>
      </c>
      <c r="G2126" s="21" t="str">
        <f>VLOOKUP(D2126,[6]成飞半成品!$A:$B,2,0)</f>
        <v>根肋一段</v>
      </c>
      <c r="H2126" s="10" t="s">
        <v>250</v>
      </c>
      <c r="I2126" s="10">
        <v>40</v>
      </c>
      <c r="J2126" s="10" t="s">
        <v>2172</v>
      </c>
      <c r="K2126" s="10">
        <v>1.3</v>
      </c>
      <c r="L2126" s="10">
        <v>1.3</v>
      </c>
      <c r="M2126" s="14">
        <v>32</v>
      </c>
      <c r="N2126" s="14">
        <v>32</v>
      </c>
      <c r="O2126" s="55" t="s">
        <v>292</v>
      </c>
      <c r="Q2126" s="10">
        <v>450</v>
      </c>
      <c r="R2126" s="10">
        <v>60</v>
      </c>
      <c r="T2126" s="10">
        <v>2</v>
      </c>
      <c r="U2126" s="10">
        <v>120</v>
      </c>
      <c r="W2126" s="14"/>
      <c r="Y2126" s="79">
        <v>11.8</v>
      </c>
      <c r="Z2126" s="56" t="s">
        <v>36</v>
      </c>
    </row>
    <row r="2127" spans="1:26" ht="23.1" customHeight="1" x14ac:dyDescent="0.25">
      <c r="A2127" s="53" t="s">
        <v>1244</v>
      </c>
      <c r="B2127" s="10" t="s">
        <v>110</v>
      </c>
      <c r="C2127" s="10">
        <v>98</v>
      </c>
      <c r="D2127" s="10" t="s">
        <v>481</v>
      </c>
      <c r="E2127" s="41" t="s">
        <v>482</v>
      </c>
      <c r="F2127" s="41" t="s">
        <v>482</v>
      </c>
      <c r="G2127" s="21" t="str">
        <f>VLOOKUP(D2127,[6]成飞半成品!$A:$B,2,0)</f>
        <v>11140框左下半框</v>
      </c>
      <c r="H2127" s="10" t="s">
        <v>118</v>
      </c>
      <c r="I2127" s="10">
        <v>13</v>
      </c>
      <c r="K2127" s="10">
        <v>1</v>
      </c>
      <c r="L2127" s="10">
        <v>1</v>
      </c>
      <c r="M2127" s="14">
        <v>32</v>
      </c>
      <c r="N2127" s="14">
        <v>32</v>
      </c>
      <c r="O2127" s="55" t="s">
        <v>689</v>
      </c>
      <c r="P2127" s="47">
        <v>300</v>
      </c>
      <c r="Q2127" s="47"/>
      <c r="R2127" s="47"/>
      <c r="S2127" s="47">
        <v>60</v>
      </c>
      <c r="T2127" s="10">
        <v>1</v>
      </c>
      <c r="W2127" s="14"/>
      <c r="Y2127" s="83">
        <v>6</v>
      </c>
      <c r="Z2127" s="56" t="s">
        <v>36</v>
      </c>
    </row>
    <row r="2128" spans="1:26" ht="23.1" customHeight="1" x14ac:dyDescent="0.25">
      <c r="A2128" s="53" t="s">
        <v>1244</v>
      </c>
      <c r="B2128" s="10" t="s">
        <v>110</v>
      </c>
      <c r="C2128" s="10">
        <v>98</v>
      </c>
      <c r="D2128" s="10" t="s">
        <v>481</v>
      </c>
      <c r="E2128" s="41" t="s">
        <v>482</v>
      </c>
      <c r="F2128" s="41" t="s">
        <v>482</v>
      </c>
      <c r="G2128" s="21" t="str">
        <f>VLOOKUP(D2128,[6]成飞半成品!$A:$B,2,0)</f>
        <v>11140框左下半框</v>
      </c>
      <c r="H2128" s="10" t="s">
        <v>118</v>
      </c>
      <c r="I2128" s="10">
        <v>15</v>
      </c>
      <c r="J2128" s="10" t="s">
        <v>2144</v>
      </c>
      <c r="K2128" s="10">
        <v>0.5</v>
      </c>
      <c r="L2128" s="10">
        <v>0.5</v>
      </c>
      <c r="M2128" s="14">
        <v>32</v>
      </c>
      <c r="N2128" s="14">
        <v>32</v>
      </c>
      <c r="O2128" s="55" t="s">
        <v>689</v>
      </c>
      <c r="Q2128" s="10">
        <v>720</v>
      </c>
      <c r="R2128" s="10">
        <v>60</v>
      </c>
      <c r="T2128" s="10">
        <v>1</v>
      </c>
      <c r="U2128" s="10">
        <v>120</v>
      </c>
      <c r="W2128" s="14">
        <v>1</v>
      </c>
      <c r="Y2128" s="79">
        <v>9</v>
      </c>
      <c r="Z2128" s="56" t="s">
        <v>36</v>
      </c>
    </row>
    <row r="2129" spans="1:26" ht="23.1" customHeight="1" x14ac:dyDescent="0.25">
      <c r="A2129" s="53" t="s">
        <v>1244</v>
      </c>
      <c r="B2129" s="10" t="s">
        <v>110</v>
      </c>
      <c r="C2129" s="10">
        <v>106</v>
      </c>
      <c r="D2129" s="10" t="s">
        <v>1070</v>
      </c>
      <c r="E2129" s="41" t="s">
        <v>101</v>
      </c>
      <c r="F2129" s="41" t="s">
        <v>101</v>
      </c>
      <c r="G2129" s="21" t="str">
        <f>VLOOKUP(D2129,[6]成飞半成品!$A:$B,2,0)</f>
        <v>前梁一段</v>
      </c>
      <c r="H2129" s="10" t="s">
        <v>300</v>
      </c>
      <c r="I2129" s="10">
        <v>35</v>
      </c>
      <c r="J2129" s="10" t="s">
        <v>2498</v>
      </c>
      <c r="K2129" s="10">
        <v>0.5</v>
      </c>
      <c r="L2129" s="10">
        <v>0.6</v>
      </c>
      <c r="M2129" s="14">
        <v>32</v>
      </c>
      <c r="N2129" s="14">
        <v>32</v>
      </c>
      <c r="O2129" s="55" t="s">
        <v>476</v>
      </c>
      <c r="Q2129" s="10">
        <v>1200</v>
      </c>
      <c r="R2129" s="10">
        <v>150</v>
      </c>
      <c r="U2129" s="10">
        <v>180</v>
      </c>
      <c r="W2129" s="14"/>
      <c r="Y2129" s="79">
        <v>12</v>
      </c>
      <c r="Z2129" s="56" t="s">
        <v>36</v>
      </c>
    </row>
    <row r="2130" spans="1:26" ht="23.1" customHeight="1" x14ac:dyDescent="0.25">
      <c r="A2130" s="53" t="s">
        <v>1244</v>
      </c>
      <c r="B2130" s="10" t="s">
        <v>110</v>
      </c>
      <c r="C2130" s="10">
        <v>118</v>
      </c>
      <c r="D2130" s="10" t="s">
        <v>1171</v>
      </c>
      <c r="E2130" s="41" t="s">
        <v>1172</v>
      </c>
      <c r="F2130" s="41" t="s">
        <v>1172</v>
      </c>
      <c r="G2130" s="21" t="str">
        <f>VLOOKUP(D2130,[6]成飞半成品!$A:$B,2,0)</f>
        <v>后梁</v>
      </c>
      <c r="H2130" s="10" t="s">
        <v>300</v>
      </c>
      <c r="I2130" s="10">
        <v>15</v>
      </c>
      <c r="J2130" s="10" t="s">
        <v>1931</v>
      </c>
      <c r="L2130" s="10">
        <v>0.5</v>
      </c>
      <c r="M2130" s="14">
        <v>32</v>
      </c>
      <c r="N2130" s="14">
        <v>32</v>
      </c>
      <c r="O2130" s="55" t="s">
        <v>1576</v>
      </c>
      <c r="Q2130" s="10">
        <v>900</v>
      </c>
      <c r="R2130" s="10">
        <v>120</v>
      </c>
      <c r="U2130" s="10">
        <v>60</v>
      </c>
      <c r="W2130" s="14"/>
      <c r="Y2130" s="79">
        <v>7.5</v>
      </c>
      <c r="Z2130" s="56" t="s">
        <v>36</v>
      </c>
    </row>
    <row r="2131" spans="1:26" ht="23.1" customHeight="1" x14ac:dyDescent="0.25">
      <c r="A2131" s="53" t="s">
        <v>1244</v>
      </c>
      <c r="B2131" s="10" t="s">
        <v>110</v>
      </c>
      <c r="C2131" s="10">
        <v>45</v>
      </c>
      <c r="D2131" s="25" t="s">
        <v>2551</v>
      </c>
      <c r="E2131" s="41" t="s">
        <v>1578</v>
      </c>
      <c r="F2131" s="41" t="e">
        <v>#N/A</v>
      </c>
      <c r="G2131" s="21" t="str">
        <f>VLOOKUP(D2131,[6]成飞半成品!$A:$B,2,0)</f>
        <v>工装</v>
      </c>
      <c r="I2131" s="10">
        <v>15</v>
      </c>
      <c r="K2131" s="10">
        <v>1</v>
      </c>
      <c r="L2131" s="10">
        <v>1</v>
      </c>
      <c r="M2131" s="14">
        <v>32</v>
      </c>
      <c r="N2131" s="14">
        <v>32</v>
      </c>
      <c r="T2131" s="10">
        <v>1</v>
      </c>
      <c r="W2131" s="14"/>
      <c r="X2131" s="14">
        <v>7.5</v>
      </c>
      <c r="Y2131" s="79">
        <v>7.5</v>
      </c>
      <c r="Z2131" s="56" t="s">
        <v>36</v>
      </c>
    </row>
    <row r="2132" spans="1:26" ht="23.1" customHeight="1" x14ac:dyDescent="0.25">
      <c r="A2132" s="53" t="s">
        <v>1244</v>
      </c>
      <c r="B2132" s="10" t="s">
        <v>110</v>
      </c>
      <c r="C2132" s="10">
        <v>45</v>
      </c>
      <c r="D2132" s="25" t="s">
        <v>2551</v>
      </c>
      <c r="E2132" s="41" t="s">
        <v>1578</v>
      </c>
      <c r="F2132" s="41" t="e">
        <v>#N/A</v>
      </c>
      <c r="G2132" s="21" t="str">
        <f>VLOOKUP(D2132,[6]成飞半成品!$A:$B,2,0)</f>
        <v>工装</v>
      </c>
      <c r="I2132" s="10">
        <v>15</v>
      </c>
      <c r="K2132" s="10">
        <v>1</v>
      </c>
      <c r="L2132" s="10">
        <v>1</v>
      </c>
      <c r="M2132" s="14">
        <v>32</v>
      </c>
      <c r="N2132" s="14">
        <v>32</v>
      </c>
      <c r="T2132" s="10">
        <v>1</v>
      </c>
      <c r="W2132" s="14"/>
      <c r="X2132" s="14">
        <v>7.5</v>
      </c>
      <c r="Y2132" s="79">
        <v>7.5</v>
      </c>
      <c r="Z2132" s="56" t="s">
        <v>36</v>
      </c>
    </row>
    <row r="2133" spans="1:26" ht="23.1" customHeight="1" x14ac:dyDescent="0.25">
      <c r="A2133" s="53" t="s">
        <v>1244</v>
      </c>
      <c r="B2133" s="10" t="s">
        <v>110</v>
      </c>
      <c r="C2133" s="10">
        <v>100</v>
      </c>
      <c r="D2133" s="10" t="s">
        <v>484</v>
      </c>
      <c r="E2133" s="41" t="s">
        <v>485</v>
      </c>
      <c r="F2133" s="41" t="s">
        <v>485</v>
      </c>
      <c r="G2133" s="21" t="str">
        <f>VLOOKUP(D2133,[6]成飞半成品!$A:$B,2,0)</f>
        <v>8635左隔框</v>
      </c>
      <c r="H2133" s="10" t="s">
        <v>300</v>
      </c>
      <c r="I2133" s="10">
        <v>15</v>
      </c>
      <c r="J2133" s="10" t="s">
        <v>2499</v>
      </c>
      <c r="K2133" s="10">
        <v>1</v>
      </c>
      <c r="L2133" s="10">
        <v>1</v>
      </c>
      <c r="M2133" s="14">
        <v>32</v>
      </c>
      <c r="N2133" s="14">
        <v>32</v>
      </c>
      <c r="O2133" s="55" t="s">
        <v>722</v>
      </c>
      <c r="Q2133" s="10">
        <v>120</v>
      </c>
      <c r="R2133" s="10">
        <v>60</v>
      </c>
      <c r="T2133" s="10">
        <v>1</v>
      </c>
      <c r="U2133" s="10">
        <v>90</v>
      </c>
      <c r="W2133" s="14"/>
      <c r="Y2133" s="79">
        <v>3</v>
      </c>
      <c r="Z2133" s="56" t="s">
        <v>36</v>
      </c>
    </row>
    <row r="2134" spans="1:26" ht="23.1" customHeight="1" x14ac:dyDescent="0.25">
      <c r="A2134" s="53" t="s">
        <v>1244</v>
      </c>
      <c r="B2134" s="10" t="s">
        <v>110</v>
      </c>
      <c r="C2134" s="10">
        <v>100</v>
      </c>
      <c r="D2134" s="10" t="s">
        <v>298</v>
      </c>
      <c r="E2134" s="41" t="s">
        <v>299</v>
      </c>
      <c r="F2134" s="41" t="s">
        <v>299</v>
      </c>
      <c r="G2134" s="21" t="str">
        <f>VLOOKUP(D2134,[6]成飞半成品!$A:$B,2,0)</f>
        <v>8635右隔框</v>
      </c>
      <c r="H2134" s="10" t="s">
        <v>300</v>
      </c>
      <c r="I2134" s="10">
        <v>15</v>
      </c>
      <c r="J2134" s="10" t="s">
        <v>2134</v>
      </c>
      <c r="K2134" s="10">
        <v>3</v>
      </c>
      <c r="L2134" s="10">
        <v>3</v>
      </c>
      <c r="M2134" s="14">
        <v>32</v>
      </c>
      <c r="N2134" s="14">
        <v>32</v>
      </c>
      <c r="O2134" s="55" t="s">
        <v>1580</v>
      </c>
      <c r="Q2134" s="10">
        <v>120</v>
      </c>
      <c r="R2134" s="10">
        <v>60</v>
      </c>
      <c r="T2134" s="10">
        <v>1</v>
      </c>
      <c r="U2134" s="10">
        <v>90</v>
      </c>
      <c r="W2134" s="14">
        <v>1</v>
      </c>
      <c r="Y2134" s="79">
        <v>8.5</v>
      </c>
      <c r="Z2134" s="56" t="s">
        <v>36</v>
      </c>
    </row>
    <row r="2135" spans="1:26" ht="23.1" customHeight="1" x14ac:dyDescent="0.25">
      <c r="A2135" s="53" t="s">
        <v>1244</v>
      </c>
      <c r="B2135" s="10" t="s">
        <v>110</v>
      </c>
      <c r="C2135" s="10">
        <v>100</v>
      </c>
      <c r="D2135" s="10" t="s">
        <v>298</v>
      </c>
      <c r="E2135" s="41" t="s">
        <v>299</v>
      </c>
      <c r="F2135" s="41" t="s">
        <v>299</v>
      </c>
      <c r="G2135" s="21" t="str">
        <f>VLOOKUP(D2135,[6]成飞半成品!$A:$B,2,0)</f>
        <v>8635右隔框</v>
      </c>
      <c r="H2135" s="10" t="s">
        <v>300</v>
      </c>
      <c r="I2135" s="10">
        <v>20</v>
      </c>
      <c r="J2135" s="10" t="s">
        <v>2135</v>
      </c>
      <c r="K2135" s="10">
        <v>0.7</v>
      </c>
      <c r="L2135" s="10">
        <v>0.7</v>
      </c>
      <c r="M2135" s="14">
        <v>32</v>
      </c>
      <c r="N2135" s="14">
        <v>32</v>
      </c>
      <c r="O2135" s="55" t="s">
        <v>418</v>
      </c>
      <c r="Q2135" s="10">
        <v>420</v>
      </c>
      <c r="R2135" s="10">
        <v>60</v>
      </c>
      <c r="T2135" s="10">
        <v>1</v>
      </c>
      <c r="U2135" s="10">
        <v>90</v>
      </c>
      <c r="W2135" s="14">
        <v>1</v>
      </c>
      <c r="Y2135" s="79">
        <v>7.4</v>
      </c>
      <c r="Z2135" s="56" t="s">
        <v>36</v>
      </c>
    </row>
    <row r="2136" spans="1:26" ht="23.1" customHeight="1" x14ac:dyDescent="0.25">
      <c r="A2136" s="53" t="s">
        <v>1244</v>
      </c>
      <c r="B2136" s="10" t="s">
        <v>110</v>
      </c>
      <c r="C2136" s="10">
        <v>83</v>
      </c>
      <c r="D2136" s="10" t="s">
        <v>1095</v>
      </c>
      <c r="E2136" s="41" t="s">
        <v>1096</v>
      </c>
      <c r="F2136" s="41" t="s">
        <v>1096</v>
      </c>
      <c r="G2136" s="21" t="str">
        <f>VLOOKUP(D2136,[6]成飞半成品!$A:$B,2,0)</f>
        <v>1150肋根肋</v>
      </c>
      <c r="H2136" s="10" t="s">
        <v>658</v>
      </c>
      <c r="I2136" s="10">
        <v>25</v>
      </c>
      <c r="J2136" s="10" t="s">
        <v>2054</v>
      </c>
      <c r="K2136" s="10">
        <v>7</v>
      </c>
      <c r="L2136" s="10">
        <v>12</v>
      </c>
      <c r="M2136" s="14">
        <v>32</v>
      </c>
      <c r="N2136" s="14">
        <v>32</v>
      </c>
      <c r="O2136" s="55" t="s">
        <v>1581</v>
      </c>
      <c r="Q2136" s="10">
        <v>90</v>
      </c>
      <c r="R2136" s="10">
        <v>60</v>
      </c>
      <c r="T2136" s="10">
        <v>12</v>
      </c>
      <c r="U2136" s="10">
        <v>60</v>
      </c>
      <c r="W2136" s="14"/>
      <c r="Y2136" s="79">
        <v>30</v>
      </c>
      <c r="Z2136" s="56" t="s">
        <v>36</v>
      </c>
    </row>
    <row r="2137" spans="1:26" ht="23.1" customHeight="1" x14ac:dyDescent="0.25">
      <c r="A2137" s="53" t="s">
        <v>1244</v>
      </c>
      <c r="B2137" s="10" t="s">
        <v>110</v>
      </c>
      <c r="C2137" s="10">
        <v>82</v>
      </c>
      <c r="D2137" s="10" t="s">
        <v>1582</v>
      </c>
      <c r="E2137" s="41" t="s">
        <v>1283</v>
      </c>
      <c r="F2137" s="41" t="s">
        <v>1283</v>
      </c>
      <c r="G2137" s="21" t="str">
        <f>VLOOKUP(D2137,[6]成飞半成品!$A:$B,2,0)</f>
        <v>9框前支柱</v>
      </c>
      <c r="H2137" s="10" t="s">
        <v>102</v>
      </c>
      <c r="I2137" s="10">
        <v>5</v>
      </c>
      <c r="J2137" s="10" t="s">
        <v>2060</v>
      </c>
      <c r="L2137" s="10">
        <v>1</v>
      </c>
      <c r="M2137" s="14">
        <v>32</v>
      </c>
      <c r="N2137" s="14">
        <v>32</v>
      </c>
      <c r="O2137" s="55" t="s">
        <v>596</v>
      </c>
      <c r="Q2137" s="10">
        <v>180</v>
      </c>
      <c r="R2137" s="10">
        <v>60</v>
      </c>
      <c r="T2137" s="10">
        <v>1</v>
      </c>
      <c r="U2137" s="10">
        <v>60</v>
      </c>
      <c r="W2137" s="14">
        <v>1</v>
      </c>
      <c r="Y2137" s="79">
        <v>5</v>
      </c>
      <c r="Z2137" s="56" t="s">
        <v>36</v>
      </c>
    </row>
    <row r="2138" spans="1:26" ht="23.1" customHeight="1" x14ac:dyDescent="0.25">
      <c r="A2138" s="53" t="s">
        <v>1244</v>
      </c>
      <c r="B2138" s="10" t="s">
        <v>110</v>
      </c>
      <c r="C2138" s="10">
        <v>82</v>
      </c>
      <c r="D2138" s="10" t="s">
        <v>1582</v>
      </c>
      <c r="E2138" s="41" t="s">
        <v>1283</v>
      </c>
      <c r="F2138" s="41" t="s">
        <v>1283</v>
      </c>
      <c r="G2138" s="21" t="str">
        <f>VLOOKUP(D2138,[6]成飞半成品!$A:$B,2,0)</f>
        <v>9框前支柱</v>
      </c>
      <c r="H2138" s="10" t="s">
        <v>102</v>
      </c>
      <c r="I2138" s="10">
        <v>5</v>
      </c>
      <c r="J2138" s="10" t="s">
        <v>2387</v>
      </c>
      <c r="L2138" s="10">
        <v>1</v>
      </c>
      <c r="M2138" s="14">
        <v>32</v>
      </c>
      <c r="N2138" s="14">
        <v>32</v>
      </c>
      <c r="O2138" s="55" t="s">
        <v>596</v>
      </c>
      <c r="Q2138" s="10">
        <v>180</v>
      </c>
      <c r="R2138" s="10">
        <v>60</v>
      </c>
      <c r="T2138" s="10">
        <v>1</v>
      </c>
      <c r="U2138" s="10">
        <v>60</v>
      </c>
      <c r="W2138" s="14">
        <v>1</v>
      </c>
      <c r="Y2138" s="79">
        <v>5</v>
      </c>
      <c r="Z2138" s="56" t="s">
        <v>36</v>
      </c>
    </row>
    <row r="2139" spans="1:26" ht="23.1" customHeight="1" x14ac:dyDescent="0.25">
      <c r="A2139" s="53" t="s">
        <v>1244</v>
      </c>
      <c r="B2139" s="10" t="s">
        <v>110</v>
      </c>
      <c r="C2139" s="10">
        <v>82</v>
      </c>
      <c r="D2139" s="10" t="s">
        <v>1583</v>
      </c>
      <c r="E2139" s="41" t="s">
        <v>1283</v>
      </c>
      <c r="F2139" s="41" t="s">
        <v>1283</v>
      </c>
      <c r="G2139" s="21" t="str">
        <f>VLOOKUP(D2139,[6]成飞半成品!$A:$B,2,0)</f>
        <v>9框前支柱</v>
      </c>
      <c r="H2139" s="10" t="s">
        <v>102</v>
      </c>
      <c r="I2139" s="10">
        <v>5</v>
      </c>
      <c r="J2139" s="10" t="s">
        <v>2060</v>
      </c>
      <c r="L2139" s="10">
        <v>1</v>
      </c>
      <c r="M2139" s="14">
        <v>32</v>
      </c>
      <c r="N2139" s="14">
        <v>32</v>
      </c>
      <c r="O2139" s="55" t="s">
        <v>596</v>
      </c>
      <c r="Q2139" s="10">
        <v>180</v>
      </c>
      <c r="R2139" s="10">
        <v>60</v>
      </c>
      <c r="T2139" s="10">
        <v>1</v>
      </c>
      <c r="U2139" s="10">
        <v>60</v>
      </c>
      <c r="W2139" s="14">
        <v>1</v>
      </c>
      <c r="Y2139" s="79">
        <v>5</v>
      </c>
      <c r="Z2139" s="56" t="s">
        <v>36</v>
      </c>
    </row>
    <row r="2140" spans="1:26" ht="23.1" customHeight="1" x14ac:dyDescent="0.25">
      <c r="A2140" s="53" t="s">
        <v>1244</v>
      </c>
      <c r="B2140" s="10" t="s">
        <v>110</v>
      </c>
      <c r="C2140" s="10">
        <v>82</v>
      </c>
      <c r="D2140" s="10" t="s">
        <v>1584</v>
      </c>
      <c r="E2140" s="41" t="s">
        <v>1570</v>
      </c>
      <c r="F2140" s="41" t="s">
        <v>1570</v>
      </c>
      <c r="G2140" s="21" t="str">
        <f>VLOOKUP(D2140,[6]成飞半成品!$A:$B,2,0)</f>
        <v>剖形支柱</v>
      </c>
      <c r="H2140" s="10" t="s">
        <v>102</v>
      </c>
      <c r="I2140" s="10">
        <v>10</v>
      </c>
      <c r="J2140" s="10" t="s">
        <v>2038</v>
      </c>
      <c r="L2140" s="10">
        <v>1</v>
      </c>
      <c r="M2140" s="14">
        <v>32</v>
      </c>
      <c r="N2140" s="14">
        <v>32</v>
      </c>
      <c r="O2140" s="55" t="s">
        <v>596</v>
      </c>
      <c r="Q2140" s="10">
        <v>60</v>
      </c>
      <c r="R2140" s="10">
        <v>60</v>
      </c>
      <c r="T2140" s="10">
        <v>1</v>
      </c>
      <c r="U2140" s="10">
        <v>90</v>
      </c>
      <c r="W2140" s="14">
        <v>1</v>
      </c>
      <c r="Y2140" s="79">
        <v>3.5</v>
      </c>
      <c r="Z2140" s="56" t="s">
        <v>36</v>
      </c>
    </row>
    <row r="2141" spans="1:26" ht="23.1" customHeight="1" x14ac:dyDescent="0.25">
      <c r="A2141" s="53" t="s">
        <v>1244</v>
      </c>
      <c r="B2141" s="10" t="s">
        <v>113</v>
      </c>
      <c r="C2141" s="10">
        <v>99</v>
      </c>
      <c r="D2141" s="10" t="s">
        <v>1191</v>
      </c>
      <c r="E2141" s="41" t="s">
        <v>1192</v>
      </c>
      <c r="F2141" s="41" t="s">
        <v>1192</v>
      </c>
      <c r="G2141" s="21" t="str">
        <f>VLOOKUP(D2141,[6]成飞半成品!$A:$B,2,0)</f>
        <v>后顶板</v>
      </c>
      <c r="H2141" s="10" t="s">
        <v>300</v>
      </c>
      <c r="I2141" s="10">
        <v>30</v>
      </c>
      <c r="J2141" s="10" t="s">
        <v>2500</v>
      </c>
      <c r="K2141" s="10">
        <v>0.5</v>
      </c>
      <c r="L2141" s="10">
        <v>0.7</v>
      </c>
      <c r="M2141" s="14">
        <v>25</v>
      </c>
      <c r="N2141" s="14">
        <v>25</v>
      </c>
      <c r="O2141" s="55" t="s">
        <v>221</v>
      </c>
      <c r="Q2141" s="10">
        <v>1080</v>
      </c>
      <c r="R2141" s="10">
        <v>120</v>
      </c>
      <c r="U2141" s="10">
        <v>120</v>
      </c>
      <c r="W2141" s="14"/>
      <c r="Y2141" s="79">
        <v>12.6</v>
      </c>
      <c r="Z2141" s="56" t="s">
        <v>21</v>
      </c>
    </row>
    <row r="2142" spans="1:26" ht="23.1" customHeight="1" x14ac:dyDescent="0.25">
      <c r="A2142" s="53" t="s">
        <v>1244</v>
      </c>
      <c r="B2142" s="10" t="s">
        <v>113</v>
      </c>
      <c r="C2142" s="10">
        <v>97</v>
      </c>
      <c r="D2142" s="10" t="s">
        <v>787</v>
      </c>
      <c r="E2142" s="41" t="s">
        <v>1065</v>
      </c>
      <c r="F2142" s="41" t="s">
        <v>1065</v>
      </c>
      <c r="G2142" s="21" t="str">
        <f>VLOOKUP(D2142,[6]成飞半成品!$A:$B,2,0)</f>
        <v>根肋二段</v>
      </c>
      <c r="H2142" s="10" t="s">
        <v>250</v>
      </c>
      <c r="I2142" s="10">
        <v>60</v>
      </c>
      <c r="J2142" s="10" t="s">
        <v>2156</v>
      </c>
      <c r="K2142" s="10">
        <v>1</v>
      </c>
      <c r="L2142" s="10">
        <v>1</v>
      </c>
      <c r="M2142" s="14">
        <v>25</v>
      </c>
      <c r="N2142" s="14">
        <v>25</v>
      </c>
      <c r="O2142" s="55" t="s">
        <v>429</v>
      </c>
      <c r="Q2142" s="10">
        <v>570</v>
      </c>
      <c r="R2142" s="10">
        <v>60</v>
      </c>
      <c r="T2142" s="10">
        <v>1</v>
      </c>
      <c r="U2142" s="10">
        <v>60</v>
      </c>
      <c r="W2142" s="14"/>
      <c r="Y2142" s="79">
        <v>10.5</v>
      </c>
      <c r="Z2142" s="56" t="s">
        <v>1</v>
      </c>
    </row>
    <row r="2143" spans="1:26" ht="23.1" customHeight="1" x14ac:dyDescent="0.25">
      <c r="A2143" s="53" t="s">
        <v>1244</v>
      </c>
      <c r="B2143" s="10" t="s">
        <v>113</v>
      </c>
      <c r="C2143" s="10">
        <v>105</v>
      </c>
      <c r="D2143" s="10" t="s">
        <v>1176</v>
      </c>
      <c r="E2143" s="41" t="s">
        <v>1098</v>
      </c>
      <c r="F2143" s="41" t="s">
        <v>1098</v>
      </c>
      <c r="G2143" s="21" t="str">
        <f>VLOOKUP(D2143,[6]成飞半成品!$A:$B,2,0)</f>
        <v>根肋一段</v>
      </c>
      <c r="H2143" s="10" t="s">
        <v>250</v>
      </c>
      <c r="I2143" s="10">
        <v>40</v>
      </c>
      <c r="J2143" s="10" t="s">
        <v>2172</v>
      </c>
      <c r="K2143" s="10">
        <v>1</v>
      </c>
      <c r="L2143" s="10">
        <v>1.5</v>
      </c>
      <c r="M2143" s="14">
        <v>25</v>
      </c>
      <c r="N2143" s="14">
        <v>25</v>
      </c>
      <c r="O2143" s="55" t="s">
        <v>429</v>
      </c>
      <c r="Q2143" s="10">
        <v>450</v>
      </c>
      <c r="R2143" s="10">
        <v>60</v>
      </c>
      <c r="T2143" s="10">
        <v>1</v>
      </c>
      <c r="U2143" s="10">
        <v>120</v>
      </c>
      <c r="W2143" s="14"/>
      <c r="Y2143" s="79">
        <v>12.3</v>
      </c>
      <c r="Z2143" s="56" t="s">
        <v>28</v>
      </c>
    </row>
    <row r="2144" spans="1:26" ht="23.1" customHeight="1" x14ac:dyDescent="0.25">
      <c r="A2144" s="53" t="s">
        <v>1244</v>
      </c>
      <c r="B2144" s="10" t="s">
        <v>113</v>
      </c>
      <c r="C2144" s="10">
        <v>105</v>
      </c>
      <c r="D2144" s="10" t="s">
        <v>1176</v>
      </c>
      <c r="E2144" s="41" t="s">
        <v>1098</v>
      </c>
      <c r="F2144" s="41" t="s">
        <v>1098</v>
      </c>
      <c r="G2144" s="21" t="str">
        <f>VLOOKUP(D2144,[6]成飞半成品!$A:$B,2,0)</f>
        <v>根肋一段</v>
      </c>
      <c r="H2144" s="10" t="s">
        <v>250</v>
      </c>
      <c r="I2144" s="10">
        <v>45</v>
      </c>
      <c r="J2144" s="10" t="s">
        <v>2189</v>
      </c>
      <c r="K2144" s="10">
        <v>1</v>
      </c>
      <c r="L2144" s="10">
        <v>1</v>
      </c>
      <c r="M2144" s="14">
        <v>25</v>
      </c>
      <c r="N2144" s="14">
        <v>25</v>
      </c>
      <c r="O2144" s="55" t="s">
        <v>429</v>
      </c>
      <c r="Q2144" s="10">
        <v>30</v>
      </c>
      <c r="R2144" s="10">
        <v>60</v>
      </c>
      <c r="T2144" s="10">
        <v>1</v>
      </c>
      <c r="U2144" s="10">
        <v>60</v>
      </c>
      <c r="W2144" s="14"/>
      <c r="Y2144" s="79">
        <v>1.5</v>
      </c>
      <c r="Z2144" s="56" t="s">
        <v>28</v>
      </c>
    </row>
    <row r="2145" spans="1:27" ht="23.1" customHeight="1" x14ac:dyDescent="0.25">
      <c r="A2145" s="53" t="s">
        <v>1244</v>
      </c>
      <c r="B2145" s="10" t="s">
        <v>113</v>
      </c>
      <c r="C2145" s="10">
        <v>82</v>
      </c>
      <c r="D2145" s="10" t="s">
        <v>1074</v>
      </c>
      <c r="E2145" s="41" t="s">
        <v>1075</v>
      </c>
      <c r="F2145" s="41" t="s">
        <v>1075</v>
      </c>
      <c r="G2145" s="21" t="str">
        <f>VLOOKUP(D2145,[6]成飞半成品!$A:$B,2,0)</f>
        <v>油箱底板（中）</v>
      </c>
      <c r="H2145" s="10" t="s">
        <v>154</v>
      </c>
      <c r="I2145" s="10">
        <v>40</v>
      </c>
      <c r="J2145" s="10" t="s">
        <v>2124</v>
      </c>
      <c r="K2145" s="10">
        <v>3</v>
      </c>
      <c r="L2145" s="10">
        <v>5</v>
      </c>
      <c r="M2145" s="14">
        <v>25</v>
      </c>
      <c r="N2145" s="14">
        <v>25</v>
      </c>
      <c r="O2145" s="55" t="s">
        <v>1298</v>
      </c>
      <c r="Q2145" s="10">
        <v>100</v>
      </c>
      <c r="T2145" s="10">
        <v>5</v>
      </c>
      <c r="U2145" s="10">
        <v>60</v>
      </c>
      <c r="W2145" s="14">
        <v>1</v>
      </c>
      <c r="X2145" s="10">
        <v>3</v>
      </c>
      <c r="Y2145" s="79">
        <v>12.3</v>
      </c>
      <c r="Z2145" s="56" t="s">
        <v>56</v>
      </c>
      <c r="AA2145" s="14" t="s">
        <v>1572</v>
      </c>
    </row>
    <row r="2146" spans="1:27" ht="23.1" customHeight="1" x14ac:dyDescent="0.25">
      <c r="A2146" s="53" t="s">
        <v>1244</v>
      </c>
      <c r="B2146" s="10" t="s">
        <v>113</v>
      </c>
      <c r="C2146" s="10">
        <v>103</v>
      </c>
      <c r="D2146" s="10" t="s">
        <v>1071</v>
      </c>
      <c r="E2146" s="41" t="s">
        <v>1072</v>
      </c>
      <c r="F2146" s="41" t="e">
        <v>#N/A</v>
      </c>
      <c r="G2146" s="21" t="e">
        <f>VLOOKUP(D2146,[6]成飞半成品!$A:$B,2,0)</f>
        <v>#N/A</v>
      </c>
      <c r="H2146" s="10" t="s">
        <v>250</v>
      </c>
      <c r="I2146" s="10">
        <v>40</v>
      </c>
      <c r="J2146" s="10" t="s">
        <v>2296</v>
      </c>
      <c r="K2146" s="10">
        <v>0.8</v>
      </c>
      <c r="L2146" s="10">
        <v>0.6</v>
      </c>
      <c r="M2146" s="14">
        <v>25</v>
      </c>
      <c r="N2146" s="14">
        <v>25</v>
      </c>
      <c r="O2146" s="55" t="s">
        <v>1184</v>
      </c>
      <c r="Q2146" s="10">
        <v>1020</v>
      </c>
      <c r="R2146" s="10">
        <v>90</v>
      </c>
      <c r="U2146" s="10">
        <v>180</v>
      </c>
      <c r="W2146" s="14"/>
      <c r="Y2146" s="79">
        <v>10.199999999999999</v>
      </c>
      <c r="Z2146" s="56" t="s">
        <v>62</v>
      </c>
    </row>
    <row r="2147" spans="1:27" ht="23.1" customHeight="1" x14ac:dyDescent="0.25">
      <c r="A2147" s="53" t="s">
        <v>1244</v>
      </c>
      <c r="B2147" s="10" t="s">
        <v>113</v>
      </c>
      <c r="C2147" s="10">
        <v>19</v>
      </c>
      <c r="D2147" s="10" t="s">
        <v>395</v>
      </c>
      <c r="E2147" s="41" t="s">
        <v>396</v>
      </c>
      <c r="F2147" s="41" t="e">
        <v>#N/A</v>
      </c>
      <c r="G2147" s="21" t="e">
        <f>VLOOKUP(D2147,[6]成飞半成品!$A:$B,2,0)</f>
        <v>#N/A</v>
      </c>
      <c r="H2147" s="10" t="s">
        <v>300</v>
      </c>
      <c r="I2147" s="10">
        <v>30</v>
      </c>
      <c r="J2147" s="10" t="s">
        <v>2193</v>
      </c>
      <c r="K2147" s="10">
        <v>1</v>
      </c>
      <c r="L2147" s="10">
        <v>1.2</v>
      </c>
      <c r="M2147" s="14">
        <v>25</v>
      </c>
      <c r="N2147" s="14">
        <v>25</v>
      </c>
      <c r="O2147" s="55" t="s">
        <v>1555</v>
      </c>
      <c r="Q2147" s="10">
        <v>630</v>
      </c>
      <c r="R2147" s="10">
        <v>90</v>
      </c>
      <c r="T2147" s="10">
        <v>1</v>
      </c>
      <c r="U2147" s="10">
        <v>90</v>
      </c>
      <c r="W2147" s="14"/>
      <c r="Y2147" s="79">
        <v>14.1</v>
      </c>
      <c r="Z2147" s="56" t="s">
        <v>11</v>
      </c>
    </row>
    <row r="2148" spans="1:27" ht="23.1" customHeight="1" x14ac:dyDescent="0.25">
      <c r="A2148" s="53" t="s">
        <v>1244</v>
      </c>
      <c r="B2148" s="10" t="s">
        <v>113</v>
      </c>
      <c r="C2148" s="10">
        <v>83</v>
      </c>
      <c r="D2148" s="10" t="s">
        <v>1095</v>
      </c>
      <c r="E2148" s="41" t="s">
        <v>1096</v>
      </c>
      <c r="F2148" s="41" t="s">
        <v>1096</v>
      </c>
      <c r="G2148" s="21" t="str">
        <f>VLOOKUP(D2148,[6]成飞半成品!$A:$B,2,0)</f>
        <v>1150肋根肋</v>
      </c>
      <c r="H2148" s="10" t="s">
        <v>658</v>
      </c>
      <c r="I2148" s="10">
        <v>30</v>
      </c>
      <c r="J2148" s="10" t="s">
        <v>2131</v>
      </c>
      <c r="K2148" s="10">
        <v>1</v>
      </c>
      <c r="L2148" s="10">
        <v>1.5</v>
      </c>
      <c r="M2148" s="14">
        <v>25</v>
      </c>
      <c r="N2148" s="14">
        <v>25</v>
      </c>
      <c r="O2148" s="55" t="s">
        <v>412</v>
      </c>
      <c r="Q2148" s="10">
        <v>570</v>
      </c>
      <c r="R2148" s="10">
        <v>60</v>
      </c>
      <c r="T2148" s="10">
        <v>2</v>
      </c>
      <c r="U2148" s="10">
        <v>120</v>
      </c>
      <c r="W2148" s="14">
        <v>1</v>
      </c>
      <c r="Y2148" s="79">
        <v>18.3</v>
      </c>
      <c r="Z2148" s="56" t="s">
        <v>67</v>
      </c>
    </row>
    <row r="2149" spans="1:27" ht="23.1" customHeight="1" x14ac:dyDescent="0.25">
      <c r="A2149" s="53" t="s">
        <v>1244</v>
      </c>
      <c r="B2149" s="10" t="s">
        <v>113</v>
      </c>
      <c r="C2149" s="10">
        <v>44</v>
      </c>
      <c r="D2149" s="10" t="s">
        <v>495</v>
      </c>
      <c r="E2149" s="41" t="s">
        <v>267</v>
      </c>
      <c r="F2149" s="41" t="s">
        <v>267</v>
      </c>
      <c r="G2149" s="21" t="str">
        <f>VLOOKUP(D2149,[6]成飞半成品!$A:$B,2,0)</f>
        <v>后端框</v>
      </c>
      <c r="H2149" s="10" t="s">
        <v>118</v>
      </c>
      <c r="I2149" s="10">
        <v>55</v>
      </c>
      <c r="J2149" s="10" t="s">
        <v>2166</v>
      </c>
      <c r="K2149" s="10">
        <v>0.6</v>
      </c>
      <c r="L2149" s="10">
        <v>0.7</v>
      </c>
      <c r="M2149" s="14">
        <v>25</v>
      </c>
      <c r="N2149" s="14">
        <v>25</v>
      </c>
      <c r="O2149" s="55" t="s">
        <v>429</v>
      </c>
      <c r="Q2149" s="10">
        <v>1260</v>
      </c>
      <c r="R2149" s="10">
        <v>90</v>
      </c>
      <c r="U2149" s="10">
        <v>60</v>
      </c>
      <c r="W2149" s="14"/>
      <c r="Y2149" s="79">
        <v>14.7</v>
      </c>
      <c r="Z2149" s="56" t="s">
        <v>67</v>
      </c>
    </row>
    <row r="2150" spans="1:27" ht="23.1" customHeight="1" x14ac:dyDescent="0.25">
      <c r="A2150" s="53" t="s">
        <v>1244</v>
      </c>
      <c r="B2150" s="10" t="s">
        <v>113</v>
      </c>
      <c r="C2150" s="10">
        <v>100</v>
      </c>
      <c r="D2150" s="10" t="s">
        <v>298</v>
      </c>
      <c r="E2150" s="41" t="s">
        <v>299</v>
      </c>
      <c r="F2150" s="41" t="s">
        <v>299</v>
      </c>
      <c r="G2150" s="21" t="str">
        <f>VLOOKUP(D2150,[6]成飞半成品!$A:$B,2,0)</f>
        <v>8635右隔框</v>
      </c>
      <c r="H2150" s="10" t="s">
        <v>300</v>
      </c>
      <c r="I2150" s="10">
        <v>20</v>
      </c>
      <c r="J2150" s="10" t="s">
        <v>2135</v>
      </c>
      <c r="K2150" s="10">
        <v>1.8</v>
      </c>
      <c r="L2150" s="10">
        <v>2.2000000000000002</v>
      </c>
      <c r="M2150" s="14">
        <v>25</v>
      </c>
      <c r="N2150" s="14">
        <v>25</v>
      </c>
      <c r="O2150" s="55" t="s">
        <v>1585</v>
      </c>
      <c r="Q2150" s="10">
        <v>420</v>
      </c>
      <c r="R2150" s="10">
        <v>60</v>
      </c>
      <c r="T2150" s="10">
        <v>2</v>
      </c>
      <c r="U2150" s="10">
        <v>90</v>
      </c>
      <c r="W2150" s="14"/>
      <c r="Y2150" s="79">
        <v>17.399999999999999</v>
      </c>
      <c r="Z2150" s="56" t="s">
        <v>67</v>
      </c>
    </row>
    <row r="2151" spans="1:27" ht="23.1" customHeight="1" x14ac:dyDescent="0.25">
      <c r="A2151" s="53" t="s">
        <v>1244</v>
      </c>
      <c r="B2151" s="10" t="s">
        <v>113</v>
      </c>
      <c r="C2151" s="10">
        <v>102</v>
      </c>
      <c r="D2151" s="10" t="s">
        <v>1097</v>
      </c>
      <c r="E2151" s="41" t="s">
        <v>1098</v>
      </c>
      <c r="F2151" s="41" t="s">
        <v>1098</v>
      </c>
      <c r="G2151" s="21" t="str">
        <f>VLOOKUP(D2151,[6]成飞半成品!$A:$B,2,0)</f>
        <v>根肋一段</v>
      </c>
      <c r="H2151" s="10" t="s">
        <v>250</v>
      </c>
      <c r="I2151" s="10">
        <v>40</v>
      </c>
      <c r="J2151" s="10" t="s">
        <v>2172</v>
      </c>
      <c r="K2151" s="10">
        <v>1.3</v>
      </c>
      <c r="L2151" s="10">
        <v>1.6</v>
      </c>
      <c r="M2151" s="14">
        <v>25</v>
      </c>
      <c r="N2151" s="14">
        <v>25</v>
      </c>
      <c r="O2151" s="55" t="s">
        <v>292</v>
      </c>
      <c r="Q2151" s="10">
        <v>450</v>
      </c>
      <c r="R2151" s="10">
        <v>60</v>
      </c>
      <c r="T2151" s="10">
        <v>1</v>
      </c>
      <c r="U2151" s="10">
        <v>120</v>
      </c>
      <c r="W2151" s="14"/>
      <c r="Y2151" s="79">
        <v>13</v>
      </c>
      <c r="Z2151" s="56" t="s">
        <v>67</v>
      </c>
    </row>
    <row r="2152" spans="1:27" ht="23.1" customHeight="1" x14ac:dyDescent="0.25">
      <c r="A2152" s="53" t="s">
        <v>1244</v>
      </c>
      <c r="B2152" s="10" t="s">
        <v>113</v>
      </c>
      <c r="C2152" s="10">
        <v>98</v>
      </c>
      <c r="D2152" s="10" t="s">
        <v>481</v>
      </c>
      <c r="E2152" s="41" t="s">
        <v>482</v>
      </c>
      <c r="F2152" s="41" t="s">
        <v>482</v>
      </c>
      <c r="G2152" s="21" t="str">
        <f>VLOOKUP(D2152,[6]成飞半成品!$A:$B,2,0)</f>
        <v>11140框左下半框</v>
      </c>
      <c r="H2152" s="10" t="s">
        <v>118</v>
      </c>
      <c r="I2152" s="10">
        <v>15</v>
      </c>
      <c r="J2152" s="10" t="s">
        <v>2144</v>
      </c>
      <c r="K2152" s="10">
        <v>0.8</v>
      </c>
      <c r="L2152" s="10">
        <v>1.3</v>
      </c>
      <c r="M2152" s="14">
        <v>25</v>
      </c>
      <c r="N2152" s="14">
        <v>25</v>
      </c>
      <c r="O2152" s="55" t="s">
        <v>1586</v>
      </c>
      <c r="Q2152" s="10">
        <v>720</v>
      </c>
      <c r="R2152" s="10">
        <v>60</v>
      </c>
      <c r="T2152" s="10">
        <v>1</v>
      </c>
      <c r="U2152" s="10">
        <v>120</v>
      </c>
      <c r="W2152" s="14"/>
      <c r="Y2152" s="79">
        <v>16.600000000000001</v>
      </c>
      <c r="Z2152" s="56" t="s">
        <v>67</v>
      </c>
    </row>
    <row r="2153" spans="1:27" ht="23.1" customHeight="1" x14ac:dyDescent="0.25">
      <c r="A2153" s="53" t="s">
        <v>1244</v>
      </c>
      <c r="B2153" s="10" t="s">
        <v>113</v>
      </c>
      <c r="C2153" s="10">
        <v>106</v>
      </c>
      <c r="D2153" s="10" t="s">
        <v>1070</v>
      </c>
      <c r="E2153" s="41" t="s">
        <v>101</v>
      </c>
      <c r="F2153" s="41" t="s">
        <v>101</v>
      </c>
      <c r="G2153" s="21" t="str">
        <f>VLOOKUP(D2153,[6]成飞半成品!$A:$B,2,0)</f>
        <v>前梁一段</v>
      </c>
      <c r="H2153" s="10" t="s">
        <v>300</v>
      </c>
      <c r="I2153" s="10">
        <v>25</v>
      </c>
      <c r="J2153" s="10" t="s">
        <v>2163</v>
      </c>
      <c r="K2153" s="10">
        <v>0.15</v>
      </c>
      <c r="L2153" s="10">
        <v>0.15</v>
      </c>
      <c r="M2153" s="14">
        <v>25</v>
      </c>
      <c r="N2153" s="14">
        <v>25</v>
      </c>
      <c r="O2153" s="55" t="s">
        <v>247</v>
      </c>
      <c r="Q2153" s="10">
        <v>4800</v>
      </c>
      <c r="R2153" s="10">
        <v>180</v>
      </c>
      <c r="T2153" s="10">
        <v>1</v>
      </c>
      <c r="U2153" s="10">
        <v>180</v>
      </c>
      <c r="W2153" s="14">
        <v>1</v>
      </c>
      <c r="Y2153" s="79">
        <v>18</v>
      </c>
      <c r="Z2153" s="56" t="s">
        <v>67</v>
      </c>
    </row>
    <row r="2154" spans="1:27" ht="23.1" customHeight="1" x14ac:dyDescent="0.25">
      <c r="A2154" s="53" t="s">
        <v>1244</v>
      </c>
      <c r="B2154" s="10" t="s">
        <v>113</v>
      </c>
      <c r="C2154" s="10">
        <v>101</v>
      </c>
      <c r="D2154" s="10" t="s">
        <v>1099</v>
      </c>
      <c r="E2154" s="41" t="s">
        <v>760</v>
      </c>
      <c r="F2154" s="41" t="e">
        <v>#N/A</v>
      </c>
      <c r="G2154" s="21" t="e">
        <f>VLOOKUP(D2154,[6]成飞半成品!$A:$B,2,0)</f>
        <v>#N/A</v>
      </c>
      <c r="H2154" s="10" t="s">
        <v>300</v>
      </c>
      <c r="I2154" s="10">
        <v>15</v>
      </c>
      <c r="J2154" s="10" t="s">
        <v>2297</v>
      </c>
      <c r="L2154" s="10">
        <v>1</v>
      </c>
      <c r="M2154" s="14">
        <v>25</v>
      </c>
      <c r="N2154" s="14">
        <v>25</v>
      </c>
      <c r="O2154" s="55" t="s">
        <v>1586</v>
      </c>
      <c r="Q2154" s="10">
        <v>100</v>
      </c>
      <c r="R2154" s="10">
        <v>60</v>
      </c>
      <c r="T2154" s="10">
        <v>1</v>
      </c>
      <c r="U2154" s="10">
        <v>60</v>
      </c>
      <c r="W2154" s="14"/>
      <c r="Y2154" s="79">
        <v>2.7</v>
      </c>
      <c r="Z2154" s="56" t="s">
        <v>67</v>
      </c>
    </row>
    <row r="2155" spans="1:27" ht="23.1" customHeight="1" x14ac:dyDescent="0.25">
      <c r="A2155" s="53" t="s">
        <v>1244</v>
      </c>
      <c r="B2155" s="10" t="s">
        <v>113</v>
      </c>
      <c r="C2155" s="10">
        <v>101</v>
      </c>
      <c r="D2155" s="10" t="s">
        <v>1099</v>
      </c>
      <c r="E2155" s="41" t="s">
        <v>760</v>
      </c>
      <c r="F2155" s="41" t="e">
        <v>#N/A</v>
      </c>
      <c r="G2155" s="21" t="e">
        <f>VLOOKUP(D2155,[6]成飞半成品!$A:$B,2,0)</f>
        <v>#N/A</v>
      </c>
      <c r="H2155" s="10" t="s">
        <v>300</v>
      </c>
      <c r="I2155" s="10">
        <v>20</v>
      </c>
      <c r="J2155" s="10" t="s">
        <v>2395</v>
      </c>
      <c r="L2155" s="10">
        <v>1.3</v>
      </c>
      <c r="M2155" s="14">
        <v>25</v>
      </c>
      <c r="N2155" s="14">
        <v>25</v>
      </c>
      <c r="O2155" s="55" t="s">
        <v>1586</v>
      </c>
      <c r="Q2155" s="10">
        <v>300</v>
      </c>
      <c r="R2155" s="10">
        <v>60</v>
      </c>
      <c r="T2155" s="10">
        <v>1</v>
      </c>
      <c r="U2155" s="10">
        <v>120</v>
      </c>
      <c r="W2155" s="14"/>
      <c r="Y2155" s="79">
        <v>7.5</v>
      </c>
      <c r="Z2155" s="56" t="s">
        <v>67</v>
      </c>
    </row>
    <row r="2156" spans="1:27" ht="23.1" customHeight="1" x14ac:dyDescent="0.25">
      <c r="A2156" s="53" t="s">
        <v>1244</v>
      </c>
      <c r="B2156" s="10" t="s">
        <v>113</v>
      </c>
      <c r="C2156" s="10">
        <v>101</v>
      </c>
      <c r="D2156" s="10" t="s">
        <v>1099</v>
      </c>
      <c r="E2156" s="41" t="s">
        <v>760</v>
      </c>
      <c r="F2156" s="41" t="e">
        <v>#N/A</v>
      </c>
      <c r="G2156" s="21" t="e">
        <f>VLOOKUP(D2156,[6]成飞半成品!$A:$B,2,0)</f>
        <v>#N/A</v>
      </c>
      <c r="H2156" s="10" t="s">
        <v>300</v>
      </c>
      <c r="I2156" s="10">
        <v>25</v>
      </c>
      <c r="J2156" s="10" t="s">
        <v>2154</v>
      </c>
      <c r="K2156" s="10">
        <v>0.1</v>
      </c>
      <c r="L2156" s="10">
        <v>0.3</v>
      </c>
      <c r="M2156" s="14">
        <v>25</v>
      </c>
      <c r="N2156" s="14">
        <v>25</v>
      </c>
      <c r="O2156" s="55" t="s">
        <v>355</v>
      </c>
      <c r="Q2156" s="10">
        <v>900</v>
      </c>
      <c r="R2156" s="10">
        <v>60</v>
      </c>
      <c r="T2156" s="10">
        <v>1</v>
      </c>
      <c r="U2156" s="10">
        <v>180</v>
      </c>
      <c r="W2156" s="14">
        <v>1</v>
      </c>
      <c r="Y2156" s="79">
        <v>8.5</v>
      </c>
      <c r="Z2156" s="56" t="s">
        <v>67</v>
      </c>
    </row>
    <row r="2157" spans="1:27" ht="23.1" customHeight="1" x14ac:dyDescent="0.25">
      <c r="A2157" s="53" t="s">
        <v>1360</v>
      </c>
      <c r="B2157" s="10" t="s">
        <v>110</v>
      </c>
      <c r="C2157" s="10">
        <v>19</v>
      </c>
      <c r="D2157" s="10" t="s">
        <v>395</v>
      </c>
      <c r="E2157" s="41" t="s">
        <v>396</v>
      </c>
      <c r="F2157" s="41" t="e">
        <v>#N/A</v>
      </c>
      <c r="G2157" s="21" t="e">
        <f>VLOOKUP(D2157,[6]成飞半成品!$A:$B,2,0)</f>
        <v>#N/A</v>
      </c>
      <c r="H2157" s="10" t="s">
        <v>300</v>
      </c>
      <c r="I2157" s="10">
        <v>30</v>
      </c>
      <c r="J2157" s="10" t="s">
        <v>2491</v>
      </c>
      <c r="K2157" s="10">
        <v>1</v>
      </c>
      <c r="L2157" s="10">
        <v>1</v>
      </c>
      <c r="M2157" s="14">
        <v>32</v>
      </c>
      <c r="N2157" s="14">
        <v>32</v>
      </c>
      <c r="O2157" s="55" t="s">
        <v>781</v>
      </c>
      <c r="Q2157" s="10">
        <v>630</v>
      </c>
      <c r="R2157" s="10">
        <v>90</v>
      </c>
      <c r="T2157" s="10">
        <v>1</v>
      </c>
      <c r="U2157" s="10">
        <v>90</v>
      </c>
      <c r="W2157" s="14"/>
      <c r="Y2157" s="79">
        <v>12</v>
      </c>
      <c r="Z2157" s="56" t="s">
        <v>17</v>
      </c>
    </row>
    <row r="2158" spans="1:27" ht="23.1" customHeight="1" x14ac:dyDescent="0.25">
      <c r="A2158" s="53" t="s">
        <v>1360</v>
      </c>
      <c r="B2158" s="10" t="s">
        <v>110</v>
      </c>
      <c r="C2158" s="10">
        <v>44</v>
      </c>
      <c r="D2158" s="10" t="s">
        <v>495</v>
      </c>
      <c r="E2158" s="41" t="s">
        <v>267</v>
      </c>
      <c r="F2158" s="41" t="s">
        <v>267</v>
      </c>
      <c r="G2158" s="21" t="str">
        <f>VLOOKUP(D2158,[6]成飞半成品!$A:$B,2,0)</f>
        <v>后端框</v>
      </c>
      <c r="H2158" s="10" t="s">
        <v>118</v>
      </c>
      <c r="I2158" s="10">
        <v>55</v>
      </c>
      <c r="J2158" s="10" t="s">
        <v>2166</v>
      </c>
      <c r="K2158" s="10">
        <v>0.6</v>
      </c>
      <c r="L2158" s="10">
        <v>0.4</v>
      </c>
      <c r="M2158" s="14">
        <v>32</v>
      </c>
      <c r="N2158" s="14">
        <v>32</v>
      </c>
      <c r="O2158" s="55" t="s">
        <v>429</v>
      </c>
      <c r="Q2158" s="10">
        <v>1260</v>
      </c>
      <c r="R2158" s="10">
        <v>90</v>
      </c>
      <c r="T2158" s="10">
        <v>1</v>
      </c>
      <c r="U2158" s="10">
        <v>60</v>
      </c>
      <c r="W2158" s="14"/>
      <c r="Y2158" s="79">
        <v>9.9</v>
      </c>
      <c r="Z2158" s="56" t="s">
        <v>64</v>
      </c>
      <c r="AA2158" s="14" t="s">
        <v>1587</v>
      </c>
    </row>
    <row r="2159" spans="1:27" ht="23.1" customHeight="1" x14ac:dyDescent="0.25">
      <c r="A2159" s="53" t="s">
        <v>1360</v>
      </c>
      <c r="B2159" s="10" t="s">
        <v>110</v>
      </c>
      <c r="C2159" s="10">
        <v>97</v>
      </c>
      <c r="D2159" s="10" t="s">
        <v>787</v>
      </c>
      <c r="E2159" s="41" t="s">
        <v>1065</v>
      </c>
      <c r="F2159" s="41" t="s">
        <v>1065</v>
      </c>
      <c r="G2159" s="21" t="str">
        <f>VLOOKUP(D2159,[6]成飞半成品!$A:$B,2,0)</f>
        <v>根肋二段</v>
      </c>
      <c r="H2159" s="10" t="s">
        <v>250</v>
      </c>
      <c r="I2159" s="10">
        <v>60</v>
      </c>
      <c r="J2159" s="10" t="s">
        <v>2156</v>
      </c>
      <c r="K2159" s="10">
        <v>1</v>
      </c>
      <c r="L2159" s="10">
        <v>1</v>
      </c>
      <c r="M2159" s="14">
        <v>32</v>
      </c>
      <c r="N2159" s="14">
        <v>32</v>
      </c>
      <c r="O2159" s="55" t="s">
        <v>429</v>
      </c>
      <c r="Q2159" s="10">
        <v>570</v>
      </c>
      <c r="R2159" s="10">
        <v>60</v>
      </c>
      <c r="T2159" s="10">
        <v>1</v>
      </c>
      <c r="U2159" s="10">
        <v>60</v>
      </c>
      <c r="W2159" s="14"/>
      <c r="Y2159" s="79">
        <v>10.5</v>
      </c>
      <c r="Z2159" s="56" t="s">
        <v>39</v>
      </c>
    </row>
    <row r="2160" spans="1:27" ht="23.1" customHeight="1" x14ac:dyDescent="0.25">
      <c r="A2160" s="53" t="s">
        <v>1360</v>
      </c>
      <c r="B2160" s="10" t="s">
        <v>110</v>
      </c>
      <c r="C2160" s="10">
        <v>101</v>
      </c>
      <c r="D2160" s="10" t="s">
        <v>1099</v>
      </c>
      <c r="E2160" s="41" t="s">
        <v>760</v>
      </c>
      <c r="F2160" s="41" t="e">
        <v>#N/A</v>
      </c>
      <c r="G2160" s="21" t="e">
        <f>VLOOKUP(D2160,[6]成飞半成品!$A:$B,2,0)</f>
        <v>#N/A</v>
      </c>
      <c r="H2160" s="10" t="s">
        <v>300</v>
      </c>
      <c r="I2160" s="10">
        <v>25</v>
      </c>
      <c r="J2160" s="10" t="s">
        <v>2154</v>
      </c>
      <c r="K2160" s="10">
        <v>0.7</v>
      </c>
      <c r="L2160" s="10">
        <v>0.7</v>
      </c>
      <c r="M2160" s="14">
        <v>32</v>
      </c>
      <c r="N2160" s="14">
        <v>32</v>
      </c>
      <c r="O2160" s="55" t="s">
        <v>355</v>
      </c>
      <c r="Q2160" s="10">
        <v>900</v>
      </c>
      <c r="R2160" s="10">
        <v>60</v>
      </c>
      <c r="U2160" s="10">
        <v>180</v>
      </c>
      <c r="W2160" s="14"/>
      <c r="Y2160" s="79">
        <v>10.5</v>
      </c>
      <c r="Z2160" s="56" t="s">
        <v>47</v>
      </c>
    </row>
    <row r="2161" spans="1:27" ht="23.1" customHeight="1" x14ac:dyDescent="0.25">
      <c r="A2161" s="53" t="s">
        <v>1360</v>
      </c>
      <c r="B2161" s="10" t="s">
        <v>110</v>
      </c>
      <c r="C2161" s="10">
        <v>105</v>
      </c>
      <c r="D2161" s="10" t="s">
        <v>1176</v>
      </c>
      <c r="E2161" s="41" t="s">
        <v>1098</v>
      </c>
      <c r="F2161" s="41" t="s">
        <v>1098</v>
      </c>
      <c r="G2161" s="21" t="str">
        <f>VLOOKUP(D2161,[6]成飞半成品!$A:$B,2,0)</f>
        <v>根肋一段</v>
      </c>
      <c r="H2161" s="10" t="s">
        <v>250</v>
      </c>
      <c r="I2161" s="10">
        <v>40</v>
      </c>
      <c r="J2161" s="10" t="s">
        <v>2172</v>
      </c>
      <c r="K2161" s="10">
        <v>1</v>
      </c>
      <c r="L2161" s="10">
        <v>1</v>
      </c>
      <c r="M2161" s="14">
        <v>32</v>
      </c>
      <c r="N2161" s="14">
        <v>32</v>
      </c>
      <c r="O2161" s="55" t="s">
        <v>429</v>
      </c>
      <c r="Q2161" s="10">
        <v>450</v>
      </c>
      <c r="R2161" s="10">
        <v>60</v>
      </c>
      <c r="U2161" s="10">
        <v>120</v>
      </c>
      <c r="W2161" s="14"/>
      <c r="Y2161" s="79">
        <v>7.5</v>
      </c>
      <c r="Z2161" s="56" t="s">
        <v>9</v>
      </c>
    </row>
    <row r="2162" spans="1:27" ht="23.1" customHeight="1" x14ac:dyDescent="0.25">
      <c r="A2162" s="53" t="s">
        <v>1360</v>
      </c>
      <c r="B2162" s="10" t="s">
        <v>110</v>
      </c>
      <c r="C2162" s="10">
        <v>105</v>
      </c>
      <c r="D2162" s="10" t="s">
        <v>1176</v>
      </c>
      <c r="E2162" s="41" t="s">
        <v>1098</v>
      </c>
      <c r="F2162" s="41" t="s">
        <v>1098</v>
      </c>
      <c r="G2162" s="21" t="str">
        <f>VLOOKUP(D2162,[6]成飞半成品!$A:$B,2,0)</f>
        <v>根肋一段</v>
      </c>
      <c r="H2162" s="10" t="s">
        <v>250</v>
      </c>
      <c r="I2162" s="10">
        <v>45</v>
      </c>
      <c r="J2162" s="10" t="s">
        <v>2189</v>
      </c>
      <c r="K2162" s="10">
        <v>1</v>
      </c>
      <c r="L2162" s="10">
        <v>1</v>
      </c>
      <c r="M2162" s="14">
        <v>32</v>
      </c>
      <c r="N2162" s="14">
        <v>32</v>
      </c>
      <c r="O2162" s="55" t="s">
        <v>429</v>
      </c>
      <c r="Q2162" s="10">
        <v>30</v>
      </c>
      <c r="R2162" s="10">
        <v>60</v>
      </c>
      <c r="T2162" s="10">
        <v>1</v>
      </c>
      <c r="U2162" s="10">
        <v>60</v>
      </c>
      <c r="W2162" s="14"/>
      <c r="Y2162" s="79">
        <v>1.5</v>
      </c>
      <c r="Z2162" s="56" t="s">
        <v>9</v>
      </c>
    </row>
    <row r="2163" spans="1:27" ht="23.1" customHeight="1" x14ac:dyDescent="0.25">
      <c r="A2163" s="53" t="s">
        <v>1360</v>
      </c>
      <c r="B2163" s="10" t="s">
        <v>110</v>
      </c>
      <c r="C2163" s="10">
        <v>99</v>
      </c>
      <c r="D2163" s="10" t="s">
        <v>1191</v>
      </c>
      <c r="E2163" s="41" t="s">
        <v>1192</v>
      </c>
      <c r="F2163" s="41" t="s">
        <v>1192</v>
      </c>
      <c r="G2163" s="21" t="str">
        <f>VLOOKUP(D2163,[6]成飞半成品!$A:$B,2,0)</f>
        <v>后顶板</v>
      </c>
      <c r="H2163" s="10" t="s">
        <v>300</v>
      </c>
      <c r="I2163" s="10">
        <v>30</v>
      </c>
      <c r="J2163" s="10" t="s">
        <v>2186</v>
      </c>
      <c r="K2163" s="10">
        <v>0.6</v>
      </c>
      <c r="L2163" s="10">
        <v>0.8</v>
      </c>
      <c r="M2163" s="14">
        <v>32</v>
      </c>
      <c r="N2163" s="14">
        <v>32</v>
      </c>
      <c r="O2163" s="55" t="s">
        <v>519</v>
      </c>
      <c r="Q2163" s="10">
        <v>1080</v>
      </c>
      <c r="R2163" s="10">
        <v>120</v>
      </c>
      <c r="T2163" s="10">
        <v>1</v>
      </c>
      <c r="U2163" s="10">
        <v>120</v>
      </c>
      <c r="W2163" s="14"/>
      <c r="Y2163" s="79">
        <v>16.399999999999999</v>
      </c>
      <c r="Z2163" s="56" t="s">
        <v>29</v>
      </c>
    </row>
    <row r="2164" spans="1:27" ht="23.1" customHeight="1" x14ac:dyDescent="0.25">
      <c r="A2164" s="53" t="s">
        <v>1360</v>
      </c>
      <c r="B2164" s="10" t="s">
        <v>110</v>
      </c>
      <c r="C2164" s="10">
        <v>103</v>
      </c>
      <c r="D2164" s="10" t="s">
        <v>1071</v>
      </c>
      <c r="E2164" s="41" t="s">
        <v>1072</v>
      </c>
      <c r="F2164" s="41" t="e">
        <v>#N/A</v>
      </c>
      <c r="G2164" s="21" t="e">
        <f>VLOOKUP(D2164,[6]成飞半成品!$A:$B,2,0)</f>
        <v>#N/A</v>
      </c>
      <c r="H2164" s="10" t="s">
        <v>250</v>
      </c>
      <c r="I2164" s="10">
        <v>40</v>
      </c>
      <c r="J2164" s="10" t="s">
        <v>2296</v>
      </c>
      <c r="K2164" s="10">
        <v>0.8</v>
      </c>
      <c r="L2164" s="10">
        <v>0.7</v>
      </c>
      <c r="M2164" s="14">
        <v>32</v>
      </c>
      <c r="N2164" s="14">
        <v>32</v>
      </c>
      <c r="O2164" s="55" t="s">
        <v>1588</v>
      </c>
      <c r="Q2164" s="10">
        <v>1020</v>
      </c>
      <c r="R2164" s="10">
        <v>90</v>
      </c>
      <c r="T2164" s="10">
        <v>1</v>
      </c>
      <c r="U2164" s="10">
        <v>180</v>
      </c>
      <c r="W2164" s="14"/>
      <c r="Y2164" s="79">
        <v>13.4</v>
      </c>
      <c r="Z2164" s="56" t="s">
        <v>61</v>
      </c>
    </row>
    <row r="2165" spans="1:27" ht="23.1" customHeight="1" x14ac:dyDescent="0.25">
      <c r="A2165" s="53" t="s">
        <v>1360</v>
      </c>
      <c r="B2165" s="10" t="s">
        <v>110</v>
      </c>
      <c r="C2165" s="10">
        <v>102</v>
      </c>
      <c r="D2165" s="10" t="s">
        <v>1097</v>
      </c>
      <c r="E2165" s="41" t="s">
        <v>1098</v>
      </c>
      <c r="F2165" s="41" t="s">
        <v>1098</v>
      </c>
      <c r="G2165" s="21" t="str">
        <f>VLOOKUP(D2165,[6]成飞半成品!$A:$B,2,0)</f>
        <v>根肋一段</v>
      </c>
      <c r="H2165" s="10" t="s">
        <v>250</v>
      </c>
      <c r="I2165" s="10">
        <v>40</v>
      </c>
      <c r="J2165" s="10" t="s">
        <v>2172</v>
      </c>
      <c r="L2165" s="10">
        <v>0.1</v>
      </c>
      <c r="M2165" s="14">
        <v>32</v>
      </c>
      <c r="N2165" s="14">
        <v>32</v>
      </c>
      <c r="O2165" s="55" t="s">
        <v>292</v>
      </c>
      <c r="Q2165" s="10">
        <v>450</v>
      </c>
      <c r="R2165" s="10">
        <v>60</v>
      </c>
      <c r="U2165" s="10">
        <v>120</v>
      </c>
      <c r="W2165" s="14"/>
      <c r="Y2165" s="79">
        <v>0.8</v>
      </c>
      <c r="Z2165" s="56" t="s">
        <v>36</v>
      </c>
    </row>
    <row r="2166" spans="1:27" ht="23.1" customHeight="1" x14ac:dyDescent="0.25">
      <c r="A2166" s="53" t="s">
        <v>1360</v>
      </c>
      <c r="B2166" s="10" t="s">
        <v>110</v>
      </c>
      <c r="C2166" s="10">
        <v>102</v>
      </c>
      <c r="D2166" s="10" t="s">
        <v>1097</v>
      </c>
      <c r="E2166" s="41" t="s">
        <v>1098</v>
      </c>
      <c r="F2166" s="41" t="s">
        <v>1098</v>
      </c>
      <c r="G2166" s="21" t="str">
        <f>VLOOKUP(D2166,[6]成飞半成品!$A:$B,2,0)</f>
        <v>根肋一段</v>
      </c>
      <c r="H2166" s="10" t="s">
        <v>250</v>
      </c>
      <c r="I2166" s="10">
        <v>45</v>
      </c>
      <c r="J2166" s="10" t="s">
        <v>2189</v>
      </c>
      <c r="L2166" s="10">
        <v>4</v>
      </c>
      <c r="M2166" s="14">
        <v>32</v>
      </c>
      <c r="N2166" s="14">
        <v>32</v>
      </c>
      <c r="O2166" s="55" t="s">
        <v>292</v>
      </c>
      <c r="Q2166" s="10">
        <v>30</v>
      </c>
      <c r="R2166" s="10">
        <v>60</v>
      </c>
      <c r="T2166" s="10">
        <v>4</v>
      </c>
      <c r="U2166" s="10">
        <v>60</v>
      </c>
      <c r="W2166" s="14">
        <v>1</v>
      </c>
      <c r="Y2166" s="79">
        <v>7</v>
      </c>
      <c r="Z2166" s="56" t="s">
        <v>36</v>
      </c>
    </row>
    <row r="2167" spans="1:27" ht="23.1" customHeight="1" x14ac:dyDescent="0.25">
      <c r="A2167" s="53" t="s">
        <v>1360</v>
      </c>
      <c r="B2167" s="10" t="s">
        <v>110</v>
      </c>
      <c r="C2167" s="10">
        <v>102</v>
      </c>
      <c r="D2167" s="10" t="s">
        <v>1097</v>
      </c>
      <c r="E2167" s="41" t="s">
        <v>1098</v>
      </c>
      <c r="F2167" s="41" t="s">
        <v>1098</v>
      </c>
      <c r="G2167" s="21" t="str">
        <f>VLOOKUP(D2167,[6]成飞半成品!$A:$B,2,0)</f>
        <v>根肋一段</v>
      </c>
      <c r="H2167" s="10" t="s">
        <v>250</v>
      </c>
      <c r="I2167" s="10">
        <v>50</v>
      </c>
      <c r="J2167" s="10" t="s">
        <v>2185</v>
      </c>
      <c r="K2167" s="10">
        <v>0.2</v>
      </c>
      <c r="L2167" s="10">
        <v>0.3</v>
      </c>
      <c r="M2167" s="14">
        <v>32</v>
      </c>
      <c r="N2167" s="14">
        <v>32</v>
      </c>
      <c r="O2167" s="55" t="s">
        <v>292</v>
      </c>
      <c r="Q2167" s="10">
        <v>1080</v>
      </c>
      <c r="R2167" s="10">
        <v>60</v>
      </c>
      <c r="T2167" s="10">
        <v>1</v>
      </c>
      <c r="U2167" s="10">
        <v>120</v>
      </c>
      <c r="W2167" s="14">
        <v>1</v>
      </c>
      <c r="Y2167" s="79">
        <v>8.4</v>
      </c>
      <c r="Z2167" s="56" t="s">
        <v>36</v>
      </c>
    </row>
    <row r="2168" spans="1:27" ht="23.1" customHeight="1" x14ac:dyDescent="0.25">
      <c r="A2168" s="53" t="s">
        <v>870</v>
      </c>
      <c r="B2168" s="10" t="s">
        <v>110</v>
      </c>
      <c r="C2168" s="10">
        <v>104</v>
      </c>
      <c r="D2168" s="10" t="s">
        <v>1589</v>
      </c>
      <c r="E2168" s="41" t="s">
        <v>1570</v>
      </c>
      <c r="F2168" s="41" t="s">
        <v>1570</v>
      </c>
      <c r="G2168" s="21" t="str">
        <f>VLOOKUP(D2168,[6]成飞半成品!$A:$B,2,0)</f>
        <v>剖形支柱</v>
      </c>
      <c r="H2168" s="10" t="s">
        <v>102</v>
      </c>
      <c r="I2168" s="10">
        <v>15</v>
      </c>
      <c r="J2168" s="10" t="s">
        <v>2112</v>
      </c>
      <c r="K2168" s="10">
        <v>1</v>
      </c>
      <c r="L2168" s="10">
        <v>1</v>
      </c>
      <c r="M2168" s="14">
        <v>32</v>
      </c>
      <c r="N2168" s="14">
        <v>32</v>
      </c>
      <c r="O2168" s="55" t="s">
        <v>596</v>
      </c>
      <c r="Q2168" s="10">
        <v>80</v>
      </c>
      <c r="R2168" s="10">
        <v>60</v>
      </c>
      <c r="T2168" s="10">
        <v>1</v>
      </c>
      <c r="U2168" s="10">
        <v>60</v>
      </c>
      <c r="W2168" s="14">
        <v>1</v>
      </c>
      <c r="Y2168" s="79">
        <v>3.3</v>
      </c>
      <c r="Z2168" s="56" t="s">
        <v>36</v>
      </c>
    </row>
    <row r="2169" spans="1:27" ht="23.1" customHeight="1" x14ac:dyDescent="0.25">
      <c r="A2169" s="53" t="s">
        <v>870</v>
      </c>
      <c r="B2169" s="10" t="s">
        <v>110</v>
      </c>
      <c r="C2169" s="10">
        <v>104</v>
      </c>
      <c r="D2169" s="25" t="s">
        <v>2551</v>
      </c>
      <c r="E2169" s="41" t="s">
        <v>1578</v>
      </c>
      <c r="F2169" s="41" t="e">
        <v>#N/A</v>
      </c>
      <c r="G2169" s="21" t="str">
        <f>VLOOKUP(D2169,[6]成飞半成品!$A:$B,2,0)</f>
        <v>工装</v>
      </c>
      <c r="H2169" s="10" t="s">
        <v>102</v>
      </c>
      <c r="I2169" s="10">
        <v>15</v>
      </c>
      <c r="K2169" s="10">
        <v>1</v>
      </c>
      <c r="L2169" s="10">
        <v>1</v>
      </c>
      <c r="M2169" s="14">
        <v>32</v>
      </c>
      <c r="N2169" s="14">
        <v>32</v>
      </c>
      <c r="O2169" s="55" t="s">
        <v>596</v>
      </c>
      <c r="T2169" s="10">
        <v>1</v>
      </c>
      <c r="W2169" s="14">
        <v>1</v>
      </c>
      <c r="X2169" s="14">
        <v>6</v>
      </c>
      <c r="Y2169" s="79">
        <v>6</v>
      </c>
      <c r="Z2169" s="56" t="s">
        <v>36</v>
      </c>
      <c r="AA2169" s="14" t="s">
        <v>1591</v>
      </c>
    </row>
    <row r="2170" spans="1:27" ht="23.1" customHeight="1" x14ac:dyDescent="0.25">
      <c r="A2170" s="53" t="s">
        <v>1360</v>
      </c>
      <c r="B2170" s="10" t="s">
        <v>110</v>
      </c>
      <c r="C2170" s="10">
        <v>98</v>
      </c>
      <c r="D2170" s="10" t="s">
        <v>481</v>
      </c>
      <c r="E2170" s="41" t="s">
        <v>482</v>
      </c>
      <c r="F2170" s="41" t="s">
        <v>482</v>
      </c>
      <c r="G2170" s="21" t="str">
        <f>VLOOKUP(D2170,[6]成飞半成品!$A:$B,2,0)</f>
        <v>11140框左下半框</v>
      </c>
      <c r="H2170" s="10" t="s">
        <v>118</v>
      </c>
      <c r="I2170" s="10">
        <v>15</v>
      </c>
      <c r="J2170" s="10" t="s">
        <v>2394</v>
      </c>
      <c r="K2170" s="10">
        <v>0.8</v>
      </c>
      <c r="L2170" s="10">
        <v>1.1000000000000001</v>
      </c>
      <c r="M2170" s="14">
        <v>32</v>
      </c>
      <c r="N2170" s="14">
        <v>32</v>
      </c>
      <c r="O2170" s="55" t="s">
        <v>1592</v>
      </c>
      <c r="Q2170" s="10">
        <v>720</v>
      </c>
      <c r="R2170" s="10">
        <v>60</v>
      </c>
      <c r="T2170" s="10">
        <v>1</v>
      </c>
      <c r="U2170" s="10">
        <v>120</v>
      </c>
      <c r="W2170" s="14"/>
      <c r="Y2170" s="79">
        <v>14.2</v>
      </c>
      <c r="Z2170" s="56" t="s">
        <v>36</v>
      </c>
    </row>
    <row r="2171" spans="1:27" ht="23.1" customHeight="1" x14ac:dyDescent="0.25">
      <c r="A2171" s="53" t="s">
        <v>1360</v>
      </c>
      <c r="B2171" s="10" t="s">
        <v>110</v>
      </c>
      <c r="C2171" s="10">
        <v>118</v>
      </c>
      <c r="D2171" s="10" t="s">
        <v>1171</v>
      </c>
      <c r="E2171" s="41" t="s">
        <v>1172</v>
      </c>
      <c r="F2171" s="41" t="s">
        <v>1172</v>
      </c>
      <c r="G2171" s="21" t="str">
        <f>VLOOKUP(D2171,[6]成飞半成品!$A:$B,2,0)</f>
        <v>后梁</v>
      </c>
      <c r="H2171" s="10" t="s">
        <v>300</v>
      </c>
      <c r="I2171" s="10">
        <v>20</v>
      </c>
      <c r="J2171" s="10" t="s">
        <v>2298</v>
      </c>
      <c r="L2171" s="10">
        <v>1</v>
      </c>
      <c r="M2171" s="14">
        <v>32</v>
      </c>
      <c r="N2171" s="14">
        <v>32</v>
      </c>
      <c r="O2171" s="55" t="s">
        <v>1576</v>
      </c>
      <c r="Q2171" s="10">
        <v>430</v>
      </c>
      <c r="R2171" s="10">
        <v>60</v>
      </c>
      <c r="T2171" s="10">
        <v>1</v>
      </c>
      <c r="U2171" s="10">
        <v>60</v>
      </c>
      <c r="W2171" s="14"/>
      <c r="Y2171" s="79">
        <v>8.1999999999999993</v>
      </c>
      <c r="Z2171" s="56" t="s">
        <v>36</v>
      </c>
    </row>
    <row r="2172" spans="1:27" ht="23.1" customHeight="1" x14ac:dyDescent="0.25">
      <c r="A2172" s="53" t="s">
        <v>1360</v>
      </c>
      <c r="B2172" s="10" t="s">
        <v>110</v>
      </c>
      <c r="C2172" s="10">
        <v>100</v>
      </c>
      <c r="D2172" s="10" t="s">
        <v>484</v>
      </c>
      <c r="E2172" s="41" t="s">
        <v>485</v>
      </c>
      <c r="F2172" s="41" t="s">
        <v>485</v>
      </c>
      <c r="G2172" s="21" t="str">
        <f>VLOOKUP(D2172,[6]成飞半成品!$A:$B,2,0)</f>
        <v>8635左隔框</v>
      </c>
      <c r="H2172" s="10" t="s">
        <v>300</v>
      </c>
      <c r="I2172" s="10">
        <v>20</v>
      </c>
      <c r="J2172" s="10" t="s">
        <v>2135</v>
      </c>
      <c r="K2172" s="10">
        <v>1</v>
      </c>
      <c r="L2172" s="10">
        <v>2</v>
      </c>
      <c r="M2172" s="14">
        <v>32</v>
      </c>
      <c r="N2172" s="14">
        <v>32</v>
      </c>
      <c r="O2172" s="55" t="s">
        <v>1121</v>
      </c>
      <c r="Q2172" s="10">
        <v>420</v>
      </c>
      <c r="R2172" s="10">
        <v>60</v>
      </c>
      <c r="T2172" s="10">
        <v>2</v>
      </c>
      <c r="U2172" s="10">
        <v>90</v>
      </c>
      <c r="W2172" s="14">
        <v>1</v>
      </c>
      <c r="Y2172" s="79">
        <v>17.5</v>
      </c>
      <c r="Z2172" s="56" t="s">
        <v>36</v>
      </c>
    </row>
    <row r="2173" spans="1:27" ht="23.1" customHeight="1" x14ac:dyDescent="0.25">
      <c r="A2173" s="53" t="s">
        <v>1360</v>
      </c>
      <c r="B2173" s="10" t="s">
        <v>110</v>
      </c>
      <c r="C2173" s="10">
        <v>100</v>
      </c>
      <c r="D2173" s="10" t="s">
        <v>298</v>
      </c>
      <c r="E2173" s="41" t="s">
        <v>299</v>
      </c>
      <c r="F2173" s="41" t="s">
        <v>299</v>
      </c>
      <c r="G2173" s="21" t="str">
        <f>VLOOKUP(D2173,[6]成飞半成品!$A:$B,2,0)</f>
        <v>8635右隔框</v>
      </c>
      <c r="H2173" s="10" t="s">
        <v>300</v>
      </c>
      <c r="I2173" s="10">
        <v>20</v>
      </c>
      <c r="J2173" s="10" t="s">
        <v>2135</v>
      </c>
      <c r="K2173" s="10">
        <v>0.1</v>
      </c>
      <c r="L2173" s="10">
        <v>0.1</v>
      </c>
      <c r="M2173" s="14">
        <v>32</v>
      </c>
      <c r="N2173" s="14">
        <v>32</v>
      </c>
      <c r="O2173" s="55" t="s">
        <v>722</v>
      </c>
      <c r="Q2173" s="10">
        <v>420</v>
      </c>
      <c r="R2173" s="10">
        <v>60</v>
      </c>
      <c r="U2173" s="10">
        <v>90</v>
      </c>
      <c r="W2173" s="14"/>
      <c r="Y2173" s="79">
        <v>0.7</v>
      </c>
      <c r="Z2173" s="56" t="s">
        <v>36</v>
      </c>
    </row>
    <row r="2174" spans="1:27" ht="23.1" customHeight="1" x14ac:dyDescent="0.25">
      <c r="A2174" s="53" t="s">
        <v>1360</v>
      </c>
      <c r="B2174" s="10" t="s">
        <v>110</v>
      </c>
      <c r="C2174" s="10">
        <v>83</v>
      </c>
      <c r="D2174" s="10" t="s">
        <v>1095</v>
      </c>
      <c r="E2174" s="41" t="s">
        <v>1096</v>
      </c>
      <c r="F2174" s="41" t="s">
        <v>1096</v>
      </c>
      <c r="G2174" s="21" t="str">
        <f>VLOOKUP(D2174,[6]成飞半成品!$A:$B,2,0)</f>
        <v>1150肋根肋</v>
      </c>
      <c r="H2174" s="10" t="s">
        <v>658</v>
      </c>
      <c r="I2174" s="10">
        <v>30</v>
      </c>
      <c r="J2174" s="10" t="s">
        <v>2131</v>
      </c>
      <c r="K2174" s="10">
        <v>1.3</v>
      </c>
      <c r="L2174" s="10">
        <v>1.6</v>
      </c>
      <c r="M2174" s="14">
        <v>32</v>
      </c>
      <c r="N2174" s="14">
        <v>32</v>
      </c>
      <c r="O2174" s="55" t="s">
        <v>412</v>
      </c>
      <c r="Q2174" s="10">
        <v>570</v>
      </c>
      <c r="R2174" s="10">
        <v>60</v>
      </c>
      <c r="T2174" s="10">
        <v>2</v>
      </c>
      <c r="U2174" s="10">
        <v>120</v>
      </c>
      <c r="W2174" s="14"/>
      <c r="Y2174" s="79">
        <v>17.2</v>
      </c>
      <c r="Z2174" s="56" t="s">
        <v>36</v>
      </c>
    </row>
    <row r="2175" spans="1:27" ht="23.1" customHeight="1" x14ac:dyDescent="0.25">
      <c r="A2175" s="53" t="s">
        <v>1360</v>
      </c>
      <c r="B2175" s="10" t="s">
        <v>110</v>
      </c>
      <c r="C2175" s="10">
        <v>82</v>
      </c>
      <c r="D2175" s="10" t="s">
        <v>1074</v>
      </c>
      <c r="E2175" s="41" t="s">
        <v>1075</v>
      </c>
      <c r="F2175" s="41" t="s">
        <v>1075</v>
      </c>
      <c r="G2175" s="21" t="str">
        <f>VLOOKUP(D2175,[6]成飞半成品!$A:$B,2,0)</f>
        <v>油箱底板（中）</v>
      </c>
      <c r="H2175" s="10" t="s">
        <v>154</v>
      </c>
      <c r="I2175" s="10">
        <v>45</v>
      </c>
      <c r="J2175" s="10" t="s">
        <v>2125</v>
      </c>
      <c r="K2175" s="10">
        <v>0.7</v>
      </c>
      <c r="L2175" s="10">
        <v>0.7</v>
      </c>
      <c r="M2175" s="14">
        <v>32</v>
      </c>
      <c r="N2175" s="14">
        <v>32</v>
      </c>
      <c r="O2175" s="55" t="s">
        <v>221</v>
      </c>
      <c r="Q2175" s="10">
        <v>600</v>
      </c>
      <c r="T2175" s="10">
        <v>1</v>
      </c>
      <c r="U2175" s="10">
        <v>120</v>
      </c>
      <c r="W2175" s="14">
        <v>1</v>
      </c>
      <c r="Y2175" s="79">
        <v>9</v>
      </c>
      <c r="Z2175" s="56" t="s">
        <v>36</v>
      </c>
    </row>
    <row r="2176" spans="1:27" ht="23.1" customHeight="1" x14ac:dyDescent="0.25">
      <c r="A2176" s="53" t="s">
        <v>1360</v>
      </c>
      <c r="B2176" s="10" t="s">
        <v>113</v>
      </c>
      <c r="C2176" s="10">
        <v>99</v>
      </c>
      <c r="D2176" s="10" t="s">
        <v>1191</v>
      </c>
      <c r="E2176" s="41" t="s">
        <v>1192</v>
      </c>
      <c r="F2176" s="41" t="s">
        <v>1192</v>
      </c>
      <c r="G2176" s="21" t="str">
        <f>VLOOKUP(D2176,[6]成飞半成品!$A:$B,2,0)</f>
        <v>后顶板</v>
      </c>
      <c r="H2176" s="10" t="s">
        <v>300</v>
      </c>
      <c r="I2176" s="10">
        <v>30</v>
      </c>
      <c r="J2176" s="10" t="s">
        <v>2186</v>
      </c>
      <c r="K2176" s="10">
        <v>0.6</v>
      </c>
      <c r="L2176" s="10">
        <v>0.8</v>
      </c>
      <c r="M2176" s="14">
        <v>25</v>
      </c>
      <c r="N2176" s="14">
        <v>25</v>
      </c>
      <c r="O2176" s="55" t="s">
        <v>1137</v>
      </c>
      <c r="Q2176" s="10">
        <v>1080</v>
      </c>
      <c r="R2176" s="10">
        <v>120</v>
      </c>
      <c r="T2176" s="10">
        <v>1</v>
      </c>
      <c r="U2176" s="10">
        <v>120</v>
      </c>
      <c r="W2176" s="14"/>
      <c r="Y2176" s="79">
        <v>16.399999999999999</v>
      </c>
      <c r="Z2176" s="56" t="s">
        <v>21</v>
      </c>
    </row>
    <row r="2177" spans="1:27" ht="23.1" customHeight="1" x14ac:dyDescent="0.25">
      <c r="A2177" s="53" t="s">
        <v>1360</v>
      </c>
      <c r="B2177" s="10" t="s">
        <v>113</v>
      </c>
      <c r="C2177" s="10">
        <v>97</v>
      </c>
      <c r="D2177" s="10" t="s">
        <v>1239</v>
      </c>
      <c r="E2177" s="41" t="s">
        <v>1065</v>
      </c>
      <c r="F2177" s="41" t="s">
        <v>1065</v>
      </c>
      <c r="G2177" s="21" t="str">
        <f>VLOOKUP(D2177,[6]成飞半成品!$A:$B,2,0)</f>
        <v>根肋三段</v>
      </c>
      <c r="H2177" s="10" t="s">
        <v>250</v>
      </c>
      <c r="I2177" s="10">
        <v>60</v>
      </c>
      <c r="J2177" s="10" t="s">
        <v>2156</v>
      </c>
      <c r="K2177" s="10">
        <v>1</v>
      </c>
      <c r="L2177" s="10">
        <v>1</v>
      </c>
      <c r="M2177" s="14">
        <v>25</v>
      </c>
      <c r="N2177" s="14">
        <v>25</v>
      </c>
      <c r="O2177" s="55" t="s">
        <v>429</v>
      </c>
      <c r="Q2177" s="10">
        <v>570</v>
      </c>
      <c r="R2177" s="10">
        <v>60</v>
      </c>
      <c r="T2177" s="10">
        <v>1</v>
      </c>
      <c r="U2177" s="10">
        <v>60</v>
      </c>
      <c r="W2177" s="14"/>
      <c r="Y2177" s="79">
        <v>10.5</v>
      </c>
      <c r="Z2177" s="56" t="s">
        <v>1</v>
      </c>
    </row>
    <row r="2178" spans="1:27" ht="23.1" customHeight="1" x14ac:dyDescent="0.25">
      <c r="A2178" s="53" t="s">
        <v>1360</v>
      </c>
      <c r="B2178" s="10" t="s">
        <v>113</v>
      </c>
      <c r="C2178" s="10">
        <v>105</v>
      </c>
      <c r="D2178" s="10" t="s">
        <v>1176</v>
      </c>
      <c r="E2178" s="41" t="s">
        <v>1098</v>
      </c>
      <c r="F2178" s="41" t="s">
        <v>1098</v>
      </c>
      <c r="G2178" s="21" t="str">
        <f>VLOOKUP(D2178,[6]成飞半成品!$A:$B,2,0)</f>
        <v>根肋一段</v>
      </c>
      <c r="H2178" s="10" t="s">
        <v>250</v>
      </c>
      <c r="I2178" s="10">
        <v>40</v>
      </c>
      <c r="J2178" s="10" t="s">
        <v>2172</v>
      </c>
      <c r="K2178" s="10">
        <v>1</v>
      </c>
      <c r="L2178" s="10">
        <v>1</v>
      </c>
      <c r="M2178" s="14">
        <v>25</v>
      </c>
      <c r="N2178" s="14">
        <v>25</v>
      </c>
      <c r="O2178" s="55" t="s">
        <v>429</v>
      </c>
      <c r="Q2178" s="10">
        <v>450</v>
      </c>
      <c r="R2178" s="10">
        <v>60</v>
      </c>
      <c r="T2178" s="10">
        <v>1</v>
      </c>
      <c r="U2178" s="10">
        <v>120</v>
      </c>
      <c r="W2178" s="14"/>
      <c r="Y2178" s="79">
        <v>8.5</v>
      </c>
      <c r="Z2178" s="56" t="s">
        <v>28</v>
      </c>
    </row>
    <row r="2179" spans="1:27" ht="23.1" customHeight="1" x14ac:dyDescent="0.25">
      <c r="A2179" s="53" t="s">
        <v>1360</v>
      </c>
      <c r="B2179" s="10" t="s">
        <v>113</v>
      </c>
      <c r="C2179" s="10">
        <v>105</v>
      </c>
      <c r="D2179" s="10" t="s">
        <v>1176</v>
      </c>
      <c r="E2179" s="41" t="s">
        <v>1098</v>
      </c>
      <c r="F2179" s="41" t="s">
        <v>1098</v>
      </c>
      <c r="G2179" s="21" t="str">
        <f>VLOOKUP(D2179,[6]成飞半成品!$A:$B,2,0)</f>
        <v>根肋一段</v>
      </c>
      <c r="H2179" s="10" t="s">
        <v>250</v>
      </c>
      <c r="I2179" s="10">
        <v>45</v>
      </c>
      <c r="J2179" s="10" t="s">
        <v>2189</v>
      </c>
      <c r="K2179" s="10">
        <v>1</v>
      </c>
      <c r="L2179" s="10">
        <v>1</v>
      </c>
      <c r="M2179" s="14">
        <v>25</v>
      </c>
      <c r="N2179" s="14">
        <v>25</v>
      </c>
      <c r="O2179" s="55" t="s">
        <v>429</v>
      </c>
      <c r="Q2179" s="10">
        <v>30</v>
      </c>
      <c r="R2179" s="10">
        <v>60</v>
      </c>
      <c r="T2179" s="10">
        <v>1</v>
      </c>
      <c r="U2179" s="10">
        <v>60</v>
      </c>
      <c r="W2179" s="14"/>
      <c r="Y2179" s="79">
        <v>1.5</v>
      </c>
      <c r="Z2179" s="56" t="s">
        <v>28</v>
      </c>
    </row>
    <row r="2180" spans="1:27" ht="23.1" customHeight="1" x14ac:dyDescent="0.25">
      <c r="A2180" s="53" t="s">
        <v>1360</v>
      </c>
      <c r="B2180" s="10" t="s">
        <v>113</v>
      </c>
      <c r="C2180" s="10">
        <v>82</v>
      </c>
      <c r="D2180" s="10" t="s">
        <v>1074</v>
      </c>
      <c r="E2180" s="41" t="s">
        <v>1075</v>
      </c>
      <c r="F2180" s="41" t="s">
        <v>1075</v>
      </c>
      <c r="G2180" s="21" t="str">
        <f>VLOOKUP(D2180,[6]成飞半成品!$A:$B,2,0)</f>
        <v>油箱底板（中）</v>
      </c>
      <c r="H2180" s="10" t="s">
        <v>154</v>
      </c>
      <c r="I2180" s="10">
        <v>45</v>
      </c>
      <c r="J2180" s="10" t="s">
        <v>2125</v>
      </c>
      <c r="K2180" s="10">
        <v>1.3</v>
      </c>
      <c r="L2180" s="10">
        <v>1.1000000000000001</v>
      </c>
      <c r="M2180" s="14">
        <v>25</v>
      </c>
      <c r="N2180" s="14">
        <v>25</v>
      </c>
      <c r="O2180" s="55" t="s">
        <v>219</v>
      </c>
      <c r="Q2180" s="10">
        <v>600</v>
      </c>
      <c r="T2180" s="10">
        <v>1</v>
      </c>
      <c r="U2180" s="10">
        <v>120</v>
      </c>
      <c r="W2180" s="14"/>
      <c r="Y2180" s="79">
        <v>11</v>
      </c>
      <c r="Z2180" s="56" t="s">
        <v>56</v>
      </c>
    </row>
    <row r="2181" spans="1:27" ht="23.1" customHeight="1" x14ac:dyDescent="0.25">
      <c r="A2181" s="53" t="s">
        <v>1360</v>
      </c>
      <c r="B2181" s="10" t="s">
        <v>113</v>
      </c>
      <c r="C2181" s="10">
        <v>103</v>
      </c>
      <c r="D2181" s="10" t="s">
        <v>1071</v>
      </c>
      <c r="E2181" s="41" t="s">
        <v>1072</v>
      </c>
      <c r="F2181" s="41" t="e">
        <v>#N/A</v>
      </c>
      <c r="G2181" s="21" t="e">
        <f>VLOOKUP(D2181,[6]成飞半成品!$A:$B,2,0)</f>
        <v>#N/A</v>
      </c>
      <c r="H2181" s="10" t="s">
        <v>250</v>
      </c>
      <c r="I2181" s="10">
        <v>40</v>
      </c>
      <c r="J2181" s="10" t="s">
        <v>2296</v>
      </c>
      <c r="K2181" s="10">
        <v>0.5</v>
      </c>
      <c r="L2181" s="10">
        <v>0.5</v>
      </c>
      <c r="M2181" s="14">
        <v>25</v>
      </c>
      <c r="N2181" s="14">
        <v>25</v>
      </c>
      <c r="O2181" s="55" t="s">
        <v>1593</v>
      </c>
      <c r="Q2181" s="10">
        <v>1020</v>
      </c>
      <c r="R2181" s="10">
        <v>90</v>
      </c>
      <c r="U2181" s="10">
        <v>180</v>
      </c>
      <c r="W2181" s="14"/>
      <c r="Y2181" s="79">
        <v>8.5</v>
      </c>
      <c r="Z2181" s="56" t="s">
        <v>62</v>
      </c>
    </row>
    <row r="2182" spans="1:27" ht="23.1" customHeight="1" x14ac:dyDescent="0.25">
      <c r="A2182" s="53" t="s">
        <v>1360</v>
      </c>
      <c r="B2182" s="10" t="s">
        <v>113</v>
      </c>
      <c r="C2182" s="10">
        <v>103</v>
      </c>
      <c r="D2182" s="65" t="s">
        <v>2551</v>
      </c>
      <c r="E2182" s="41" t="s">
        <v>938</v>
      </c>
      <c r="F2182" s="41" t="s">
        <v>938</v>
      </c>
      <c r="G2182" s="21" t="str">
        <f>VLOOKUP(D2182,[6]成飞半成品!$A:$B,2,0)</f>
        <v>工装</v>
      </c>
      <c r="H2182" s="47" t="s">
        <v>939</v>
      </c>
      <c r="I2182" s="10">
        <v>50</v>
      </c>
      <c r="J2182" s="10" t="s">
        <v>2126</v>
      </c>
      <c r="K2182" s="10">
        <v>1</v>
      </c>
      <c r="L2182" s="10">
        <v>1</v>
      </c>
      <c r="M2182" s="14">
        <v>25</v>
      </c>
      <c r="N2182" s="14">
        <v>25</v>
      </c>
      <c r="O2182" s="55" t="s">
        <v>890</v>
      </c>
      <c r="Q2182" s="10">
        <v>60</v>
      </c>
      <c r="R2182" s="10">
        <v>60</v>
      </c>
      <c r="T2182" s="10">
        <v>1</v>
      </c>
      <c r="U2182" s="10">
        <v>60</v>
      </c>
      <c r="W2182" s="14">
        <v>1</v>
      </c>
      <c r="X2182" s="14">
        <v>5</v>
      </c>
      <c r="Y2182" s="79">
        <v>8</v>
      </c>
      <c r="Z2182" s="56" t="s">
        <v>62</v>
      </c>
      <c r="AA2182" s="14" t="s">
        <v>1594</v>
      </c>
    </row>
    <row r="2183" spans="1:27" ht="23.1" customHeight="1" x14ac:dyDescent="0.25">
      <c r="A2183" s="53" t="s">
        <v>1360</v>
      </c>
      <c r="B2183" s="10" t="s">
        <v>113</v>
      </c>
      <c r="C2183" s="10">
        <v>19</v>
      </c>
      <c r="D2183" s="10" t="s">
        <v>1423</v>
      </c>
      <c r="E2183" s="41" t="s">
        <v>1424</v>
      </c>
      <c r="F2183" s="41" t="s">
        <v>1424</v>
      </c>
      <c r="G2183" s="21" t="str">
        <f>VLOOKUP(D2183,[6]成飞半成品!$A:$B,2,0)</f>
        <v>9480梁（右件）</v>
      </c>
      <c r="H2183" s="10" t="s">
        <v>300</v>
      </c>
      <c r="I2183" s="10">
        <v>5</v>
      </c>
      <c r="J2183" s="10" t="s">
        <v>2299</v>
      </c>
      <c r="K2183" s="10">
        <v>2</v>
      </c>
      <c r="L2183" s="10">
        <v>0.2</v>
      </c>
      <c r="M2183" s="14">
        <v>25</v>
      </c>
      <c r="N2183" s="14">
        <v>25</v>
      </c>
      <c r="Q2183" s="10">
        <v>40</v>
      </c>
      <c r="U2183" s="10">
        <v>60</v>
      </c>
      <c r="W2183" s="14"/>
      <c r="X2183" s="14">
        <v>2</v>
      </c>
      <c r="Y2183" s="79">
        <v>2.1</v>
      </c>
      <c r="Z2183" s="56" t="s">
        <v>11</v>
      </c>
      <c r="AA2183" s="14" t="s">
        <v>1548</v>
      </c>
    </row>
    <row r="2184" spans="1:27" ht="23.1" customHeight="1" x14ac:dyDescent="0.25">
      <c r="A2184" s="53" t="s">
        <v>1360</v>
      </c>
      <c r="B2184" s="10" t="s">
        <v>113</v>
      </c>
      <c r="C2184" s="10">
        <v>19</v>
      </c>
      <c r="D2184" s="10" t="s">
        <v>395</v>
      </c>
      <c r="E2184" s="41" t="s">
        <v>396</v>
      </c>
      <c r="F2184" s="41" t="e">
        <v>#N/A</v>
      </c>
      <c r="G2184" s="21" t="e">
        <f>VLOOKUP(D2184,[6]成飞半成品!$A:$B,2,0)</f>
        <v>#N/A</v>
      </c>
      <c r="H2184" s="10" t="s">
        <v>300</v>
      </c>
      <c r="I2184" s="10">
        <v>30</v>
      </c>
      <c r="J2184" s="10" t="s">
        <v>2193</v>
      </c>
      <c r="L2184" s="10">
        <v>0.2</v>
      </c>
      <c r="M2184" s="14">
        <v>25</v>
      </c>
      <c r="N2184" s="14">
        <v>25</v>
      </c>
      <c r="O2184" s="55" t="s">
        <v>781</v>
      </c>
      <c r="Q2184" s="10">
        <v>630</v>
      </c>
      <c r="R2184" s="10">
        <v>90</v>
      </c>
      <c r="U2184" s="10">
        <v>90</v>
      </c>
      <c r="W2184" s="14"/>
      <c r="Y2184" s="79">
        <v>2.1</v>
      </c>
      <c r="Z2184" s="56" t="s">
        <v>11</v>
      </c>
    </row>
    <row r="2185" spans="1:27" ht="23.1" customHeight="1" x14ac:dyDescent="0.25">
      <c r="A2185" s="53" t="s">
        <v>1360</v>
      </c>
      <c r="B2185" s="10" t="s">
        <v>113</v>
      </c>
      <c r="C2185" s="10">
        <v>83</v>
      </c>
      <c r="D2185" s="10" t="s">
        <v>1095</v>
      </c>
      <c r="E2185" s="41" t="s">
        <v>1096</v>
      </c>
      <c r="F2185" s="41" t="s">
        <v>1096</v>
      </c>
      <c r="G2185" s="21" t="str">
        <f>VLOOKUP(D2185,[6]成飞半成品!$A:$B,2,0)</f>
        <v>1150肋根肋</v>
      </c>
      <c r="H2185" s="10" t="s">
        <v>658</v>
      </c>
      <c r="I2185" s="10">
        <v>30</v>
      </c>
      <c r="J2185" s="10" t="s">
        <v>2131</v>
      </c>
      <c r="K2185" s="10">
        <v>1.3</v>
      </c>
      <c r="L2185" s="10">
        <v>1.6</v>
      </c>
      <c r="M2185" s="14">
        <v>25</v>
      </c>
      <c r="N2185" s="14">
        <v>25</v>
      </c>
      <c r="O2185" s="55" t="s">
        <v>412</v>
      </c>
      <c r="Q2185" s="10">
        <v>570</v>
      </c>
      <c r="R2185" s="10">
        <v>60</v>
      </c>
      <c r="T2185" s="10">
        <v>1</v>
      </c>
      <c r="U2185" s="10">
        <v>120</v>
      </c>
      <c r="W2185" s="14"/>
      <c r="Y2185" s="79">
        <v>16.2</v>
      </c>
      <c r="Z2185" s="56" t="s">
        <v>65</v>
      </c>
    </row>
    <row r="2186" spans="1:27" ht="23.1" customHeight="1" x14ac:dyDescent="0.25">
      <c r="A2186" s="53" t="s">
        <v>1360</v>
      </c>
      <c r="B2186" s="10" t="s">
        <v>113</v>
      </c>
      <c r="C2186" s="10">
        <v>44</v>
      </c>
      <c r="D2186" s="10" t="s">
        <v>495</v>
      </c>
      <c r="E2186" s="41" t="s">
        <v>267</v>
      </c>
      <c r="F2186" s="41" t="s">
        <v>267</v>
      </c>
      <c r="G2186" s="21" t="str">
        <f>VLOOKUP(D2186,[6]成飞半成品!$A:$B,2,0)</f>
        <v>后端框</v>
      </c>
      <c r="H2186" s="10" t="s">
        <v>118</v>
      </c>
      <c r="I2186" s="10">
        <v>55</v>
      </c>
      <c r="J2186" s="10" t="s">
        <v>2166</v>
      </c>
      <c r="K2186" s="10">
        <v>0.6</v>
      </c>
      <c r="L2186" s="10">
        <v>0.7</v>
      </c>
      <c r="M2186" s="14">
        <v>25</v>
      </c>
      <c r="N2186" s="14">
        <v>25</v>
      </c>
      <c r="O2186" s="55" t="s">
        <v>429</v>
      </c>
      <c r="Q2186" s="10">
        <v>1260</v>
      </c>
      <c r="R2186" s="10">
        <v>90</v>
      </c>
      <c r="U2186" s="10">
        <v>60</v>
      </c>
      <c r="W2186" s="14"/>
      <c r="Y2186" s="79">
        <v>14.7</v>
      </c>
      <c r="Z2186" s="56" t="s">
        <v>65</v>
      </c>
    </row>
    <row r="2187" spans="1:27" ht="23.1" customHeight="1" x14ac:dyDescent="0.25">
      <c r="A2187" s="53" t="s">
        <v>1360</v>
      </c>
      <c r="B2187" s="10" t="s">
        <v>113</v>
      </c>
      <c r="C2187" s="10">
        <v>100</v>
      </c>
      <c r="D2187" s="10" t="s">
        <v>298</v>
      </c>
      <c r="E2187" s="41" t="s">
        <v>299</v>
      </c>
      <c r="F2187" s="41" t="s">
        <v>299</v>
      </c>
      <c r="G2187" s="21" t="str">
        <f>VLOOKUP(D2187,[6]成飞半成品!$A:$B,2,0)</f>
        <v>8635右隔框</v>
      </c>
      <c r="H2187" s="10" t="s">
        <v>300</v>
      </c>
      <c r="I2187" s="10">
        <v>25</v>
      </c>
      <c r="J2187" s="10" t="s">
        <v>2140</v>
      </c>
      <c r="K2187" s="10">
        <v>0.8</v>
      </c>
      <c r="L2187" s="10">
        <v>0.8</v>
      </c>
      <c r="M2187" s="14">
        <v>25</v>
      </c>
      <c r="N2187" s="14">
        <v>25</v>
      </c>
      <c r="O2187" s="55" t="s">
        <v>418</v>
      </c>
      <c r="Q2187" s="10">
        <v>660</v>
      </c>
      <c r="R2187" s="10">
        <v>60</v>
      </c>
      <c r="T2187" s="10">
        <v>1</v>
      </c>
      <c r="U2187" s="10">
        <v>180</v>
      </c>
      <c r="W2187" s="14">
        <v>1</v>
      </c>
      <c r="Y2187" s="79">
        <v>12.8</v>
      </c>
      <c r="Z2187" s="56" t="s">
        <v>65</v>
      </c>
    </row>
    <row r="2188" spans="1:27" ht="23.1" customHeight="1" x14ac:dyDescent="0.25">
      <c r="A2188" s="53" t="s">
        <v>1360</v>
      </c>
      <c r="B2188" s="10" t="s">
        <v>113</v>
      </c>
      <c r="C2188" s="10">
        <v>100</v>
      </c>
      <c r="D2188" s="10" t="s">
        <v>484</v>
      </c>
      <c r="E2188" s="41" t="s">
        <v>485</v>
      </c>
      <c r="F2188" s="41" t="s">
        <v>485</v>
      </c>
      <c r="G2188" s="21" t="str">
        <f>VLOOKUP(D2188,[6]成飞半成品!$A:$B,2,0)</f>
        <v>8635左隔框</v>
      </c>
      <c r="H2188" s="10" t="s">
        <v>300</v>
      </c>
      <c r="I2188" s="10">
        <v>20</v>
      </c>
      <c r="J2188" s="10" t="s">
        <v>2135</v>
      </c>
      <c r="L2188" s="10">
        <v>1</v>
      </c>
      <c r="M2188" s="14">
        <v>25</v>
      </c>
      <c r="N2188" s="14">
        <v>25</v>
      </c>
      <c r="O2188" s="55" t="s">
        <v>418</v>
      </c>
      <c r="Q2188" s="10">
        <v>420</v>
      </c>
      <c r="R2188" s="10">
        <v>60</v>
      </c>
      <c r="T2188" s="10">
        <v>1</v>
      </c>
      <c r="U2188" s="10">
        <v>90</v>
      </c>
      <c r="W2188" s="14"/>
      <c r="Y2188" s="79">
        <v>8</v>
      </c>
      <c r="Z2188" s="56" t="s">
        <v>65</v>
      </c>
    </row>
    <row r="2189" spans="1:27" ht="23.1" customHeight="1" x14ac:dyDescent="0.25">
      <c r="A2189" s="53" t="s">
        <v>1360</v>
      </c>
      <c r="B2189" s="10" t="s">
        <v>113</v>
      </c>
      <c r="C2189" s="10">
        <v>102</v>
      </c>
      <c r="D2189" s="10" t="s">
        <v>1097</v>
      </c>
      <c r="E2189" s="41" t="s">
        <v>1098</v>
      </c>
      <c r="F2189" s="41" t="s">
        <v>1098</v>
      </c>
      <c r="G2189" s="21" t="str">
        <f>VLOOKUP(D2189,[6]成飞半成品!$A:$B,2,0)</f>
        <v>根肋一段</v>
      </c>
      <c r="H2189" s="10" t="s">
        <v>250</v>
      </c>
      <c r="I2189" s="10">
        <v>50</v>
      </c>
      <c r="J2189" s="10" t="s">
        <v>2185</v>
      </c>
      <c r="K2189" s="10">
        <v>0.6</v>
      </c>
      <c r="L2189" s="10">
        <v>0.6</v>
      </c>
      <c r="M2189" s="14">
        <v>25</v>
      </c>
      <c r="N2189" s="14">
        <v>25</v>
      </c>
      <c r="O2189" s="55" t="s">
        <v>292</v>
      </c>
      <c r="Q2189" s="10">
        <v>1080</v>
      </c>
      <c r="R2189" s="10">
        <v>60</v>
      </c>
      <c r="U2189" s="10">
        <v>120</v>
      </c>
      <c r="W2189" s="14"/>
      <c r="Y2189" s="79">
        <v>10.8</v>
      </c>
      <c r="Z2189" s="56" t="s">
        <v>65</v>
      </c>
    </row>
    <row r="2190" spans="1:27" ht="23.1" customHeight="1" x14ac:dyDescent="0.25">
      <c r="A2190" s="53" t="s">
        <v>1360</v>
      </c>
      <c r="B2190" s="10" t="s">
        <v>113</v>
      </c>
      <c r="C2190" s="10">
        <v>98</v>
      </c>
      <c r="D2190" s="10" t="s">
        <v>481</v>
      </c>
      <c r="E2190" s="41" t="s">
        <v>482</v>
      </c>
      <c r="F2190" s="41" t="s">
        <v>482</v>
      </c>
      <c r="G2190" s="21" t="str">
        <f>VLOOKUP(D2190,[6]成飞半成品!$A:$B,2,0)</f>
        <v>11140框左下半框</v>
      </c>
      <c r="H2190" s="10" t="s">
        <v>118</v>
      </c>
      <c r="I2190" s="10">
        <v>15</v>
      </c>
      <c r="J2190" s="10" t="s">
        <v>2394</v>
      </c>
      <c r="K2190" s="10">
        <v>0.8</v>
      </c>
      <c r="L2190" s="10">
        <v>1.1000000000000001</v>
      </c>
      <c r="M2190" s="14">
        <v>25</v>
      </c>
      <c r="N2190" s="14">
        <v>25</v>
      </c>
      <c r="O2190" s="55" t="s">
        <v>1339</v>
      </c>
      <c r="Q2190" s="10">
        <v>720</v>
      </c>
      <c r="R2190" s="10">
        <v>60</v>
      </c>
      <c r="T2190" s="10">
        <v>1</v>
      </c>
      <c r="U2190" s="10">
        <v>120</v>
      </c>
      <c r="W2190" s="14"/>
      <c r="Y2190" s="79">
        <v>14.2</v>
      </c>
      <c r="Z2190" s="56" t="s">
        <v>65</v>
      </c>
    </row>
    <row r="2191" spans="1:27" ht="23.1" customHeight="1" x14ac:dyDescent="0.25">
      <c r="A2191" s="53" t="s">
        <v>1360</v>
      </c>
      <c r="B2191" s="10" t="s">
        <v>113</v>
      </c>
      <c r="C2191" s="10">
        <v>101</v>
      </c>
      <c r="D2191" s="10" t="s">
        <v>1099</v>
      </c>
      <c r="E2191" s="41" t="s">
        <v>760</v>
      </c>
      <c r="F2191" s="41" t="e">
        <v>#N/A</v>
      </c>
      <c r="G2191" s="21" t="e">
        <f>VLOOKUP(D2191,[6]成飞半成品!$A:$B,2,0)</f>
        <v>#N/A</v>
      </c>
      <c r="H2191" s="10" t="s">
        <v>300</v>
      </c>
      <c r="I2191" s="10">
        <v>25</v>
      </c>
      <c r="J2191" s="10" t="s">
        <v>2154</v>
      </c>
      <c r="K2191" s="10">
        <v>0.7</v>
      </c>
      <c r="L2191" s="10">
        <v>0.9</v>
      </c>
      <c r="M2191" s="14">
        <v>25</v>
      </c>
      <c r="N2191" s="14">
        <v>25</v>
      </c>
      <c r="O2191" s="55" t="s">
        <v>672</v>
      </c>
      <c r="Q2191" s="10">
        <v>900</v>
      </c>
      <c r="R2191" s="10">
        <v>60</v>
      </c>
      <c r="T2191" s="10">
        <v>1</v>
      </c>
      <c r="U2191" s="10">
        <v>180</v>
      </c>
      <c r="W2191" s="14"/>
      <c r="Y2191" s="79">
        <v>14.5</v>
      </c>
      <c r="Z2191" s="56" t="s">
        <v>65</v>
      </c>
    </row>
    <row r="2192" spans="1:27" ht="23.1" customHeight="1" x14ac:dyDescent="0.25">
      <c r="A2192" s="53" t="s">
        <v>1360</v>
      </c>
      <c r="B2192" s="10" t="s">
        <v>113</v>
      </c>
      <c r="C2192" s="10">
        <v>118</v>
      </c>
      <c r="D2192" s="10" t="s">
        <v>1171</v>
      </c>
      <c r="E2192" s="41" t="s">
        <v>1172</v>
      </c>
      <c r="F2192" s="41" t="s">
        <v>1172</v>
      </c>
      <c r="G2192" s="21" t="str">
        <f>VLOOKUP(D2192,[6]成飞半成品!$A:$B,2,0)</f>
        <v>后梁</v>
      </c>
      <c r="H2192" s="10" t="s">
        <v>300</v>
      </c>
      <c r="I2192" s="10">
        <v>20</v>
      </c>
      <c r="J2192" s="10" t="s">
        <v>2298</v>
      </c>
      <c r="L2192" s="10">
        <v>1</v>
      </c>
      <c r="M2192" s="14">
        <v>25</v>
      </c>
      <c r="N2192" s="14">
        <v>25</v>
      </c>
      <c r="O2192" s="55" t="s">
        <v>952</v>
      </c>
      <c r="Q2192" s="10">
        <v>430</v>
      </c>
      <c r="R2192" s="10">
        <v>60</v>
      </c>
      <c r="T2192" s="10">
        <v>1</v>
      </c>
      <c r="U2192" s="10">
        <v>60</v>
      </c>
      <c r="W2192" s="14"/>
      <c r="Y2192" s="79">
        <v>8.1999999999999993</v>
      </c>
      <c r="Z2192" s="56" t="s">
        <v>65</v>
      </c>
    </row>
    <row r="2193" spans="1:27" ht="23.1" customHeight="1" x14ac:dyDescent="0.25">
      <c r="A2193" s="53" t="s">
        <v>1360</v>
      </c>
      <c r="B2193" s="10" t="s">
        <v>113</v>
      </c>
      <c r="C2193" s="10">
        <v>104</v>
      </c>
      <c r="D2193" s="10" t="s">
        <v>1595</v>
      </c>
      <c r="E2193" s="41" t="s">
        <v>1570</v>
      </c>
      <c r="F2193" s="41" t="s">
        <v>1570</v>
      </c>
      <c r="G2193" s="21" t="str">
        <f>VLOOKUP(D2193,[6]成飞半成品!$A:$B,2,0)</f>
        <v>剖形支柱</v>
      </c>
      <c r="H2193" s="10" t="s">
        <v>102</v>
      </c>
      <c r="I2193" s="10">
        <v>15</v>
      </c>
      <c r="J2193" s="10" t="s">
        <v>2112</v>
      </c>
      <c r="K2193" s="10">
        <v>1</v>
      </c>
      <c r="L2193" s="10">
        <v>1</v>
      </c>
      <c r="M2193" s="14">
        <v>25</v>
      </c>
      <c r="N2193" s="14">
        <v>25</v>
      </c>
      <c r="O2193" s="55" t="s">
        <v>596</v>
      </c>
      <c r="Q2193" s="10">
        <v>80</v>
      </c>
      <c r="R2193" s="10">
        <v>60</v>
      </c>
      <c r="T2193" s="10">
        <v>1</v>
      </c>
      <c r="U2193" s="10">
        <v>60</v>
      </c>
      <c r="W2193" s="14">
        <v>1</v>
      </c>
      <c r="Y2193" s="79">
        <v>3.3</v>
      </c>
      <c r="Z2193" s="56" t="s">
        <v>65</v>
      </c>
    </row>
    <row r="2194" spans="1:27" ht="23.1" customHeight="1" x14ac:dyDescent="0.25">
      <c r="A2194" s="53" t="s">
        <v>1360</v>
      </c>
      <c r="B2194" s="10" t="s">
        <v>113</v>
      </c>
      <c r="C2194" s="10">
        <v>104</v>
      </c>
      <c r="D2194" s="25" t="s">
        <v>2551</v>
      </c>
      <c r="E2194" s="41" t="s">
        <v>1283</v>
      </c>
      <c r="F2194" s="41" t="e">
        <v>#N/A</v>
      </c>
      <c r="G2194" s="21" t="str">
        <f>VLOOKUP(D2194,[6]成飞半成品!$A:$B,2,0)</f>
        <v>工装</v>
      </c>
      <c r="H2194" s="10" t="s">
        <v>102</v>
      </c>
      <c r="I2194" s="10">
        <v>5</v>
      </c>
      <c r="L2194" s="10">
        <v>1</v>
      </c>
      <c r="M2194" s="14">
        <v>25</v>
      </c>
      <c r="N2194" s="14">
        <v>25</v>
      </c>
      <c r="O2194" s="55" t="s">
        <v>596</v>
      </c>
      <c r="T2194" s="10">
        <v>1</v>
      </c>
      <c r="W2194" s="14">
        <v>1</v>
      </c>
      <c r="X2194" s="14">
        <v>4</v>
      </c>
      <c r="Y2194" s="79">
        <v>4</v>
      </c>
      <c r="Z2194" s="56" t="s">
        <v>65</v>
      </c>
    </row>
    <row r="2195" spans="1:27" ht="23.1" customHeight="1" x14ac:dyDescent="0.25">
      <c r="A2195" s="53" t="s">
        <v>1360</v>
      </c>
      <c r="B2195" s="10" t="s">
        <v>113</v>
      </c>
      <c r="C2195" s="10">
        <v>104</v>
      </c>
      <c r="D2195" s="25" t="s">
        <v>2551</v>
      </c>
      <c r="E2195" s="41" t="s">
        <v>1283</v>
      </c>
      <c r="F2195" s="41" t="e">
        <v>#N/A</v>
      </c>
      <c r="G2195" s="21" t="str">
        <f>VLOOKUP(D2195,[6]成飞半成品!$A:$B,2,0)</f>
        <v>工装</v>
      </c>
      <c r="H2195" s="10" t="s">
        <v>102</v>
      </c>
      <c r="I2195" s="10">
        <v>10</v>
      </c>
      <c r="L2195" s="10">
        <v>1</v>
      </c>
      <c r="M2195" s="14">
        <v>25</v>
      </c>
      <c r="N2195" s="14">
        <v>25</v>
      </c>
      <c r="O2195" s="55" t="s">
        <v>596</v>
      </c>
      <c r="T2195" s="10">
        <v>1</v>
      </c>
      <c r="W2195" s="14">
        <v>1</v>
      </c>
      <c r="X2195" s="14">
        <v>4</v>
      </c>
      <c r="Y2195" s="79">
        <v>4</v>
      </c>
      <c r="Z2195" s="56" t="s">
        <v>65</v>
      </c>
    </row>
    <row r="2196" spans="1:27" ht="23.1" customHeight="1" x14ac:dyDescent="0.25">
      <c r="A2196" s="53" t="s">
        <v>1360</v>
      </c>
      <c r="B2196" s="10" t="s">
        <v>113</v>
      </c>
      <c r="C2196" s="10">
        <v>104</v>
      </c>
      <c r="D2196" s="25" t="s">
        <v>2551</v>
      </c>
      <c r="E2196" s="41" t="s">
        <v>1283</v>
      </c>
      <c r="F2196" s="41" t="e">
        <v>#N/A</v>
      </c>
      <c r="G2196" s="21" t="str">
        <f>VLOOKUP(D2196,[6]成飞半成品!$A:$B,2,0)</f>
        <v>工装</v>
      </c>
      <c r="H2196" s="10" t="s">
        <v>102</v>
      </c>
      <c r="I2196" s="10">
        <v>15</v>
      </c>
      <c r="L2196" s="10">
        <v>1</v>
      </c>
      <c r="M2196" s="14">
        <v>25</v>
      </c>
      <c r="N2196" s="14">
        <v>25</v>
      </c>
      <c r="O2196" s="55" t="s">
        <v>596</v>
      </c>
      <c r="T2196" s="10">
        <v>1</v>
      </c>
      <c r="W2196" s="14">
        <v>1</v>
      </c>
      <c r="X2196" s="14">
        <v>4</v>
      </c>
      <c r="Y2196" s="79">
        <v>4</v>
      </c>
      <c r="Z2196" s="56" t="s">
        <v>65</v>
      </c>
    </row>
    <row r="2197" spans="1:27" ht="23.1" customHeight="1" x14ac:dyDescent="0.25">
      <c r="A2197" s="53" t="s">
        <v>1432</v>
      </c>
      <c r="B2197" s="10" t="s">
        <v>110</v>
      </c>
      <c r="C2197" s="10">
        <v>19</v>
      </c>
      <c r="D2197" s="10" t="s">
        <v>1423</v>
      </c>
      <c r="E2197" s="41" t="s">
        <v>1424</v>
      </c>
      <c r="F2197" s="41" t="s">
        <v>1424</v>
      </c>
      <c r="G2197" s="21" t="str">
        <f>VLOOKUP(D2197,[6]成飞半成品!$A:$B,2,0)</f>
        <v>9480梁（右件）</v>
      </c>
      <c r="H2197" s="10" t="s">
        <v>300</v>
      </c>
      <c r="I2197" s="10">
        <v>5</v>
      </c>
      <c r="J2197" s="10" t="s">
        <v>2299</v>
      </c>
      <c r="K2197" s="10">
        <v>3</v>
      </c>
      <c r="L2197" s="10">
        <v>1.5</v>
      </c>
      <c r="M2197" s="14">
        <v>32</v>
      </c>
      <c r="N2197" s="14">
        <v>32</v>
      </c>
      <c r="O2197" s="55" t="s">
        <v>1597</v>
      </c>
      <c r="Q2197" s="10">
        <v>40</v>
      </c>
      <c r="T2197" s="10">
        <v>2</v>
      </c>
      <c r="U2197" s="10">
        <v>60</v>
      </c>
      <c r="W2197" s="14"/>
      <c r="Y2197" s="79">
        <v>1</v>
      </c>
      <c r="Z2197" s="56" t="s">
        <v>17</v>
      </c>
    </row>
    <row r="2198" spans="1:27" ht="23.1" customHeight="1" x14ac:dyDescent="0.25">
      <c r="A2198" s="53" t="s">
        <v>1432</v>
      </c>
      <c r="B2198" s="10" t="s">
        <v>110</v>
      </c>
      <c r="C2198" s="10">
        <v>44</v>
      </c>
      <c r="D2198" s="10" t="s">
        <v>495</v>
      </c>
      <c r="E2198" s="41" t="s">
        <v>267</v>
      </c>
      <c r="F2198" s="41" t="s">
        <v>267</v>
      </c>
      <c r="G2198" s="21" t="str">
        <f>VLOOKUP(D2198,[6]成飞半成品!$A:$B,2,0)</f>
        <v>后端框</v>
      </c>
      <c r="H2198" s="10" t="s">
        <v>118</v>
      </c>
      <c r="I2198" s="10">
        <v>55</v>
      </c>
      <c r="J2198" s="10" t="s">
        <v>2166</v>
      </c>
      <c r="K2198" s="10">
        <v>0.6</v>
      </c>
      <c r="L2198" s="10">
        <v>0.6</v>
      </c>
      <c r="M2198" s="14">
        <v>32</v>
      </c>
      <c r="N2198" s="14">
        <v>32</v>
      </c>
      <c r="O2198" s="55" t="s">
        <v>429</v>
      </c>
      <c r="Q2198" s="10">
        <v>1260</v>
      </c>
      <c r="R2198" s="10">
        <v>90</v>
      </c>
      <c r="T2198" s="10">
        <v>1</v>
      </c>
      <c r="U2198" s="10">
        <v>60</v>
      </c>
      <c r="W2198" s="14"/>
      <c r="Y2198" s="79">
        <v>14.1</v>
      </c>
      <c r="Z2198" s="56" t="s">
        <v>64</v>
      </c>
      <c r="AA2198" s="14" t="s">
        <v>1587</v>
      </c>
    </row>
    <row r="2199" spans="1:27" ht="23.1" customHeight="1" x14ac:dyDescent="0.25">
      <c r="A2199" s="53" t="s">
        <v>1432</v>
      </c>
      <c r="B2199" s="10" t="s">
        <v>110</v>
      </c>
      <c r="C2199" s="10">
        <v>97</v>
      </c>
      <c r="D2199" s="10" t="s">
        <v>1239</v>
      </c>
      <c r="E2199" s="41" t="s">
        <v>1065</v>
      </c>
      <c r="F2199" s="41" t="s">
        <v>1065</v>
      </c>
      <c r="G2199" s="21" t="str">
        <f>VLOOKUP(D2199,[6]成飞半成品!$A:$B,2,0)</f>
        <v>根肋三段</v>
      </c>
      <c r="H2199" s="10" t="s">
        <v>250</v>
      </c>
      <c r="I2199" s="10">
        <v>60</v>
      </c>
      <c r="J2199" s="10" t="s">
        <v>2156</v>
      </c>
      <c r="K2199" s="10">
        <v>1</v>
      </c>
      <c r="L2199" s="10">
        <v>1</v>
      </c>
      <c r="M2199" s="14">
        <v>32</v>
      </c>
      <c r="N2199" s="14">
        <v>32</v>
      </c>
      <c r="O2199" s="55" t="s">
        <v>429</v>
      </c>
      <c r="Q2199" s="10">
        <v>570</v>
      </c>
      <c r="R2199" s="10">
        <v>60</v>
      </c>
      <c r="T2199" s="10">
        <v>1</v>
      </c>
      <c r="U2199" s="10">
        <v>60</v>
      </c>
      <c r="W2199" s="14"/>
      <c r="Y2199" s="79">
        <v>10.5</v>
      </c>
      <c r="Z2199" s="56" t="s">
        <v>39</v>
      </c>
    </row>
    <row r="2200" spans="1:27" ht="23.1" customHeight="1" x14ac:dyDescent="0.25">
      <c r="A2200" s="53" t="s">
        <v>1432</v>
      </c>
      <c r="B2200" s="10" t="s">
        <v>110</v>
      </c>
      <c r="C2200" s="10">
        <v>101</v>
      </c>
      <c r="D2200" s="10" t="s">
        <v>1099</v>
      </c>
      <c r="E2200" s="41" t="s">
        <v>760</v>
      </c>
      <c r="F2200" s="41" t="e">
        <v>#N/A</v>
      </c>
      <c r="G2200" s="21" t="e">
        <f>VLOOKUP(D2200,[6]成飞半成品!$A:$B,2,0)</f>
        <v>#N/A</v>
      </c>
      <c r="H2200" s="10" t="s">
        <v>300</v>
      </c>
      <c r="I2200" s="10">
        <v>25</v>
      </c>
      <c r="J2200" s="10" t="s">
        <v>2154</v>
      </c>
      <c r="K2200" s="10">
        <v>0.7</v>
      </c>
      <c r="L2200" s="10">
        <v>0.8</v>
      </c>
      <c r="M2200" s="14">
        <v>32</v>
      </c>
      <c r="N2200" s="14">
        <v>32</v>
      </c>
      <c r="O2200" s="55" t="s">
        <v>1339</v>
      </c>
      <c r="Q2200" s="10">
        <v>900</v>
      </c>
      <c r="R2200" s="10">
        <v>60</v>
      </c>
      <c r="T2200" s="10">
        <v>1</v>
      </c>
      <c r="U2200" s="10">
        <v>180</v>
      </c>
      <c r="W2200" s="14"/>
      <c r="Y2200" s="79">
        <v>13</v>
      </c>
      <c r="Z2200" s="56" t="s">
        <v>47</v>
      </c>
    </row>
    <row r="2201" spans="1:27" ht="23.1" customHeight="1" x14ac:dyDescent="0.25">
      <c r="A2201" s="53" t="s">
        <v>1432</v>
      </c>
      <c r="B2201" s="10" t="s">
        <v>110</v>
      </c>
      <c r="C2201" s="10">
        <v>105</v>
      </c>
      <c r="D2201" s="10" t="s">
        <v>1176</v>
      </c>
      <c r="E2201" s="41" t="s">
        <v>1098</v>
      </c>
      <c r="F2201" s="41" t="s">
        <v>1098</v>
      </c>
      <c r="G2201" s="21" t="str">
        <f>VLOOKUP(D2201,[6]成飞半成品!$A:$B,2,0)</f>
        <v>根肋一段</v>
      </c>
      <c r="H2201" s="10" t="s">
        <v>250</v>
      </c>
      <c r="I2201" s="10">
        <v>40</v>
      </c>
      <c r="J2201" s="10" t="s">
        <v>2172</v>
      </c>
      <c r="K2201" s="10">
        <v>1</v>
      </c>
      <c r="L2201" s="10">
        <v>1</v>
      </c>
      <c r="M2201" s="14">
        <v>32</v>
      </c>
      <c r="N2201" s="14">
        <v>32</v>
      </c>
      <c r="O2201" s="55" t="s">
        <v>216</v>
      </c>
      <c r="Q2201" s="10">
        <v>450</v>
      </c>
      <c r="R2201" s="10">
        <v>60</v>
      </c>
      <c r="T2201" s="10">
        <v>1</v>
      </c>
      <c r="U2201" s="10">
        <v>120</v>
      </c>
      <c r="W2201" s="14"/>
      <c r="Y2201" s="79">
        <v>8.5</v>
      </c>
      <c r="Z2201" s="56" t="s">
        <v>9</v>
      </c>
    </row>
    <row r="2202" spans="1:27" ht="23.1" customHeight="1" x14ac:dyDescent="0.25">
      <c r="A2202" s="53" t="s">
        <v>1432</v>
      </c>
      <c r="B2202" s="10" t="s">
        <v>110</v>
      </c>
      <c r="C2202" s="10">
        <v>105</v>
      </c>
      <c r="D2202" s="10" t="s">
        <v>1176</v>
      </c>
      <c r="E2202" s="41" t="s">
        <v>1098</v>
      </c>
      <c r="F2202" s="41" t="s">
        <v>1098</v>
      </c>
      <c r="G2202" s="21" t="str">
        <f>VLOOKUP(D2202,[6]成飞半成品!$A:$B,2,0)</f>
        <v>根肋一段</v>
      </c>
      <c r="H2202" s="10" t="s">
        <v>250</v>
      </c>
      <c r="I2202" s="10">
        <v>45</v>
      </c>
      <c r="J2202" s="10" t="s">
        <v>2189</v>
      </c>
      <c r="K2202" s="10">
        <v>1</v>
      </c>
      <c r="L2202" s="10">
        <v>2</v>
      </c>
      <c r="M2202" s="14">
        <v>32</v>
      </c>
      <c r="N2202" s="14">
        <v>32</v>
      </c>
      <c r="O2202" s="55" t="s">
        <v>1567</v>
      </c>
      <c r="Q2202" s="10">
        <v>30</v>
      </c>
      <c r="R2202" s="10">
        <v>60</v>
      </c>
      <c r="T2202" s="10">
        <v>1</v>
      </c>
      <c r="U2202" s="10">
        <v>60</v>
      </c>
      <c r="W2202" s="14"/>
      <c r="Y2202" s="79">
        <v>2</v>
      </c>
      <c r="Z2202" s="56" t="s">
        <v>9</v>
      </c>
    </row>
    <row r="2203" spans="1:27" ht="23.1" customHeight="1" x14ac:dyDescent="0.25">
      <c r="A2203" s="53" t="s">
        <v>1432</v>
      </c>
      <c r="B2203" s="10" t="s">
        <v>110</v>
      </c>
      <c r="C2203" s="10">
        <v>99</v>
      </c>
      <c r="D2203" s="10" t="s">
        <v>1191</v>
      </c>
      <c r="E2203" s="41" t="s">
        <v>1192</v>
      </c>
      <c r="F2203" s="41" t="s">
        <v>1192</v>
      </c>
      <c r="G2203" s="21" t="str">
        <f>VLOOKUP(D2203,[6]成飞半成品!$A:$B,2,0)</f>
        <v>后顶板</v>
      </c>
      <c r="H2203" s="10" t="s">
        <v>300</v>
      </c>
      <c r="I2203" s="10">
        <v>30</v>
      </c>
      <c r="J2203" s="10" t="s">
        <v>2186</v>
      </c>
      <c r="K2203" s="10">
        <v>0.5</v>
      </c>
      <c r="L2203" s="10">
        <v>0.6</v>
      </c>
      <c r="M2203" s="14">
        <v>32</v>
      </c>
      <c r="N2203" s="14">
        <v>32</v>
      </c>
      <c r="O2203" s="55" t="s">
        <v>1104</v>
      </c>
      <c r="Q2203" s="10">
        <v>1080</v>
      </c>
      <c r="R2203" s="10">
        <v>120</v>
      </c>
      <c r="T2203" s="10">
        <v>2</v>
      </c>
      <c r="U2203" s="10">
        <v>120</v>
      </c>
      <c r="W2203" s="14"/>
      <c r="Y2203" s="79">
        <v>14.8</v>
      </c>
      <c r="Z2203" s="56" t="s">
        <v>29</v>
      </c>
    </row>
    <row r="2204" spans="1:27" ht="23.1" customHeight="1" x14ac:dyDescent="0.25">
      <c r="A2204" s="53" t="s">
        <v>1432</v>
      </c>
      <c r="B2204" s="10" t="s">
        <v>110</v>
      </c>
      <c r="C2204" s="10">
        <v>103</v>
      </c>
      <c r="D2204" s="65" t="s">
        <v>2551</v>
      </c>
      <c r="E2204" s="41" t="s">
        <v>938</v>
      </c>
      <c r="F2204" s="41" t="s">
        <v>938</v>
      </c>
      <c r="G2204" s="21" t="str">
        <f>VLOOKUP(D2204,[6]成飞半成品!$A:$B,2,0)</f>
        <v>工装</v>
      </c>
      <c r="H2204" s="10" t="s">
        <v>939</v>
      </c>
      <c r="I2204" s="10">
        <v>50</v>
      </c>
      <c r="J2204" s="10" t="s">
        <v>2126</v>
      </c>
      <c r="K2204" s="10">
        <v>1</v>
      </c>
      <c r="L2204" s="10">
        <v>1</v>
      </c>
      <c r="M2204" s="14">
        <v>32</v>
      </c>
      <c r="N2204" s="14">
        <v>32</v>
      </c>
      <c r="O2204" s="55" t="s">
        <v>128</v>
      </c>
      <c r="Q2204" s="10">
        <v>60</v>
      </c>
      <c r="R2204" s="10">
        <v>60</v>
      </c>
      <c r="T2204" s="10">
        <v>1</v>
      </c>
      <c r="U2204" s="10">
        <v>60</v>
      </c>
      <c r="W2204" s="14"/>
      <c r="X2204" s="14">
        <v>1</v>
      </c>
      <c r="Y2204" s="79">
        <v>3</v>
      </c>
      <c r="Z2204" s="56" t="s">
        <v>61</v>
      </c>
      <c r="AA2204" s="14" t="s">
        <v>1598</v>
      </c>
    </row>
    <row r="2205" spans="1:27" ht="23.1" customHeight="1" x14ac:dyDescent="0.25">
      <c r="A2205" s="53" t="s">
        <v>1432</v>
      </c>
      <c r="B2205" s="10" t="s">
        <v>110</v>
      </c>
      <c r="C2205" s="10">
        <v>103</v>
      </c>
      <c r="D2205" s="65" t="s">
        <v>2551</v>
      </c>
      <c r="E2205" s="41" t="s">
        <v>938</v>
      </c>
      <c r="F2205" s="41" t="s">
        <v>938</v>
      </c>
      <c r="G2205" s="21" t="str">
        <f>VLOOKUP(D2205,[6]成飞半成品!$A:$B,2,0)</f>
        <v>工装</v>
      </c>
      <c r="H2205" s="10" t="s">
        <v>939</v>
      </c>
      <c r="I2205" s="10">
        <v>55</v>
      </c>
      <c r="J2205" s="10" t="s">
        <v>2004</v>
      </c>
      <c r="K2205" s="10">
        <v>0.5</v>
      </c>
      <c r="L2205" s="10">
        <v>1</v>
      </c>
      <c r="M2205" s="14">
        <v>32</v>
      </c>
      <c r="N2205" s="14">
        <v>32</v>
      </c>
      <c r="O2205" s="55" t="s">
        <v>890</v>
      </c>
      <c r="Q2205" s="10">
        <v>600</v>
      </c>
      <c r="R2205" s="10">
        <v>60</v>
      </c>
      <c r="T2205" s="10">
        <v>1</v>
      </c>
      <c r="U2205" s="10">
        <v>90</v>
      </c>
      <c r="W2205" s="14">
        <v>1</v>
      </c>
      <c r="X2205" s="10">
        <v>2</v>
      </c>
      <c r="Y2205" s="79">
        <v>14.5</v>
      </c>
      <c r="Z2205" s="56" t="s">
        <v>61</v>
      </c>
      <c r="AA2205" s="14" t="s">
        <v>1473</v>
      </c>
    </row>
    <row r="2206" spans="1:27" ht="23.1" customHeight="1" x14ac:dyDescent="0.25">
      <c r="A2206" s="53" t="s">
        <v>1432</v>
      </c>
      <c r="B2206" s="10" t="s">
        <v>110</v>
      </c>
      <c r="C2206" s="10">
        <v>102</v>
      </c>
      <c r="D2206" s="10" t="s">
        <v>1097</v>
      </c>
      <c r="E2206" s="41" t="s">
        <v>1098</v>
      </c>
      <c r="F2206" s="41" t="s">
        <v>1098</v>
      </c>
      <c r="G2206" s="21" t="str">
        <f>VLOOKUP(D2206,[6]成飞半成品!$A:$B,2,0)</f>
        <v>根肋一段</v>
      </c>
      <c r="H2206" s="10" t="s">
        <v>250</v>
      </c>
      <c r="I2206" s="10">
        <v>50</v>
      </c>
      <c r="J2206" s="10" t="s">
        <v>2185</v>
      </c>
      <c r="K2206" s="10">
        <v>0.6</v>
      </c>
      <c r="L2206" s="10">
        <v>0.6</v>
      </c>
      <c r="M2206" s="14">
        <v>32</v>
      </c>
      <c r="N2206" s="14">
        <v>32</v>
      </c>
      <c r="O2206" s="55" t="s">
        <v>292</v>
      </c>
      <c r="Q2206" s="10">
        <v>1080</v>
      </c>
      <c r="R2206" s="10">
        <v>60</v>
      </c>
      <c r="T2206" s="10">
        <v>1</v>
      </c>
      <c r="U2206" s="10">
        <v>120</v>
      </c>
      <c r="W2206" s="14"/>
      <c r="Y2206" s="79">
        <v>11.8</v>
      </c>
      <c r="Z2206" s="56" t="s">
        <v>36</v>
      </c>
    </row>
    <row r="2207" spans="1:27" ht="23.1" customHeight="1" x14ac:dyDescent="0.25">
      <c r="A2207" s="53" t="s">
        <v>1432</v>
      </c>
      <c r="B2207" s="10" t="s">
        <v>110</v>
      </c>
      <c r="C2207" s="10">
        <v>104</v>
      </c>
      <c r="D2207" s="10" t="s">
        <v>1582</v>
      </c>
      <c r="E2207" s="41" t="s">
        <v>1283</v>
      </c>
      <c r="F2207" s="41" t="s">
        <v>1283</v>
      </c>
      <c r="G2207" s="21" t="str">
        <f>VLOOKUP(D2207,[6]成飞半成品!$A:$B,2,0)</f>
        <v>9框前支柱</v>
      </c>
      <c r="H2207" s="10" t="s">
        <v>102</v>
      </c>
      <c r="I2207" s="10">
        <v>10</v>
      </c>
      <c r="J2207" s="10" t="s">
        <v>2300</v>
      </c>
      <c r="K2207" s="10">
        <v>1</v>
      </c>
      <c r="L2207" s="10">
        <v>1</v>
      </c>
      <c r="M2207" s="14">
        <v>32</v>
      </c>
      <c r="N2207" s="14">
        <v>32</v>
      </c>
      <c r="O2207" s="55" t="s">
        <v>596</v>
      </c>
      <c r="Q2207" s="10">
        <v>60</v>
      </c>
      <c r="R2207" s="10">
        <v>60</v>
      </c>
      <c r="T2207" s="10">
        <v>1</v>
      </c>
      <c r="U2207" s="10">
        <v>90</v>
      </c>
      <c r="W2207" s="14">
        <v>1</v>
      </c>
      <c r="Y2207" s="79">
        <v>3.5</v>
      </c>
      <c r="Z2207" s="56" t="s">
        <v>36</v>
      </c>
    </row>
    <row r="2208" spans="1:27" ht="23.1" customHeight="1" x14ac:dyDescent="0.25">
      <c r="A2208" s="53" t="s">
        <v>1432</v>
      </c>
      <c r="B2208" s="10" t="s">
        <v>110</v>
      </c>
      <c r="C2208" s="10">
        <v>104</v>
      </c>
      <c r="D2208" s="10" t="s">
        <v>1583</v>
      </c>
      <c r="E2208" s="41" t="s">
        <v>1283</v>
      </c>
      <c r="F2208" s="41" t="s">
        <v>1283</v>
      </c>
      <c r="G2208" s="21" t="str">
        <f>VLOOKUP(D2208,[6]成飞半成品!$A:$B,2,0)</f>
        <v>9框前支柱</v>
      </c>
      <c r="H2208" s="10" t="s">
        <v>102</v>
      </c>
      <c r="I2208" s="10">
        <v>10</v>
      </c>
      <c r="J2208" s="10" t="s">
        <v>2300</v>
      </c>
      <c r="K2208" s="10">
        <v>1</v>
      </c>
      <c r="L2208" s="10">
        <v>1</v>
      </c>
      <c r="M2208" s="14">
        <v>32</v>
      </c>
      <c r="N2208" s="14">
        <v>32</v>
      </c>
      <c r="O2208" s="55" t="s">
        <v>596</v>
      </c>
      <c r="Q2208" s="10">
        <v>60</v>
      </c>
      <c r="R2208" s="10">
        <v>60</v>
      </c>
      <c r="T2208" s="10">
        <v>1</v>
      </c>
      <c r="U2208" s="10">
        <v>90</v>
      </c>
      <c r="W2208" s="14">
        <v>1</v>
      </c>
      <c r="Y2208" s="79">
        <v>3.5</v>
      </c>
      <c r="Z2208" s="56" t="s">
        <v>36</v>
      </c>
      <c r="AA2208" s="14" t="s">
        <v>1591</v>
      </c>
    </row>
    <row r="2209" spans="1:27" ht="23.1" customHeight="1" x14ac:dyDescent="0.25">
      <c r="A2209" s="53" t="s">
        <v>1432</v>
      </c>
      <c r="B2209" s="10" t="s">
        <v>110</v>
      </c>
      <c r="C2209" s="10">
        <v>98</v>
      </c>
      <c r="D2209" s="10" t="s">
        <v>481</v>
      </c>
      <c r="E2209" s="41" t="s">
        <v>482</v>
      </c>
      <c r="F2209" s="41" t="s">
        <v>482</v>
      </c>
      <c r="G2209" s="21" t="str">
        <f>VLOOKUP(D2209,[6]成飞半成品!$A:$B,2,0)</f>
        <v>11140框左下半框</v>
      </c>
      <c r="H2209" s="10" t="s">
        <v>118</v>
      </c>
      <c r="I2209" s="10">
        <v>15</v>
      </c>
      <c r="J2209" s="10" t="s">
        <v>2144</v>
      </c>
      <c r="K2209" s="10">
        <v>0.8</v>
      </c>
      <c r="L2209" s="10">
        <v>1</v>
      </c>
      <c r="M2209" s="14">
        <v>32</v>
      </c>
      <c r="N2209" s="14">
        <v>32</v>
      </c>
      <c r="O2209" s="55" t="s">
        <v>355</v>
      </c>
      <c r="Q2209" s="10">
        <v>720</v>
      </c>
      <c r="R2209" s="10">
        <v>60</v>
      </c>
      <c r="T2209" s="10">
        <v>1</v>
      </c>
      <c r="U2209" s="10">
        <v>120</v>
      </c>
      <c r="W2209" s="14"/>
      <c r="X2209" s="14">
        <v>6</v>
      </c>
      <c r="Y2209" s="79">
        <v>19</v>
      </c>
      <c r="Z2209" s="56" t="s">
        <v>36</v>
      </c>
    </row>
    <row r="2210" spans="1:27" ht="23.1" customHeight="1" x14ac:dyDescent="0.25">
      <c r="A2210" s="53" t="s">
        <v>1432</v>
      </c>
      <c r="B2210" s="10" t="s">
        <v>110</v>
      </c>
      <c r="C2210" s="10">
        <v>106</v>
      </c>
      <c r="D2210" s="10" t="s">
        <v>1070</v>
      </c>
      <c r="E2210" s="41" t="s">
        <v>101</v>
      </c>
      <c r="F2210" s="41" t="s">
        <v>101</v>
      </c>
      <c r="G2210" s="21" t="str">
        <f>VLOOKUP(D2210,[6]成飞半成品!$A:$B,2,0)</f>
        <v>前梁一段</v>
      </c>
      <c r="H2210" s="10" t="s">
        <v>300</v>
      </c>
      <c r="I2210" s="10">
        <v>25</v>
      </c>
      <c r="J2210" s="10" t="s">
        <v>2163</v>
      </c>
      <c r="K2210" s="10">
        <v>0.2</v>
      </c>
      <c r="L2210" s="10">
        <v>0.2</v>
      </c>
      <c r="M2210" s="14">
        <v>32</v>
      </c>
      <c r="N2210" s="14">
        <v>32</v>
      </c>
      <c r="O2210" s="55" t="s">
        <v>247</v>
      </c>
      <c r="Q2210" s="10">
        <v>4800</v>
      </c>
      <c r="R2210" s="10">
        <v>180</v>
      </c>
      <c r="U2210" s="10">
        <v>180</v>
      </c>
      <c r="W2210" s="14"/>
      <c r="Y2210" s="79">
        <v>16</v>
      </c>
      <c r="Z2210" s="56" t="s">
        <v>36</v>
      </c>
    </row>
    <row r="2211" spans="1:27" ht="23.1" customHeight="1" x14ac:dyDescent="0.25">
      <c r="A2211" s="53" t="s">
        <v>1432</v>
      </c>
      <c r="B2211" s="10" t="s">
        <v>110</v>
      </c>
      <c r="C2211" s="10">
        <v>118</v>
      </c>
      <c r="D2211" s="10" t="s">
        <v>1171</v>
      </c>
      <c r="E2211" s="41" t="s">
        <v>1172</v>
      </c>
      <c r="F2211" s="41" t="s">
        <v>1172</v>
      </c>
      <c r="G2211" s="21" t="str">
        <f>VLOOKUP(D2211,[6]成飞半成品!$A:$B,2,0)</f>
        <v>后梁</v>
      </c>
      <c r="H2211" s="10" t="s">
        <v>300</v>
      </c>
      <c r="I2211" s="10">
        <v>25</v>
      </c>
      <c r="J2211" s="10" t="s">
        <v>2175</v>
      </c>
      <c r="L2211" s="10">
        <v>2</v>
      </c>
      <c r="M2211" s="14">
        <v>32</v>
      </c>
      <c r="N2211" s="14">
        <v>32</v>
      </c>
      <c r="O2211" s="55" t="s">
        <v>1599</v>
      </c>
      <c r="Q2211" s="10">
        <v>240</v>
      </c>
      <c r="R2211" s="10">
        <v>60</v>
      </c>
      <c r="T2211" s="10">
        <v>1</v>
      </c>
      <c r="U2211" s="10">
        <v>60</v>
      </c>
      <c r="W2211" s="14">
        <v>1</v>
      </c>
      <c r="Y2211" s="79">
        <v>10</v>
      </c>
      <c r="Z2211" s="56" t="s">
        <v>36</v>
      </c>
    </row>
    <row r="2212" spans="1:27" ht="23.1" customHeight="1" x14ac:dyDescent="0.25">
      <c r="A2212" s="53" t="s">
        <v>1432</v>
      </c>
      <c r="B2212" s="10" t="s">
        <v>110</v>
      </c>
      <c r="C2212" s="10">
        <v>100</v>
      </c>
      <c r="D2212" s="10" t="s">
        <v>298</v>
      </c>
      <c r="E2212" s="41" t="s">
        <v>299</v>
      </c>
      <c r="F2212" s="41" t="s">
        <v>299</v>
      </c>
      <c r="G2212" s="21" t="str">
        <f>VLOOKUP(D2212,[6]成飞半成品!$A:$B,2,0)</f>
        <v>8635右隔框</v>
      </c>
      <c r="H2212" s="10" t="s">
        <v>300</v>
      </c>
      <c r="I2212" s="10">
        <v>25</v>
      </c>
      <c r="J2212" s="10" t="s">
        <v>2140</v>
      </c>
      <c r="K2212" s="10">
        <v>1</v>
      </c>
      <c r="L2212" s="10">
        <v>1.2</v>
      </c>
      <c r="M2212" s="14">
        <v>32</v>
      </c>
      <c r="N2212" s="14">
        <v>32</v>
      </c>
      <c r="O2212" s="55" t="s">
        <v>1600</v>
      </c>
      <c r="Q2212" s="10">
        <v>660</v>
      </c>
      <c r="R2212" s="10">
        <v>60</v>
      </c>
      <c r="T2212" s="10">
        <v>1</v>
      </c>
      <c r="U2212" s="10">
        <v>180</v>
      </c>
      <c r="W2212" s="14"/>
      <c r="Y2212" s="79">
        <v>14.2</v>
      </c>
      <c r="Z2212" s="56" t="s">
        <v>36</v>
      </c>
    </row>
    <row r="2213" spans="1:27" ht="23.1" customHeight="1" x14ac:dyDescent="0.25">
      <c r="A2213" s="53" t="s">
        <v>1432</v>
      </c>
      <c r="B2213" s="10" t="s">
        <v>110</v>
      </c>
      <c r="C2213" s="10">
        <v>83</v>
      </c>
      <c r="D2213" s="10" t="s">
        <v>1095</v>
      </c>
      <c r="E2213" s="41" t="s">
        <v>1096</v>
      </c>
      <c r="F2213" s="41" t="s">
        <v>1096</v>
      </c>
      <c r="G2213" s="21" t="str">
        <f>VLOOKUP(D2213,[6]成飞半成品!$A:$B,2,0)</f>
        <v>1150肋根肋</v>
      </c>
      <c r="H2213" s="10" t="s">
        <v>658</v>
      </c>
      <c r="I2213" s="10">
        <v>30</v>
      </c>
      <c r="J2213" s="10" t="s">
        <v>2131</v>
      </c>
      <c r="K2213" s="10">
        <v>1.3</v>
      </c>
      <c r="L2213" s="10">
        <v>1.6</v>
      </c>
      <c r="M2213" s="14">
        <v>32</v>
      </c>
      <c r="N2213" s="14">
        <v>32</v>
      </c>
      <c r="O2213" s="55" t="s">
        <v>412</v>
      </c>
      <c r="Q2213" s="10">
        <v>570</v>
      </c>
      <c r="R2213" s="10">
        <v>60</v>
      </c>
      <c r="T2213" s="10">
        <v>2</v>
      </c>
      <c r="U2213" s="10">
        <v>120</v>
      </c>
      <c r="W2213" s="14"/>
      <c r="Y2213" s="79">
        <v>17.2</v>
      </c>
      <c r="Z2213" s="56" t="s">
        <v>36</v>
      </c>
    </row>
    <row r="2214" spans="1:27" ht="23.1" customHeight="1" x14ac:dyDescent="0.25">
      <c r="A2214" s="53" t="s">
        <v>1432</v>
      </c>
      <c r="B2214" s="10" t="s">
        <v>110</v>
      </c>
      <c r="C2214" s="10">
        <v>82</v>
      </c>
      <c r="D2214" s="10" t="s">
        <v>1074</v>
      </c>
      <c r="E2214" s="41" t="s">
        <v>1075</v>
      </c>
      <c r="F2214" s="41" t="s">
        <v>1075</v>
      </c>
      <c r="G2214" s="21" t="str">
        <f>VLOOKUP(D2214,[6]成飞半成品!$A:$B,2,0)</f>
        <v>油箱底板（中）</v>
      </c>
      <c r="H2214" s="10" t="s">
        <v>154</v>
      </c>
      <c r="I2214" s="10">
        <v>45</v>
      </c>
      <c r="J2214" s="10" t="s">
        <v>2125</v>
      </c>
      <c r="K2214" s="10">
        <v>1.3</v>
      </c>
      <c r="L2214" s="10">
        <v>1.2</v>
      </c>
      <c r="M2214" s="14">
        <v>32</v>
      </c>
      <c r="N2214" s="14">
        <v>32</v>
      </c>
      <c r="O2214" s="55" t="s">
        <v>1118</v>
      </c>
      <c r="Q2214" s="10">
        <v>600</v>
      </c>
      <c r="U2214" s="10">
        <v>120</v>
      </c>
      <c r="W2214" s="14"/>
      <c r="Y2214" s="79">
        <v>12</v>
      </c>
      <c r="Z2214" s="56" t="s">
        <v>36</v>
      </c>
    </row>
    <row r="2215" spans="1:27" ht="23.1" customHeight="1" x14ac:dyDescent="0.25">
      <c r="A2215" s="53" t="s">
        <v>1432</v>
      </c>
      <c r="B2215" s="10" t="s">
        <v>113</v>
      </c>
      <c r="C2215" s="10">
        <v>99</v>
      </c>
      <c r="D2215" s="10" t="s">
        <v>1191</v>
      </c>
      <c r="E2215" s="41" t="s">
        <v>1192</v>
      </c>
      <c r="F2215" s="41" t="s">
        <v>1192</v>
      </c>
      <c r="G2215" s="21" t="str">
        <f>VLOOKUP(D2215,[6]成飞半成品!$A:$B,2,0)</f>
        <v>后顶板</v>
      </c>
      <c r="H2215" s="10" t="s">
        <v>300</v>
      </c>
      <c r="I2215" s="10">
        <v>30</v>
      </c>
      <c r="J2215" s="10" t="s">
        <v>2186</v>
      </c>
      <c r="K2215" s="10">
        <v>0.6</v>
      </c>
      <c r="L2215" s="10">
        <v>0.9</v>
      </c>
      <c r="M2215" s="14">
        <v>25</v>
      </c>
      <c r="N2215" s="14">
        <v>25</v>
      </c>
      <c r="O2215" s="55" t="s">
        <v>219</v>
      </c>
      <c r="Q2215" s="10">
        <v>1080</v>
      </c>
      <c r="R2215" s="10">
        <v>120</v>
      </c>
      <c r="U2215" s="10">
        <v>120</v>
      </c>
      <c r="W2215" s="14"/>
      <c r="Y2215" s="79">
        <v>16.2</v>
      </c>
      <c r="Z2215" s="56" t="s">
        <v>21</v>
      </c>
    </row>
    <row r="2216" spans="1:27" ht="23.1" customHeight="1" x14ac:dyDescent="0.25">
      <c r="A2216" s="53" t="s">
        <v>1432</v>
      </c>
      <c r="B2216" s="10" t="s">
        <v>113</v>
      </c>
      <c r="C2216" s="10">
        <v>97</v>
      </c>
      <c r="D2216" s="10" t="s">
        <v>1239</v>
      </c>
      <c r="E2216" s="41" t="s">
        <v>1065</v>
      </c>
      <c r="F2216" s="41" t="s">
        <v>1065</v>
      </c>
      <c r="G2216" s="21" t="str">
        <f>VLOOKUP(D2216,[6]成飞半成品!$A:$B,2,0)</f>
        <v>根肋三段</v>
      </c>
      <c r="H2216" s="10" t="s">
        <v>250</v>
      </c>
      <c r="I2216" s="10">
        <v>60</v>
      </c>
      <c r="J2216" s="10" t="s">
        <v>2156</v>
      </c>
      <c r="K2216" s="10">
        <v>1</v>
      </c>
      <c r="L2216" s="10">
        <v>1</v>
      </c>
      <c r="M2216" s="14">
        <v>25</v>
      </c>
      <c r="N2216" s="14">
        <v>25</v>
      </c>
      <c r="O2216" s="55" t="s">
        <v>429</v>
      </c>
      <c r="Q2216" s="10">
        <v>570</v>
      </c>
      <c r="R2216" s="10">
        <v>60</v>
      </c>
      <c r="T2216" s="10">
        <v>1</v>
      </c>
      <c r="U2216" s="10">
        <v>60</v>
      </c>
      <c r="W2216" s="14"/>
      <c r="Y2216" s="79">
        <v>10.5</v>
      </c>
      <c r="Z2216" s="56" t="s">
        <v>1</v>
      </c>
    </row>
    <row r="2217" spans="1:27" ht="23.1" customHeight="1" x14ac:dyDescent="0.25">
      <c r="A2217" s="53" t="s">
        <v>1432</v>
      </c>
      <c r="B2217" s="10" t="s">
        <v>113</v>
      </c>
      <c r="C2217" s="10">
        <v>105</v>
      </c>
      <c r="D2217" s="10" t="s">
        <v>1176</v>
      </c>
      <c r="E2217" s="41" t="s">
        <v>1098</v>
      </c>
      <c r="F2217" s="41" t="s">
        <v>1098</v>
      </c>
      <c r="G2217" s="21" t="str">
        <f>VLOOKUP(D2217,[6]成飞半成品!$A:$B,2,0)</f>
        <v>根肋一段</v>
      </c>
      <c r="H2217" s="10" t="s">
        <v>250</v>
      </c>
      <c r="I2217" s="10">
        <v>50</v>
      </c>
      <c r="J2217" s="10" t="s">
        <v>2185</v>
      </c>
      <c r="K2217" s="10">
        <v>0.4</v>
      </c>
      <c r="L2217" s="10">
        <v>0.7</v>
      </c>
      <c r="M2217" s="14">
        <v>25</v>
      </c>
      <c r="N2217" s="14">
        <v>25</v>
      </c>
      <c r="O2217" s="55" t="s">
        <v>429</v>
      </c>
      <c r="Q2217" s="10">
        <v>1080</v>
      </c>
      <c r="R2217" s="10">
        <v>60</v>
      </c>
      <c r="T2217" s="10">
        <v>1</v>
      </c>
      <c r="U2217" s="10">
        <v>120</v>
      </c>
      <c r="W2217" s="14">
        <v>1</v>
      </c>
      <c r="Y2217" s="79">
        <v>15.6</v>
      </c>
      <c r="Z2217" s="56" t="s">
        <v>28</v>
      </c>
    </row>
    <row r="2218" spans="1:27" ht="23.1" customHeight="1" x14ac:dyDescent="0.25">
      <c r="A2218" s="53" t="s">
        <v>1432</v>
      </c>
      <c r="B2218" s="10" t="s">
        <v>113</v>
      </c>
      <c r="C2218" s="10">
        <v>82</v>
      </c>
      <c r="D2218" s="10" t="s">
        <v>1074</v>
      </c>
      <c r="E2218" s="41" t="s">
        <v>1075</v>
      </c>
      <c r="F2218" s="41" t="s">
        <v>1075</v>
      </c>
      <c r="G2218" s="21" t="str">
        <f>VLOOKUP(D2218,[6]成飞半成品!$A:$B,2,0)</f>
        <v>油箱底板（中）</v>
      </c>
      <c r="H2218" s="10" t="s">
        <v>154</v>
      </c>
      <c r="I2218" s="10">
        <v>45</v>
      </c>
      <c r="J2218" s="10" t="s">
        <v>2125</v>
      </c>
      <c r="K2218" s="10">
        <v>1</v>
      </c>
      <c r="L2218" s="10">
        <v>1.4</v>
      </c>
      <c r="M2218" s="14">
        <v>25</v>
      </c>
      <c r="N2218" s="14">
        <v>25</v>
      </c>
      <c r="O2218" s="55" t="s">
        <v>1119</v>
      </c>
      <c r="Q2218" s="10">
        <v>600</v>
      </c>
      <c r="T2218" s="10">
        <v>2</v>
      </c>
      <c r="U2218" s="10">
        <v>120</v>
      </c>
      <c r="W2218" s="14"/>
      <c r="Y2218" s="79">
        <v>14</v>
      </c>
      <c r="Z2218" s="56" t="s">
        <v>56</v>
      </c>
    </row>
    <row r="2219" spans="1:27" ht="23.1" customHeight="1" x14ac:dyDescent="0.25">
      <c r="A2219" s="53" t="s">
        <v>1432</v>
      </c>
      <c r="B2219" s="10" t="s">
        <v>113</v>
      </c>
      <c r="C2219" s="10">
        <v>103</v>
      </c>
      <c r="D2219" s="10" t="s">
        <v>1601</v>
      </c>
      <c r="E2219" s="41" t="s">
        <v>1602</v>
      </c>
      <c r="F2219" s="41" t="s">
        <v>1602</v>
      </c>
      <c r="G2219" s="21" t="str">
        <f>VLOOKUP(D2219,[6]成飞半成品!$A:$B,2,0)</f>
        <v>FR15右侧框缘</v>
      </c>
      <c r="H2219" s="10" t="s">
        <v>102</v>
      </c>
      <c r="I2219" s="10">
        <v>5</v>
      </c>
      <c r="J2219" s="10" t="s">
        <v>2060</v>
      </c>
      <c r="K2219" s="10">
        <v>1</v>
      </c>
      <c r="L2219" s="10">
        <v>1</v>
      </c>
      <c r="M2219" s="14">
        <v>25</v>
      </c>
      <c r="N2219" s="14">
        <v>25</v>
      </c>
      <c r="O2219" s="55" t="s">
        <v>596</v>
      </c>
      <c r="Q2219" s="10">
        <v>240</v>
      </c>
      <c r="R2219" s="10">
        <v>90</v>
      </c>
      <c r="T2219" s="10">
        <v>1</v>
      </c>
      <c r="U2219" s="10">
        <v>90</v>
      </c>
      <c r="W2219" s="14">
        <v>1</v>
      </c>
      <c r="X2219" s="10">
        <v>3</v>
      </c>
      <c r="Y2219" s="79">
        <v>10</v>
      </c>
      <c r="Z2219" s="56" t="s">
        <v>62</v>
      </c>
      <c r="AA2219" s="14" t="s">
        <v>1603</v>
      </c>
    </row>
    <row r="2220" spans="1:27" ht="23.1" customHeight="1" x14ac:dyDescent="0.25">
      <c r="A2220" s="53" t="s">
        <v>1432</v>
      </c>
      <c r="B2220" s="10" t="s">
        <v>113</v>
      </c>
      <c r="C2220" s="10">
        <v>103</v>
      </c>
      <c r="D2220" s="10" t="s">
        <v>1601</v>
      </c>
      <c r="E2220" s="41" t="s">
        <v>1602</v>
      </c>
      <c r="F2220" s="41" t="s">
        <v>1602</v>
      </c>
      <c r="G2220" s="21" t="str">
        <f>VLOOKUP(D2220,[6]成飞半成品!$A:$B,2,0)</f>
        <v>FR15右侧框缘</v>
      </c>
      <c r="H2220" s="10" t="s">
        <v>102</v>
      </c>
      <c r="I2220" s="10">
        <v>10</v>
      </c>
      <c r="J2220" s="10" t="s">
        <v>1952</v>
      </c>
      <c r="K2220" s="10">
        <v>1</v>
      </c>
      <c r="L2220" s="10">
        <v>1</v>
      </c>
      <c r="M2220" s="14">
        <v>25</v>
      </c>
      <c r="N2220" s="14">
        <v>25</v>
      </c>
      <c r="O2220" s="55" t="s">
        <v>596</v>
      </c>
      <c r="Q2220" s="10">
        <v>600</v>
      </c>
      <c r="R2220" s="10">
        <v>90</v>
      </c>
      <c r="T2220" s="10">
        <v>1</v>
      </c>
      <c r="U2220" s="10">
        <v>90</v>
      </c>
      <c r="W2220" s="14">
        <v>1</v>
      </c>
      <c r="Y2220" s="79">
        <v>13</v>
      </c>
      <c r="Z2220" s="56" t="s">
        <v>62</v>
      </c>
    </row>
    <row r="2221" spans="1:27" ht="23.1" customHeight="1" x14ac:dyDescent="0.25">
      <c r="A2221" s="53" t="s">
        <v>1432</v>
      </c>
      <c r="B2221" s="10" t="s">
        <v>113</v>
      </c>
      <c r="C2221" s="10">
        <v>19</v>
      </c>
      <c r="D2221" s="10" t="s">
        <v>1604</v>
      </c>
      <c r="E2221" s="41" t="s">
        <v>1605</v>
      </c>
      <c r="F2221" s="41" t="s">
        <v>1605</v>
      </c>
      <c r="G2221" s="21" t="str">
        <f>VLOOKUP(D2221,[6]成飞半成品!$A:$B,2,0)</f>
        <v>4号上壁板（右件）</v>
      </c>
      <c r="H2221" s="10" t="s">
        <v>300</v>
      </c>
      <c r="I2221" s="10">
        <v>5</v>
      </c>
      <c r="J2221" s="10" t="s">
        <v>1930</v>
      </c>
      <c r="K2221" s="10">
        <v>3</v>
      </c>
      <c r="L2221" s="10">
        <v>1.5</v>
      </c>
      <c r="M2221" s="14">
        <v>25</v>
      </c>
      <c r="N2221" s="14">
        <v>25</v>
      </c>
      <c r="O2221" s="55" t="s">
        <v>1606</v>
      </c>
      <c r="Q2221" s="10">
        <v>240</v>
      </c>
      <c r="R2221" s="10">
        <v>60</v>
      </c>
      <c r="T2221" s="10">
        <v>1</v>
      </c>
      <c r="U2221" s="10">
        <v>120</v>
      </c>
      <c r="W2221" s="14"/>
      <c r="Y2221" s="79">
        <v>7</v>
      </c>
      <c r="Z2221" s="56" t="s">
        <v>11</v>
      </c>
    </row>
    <row r="2222" spans="1:27" ht="23.1" customHeight="1" x14ac:dyDescent="0.25">
      <c r="A2222" s="53" t="s">
        <v>1432</v>
      </c>
      <c r="B2222" s="10" t="s">
        <v>113</v>
      </c>
      <c r="C2222" s="10">
        <v>19</v>
      </c>
      <c r="D2222" s="10" t="s">
        <v>1607</v>
      </c>
      <c r="E2222" s="41" t="s">
        <v>1608</v>
      </c>
      <c r="F2222" s="41" t="s">
        <v>1608</v>
      </c>
      <c r="G2222" s="21" t="str">
        <f>VLOOKUP(D2222,[6]成飞半成品!$A:$B,2,0)</f>
        <v>4号上壁板（左件）</v>
      </c>
      <c r="H2222" s="10" t="s">
        <v>300</v>
      </c>
      <c r="I2222" s="10">
        <v>5</v>
      </c>
      <c r="J2222" s="10" t="s">
        <v>1930</v>
      </c>
      <c r="L2222" s="10">
        <v>1</v>
      </c>
      <c r="M2222" s="14">
        <v>25</v>
      </c>
      <c r="N2222" s="14">
        <v>25</v>
      </c>
      <c r="O2222" s="55" t="s">
        <v>1597</v>
      </c>
      <c r="Q2222" s="10">
        <v>240</v>
      </c>
      <c r="R2222" s="10">
        <v>60</v>
      </c>
      <c r="T2222" s="10">
        <v>1</v>
      </c>
      <c r="U2222" s="10">
        <v>120</v>
      </c>
      <c r="W2222" s="14"/>
      <c r="Y2222" s="79">
        <v>5</v>
      </c>
      <c r="Z2222" s="56" t="s">
        <v>11</v>
      </c>
    </row>
    <row r="2223" spans="1:27" ht="23.1" customHeight="1" x14ac:dyDescent="0.25">
      <c r="A2223" s="53" t="s">
        <v>1432</v>
      </c>
      <c r="B2223" s="10" t="s">
        <v>113</v>
      </c>
      <c r="C2223" s="10">
        <v>83</v>
      </c>
      <c r="D2223" s="10" t="s">
        <v>1095</v>
      </c>
      <c r="E2223" s="41" t="s">
        <v>1096</v>
      </c>
      <c r="F2223" s="41" t="s">
        <v>1096</v>
      </c>
      <c r="G2223" s="21" t="str">
        <f>VLOOKUP(D2223,[6]成飞半成品!$A:$B,2,0)</f>
        <v>1150肋根肋</v>
      </c>
      <c r="H2223" s="10" t="s">
        <v>658</v>
      </c>
      <c r="I2223" s="10">
        <v>30</v>
      </c>
      <c r="J2223" s="10" t="s">
        <v>2131</v>
      </c>
      <c r="K2223" s="10">
        <v>1.5</v>
      </c>
      <c r="L2223" s="10">
        <v>1.6</v>
      </c>
      <c r="M2223" s="14">
        <v>25</v>
      </c>
      <c r="N2223" s="14">
        <v>25</v>
      </c>
      <c r="O2223" s="55" t="s">
        <v>412</v>
      </c>
      <c r="Q2223" s="10">
        <v>570</v>
      </c>
      <c r="R2223" s="10">
        <v>60</v>
      </c>
      <c r="T2223" s="10">
        <v>1</v>
      </c>
      <c r="U2223" s="10">
        <v>120</v>
      </c>
      <c r="W2223" s="14"/>
      <c r="Y2223" s="79">
        <v>16.2</v>
      </c>
      <c r="Z2223" s="56" t="s">
        <v>65</v>
      </c>
    </row>
    <row r="2224" spans="1:27" ht="23.1" customHeight="1" x14ac:dyDescent="0.25">
      <c r="A2224" s="53" t="s">
        <v>1432</v>
      </c>
      <c r="B2224" s="10" t="s">
        <v>113</v>
      </c>
      <c r="C2224" s="10">
        <v>44</v>
      </c>
      <c r="D2224" s="10" t="s">
        <v>495</v>
      </c>
      <c r="E2224" s="41" t="s">
        <v>267</v>
      </c>
      <c r="F2224" s="41" t="s">
        <v>267</v>
      </c>
      <c r="G2224" s="21" t="str">
        <f>VLOOKUP(D2224,[6]成飞半成品!$A:$B,2,0)</f>
        <v>后端框</v>
      </c>
      <c r="H2224" s="10" t="s">
        <v>118</v>
      </c>
      <c r="I2224" s="10">
        <v>55</v>
      </c>
      <c r="J2224" s="10" t="s">
        <v>2166</v>
      </c>
      <c r="K2224" s="10">
        <v>0.5</v>
      </c>
      <c r="L2224" s="10">
        <v>0.5</v>
      </c>
      <c r="M2224" s="14">
        <v>25</v>
      </c>
      <c r="N2224" s="14">
        <v>25</v>
      </c>
      <c r="O2224" s="55" t="s">
        <v>429</v>
      </c>
      <c r="Q2224" s="10">
        <v>1260</v>
      </c>
      <c r="R2224" s="10">
        <v>90</v>
      </c>
      <c r="U2224" s="10">
        <v>60</v>
      </c>
      <c r="W2224" s="14"/>
      <c r="X2224" s="14">
        <v>3</v>
      </c>
      <c r="Y2224" s="79">
        <v>13.5</v>
      </c>
      <c r="Z2224" s="56" t="s">
        <v>65</v>
      </c>
      <c r="AA2224" s="14" t="s">
        <v>1603</v>
      </c>
    </row>
    <row r="2225" spans="1:27" ht="23.1" customHeight="1" x14ac:dyDescent="0.25">
      <c r="A2225" s="53" t="s">
        <v>1432</v>
      </c>
      <c r="B2225" s="10" t="s">
        <v>113</v>
      </c>
      <c r="C2225" s="10">
        <v>100</v>
      </c>
      <c r="D2225" s="10" t="s">
        <v>298</v>
      </c>
      <c r="E2225" s="41" t="s">
        <v>299</v>
      </c>
      <c r="F2225" s="41" t="s">
        <v>299</v>
      </c>
      <c r="G2225" s="21" t="str">
        <f>VLOOKUP(D2225,[6]成飞半成品!$A:$B,2,0)</f>
        <v>8635右隔框</v>
      </c>
      <c r="H2225" s="10" t="s">
        <v>300</v>
      </c>
      <c r="I2225" s="10">
        <v>25</v>
      </c>
      <c r="J2225" s="10" t="s">
        <v>2140</v>
      </c>
      <c r="K2225" s="10">
        <v>1</v>
      </c>
      <c r="L2225" s="10">
        <v>1</v>
      </c>
      <c r="M2225" s="14">
        <v>25</v>
      </c>
      <c r="N2225" s="14">
        <v>25</v>
      </c>
      <c r="O2225" s="55" t="s">
        <v>199</v>
      </c>
      <c r="Q2225" s="10">
        <v>660</v>
      </c>
      <c r="R2225" s="10">
        <v>60</v>
      </c>
      <c r="T2225" s="10">
        <v>1</v>
      </c>
      <c r="U2225" s="10">
        <v>180</v>
      </c>
      <c r="W2225" s="14"/>
      <c r="Y2225" s="79">
        <v>12</v>
      </c>
      <c r="Z2225" s="56" t="s">
        <v>65</v>
      </c>
    </row>
    <row r="2226" spans="1:27" ht="23.1" customHeight="1" x14ac:dyDescent="0.25">
      <c r="A2226" s="53" t="s">
        <v>1432</v>
      </c>
      <c r="B2226" s="10" t="s">
        <v>113</v>
      </c>
      <c r="C2226" s="10">
        <v>102</v>
      </c>
      <c r="D2226" s="10" t="s">
        <v>1097</v>
      </c>
      <c r="E2226" s="41" t="s">
        <v>1098</v>
      </c>
      <c r="F2226" s="41" t="s">
        <v>1098</v>
      </c>
      <c r="G2226" s="21" t="str">
        <f>VLOOKUP(D2226,[6]成飞半成品!$A:$B,2,0)</f>
        <v>根肋一段</v>
      </c>
      <c r="H2226" s="10" t="s">
        <v>250</v>
      </c>
      <c r="I2226" s="10">
        <v>50</v>
      </c>
      <c r="J2226" s="10" t="s">
        <v>2185</v>
      </c>
      <c r="K2226" s="10">
        <v>0.5</v>
      </c>
      <c r="L2226" s="10">
        <v>0.5</v>
      </c>
      <c r="M2226" s="14">
        <v>25</v>
      </c>
      <c r="N2226" s="14">
        <v>25</v>
      </c>
      <c r="O2226" s="55" t="s">
        <v>292</v>
      </c>
      <c r="Q2226" s="10">
        <v>1080</v>
      </c>
      <c r="R2226" s="10">
        <v>60</v>
      </c>
      <c r="U2226" s="10">
        <v>120</v>
      </c>
      <c r="W2226" s="14"/>
      <c r="Y2226" s="79">
        <v>9</v>
      </c>
      <c r="Z2226" s="56" t="s">
        <v>65</v>
      </c>
    </row>
    <row r="2227" spans="1:27" ht="23.1" customHeight="1" x14ac:dyDescent="0.25">
      <c r="A2227" s="53" t="s">
        <v>1432</v>
      </c>
      <c r="B2227" s="10" t="s">
        <v>113</v>
      </c>
      <c r="C2227" s="10">
        <v>102</v>
      </c>
      <c r="D2227" s="10" t="s">
        <v>1067</v>
      </c>
      <c r="E2227" s="41" t="s">
        <v>1068</v>
      </c>
      <c r="F2227" s="41" t="s">
        <v>1068</v>
      </c>
      <c r="G2227" s="21" t="str">
        <f>VLOOKUP(D2227,[6]成飞半成品!$A:$B,2,0)</f>
        <v>11900梁一段（右件）</v>
      </c>
      <c r="H2227" s="10" t="s">
        <v>323</v>
      </c>
      <c r="I2227" s="10">
        <v>65</v>
      </c>
      <c r="J2227" s="10" t="s">
        <v>2282</v>
      </c>
      <c r="K2227" s="10">
        <v>4</v>
      </c>
      <c r="L2227" s="10">
        <v>4</v>
      </c>
      <c r="M2227" s="14">
        <v>25</v>
      </c>
      <c r="N2227" s="14">
        <v>25</v>
      </c>
      <c r="O2227" s="55" t="s">
        <v>1609</v>
      </c>
      <c r="Q2227" s="10">
        <v>30</v>
      </c>
      <c r="R2227" s="10">
        <v>60</v>
      </c>
      <c r="T2227" s="10">
        <v>4</v>
      </c>
      <c r="U2227" s="10">
        <v>90</v>
      </c>
      <c r="W2227" s="14">
        <v>1</v>
      </c>
      <c r="X2227" s="10">
        <v>2</v>
      </c>
      <c r="Y2227" s="79">
        <v>9.5</v>
      </c>
      <c r="Z2227" s="56" t="s">
        <v>65</v>
      </c>
      <c r="AA2227" s="14" t="s">
        <v>1548</v>
      </c>
    </row>
    <row r="2228" spans="1:27" ht="23.1" customHeight="1" x14ac:dyDescent="0.25">
      <c r="A2228" s="53" t="s">
        <v>1432</v>
      </c>
      <c r="B2228" s="10" t="s">
        <v>113</v>
      </c>
      <c r="C2228" s="10">
        <v>98</v>
      </c>
      <c r="D2228" s="10" t="s">
        <v>404</v>
      </c>
      <c r="E2228" s="41" t="s">
        <v>405</v>
      </c>
      <c r="F2228" s="41" t="s">
        <v>405</v>
      </c>
      <c r="G2228" s="21" t="str">
        <f>VLOOKUP(D2228,[6]成飞半成品!$A:$B,2,0)</f>
        <v>11140框右下半框</v>
      </c>
      <c r="H2228" s="10" t="s">
        <v>118</v>
      </c>
      <c r="I2228" s="10">
        <v>15</v>
      </c>
      <c r="J2228" s="10" t="s">
        <v>2144</v>
      </c>
      <c r="K2228" s="10">
        <v>0.8</v>
      </c>
      <c r="L2228" s="10">
        <v>1</v>
      </c>
      <c r="M2228" s="14">
        <v>25</v>
      </c>
      <c r="N2228" s="14">
        <v>25</v>
      </c>
      <c r="O2228" s="55" t="s">
        <v>842</v>
      </c>
      <c r="Q2228" s="10">
        <v>720</v>
      </c>
      <c r="R2228" s="10">
        <v>60</v>
      </c>
      <c r="T2228" s="10">
        <v>1</v>
      </c>
      <c r="U2228" s="10">
        <v>120</v>
      </c>
      <c r="W2228" s="14">
        <v>1</v>
      </c>
      <c r="Y2228" s="79">
        <v>15</v>
      </c>
      <c r="Z2228" s="56" t="s">
        <v>65</v>
      </c>
    </row>
    <row r="2229" spans="1:27" ht="23.1" customHeight="1" x14ac:dyDescent="0.25">
      <c r="A2229" s="53" t="s">
        <v>1432</v>
      </c>
      <c r="B2229" s="10" t="s">
        <v>113</v>
      </c>
      <c r="C2229" s="10">
        <v>101</v>
      </c>
      <c r="D2229" s="10" t="s">
        <v>1099</v>
      </c>
      <c r="E2229" s="41" t="s">
        <v>760</v>
      </c>
      <c r="F2229" s="41" t="e">
        <v>#N/A</v>
      </c>
      <c r="G2229" s="21" t="e">
        <f>VLOOKUP(D2229,[6]成飞半成品!$A:$B,2,0)</f>
        <v>#N/A</v>
      </c>
      <c r="H2229" s="10" t="s">
        <v>300</v>
      </c>
      <c r="I2229" s="10">
        <v>25</v>
      </c>
      <c r="J2229" s="10" t="s">
        <v>2154</v>
      </c>
      <c r="K2229" s="10">
        <v>0.7</v>
      </c>
      <c r="L2229" s="10">
        <v>1</v>
      </c>
      <c r="M2229" s="14">
        <v>25</v>
      </c>
      <c r="N2229" s="14">
        <v>25</v>
      </c>
      <c r="O2229" s="55" t="s">
        <v>1115</v>
      </c>
      <c r="Q2229" s="10">
        <v>900</v>
      </c>
      <c r="R2229" s="10">
        <v>60</v>
      </c>
      <c r="T2229" s="10">
        <v>1</v>
      </c>
      <c r="U2229" s="10">
        <v>180</v>
      </c>
      <c r="W2229" s="14"/>
      <c r="Y2229" s="79">
        <v>16</v>
      </c>
      <c r="Z2229" s="56" t="s">
        <v>65</v>
      </c>
    </row>
    <row r="2230" spans="1:27" ht="23.1" customHeight="1" x14ac:dyDescent="0.25">
      <c r="A2230" s="53" t="s">
        <v>1432</v>
      </c>
      <c r="B2230" s="10" t="s">
        <v>113</v>
      </c>
      <c r="C2230" s="10">
        <v>104</v>
      </c>
      <c r="D2230" s="10" t="s">
        <v>1583</v>
      </c>
      <c r="E2230" s="41" t="s">
        <v>1283</v>
      </c>
      <c r="F2230" s="41" t="s">
        <v>1283</v>
      </c>
      <c r="G2230" s="21" t="str">
        <f>VLOOKUP(D2230,[6]成飞半成品!$A:$B,2,0)</f>
        <v>9框前支柱</v>
      </c>
      <c r="H2230" s="10" t="s">
        <v>102</v>
      </c>
      <c r="I2230" s="10">
        <v>15</v>
      </c>
      <c r="J2230" s="10" t="s">
        <v>2501</v>
      </c>
      <c r="L2230" s="10">
        <v>1</v>
      </c>
      <c r="M2230" s="14">
        <v>25</v>
      </c>
      <c r="N2230" s="14">
        <v>25</v>
      </c>
      <c r="O2230" s="55" t="s">
        <v>596</v>
      </c>
      <c r="Q2230" s="10">
        <v>210</v>
      </c>
      <c r="R2230" s="10">
        <v>60</v>
      </c>
      <c r="T2230" s="10">
        <v>1</v>
      </c>
      <c r="U2230" s="10">
        <v>60</v>
      </c>
      <c r="W2230" s="14">
        <v>1</v>
      </c>
      <c r="Y2230" s="79">
        <v>5.5</v>
      </c>
      <c r="Z2230" s="56" t="s">
        <v>65</v>
      </c>
    </row>
    <row r="2231" spans="1:27" ht="23.1" customHeight="1" x14ac:dyDescent="0.25">
      <c r="A2231" s="53" t="s">
        <v>1432</v>
      </c>
      <c r="B2231" s="10" t="s">
        <v>113</v>
      </c>
      <c r="C2231" s="10">
        <v>104</v>
      </c>
      <c r="D2231" s="10" t="s">
        <v>1583</v>
      </c>
      <c r="E2231" s="41" t="s">
        <v>1283</v>
      </c>
      <c r="F2231" s="41" t="s">
        <v>1283</v>
      </c>
      <c r="G2231" s="21" t="str">
        <f>VLOOKUP(D2231,[6]成飞半成品!$A:$B,2,0)</f>
        <v>9框前支柱</v>
      </c>
      <c r="H2231" s="10" t="s">
        <v>102</v>
      </c>
      <c r="I2231" s="10">
        <v>20</v>
      </c>
      <c r="J2231" s="10" t="s">
        <v>2234</v>
      </c>
      <c r="L2231" s="10">
        <v>0.4</v>
      </c>
      <c r="M2231" s="14">
        <v>25</v>
      </c>
      <c r="N2231" s="14">
        <v>25</v>
      </c>
      <c r="O2231" s="55" t="s">
        <v>596</v>
      </c>
      <c r="Q2231" s="10">
        <v>330</v>
      </c>
      <c r="R2231" s="10">
        <v>60</v>
      </c>
      <c r="T2231" s="10">
        <v>1</v>
      </c>
      <c r="U2231" s="10">
        <v>90</v>
      </c>
      <c r="W2231" s="14">
        <v>1</v>
      </c>
      <c r="Y2231" s="79">
        <v>4.7</v>
      </c>
      <c r="Z2231" s="56" t="s">
        <v>65</v>
      </c>
    </row>
    <row r="2232" spans="1:27" ht="23.1" customHeight="1" x14ac:dyDescent="0.25">
      <c r="A2232" s="53" t="s">
        <v>1432</v>
      </c>
      <c r="B2232" s="10" t="s">
        <v>113</v>
      </c>
      <c r="C2232" s="10">
        <v>104</v>
      </c>
      <c r="D2232" s="10" t="s">
        <v>1582</v>
      </c>
      <c r="E2232" s="41" t="s">
        <v>1283</v>
      </c>
      <c r="F2232" s="41" t="s">
        <v>1283</v>
      </c>
      <c r="G2232" s="21" t="str">
        <f>VLOOKUP(D2232,[6]成飞半成品!$A:$B,2,0)</f>
        <v>9框前支柱</v>
      </c>
      <c r="H2232" s="10" t="s">
        <v>102</v>
      </c>
      <c r="I2232" s="10">
        <v>15</v>
      </c>
      <c r="J2232" s="10" t="s">
        <v>2043</v>
      </c>
      <c r="K2232" s="10">
        <v>1</v>
      </c>
      <c r="L2232" s="10">
        <v>1</v>
      </c>
      <c r="M2232" s="14">
        <v>25</v>
      </c>
      <c r="N2232" s="14">
        <v>25</v>
      </c>
      <c r="O2232" s="55" t="s">
        <v>596</v>
      </c>
      <c r="Q2232" s="10">
        <v>210</v>
      </c>
      <c r="R2232" s="10">
        <v>60</v>
      </c>
      <c r="T2232" s="10">
        <v>1</v>
      </c>
      <c r="U2232" s="10">
        <v>60</v>
      </c>
      <c r="W2232" s="14">
        <v>1</v>
      </c>
      <c r="Y2232" s="79">
        <v>5.5</v>
      </c>
      <c r="Z2232" s="56" t="s">
        <v>65</v>
      </c>
    </row>
    <row r="2233" spans="1:27" ht="23.1" customHeight="1" x14ac:dyDescent="0.25">
      <c r="A2233" s="53" t="s">
        <v>1489</v>
      </c>
      <c r="B2233" s="10" t="s">
        <v>110</v>
      </c>
      <c r="C2233" s="10">
        <v>19</v>
      </c>
      <c r="D2233" s="10" t="s">
        <v>1607</v>
      </c>
      <c r="E2233" s="41" t="s">
        <v>1608</v>
      </c>
      <c r="F2233" s="41" t="s">
        <v>1608</v>
      </c>
      <c r="G2233" s="21" t="str">
        <f>VLOOKUP(D2233,[6]成飞半成品!$A:$B,2,0)</f>
        <v>4号上壁板（左件）</v>
      </c>
      <c r="H2233" s="10" t="s">
        <v>300</v>
      </c>
      <c r="I2233" s="10">
        <v>5</v>
      </c>
      <c r="J2233" s="10" t="s">
        <v>1930</v>
      </c>
      <c r="K2233" s="10">
        <v>2</v>
      </c>
      <c r="L2233" s="10">
        <v>2.5</v>
      </c>
      <c r="M2233" s="14">
        <v>32</v>
      </c>
      <c r="N2233" s="14">
        <v>32</v>
      </c>
      <c r="O2233" s="55" t="s">
        <v>1610</v>
      </c>
      <c r="Q2233" s="10">
        <v>240</v>
      </c>
      <c r="R2233" s="10">
        <v>60</v>
      </c>
      <c r="T2233" s="10">
        <v>2</v>
      </c>
      <c r="U2233" s="10">
        <v>120</v>
      </c>
      <c r="W2233" s="14"/>
      <c r="Y2233" s="79">
        <v>12</v>
      </c>
      <c r="Z2233" s="56" t="s">
        <v>17</v>
      </c>
    </row>
    <row r="2234" spans="1:27" ht="23.1" customHeight="1" x14ac:dyDescent="0.25">
      <c r="A2234" s="53" t="s">
        <v>1489</v>
      </c>
      <c r="B2234" s="10" t="s">
        <v>110</v>
      </c>
      <c r="C2234" s="10">
        <v>44</v>
      </c>
      <c r="D2234" s="10" t="s">
        <v>495</v>
      </c>
      <c r="E2234" s="41" t="s">
        <v>267</v>
      </c>
      <c r="F2234" s="41" t="s">
        <v>267</v>
      </c>
      <c r="G2234" s="21" t="str">
        <f>VLOOKUP(D2234,[6]成飞半成品!$A:$B,2,0)</f>
        <v>后端框</v>
      </c>
      <c r="H2234" s="10" t="s">
        <v>118</v>
      </c>
      <c r="I2234" s="10">
        <v>5</v>
      </c>
      <c r="J2234" s="10" t="s">
        <v>2299</v>
      </c>
      <c r="K2234" s="10">
        <v>3</v>
      </c>
      <c r="L2234" s="10">
        <v>4</v>
      </c>
      <c r="M2234" s="14">
        <v>32</v>
      </c>
      <c r="N2234" s="14">
        <v>32</v>
      </c>
      <c r="O2234" s="55" t="s">
        <v>221</v>
      </c>
      <c r="Q2234" s="10">
        <v>60</v>
      </c>
      <c r="T2234" s="10">
        <v>4</v>
      </c>
      <c r="U2234" s="10">
        <v>60</v>
      </c>
      <c r="W2234" s="14"/>
      <c r="Y2234" s="79">
        <v>4</v>
      </c>
      <c r="Z2234" s="56" t="s">
        <v>64</v>
      </c>
    </row>
    <row r="2235" spans="1:27" ht="23.1" customHeight="1" x14ac:dyDescent="0.25">
      <c r="A2235" s="53" t="s">
        <v>1489</v>
      </c>
      <c r="B2235" s="10" t="s">
        <v>110</v>
      </c>
      <c r="C2235" s="10">
        <v>97</v>
      </c>
      <c r="D2235" s="10" t="s">
        <v>1239</v>
      </c>
      <c r="E2235" s="41" t="s">
        <v>1065</v>
      </c>
      <c r="F2235" s="41" t="s">
        <v>1065</v>
      </c>
      <c r="G2235" s="21" t="str">
        <f>VLOOKUP(D2235,[6]成飞半成品!$A:$B,2,0)</f>
        <v>根肋三段</v>
      </c>
      <c r="H2235" s="10" t="s">
        <v>250</v>
      </c>
      <c r="I2235" s="10">
        <v>65</v>
      </c>
      <c r="J2235" s="10" t="s">
        <v>2184</v>
      </c>
      <c r="K2235" s="10">
        <v>3</v>
      </c>
      <c r="L2235" s="10">
        <v>3</v>
      </c>
      <c r="M2235" s="14">
        <v>32</v>
      </c>
      <c r="N2235" s="14">
        <v>32</v>
      </c>
      <c r="O2235" s="55" t="s">
        <v>429</v>
      </c>
      <c r="Q2235" s="10">
        <v>60</v>
      </c>
      <c r="R2235" s="10">
        <v>60</v>
      </c>
      <c r="T2235" s="10">
        <v>4</v>
      </c>
      <c r="U2235" s="10">
        <v>60</v>
      </c>
      <c r="W2235" s="14">
        <v>1</v>
      </c>
      <c r="Y2235" s="79">
        <v>8</v>
      </c>
      <c r="Z2235" s="56" t="s">
        <v>39</v>
      </c>
    </row>
    <row r="2236" spans="1:27" ht="23.1" customHeight="1" x14ac:dyDescent="0.25">
      <c r="A2236" s="53" t="s">
        <v>1489</v>
      </c>
      <c r="B2236" s="10" t="s">
        <v>110</v>
      </c>
      <c r="C2236" s="10">
        <v>101</v>
      </c>
      <c r="D2236" s="10" t="s">
        <v>1099</v>
      </c>
      <c r="E2236" s="41" t="s">
        <v>760</v>
      </c>
      <c r="F2236" s="41" t="e">
        <v>#N/A</v>
      </c>
      <c r="G2236" s="21" t="e">
        <f>VLOOKUP(D2236,[6]成飞半成品!$A:$B,2,0)</f>
        <v>#N/A</v>
      </c>
      <c r="H2236" s="10" t="s">
        <v>300</v>
      </c>
      <c r="I2236" s="10">
        <v>25</v>
      </c>
      <c r="J2236" s="10" t="s">
        <v>2154</v>
      </c>
      <c r="K2236" s="10">
        <v>0.6</v>
      </c>
      <c r="L2236" s="10">
        <v>0.9</v>
      </c>
      <c r="M2236" s="14">
        <v>32</v>
      </c>
      <c r="N2236" s="14">
        <v>32</v>
      </c>
      <c r="O2236" s="55" t="s">
        <v>1115</v>
      </c>
      <c r="Q2236" s="10">
        <v>900</v>
      </c>
      <c r="R2236" s="10">
        <v>60</v>
      </c>
      <c r="T2236" s="10">
        <v>1</v>
      </c>
      <c r="U2236" s="10">
        <v>180</v>
      </c>
      <c r="W2236" s="14"/>
      <c r="Y2236" s="79">
        <v>14.5</v>
      </c>
      <c r="Z2236" s="56" t="s">
        <v>47</v>
      </c>
    </row>
    <row r="2237" spans="1:27" ht="23.1" customHeight="1" x14ac:dyDescent="0.25">
      <c r="A2237" s="53" t="s">
        <v>1489</v>
      </c>
      <c r="B2237" s="10" t="s">
        <v>110</v>
      </c>
      <c r="C2237" s="10">
        <v>105</v>
      </c>
      <c r="D2237" s="10" t="s">
        <v>1176</v>
      </c>
      <c r="E2237" s="41" t="s">
        <v>1098</v>
      </c>
      <c r="F2237" s="41" t="s">
        <v>1098</v>
      </c>
      <c r="G2237" s="21" t="str">
        <f>VLOOKUP(D2237,[6]成飞半成品!$A:$B,2,0)</f>
        <v>根肋一段</v>
      </c>
      <c r="H2237" s="10" t="s">
        <v>250</v>
      </c>
      <c r="I2237" s="10">
        <v>50</v>
      </c>
      <c r="J2237" s="10" t="s">
        <v>2185</v>
      </c>
      <c r="K2237" s="10">
        <v>0.5</v>
      </c>
      <c r="L2237" s="10">
        <v>0.4</v>
      </c>
      <c r="M2237" s="14">
        <v>32</v>
      </c>
      <c r="N2237" s="14">
        <v>32</v>
      </c>
      <c r="O2237" s="55" t="s">
        <v>429</v>
      </c>
      <c r="Q2237" s="10">
        <v>1080</v>
      </c>
      <c r="R2237" s="10">
        <v>60</v>
      </c>
      <c r="T2237" s="10">
        <v>1</v>
      </c>
      <c r="U2237" s="10">
        <v>120</v>
      </c>
      <c r="W2237" s="14"/>
      <c r="Y2237" s="79">
        <v>8.1999999999999993</v>
      </c>
      <c r="Z2237" s="56" t="s">
        <v>9</v>
      </c>
    </row>
    <row r="2238" spans="1:27" ht="23.1" customHeight="1" x14ac:dyDescent="0.25">
      <c r="A2238" s="53" t="s">
        <v>1489</v>
      </c>
      <c r="B2238" s="10" t="s">
        <v>110</v>
      </c>
      <c r="C2238" s="10">
        <v>99</v>
      </c>
      <c r="D2238" s="10" t="s">
        <v>1191</v>
      </c>
      <c r="E2238" s="41" t="s">
        <v>1192</v>
      </c>
      <c r="F2238" s="41" t="s">
        <v>1192</v>
      </c>
      <c r="G2238" s="21" t="str">
        <f>VLOOKUP(D2238,[6]成飞半成品!$A:$B,2,0)</f>
        <v>后顶板</v>
      </c>
      <c r="H2238" s="10" t="s">
        <v>300</v>
      </c>
      <c r="I2238" s="10">
        <v>30</v>
      </c>
      <c r="J2238" s="10" t="s">
        <v>2186</v>
      </c>
      <c r="K2238" s="10">
        <v>0.2</v>
      </c>
      <c r="L2238" s="10">
        <v>0.1</v>
      </c>
      <c r="M2238" s="14">
        <v>32</v>
      </c>
      <c r="N2238" s="14">
        <v>32</v>
      </c>
      <c r="O2238" s="55" t="s">
        <v>219</v>
      </c>
      <c r="Q2238" s="10">
        <v>1080</v>
      </c>
      <c r="R2238" s="10">
        <v>120</v>
      </c>
      <c r="U2238" s="10">
        <v>120</v>
      </c>
      <c r="W2238" s="14"/>
      <c r="Y2238" s="79">
        <v>1.8</v>
      </c>
      <c r="Z2238" s="56" t="s">
        <v>29</v>
      </c>
    </row>
    <row r="2239" spans="1:27" ht="23.1" customHeight="1" x14ac:dyDescent="0.25">
      <c r="A2239" s="53" t="s">
        <v>1489</v>
      </c>
      <c r="B2239" s="10" t="s">
        <v>110</v>
      </c>
      <c r="C2239" s="10">
        <v>99</v>
      </c>
      <c r="D2239" s="10" t="s">
        <v>776</v>
      </c>
      <c r="E2239" s="41" t="s">
        <v>777</v>
      </c>
      <c r="F2239" s="41" t="s">
        <v>777</v>
      </c>
      <c r="G2239" s="21" t="str">
        <f>VLOOKUP(D2239,[6]成飞半成品!$A:$B,2,0)</f>
        <v>BL280侧壁（左件）</v>
      </c>
      <c r="H2239" s="10" t="s">
        <v>107</v>
      </c>
      <c r="I2239" s="10">
        <v>15</v>
      </c>
      <c r="J2239" s="10" t="s">
        <v>2142</v>
      </c>
      <c r="K2239" s="10">
        <v>0.4</v>
      </c>
      <c r="L2239" s="10">
        <v>0.7</v>
      </c>
      <c r="M2239" s="14">
        <v>32</v>
      </c>
      <c r="N2239" s="14">
        <v>32</v>
      </c>
      <c r="O2239" s="55" t="s">
        <v>508</v>
      </c>
      <c r="Q2239" s="10">
        <v>480</v>
      </c>
      <c r="R2239" s="10">
        <v>60</v>
      </c>
      <c r="T2239" s="10">
        <v>1</v>
      </c>
      <c r="U2239" s="10">
        <v>120</v>
      </c>
      <c r="W2239" s="14">
        <v>1</v>
      </c>
      <c r="X2239" s="10">
        <v>3</v>
      </c>
      <c r="Y2239" s="79">
        <v>11.6</v>
      </c>
      <c r="Z2239" s="56" t="s">
        <v>29</v>
      </c>
      <c r="AA2239" s="14" t="s">
        <v>1611</v>
      </c>
    </row>
    <row r="2240" spans="1:27" ht="23.1" customHeight="1" x14ac:dyDescent="0.25">
      <c r="A2240" s="53" t="s">
        <v>1489</v>
      </c>
      <c r="B2240" s="10" t="s">
        <v>110</v>
      </c>
      <c r="C2240" s="10">
        <v>103</v>
      </c>
      <c r="D2240" s="10" t="s">
        <v>1601</v>
      </c>
      <c r="E2240" s="41" t="s">
        <v>1602</v>
      </c>
      <c r="F2240" s="41" t="s">
        <v>1602</v>
      </c>
      <c r="G2240" s="21" t="str">
        <f>VLOOKUP(D2240,[6]成飞半成品!$A:$B,2,0)</f>
        <v>FR15右侧框缘</v>
      </c>
      <c r="H2240" s="10" t="s">
        <v>102</v>
      </c>
      <c r="I2240" s="10">
        <v>15</v>
      </c>
      <c r="J2240" s="10" t="s">
        <v>1931</v>
      </c>
      <c r="K2240" s="10">
        <v>1</v>
      </c>
      <c r="L2240" s="10">
        <v>1</v>
      </c>
      <c r="M2240" s="14">
        <v>32</v>
      </c>
      <c r="N2240" s="14">
        <v>32</v>
      </c>
      <c r="O2240" s="55" t="s">
        <v>596</v>
      </c>
      <c r="Q2240" s="10">
        <v>180</v>
      </c>
      <c r="R2240" s="10">
        <v>120</v>
      </c>
      <c r="T2240" s="10">
        <v>1</v>
      </c>
      <c r="U2240" s="10">
        <v>90</v>
      </c>
      <c r="W2240" s="14">
        <v>1</v>
      </c>
      <c r="Y2240" s="79">
        <v>6.5</v>
      </c>
      <c r="Z2240" s="56" t="s">
        <v>61</v>
      </c>
    </row>
    <row r="2241" spans="1:27" ht="23.1" customHeight="1" x14ac:dyDescent="0.25">
      <c r="A2241" s="53" t="s">
        <v>1489</v>
      </c>
      <c r="B2241" s="10" t="s">
        <v>110</v>
      </c>
      <c r="C2241" s="10">
        <v>102</v>
      </c>
      <c r="D2241" s="10" t="s">
        <v>1097</v>
      </c>
      <c r="E2241" s="41" t="s">
        <v>1098</v>
      </c>
      <c r="F2241" s="41" t="s">
        <v>1098</v>
      </c>
      <c r="G2241" s="21" t="str">
        <f>VLOOKUP(D2241,[6]成飞半成品!$A:$B,2,0)</f>
        <v>根肋一段</v>
      </c>
      <c r="H2241" s="10" t="s">
        <v>250</v>
      </c>
      <c r="I2241" s="10">
        <v>50</v>
      </c>
      <c r="J2241" s="10" t="s">
        <v>2185</v>
      </c>
      <c r="K2241" s="10">
        <v>0.5</v>
      </c>
      <c r="L2241" s="10">
        <v>0.5</v>
      </c>
      <c r="M2241" s="14">
        <v>32</v>
      </c>
      <c r="N2241" s="14">
        <v>32</v>
      </c>
      <c r="O2241" s="55" t="s">
        <v>292</v>
      </c>
      <c r="Q2241" s="10">
        <v>1080</v>
      </c>
      <c r="R2241" s="10">
        <v>60</v>
      </c>
      <c r="T2241" s="10">
        <v>1</v>
      </c>
      <c r="U2241" s="10">
        <v>120</v>
      </c>
      <c r="W2241" s="14">
        <v>1</v>
      </c>
      <c r="Y2241" s="79">
        <v>12</v>
      </c>
      <c r="Z2241" s="56" t="s">
        <v>36</v>
      </c>
    </row>
    <row r="2242" spans="1:27" ht="23.1" customHeight="1" x14ac:dyDescent="0.25">
      <c r="A2242" s="53" t="s">
        <v>1489</v>
      </c>
      <c r="B2242" s="10" t="s">
        <v>110</v>
      </c>
      <c r="C2242" s="10">
        <v>104</v>
      </c>
      <c r="D2242" s="10" t="s">
        <v>1582</v>
      </c>
      <c r="E2242" s="41" t="s">
        <v>1283</v>
      </c>
      <c r="F2242" s="41" t="s">
        <v>1283</v>
      </c>
      <c r="G2242" s="21" t="str">
        <f>VLOOKUP(D2242,[6]成飞半成品!$A:$B,2,0)</f>
        <v>9框前支柱</v>
      </c>
      <c r="H2242" s="10" t="s">
        <v>102</v>
      </c>
      <c r="I2242" s="10">
        <v>20</v>
      </c>
      <c r="J2242" s="10" t="s">
        <v>2234</v>
      </c>
      <c r="K2242" s="10">
        <v>1</v>
      </c>
      <c r="L2242" s="10">
        <v>0.6</v>
      </c>
      <c r="M2242" s="14">
        <v>32</v>
      </c>
      <c r="N2242" s="14">
        <v>32</v>
      </c>
      <c r="O2242" s="55" t="s">
        <v>596</v>
      </c>
      <c r="Q2242" s="10">
        <v>330</v>
      </c>
      <c r="R2242" s="10">
        <v>60</v>
      </c>
      <c r="U2242" s="10">
        <v>90</v>
      </c>
      <c r="W2242" s="14"/>
      <c r="Y2242" s="79">
        <v>3.3</v>
      </c>
      <c r="Z2242" s="56" t="s">
        <v>36</v>
      </c>
    </row>
    <row r="2243" spans="1:27" ht="23.1" customHeight="1" x14ac:dyDescent="0.25">
      <c r="A2243" s="53" t="s">
        <v>1489</v>
      </c>
      <c r="B2243" s="10" t="s">
        <v>110</v>
      </c>
      <c r="C2243" s="10">
        <v>104</v>
      </c>
      <c r="D2243" s="10" t="s">
        <v>1583</v>
      </c>
      <c r="E2243" s="41" t="s">
        <v>1283</v>
      </c>
      <c r="F2243" s="41" t="s">
        <v>1283</v>
      </c>
      <c r="G2243" s="21" t="str">
        <f>VLOOKUP(D2243,[6]成飞半成品!$A:$B,2,0)</f>
        <v>9框前支柱</v>
      </c>
      <c r="H2243" s="10" t="s">
        <v>102</v>
      </c>
      <c r="I2243" s="10">
        <v>20</v>
      </c>
      <c r="J2243" s="10" t="s">
        <v>2234</v>
      </c>
      <c r="K2243" s="10">
        <v>0.3</v>
      </c>
      <c r="L2243" s="10">
        <v>0.8</v>
      </c>
      <c r="M2243" s="14">
        <v>32</v>
      </c>
      <c r="N2243" s="14">
        <v>32</v>
      </c>
      <c r="O2243" s="55" t="s">
        <v>596</v>
      </c>
      <c r="Q2243" s="10">
        <v>330</v>
      </c>
      <c r="R2243" s="10">
        <v>60</v>
      </c>
      <c r="T2243" s="10">
        <v>1</v>
      </c>
      <c r="U2243" s="10">
        <v>90</v>
      </c>
      <c r="W2243" s="14">
        <v>1</v>
      </c>
      <c r="Y2243" s="79">
        <v>6.9</v>
      </c>
      <c r="Z2243" s="56" t="s">
        <v>36</v>
      </c>
    </row>
    <row r="2244" spans="1:27" ht="23.1" customHeight="1" x14ac:dyDescent="0.25">
      <c r="A2244" s="53" t="s">
        <v>1489</v>
      </c>
      <c r="B2244" s="10" t="s">
        <v>110</v>
      </c>
      <c r="C2244" s="10">
        <v>98</v>
      </c>
      <c r="D2244" s="10" t="s">
        <v>404</v>
      </c>
      <c r="E2244" s="41" t="s">
        <v>405</v>
      </c>
      <c r="F2244" s="41" t="s">
        <v>405</v>
      </c>
      <c r="G2244" s="21" t="str">
        <f>VLOOKUP(D2244,[6]成飞半成品!$A:$B,2,0)</f>
        <v>11140框右下半框</v>
      </c>
      <c r="H2244" s="10" t="s">
        <v>118</v>
      </c>
      <c r="I2244" s="10">
        <v>15</v>
      </c>
      <c r="J2244" s="10" t="s">
        <v>2144</v>
      </c>
      <c r="K2244" s="10">
        <v>0.7</v>
      </c>
      <c r="L2244" s="10">
        <v>0.8</v>
      </c>
      <c r="M2244" s="14">
        <v>32</v>
      </c>
      <c r="N2244" s="14">
        <v>32</v>
      </c>
      <c r="O2244" s="55" t="s">
        <v>509</v>
      </c>
      <c r="Q2244" s="10">
        <v>720</v>
      </c>
      <c r="R2244" s="10">
        <v>60</v>
      </c>
      <c r="T2244" s="10">
        <v>1</v>
      </c>
      <c r="U2244" s="10">
        <v>120</v>
      </c>
      <c r="W2244" s="14"/>
      <c r="Y2244" s="79">
        <v>10.6</v>
      </c>
      <c r="Z2244" s="56" t="s">
        <v>36</v>
      </c>
    </row>
    <row r="2245" spans="1:27" ht="23.1" customHeight="1" x14ac:dyDescent="0.25">
      <c r="A2245" s="53" t="s">
        <v>1489</v>
      </c>
      <c r="B2245" s="10" t="s">
        <v>110</v>
      </c>
      <c r="C2245" s="10">
        <v>106</v>
      </c>
      <c r="D2245" s="10" t="s">
        <v>1070</v>
      </c>
      <c r="E2245" s="41" t="s">
        <v>101</v>
      </c>
      <c r="F2245" s="41" t="s">
        <v>101</v>
      </c>
      <c r="G2245" s="21" t="str">
        <f>VLOOKUP(D2245,[6]成飞半成品!$A:$B,2,0)</f>
        <v>前梁一段</v>
      </c>
      <c r="H2245" s="10" t="s">
        <v>300</v>
      </c>
      <c r="I2245" s="10">
        <v>25</v>
      </c>
      <c r="J2245" s="10" t="s">
        <v>2163</v>
      </c>
      <c r="K2245" s="10">
        <v>0.15</v>
      </c>
      <c r="L2245" s="10">
        <v>0.15</v>
      </c>
      <c r="M2245" s="14">
        <v>32</v>
      </c>
      <c r="N2245" s="14">
        <v>32</v>
      </c>
      <c r="O2245" s="55" t="s">
        <v>247</v>
      </c>
      <c r="Q2245" s="10">
        <v>4800</v>
      </c>
      <c r="R2245" s="10">
        <v>180</v>
      </c>
      <c r="U2245" s="10">
        <v>180</v>
      </c>
      <c r="W2245" s="14"/>
      <c r="Y2245" s="79">
        <v>12</v>
      </c>
      <c r="Z2245" s="56" t="s">
        <v>36</v>
      </c>
    </row>
    <row r="2246" spans="1:27" ht="23.1" customHeight="1" x14ac:dyDescent="0.25">
      <c r="A2246" s="53" t="s">
        <v>1489</v>
      </c>
      <c r="B2246" s="10" t="s">
        <v>110</v>
      </c>
      <c r="C2246" s="10">
        <v>118</v>
      </c>
      <c r="D2246" s="10" t="s">
        <v>1171</v>
      </c>
      <c r="E2246" s="41" t="s">
        <v>1172</v>
      </c>
      <c r="F2246" s="41" t="s">
        <v>1172</v>
      </c>
      <c r="G2246" s="21" t="str">
        <f>VLOOKUP(D2246,[6]成飞半成品!$A:$B,2,0)</f>
        <v>后梁</v>
      </c>
      <c r="H2246" s="10" t="s">
        <v>300</v>
      </c>
      <c r="I2246" s="10">
        <v>25</v>
      </c>
      <c r="J2246" s="10" t="s">
        <v>2175</v>
      </c>
      <c r="L2246" s="10">
        <v>1</v>
      </c>
      <c r="M2246" s="14">
        <v>32</v>
      </c>
      <c r="N2246" s="14">
        <v>32</v>
      </c>
      <c r="O2246" s="55" t="s">
        <v>719</v>
      </c>
      <c r="Q2246" s="10">
        <v>240</v>
      </c>
      <c r="R2246" s="10">
        <v>60</v>
      </c>
      <c r="T2246" s="10">
        <v>1</v>
      </c>
      <c r="U2246" s="10">
        <v>60</v>
      </c>
      <c r="W2246" s="14">
        <v>1</v>
      </c>
      <c r="Y2246" s="79">
        <v>6</v>
      </c>
      <c r="Z2246" s="56" t="s">
        <v>36</v>
      </c>
    </row>
    <row r="2247" spans="1:27" ht="23.1" customHeight="1" x14ac:dyDescent="0.25">
      <c r="A2247" s="53" t="s">
        <v>1489</v>
      </c>
      <c r="B2247" s="10" t="s">
        <v>110</v>
      </c>
      <c r="C2247" s="10">
        <v>118</v>
      </c>
      <c r="D2247" s="10" t="s">
        <v>1171</v>
      </c>
      <c r="E2247" s="41" t="s">
        <v>1172</v>
      </c>
      <c r="F2247" s="41" t="s">
        <v>1172</v>
      </c>
      <c r="G2247" s="21" t="str">
        <f>VLOOKUP(D2247,[6]成飞半成品!$A:$B,2,0)</f>
        <v>后梁</v>
      </c>
      <c r="H2247" s="10" t="s">
        <v>300</v>
      </c>
      <c r="I2247" s="10">
        <v>30</v>
      </c>
      <c r="J2247" s="10" t="s">
        <v>2170</v>
      </c>
      <c r="L2247" s="10">
        <v>0.1</v>
      </c>
      <c r="M2247" s="14">
        <v>32</v>
      </c>
      <c r="N2247" s="14">
        <v>32</v>
      </c>
      <c r="O2247" s="55" t="s">
        <v>719</v>
      </c>
      <c r="Q2247" s="10">
        <v>1500</v>
      </c>
      <c r="R2247" s="10">
        <v>60</v>
      </c>
      <c r="T2247" s="10">
        <v>1</v>
      </c>
      <c r="U2247" s="10">
        <v>120</v>
      </c>
      <c r="W2247" s="14">
        <v>1</v>
      </c>
      <c r="Y2247" s="79">
        <v>5.5</v>
      </c>
      <c r="Z2247" s="56" t="s">
        <v>36</v>
      </c>
    </row>
    <row r="2248" spans="1:27" ht="23.1" customHeight="1" x14ac:dyDescent="0.25">
      <c r="A2248" s="53" t="s">
        <v>1489</v>
      </c>
      <c r="B2248" s="10" t="s">
        <v>110</v>
      </c>
      <c r="C2248" s="10">
        <v>117</v>
      </c>
      <c r="D2248" s="10" t="s">
        <v>1083</v>
      </c>
      <c r="E2248" s="41" t="s">
        <v>1082</v>
      </c>
      <c r="F2248" s="41" t="s">
        <v>1082</v>
      </c>
      <c r="G2248" s="21" t="str">
        <f>VLOOKUP(D2248,[6]成飞半成品!$A:$B,2,0)</f>
        <v xml:space="preserve"> 前梁</v>
      </c>
      <c r="H2248" s="10" t="s">
        <v>123</v>
      </c>
      <c r="I2248" s="10">
        <v>30</v>
      </c>
      <c r="J2248" s="10" t="s">
        <v>1863</v>
      </c>
      <c r="L2248" s="10">
        <v>1</v>
      </c>
      <c r="M2248" s="14">
        <v>32</v>
      </c>
      <c r="N2248" s="14">
        <v>32</v>
      </c>
      <c r="O2248" s="55" t="s">
        <v>780</v>
      </c>
      <c r="Q2248" s="10">
        <v>240</v>
      </c>
      <c r="R2248" s="10">
        <v>60</v>
      </c>
      <c r="T2248" s="10">
        <v>1</v>
      </c>
      <c r="U2248" s="10">
        <v>90</v>
      </c>
      <c r="W2248" s="14">
        <v>1</v>
      </c>
      <c r="X2248" s="10">
        <v>3</v>
      </c>
      <c r="Y2248" s="79">
        <v>9.5</v>
      </c>
      <c r="Z2248" s="56" t="s">
        <v>36</v>
      </c>
      <c r="AA2248" s="14" t="s">
        <v>1612</v>
      </c>
    </row>
    <row r="2249" spans="1:27" ht="23.1" customHeight="1" x14ac:dyDescent="0.25">
      <c r="A2249" s="53" t="s">
        <v>1489</v>
      </c>
      <c r="B2249" s="10" t="s">
        <v>110</v>
      </c>
      <c r="C2249" s="10">
        <v>117</v>
      </c>
      <c r="D2249" s="10" t="s">
        <v>1083</v>
      </c>
      <c r="E2249" s="41" t="s">
        <v>1082</v>
      </c>
      <c r="F2249" s="41" t="s">
        <v>1082</v>
      </c>
      <c r="G2249" s="21" t="str">
        <f>VLOOKUP(D2249,[6]成飞半成品!$A:$B,2,0)</f>
        <v xml:space="preserve"> 前梁</v>
      </c>
      <c r="H2249" s="10" t="s">
        <v>123</v>
      </c>
      <c r="I2249" s="10">
        <v>35</v>
      </c>
      <c r="J2249" s="10" t="s">
        <v>2201</v>
      </c>
      <c r="L2249" s="10">
        <v>0.2</v>
      </c>
      <c r="M2249" s="14">
        <v>32</v>
      </c>
      <c r="N2249" s="14">
        <v>32</v>
      </c>
      <c r="O2249" s="55" t="s">
        <v>780</v>
      </c>
      <c r="Q2249" s="10">
        <v>700</v>
      </c>
      <c r="R2249" s="10">
        <v>60</v>
      </c>
      <c r="T2249" s="10">
        <v>1</v>
      </c>
      <c r="U2249" s="10">
        <v>90</v>
      </c>
      <c r="W2249" s="14">
        <v>1</v>
      </c>
      <c r="Y2249" s="79">
        <v>4.8</v>
      </c>
      <c r="Z2249" s="56" t="s">
        <v>36</v>
      </c>
    </row>
    <row r="2250" spans="1:27" ht="23.1" customHeight="1" x14ac:dyDescent="0.25">
      <c r="A2250" s="53" t="s">
        <v>1489</v>
      </c>
      <c r="B2250" s="10" t="s">
        <v>110</v>
      </c>
      <c r="C2250" s="10">
        <v>100</v>
      </c>
      <c r="D2250" s="10" t="s">
        <v>484</v>
      </c>
      <c r="E2250" s="41" t="s">
        <v>485</v>
      </c>
      <c r="F2250" s="41" t="s">
        <v>485</v>
      </c>
      <c r="G2250" s="21" t="str">
        <f>VLOOKUP(D2250,[6]成飞半成品!$A:$B,2,0)</f>
        <v>8635左隔框</v>
      </c>
      <c r="H2250" s="10" t="s">
        <v>300</v>
      </c>
      <c r="I2250" s="10">
        <v>25</v>
      </c>
      <c r="J2250" s="10" t="s">
        <v>2140</v>
      </c>
      <c r="K2250" s="10">
        <v>0.8</v>
      </c>
      <c r="L2250" s="10">
        <v>0.8</v>
      </c>
      <c r="M2250" s="14">
        <v>32</v>
      </c>
      <c r="N2250" s="14">
        <v>32</v>
      </c>
      <c r="O2250" s="55" t="s">
        <v>418</v>
      </c>
      <c r="Q2250" s="10">
        <v>660</v>
      </c>
      <c r="R2250" s="10">
        <v>60</v>
      </c>
      <c r="T2250" s="10">
        <v>1</v>
      </c>
      <c r="U2250" s="10">
        <v>180</v>
      </c>
      <c r="W2250" s="14">
        <v>1</v>
      </c>
      <c r="Y2250" s="79">
        <v>12.8</v>
      </c>
      <c r="Z2250" s="56" t="s">
        <v>36</v>
      </c>
    </row>
    <row r="2251" spans="1:27" ht="23.1" customHeight="1" x14ac:dyDescent="0.25">
      <c r="A2251" s="53" t="s">
        <v>1489</v>
      </c>
      <c r="B2251" s="10" t="s">
        <v>110</v>
      </c>
      <c r="C2251" s="10">
        <v>83</v>
      </c>
      <c r="D2251" s="10" t="s">
        <v>1095</v>
      </c>
      <c r="E2251" s="41" t="s">
        <v>1096</v>
      </c>
      <c r="F2251" s="41" t="s">
        <v>1096</v>
      </c>
      <c r="G2251" s="21" t="str">
        <f>VLOOKUP(D2251,[6]成飞半成品!$A:$B,2,0)</f>
        <v>1150肋根肋</v>
      </c>
      <c r="H2251" s="10" t="s">
        <v>658</v>
      </c>
      <c r="I2251" s="10">
        <v>30</v>
      </c>
      <c r="J2251" s="10" t="s">
        <v>2131</v>
      </c>
      <c r="K2251" s="10">
        <v>1</v>
      </c>
      <c r="L2251" s="10">
        <v>1.4</v>
      </c>
      <c r="M2251" s="14">
        <v>32</v>
      </c>
      <c r="N2251" s="14">
        <v>32</v>
      </c>
      <c r="O2251" s="55" t="s">
        <v>1094</v>
      </c>
      <c r="Q2251" s="10">
        <v>570</v>
      </c>
      <c r="R2251" s="10">
        <v>60</v>
      </c>
      <c r="T2251" s="10">
        <v>2</v>
      </c>
      <c r="U2251" s="10">
        <v>120</v>
      </c>
      <c r="W2251" s="14"/>
      <c r="Y2251" s="79">
        <v>15.3</v>
      </c>
      <c r="Z2251" s="56" t="s">
        <v>36</v>
      </c>
    </row>
    <row r="2252" spans="1:27" ht="23.1" customHeight="1" x14ac:dyDescent="0.25">
      <c r="A2252" s="53" t="s">
        <v>1489</v>
      </c>
      <c r="B2252" s="10" t="s">
        <v>110</v>
      </c>
      <c r="C2252" s="10">
        <v>82</v>
      </c>
      <c r="D2252" s="10" t="s">
        <v>1074</v>
      </c>
      <c r="E2252" s="41" t="s">
        <v>1075</v>
      </c>
      <c r="F2252" s="41" t="s">
        <v>1075</v>
      </c>
      <c r="G2252" s="21" t="str">
        <f>VLOOKUP(D2252,[6]成飞半成品!$A:$B,2,0)</f>
        <v>油箱底板（中）</v>
      </c>
      <c r="H2252" s="10" t="s">
        <v>154</v>
      </c>
      <c r="I2252" s="10">
        <v>45</v>
      </c>
      <c r="J2252" s="10" t="s">
        <v>2125</v>
      </c>
      <c r="K2252" s="10">
        <v>1</v>
      </c>
      <c r="L2252" s="10">
        <v>0.6</v>
      </c>
      <c r="M2252" s="14">
        <v>32</v>
      </c>
      <c r="N2252" s="14">
        <v>32</v>
      </c>
      <c r="O2252" s="55" t="s">
        <v>199</v>
      </c>
      <c r="Q2252" s="10">
        <v>600</v>
      </c>
      <c r="U2252" s="10">
        <v>120</v>
      </c>
      <c r="W2252" s="14"/>
      <c r="Y2252" s="79">
        <v>6</v>
      </c>
      <c r="Z2252" s="56" t="s">
        <v>36</v>
      </c>
    </row>
    <row r="2253" spans="1:27" ht="23.1" customHeight="1" x14ac:dyDescent="0.25">
      <c r="A2253" s="53" t="s">
        <v>1489</v>
      </c>
      <c r="B2253" s="10" t="s">
        <v>113</v>
      </c>
      <c r="C2253" s="10">
        <v>99</v>
      </c>
      <c r="D2253" s="10" t="s">
        <v>776</v>
      </c>
      <c r="E2253" s="41" t="s">
        <v>777</v>
      </c>
      <c r="F2253" s="41" t="s">
        <v>777</v>
      </c>
      <c r="G2253" s="21" t="str">
        <f>VLOOKUP(D2253,[6]成飞半成品!$A:$B,2,0)</f>
        <v>BL280侧壁（左件）</v>
      </c>
      <c r="H2253" s="10" t="s">
        <v>107</v>
      </c>
      <c r="I2253" s="10">
        <v>15</v>
      </c>
      <c r="J2253" s="10" t="s">
        <v>2142</v>
      </c>
      <c r="K2253" s="10">
        <v>1.3</v>
      </c>
      <c r="L2253" s="10">
        <v>2.2999999999999998</v>
      </c>
      <c r="M2253" s="14">
        <v>25</v>
      </c>
      <c r="N2253" s="14">
        <v>25</v>
      </c>
      <c r="O2253" s="55" t="s">
        <v>1613</v>
      </c>
      <c r="Q2253" s="10">
        <v>480</v>
      </c>
      <c r="R2253" s="10">
        <v>60</v>
      </c>
      <c r="T2253" s="10">
        <v>2</v>
      </c>
      <c r="U2253" s="10">
        <v>120</v>
      </c>
      <c r="W2253" s="14"/>
      <c r="Y2253" s="79">
        <v>20.399999999999999</v>
      </c>
      <c r="Z2253" s="56" t="s">
        <v>21</v>
      </c>
    </row>
    <row r="2254" spans="1:27" ht="23.1" customHeight="1" x14ac:dyDescent="0.25">
      <c r="A2254" s="53" t="s">
        <v>1489</v>
      </c>
      <c r="B2254" s="10" t="s">
        <v>113</v>
      </c>
      <c r="C2254" s="10">
        <v>97</v>
      </c>
      <c r="D2254" s="10" t="s">
        <v>1239</v>
      </c>
      <c r="E2254" s="41" t="s">
        <v>1065</v>
      </c>
      <c r="F2254" s="41" t="s">
        <v>1065</v>
      </c>
      <c r="G2254" s="21" t="str">
        <f>VLOOKUP(D2254,[6]成飞半成品!$A:$B,2,0)</f>
        <v>根肋三段</v>
      </c>
      <c r="H2254" s="10" t="s">
        <v>250</v>
      </c>
      <c r="I2254" s="10">
        <v>65</v>
      </c>
      <c r="J2254" s="10" t="s">
        <v>2184</v>
      </c>
      <c r="K2254" s="10">
        <v>3</v>
      </c>
      <c r="L2254" s="10">
        <v>3</v>
      </c>
      <c r="M2254" s="14">
        <v>25</v>
      </c>
      <c r="N2254" s="14">
        <v>25</v>
      </c>
      <c r="O2254" s="55" t="s">
        <v>429</v>
      </c>
      <c r="Q2254" s="10">
        <v>60</v>
      </c>
      <c r="R2254" s="10">
        <v>60</v>
      </c>
      <c r="T2254" s="10">
        <v>2</v>
      </c>
      <c r="U2254" s="10">
        <v>60</v>
      </c>
      <c r="W2254" s="14"/>
      <c r="Y2254" s="79">
        <v>5</v>
      </c>
      <c r="Z2254" s="56" t="s">
        <v>1</v>
      </c>
    </row>
    <row r="2255" spans="1:27" ht="23.1" customHeight="1" x14ac:dyDescent="0.25">
      <c r="A2255" s="53" t="s">
        <v>1489</v>
      </c>
      <c r="B2255" s="10" t="s">
        <v>113</v>
      </c>
      <c r="C2255" s="10">
        <v>97</v>
      </c>
      <c r="D2255" s="10" t="s">
        <v>1239</v>
      </c>
      <c r="E2255" s="41" t="s">
        <v>1065</v>
      </c>
      <c r="F2255" s="41" t="s">
        <v>1065</v>
      </c>
      <c r="G2255" s="21" t="str">
        <f>VLOOKUP(D2255,[6]成飞半成品!$A:$B,2,0)</f>
        <v>根肋三段</v>
      </c>
      <c r="H2255" s="10" t="s">
        <v>250</v>
      </c>
      <c r="I2255" s="10">
        <v>65</v>
      </c>
      <c r="J2255" s="10" t="s">
        <v>2184</v>
      </c>
      <c r="K2255" s="10">
        <v>1</v>
      </c>
      <c r="L2255" s="10">
        <v>1</v>
      </c>
      <c r="M2255" s="14">
        <v>25</v>
      </c>
      <c r="N2255" s="14">
        <v>25</v>
      </c>
      <c r="O2255" s="55" t="s">
        <v>429</v>
      </c>
      <c r="Q2255" s="10">
        <v>60</v>
      </c>
      <c r="R2255" s="10">
        <v>60</v>
      </c>
      <c r="T2255" s="10">
        <v>1</v>
      </c>
      <c r="U2255" s="10">
        <v>60</v>
      </c>
      <c r="W2255" s="14">
        <v>1</v>
      </c>
      <c r="Y2255" s="79">
        <v>3</v>
      </c>
      <c r="Z2255" s="56" t="s">
        <v>1</v>
      </c>
    </row>
    <row r="2256" spans="1:27" ht="23.1" customHeight="1" x14ac:dyDescent="0.25">
      <c r="A2256" s="53" t="s">
        <v>1489</v>
      </c>
      <c r="B2256" s="10" t="s">
        <v>113</v>
      </c>
      <c r="C2256" s="10">
        <v>105</v>
      </c>
      <c r="D2256" s="10" t="s">
        <v>1176</v>
      </c>
      <c r="E2256" s="41" t="s">
        <v>1098</v>
      </c>
      <c r="F2256" s="41" t="s">
        <v>1098</v>
      </c>
      <c r="G2256" s="21" t="str">
        <f>VLOOKUP(D2256,[6]成飞半成品!$A:$B,2,0)</f>
        <v>根肋一段</v>
      </c>
      <c r="H2256" s="10" t="s">
        <v>250</v>
      </c>
      <c r="I2256" s="10">
        <v>50</v>
      </c>
      <c r="J2256" s="10" t="s">
        <v>2185</v>
      </c>
      <c r="K2256" s="10">
        <v>0.5</v>
      </c>
      <c r="L2256" s="10">
        <v>0.5</v>
      </c>
      <c r="M2256" s="14">
        <v>25</v>
      </c>
      <c r="N2256" s="14">
        <v>25</v>
      </c>
      <c r="O2256" s="55" t="s">
        <v>429</v>
      </c>
      <c r="Q2256" s="10">
        <v>1080</v>
      </c>
      <c r="R2256" s="10">
        <v>60</v>
      </c>
      <c r="U2256" s="10">
        <v>120</v>
      </c>
      <c r="W2256" s="14"/>
      <c r="Y2256" s="79">
        <v>9</v>
      </c>
      <c r="Z2256" s="56" t="s">
        <v>28</v>
      </c>
    </row>
    <row r="2257" spans="1:27" ht="23.1" customHeight="1" x14ac:dyDescent="0.25">
      <c r="A2257" s="53" t="s">
        <v>1489</v>
      </c>
      <c r="B2257" s="10" t="s">
        <v>113</v>
      </c>
      <c r="C2257" s="10">
        <v>82</v>
      </c>
      <c r="D2257" s="10" t="s">
        <v>1074</v>
      </c>
      <c r="E2257" s="41" t="s">
        <v>1075</v>
      </c>
      <c r="F2257" s="41" t="s">
        <v>1075</v>
      </c>
      <c r="G2257" s="21" t="str">
        <f>VLOOKUP(D2257,[6]成飞半成品!$A:$B,2,0)</f>
        <v>油箱底板（中）</v>
      </c>
      <c r="H2257" s="10" t="s">
        <v>154</v>
      </c>
      <c r="I2257" s="10">
        <v>50</v>
      </c>
      <c r="J2257" s="10" t="s">
        <v>2148</v>
      </c>
      <c r="K2257" s="10">
        <v>1</v>
      </c>
      <c r="L2257" s="10">
        <v>1</v>
      </c>
      <c r="M2257" s="14">
        <v>25</v>
      </c>
      <c r="N2257" s="14">
        <v>25</v>
      </c>
      <c r="O2257" s="55" t="s">
        <v>221</v>
      </c>
      <c r="Q2257" s="10">
        <v>500</v>
      </c>
      <c r="T2257" s="10">
        <v>1</v>
      </c>
      <c r="U2257" s="10">
        <v>120</v>
      </c>
      <c r="W2257" s="14">
        <v>1</v>
      </c>
      <c r="X2257" s="10">
        <v>2</v>
      </c>
      <c r="Y2257" s="79">
        <v>12.3</v>
      </c>
      <c r="Z2257" s="56" t="s">
        <v>56</v>
      </c>
      <c r="AA2257" s="14" t="s">
        <v>1614</v>
      </c>
    </row>
    <row r="2258" spans="1:27" ht="23.1" customHeight="1" x14ac:dyDescent="0.25">
      <c r="A2258" s="53" t="s">
        <v>1489</v>
      </c>
      <c r="B2258" s="10" t="s">
        <v>113</v>
      </c>
      <c r="C2258" s="10">
        <v>103</v>
      </c>
      <c r="D2258" s="10" t="s">
        <v>1615</v>
      </c>
      <c r="E2258" s="41" t="s">
        <v>259</v>
      </c>
      <c r="F2258" s="41" t="s">
        <v>259</v>
      </c>
      <c r="G2258" s="21" t="str">
        <f>VLOOKUP(D2258,[6]成飞半成品!$A:$B,2,0)</f>
        <v>梁</v>
      </c>
      <c r="H2258" s="10" t="s">
        <v>123</v>
      </c>
      <c r="I2258" s="10">
        <v>10</v>
      </c>
      <c r="J2258" s="10" t="s">
        <v>1916</v>
      </c>
      <c r="K2258" s="10">
        <v>4</v>
      </c>
      <c r="L2258" s="10">
        <v>1</v>
      </c>
      <c r="M2258" s="14">
        <v>25</v>
      </c>
      <c r="N2258" s="14">
        <v>25</v>
      </c>
      <c r="O2258" s="55" t="s">
        <v>1616</v>
      </c>
      <c r="Q2258" s="10">
        <v>180</v>
      </c>
      <c r="R2258" s="10">
        <v>60</v>
      </c>
      <c r="T2258" s="10">
        <v>1</v>
      </c>
      <c r="U2258" s="10">
        <v>60</v>
      </c>
      <c r="W2258" s="14">
        <v>1</v>
      </c>
      <c r="Y2258" s="79">
        <v>5</v>
      </c>
      <c r="Z2258" s="56" t="s">
        <v>62</v>
      </c>
    </row>
    <row r="2259" spans="1:27" ht="23.1" customHeight="1" x14ac:dyDescent="0.25">
      <c r="A2259" s="53" t="s">
        <v>1489</v>
      </c>
      <c r="B2259" s="10" t="s">
        <v>113</v>
      </c>
      <c r="C2259" s="10">
        <v>103</v>
      </c>
      <c r="D2259" s="10" t="s">
        <v>1601</v>
      </c>
      <c r="E2259" s="41" t="s">
        <v>1602</v>
      </c>
      <c r="F2259" s="41" t="s">
        <v>1602</v>
      </c>
      <c r="G2259" s="21" t="str">
        <f>VLOOKUP(D2259,[6]成飞半成品!$A:$B,2,0)</f>
        <v>FR15右侧框缘</v>
      </c>
      <c r="H2259" s="10" t="s">
        <v>102</v>
      </c>
      <c r="I2259" s="10">
        <v>20</v>
      </c>
      <c r="J2259" s="10" t="s">
        <v>1936</v>
      </c>
      <c r="K2259" s="10">
        <v>1</v>
      </c>
      <c r="L2259" s="10">
        <v>1</v>
      </c>
      <c r="M2259" s="14">
        <v>25</v>
      </c>
      <c r="N2259" s="14">
        <v>25</v>
      </c>
      <c r="O2259" s="55" t="s">
        <v>596</v>
      </c>
      <c r="Q2259" s="10">
        <v>60</v>
      </c>
      <c r="R2259" s="10">
        <v>120</v>
      </c>
      <c r="T2259" s="10">
        <v>1</v>
      </c>
      <c r="U2259" s="10">
        <v>90</v>
      </c>
      <c r="W2259" s="14">
        <v>1</v>
      </c>
      <c r="Y2259" s="79">
        <v>4.5</v>
      </c>
      <c r="Z2259" s="56" t="s">
        <v>62</v>
      </c>
    </row>
    <row r="2260" spans="1:27" ht="23.1" customHeight="1" x14ac:dyDescent="0.25">
      <c r="A2260" s="53" t="s">
        <v>1489</v>
      </c>
      <c r="B2260" s="10" t="s">
        <v>113</v>
      </c>
      <c r="C2260" s="10">
        <v>19</v>
      </c>
      <c r="D2260" s="10" t="s">
        <v>1604</v>
      </c>
      <c r="E2260" s="41" t="s">
        <v>1605</v>
      </c>
      <c r="F2260" s="41" t="s">
        <v>1605</v>
      </c>
      <c r="G2260" s="21" t="str">
        <f>VLOOKUP(D2260,[6]成飞半成品!$A:$B,2,0)</f>
        <v>4号上壁板（右件）</v>
      </c>
      <c r="H2260" s="10" t="s">
        <v>300</v>
      </c>
      <c r="I2260" s="10">
        <v>5</v>
      </c>
      <c r="J2260" s="10" t="s">
        <v>1930</v>
      </c>
      <c r="L2260" s="10">
        <v>1.5</v>
      </c>
      <c r="M2260" s="14">
        <v>25</v>
      </c>
      <c r="N2260" s="14">
        <v>25</v>
      </c>
      <c r="O2260" s="55" t="s">
        <v>1617</v>
      </c>
      <c r="Q2260" s="10">
        <v>240</v>
      </c>
      <c r="R2260" s="10">
        <v>60</v>
      </c>
      <c r="T2260" s="10">
        <v>1</v>
      </c>
      <c r="U2260" s="10">
        <v>120</v>
      </c>
      <c r="W2260" s="14"/>
      <c r="Y2260" s="79">
        <v>7</v>
      </c>
      <c r="Z2260" s="56" t="s">
        <v>11</v>
      </c>
    </row>
    <row r="2261" spans="1:27" ht="23.1" customHeight="1" x14ac:dyDescent="0.25">
      <c r="A2261" s="53" t="s">
        <v>1489</v>
      </c>
      <c r="B2261" s="10" t="s">
        <v>113</v>
      </c>
      <c r="C2261" s="10">
        <v>19</v>
      </c>
      <c r="D2261" s="10" t="s">
        <v>1607</v>
      </c>
      <c r="E2261" s="41" t="s">
        <v>1608</v>
      </c>
      <c r="F2261" s="41" t="s">
        <v>1608</v>
      </c>
      <c r="G2261" s="21" t="str">
        <f>VLOOKUP(D2261,[6]成飞半成品!$A:$B,2,0)</f>
        <v>4号上壁板（左件）</v>
      </c>
      <c r="H2261" s="10" t="s">
        <v>300</v>
      </c>
      <c r="I2261" s="10">
        <v>5</v>
      </c>
      <c r="J2261" s="10" t="s">
        <v>1930</v>
      </c>
      <c r="K2261" s="10">
        <v>2</v>
      </c>
      <c r="L2261" s="10">
        <v>1</v>
      </c>
      <c r="M2261" s="14">
        <v>25</v>
      </c>
      <c r="N2261" s="14">
        <v>25</v>
      </c>
      <c r="O2261" s="55" t="s">
        <v>1618</v>
      </c>
      <c r="Q2261" s="10">
        <v>240</v>
      </c>
      <c r="R2261" s="10">
        <v>60</v>
      </c>
      <c r="T2261" s="10">
        <v>1</v>
      </c>
      <c r="U2261" s="10">
        <v>120</v>
      </c>
      <c r="W2261" s="14"/>
      <c r="Y2261" s="79">
        <v>5</v>
      </c>
      <c r="Z2261" s="56" t="s">
        <v>11</v>
      </c>
    </row>
    <row r="2262" spans="1:27" ht="23.1" customHeight="1" x14ac:dyDescent="0.25">
      <c r="A2262" s="53" t="s">
        <v>1489</v>
      </c>
      <c r="B2262" s="10" t="s">
        <v>113</v>
      </c>
      <c r="C2262" s="10">
        <v>83</v>
      </c>
      <c r="D2262" s="10" t="s">
        <v>1095</v>
      </c>
      <c r="E2262" s="41" t="s">
        <v>1096</v>
      </c>
      <c r="F2262" s="41" t="s">
        <v>1096</v>
      </c>
      <c r="G2262" s="21" t="str">
        <f>VLOOKUP(D2262,[6]成飞半成品!$A:$B,2,0)</f>
        <v>1150肋根肋</v>
      </c>
      <c r="H2262" s="10" t="s">
        <v>658</v>
      </c>
      <c r="I2262" s="10">
        <v>30</v>
      </c>
      <c r="J2262" s="10" t="s">
        <v>2131</v>
      </c>
      <c r="K2262" s="10">
        <v>1</v>
      </c>
      <c r="L2262" s="10">
        <v>1.5</v>
      </c>
      <c r="M2262" s="14">
        <v>25</v>
      </c>
      <c r="N2262" s="14">
        <v>25</v>
      </c>
      <c r="O2262" s="55" t="s">
        <v>1619</v>
      </c>
      <c r="Q2262" s="10">
        <v>570</v>
      </c>
      <c r="R2262" s="10">
        <v>60</v>
      </c>
      <c r="T2262" s="10">
        <v>1</v>
      </c>
      <c r="U2262" s="10">
        <v>120</v>
      </c>
      <c r="W2262" s="14"/>
      <c r="Y2262" s="79">
        <v>15.3</v>
      </c>
      <c r="Z2262" s="56" t="s">
        <v>66</v>
      </c>
    </row>
    <row r="2263" spans="1:27" ht="23.1" customHeight="1" x14ac:dyDescent="0.25">
      <c r="A2263" s="53" t="s">
        <v>1489</v>
      </c>
      <c r="B2263" s="10" t="s">
        <v>113</v>
      </c>
      <c r="C2263" s="10">
        <v>44</v>
      </c>
      <c r="D2263" s="10" t="s">
        <v>266</v>
      </c>
      <c r="E2263" s="41" t="s">
        <v>267</v>
      </c>
      <c r="F2263" s="41" t="s">
        <v>267</v>
      </c>
      <c r="G2263" s="21" t="str">
        <f>VLOOKUP(D2263,[6]成飞半成品!$A:$B,2,0)</f>
        <v>后端框</v>
      </c>
      <c r="H2263" s="10" t="s">
        <v>118</v>
      </c>
      <c r="I2263" s="10">
        <v>10</v>
      </c>
      <c r="J2263" s="10" t="s">
        <v>1916</v>
      </c>
      <c r="K2263" s="10">
        <v>3</v>
      </c>
      <c r="L2263" s="10">
        <v>3</v>
      </c>
      <c r="M2263" s="14">
        <v>25</v>
      </c>
      <c r="N2263" s="14">
        <v>25</v>
      </c>
      <c r="O2263" s="55" t="s">
        <v>1620</v>
      </c>
      <c r="Q2263" s="10">
        <v>180</v>
      </c>
      <c r="R2263" s="10">
        <v>60</v>
      </c>
      <c r="T2263" s="10">
        <v>3</v>
      </c>
      <c r="U2263" s="10">
        <v>60</v>
      </c>
      <c r="W2263" s="14">
        <v>1</v>
      </c>
      <c r="Y2263" s="79">
        <v>13</v>
      </c>
      <c r="Z2263" s="56" t="s">
        <v>66</v>
      </c>
    </row>
    <row r="2264" spans="1:27" ht="23.1" customHeight="1" x14ac:dyDescent="0.25">
      <c r="A2264" s="53" t="s">
        <v>1489</v>
      </c>
      <c r="B2264" s="10" t="s">
        <v>113</v>
      </c>
      <c r="C2264" s="10">
        <v>100</v>
      </c>
      <c r="D2264" s="10" t="s">
        <v>298</v>
      </c>
      <c r="E2264" s="41" t="s">
        <v>299</v>
      </c>
      <c r="F2264" s="41" t="s">
        <v>299</v>
      </c>
      <c r="G2264" s="21" t="str">
        <f>VLOOKUP(D2264,[6]成飞半成品!$A:$B,2,0)</f>
        <v>8635右隔框</v>
      </c>
      <c r="H2264" s="10" t="s">
        <v>300</v>
      </c>
      <c r="I2264" s="10">
        <v>25</v>
      </c>
      <c r="J2264" s="10" t="s">
        <v>2140</v>
      </c>
      <c r="K2264" s="10">
        <v>0.8</v>
      </c>
      <c r="L2264" s="10">
        <v>1.2</v>
      </c>
      <c r="M2264" s="14">
        <v>25</v>
      </c>
      <c r="N2264" s="14">
        <v>25</v>
      </c>
      <c r="O2264" s="55" t="s">
        <v>1573</v>
      </c>
      <c r="Q2264" s="10">
        <v>660</v>
      </c>
      <c r="R2264" s="10">
        <v>60</v>
      </c>
      <c r="T2264" s="10">
        <v>1</v>
      </c>
      <c r="U2264" s="10">
        <v>180</v>
      </c>
      <c r="W2264" s="14"/>
      <c r="Y2264" s="79">
        <v>14.2</v>
      </c>
      <c r="Z2264" s="56" t="s">
        <v>66</v>
      </c>
    </row>
    <row r="2265" spans="1:27" ht="23.1" customHeight="1" x14ac:dyDescent="0.25">
      <c r="A2265" s="53" t="s">
        <v>1489</v>
      </c>
      <c r="B2265" s="10" t="s">
        <v>113</v>
      </c>
      <c r="C2265" s="10">
        <v>102</v>
      </c>
      <c r="D2265" s="10" t="s">
        <v>1097</v>
      </c>
      <c r="E2265" s="41" t="s">
        <v>1098</v>
      </c>
      <c r="F2265" s="41" t="s">
        <v>1098</v>
      </c>
      <c r="G2265" s="21" t="str">
        <f>VLOOKUP(D2265,[6]成飞半成品!$A:$B,2,0)</f>
        <v>根肋一段</v>
      </c>
      <c r="H2265" s="10" t="s">
        <v>250</v>
      </c>
      <c r="I2265" s="10">
        <v>50</v>
      </c>
      <c r="J2265" s="10" t="s">
        <v>2185</v>
      </c>
      <c r="K2265" s="10">
        <v>0.5</v>
      </c>
      <c r="L2265" s="10">
        <v>0.5</v>
      </c>
      <c r="M2265" s="14">
        <v>25</v>
      </c>
      <c r="N2265" s="14">
        <v>25</v>
      </c>
      <c r="O2265" s="55" t="s">
        <v>292</v>
      </c>
      <c r="Q2265" s="10">
        <v>1080</v>
      </c>
      <c r="R2265" s="10">
        <v>60</v>
      </c>
      <c r="U2265" s="10">
        <v>120</v>
      </c>
      <c r="W2265" s="14"/>
      <c r="Y2265" s="79">
        <v>9</v>
      </c>
      <c r="Z2265" s="56" t="s">
        <v>66</v>
      </c>
    </row>
    <row r="2266" spans="1:27" ht="23.1" customHeight="1" x14ac:dyDescent="0.25">
      <c r="A2266" s="53" t="s">
        <v>1489</v>
      </c>
      <c r="B2266" s="10" t="s">
        <v>113</v>
      </c>
      <c r="C2266" s="10">
        <v>98</v>
      </c>
      <c r="D2266" s="10" t="s">
        <v>404</v>
      </c>
      <c r="E2266" s="41" t="s">
        <v>405</v>
      </c>
      <c r="F2266" s="41" t="s">
        <v>405</v>
      </c>
      <c r="G2266" s="21" t="str">
        <f>VLOOKUP(D2266,[6]成飞半成品!$A:$B,2,0)</f>
        <v>11140框右下半框</v>
      </c>
      <c r="H2266" s="10" t="s">
        <v>118</v>
      </c>
      <c r="I2266" s="10">
        <v>15</v>
      </c>
      <c r="J2266" s="10" t="s">
        <v>2144</v>
      </c>
      <c r="K2266" s="10">
        <v>0.7</v>
      </c>
      <c r="L2266" s="10">
        <v>1.1000000000000001</v>
      </c>
      <c r="M2266" s="14">
        <v>25</v>
      </c>
      <c r="N2266" s="14">
        <v>25</v>
      </c>
      <c r="O2266" s="55" t="s">
        <v>1339</v>
      </c>
      <c r="Q2266" s="10">
        <v>720</v>
      </c>
      <c r="R2266" s="10">
        <v>60</v>
      </c>
      <c r="T2266" s="10">
        <v>1</v>
      </c>
      <c r="U2266" s="10">
        <v>120</v>
      </c>
      <c r="W2266" s="14"/>
      <c r="Y2266" s="79">
        <v>14.2</v>
      </c>
      <c r="Z2266" s="56" t="s">
        <v>66</v>
      </c>
    </row>
    <row r="2267" spans="1:27" ht="23.1" customHeight="1" x14ac:dyDescent="0.25">
      <c r="A2267" s="53" t="s">
        <v>1489</v>
      </c>
      <c r="B2267" s="10" t="s">
        <v>113</v>
      </c>
      <c r="C2267" s="10">
        <v>106</v>
      </c>
      <c r="D2267" s="10" t="s">
        <v>1070</v>
      </c>
      <c r="E2267" s="41" t="s">
        <v>101</v>
      </c>
      <c r="F2267" s="41" t="s">
        <v>101</v>
      </c>
      <c r="G2267" s="21" t="str">
        <f>VLOOKUP(D2267,[6]成飞半成品!$A:$B,2,0)</f>
        <v>前梁一段</v>
      </c>
      <c r="H2267" s="10" t="s">
        <v>300</v>
      </c>
      <c r="I2267" s="10">
        <v>25</v>
      </c>
      <c r="J2267" s="10" t="s">
        <v>2163</v>
      </c>
      <c r="K2267" s="10">
        <v>0.15</v>
      </c>
      <c r="L2267" s="10">
        <v>0.15</v>
      </c>
      <c r="M2267" s="14">
        <v>25</v>
      </c>
      <c r="N2267" s="14">
        <v>25</v>
      </c>
      <c r="O2267" s="55" t="s">
        <v>247</v>
      </c>
      <c r="Q2267" s="10">
        <v>4800</v>
      </c>
      <c r="R2267" s="10">
        <v>180</v>
      </c>
      <c r="U2267" s="10">
        <v>180</v>
      </c>
      <c r="W2267" s="14"/>
      <c r="Y2267" s="79">
        <v>12</v>
      </c>
      <c r="Z2267" s="56" t="s">
        <v>66</v>
      </c>
    </row>
    <row r="2268" spans="1:27" ht="23.1" customHeight="1" x14ac:dyDescent="0.25">
      <c r="A2268" s="53" t="s">
        <v>1489</v>
      </c>
      <c r="B2268" s="10" t="s">
        <v>113</v>
      </c>
      <c r="C2268" s="10">
        <v>101</v>
      </c>
      <c r="D2268" s="10" t="s">
        <v>1099</v>
      </c>
      <c r="E2268" s="41" t="s">
        <v>760</v>
      </c>
      <c r="F2268" s="41" t="e">
        <v>#N/A</v>
      </c>
      <c r="G2268" s="21" t="e">
        <f>VLOOKUP(D2268,[6]成飞半成品!$A:$B,2,0)</f>
        <v>#N/A</v>
      </c>
      <c r="H2268" s="10" t="s">
        <v>300</v>
      </c>
      <c r="I2268" s="10">
        <v>25</v>
      </c>
      <c r="J2268" s="10" t="s">
        <v>2154</v>
      </c>
      <c r="K2268" s="10">
        <v>0.4</v>
      </c>
      <c r="L2268" s="10">
        <v>0.4</v>
      </c>
      <c r="M2268" s="14">
        <v>25</v>
      </c>
      <c r="N2268" s="14">
        <v>25</v>
      </c>
      <c r="O2268" s="55" t="s">
        <v>689</v>
      </c>
      <c r="Q2268" s="10">
        <v>900</v>
      </c>
      <c r="R2268" s="10">
        <v>60</v>
      </c>
      <c r="U2268" s="10">
        <v>180</v>
      </c>
      <c r="W2268" s="14"/>
      <c r="Y2268" s="79">
        <v>6</v>
      </c>
      <c r="Z2268" s="56" t="s">
        <v>66</v>
      </c>
    </row>
    <row r="2269" spans="1:27" ht="23.1" customHeight="1" x14ac:dyDescent="0.25">
      <c r="A2269" s="53" t="s">
        <v>1489</v>
      </c>
      <c r="B2269" s="10" t="s">
        <v>113</v>
      </c>
      <c r="C2269" s="10">
        <v>101</v>
      </c>
      <c r="D2269" s="10" t="s">
        <v>1099</v>
      </c>
      <c r="E2269" s="41" t="s">
        <v>760</v>
      </c>
      <c r="F2269" s="41" t="e">
        <v>#N/A</v>
      </c>
      <c r="G2269" s="21" t="e">
        <f>VLOOKUP(D2269,[6]成飞半成品!$A:$B,2,0)</f>
        <v>#N/A</v>
      </c>
      <c r="H2269" s="10" t="s">
        <v>300</v>
      </c>
      <c r="I2269" s="10">
        <v>25</v>
      </c>
      <c r="J2269" s="10" t="s">
        <v>2154</v>
      </c>
      <c r="K2269" s="10">
        <v>1</v>
      </c>
      <c r="L2269" s="10">
        <v>1</v>
      </c>
      <c r="M2269" s="14">
        <v>25</v>
      </c>
      <c r="N2269" s="14">
        <v>25</v>
      </c>
      <c r="O2269" s="55" t="s">
        <v>689</v>
      </c>
      <c r="P2269" s="10">
        <v>120</v>
      </c>
      <c r="Q2269" s="10">
        <v>900</v>
      </c>
      <c r="R2269" s="10">
        <v>60</v>
      </c>
      <c r="S2269" s="10">
        <v>60</v>
      </c>
      <c r="T2269" s="10">
        <v>1</v>
      </c>
      <c r="U2269" s="10">
        <v>180</v>
      </c>
      <c r="W2269" s="14">
        <v>90</v>
      </c>
      <c r="X2269" s="10">
        <v>2</v>
      </c>
      <c r="Y2269" s="83">
        <v>5</v>
      </c>
      <c r="Z2269" s="56" t="s">
        <v>66</v>
      </c>
      <c r="AA2269" s="14" t="s">
        <v>1396</v>
      </c>
    </row>
    <row r="2270" spans="1:27" ht="23.1" customHeight="1" x14ac:dyDescent="0.25">
      <c r="A2270" s="53" t="s">
        <v>1489</v>
      </c>
      <c r="B2270" s="10" t="s">
        <v>113</v>
      </c>
      <c r="C2270" s="10">
        <v>104</v>
      </c>
      <c r="D2270" s="10" t="s">
        <v>1583</v>
      </c>
      <c r="E2270" s="41" t="s">
        <v>1283</v>
      </c>
      <c r="F2270" s="41" t="s">
        <v>1283</v>
      </c>
      <c r="G2270" s="21" t="str">
        <f>VLOOKUP(D2270,[6]成飞半成品!$A:$B,2,0)</f>
        <v>9框前支柱</v>
      </c>
      <c r="H2270" s="10" t="s">
        <v>102</v>
      </c>
      <c r="I2270" s="10">
        <v>25</v>
      </c>
      <c r="J2270" s="10" t="s">
        <v>2305</v>
      </c>
      <c r="K2270" s="10">
        <v>1</v>
      </c>
      <c r="L2270" s="10">
        <v>0.5</v>
      </c>
      <c r="M2270" s="14">
        <v>25</v>
      </c>
      <c r="N2270" s="14">
        <v>25</v>
      </c>
      <c r="O2270" s="55" t="s">
        <v>596</v>
      </c>
      <c r="Q2270" s="10">
        <v>220</v>
      </c>
      <c r="R2270" s="10">
        <v>60</v>
      </c>
      <c r="T2270" s="10">
        <v>1</v>
      </c>
      <c r="U2270" s="10">
        <v>90</v>
      </c>
      <c r="W2270" s="14">
        <v>1</v>
      </c>
      <c r="Y2270" s="79">
        <v>4.3</v>
      </c>
      <c r="Z2270" s="56" t="s">
        <v>66</v>
      </c>
    </row>
    <row r="2271" spans="1:27" ht="23.1" customHeight="1" x14ac:dyDescent="0.25">
      <c r="A2271" s="53" t="s">
        <v>1489</v>
      </c>
      <c r="B2271" s="10" t="s">
        <v>113</v>
      </c>
      <c r="C2271" s="10">
        <v>104</v>
      </c>
      <c r="D2271" s="10" t="s">
        <v>1582</v>
      </c>
      <c r="E2271" s="41" t="s">
        <v>1283</v>
      </c>
      <c r="F2271" s="41" t="s">
        <v>1283</v>
      </c>
      <c r="G2271" s="21" t="str">
        <f>VLOOKUP(D2271,[6]成飞半成品!$A:$B,2,0)</f>
        <v>9框前支柱</v>
      </c>
      <c r="H2271" s="10" t="s">
        <v>102</v>
      </c>
      <c r="I2271" s="10">
        <v>20</v>
      </c>
      <c r="J2271" s="10" t="s">
        <v>2301</v>
      </c>
      <c r="L2271" s="10">
        <v>0.2</v>
      </c>
      <c r="M2271" s="14">
        <v>25</v>
      </c>
      <c r="N2271" s="14">
        <v>25</v>
      </c>
      <c r="O2271" s="55" t="s">
        <v>596</v>
      </c>
      <c r="Q2271" s="10">
        <v>330</v>
      </c>
      <c r="R2271" s="10">
        <v>60</v>
      </c>
      <c r="U2271" s="10">
        <v>90</v>
      </c>
      <c r="W2271" s="14"/>
      <c r="Y2271" s="79">
        <v>1.1000000000000001</v>
      </c>
      <c r="Z2271" s="56" t="s">
        <v>66</v>
      </c>
    </row>
    <row r="2272" spans="1:27" ht="23.1" customHeight="1" x14ac:dyDescent="0.25">
      <c r="A2272" s="53" t="s">
        <v>1489</v>
      </c>
      <c r="B2272" s="10" t="s">
        <v>113</v>
      </c>
      <c r="C2272" s="10">
        <v>104</v>
      </c>
      <c r="D2272" s="10" t="s">
        <v>1582</v>
      </c>
      <c r="E2272" s="41" t="s">
        <v>1283</v>
      </c>
      <c r="F2272" s="41" t="s">
        <v>1283</v>
      </c>
      <c r="G2272" s="21" t="str">
        <f>VLOOKUP(D2272,[6]成飞半成品!$A:$B,2,0)</f>
        <v>9框前支柱</v>
      </c>
      <c r="H2272" s="10" t="s">
        <v>102</v>
      </c>
      <c r="I2272" s="10">
        <v>25</v>
      </c>
      <c r="J2272" s="10" t="s">
        <v>2305</v>
      </c>
      <c r="L2272" s="10">
        <v>1</v>
      </c>
      <c r="M2272" s="14">
        <v>25</v>
      </c>
      <c r="N2272" s="14">
        <v>25</v>
      </c>
      <c r="O2272" s="55" t="s">
        <v>596</v>
      </c>
      <c r="Q2272" s="10">
        <v>220</v>
      </c>
      <c r="R2272" s="10">
        <v>60</v>
      </c>
      <c r="T2272" s="10">
        <v>1</v>
      </c>
      <c r="U2272" s="10">
        <v>90</v>
      </c>
      <c r="W2272" s="14">
        <v>1</v>
      </c>
      <c r="Y2272" s="79">
        <v>6.2</v>
      </c>
      <c r="Z2272" s="56" t="s">
        <v>66</v>
      </c>
    </row>
    <row r="2273" spans="1:27" ht="23.1" customHeight="1" x14ac:dyDescent="0.25">
      <c r="A2273" s="53" t="s">
        <v>1621</v>
      </c>
      <c r="B2273" s="10" t="s">
        <v>113</v>
      </c>
      <c r="C2273" s="10">
        <v>19</v>
      </c>
      <c r="D2273" s="10" t="s">
        <v>1607</v>
      </c>
      <c r="E2273" s="41" t="s">
        <v>1608</v>
      </c>
      <c r="F2273" s="41" t="s">
        <v>1608</v>
      </c>
      <c r="G2273" s="21" t="str">
        <f>VLOOKUP(D2273,[6]成飞半成品!$A:$B,2,0)</f>
        <v>4号上壁板（左件）</v>
      </c>
      <c r="H2273" s="10" t="s">
        <v>300</v>
      </c>
      <c r="I2273" s="10">
        <v>10</v>
      </c>
      <c r="J2273" s="10" t="s">
        <v>2306</v>
      </c>
      <c r="K2273" s="10">
        <v>1</v>
      </c>
      <c r="L2273" s="10">
        <v>1</v>
      </c>
      <c r="M2273" s="14">
        <v>32</v>
      </c>
      <c r="N2273" s="14">
        <v>32</v>
      </c>
      <c r="O2273" s="55" t="s">
        <v>1622</v>
      </c>
      <c r="Q2273" s="10">
        <v>90</v>
      </c>
      <c r="R2273" s="10">
        <v>60</v>
      </c>
      <c r="T2273" s="10">
        <v>1</v>
      </c>
      <c r="U2273" s="10">
        <v>120</v>
      </c>
      <c r="W2273" s="14">
        <v>1</v>
      </c>
      <c r="Y2273" s="79">
        <v>4.5</v>
      </c>
      <c r="Z2273" s="56" t="s">
        <v>17</v>
      </c>
    </row>
    <row r="2274" spans="1:27" ht="23.1" customHeight="1" x14ac:dyDescent="0.25">
      <c r="A2274" s="53" t="s">
        <v>1621</v>
      </c>
      <c r="B2274" s="10" t="s">
        <v>113</v>
      </c>
      <c r="C2274" s="10">
        <v>19</v>
      </c>
      <c r="D2274" s="10" t="s">
        <v>1604</v>
      </c>
      <c r="E2274" s="41" t="s">
        <v>1605</v>
      </c>
      <c r="F2274" s="41" t="s">
        <v>1605</v>
      </c>
      <c r="G2274" s="21" t="str">
        <f>VLOOKUP(D2274,[6]成飞半成品!$A:$B,2,0)</f>
        <v>4号上壁板（右件）</v>
      </c>
      <c r="H2274" s="10" t="s">
        <v>300</v>
      </c>
      <c r="I2274" s="10">
        <v>10</v>
      </c>
      <c r="J2274" s="10" t="s">
        <v>2306</v>
      </c>
      <c r="K2274" s="10">
        <v>3</v>
      </c>
      <c r="L2274" s="10">
        <v>3</v>
      </c>
      <c r="M2274" s="14">
        <v>32</v>
      </c>
      <c r="N2274" s="14">
        <v>32</v>
      </c>
      <c r="O2274" s="55" t="s">
        <v>1623</v>
      </c>
      <c r="Q2274" s="10">
        <v>90</v>
      </c>
      <c r="R2274" s="10">
        <v>60</v>
      </c>
      <c r="T2274" s="10">
        <v>3</v>
      </c>
      <c r="U2274" s="10">
        <v>120</v>
      </c>
      <c r="W2274" s="14"/>
      <c r="Y2274" s="79">
        <v>7.5</v>
      </c>
      <c r="Z2274" s="56" t="s">
        <v>17</v>
      </c>
    </row>
    <row r="2275" spans="1:27" ht="23.1" customHeight="1" x14ac:dyDescent="0.25">
      <c r="A2275" s="53" t="s">
        <v>1621</v>
      </c>
      <c r="B2275" s="10" t="s">
        <v>113</v>
      </c>
      <c r="C2275" s="10">
        <v>44</v>
      </c>
      <c r="D2275" s="10" t="s">
        <v>495</v>
      </c>
      <c r="E2275" s="41" t="s">
        <v>267</v>
      </c>
      <c r="F2275" s="41" t="s">
        <v>267</v>
      </c>
      <c r="G2275" s="21" t="str">
        <f>VLOOKUP(D2275,[6]成飞半成品!$A:$B,2,0)</f>
        <v>后端框</v>
      </c>
      <c r="H2275" s="10" t="s">
        <v>118</v>
      </c>
      <c r="I2275" s="10">
        <v>15</v>
      </c>
      <c r="J2275" s="10" t="s">
        <v>2262</v>
      </c>
      <c r="L2275" s="10">
        <v>0.9</v>
      </c>
      <c r="M2275" s="14">
        <v>32</v>
      </c>
      <c r="N2275" s="14">
        <v>32</v>
      </c>
      <c r="O2275" s="55" t="s">
        <v>221</v>
      </c>
      <c r="Q2275" s="10">
        <v>190</v>
      </c>
      <c r="R2275" s="10">
        <v>90</v>
      </c>
      <c r="T2275" s="10">
        <v>1</v>
      </c>
      <c r="U2275" s="10">
        <v>60</v>
      </c>
      <c r="W2275" s="14">
        <v>1</v>
      </c>
      <c r="Y2275" s="79">
        <v>5.4</v>
      </c>
      <c r="Z2275" s="56" t="s">
        <v>64</v>
      </c>
    </row>
    <row r="2276" spans="1:27" ht="23.1" customHeight="1" x14ac:dyDescent="0.25">
      <c r="A2276" s="53" t="s">
        <v>1621</v>
      </c>
      <c r="B2276" s="10" t="s">
        <v>113</v>
      </c>
      <c r="C2276" s="10">
        <v>44</v>
      </c>
      <c r="D2276" s="10" t="s">
        <v>266</v>
      </c>
      <c r="E2276" s="41" t="s">
        <v>267</v>
      </c>
      <c r="F2276" s="41" t="s">
        <v>267</v>
      </c>
      <c r="G2276" s="21" t="str">
        <f>VLOOKUP(D2276,[6]成飞半成品!$A:$B,2,0)</f>
        <v>后端框</v>
      </c>
      <c r="H2276" s="10" t="s">
        <v>118</v>
      </c>
      <c r="I2276" s="10">
        <v>15</v>
      </c>
      <c r="J2276" s="10" t="s">
        <v>2262</v>
      </c>
      <c r="K2276" s="10">
        <v>5</v>
      </c>
      <c r="L2276" s="10">
        <v>5</v>
      </c>
      <c r="M2276" s="14">
        <v>32</v>
      </c>
      <c r="N2276" s="14">
        <v>32</v>
      </c>
      <c r="O2276" s="55" t="s">
        <v>491</v>
      </c>
      <c r="Q2276" s="10">
        <v>190</v>
      </c>
      <c r="R2276" s="10">
        <v>90</v>
      </c>
      <c r="T2276" s="10">
        <v>5</v>
      </c>
      <c r="U2276" s="10">
        <v>60</v>
      </c>
      <c r="W2276" s="14"/>
      <c r="Y2276" s="79">
        <v>23.3</v>
      </c>
      <c r="Z2276" s="56" t="s">
        <v>64</v>
      </c>
    </row>
    <row r="2277" spans="1:27" ht="23.1" customHeight="1" x14ac:dyDescent="0.25">
      <c r="A2277" s="53" t="s">
        <v>1621</v>
      </c>
      <c r="B2277" s="10" t="s">
        <v>113</v>
      </c>
      <c r="C2277" s="10">
        <v>97</v>
      </c>
      <c r="D2277" s="10" t="s">
        <v>1239</v>
      </c>
      <c r="E2277" s="41" t="s">
        <v>1065</v>
      </c>
      <c r="F2277" s="41" t="s">
        <v>1065</v>
      </c>
      <c r="G2277" s="21" t="str">
        <f>VLOOKUP(D2277,[6]成飞半成品!$A:$B,2,0)</f>
        <v>根肋三段</v>
      </c>
      <c r="H2277" s="10" t="s">
        <v>250</v>
      </c>
      <c r="I2277" s="10">
        <v>65</v>
      </c>
      <c r="J2277" s="10" t="s">
        <v>2184</v>
      </c>
      <c r="K2277" s="10">
        <v>2</v>
      </c>
      <c r="L2277" s="10">
        <v>2</v>
      </c>
      <c r="M2277" s="14">
        <v>32</v>
      </c>
      <c r="N2277" s="14">
        <v>32</v>
      </c>
      <c r="O2277" s="55" t="s">
        <v>429</v>
      </c>
      <c r="Q2277" s="10">
        <v>60</v>
      </c>
      <c r="R2277" s="10">
        <v>60</v>
      </c>
      <c r="T2277" s="10">
        <v>2</v>
      </c>
      <c r="U2277" s="10">
        <v>60</v>
      </c>
      <c r="W2277" s="14"/>
      <c r="Y2277" s="79">
        <v>4</v>
      </c>
      <c r="Z2277" s="56" t="s">
        <v>39</v>
      </c>
    </row>
    <row r="2278" spans="1:27" ht="23.1" customHeight="1" x14ac:dyDescent="0.25">
      <c r="A2278" s="53" t="s">
        <v>1621</v>
      </c>
      <c r="B2278" s="10" t="s">
        <v>113</v>
      </c>
      <c r="C2278" s="10">
        <v>97</v>
      </c>
      <c r="D2278" s="10" t="s">
        <v>1239</v>
      </c>
      <c r="E2278" s="41" t="s">
        <v>1065</v>
      </c>
      <c r="F2278" s="41" t="s">
        <v>1065</v>
      </c>
      <c r="G2278" s="21" t="str">
        <f>VLOOKUP(D2278,[6]成飞半成品!$A:$B,2,0)</f>
        <v>根肋三段</v>
      </c>
      <c r="H2278" s="10" t="s">
        <v>250</v>
      </c>
      <c r="I2278" s="10">
        <v>70</v>
      </c>
      <c r="J2278" s="10" t="s">
        <v>2101</v>
      </c>
      <c r="K2278" s="10">
        <v>6</v>
      </c>
      <c r="L2278" s="10">
        <v>4</v>
      </c>
      <c r="M2278" s="14">
        <v>32</v>
      </c>
      <c r="N2278" s="14">
        <v>32</v>
      </c>
      <c r="O2278" s="55" t="s">
        <v>429</v>
      </c>
      <c r="Q2278" s="10">
        <v>90</v>
      </c>
      <c r="R2278" s="10">
        <v>60</v>
      </c>
      <c r="T2278" s="10">
        <v>4</v>
      </c>
      <c r="U2278" s="10">
        <v>90</v>
      </c>
      <c r="W2278" s="14">
        <v>1</v>
      </c>
      <c r="Y2278" s="79">
        <v>11.5</v>
      </c>
      <c r="Z2278" s="56" t="s">
        <v>39</v>
      </c>
    </row>
    <row r="2279" spans="1:27" ht="23.1" customHeight="1" x14ac:dyDescent="0.25">
      <c r="A2279" s="53" t="s">
        <v>1621</v>
      </c>
      <c r="B2279" s="10" t="s">
        <v>113</v>
      </c>
      <c r="C2279" s="10">
        <v>101</v>
      </c>
      <c r="D2279" s="10" t="s">
        <v>1099</v>
      </c>
      <c r="E2279" s="41" t="s">
        <v>760</v>
      </c>
      <c r="F2279" s="41" t="e">
        <v>#N/A</v>
      </c>
      <c r="G2279" s="21" t="e">
        <f>VLOOKUP(D2279,[6]成飞半成品!$A:$B,2,0)</f>
        <v>#N/A</v>
      </c>
      <c r="H2279" s="10" t="s">
        <v>300</v>
      </c>
      <c r="I2279" s="10">
        <v>30</v>
      </c>
      <c r="J2279" s="10" t="s">
        <v>2133</v>
      </c>
      <c r="K2279" s="10">
        <v>0.9</v>
      </c>
      <c r="L2279" s="10">
        <v>1.4</v>
      </c>
      <c r="M2279" s="14">
        <v>32</v>
      </c>
      <c r="N2279" s="14">
        <v>32</v>
      </c>
      <c r="O2279" s="55" t="s">
        <v>1080</v>
      </c>
      <c r="Q2279" s="10">
        <v>700</v>
      </c>
      <c r="R2279" s="10">
        <v>60</v>
      </c>
      <c r="T2279" s="10">
        <v>1</v>
      </c>
      <c r="U2279" s="10">
        <v>120</v>
      </c>
      <c r="W2279" s="14"/>
      <c r="Y2279" s="79">
        <v>17.3</v>
      </c>
      <c r="Z2279" s="56" t="s">
        <v>47</v>
      </c>
      <c r="AA2279" s="14" t="s">
        <v>1624</v>
      </c>
    </row>
    <row r="2280" spans="1:27" ht="23.1" customHeight="1" x14ac:dyDescent="0.25">
      <c r="A2280" s="53" t="s">
        <v>1621</v>
      </c>
      <c r="B2280" s="10" t="s">
        <v>113</v>
      </c>
      <c r="C2280" s="10">
        <v>105</v>
      </c>
      <c r="D2280" s="10" t="s">
        <v>1176</v>
      </c>
      <c r="E2280" s="41" t="s">
        <v>1098</v>
      </c>
      <c r="F2280" s="41" t="s">
        <v>1098</v>
      </c>
      <c r="G2280" s="21" t="str">
        <f>VLOOKUP(D2280,[6]成飞半成品!$A:$B,2,0)</f>
        <v>根肋一段</v>
      </c>
      <c r="H2280" s="10" t="s">
        <v>250</v>
      </c>
      <c r="I2280" s="10">
        <v>60</v>
      </c>
      <c r="J2280" s="10" t="s">
        <v>2502</v>
      </c>
      <c r="K2280" s="10">
        <v>3</v>
      </c>
      <c r="L2280" s="10">
        <v>3</v>
      </c>
      <c r="M2280" s="14">
        <v>32</v>
      </c>
      <c r="N2280" s="14">
        <v>32</v>
      </c>
      <c r="O2280" s="55" t="s">
        <v>429</v>
      </c>
      <c r="Q2280" s="10">
        <v>90</v>
      </c>
      <c r="R2280" s="10">
        <v>60</v>
      </c>
      <c r="T2280" s="10">
        <v>3</v>
      </c>
      <c r="U2280" s="10">
        <v>90</v>
      </c>
      <c r="W2280" s="14"/>
      <c r="Y2280" s="79">
        <v>7.5</v>
      </c>
      <c r="Z2280" s="56" t="s">
        <v>9</v>
      </c>
    </row>
    <row r="2281" spans="1:27" ht="23.1" customHeight="1" x14ac:dyDescent="0.25">
      <c r="A2281" s="53" t="s">
        <v>1621</v>
      </c>
      <c r="B2281" s="10" t="s">
        <v>113</v>
      </c>
      <c r="C2281" s="10">
        <v>105</v>
      </c>
      <c r="D2281" s="10" t="s">
        <v>1176</v>
      </c>
      <c r="E2281" s="41" t="s">
        <v>1098</v>
      </c>
      <c r="F2281" s="41" t="s">
        <v>1098</v>
      </c>
      <c r="G2281" s="21" t="str">
        <f>VLOOKUP(D2281,[6]成飞半成品!$A:$B,2,0)</f>
        <v>根肋一段</v>
      </c>
      <c r="H2281" s="10" t="s">
        <v>250</v>
      </c>
      <c r="I2281" s="10">
        <v>60</v>
      </c>
      <c r="J2281" s="10" t="s">
        <v>2307</v>
      </c>
      <c r="K2281" s="10">
        <v>0.3</v>
      </c>
      <c r="M2281" s="14">
        <v>32</v>
      </c>
      <c r="N2281" s="14">
        <v>32</v>
      </c>
      <c r="O2281" s="55" t="s">
        <v>292</v>
      </c>
      <c r="Q2281" s="10">
        <v>90</v>
      </c>
      <c r="R2281" s="10">
        <v>60</v>
      </c>
      <c r="T2281" s="10">
        <v>1</v>
      </c>
      <c r="U2281" s="10">
        <v>90</v>
      </c>
      <c r="W2281" s="14">
        <v>1</v>
      </c>
      <c r="Y2281" s="79">
        <v>2.5</v>
      </c>
      <c r="Z2281" s="56" t="s">
        <v>9</v>
      </c>
    </row>
    <row r="2282" spans="1:27" ht="23.1" customHeight="1" x14ac:dyDescent="0.25">
      <c r="A2282" s="53" t="s">
        <v>1621</v>
      </c>
      <c r="B2282" s="10" t="s">
        <v>113</v>
      </c>
      <c r="C2282" s="10">
        <v>99</v>
      </c>
      <c r="D2282" s="10" t="s">
        <v>738</v>
      </c>
      <c r="E2282" s="41" t="s">
        <v>739</v>
      </c>
      <c r="F2282" s="41" t="s">
        <v>739</v>
      </c>
      <c r="G2282" s="21" t="str">
        <f>VLOOKUP(D2282,[6]成飞半成品!$A:$B,2,0)</f>
        <v>BL280侧壁（右件）</v>
      </c>
      <c r="H2282" s="10" t="s">
        <v>107</v>
      </c>
      <c r="I2282" s="10">
        <v>15</v>
      </c>
      <c r="J2282" s="10" t="s">
        <v>2142</v>
      </c>
      <c r="K2282" s="10">
        <v>1.5</v>
      </c>
      <c r="L2282" s="10">
        <v>2.1</v>
      </c>
      <c r="M2282" s="14">
        <v>32</v>
      </c>
      <c r="N2282" s="14">
        <v>32</v>
      </c>
      <c r="O2282" s="55" t="s">
        <v>1625</v>
      </c>
      <c r="Q2282" s="10">
        <v>480</v>
      </c>
      <c r="R2282" s="10">
        <v>60</v>
      </c>
      <c r="T2282" s="10">
        <v>2</v>
      </c>
      <c r="U2282" s="10">
        <v>120</v>
      </c>
      <c r="W2282" s="14"/>
      <c r="Y2282" s="79">
        <v>18.8</v>
      </c>
      <c r="Z2282" s="56" t="s">
        <v>29</v>
      </c>
    </row>
    <row r="2283" spans="1:27" ht="23.1" customHeight="1" x14ac:dyDescent="0.25">
      <c r="A2283" s="53" t="s">
        <v>1621</v>
      </c>
      <c r="B2283" s="10" t="s">
        <v>113</v>
      </c>
      <c r="C2283" s="10">
        <v>103</v>
      </c>
      <c r="D2283" s="10" t="s">
        <v>1615</v>
      </c>
      <c r="E2283" s="41" t="s">
        <v>259</v>
      </c>
      <c r="F2283" s="41" t="s">
        <v>259</v>
      </c>
      <c r="G2283" s="21" t="str">
        <f>VLOOKUP(D2283,[6]成飞半成品!$A:$B,2,0)</f>
        <v>梁</v>
      </c>
      <c r="H2283" s="10" t="s">
        <v>123</v>
      </c>
      <c r="I2283" s="10">
        <v>15</v>
      </c>
      <c r="J2283" s="10" t="s">
        <v>1926</v>
      </c>
      <c r="K2283" s="10">
        <v>3</v>
      </c>
      <c r="L2283" s="10">
        <v>4</v>
      </c>
      <c r="M2283" s="14">
        <v>32</v>
      </c>
      <c r="N2283" s="14">
        <v>32</v>
      </c>
      <c r="O2283" s="55" t="s">
        <v>1626</v>
      </c>
      <c r="Q2283" s="10">
        <v>140</v>
      </c>
      <c r="R2283" s="10">
        <v>60</v>
      </c>
      <c r="T2283" s="10">
        <v>3</v>
      </c>
      <c r="U2283" s="10">
        <v>60</v>
      </c>
      <c r="W2283" s="14"/>
      <c r="Y2283" s="79">
        <v>12.3</v>
      </c>
      <c r="Z2283" s="56" t="s">
        <v>61</v>
      </c>
    </row>
    <row r="2284" spans="1:27" ht="23.1" customHeight="1" x14ac:dyDescent="0.25">
      <c r="A2284" s="53" t="s">
        <v>1621</v>
      </c>
      <c r="B2284" s="10" t="s">
        <v>113</v>
      </c>
      <c r="C2284" s="10">
        <v>102</v>
      </c>
      <c r="D2284" s="10" t="s">
        <v>1097</v>
      </c>
      <c r="E2284" s="41" t="s">
        <v>1098</v>
      </c>
      <c r="F2284" s="41" t="s">
        <v>1098</v>
      </c>
      <c r="G2284" s="21" t="str">
        <f>VLOOKUP(D2284,[6]成飞半成品!$A:$B,2,0)</f>
        <v>根肋一段</v>
      </c>
      <c r="H2284" s="10" t="s">
        <v>250</v>
      </c>
      <c r="I2284" s="10">
        <v>50</v>
      </c>
      <c r="J2284" s="10" t="s">
        <v>2185</v>
      </c>
      <c r="K2284" s="10">
        <v>0.4</v>
      </c>
      <c r="L2284" s="10">
        <v>0.4</v>
      </c>
      <c r="M2284" s="14">
        <v>32</v>
      </c>
      <c r="N2284" s="14">
        <v>32</v>
      </c>
      <c r="O2284" s="55" t="s">
        <v>292</v>
      </c>
      <c r="Q2284" s="10">
        <v>1080</v>
      </c>
      <c r="R2284" s="10">
        <v>60</v>
      </c>
      <c r="U2284" s="10">
        <v>120</v>
      </c>
      <c r="W2284" s="14"/>
      <c r="Y2284" s="79">
        <v>7.2</v>
      </c>
      <c r="Z2284" s="56" t="s">
        <v>34</v>
      </c>
    </row>
    <row r="2285" spans="1:27" ht="23.1" customHeight="1" x14ac:dyDescent="0.25">
      <c r="A2285" s="53" t="s">
        <v>1621</v>
      </c>
      <c r="B2285" s="10" t="s">
        <v>113</v>
      </c>
      <c r="C2285" s="10">
        <v>102</v>
      </c>
      <c r="D2285" s="10" t="s">
        <v>1108</v>
      </c>
      <c r="E2285" s="41" t="s">
        <v>1109</v>
      </c>
      <c r="F2285" s="41" t="s">
        <v>1109</v>
      </c>
      <c r="G2285" s="21" t="str">
        <f>VLOOKUP(D2285,[6]成飞半成品!$A:$B,2,0)</f>
        <v>11900梁一段（左件）</v>
      </c>
      <c r="H2285" s="47" t="s">
        <v>323</v>
      </c>
      <c r="I2285" s="10">
        <v>45</v>
      </c>
      <c r="J2285" s="10" t="s">
        <v>2138</v>
      </c>
      <c r="L2285" s="10">
        <v>0.3</v>
      </c>
      <c r="M2285" s="14">
        <v>32</v>
      </c>
      <c r="N2285" s="14">
        <v>32</v>
      </c>
      <c r="O2285" s="55" t="s">
        <v>282</v>
      </c>
      <c r="Q2285" s="10">
        <v>1080</v>
      </c>
      <c r="R2285" s="10">
        <v>60</v>
      </c>
      <c r="T2285" s="10">
        <v>1</v>
      </c>
      <c r="U2285" s="10">
        <v>150</v>
      </c>
      <c r="W2285" s="14">
        <v>1</v>
      </c>
      <c r="X2285" s="14">
        <v>3</v>
      </c>
      <c r="Y2285" s="79">
        <v>11.9</v>
      </c>
      <c r="Z2285" s="56" t="s">
        <v>34</v>
      </c>
      <c r="AA2285" s="14" t="s">
        <v>1572</v>
      </c>
    </row>
    <row r="2286" spans="1:27" ht="23.1" customHeight="1" x14ac:dyDescent="0.25">
      <c r="A2286" s="53" t="s">
        <v>1621</v>
      </c>
      <c r="B2286" s="10" t="s">
        <v>113</v>
      </c>
      <c r="C2286" s="10">
        <v>104</v>
      </c>
      <c r="D2286" s="10" t="s">
        <v>1627</v>
      </c>
      <c r="E2286" s="41" t="s">
        <v>1570</v>
      </c>
      <c r="F2286" s="41" t="s">
        <v>1570</v>
      </c>
      <c r="G2286" s="21" t="str">
        <f>VLOOKUP(D2286,[6]成飞半成品!$A:$B,2,0)</f>
        <v>剖形支柱</v>
      </c>
      <c r="H2286" s="10" t="s">
        <v>102</v>
      </c>
      <c r="I2286" s="10">
        <v>25</v>
      </c>
      <c r="J2286" s="10" t="s">
        <v>2054</v>
      </c>
      <c r="K2286" s="10">
        <v>1</v>
      </c>
      <c r="L2286" s="10">
        <v>1</v>
      </c>
      <c r="M2286" s="14">
        <v>32</v>
      </c>
      <c r="N2286" s="14">
        <v>32</v>
      </c>
      <c r="O2286" s="55" t="s">
        <v>596</v>
      </c>
      <c r="Q2286" s="10">
        <v>180</v>
      </c>
      <c r="R2286" s="10">
        <v>60</v>
      </c>
      <c r="U2286" s="10">
        <v>60</v>
      </c>
      <c r="W2286" s="14"/>
      <c r="Y2286" s="79">
        <v>3</v>
      </c>
      <c r="Z2286" s="56" t="s">
        <v>34</v>
      </c>
    </row>
    <row r="2287" spans="1:27" ht="23.1" customHeight="1" x14ac:dyDescent="0.25">
      <c r="A2287" s="53" t="s">
        <v>1621</v>
      </c>
      <c r="B2287" s="10" t="s">
        <v>113</v>
      </c>
      <c r="C2287" s="10">
        <v>104</v>
      </c>
      <c r="D2287" s="10" t="s">
        <v>1595</v>
      </c>
      <c r="E2287" s="41" t="s">
        <v>1570</v>
      </c>
      <c r="F2287" s="41" t="s">
        <v>1570</v>
      </c>
      <c r="G2287" s="21" t="str">
        <f>VLOOKUP(D2287,[6]成飞半成品!$A:$B,2,0)</f>
        <v>剖形支柱</v>
      </c>
      <c r="H2287" s="10" t="s">
        <v>102</v>
      </c>
      <c r="I2287" s="10">
        <v>25</v>
      </c>
      <c r="J2287" s="10" t="s">
        <v>2054</v>
      </c>
      <c r="L2287" s="10">
        <v>1</v>
      </c>
      <c r="M2287" s="14">
        <v>32</v>
      </c>
      <c r="N2287" s="14">
        <v>32</v>
      </c>
      <c r="O2287" s="55" t="s">
        <v>596</v>
      </c>
      <c r="Q2287" s="10">
        <v>180</v>
      </c>
      <c r="R2287" s="10">
        <v>60</v>
      </c>
      <c r="T2287" s="10">
        <v>1</v>
      </c>
      <c r="U2287" s="10">
        <v>60</v>
      </c>
      <c r="W2287" s="14">
        <v>1</v>
      </c>
      <c r="Y2287" s="79">
        <v>5</v>
      </c>
      <c r="Z2287" s="56" t="s">
        <v>34</v>
      </c>
    </row>
    <row r="2288" spans="1:27" ht="23.1" customHeight="1" x14ac:dyDescent="0.25">
      <c r="A2288" s="53" t="s">
        <v>1621</v>
      </c>
      <c r="B2288" s="10" t="s">
        <v>113</v>
      </c>
      <c r="C2288" s="10">
        <v>104</v>
      </c>
      <c r="D2288" s="10" t="s">
        <v>1569</v>
      </c>
      <c r="E2288" s="41" t="s">
        <v>1570</v>
      </c>
      <c r="F2288" s="41" t="s">
        <v>1570</v>
      </c>
      <c r="G2288" s="21" t="str">
        <f>VLOOKUP(D2288,[6]成飞半成品!$A:$B,2,0)</f>
        <v>剖形支柱</v>
      </c>
      <c r="H2288" s="10" t="s">
        <v>102</v>
      </c>
      <c r="I2288" s="10">
        <v>25</v>
      </c>
      <c r="J2288" s="10" t="s">
        <v>2054</v>
      </c>
      <c r="L2288" s="10">
        <v>1</v>
      </c>
      <c r="M2288" s="14">
        <v>32</v>
      </c>
      <c r="N2288" s="14">
        <v>32</v>
      </c>
      <c r="O2288" s="55" t="s">
        <v>596</v>
      </c>
      <c r="Q2288" s="10">
        <v>180</v>
      </c>
      <c r="R2288" s="10">
        <v>60</v>
      </c>
      <c r="T2288" s="10">
        <v>1</v>
      </c>
      <c r="U2288" s="10">
        <v>60</v>
      </c>
      <c r="W2288" s="14">
        <v>1</v>
      </c>
      <c r="Y2288" s="79">
        <v>5</v>
      </c>
      <c r="Z2288" s="56" t="s">
        <v>34</v>
      </c>
    </row>
    <row r="2289" spans="1:27" ht="23.1" customHeight="1" x14ac:dyDescent="0.25">
      <c r="A2289" s="53" t="s">
        <v>1621</v>
      </c>
      <c r="B2289" s="10" t="s">
        <v>113</v>
      </c>
      <c r="C2289" s="10">
        <v>98</v>
      </c>
      <c r="D2289" s="10" t="s">
        <v>404</v>
      </c>
      <c r="E2289" s="41" t="s">
        <v>405</v>
      </c>
      <c r="F2289" s="41" t="s">
        <v>405</v>
      </c>
      <c r="G2289" s="21" t="str">
        <f>VLOOKUP(D2289,[6]成飞半成品!$A:$B,2,0)</f>
        <v>11140框右下半框</v>
      </c>
      <c r="H2289" s="10" t="s">
        <v>118</v>
      </c>
      <c r="I2289" s="10">
        <v>15</v>
      </c>
      <c r="J2289" s="10" t="s">
        <v>2144</v>
      </c>
      <c r="K2289" s="10">
        <v>1</v>
      </c>
      <c r="L2289" s="10">
        <v>1</v>
      </c>
      <c r="M2289" s="14">
        <v>32</v>
      </c>
      <c r="N2289" s="14">
        <v>32</v>
      </c>
      <c r="O2289" s="55" t="s">
        <v>722</v>
      </c>
      <c r="Q2289" s="10">
        <v>720</v>
      </c>
      <c r="R2289" s="10">
        <v>60</v>
      </c>
      <c r="T2289" s="10">
        <v>1</v>
      </c>
      <c r="U2289" s="10">
        <v>120</v>
      </c>
      <c r="W2289" s="14"/>
      <c r="Y2289" s="79">
        <v>13</v>
      </c>
      <c r="Z2289" s="56" t="s">
        <v>34</v>
      </c>
    </row>
    <row r="2290" spans="1:27" ht="23.1" customHeight="1" x14ac:dyDescent="0.25">
      <c r="A2290" s="53" t="s">
        <v>1621</v>
      </c>
      <c r="B2290" s="10" t="s">
        <v>113</v>
      </c>
      <c r="C2290" s="10">
        <v>106</v>
      </c>
      <c r="D2290" s="10" t="s">
        <v>1070</v>
      </c>
      <c r="E2290" s="41" t="s">
        <v>101</v>
      </c>
      <c r="F2290" s="41" t="s">
        <v>101</v>
      </c>
      <c r="G2290" s="21" t="str">
        <f>VLOOKUP(D2290,[6]成飞半成品!$A:$B,2,0)</f>
        <v>前梁一段</v>
      </c>
      <c r="H2290" s="10" t="s">
        <v>300</v>
      </c>
      <c r="I2290" s="10">
        <v>30</v>
      </c>
      <c r="J2290" s="10" t="s">
        <v>2503</v>
      </c>
      <c r="K2290" s="10">
        <v>0.5</v>
      </c>
      <c r="L2290" s="10">
        <v>0.5</v>
      </c>
      <c r="M2290" s="14">
        <v>32</v>
      </c>
      <c r="N2290" s="14">
        <v>32</v>
      </c>
      <c r="O2290" s="55" t="s">
        <v>247</v>
      </c>
      <c r="Q2290" s="10">
        <v>1500</v>
      </c>
      <c r="R2290" s="10">
        <v>180</v>
      </c>
      <c r="U2290" s="10">
        <v>180</v>
      </c>
      <c r="W2290" s="14"/>
      <c r="Y2290" s="79">
        <v>12.5</v>
      </c>
      <c r="Z2290" s="56" t="s">
        <v>34</v>
      </c>
    </row>
    <row r="2291" spans="1:27" ht="23.1" customHeight="1" x14ac:dyDescent="0.25">
      <c r="A2291" s="53" t="s">
        <v>1621</v>
      </c>
      <c r="B2291" s="10" t="s">
        <v>113</v>
      </c>
      <c r="C2291" s="10">
        <v>118</v>
      </c>
      <c r="D2291" s="10" t="s">
        <v>1171</v>
      </c>
      <c r="E2291" s="41" t="s">
        <v>1172</v>
      </c>
      <c r="F2291" s="41" t="s">
        <v>1172</v>
      </c>
      <c r="G2291" s="21" t="str">
        <f>VLOOKUP(D2291,[6]成飞半成品!$A:$B,2,0)</f>
        <v>后梁</v>
      </c>
      <c r="H2291" s="10" t="s">
        <v>300</v>
      </c>
      <c r="I2291" s="10">
        <v>30</v>
      </c>
      <c r="J2291" s="10" t="s">
        <v>2170</v>
      </c>
      <c r="L2291" s="10">
        <v>0.6</v>
      </c>
      <c r="M2291" s="14">
        <v>32</v>
      </c>
      <c r="N2291" s="14">
        <v>32</v>
      </c>
      <c r="O2291" s="55" t="s">
        <v>719</v>
      </c>
      <c r="Q2291" s="10">
        <v>1500</v>
      </c>
      <c r="R2291" s="10">
        <v>60</v>
      </c>
      <c r="U2291" s="10">
        <v>120</v>
      </c>
      <c r="W2291" s="14"/>
      <c r="Y2291" s="79">
        <v>15</v>
      </c>
      <c r="Z2291" s="56" t="s">
        <v>34</v>
      </c>
    </row>
    <row r="2292" spans="1:27" ht="23.1" customHeight="1" x14ac:dyDescent="0.25">
      <c r="A2292" s="53" t="s">
        <v>1621</v>
      </c>
      <c r="B2292" s="10" t="s">
        <v>113</v>
      </c>
      <c r="C2292" s="10">
        <v>117</v>
      </c>
      <c r="D2292" s="10" t="s">
        <v>1083</v>
      </c>
      <c r="E2292" s="41" t="s">
        <v>1082</v>
      </c>
      <c r="F2292" s="41" t="s">
        <v>1082</v>
      </c>
      <c r="G2292" s="21" t="str">
        <f>VLOOKUP(D2292,[6]成飞半成品!$A:$B,2,0)</f>
        <v xml:space="preserve"> 前梁</v>
      </c>
      <c r="H2292" s="10" t="s">
        <v>123</v>
      </c>
      <c r="I2292" s="10">
        <v>35</v>
      </c>
      <c r="J2292" s="10" t="s">
        <v>2201</v>
      </c>
      <c r="L2292" s="10">
        <v>0.6</v>
      </c>
      <c r="M2292" s="14">
        <v>32</v>
      </c>
      <c r="N2292" s="14">
        <v>32</v>
      </c>
      <c r="O2292" s="55" t="s">
        <v>780</v>
      </c>
      <c r="Q2292" s="10">
        <v>700</v>
      </c>
      <c r="R2292" s="10">
        <v>60</v>
      </c>
      <c r="U2292" s="10">
        <v>90</v>
      </c>
      <c r="W2292" s="14"/>
      <c r="X2292" s="14">
        <v>3</v>
      </c>
      <c r="Y2292" s="79">
        <v>10</v>
      </c>
      <c r="Z2292" s="56" t="s">
        <v>34</v>
      </c>
      <c r="AA2292" s="14" t="s">
        <v>1612</v>
      </c>
    </row>
    <row r="2293" spans="1:27" ht="23.1" customHeight="1" x14ac:dyDescent="0.25">
      <c r="A2293" s="53" t="s">
        <v>1621</v>
      </c>
      <c r="B2293" s="10" t="s">
        <v>113</v>
      </c>
      <c r="C2293" s="10">
        <v>100</v>
      </c>
      <c r="D2293" s="10" t="s">
        <v>484</v>
      </c>
      <c r="E2293" s="41" t="s">
        <v>485</v>
      </c>
      <c r="F2293" s="41" t="s">
        <v>485</v>
      </c>
      <c r="G2293" s="21" t="str">
        <f>VLOOKUP(D2293,[6]成飞半成品!$A:$B,2,0)</f>
        <v>8635左隔框</v>
      </c>
      <c r="H2293" s="10" t="s">
        <v>300</v>
      </c>
      <c r="I2293" s="10">
        <v>15</v>
      </c>
      <c r="J2293" s="10" t="s">
        <v>2134</v>
      </c>
      <c r="K2293" s="10">
        <v>1</v>
      </c>
      <c r="L2293" s="10">
        <v>1</v>
      </c>
      <c r="M2293" s="14">
        <v>32</v>
      </c>
      <c r="N2293" s="14">
        <v>32</v>
      </c>
      <c r="O2293" s="55" t="s">
        <v>355</v>
      </c>
      <c r="Q2293" s="10">
        <v>120</v>
      </c>
      <c r="R2293" s="10">
        <v>60</v>
      </c>
      <c r="T2293" s="10">
        <v>1</v>
      </c>
      <c r="U2293" s="10">
        <v>90</v>
      </c>
      <c r="W2293" s="14">
        <v>1</v>
      </c>
      <c r="Y2293" s="79">
        <v>4.5</v>
      </c>
      <c r="Z2293" s="56" t="s">
        <v>34</v>
      </c>
    </row>
    <row r="2294" spans="1:27" ht="23.1" customHeight="1" x14ac:dyDescent="0.25">
      <c r="A2294" s="53" t="s">
        <v>1621</v>
      </c>
      <c r="B2294" s="10" t="s">
        <v>113</v>
      </c>
      <c r="C2294" s="10">
        <v>100</v>
      </c>
      <c r="D2294" s="10" t="s">
        <v>484</v>
      </c>
      <c r="E2294" s="41" t="s">
        <v>485</v>
      </c>
      <c r="F2294" s="41" t="s">
        <v>485</v>
      </c>
      <c r="G2294" s="21" t="str">
        <f>VLOOKUP(D2294,[6]成飞半成品!$A:$B,2,0)</f>
        <v>8635左隔框</v>
      </c>
      <c r="H2294" s="10" t="s">
        <v>300</v>
      </c>
      <c r="I2294" s="10">
        <v>20</v>
      </c>
      <c r="J2294" s="10" t="s">
        <v>2135</v>
      </c>
      <c r="K2294" s="10">
        <v>1</v>
      </c>
      <c r="L2294" s="10">
        <v>1</v>
      </c>
      <c r="M2294" s="14">
        <v>32</v>
      </c>
      <c r="N2294" s="14">
        <v>32</v>
      </c>
      <c r="O2294" s="55" t="s">
        <v>355</v>
      </c>
      <c r="Q2294" s="10">
        <v>420</v>
      </c>
      <c r="R2294" s="10">
        <v>60</v>
      </c>
      <c r="T2294" s="10">
        <v>1</v>
      </c>
      <c r="U2294" s="10">
        <v>90</v>
      </c>
      <c r="W2294" s="14">
        <v>1</v>
      </c>
      <c r="Y2294" s="79">
        <v>9.5</v>
      </c>
      <c r="Z2294" s="56" t="s">
        <v>34</v>
      </c>
    </row>
    <row r="2295" spans="1:27" ht="23.1" customHeight="1" x14ac:dyDescent="0.25">
      <c r="A2295" s="53" t="s">
        <v>1621</v>
      </c>
      <c r="B2295" s="10" t="s">
        <v>113</v>
      </c>
      <c r="C2295" s="10">
        <v>83</v>
      </c>
      <c r="D2295" s="10" t="s">
        <v>1095</v>
      </c>
      <c r="E2295" s="41" t="s">
        <v>1096</v>
      </c>
      <c r="F2295" s="41" t="s">
        <v>1096</v>
      </c>
      <c r="G2295" s="21" t="str">
        <f>VLOOKUP(D2295,[6]成飞半成品!$A:$B,2,0)</f>
        <v>1150肋根肋</v>
      </c>
      <c r="H2295" s="10" t="s">
        <v>658</v>
      </c>
      <c r="I2295" s="10">
        <v>30</v>
      </c>
      <c r="J2295" s="10" t="s">
        <v>2131</v>
      </c>
      <c r="K2295" s="10">
        <v>1.5</v>
      </c>
      <c r="L2295" s="10">
        <v>1.5</v>
      </c>
      <c r="M2295" s="14">
        <v>32</v>
      </c>
      <c r="N2295" s="14">
        <v>32</v>
      </c>
      <c r="O2295" s="55" t="s">
        <v>351</v>
      </c>
      <c r="Q2295" s="10">
        <v>570</v>
      </c>
      <c r="R2295" s="10">
        <v>60</v>
      </c>
      <c r="T2295" s="10">
        <v>1</v>
      </c>
      <c r="U2295" s="10">
        <v>120</v>
      </c>
      <c r="W2295" s="14"/>
      <c r="Y2295" s="79">
        <v>15.3</v>
      </c>
      <c r="Z2295" s="56" t="s">
        <v>34</v>
      </c>
    </row>
    <row r="2296" spans="1:27" ht="23.1" customHeight="1" x14ac:dyDescent="0.25">
      <c r="A2296" s="53" t="s">
        <v>1621</v>
      </c>
      <c r="B2296" s="10" t="s">
        <v>113</v>
      </c>
      <c r="C2296" s="10">
        <v>82</v>
      </c>
      <c r="D2296" s="10" t="s">
        <v>1074</v>
      </c>
      <c r="E2296" s="41" t="s">
        <v>1075</v>
      </c>
      <c r="F2296" s="41" t="s">
        <v>1075</v>
      </c>
      <c r="G2296" s="21" t="str">
        <f>VLOOKUP(D2296,[6]成飞半成品!$A:$B,2,0)</f>
        <v>油箱底板（中）</v>
      </c>
      <c r="H2296" s="10" t="s">
        <v>154</v>
      </c>
      <c r="I2296" s="10">
        <v>50</v>
      </c>
      <c r="J2296" s="10" t="s">
        <v>2148</v>
      </c>
      <c r="K2296" s="10">
        <v>1.5</v>
      </c>
      <c r="L2296" s="10">
        <v>2</v>
      </c>
      <c r="M2296" s="14">
        <v>32</v>
      </c>
      <c r="N2296" s="14">
        <v>32</v>
      </c>
      <c r="O2296" s="55" t="s">
        <v>1114</v>
      </c>
      <c r="Q2296" s="10">
        <v>500</v>
      </c>
      <c r="T2296" s="10">
        <v>2</v>
      </c>
      <c r="U2296" s="10">
        <v>120</v>
      </c>
      <c r="W2296" s="14"/>
      <c r="Y2296" s="79">
        <v>16.7</v>
      </c>
      <c r="Z2296" s="56" t="s">
        <v>34</v>
      </c>
    </row>
    <row r="2297" spans="1:27" ht="23.1" customHeight="1" x14ac:dyDescent="0.25">
      <c r="A2297" s="53" t="s">
        <v>1621</v>
      </c>
      <c r="B2297" s="10" t="s">
        <v>110</v>
      </c>
      <c r="C2297" s="10">
        <v>99</v>
      </c>
      <c r="D2297" s="10" t="s">
        <v>776</v>
      </c>
      <c r="E2297" s="41" t="s">
        <v>777</v>
      </c>
      <c r="F2297" s="41" t="s">
        <v>777</v>
      </c>
      <c r="G2297" s="21" t="str">
        <f>VLOOKUP(D2297,[6]成飞半成品!$A:$B,2,0)</f>
        <v>BL280侧壁（左件）</v>
      </c>
      <c r="H2297" s="10" t="s">
        <v>107</v>
      </c>
      <c r="I2297" s="10">
        <v>15</v>
      </c>
      <c r="J2297" s="10" t="s">
        <v>2142</v>
      </c>
      <c r="K2297" s="10">
        <v>1</v>
      </c>
      <c r="L2297" s="10">
        <v>1</v>
      </c>
      <c r="M2297" s="14">
        <v>25</v>
      </c>
      <c r="N2297" s="14">
        <v>25</v>
      </c>
      <c r="O2297" s="55" t="s">
        <v>1550</v>
      </c>
      <c r="Q2297" s="10">
        <v>480</v>
      </c>
      <c r="R2297" s="10">
        <v>60</v>
      </c>
      <c r="T2297" s="10">
        <v>1</v>
      </c>
      <c r="U2297" s="10">
        <v>120</v>
      </c>
      <c r="W2297" s="14"/>
      <c r="Y2297" s="79">
        <v>9</v>
      </c>
      <c r="Z2297" s="56" t="s">
        <v>21</v>
      </c>
    </row>
    <row r="2298" spans="1:27" ht="23.1" customHeight="1" x14ac:dyDescent="0.25">
      <c r="A2298" s="53" t="s">
        <v>1621</v>
      </c>
      <c r="B2298" s="10" t="s">
        <v>110</v>
      </c>
      <c r="C2298" s="10">
        <v>99</v>
      </c>
      <c r="D2298" s="10" t="s">
        <v>738</v>
      </c>
      <c r="E2298" s="41" t="s">
        <v>739</v>
      </c>
      <c r="F2298" s="41" t="s">
        <v>739</v>
      </c>
      <c r="G2298" s="21" t="str">
        <f>VLOOKUP(D2298,[6]成飞半成品!$A:$B,2,0)</f>
        <v>BL280侧壁（右件）</v>
      </c>
      <c r="H2298" s="10" t="s">
        <v>107</v>
      </c>
      <c r="I2298" s="10">
        <v>15</v>
      </c>
      <c r="J2298" s="10" t="s">
        <v>2142</v>
      </c>
      <c r="K2298" s="10">
        <v>0.5</v>
      </c>
      <c r="L2298" s="10">
        <v>0.8</v>
      </c>
      <c r="M2298" s="14">
        <v>25</v>
      </c>
      <c r="N2298" s="14">
        <v>25</v>
      </c>
      <c r="O2298" s="55" t="s">
        <v>1628</v>
      </c>
      <c r="Q2298" s="10">
        <v>480</v>
      </c>
      <c r="R2298" s="10">
        <v>60</v>
      </c>
      <c r="T2298" s="10">
        <v>1</v>
      </c>
      <c r="U2298" s="10">
        <v>120</v>
      </c>
      <c r="W2298" s="14">
        <v>1</v>
      </c>
      <c r="X2298" s="10">
        <v>3</v>
      </c>
      <c r="Y2298" s="79">
        <v>12.4</v>
      </c>
      <c r="Z2298" s="56" t="s">
        <v>21</v>
      </c>
      <c r="AA2298" s="14" t="s">
        <v>1557</v>
      </c>
    </row>
    <row r="2299" spans="1:27" ht="23.1" customHeight="1" x14ac:dyDescent="0.25">
      <c r="A2299" s="53" t="s">
        <v>1621</v>
      </c>
      <c r="B2299" s="10" t="s">
        <v>110</v>
      </c>
      <c r="C2299" s="10">
        <v>97</v>
      </c>
      <c r="D2299" s="10" t="s">
        <v>1239</v>
      </c>
      <c r="E2299" s="41" t="s">
        <v>1065</v>
      </c>
      <c r="F2299" s="41" t="s">
        <v>1065</v>
      </c>
      <c r="G2299" s="21" t="str">
        <f>VLOOKUP(D2299,[6]成飞半成品!$A:$B,2,0)</f>
        <v>根肋三段</v>
      </c>
      <c r="H2299" s="10" t="s">
        <v>250</v>
      </c>
      <c r="I2299" s="10">
        <v>65</v>
      </c>
      <c r="J2299" s="10" t="s">
        <v>2184</v>
      </c>
      <c r="K2299" s="10">
        <v>4</v>
      </c>
      <c r="L2299" s="10">
        <v>4</v>
      </c>
      <c r="M2299" s="14">
        <v>25</v>
      </c>
      <c r="N2299" s="14">
        <v>25</v>
      </c>
      <c r="O2299" s="55" t="s">
        <v>429</v>
      </c>
      <c r="Q2299" s="10">
        <v>60</v>
      </c>
      <c r="R2299" s="10">
        <v>60</v>
      </c>
      <c r="T2299" s="10">
        <v>3</v>
      </c>
      <c r="U2299" s="10">
        <v>60</v>
      </c>
      <c r="W2299" s="14"/>
      <c r="X2299" s="14">
        <v>4</v>
      </c>
      <c r="Y2299" s="79">
        <v>11</v>
      </c>
      <c r="Z2299" s="56" t="s">
        <v>1</v>
      </c>
      <c r="AA2299" s="14" t="s">
        <v>1629</v>
      </c>
    </row>
    <row r="2300" spans="1:27" ht="23.1" customHeight="1" x14ac:dyDescent="0.25">
      <c r="A2300" s="53" t="s">
        <v>1621</v>
      </c>
      <c r="B2300" s="10" t="s">
        <v>110</v>
      </c>
      <c r="C2300" s="10">
        <v>105</v>
      </c>
      <c r="D2300" s="10" t="s">
        <v>1176</v>
      </c>
      <c r="E2300" s="41" t="s">
        <v>1098</v>
      </c>
      <c r="F2300" s="41" t="s">
        <v>1098</v>
      </c>
      <c r="G2300" s="21" t="str">
        <f>VLOOKUP(D2300,[6]成飞半成品!$A:$B,2,0)</f>
        <v>根肋一段</v>
      </c>
      <c r="H2300" s="10" t="s">
        <v>250</v>
      </c>
      <c r="I2300" s="10">
        <v>50</v>
      </c>
      <c r="J2300" s="10" t="s">
        <v>2185</v>
      </c>
      <c r="K2300" s="10">
        <v>0.6</v>
      </c>
      <c r="L2300" s="10">
        <v>0.4</v>
      </c>
      <c r="M2300" s="14">
        <v>25</v>
      </c>
      <c r="N2300" s="14">
        <v>25</v>
      </c>
      <c r="O2300" s="55" t="s">
        <v>429</v>
      </c>
      <c r="Q2300" s="10">
        <v>1080</v>
      </c>
      <c r="R2300" s="10">
        <v>60</v>
      </c>
      <c r="U2300" s="10">
        <v>120</v>
      </c>
      <c r="W2300" s="14"/>
      <c r="Y2300" s="79">
        <v>7.2</v>
      </c>
      <c r="Z2300" s="56" t="s">
        <v>28</v>
      </c>
    </row>
    <row r="2301" spans="1:27" ht="23.1" customHeight="1" x14ac:dyDescent="0.25">
      <c r="A2301" s="53" t="s">
        <v>1621</v>
      </c>
      <c r="B2301" s="10" t="s">
        <v>110</v>
      </c>
      <c r="C2301" s="10">
        <v>105</v>
      </c>
      <c r="D2301" s="10" t="s">
        <v>1176</v>
      </c>
      <c r="E2301" s="41" t="s">
        <v>1098</v>
      </c>
      <c r="F2301" s="41" t="s">
        <v>1098</v>
      </c>
      <c r="G2301" s="21" t="str">
        <f>VLOOKUP(D2301,[6]成飞半成品!$A:$B,2,0)</f>
        <v>根肋一段</v>
      </c>
      <c r="H2301" s="10" t="s">
        <v>250</v>
      </c>
      <c r="I2301" s="10">
        <v>60</v>
      </c>
      <c r="J2301" s="10" t="s">
        <v>2307</v>
      </c>
      <c r="L2301" s="10">
        <v>1</v>
      </c>
      <c r="M2301" s="14">
        <v>25</v>
      </c>
      <c r="N2301" s="14">
        <v>25</v>
      </c>
      <c r="O2301" s="55" t="s">
        <v>429</v>
      </c>
      <c r="Q2301" s="10">
        <v>90</v>
      </c>
      <c r="R2301" s="10">
        <v>60</v>
      </c>
      <c r="T2301" s="10">
        <v>1</v>
      </c>
      <c r="U2301" s="10">
        <v>90</v>
      </c>
      <c r="W2301" s="14">
        <v>1</v>
      </c>
      <c r="Y2301" s="79">
        <v>4</v>
      </c>
      <c r="Z2301" s="56" t="s">
        <v>28</v>
      </c>
    </row>
    <row r="2302" spans="1:27" ht="23.1" customHeight="1" x14ac:dyDescent="0.25">
      <c r="A2302" s="53" t="s">
        <v>1621</v>
      </c>
      <c r="B2302" s="10" t="s">
        <v>110</v>
      </c>
      <c r="C2302" s="10">
        <v>82</v>
      </c>
      <c r="D2302" s="10" t="s">
        <v>1074</v>
      </c>
      <c r="E2302" s="41" t="s">
        <v>1075</v>
      </c>
      <c r="F2302" s="41" t="s">
        <v>1075</v>
      </c>
      <c r="G2302" s="21" t="str">
        <f>VLOOKUP(D2302,[6]成飞半成品!$A:$B,2,0)</f>
        <v>油箱底板（中）</v>
      </c>
      <c r="H2302" s="10" t="s">
        <v>154</v>
      </c>
      <c r="I2302" s="10">
        <v>50</v>
      </c>
      <c r="J2302" s="10" t="s">
        <v>2148</v>
      </c>
      <c r="K2302" s="10">
        <v>1.5</v>
      </c>
      <c r="L2302" s="10">
        <v>1.8</v>
      </c>
      <c r="M2302" s="14">
        <v>25</v>
      </c>
      <c r="N2302" s="14">
        <v>25</v>
      </c>
      <c r="O2302" s="55" t="s">
        <v>1118</v>
      </c>
      <c r="Q2302" s="10">
        <v>500</v>
      </c>
      <c r="T2302" s="10">
        <v>2</v>
      </c>
      <c r="U2302" s="10">
        <v>120</v>
      </c>
      <c r="W2302" s="14"/>
      <c r="Y2302" s="79">
        <v>15</v>
      </c>
      <c r="Z2302" s="56" t="s">
        <v>56</v>
      </c>
    </row>
    <row r="2303" spans="1:27" ht="23.1" customHeight="1" x14ac:dyDescent="0.25">
      <c r="A2303" s="53" t="s">
        <v>1621</v>
      </c>
      <c r="B2303" s="10" t="s">
        <v>110</v>
      </c>
      <c r="C2303" s="10">
        <v>103</v>
      </c>
      <c r="D2303" s="10" t="s">
        <v>1615</v>
      </c>
      <c r="E2303" s="41" t="s">
        <v>259</v>
      </c>
      <c r="F2303" s="41" t="s">
        <v>259</v>
      </c>
      <c r="G2303" s="21" t="str">
        <f>VLOOKUP(D2303,[6]成飞半成品!$A:$B,2,0)</f>
        <v>梁</v>
      </c>
      <c r="H2303" s="10" t="s">
        <v>123</v>
      </c>
      <c r="I2303" s="10">
        <v>10</v>
      </c>
      <c r="J2303" s="10" t="s">
        <v>1916</v>
      </c>
      <c r="K2303" s="10">
        <v>4</v>
      </c>
      <c r="L2303" s="10">
        <v>3</v>
      </c>
      <c r="M2303" s="14">
        <v>25</v>
      </c>
      <c r="N2303" s="14">
        <v>25</v>
      </c>
      <c r="O2303" s="55" t="s">
        <v>1630</v>
      </c>
      <c r="Q2303" s="10">
        <v>180</v>
      </c>
      <c r="R2303" s="10">
        <v>60</v>
      </c>
      <c r="T2303" s="10">
        <v>3</v>
      </c>
      <c r="U2303" s="10">
        <v>60</v>
      </c>
      <c r="W2303" s="14"/>
      <c r="Y2303" s="79">
        <v>12</v>
      </c>
      <c r="Z2303" s="56" t="s">
        <v>62</v>
      </c>
    </row>
    <row r="2304" spans="1:27" ht="23.1" customHeight="1" x14ac:dyDescent="0.25">
      <c r="A2304" s="53" t="s">
        <v>1621</v>
      </c>
      <c r="B2304" s="10" t="s">
        <v>110</v>
      </c>
      <c r="C2304" s="10">
        <v>103</v>
      </c>
      <c r="D2304" s="10" t="s">
        <v>1615</v>
      </c>
      <c r="E2304" s="41" t="s">
        <v>259</v>
      </c>
      <c r="F2304" s="41" t="s">
        <v>259</v>
      </c>
      <c r="G2304" s="21" t="str">
        <f>VLOOKUP(D2304,[6]成飞半成品!$A:$B,2,0)</f>
        <v>梁</v>
      </c>
      <c r="H2304" s="10" t="s">
        <v>123</v>
      </c>
      <c r="I2304" s="10">
        <v>15</v>
      </c>
      <c r="J2304" s="10" t="s">
        <v>1926</v>
      </c>
      <c r="K2304" s="10">
        <v>1</v>
      </c>
      <c r="M2304" s="14">
        <v>25</v>
      </c>
      <c r="N2304" s="14">
        <v>25</v>
      </c>
      <c r="O2304" s="55" t="s">
        <v>1616</v>
      </c>
      <c r="Q2304" s="10">
        <v>140</v>
      </c>
      <c r="R2304" s="10">
        <v>60</v>
      </c>
      <c r="T2304" s="10">
        <v>1</v>
      </c>
      <c r="U2304" s="10">
        <v>60</v>
      </c>
      <c r="W2304" s="14">
        <v>1</v>
      </c>
      <c r="Y2304" s="79">
        <v>2</v>
      </c>
      <c r="Z2304" s="56" t="s">
        <v>62</v>
      </c>
    </row>
    <row r="2305" spans="1:28" ht="23.1" customHeight="1" x14ac:dyDescent="0.25">
      <c r="A2305" s="53" t="s">
        <v>1621</v>
      </c>
      <c r="B2305" s="10" t="s">
        <v>110</v>
      </c>
      <c r="C2305" s="10">
        <v>19</v>
      </c>
      <c r="D2305" s="10" t="s">
        <v>1604</v>
      </c>
      <c r="E2305" s="41" t="s">
        <v>1605</v>
      </c>
      <c r="F2305" s="41" t="s">
        <v>1605</v>
      </c>
      <c r="G2305" s="21" t="str">
        <f>VLOOKUP(D2305,[6]成飞半成品!$A:$B,2,0)</f>
        <v>4号上壁板（右件）</v>
      </c>
      <c r="H2305" s="10" t="s">
        <v>300</v>
      </c>
      <c r="I2305" s="10">
        <v>10</v>
      </c>
      <c r="J2305" s="10" t="s">
        <v>2306</v>
      </c>
      <c r="K2305" s="10">
        <v>2.5</v>
      </c>
      <c r="L2305" s="10">
        <v>2</v>
      </c>
      <c r="M2305" s="14">
        <v>25</v>
      </c>
      <c r="N2305" s="14">
        <v>25</v>
      </c>
      <c r="O2305" s="55" t="s">
        <v>1631</v>
      </c>
      <c r="Q2305" s="10">
        <v>90</v>
      </c>
      <c r="R2305" s="10">
        <v>60</v>
      </c>
      <c r="T2305" s="10">
        <v>2</v>
      </c>
      <c r="U2305" s="10">
        <v>120</v>
      </c>
      <c r="W2305" s="14">
        <v>1</v>
      </c>
      <c r="Y2305" s="79">
        <v>7</v>
      </c>
      <c r="Z2305" s="56" t="s">
        <v>11</v>
      </c>
    </row>
    <row r="2306" spans="1:28" ht="23.1" customHeight="1" x14ac:dyDescent="0.25">
      <c r="A2306" s="53" t="s">
        <v>1621</v>
      </c>
      <c r="B2306" s="10" t="s">
        <v>110</v>
      </c>
      <c r="C2306" s="10">
        <v>83</v>
      </c>
      <c r="D2306" s="10" t="s">
        <v>1095</v>
      </c>
      <c r="E2306" s="41" t="s">
        <v>1096</v>
      </c>
      <c r="F2306" s="41" t="s">
        <v>1096</v>
      </c>
      <c r="G2306" s="21" t="str">
        <f>VLOOKUP(D2306,[6]成飞半成品!$A:$B,2,0)</f>
        <v>1150肋根肋</v>
      </c>
      <c r="H2306" s="10" t="s">
        <v>658</v>
      </c>
      <c r="I2306" s="10">
        <v>30</v>
      </c>
      <c r="J2306" s="10" t="s">
        <v>2131</v>
      </c>
      <c r="K2306" s="10">
        <v>1.5</v>
      </c>
      <c r="L2306" s="10">
        <v>1.5</v>
      </c>
      <c r="M2306" s="14">
        <v>25</v>
      </c>
      <c r="N2306" s="14">
        <v>25</v>
      </c>
      <c r="O2306" s="55" t="s">
        <v>351</v>
      </c>
      <c r="Q2306" s="10">
        <v>570</v>
      </c>
      <c r="R2306" s="10">
        <v>60</v>
      </c>
      <c r="T2306" s="10">
        <v>2</v>
      </c>
      <c r="U2306" s="10">
        <v>120</v>
      </c>
      <c r="W2306" s="14"/>
      <c r="Y2306" s="79">
        <v>16.3</v>
      </c>
      <c r="Z2306" s="56" t="s">
        <v>66</v>
      </c>
    </row>
    <row r="2307" spans="1:28" ht="23.1" customHeight="1" x14ac:dyDescent="0.25">
      <c r="A2307" s="53" t="s">
        <v>1621</v>
      </c>
      <c r="B2307" s="10" t="s">
        <v>110</v>
      </c>
      <c r="C2307" s="10">
        <v>44</v>
      </c>
      <c r="D2307" s="10" t="s">
        <v>266</v>
      </c>
      <c r="E2307" s="41" t="s">
        <v>267</v>
      </c>
      <c r="F2307" s="41" t="s">
        <v>267</v>
      </c>
      <c r="G2307" s="21" t="str">
        <f>VLOOKUP(D2307,[6]成飞半成品!$A:$B,2,0)</f>
        <v>后端框</v>
      </c>
      <c r="H2307" s="10" t="s">
        <v>118</v>
      </c>
      <c r="I2307" s="10">
        <v>10</v>
      </c>
      <c r="J2307" s="10" t="s">
        <v>1916</v>
      </c>
      <c r="K2307" s="10">
        <v>3</v>
      </c>
      <c r="L2307" s="10">
        <v>3</v>
      </c>
      <c r="M2307" s="14">
        <v>25</v>
      </c>
      <c r="N2307" s="14">
        <v>25</v>
      </c>
      <c r="O2307" s="55" t="s">
        <v>1004</v>
      </c>
      <c r="Q2307" s="10">
        <v>180</v>
      </c>
      <c r="R2307" s="10">
        <v>60</v>
      </c>
      <c r="T2307" s="10">
        <v>3</v>
      </c>
      <c r="U2307" s="10">
        <v>60</v>
      </c>
      <c r="W2307" s="14"/>
      <c r="Y2307" s="79">
        <v>12</v>
      </c>
      <c r="Z2307" s="56" t="s">
        <v>66</v>
      </c>
    </row>
    <row r="2308" spans="1:28" ht="23.1" customHeight="1" x14ac:dyDescent="0.25">
      <c r="A2308" s="53" t="s">
        <v>1621</v>
      </c>
      <c r="B2308" s="10" t="s">
        <v>110</v>
      </c>
      <c r="C2308" s="10">
        <v>44</v>
      </c>
      <c r="D2308" s="10" t="s">
        <v>266</v>
      </c>
      <c r="E2308" s="41" t="s">
        <v>267</v>
      </c>
      <c r="F2308" s="41" t="s">
        <v>267</v>
      </c>
      <c r="G2308" s="21" t="str">
        <f>VLOOKUP(D2308,[6]成飞半成品!$A:$B,2,0)</f>
        <v>后端框</v>
      </c>
      <c r="H2308" s="10" t="s">
        <v>118</v>
      </c>
      <c r="I2308" s="10">
        <v>15</v>
      </c>
      <c r="J2308" s="10" t="s">
        <v>2262</v>
      </c>
      <c r="K2308" s="10">
        <v>1</v>
      </c>
      <c r="L2308" s="10">
        <v>1</v>
      </c>
      <c r="M2308" s="14">
        <v>25</v>
      </c>
      <c r="N2308" s="14">
        <v>25</v>
      </c>
      <c r="O2308" s="55" t="s">
        <v>1632</v>
      </c>
      <c r="Q2308" s="10">
        <v>190</v>
      </c>
      <c r="R2308" s="10">
        <v>90</v>
      </c>
      <c r="T2308" s="10">
        <v>1</v>
      </c>
      <c r="U2308" s="10">
        <v>60</v>
      </c>
      <c r="W2308" s="14">
        <v>1</v>
      </c>
      <c r="Y2308" s="79">
        <v>5.7</v>
      </c>
      <c r="Z2308" s="56" t="s">
        <v>66</v>
      </c>
    </row>
    <row r="2309" spans="1:28" ht="23.1" customHeight="1" x14ac:dyDescent="0.25">
      <c r="A2309" s="53" t="s">
        <v>1621</v>
      </c>
      <c r="B2309" s="10" t="s">
        <v>110</v>
      </c>
      <c r="C2309" s="10">
        <v>100</v>
      </c>
      <c r="D2309" s="10" t="s">
        <v>484</v>
      </c>
      <c r="E2309" s="41" t="s">
        <v>485</v>
      </c>
      <c r="F2309" s="41" t="s">
        <v>485</v>
      </c>
      <c r="G2309" s="21" t="str">
        <f>VLOOKUP(D2309,[6]成飞半成品!$A:$B,2,0)</f>
        <v>8635左隔框</v>
      </c>
      <c r="H2309" s="10" t="s">
        <v>300</v>
      </c>
      <c r="I2309" s="10">
        <v>25</v>
      </c>
      <c r="J2309" s="10" t="s">
        <v>2140</v>
      </c>
      <c r="K2309" s="10">
        <v>1</v>
      </c>
      <c r="L2309" s="10">
        <v>1</v>
      </c>
      <c r="M2309" s="14">
        <v>25</v>
      </c>
      <c r="N2309" s="14">
        <v>25</v>
      </c>
      <c r="O2309" s="55" t="s">
        <v>722</v>
      </c>
      <c r="Q2309" s="10">
        <v>660</v>
      </c>
      <c r="R2309" s="10">
        <v>60</v>
      </c>
      <c r="U2309" s="10">
        <v>180</v>
      </c>
      <c r="W2309" s="14"/>
      <c r="Y2309" s="79">
        <v>11</v>
      </c>
      <c r="Z2309" s="56" t="s">
        <v>66</v>
      </c>
    </row>
    <row r="2310" spans="1:28" ht="23.1" customHeight="1" x14ac:dyDescent="0.25">
      <c r="A2310" s="53" t="s">
        <v>1621</v>
      </c>
      <c r="B2310" s="10" t="s">
        <v>110</v>
      </c>
      <c r="C2310" s="10">
        <v>102</v>
      </c>
      <c r="D2310" s="10" t="s">
        <v>1097</v>
      </c>
      <c r="E2310" s="41" t="s">
        <v>1098</v>
      </c>
      <c r="F2310" s="41" t="s">
        <v>1098</v>
      </c>
      <c r="G2310" s="21" t="str">
        <f>VLOOKUP(D2310,[6]成飞半成品!$A:$B,2,0)</f>
        <v>根肋一段</v>
      </c>
      <c r="H2310" s="10" t="s">
        <v>250</v>
      </c>
      <c r="I2310" s="10">
        <v>50</v>
      </c>
      <c r="J2310" s="10" t="s">
        <v>2185</v>
      </c>
      <c r="K2310" s="10">
        <v>0.6</v>
      </c>
      <c r="L2310" s="10">
        <v>0.6</v>
      </c>
      <c r="M2310" s="14">
        <v>25</v>
      </c>
      <c r="N2310" s="14">
        <v>25</v>
      </c>
      <c r="O2310" s="55" t="s">
        <v>292</v>
      </c>
      <c r="Q2310" s="10">
        <v>1080</v>
      </c>
      <c r="R2310" s="10">
        <v>60</v>
      </c>
      <c r="T2310" s="10">
        <v>1</v>
      </c>
      <c r="U2310" s="10">
        <v>120</v>
      </c>
      <c r="W2310" s="14"/>
      <c r="Y2310" s="79">
        <v>11.8</v>
      </c>
      <c r="Z2310" s="56" t="s">
        <v>66</v>
      </c>
    </row>
    <row r="2311" spans="1:28" ht="23.1" customHeight="1" x14ac:dyDescent="0.25">
      <c r="A2311" s="53" t="s">
        <v>1621</v>
      </c>
      <c r="B2311" s="10" t="s">
        <v>110</v>
      </c>
      <c r="C2311" s="10">
        <v>98</v>
      </c>
      <c r="D2311" s="10" t="s">
        <v>404</v>
      </c>
      <c r="E2311" s="41" t="s">
        <v>405</v>
      </c>
      <c r="F2311" s="41" t="s">
        <v>405</v>
      </c>
      <c r="G2311" s="21" t="str">
        <f>VLOOKUP(D2311,[6]成飞半成品!$A:$B,2,0)</f>
        <v>11140框右下半框</v>
      </c>
      <c r="H2311" s="10" t="s">
        <v>118</v>
      </c>
      <c r="I2311" s="10">
        <v>15</v>
      </c>
      <c r="J2311" s="10" t="s">
        <v>2144</v>
      </c>
      <c r="K2311" s="10">
        <v>0.8</v>
      </c>
      <c r="L2311" s="10">
        <v>1.1000000000000001</v>
      </c>
      <c r="M2311" s="14">
        <v>25</v>
      </c>
      <c r="N2311" s="14">
        <v>25</v>
      </c>
      <c r="O2311" s="55" t="s">
        <v>1080</v>
      </c>
      <c r="Q2311" s="10">
        <v>720</v>
      </c>
      <c r="R2311" s="10">
        <v>60</v>
      </c>
      <c r="U2311" s="10">
        <v>120</v>
      </c>
      <c r="W2311" s="14"/>
      <c r="Y2311" s="79">
        <v>13.2</v>
      </c>
      <c r="Z2311" s="56" t="s">
        <v>66</v>
      </c>
    </row>
    <row r="2312" spans="1:28" ht="23.1" customHeight="1" x14ac:dyDescent="0.25">
      <c r="A2312" s="53" t="s">
        <v>1621</v>
      </c>
      <c r="B2312" s="10" t="s">
        <v>110</v>
      </c>
      <c r="C2312" s="10">
        <v>106</v>
      </c>
      <c r="D2312" s="10" t="s">
        <v>1070</v>
      </c>
      <c r="E2312" s="41" t="s">
        <v>101</v>
      </c>
      <c r="F2312" s="41" t="s">
        <v>101</v>
      </c>
      <c r="G2312" s="21" t="str">
        <f>VLOOKUP(D2312,[6]成飞半成品!$A:$B,2,0)</f>
        <v>前梁一段</v>
      </c>
      <c r="H2312" s="10" t="s">
        <v>300</v>
      </c>
      <c r="I2312" s="10">
        <v>25</v>
      </c>
      <c r="J2312" s="10" t="s">
        <v>2163</v>
      </c>
      <c r="K2312" s="10">
        <v>0.15</v>
      </c>
      <c r="L2312" s="10">
        <v>0.15</v>
      </c>
      <c r="M2312" s="14">
        <v>25</v>
      </c>
      <c r="N2312" s="14">
        <v>25</v>
      </c>
      <c r="O2312" s="55" t="s">
        <v>247</v>
      </c>
      <c r="Q2312" s="10">
        <v>4800</v>
      </c>
      <c r="R2312" s="10">
        <v>180</v>
      </c>
      <c r="U2312" s="10">
        <v>180</v>
      </c>
      <c r="W2312" s="14"/>
      <c r="Y2312" s="79">
        <v>12</v>
      </c>
      <c r="Z2312" s="56" t="s">
        <v>66</v>
      </c>
    </row>
    <row r="2313" spans="1:28" ht="23.1" customHeight="1" x14ac:dyDescent="0.25">
      <c r="A2313" s="53" t="s">
        <v>1621</v>
      </c>
      <c r="B2313" s="10" t="s">
        <v>110</v>
      </c>
      <c r="C2313" s="10">
        <v>106</v>
      </c>
      <c r="D2313" s="10" t="s">
        <v>1070</v>
      </c>
      <c r="E2313" s="41" t="s">
        <v>101</v>
      </c>
      <c r="F2313" s="41" t="s">
        <v>101</v>
      </c>
      <c r="G2313" s="21" t="str">
        <f>VLOOKUP(D2313,[6]成飞半成品!$A:$B,2,0)</f>
        <v>前梁一段</v>
      </c>
      <c r="H2313" s="10" t="s">
        <v>300</v>
      </c>
      <c r="I2313" s="10">
        <v>30</v>
      </c>
      <c r="J2313" s="10" t="s">
        <v>2127</v>
      </c>
      <c r="K2313" s="10">
        <v>0.2</v>
      </c>
      <c r="L2313" s="10">
        <v>0.2</v>
      </c>
      <c r="M2313" s="14">
        <v>25</v>
      </c>
      <c r="N2313" s="14">
        <v>25</v>
      </c>
      <c r="O2313" s="55" t="s">
        <v>247</v>
      </c>
      <c r="Q2313" s="10">
        <v>1500</v>
      </c>
      <c r="R2313" s="10">
        <v>180</v>
      </c>
      <c r="T2313" s="10">
        <v>1</v>
      </c>
      <c r="U2313" s="10">
        <v>180</v>
      </c>
      <c r="W2313" s="14">
        <v>1</v>
      </c>
      <c r="Y2313" s="79">
        <v>11</v>
      </c>
      <c r="Z2313" s="56" t="s">
        <v>66</v>
      </c>
    </row>
    <row r="2314" spans="1:28" ht="23.1" customHeight="1" x14ac:dyDescent="0.25">
      <c r="A2314" s="53" t="s">
        <v>1621</v>
      </c>
      <c r="B2314" s="10" t="s">
        <v>110</v>
      </c>
      <c r="C2314" s="10">
        <v>101</v>
      </c>
      <c r="D2314" s="10" t="s">
        <v>1099</v>
      </c>
      <c r="E2314" s="41" t="s">
        <v>760</v>
      </c>
      <c r="F2314" s="41" t="e">
        <v>#N/A</v>
      </c>
      <c r="G2314" s="21" t="e">
        <f>VLOOKUP(D2314,[6]成飞半成品!$A:$B,2,0)</f>
        <v>#N/A</v>
      </c>
      <c r="H2314" s="10" t="s">
        <v>300</v>
      </c>
      <c r="I2314" s="10">
        <v>27</v>
      </c>
      <c r="K2314" s="10">
        <v>4</v>
      </c>
      <c r="L2314" s="10">
        <v>4</v>
      </c>
      <c r="M2314" s="14">
        <v>25</v>
      </c>
      <c r="N2314" s="14">
        <v>25</v>
      </c>
      <c r="O2314" s="55" t="s">
        <v>1633</v>
      </c>
      <c r="P2314" s="10">
        <v>120</v>
      </c>
      <c r="S2314" s="10">
        <v>60</v>
      </c>
      <c r="T2314" s="10">
        <v>4</v>
      </c>
      <c r="W2314" s="14"/>
      <c r="Y2314" s="83">
        <v>12</v>
      </c>
      <c r="Z2314" s="56" t="s">
        <v>66</v>
      </c>
    </row>
    <row r="2315" spans="1:28" ht="23.1" customHeight="1" x14ac:dyDescent="0.25">
      <c r="A2315" s="53" t="s">
        <v>1621</v>
      </c>
      <c r="B2315" s="10" t="s">
        <v>110</v>
      </c>
      <c r="C2315" s="10">
        <v>101</v>
      </c>
      <c r="D2315" s="10" t="s">
        <v>1099</v>
      </c>
      <c r="E2315" s="41" t="s">
        <v>760</v>
      </c>
      <c r="F2315" s="41" t="e">
        <v>#N/A</v>
      </c>
      <c r="G2315" s="21" t="e">
        <f>VLOOKUP(D2315,[6]成飞半成品!$A:$B,2,0)</f>
        <v>#N/A</v>
      </c>
      <c r="H2315" s="10" t="s">
        <v>300</v>
      </c>
      <c r="I2315" s="10">
        <v>30</v>
      </c>
      <c r="J2315" s="10" t="s">
        <v>2133</v>
      </c>
      <c r="K2315" s="10">
        <v>0.1</v>
      </c>
      <c r="L2315" s="10">
        <v>0.3</v>
      </c>
      <c r="M2315" s="14">
        <v>25</v>
      </c>
      <c r="N2315" s="14">
        <v>25</v>
      </c>
      <c r="O2315" s="55" t="s">
        <v>355</v>
      </c>
      <c r="Q2315" s="10">
        <v>700</v>
      </c>
      <c r="R2315" s="10">
        <v>60</v>
      </c>
      <c r="T2315" s="10">
        <v>1</v>
      </c>
      <c r="U2315" s="10">
        <v>120</v>
      </c>
      <c r="W2315" s="14">
        <v>1</v>
      </c>
      <c r="Y2315" s="79">
        <v>6.5</v>
      </c>
      <c r="Z2315" s="56" t="s">
        <v>66</v>
      </c>
    </row>
    <row r="2316" spans="1:28" ht="23.1" customHeight="1" x14ac:dyDescent="0.25">
      <c r="A2316" s="53" t="s">
        <v>1621</v>
      </c>
      <c r="B2316" s="10" t="s">
        <v>110</v>
      </c>
      <c r="C2316" s="10">
        <v>104</v>
      </c>
      <c r="D2316" s="10" t="s">
        <v>1583</v>
      </c>
      <c r="E2316" s="41" t="s">
        <v>1283</v>
      </c>
      <c r="F2316" s="41" t="s">
        <v>1283</v>
      </c>
      <c r="G2316" s="21" t="str">
        <f>VLOOKUP(D2316,[6]成飞半成品!$A:$B,2,0)</f>
        <v>9框前支柱</v>
      </c>
      <c r="H2316" s="10" t="s">
        <v>102</v>
      </c>
      <c r="I2316" s="10">
        <v>25</v>
      </c>
      <c r="J2316" s="10" t="s">
        <v>2305</v>
      </c>
      <c r="K2316" s="10">
        <v>0.5</v>
      </c>
      <c r="L2316" s="10">
        <v>0.5</v>
      </c>
      <c r="M2316" s="14">
        <v>25</v>
      </c>
      <c r="N2316" s="14">
        <v>25</v>
      </c>
      <c r="O2316" s="55" t="s">
        <v>596</v>
      </c>
      <c r="Q2316" s="10">
        <v>220</v>
      </c>
      <c r="R2316" s="10">
        <v>60</v>
      </c>
      <c r="U2316" s="10">
        <v>90</v>
      </c>
      <c r="W2316" s="14"/>
      <c r="Y2316" s="79">
        <v>1.8</v>
      </c>
      <c r="Z2316" s="56" t="s">
        <v>66</v>
      </c>
    </row>
    <row r="2317" spans="1:28" ht="23.1" customHeight="1" x14ac:dyDescent="0.25">
      <c r="A2317" s="53" t="s">
        <v>1621</v>
      </c>
      <c r="B2317" s="10" t="s">
        <v>110</v>
      </c>
      <c r="C2317" s="10">
        <v>104</v>
      </c>
      <c r="D2317" s="10" t="s">
        <v>1583</v>
      </c>
      <c r="E2317" s="41" t="s">
        <v>1283</v>
      </c>
      <c r="F2317" s="41" t="s">
        <v>1283</v>
      </c>
      <c r="G2317" s="21" t="str">
        <f>VLOOKUP(D2317,[6]成飞半成品!$A:$B,2,0)</f>
        <v>9框前支柱</v>
      </c>
      <c r="H2317" s="10" t="s">
        <v>102</v>
      </c>
      <c r="I2317" s="10">
        <v>25</v>
      </c>
      <c r="J2317" s="10" t="s">
        <v>2305</v>
      </c>
      <c r="K2317" s="10">
        <v>1</v>
      </c>
      <c r="M2317" s="14">
        <v>25</v>
      </c>
      <c r="N2317" s="14">
        <v>25</v>
      </c>
      <c r="O2317" s="55" t="s">
        <v>596</v>
      </c>
      <c r="Q2317" s="10">
        <v>220</v>
      </c>
      <c r="R2317" s="10">
        <v>60</v>
      </c>
      <c r="T2317" s="10">
        <v>1</v>
      </c>
      <c r="U2317" s="10">
        <v>90</v>
      </c>
      <c r="W2317" s="14">
        <v>1</v>
      </c>
      <c r="Y2317" s="79">
        <v>2.5</v>
      </c>
      <c r="Z2317" s="56" t="s">
        <v>66</v>
      </c>
    </row>
    <row r="2318" spans="1:28" ht="23.1" customHeight="1" x14ac:dyDescent="0.25">
      <c r="A2318" s="53" t="s">
        <v>1621</v>
      </c>
      <c r="B2318" s="10" t="s">
        <v>110</v>
      </c>
      <c r="C2318" s="10">
        <v>76</v>
      </c>
      <c r="D2318" s="10" t="s">
        <v>1634</v>
      </c>
      <c r="E2318" s="41" t="s">
        <v>625</v>
      </c>
      <c r="F2318" s="41" t="s">
        <v>625</v>
      </c>
      <c r="G2318" s="21" t="str">
        <f>VLOOKUP(D2318,[6]成飞半成品!$A:$B,2,0)</f>
        <v>支架</v>
      </c>
      <c r="H2318" s="10" t="s">
        <v>118</v>
      </c>
      <c r="I2318" s="10">
        <v>5</v>
      </c>
      <c r="J2318" s="10" t="s">
        <v>1930</v>
      </c>
      <c r="L2318" s="10">
        <v>3</v>
      </c>
      <c r="M2318" s="14">
        <v>28</v>
      </c>
      <c r="N2318" s="14">
        <v>31</v>
      </c>
      <c r="O2318" s="55" t="s">
        <v>1635</v>
      </c>
      <c r="Q2318" s="10">
        <v>60</v>
      </c>
      <c r="U2318" s="10">
        <v>60</v>
      </c>
      <c r="W2318" s="14">
        <v>1</v>
      </c>
      <c r="X2318" s="14">
        <v>2</v>
      </c>
      <c r="Y2318" s="79">
        <v>6</v>
      </c>
      <c r="Z2318" s="56" t="s">
        <v>20</v>
      </c>
      <c r="AA2318" s="14" t="s">
        <v>1473</v>
      </c>
      <c r="AB2318" s="25" t="s">
        <v>238</v>
      </c>
    </row>
    <row r="2319" spans="1:28" ht="23.1" customHeight="1" x14ac:dyDescent="0.25">
      <c r="A2319" s="53" t="s">
        <v>1621</v>
      </c>
      <c r="B2319" s="10" t="s">
        <v>110</v>
      </c>
      <c r="C2319" s="10">
        <v>76</v>
      </c>
      <c r="D2319" s="10" t="s">
        <v>1634</v>
      </c>
      <c r="E2319" s="41" t="s">
        <v>625</v>
      </c>
      <c r="F2319" s="41" t="s">
        <v>625</v>
      </c>
      <c r="G2319" s="21" t="str">
        <f>VLOOKUP(D2319,[6]成飞半成品!$A:$B,2,0)</f>
        <v>支架</v>
      </c>
      <c r="H2319" s="10" t="s">
        <v>118</v>
      </c>
      <c r="I2319" s="10">
        <v>15</v>
      </c>
      <c r="J2319" s="10" t="s">
        <v>2290</v>
      </c>
      <c r="L2319" s="10">
        <v>3</v>
      </c>
      <c r="M2319" s="14">
        <v>28</v>
      </c>
      <c r="N2319" s="14">
        <v>31</v>
      </c>
      <c r="O2319" s="55" t="s">
        <v>1635</v>
      </c>
      <c r="Q2319" s="10">
        <v>20</v>
      </c>
      <c r="U2319" s="10">
        <v>90</v>
      </c>
      <c r="W2319" s="14">
        <v>1</v>
      </c>
      <c r="Y2319" s="79">
        <v>2.5</v>
      </c>
      <c r="Z2319" s="56" t="s">
        <v>20</v>
      </c>
    </row>
    <row r="2320" spans="1:28" ht="23.1" customHeight="1" x14ac:dyDescent="0.25">
      <c r="A2320" s="53" t="s">
        <v>1621</v>
      </c>
      <c r="B2320" s="10" t="s">
        <v>110</v>
      </c>
      <c r="C2320" s="10">
        <v>108</v>
      </c>
      <c r="D2320" s="10" t="s">
        <v>889</v>
      </c>
      <c r="E2320" s="41" t="s">
        <v>887</v>
      </c>
      <c r="F2320" s="41" t="s">
        <v>887</v>
      </c>
      <c r="G2320" s="21" t="str">
        <f>VLOOKUP(D2320,[6]成飞半成品!$A:$B,2,0)</f>
        <v>外侧梁</v>
      </c>
      <c r="H2320" s="10" t="s">
        <v>154</v>
      </c>
      <c r="I2320" s="10">
        <v>70</v>
      </c>
      <c r="J2320" s="10" t="s">
        <v>2289</v>
      </c>
      <c r="K2320" s="10">
        <v>0.2</v>
      </c>
      <c r="L2320" s="10">
        <v>0.4</v>
      </c>
      <c r="M2320" s="14">
        <v>28</v>
      </c>
      <c r="N2320" s="14">
        <v>28</v>
      </c>
      <c r="O2320" s="55" t="s">
        <v>159</v>
      </c>
      <c r="Q2320" s="10">
        <v>4800</v>
      </c>
      <c r="R2320" s="10">
        <v>60</v>
      </c>
      <c r="U2320" s="10">
        <v>180</v>
      </c>
      <c r="W2320" s="14"/>
      <c r="Y2320" s="79">
        <v>32</v>
      </c>
      <c r="Z2320" s="56" t="s">
        <v>13</v>
      </c>
      <c r="AA2320" s="14" t="s">
        <v>1636</v>
      </c>
    </row>
    <row r="2321" spans="1:28" ht="23.1" customHeight="1" x14ac:dyDescent="0.25">
      <c r="A2321" s="53" t="s">
        <v>1621</v>
      </c>
      <c r="B2321" s="10" t="s">
        <v>110</v>
      </c>
      <c r="C2321" s="10">
        <v>24</v>
      </c>
      <c r="D2321" s="10" t="s">
        <v>738</v>
      </c>
      <c r="E2321" s="41" t="s">
        <v>739</v>
      </c>
      <c r="F2321" s="41" t="s">
        <v>739</v>
      </c>
      <c r="G2321" s="21" t="str">
        <f>VLOOKUP(D2321,[6]成飞半成品!$A:$B,2,0)</f>
        <v>BL280侧壁（右件）</v>
      </c>
      <c r="H2321" s="10" t="s">
        <v>107</v>
      </c>
      <c r="I2321" s="10">
        <v>30</v>
      </c>
      <c r="J2321" s="10" t="s">
        <v>2061</v>
      </c>
      <c r="K2321" s="10">
        <v>0.6</v>
      </c>
      <c r="L2321" s="10">
        <v>0.6</v>
      </c>
      <c r="M2321" s="14">
        <v>5</v>
      </c>
      <c r="N2321" s="14">
        <v>28</v>
      </c>
      <c r="O2321" s="55" t="s">
        <v>860</v>
      </c>
      <c r="Q2321" s="10">
        <v>1700</v>
      </c>
      <c r="R2321" s="10">
        <v>120</v>
      </c>
      <c r="T2321" s="10">
        <v>1</v>
      </c>
      <c r="U2321" s="10">
        <v>210</v>
      </c>
      <c r="W2321" s="14">
        <v>1</v>
      </c>
      <c r="X2321" s="14">
        <v>3</v>
      </c>
      <c r="Y2321" s="79">
        <v>25.5</v>
      </c>
      <c r="Z2321" s="56" t="s">
        <v>26</v>
      </c>
      <c r="AA2321" s="14" t="s">
        <v>1637</v>
      </c>
    </row>
    <row r="2322" spans="1:28" ht="23.1" customHeight="1" x14ac:dyDescent="0.25">
      <c r="A2322" s="53" t="s">
        <v>1621</v>
      </c>
      <c r="B2322" s="10" t="s">
        <v>110</v>
      </c>
      <c r="C2322" s="10">
        <v>84</v>
      </c>
      <c r="D2322" s="10" t="s">
        <v>1047</v>
      </c>
      <c r="E2322" s="41" t="s">
        <v>424</v>
      </c>
      <c r="F2322" s="41" t="s">
        <v>424</v>
      </c>
      <c r="G2322" s="21" t="str">
        <f>VLOOKUP(D2322,[6]成飞半成品!$A:$B,2,0)</f>
        <v>后梁四段</v>
      </c>
      <c r="H2322" s="10" t="s">
        <v>107</v>
      </c>
      <c r="I2322" s="10">
        <v>40</v>
      </c>
      <c r="J2322" s="10" t="s">
        <v>2096</v>
      </c>
      <c r="L2322" s="10">
        <v>2</v>
      </c>
      <c r="M2322" s="14">
        <v>28</v>
      </c>
      <c r="N2322" s="14"/>
      <c r="O2322" s="55" t="s">
        <v>1048</v>
      </c>
      <c r="Q2322" s="10">
        <v>360</v>
      </c>
      <c r="R2322" s="10">
        <v>30</v>
      </c>
      <c r="U2322" s="10">
        <v>120</v>
      </c>
      <c r="W2322" s="14"/>
      <c r="X2322" s="14">
        <v>10</v>
      </c>
      <c r="Y2322" s="79">
        <v>22</v>
      </c>
      <c r="Z2322" s="56" t="s">
        <v>26</v>
      </c>
      <c r="AA2322" s="14" t="s">
        <v>1638</v>
      </c>
    </row>
    <row r="2323" spans="1:28" ht="23.1" customHeight="1" x14ac:dyDescent="0.25">
      <c r="A2323" s="53" t="s">
        <v>1621</v>
      </c>
      <c r="B2323" s="10" t="s">
        <v>110</v>
      </c>
      <c r="C2323" s="10">
        <v>69</v>
      </c>
      <c r="D2323" s="10" t="s">
        <v>484</v>
      </c>
      <c r="E2323" s="41" t="s">
        <v>485</v>
      </c>
      <c r="F2323" s="41" t="s">
        <v>485</v>
      </c>
      <c r="G2323" s="21" t="str">
        <f>VLOOKUP(D2323,[6]成飞半成品!$A:$B,2,0)</f>
        <v>8635左隔框</v>
      </c>
      <c r="H2323" s="10" t="s">
        <v>300</v>
      </c>
      <c r="I2323" s="10">
        <v>30</v>
      </c>
      <c r="J2323" s="10" t="s">
        <v>1921</v>
      </c>
      <c r="K2323" s="10">
        <v>0.8</v>
      </c>
      <c r="L2323" s="10">
        <v>0.8</v>
      </c>
      <c r="M2323" s="14">
        <v>28</v>
      </c>
      <c r="N2323" s="14"/>
      <c r="O2323" s="55" t="s">
        <v>164</v>
      </c>
      <c r="Q2323" s="10">
        <v>960</v>
      </c>
      <c r="R2323" s="10">
        <v>120</v>
      </c>
      <c r="U2323" s="10">
        <v>180</v>
      </c>
      <c r="W2323" s="14"/>
      <c r="Y2323" s="79">
        <v>12.8</v>
      </c>
      <c r="Z2323" s="56" t="s">
        <v>26</v>
      </c>
    </row>
    <row r="2324" spans="1:28" ht="23.1" customHeight="1" x14ac:dyDescent="0.25">
      <c r="A2324" s="53" t="s">
        <v>1621</v>
      </c>
      <c r="B2324" s="10" t="s">
        <v>110</v>
      </c>
      <c r="C2324" s="10">
        <v>69</v>
      </c>
      <c r="D2324" s="10" t="s">
        <v>484</v>
      </c>
      <c r="E2324" s="41" t="s">
        <v>485</v>
      </c>
      <c r="F2324" s="41" t="s">
        <v>485</v>
      </c>
      <c r="G2324" s="21" t="str">
        <f>VLOOKUP(D2324,[6]成飞半成品!$A:$B,2,0)</f>
        <v>8635左隔框</v>
      </c>
      <c r="H2324" s="10" t="s">
        <v>300</v>
      </c>
      <c r="I2324" s="10">
        <v>32</v>
      </c>
      <c r="K2324" s="10">
        <v>0</v>
      </c>
      <c r="L2324" s="10">
        <v>1</v>
      </c>
      <c r="M2324" s="14">
        <v>28</v>
      </c>
      <c r="N2324" s="14">
        <v>28</v>
      </c>
      <c r="O2324" s="55" t="s">
        <v>164</v>
      </c>
      <c r="P2324" s="10">
        <v>150</v>
      </c>
      <c r="S2324" s="10">
        <v>120</v>
      </c>
      <c r="T2324" s="10">
        <v>1</v>
      </c>
      <c r="W2324" s="14"/>
      <c r="Y2324" s="83">
        <v>4.5</v>
      </c>
      <c r="Z2324" s="56" t="s">
        <v>26</v>
      </c>
    </row>
    <row r="2325" spans="1:28" ht="23.1" customHeight="1" x14ac:dyDescent="0.25">
      <c r="A2325" s="53" t="s">
        <v>1621</v>
      </c>
      <c r="B2325" s="10" t="s">
        <v>110</v>
      </c>
      <c r="C2325" s="10">
        <v>91</v>
      </c>
      <c r="D2325" s="10" t="s">
        <v>254</v>
      </c>
      <c r="E2325" s="41" t="s">
        <v>1016</v>
      </c>
      <c r="F2325" s="41" t="s">
        <v>1016</v>
      </c>
      <c r="G2325" s="21" t="str">
        <f>VLOOKUP(D2325,[6]成飞半成品!$A:$B,2,0)</f>
        <v>9350-11140右侧上梁</v>
      </c>
      <c r="H2325" s="10" t="s">
        <v>375</v>
      </c>
      <c r="I2325" s="10">
        <v>40</v>
      </c>
      <c r="J2325" s="10" t="s">
        <v>2110</v>
      </c>
      <c r="K2325" s="10">
        <v>0.3</v>
      </c>
      <c r="L2325" s="10">
        <v>0.4</v>
      </c>
      <c r="M2325" s="14">
        <v>37</v>
      </c>
      <c r="N2325" s="14">
        <v>37</v>
      </c>
      <c r="O2325" s="55" t="s">
        <v>256</v>
      </c>
      <c r="Q2325" s="10">
        <v>3000</v>
      </c>
      <c r="R2325" s="10">
        <v>90</v>
      </c>
      <c r="U2325" s="10">
        <v>120</v>
      </c>
      <c r="W2325" s="14"/>
      <c r="Y2325" s="79">
        <v>20</v>
      </c>
      <c r="Z2325" s="56" t="s">
        <v>26</v>
      </c>
    </row>
    <row r="2326" spans="1:28" ht="23.1" customHeight="1" x14ac:dyDescent="0.25">
      <c r="A2326" s="53" t="s">
        <v>1621</v>
      </c>
      <c r="B2326" s="10" t="s">
        <v>110</v>
      </c>
      <c r="C2326" s="10">
        <v>119</v>
      </c>
      <c r="D2326" s="10" t="s">
        <v>352</v>
      </c>
      <c r="E2326" s="41" t="s">
        <v>353</v>
      </c>
      <c r="F2326" s="41" t="e">
        <v>#N/A</v>
      </c>
      <c r="G2326" s="21" t="e">
        <f>VLOOKUP(D2326,[6]成飞半成品!$A:$B,2,0)</f>
        <v>#N/A</v>
      </c>
      <c r="H2326" s="10" t="s">
        <v>300</v>
      </c>
      <c r="I2326" s="10">
        <v>35</v>
      </c>
      <c r="J2326" s="10" t="s">
        <v>2396</v>
      </c>
      <c r="K2326" s="10">
        <v>0.6</v>
      </c>
      <c r="L2326" s="10">
        <v>0.6</v>
      </c>
      <c r="M2326" s="14">
        <v>5</v>
      </c>
      <c r="N2326" s="14">
        <v>26</v>
      </c>
      <c r="O2326" s="55" t="s">
        <v>355</v>
      </c>
      <c r="Q2326" s="10">
        <v>1440</v>
      </c>
      <c r="R2326" s="10">
        <v>90</v>
      </c>
      <c r="U2326" s="10">
        <v>180</v>
      </c>
      <c r="W2326" s="14">
        <v>1</v>
      </c>
      <c r="X2326" s="14">
        <v>5</v>
      </c>
      <c r="Y2326" s="79">
        <v>22.4</v>
      </c>
      <c r="Z2326" s="56" t="s">
        <v>26</v>
      </c>
      <c r="AA2326" s="14" t="s">
        <v>1639</v>
      </c>
    </row>
    <row r="2327" spans="1:28" ht="23.1" customHeight="1" x14ac:dyDescent="0.25">
      <c r="A2327" s="53" t="s">
        <v>1621</v>
      </c>
      <c r="B2327" s="10" t="s">
        <v>110</v>
      </c>
      <c r="C2327" s="10">
        <v>121</v>
      </c>
      <c r="D2327" s="10" t="s">
        <v>288</v>
      </c>
      <c r="E2327" s="41" t="s">
        <v>1532</v>
      </c>
      <c r="F2327" s="41" t="s">
        <v>1532</v>
      </c>
      <c r="G2327" s="21" t="str">
        <f>VLOOKUP(D2327,[6]成飞半成品!$A:$B,2,0)</f>
        <v>9350-11140左侧上梁</v>
      </c>
      <c r="H2327" s="10" t="s">
        <v>250</v>
      </c>
      <c r="I2327" s="10">
        <v>50</v>
      </c>
      <c r="J2327" s="10" t="s">
        <v>2021</v>
      </c>
      <c r="K2327" s="10">
        <v>0.3</v>
      </c>
      <c r="L2327" s="10">
        <v>0.4</v>
      </c>
      <c r="M2327" s="14">
        <v>28</v>
      </c>
      <c r="N2327" s="14"/>
      <c r="O2327" s="55" t="s">
        <v>357</v>
      </c>
      <c r="Q2327" s="10">
        <v>3000</v>
      </c>
      <c r="R2327" s="10">
        <v>90</v>
      </c>
      <c r="U2327" s="10">
        <v>150</v>
      </c>
      <c r="W2327" s="14"/>
      <c r="Y2327" s="79">
        <v>20</v>
      </c>
      <c r="Z2327" s="56" t="s">
        <v>26</v>
      </c>
    </row>
    <row r="2328" spans="1:28" ht="23.1" customHeight="1" x14ac:dyDescent="0.25">
      <c r="A2328" s="53" t="s">
        <v>1621</v>
      </c>
      <c r="B2328" s="10" t="s">
        <v>110</v>
      </c>
      <c r="C2328" s="10">
        <v>16</v>
      </c>
      <c r="D2328" s="10" t="s">
        <v>1420</v>
      </c>
      <c r="E2328" s="41" t="s">
        <v>1421</v>
      </c>
      <c r="F2328" s="41" t="s">
        <v>1421</v>
      </c>
      <c r="G2328" s="21" t="str">
        <f>VLOOKUP(D2328,[6]成飞半成品!$A:$B,2,0)</f>
        <v>第5隔板</v>
      </c>
      <c r="H2328" s="10" t="s">
        <v>123</v>
      </c>
      <c r="I2328" s="10">
        <v>20</v>
      </c>
      <c r="J2328" s="10" t="s">
        <v>2280</v>
      </c>
      <c r="K2328" s="10">
        <v>1.3</v>
      </c>
      <c r="L2328" s="10">
        <v>1.3</v>
      </c>
      <c r="M2328" s="14">
        <v>31</v>
      </c>
      <c r="N2328" s="14">
        <v>5</v>
      </c>
      <c r="O2328" s="55" t="s">
        <v>597</v>
      </c>
      <c r="Q2328" s="10">
        <v>180</v>
      </c>
      <c r="U2328" s="10">
        <v>90</v>
      </c>
      <c r="W2328" s="14"/>
      <c r="Y2328" s="79">
        <v>3.9</v>
      </c>
      <c r="Z2328" s="56" t="s">
        <v>38</v>
      </c>
    </row>
    <row r="2329" spans="1:28" ht="23.1" customHeight="1" x14ac:dyDescent="0.25">
      <c r="A2329" s="53" t="s">
        <v>1621</v>
      </c>
      <c r="B2329" s="10" t="s">
        <v>110</v>
      </c>
      <c r="C2329" s="10">
        <v>16</v>
      </c>
      <c r="D2329" s="10" t="s">
        <v>1420</v>
      </c>
      <c r="E2329" s="41" t="s">
        <v>1421</v>
      </c>
      <c r="F2329" s="41" t="s">
        <v>1421</v>
      </c>
      <c r="G2329" s="21" t="str">
        <f>VLOOKUP(D2329,[6]成飞半成品!$A:$B,2,0)</f>
        <v>第5隔板</v>
      </c>
      <c r="H2329" s="10" t="s">
        <v>123</v>
      </c>
      <c r="I2329" s="10">
        <v>25</v>
      </c>
      <c r="J2329" s="10" t="s">
        <v>2308</v>
      </c>
      <c r="K2329" s="10">
        <v>0.2</v>
      </c>
      <c r="L2329" s="10">
        <v>0.3</v>
      </c>
      <c r="M2329" s="14"/>
      <c r="N2329" s="14"/>
      <c r="O2329" s="55" t="s">
        <v>1440</v>
      </c>
      <c r="Q2329" s="10">
        <v>780</v>
      </c>
      <c r="U2329" s="10">
        <v>90</v>
      </c>
      <c r="W2329" s="14">
        <v>1</v>
      </c>
      <c r="X2329" s="14">
        <v>2</v>
      </c>
      <c r="Y2329" s="79">
        <v>7.4</v>
      </c>
      <c r="Z2329" s="56" t="s">
        <v>38</v>
      </c>
      <c r="AA2329" s="14" t="s">
        <v>1640</v>
      </c>
    </row>
    <row r="2330" spans="1:28" ht="23.1" customHeight="1" x14ac:dyDescent="0.25">
      <c r="A2330" s="53" t="s">
        <v>1621</v>
      </c>
      <c r="B2330" s="10" t="s">
        <v>110</v>
      </c>
      <c r="C2330" s="10">
        <v>77</v>
      </c>
      <c r="D2330" s="10" t="s">
        <v>1259</v>
      </c>
      <c r="E2330" s="41" t="s">
        <v>1040</v>
      </c>
      <c r="F2330" s="41" t="s">
        <v>1040</v>
      </c>
      <c r="G2330" s="21" t="str">
        <f>VLOOKUP(D2330,[6]成飞半成品!$A:$B,2,0)</f>
        <v>底部连接接头</v>
      </c>
      <c r="H2330" s="10" t="s">
        <v>102</v>
      </c>
      <c r="I2330" s="10">
        <v>20</v>
      </c>
      <c r="J2330" s="10" t="s">
        <v>2106</v>
      </c>
      <c r="K2330" s="10">
        <v>8</v>
      </c>
      <c r="L2330" s="10">
        <v>8</v>
      </c>
      <c r="M2330" s="14">
        <v>9</v>
      </c>
      <c r="N2330" s="14">
        <v>9</v>
      </c>
      <c r="O2330" s="55" t="s">
        <v>596</v>
      </c>
      <c r="Q2330" s="10">
        <v>20</v>
      </c>
      <c r="U2330" s="10">
        <v>60</v>
      </c>
      <c r="W2330" s="14">
        <v>1</v>
      </c>
      <c r="X2330" s="14">
        <v>2</v>
      </c>
      <c r="Y2330" s="79">
        <v>5.7</v>
      </c>
      <c r="Z2330" s="56" t="s">
        <v>40</v>
      </c>
      <c r="AA2330" s="14" t="s">
        <v>1614</v>
      </c>
      <c r="AB2330" s="25" t="s">
        <v>238</v>
      </c>
    </row>
    <row r="2331" spans="1:28" ht="23.1" customHeight="1" x14ac:dyDescent="0.25">
      <c r="A2331" s="53" t="s">
        <v>1621</v>
      </c>
      <c r="B2331" s="10" t="s">
        <v>110</v>
      </c>
      <c r="C2331" s="10">
        <v>77</v>
      </c>
      <c r="D2331" s="10" t="s">
        <v>1259</v>
      </c>
      <c r="E2331" s="41" t="s">
        <v>1040</v>
      </c>
      <c r="F2331" s="41" t="s">
        <v>1040</v>
      </c>
      <c r="G2331" s="21" t="str">
        <f>VLOOKUP(D2331,[6]成飞半成品!$A:$B,2,0)</f>
        <v>底部连接接头</v>
      </c>
      <c r="H2331" s="10" t="s">
        <v>102</v>
      </c>
      <c r="I2331" s="10">
        <v>20</v>
      </c>
      <c r="J2331" s="10" t="s">
        <v>2106</v>
      </c>
      <c r="K2331" s="10">
        <v>8</v>
      </c>
      <c r="L2331" s="10">
        <v>3</v>
      </c>
      <c r="M2331" s="14">
        <v>31</v>
      </c>
      <c r="N2331" s="14"/>
      <c r="O2331" s="55" t="s">
        <v>596</v>
      </c>
      <c r="Q2331" s="10">
        <v>20</v>
      </c>
      <c r="U2331" s="10">
        <v>60</v>
      </c>
      <c r="W2331" s="14">
        <v>1</v>
      </c>
      <c r="Y2331" s="79">
        <v>2</v>
      </c>
      <c r="Z2331" s="56" t="s">
        <v>40</v>
      </c>
      <c r="AB2331" s="25"/>
    </row>
    <row r="2332" spans="1:28" ht="23.1" customHeight="1" x14ac:dyDescent="0.25">
      <c r="A2332" s="53" t="s">
        <v>1621</v>
      </c>
      <c r="B2332" s="10" t="s">
        <v>110</v>
      </c>
      <c r="C2332" s="10">
        <v>78</v>
      </c>
      <c r="D2332" s="10" t="s">
        <v>992</v>
      </c>
      <c r="E2332" s="41" t="s">
        <v>993</v>
      </c>
      <c r="F2332" s="41" t="s">
        <v>993</v>
      </c>
      <c r="G2332" s="21" t="str">
        <f>VLOOKUP(D2332,[6]成飞半成品!$A:$B,2,0)</f>
        <v>内侧梁</v>
      </c>
      <c r="H2332" s="10" t="s">
        <v>154</v>
      </c>
      <c r="I2332" s="10">
        <v>25</v>
      </c>
      <c r="J2332" s="10" t="s">
        <v>1993</v>
      </c>
      <c r="K2332" s="10">
        <v>1</v>
      </c>
      <c r="L2332" s="10">
        <v>1</v>
      </c>
      <c r="M2332" s="14">
        <v>31</v>
      </c>
      <c r="N2332" s="14"/>
      <c r="O2332" s="55" t="s">
        <v>159</v>
      </c>
      <c r="Q2332" s="10">
        <v>400</v>
      </c>
      <c r="R2332" s="10">
        <v>60</v>
      </c>
      <c r="T2332" s="10">
        <v>1</v>
      </c>
      <c r="U2332" s="10">
        <v>90</v>
      </c>
      <c r="W2332" s="14"/>
      <c r="Y2332" s="79">
        <v>7.7</v>
      </c>
      <c r="Z2332" s="56" t="s">
        <v>5</v>
      </c>
    </row>
    <row r="2333" spans="1:28" ht="23.1" customHeight="1" x14ac:dyDescent="0.25">
      <c r="A2333" s="53" t="s">
        <v>1621</v>
      </c>
      <c r="B2333" s="10" t="s">
        <v>110</v>
      </c>
      <c r="C2333" s="10">
        <v>78</v>
      </c>
      <c r="D2333" s="10" t="s">
        <v>992</v>
      </c>
      <c r="E2333" s="41" t="s">
        <v>993</v>
      </c>
      <c r="F2333" s="41" t="s">
        <v>993</v>
      </c>
      <c r="G2333" s="21" t="str">
        <f>VLOOKUP(D2333,[6]成飞半成品!$A:$B,2,0)</f>
        <v>内侧梁</v>
      </c>
      <c r="H2333" s="10" t="s">
        <v>154</v>
      </c>
      <c r="I2333" s="10">
        <v>30</v>
      </c>
      <c r="J2333" s="10" t="s">
        <v>1992</v>
      </c>
      <c r="L2333" s="10">
        <v>1</v>
      </c>
      <c r="M2333" s="14">
        <v>23</v>
      </c>
      <c r="N2333" s="14"/>
      <c r="O2333" s="55" t="s">
        <v>159</v>
      </c>
      <c r="Q2333" s="10">
        <v>450</v>
      </c>
      <c r="R2333" s="10">
        <v>60</v>
      </c>
      <c r="T2333" s="10">
        <v>1</v>
      </c>
      <c r="U2333" s="10">
        <v>90</v>
      </c>
      <c r="W2333" s="14">
        <v>1</v>
      </c>
      <c r="Y2333" s="79">
        <v>10</v>
      </c>
      <c r="Z2333" s="56" t="s">
        <v>5</v>
      </c>
    </row>
    <row r="2334" spans="1:28" ht="23.1" customHeight="1" x14ac:dyDescent="0.25">
      <c r="A2334" s="53" t="s">
        <v>1621</v>
      </c>
      <c r="B2334" s="10" t="s">
        <v>110</v>
      </c>
      <c r="C2334" s="10">
        <v>58</v>
      </c>
      <c r="D2334" s="25" t="s">
        <v>2552</v>
      </c>
      <c r="E2334" s="41" t="s">
        <v>731</v>
      </c>
      <c r="F2334" s="41" t="e">
        <v>#N/A</v>
      </c>
      <c r="G2334" s="21" t="str">
        <f>VLOOKUP(D2334,[6]成飞半成品!$A:$B,2,0)</f>
        <v>3D打印</v>
      </c>
      <c r="H2334" s="10" t="s">
        <v>102</v>
      </c>
      <c r="I2334" s="10">
        <v>15</v>
      </c>
      <c r="K2334" s="10">
        <v>1</v>
      </c>
      <c r="L2334" s="10">
        <v>1</v>
      </c>
      <c r="M2334" s="14">
        <v>28</v>
      </c>
      <c r="N2334" s="14"/>
      <c r="O2334" s="55" t="s">
        <v>108</v>
      </c>
      <c r="W2334" s="14"/>
      <c r="X2334" s="14">
        <v>12</v>
      </c>
      <c r="Y2334" s="79">
        <v>12</v>
      </c>
      <c r="Z2334" s="56" t="s">
        <v>57</v>
      </c>
      <c r="AB2334" s="14" t="s">
        <v>238</v>
      </c>
    </row>
    <row r="2335" spans="1:28" ht="23.1" customHeight="1" x14ac:dyDescent="0.25">
      <c r="A2335" s="53" t="s">
        <v>1621</v>
      </c>
      <c r="B2335" s="10" t="s">
        <v>110</v>
      </c>
      <c r="C2335" s="10">
        <v>47</v>
      </c>
      <c r="D2335" s="10" t="s">
        <v>2560</v>
      </c>
      <c r="E2335" s="41" t="s">
        <v>979</v>
      </c>
      <c r="F2335" s="41" t="s">
        <v>979</v>
      </c>
      <c r="G2335" s="21" t="str">
        <f>VLOOKUP(D2335,[6]成飞半成品!$A:$B,2,0)</f>
        <v>翼尖接头</v>
      </c>
      <c r="H2335" s="10" t="s">
        <v>123</v>
      </c>
      <c r="I2335" s="10">
        <v>38</v>
      </c>
      <c r="K2335" s="10">
        <v>0.8</v>
      </c>
      <c r="L2335" s="10">
        <v>0.8</v>
      </c>
      <c r="M2335" s="14">
        <v>37</v>
      </c>
      <c r="N2335" s="14">
        <v>37</v>
      </c>
      <c r="O2335" s="55" t="s">
        <v>1305</v>
      </c>
      <c r="P2335" s="10">
        <v>330</v>
      </c>
      <c r="S2335" s="10">
        <v>120</v>
      </c>
      <c r="T2335" s="10">
        <v>1</v>
      </c>
      <c r="V2335" s="10">
        <v>90</v>
      </c>
      <c r="W2335" s="14">
        <v>1</v>
      </c>
      <c r="Y2335" s="83">
        <v>7.9</v>
      </c>
      <c r="Z2335" s="56" t="s">
        <v>22</v>
      </c>
    </row>
    <row r="2336" spans="1:28" ht="23.1" customHeight="1" x14ac:dyDescent="0.25">
      <c r="A2336" s="53" t="s">
        <v>1621</v>
      </c>
      <c r="B2336" s="10" t="s">
        <v>110</v>
      </c>
      <c r="C2336" s="10">
        <v>47</v>
      </c>
      <c r="D2336" s="10" t="s">
        <v>2560</v>
      </c>
      <c r="E2336" s="41" t="s">
        <v>979</v>
      </c>
      <c r="F2336" s="41" t="s">
        <v>979</v>
      </c>
      <c r="G2336" s="21" t="str">
        <f>VLOOKUP(D2336,[6]成飞半成品!$A:$B,2,0)</f>
        <v>翼尖接头</v>
      </c>
      <c r="H2336" s="10" t="s">
        <v>123</v>
      </c>
      <c r="I2336" s="10">
        <v>30</v>
      </c>
      <c r="J2336" s="10" t="s">
        <v>2199</v>
      </c>
      <c r="K2336" s="10">
        <v>0.1</v>
      </c>
      <c r="L2336" s="10">
        <v>0.1</v>
      </c>
      <c r="M2336" s="14">
        <v>28</v>
      </c>
      <c r="N2336" s="14"/>
      <c r="O2336" s="55" t="s">
        <v>1402</v>
      </c>
      <c r="Q2336" s="10">
        <v>720</v>
      </c>
      <c r="R2336" s="10">
        <v>120</v>
      </c>
      <c r="U2336" s="10">
        <v>90</v>
      </c>
      <c r="W2336" s="14"/>
      <c r="Y2336" s="79">
        <v>1.2</v>
      </c>
      <c r="Z2336" s="56" t="s">
        <v>22</v>
      </c>
    </row>
    <row r="2337" spans="1:28" ht="23.1" customHeight="1" x14ac:dyDescent="0.25">
      <c r="A2337" s="53" t="s">
        <v>1621</v>
      </c>
      <c r="B2337" s="10" t="s">
        <v>110</v>
      </c>
      <c r="C2337" s="10">
        <v>23</v>
      </c>
      <c r="D2337" s="10" t="s">
        <v>498</v>
      </c>
      <c r="E2337" s="41" t="s">
        <v>499</v>
      </c>
      <c r="F2337" s="41" t="s">
        <v>499</v>
      </c>
      <c r="G2337" s="21" t="str">
        <f>VLOOKUP(D2337,[6]成飞半成品!$A:$B,2,0)</f>
        <v>10540中框</v>
      </c>
      <c r="H2337" s="10" t="s">
        <v>118</v>
      </c>
      <c r="I2337" s="10">
        <v>30</v>
      </c>
      <c r="J2337" s="10" t="s">
        <v>2123</v>
      </c>
      <c r="K2337" s="10">
        <v>0.9</v>
      </c>
      <c r="L2337" s="10">
        <v>0.9</v>
      </c>
      <c r="M2337" s="14">
        <v>37</v>
      </c>
      <c r="N2337" s="14">
        <v>37</v>
      </c>
      <c r="O2337" s="55" t="s">
        <v>222</v>
      </c>
      <c r="Q2337" s="10">
        <v>1020</v>
      </c>
      <c r="R2337" s="10">
        <v>90</v>
      </c>
      <c r="T2337" s="10">
        <v>1</v>
      </c>
      <c r="U2337" s="10">
        <v>120</v>
      </c>
      <c r="W2337" s="14">
        <v>1</v>
      </c>
      <c r="Y2337" s="79">
        <v>18.8</v>
      </c>
      <c r="Z2337" s="56" t="s">
        <v>22</v>
      </c>
    </row>
    <row r="2338" spans="1:28" ht="23.1" customHeight="1" x14ac:dyDescent="0.25">
      <c r="A2338" s="53" t="s">
        <v>1621</v>
      </c>
      <c r="B2338" s="10" t="s">
        <v>110</v>
      </c>
      <c r="C2338" s="10">
        <v>107</v>
      </c>
      <c r="D2338" s="10" t="s">
        <v>1415</v>
      </c>
      <c r="E2338" s="41" t="s">
        <v>215</v>
      </c>
      <c r="F2338" s="41" t="s">
        <v>215</v>
      </c>
      <c r="G2338" s="21" t="str">
        <f>VLOOKUP(D2338,[6]成飞半成品!$A:$B,2,0)</f>
        <v>口盖</v>
      </c>
      <c r="H2338" s="10" t="s">
        <v>154</v>
      </c>
      <c r="I2338" s="10">
        <v>40</v>
      </c>
      <c r="J2338" s="10" t="s">
        <v>2263</v>
      </c>
      <c r="K2338" s="10">
        <v>1</v>
      </c>
      <c r="L2338" s="10">
        <v>0.5</v>
      </c>
      <c r="M2338" s="14">
        <v>5</v>
      </c>
      <c r="N2338" s="14"/>
      <c r="O2338" s="55" t="s">
        <v>1641</v>
      </c>
      <c r="Q2338" s="10">
        <v>390</v>
      </c>
      <c r="T2338" s="10">
        <v>1</v>
      </c>
      <c r="U2338" s="10">
        <v>60</v>
      </c>
      <c r="W2338" s="14">
        <v>1</v>
      </c>
      <c r="Y2338" s="79">
        <v>4.3</v>
      </c>
      <c r="Z2338" s="56" t="s">
        <v>13</v>
      </c>
    </row>
    <row r="2339" spans="1:28" ht="23.1" customHeight="1" x14ac:dyDescent="0.25">
      <c r="A2339" s="53" t="s">
        <v>1621</v>
      </c>
      <c r="B2339" s="10" t="s">
        <v>110</v>
      </c>
      <c r="C2339" s="10">
        <v>69</v>
      </c>
      <c r="D2339" s="10" t="s">
        <v>298</v>
      </c>
      <c r="E2339" s="41" t="s">
        <v>299</v>
      </c>
      <c r="F2339" s="41" t="s">
        <v>299</v>
      </c>
      <c r="G2339" s="21" t="str">
        <f>VLOOKUP(D2339,[6]成飞半成品!$A:$B,2,0)</f>
        <v>8635右隔框</v>
      </c>
      <c r="H2339" s="10" t="s">
        <v>300</v>
      </c>
      <c r="I2339" s="10">
        <v>30</v>
      </c>
      <c r="J2339" s="10" t="s">
        <v>1921</v>
      </c>
      <c r="K2339" s="10">
        <v>0.3</v>
      </c>
      <c r="L2339" s="10">
        <v>0.5</v>
      </c>
      <c r="M2339" s="14">
        <v>5</v>
      </c>
      <c r="N2339" s="14">
        <v>5</v>
      </c>
      <c r="O2339" s="55" t="s">
        <v>164</v>
      </c>
      <c r="Q2339" s="10">
        <v>960</v>
      </c>
      <c r="R2339" s="10">
        <v>120</v>
      </c>
      <c r="U2339" s="10">
        <v>180</v>
      </c>
      <c r="W2339" s="14">
        <v>1</v>
      </c>
      <c r="X2339" s="14">
        <v>8</v>
      </c>
      <c r="Y2339" s="79">
        <v>19</v>
      </c>
      <c r="Z2339" s="56" t="s">
        <v>26</v>
      </c>
      <c r="AA2339" s="14" t="s">
        <v>1642</v>
      </c>
    </row>
    <row r="2340" spans="1:28" ht="23.1" customHeight="1" x14ac:dyDescent="0.25">
      <c r="A2340" s="53" t="s">
        <v>1621</v>
      </c>
      <c r="B2340" s="10" t="s">
        <v>110</v>
      </c>
      <c r="C2340" s="10">
        <v>21</v>
      </c>
      <c r="D2340" s="10" t="s">
        <v>321</v>
      </c>
      <c r="E2340" s="41" t="s">
        <v>322</v>
      </c>
      <c r="F2340" s="41" t="s">
        <v>322</v>
      </c>
      <c r="G2340" s="21" t="str">
        <f>VLOOKUP(D2340,[6]成飞半成品!$A:$B,2,0)</f>
        <v>10860框</v>
      </c>
      <c r="H2340" s="10" t="s">
        <v>323</v>
      </c>
      <c r="I2340" s="10">
        <v>50</v>
      </c>
      <c r="J2340" s="10" t="s">
        <v>1986</v>
      </c>
      <c r="K2340" s="10">
        <v>2</v>
      </c>
      <c r="L2340" s="10">
        <v>0.3</v>
      </c>
      <c r="M2340" s="14">
        <v>5</v>
      </c>
      <c r="N2340" s="14">
        <v>5</v>
      </c>
      <c r="O2340" s="55" t="s">
        <v>508</v>
      </c>
      <c r="Q2340" s="10">
        <v>630</v>
      </c>
      <c r="R2340" s="10">
        <v>120</v>
      </c>
      <c r="T2340" s="10">
        <v>1</v>
      </c>
      <c r="U2340" s="10">
        <v>180</v>
      </c>
      <c r="W2340" s="14">
        <v>1</v>
      </c>
      <c r="X2340" s="10">
        <v>2</v>
      </c>
      <c r="Y2340" s="79">
        <v>10.199999999999999</v>
      </c>
      <c r="Z2340" s="56" t="s">
        <v>49</v>
      </c>
      <c r="AA2340" s="14" t="s">
        <v>953</v>
      </c>
    </row>
    <row r="2341" spans="1:28" ht="23.1" customHeight="1" x14ac:dyDescent="0.25">
      <c r="A2341" s="53" t="s">
        <v>1621</v>
      </c>
      <c r="B2341" s="10" t="s">
        <v>110</v>
      </c>
      <c r="C2341" s="10">
        <v>79</v>
      </c>
      <c r="D2341" s="10" t="s">
        <v>420</v>
      </c>
      <c r="E2341" s="41" t="s">
        <v>1247</v>
      </c>
      <c r="F2341" s="41" t="s">
        <v>1247</v>
      </c>
      <c r="G2341" s="21" t="str">
        <f>VLOOKUP(D2341,[6]成飞半成品!$A:$B,2,0)</f>
        <v>根肋前段</v>
      </c>
      <c r="H2341" s="10" t="s">
        <v>154</v>
      </c>
      <c r="I2341" s="10">
        <v>30</v>
      </c>
      <c r="J2341" s="10" t="s">
        <v>2053</v>
      </c>
      <c r="K2341" s="10">
        <v>0.3</v>
      </c>
      <c r="L2341" s="10">
        <v>0.6</v>
      </c>
      <c r="M2341" s="14">
        <v>23</v>
      </c>
      <c r="N2341" s="14">
        <v>23</v>
      </c>
      <c r="O2341" s="55" t="s">
        <v>421</v>
      </c>
      <c r="Q2341" s="10">
        <v>1830</v>
      </c>
      <c r="R2341" s="10">
        <v>90</v>
      </c>
      <c r="T2341" s="10">
        <v>1</v>
      </c>
      <c r="U2341" s="10">
        <v>120</v>
      </c>
      <c r="W2341" s="14">
        <v>1</v>
      </c>
      <c r="Y2341" s="79">
        <v>21.8</v>
      </c>
      <c r="Z2341" s="56" t="s">
        <v>5</v>
      </c>
    </row>
    <row r="2342" spans="1:28" ht="23.1" customHeight="1" x14ac:dyDescent="0.25">
      <c r="A2342" s="53" t="s">
        <v>1621</v>
      </c>
      <c r="B2342" s="10" t="s">
        <v>110</v>
      </c>
      <c r="C2342" s="10">
        <v>59</v>
      </c>
      <c r="D2342" s="25" t="s">
        <v>2551</v>
      </c>
      <c r="E2342" s="41" t="s">
        <v>1644</v>
      </c>
      <c r="F2342" s="41" t="e">
        <v>#N/A</v>
      </c>
      <c r="G2342" s="21" t="str">
        <f>VLOOKUP(D2342,[6]成飞半成品!$A:$B,2,0)</f>
        <v>工装</v>
      </c>
      <c r="H2342" s="10" t="s">
        <v>102</v>
      </c>
      <c r="I2342" s="10">
        <v>10</v>
      </c>
      <c r="L2342" s="10">
        <v>1</v>
      </c>
      <c r="M2342" s="14"/>
      <c r="N2342" s="14"/>
      <c r="O2342" s="55" t="s">
        <v>108</v>
      </c>
      <c r="W2342" s="14">
        <v>1</v>
      </c>
      <c r="X2342" s="14">
        <v>5</v>
      </c>
      <c r="Y2342" s="79">
        <v>5</v>
      </c>
      <c r="Z2342" s="56" t="s">
        <v>42</v>
      </c>
      <c r="AB2342" s="14" t="s">
        <v>238</v>
      </c>
    </row>
    <row r="2343" spans="1:28" ht="23.1" customHeight="1" x14ac:dyDescent="0.25">
      <c r="A2343" s="53" t="s">
        <v>1621</v>
      </c>
      <c r="B2343" s="10" t="s">
        <v>110</v>
      </c>
      <c r="C2343" s="10">
        <v>59</v>
      </c>
      <c r="D2343" s="25" t="s">
        <v>2551</v>
      </c>
      <c r="E2343" s="41" t="s">
        <v>1644</v>
      </c>
      <c r="F2343" s="41" t="e">
        <v>#N/A</v>
      </c>
      <c r="G2343" s="21" t="str">
        <f>VLOOKUP(D2343,[6]成飞半成品!$A:$B,2,0)</f>
        <v>工装</v>
      </c>
      <c r="H2343" s="10" t="s">
        <v>102</v>
      </c>
      <c r="I2343" s="10">
        <v>15</v>
      </c>
      <c r="L2343" s="10">
        <v>1</v>
      </c>
      <c r="M2343" s="14"/>
      <c r="N2343" s="14"/>
      <c r="O2343" s="55" t="s">
        <v>108</v>
      </c>
      <c r="W2343" s="14">
        <v>1</v>
      </c>
      <c r="X2343" s="14">
        <v>5</v>
      </c>
      <c r="Y2343" s="79">
        <v>5</v>
      </c>
      <c r="Z2343" s="56" t="s">
        <v>42</v>
      </c>
      <c r="AB2343" s="14" t="s">
        <v>238</v>
      </c>
    </row>
    <row r="2344" spans="1:28" ht="23.1" customHeight="1" x14ac:dyDescent="0.25">
      <c r="A2344" s="53" t="s">
        <v>1621</v>
      </c>
      <c r="B2344" s="10" t="s">
        <v>110</v>
      </c>
      <c r="C2344" s="10">
        <v>59</v>
      </c>
      <c r="D2344" s="25" t="s">
        <v>2551</v>
      </c>
      <c r="E2344" s="41" t="s">
        <v>1644</v>
      </c>
      <c r="F2344" s="41" t="e">
        <v>#N/A</v>
      </c>
      <c r="G2344" s="21" t="str">
        <f>VLOOKUP(D2344,[6]成飞半成品!$A:$B,2,0)</f>
        <v>工装</v>
      </c>
      <c r="H2344" s="10" t="s">
        <v>102</v>
      </c>
      <c r="I2344" s="10">
        <v>20</v>
      </c>
      <c r="L2344" s="10">
        <v>0.1</v>
      </c>
      <c r="M2344" s="14"/>
      <c r="N2344" s="14"/>
      <c r="O2344" s="55" t="s">
        <v>108</v>
      </c>
      <c r="W2344" s="14">
        <v>1</v>
      </c>
      <c r="X2344" s="14">
        <v>5</v>
      </c>
      <c r="Y2344" s="79">
        <v>5</v>
      </c>
      <c r="Z2344" s="56" t="s">
        <v>42</v>
      </c>
      <c r="AB2344" s="14" t="s">
        <v>238</v>
      </c>
    </row>
    <row r="2345" spans="1:28" ht="23.1" customHeight="1" x14ac:dyDescent="0.25">
      <c r="A2345" s="53" t="s">
        <v>1621</v>
      </c>
      <c r="B2345" s="10" t="s">
        <v>110</v>
      </c>
      <c r="C2345" s="10">
        <v>55</v>
      </c>
      <c r="D2345" s="10" t="s">
        <v>1506</v>
      </c>
      <c r="E2345" s="41" t="s">
        <v>1507</v>
      </c>
      <c r="F2345" s="41" t="s">
        <v>1507</v>
      </c>
      <c r="G2345" s="21" t="str">
        <f>VLOOKUP(D2345,[6]成飞半成品!$A:$B,2,0)</f>
        <v>转盘</v>
      </c>
      <c r="H2345" s="10" t="s">
        <v>154</v>
      </c>
      <c r="I2345" s="10">
        <v>45</v>
      </c>
      <c r="J2345" s="10" t="s">
        <v>2309</v>
      </c>
      <c r="K2345" s="10">
        <v>3</v>
      </c>
      <c r="L2345" s="10">
        <v>4</v>
      </c>
      <c r="M2345" s="14">
        <v>31</v>
      </c>
      <c r="N2345" s="14">
        <v>26</v>
      </c>
      <c r="O2345" s="55" t="s">
        <v>164</v>
      </c>
      <c r="Q2345" s="10">
        <v>100</v>
      </c>
      <c r="U2345" s="10">
        <v>60</v>
      </c>
      <c r="W2345" s="14">
        <v>1</v>
      </c>
      <c r="X2345" s="14">
        <v>4</v>
      </c>
      <c r="Y2345" s="79">
        <v>11.7</v>
      </c>
      <c r="Z2345" s="56" t="s">
        <v>18</v>
      </c>
      <c r="AA2345" s="14" t="s">
        <v>1645</v>
      </c>
      <c r="AB2345" s="25" t="s">
        <v>238</v>
      </c>
    </row>
    <row r="2346" spans="1:28" ht="23.1" customHeight="1" x14ac:dyDescent="0.25">
      <c r="A2346" s="53" t="s">
        <v>1621</v>
      </c>
      <c r="B2346" s="10" t="s">
        <v>110</v>
      </c>
      <c r="C2346" s="10">
        <v>56</v>
      </c>
      <c r="D2346" s="10" t="s">
        <v>1646</v>
      </c>
      <c r="E2346" s="41" t="s">
        <v>1398</v>
      </c>
      <c r="F2346" s="41" t="s">
        <v>1398</v>
      </c>
      <c r="G2346" s="21" t="str">
        <f>VLOOKUP(D2346,[6]成飞半成品!$A:$B,2,0)</f>
        <v>受剪接头</v>
      </c>
      <c r="H2346" s="10" t="s">
        <v>118</v>
      </c>
      <c r="I2346" s="10">
        <v>22</v>
      </c>
      <c r="L2346" s="10">
        <v>4</v>
      </c>
      <c r="M2346" s="14">
        <v>37</v>
      </c>
      <c r="N2346" s="14">
        <v>37</v>
      </c>
      <c r="O2346" s="55" t="s">
        <v>1647</v>
      </c>
      <c r="P2346" s="10">
        <v>10</v>
      </c>
      <c r="W2346" s="14"/>
      <c r="X2346" s="14">
        <v>3</v>
      </c>
      <c r="Y2346" s="83">
        <v>3.7</v>
      </c>
      <c r="Z2346" s="56" t="s">
        <v>18</v>
      </c>
      <c r="AA2346" s="14" t="s">
        <v>1648</v>
      </c>
    </row>
    <row r="2347" spans="1:28" ht="23.1" customHeight="1" x14ac:dyDescent="0.25">
      <c r="A2347" s="53" t="s">
        <v>1621</v>
      </c>
      <c r="B2347" s="10" t="s">
        <v>110</v>
      </c>
      <c r="C2347" s="10">
        <v>56</v>
      </c>
      <c r="D2347" s="10" t="s">
        <v>1646</v>
      </c>
      <c r="E2347" s="41" t="s">
        <v>1398</v>
      </c>
      <c r="F2347" s="41" t="s">
        <v>1398</v>
      </c>
      <c r="G2347" s="21" t="str">
        <f>VLOOKUP(D2347,[6]成飞半成品!$A:$B,2,0)</f>
        <v>受剪接头</v>
      </c>
      <c r="H2347" s="10" t="s">
        <v>118</v>
      </c>
      <c r="I2347" s="10">
        <v>25</v>
      </c>
      <c r="J2347" s="10" t="s">
        <v>2037</v>
      </c>
      <c r="L2347" s="10">
        <v>4</v>
      </c>
      <c r="M2347" s="14">
        <v>37</v>
      </c>
      <c r="N2347" s="14">
        <v>37</v>
      </c>
      <c r="O2347" s="55" t="s">
        <v>1647</v>
      </c>
      <c r="Q2347" s="10">
        <v>160</v>
      </c>
      <c r="U2347" s="10">
        <v>90</v>
      </c>
      <c r="W2347" s="14">
        <v>1</v>
      </c>
      <c r="Y2347" s="79">
        <v>12.2</v>
      </c>
      <c r="Z2347" s="56" t="s">
        <v>18</v>
      </c>
    </row>
    <row r="2348" spans="1:28" ht="23.1" customHeight="1" x14ac:dyDescent="0.25">
      <c r="A2348" s="53" t="s">
        <v>1621</v>
      </c>
      <c r="B2348" s="10" t="s">
        <v>110</v>
      </c>
      <c r="C2348" s="10">
        <v>11</v>
      </c>
      <c r="D2348" s="25" t="s">
        <v>2551</v>
      </c>
      <c r="E2348" s="41" t="s">
        <v>1650</v>
      </c>
      <c r="F2348" s="41" t="e">
        <v>#N/A</v>
      </c>
      <c r="G2348" s="21" t="str">
        <f>VLOOKUP(D2348,[6]成飞半成品!$A:$B,2,0)</f>
        <v>工装</v>
      </c>
      <c r="H2348" s="10" t="s">
        <v>102</v>
      </c>
      <c r="I2348" s="10">
        <v>10</v>
      </c>
      <c r="L2348" s="10">
        <v>1</v>
      </c>
      <c r="M2348" s="14">
        <v>26</v>
      </c>
      <c r="N2348" s="14">
        <v>26</v>
      </c>
      <c r="O2348" s="55" t="s">
        <v>108</v>
      </c>
      <c r="W2348" s="14">
        <v>1</v>
      </c>
      <c r="X2348" s="14">
        <v>3</v>
      </c>
      <c r="Y2348" s="79">
        <v>3</v>
      </c>
      <c r="Z2348" s="56" t="s">
        <v>38</v>
      </c>
    </row>
    <row r="2349" spans="1:28" ht="23.1" customHeight="1" x14ac:dyDescent="0.25">
      <c r="A2349" s="53" t="s">
        <v>1621</v>
      </c>
      <c r="B2349" s="10" t="s">
        <v>110</v>
      </c>
      <c r="C2349" s="10">
        <v>11</v>
      </c>
      <c r="D2349" s="25" t="s">
        <v>2551</v>
      </c>
      <c r="E2349" s="41" t="s">
        <v>1650</v>
      </c>
      <c r="F2349" s="41" t="e">
        <v>#N/A</v>
      </c>
      <c r="G2349" s="21" t="str">
        <f>VLOOKUP(D2349,[6]成飞半成品!$A:$B,2,0)</f>
        <v>工装</v>
      </c>
      <c r="H2349" s="10" t="s">
        <v>102</v>
      </c>
      <c r="I2349" s="10">
        <v>15</v>
      </c>
      <c r="L2349" s="10">
        <v>1</v>
      </c>
      <c r="M2349" s="14">
        <v>26</v>
      </c>
      <c r="N2349" s="14">
        <v>26</v>
      </c>
      <c r="O2349" s="55" t="s">
        <v>108</v>
      </c>
      <c r="W2349" s="14">
        <v>1</v>
      </c>
      <c r="X2349" s="14">
        <v>3</v>
      </c>
      <c r="Y2349" s="79">
        <v>3</v>
      </c>
      <c r="Z2349" s="56" t="s">
        <v>38</v>
      </c>
    </row>
    <row r="2350" spans="1:28" ht="23.1" customHeight="1" x14ac:dyDescent="0.25">
      <c r="A2350" s="53" t="s">
        <v>1621</v>
      </c>
      <c r="B2350" s="10" t="s">
        <v>110</v>
      </c>
      <c r="C2350" s="10">
        <v>11</v>
      </c>
      <c r="D2350" s="25" t="s">
        <v>2551</v>
      </c>
      <c r="E2350" s="41" t="s">
        <v>1650</v>
      </c>
      <c r="F2350" s="41" t="e">
        <v>#N/A</v>
      </c>
      <c r="G2350" s="21" t="str">
        <f>VLOOKUP(D2350,[6]成飞半成品!$A:$B,2,0)</f>
        <v>工装</v>
      </c>
      <c r="H2350" s="10" t="s">
        <v>102</v>
      </c>
      <c r="I2350" s="10">
        <v>20</v>
      </c>
      <c r="L2350" s="10">
        <v>1</v>
      </c>
      <c r="M2350" s="14">
        <v>26</v>
      </c>
      <c r="N2350" s="14">
        <v>26</v>
      </c>
      <c r="O2350" s="55" t="s">
        <v>108</v>
      </c>
      <c r="W2350" s="14">
        <v>1</v>
      </c>
      <c r="X2350" s="14">
        <v>3</v>
      </c>
      <c r="Y2350" s="79">
        <v>3</v>
      </c>
      <c r="Z2350" s="56" t="s">
        <v>38</v>
      </c>
    </row>
    <row r="2351" spans="1:28" ht="23.1" customHeight="1" x14ac:dyDescent="0.25">
      <c r="A2351" s="53" t="s">
        <v>1621</v>
      </c>
      <c r="B2351" s="10" t="s">
        <v>110</v>
      </c>
      <c r="C2351" s="10">
        <v>11</v>
      </c>
      <c r="D2351" s="25" t="s">
        <v>2551</v>
      </c>
      <c r="E2351" s="41" t="s">
        <v>1652</v>
      </c>
      <c r="F2351" s="41" t="e">
        <v>#N/A</v>
      </c>
      <c r="G2351" s="21" t="str">
        <f>VLOOKUP(D2351,[6]成飞半成品!$A:$B,2,0)</f>
        <v>工装</v>
      </c>
      <c r="H2351" s="10" t="s">
        <v>102</v>
      </c>
      <c r="I2351" s="10">
        <v>10</v>
      </c>
      <c r="L2351" s="10">
        <v>4</v>
      </c>
      <c r="M2351" s="14">
        <v>37</v>
      </c>
      <c r="N2351" s="14">
        <v>37</v>
      </c>
      <c r="O2351" s="55" t="s">
        <v>108</v>
      </c>
      <c r="W2351" s="14">
        <v>1</v>
      </c>
      <c r="X2351" s="14">
        <v>3</v>
      </c>
      <c r="Y2351" s="79">
        <v>3</v>
      </c>
      <c r="Z2351" s="56" t="s">
        <v>38</v>
      </c>
    </row>
    <row r="2352" spans="1:28" ht="23.1" customHeight="1" x14ac:dyDescent="0.25">
      <c r="A2352" s="53" t="s">
        <v>1621</v>
      </c>
      <c r="B2352" s="10" t="s">
        <v>110</v>
      </c>
      <c r="C2352" s="10">
        <v>14</v>
      </c>
      <c r="D2352" s="10" t="s">
        <v>1653</v>
      </c>
      <c r="E2352" s="41" t="s">
        <v>139</v>
      </c>
      <c r="F2352" s="41" t="s">
        <v>139</v>
      </c>
      <c r="G2352" s="21" t="str">
        <f>VLOOKUP(D2352,[6]成飞半成品!$A:$B,2,0)</f>
        <v>支座</v>
      </c>
      <c r="H2352" s="10" t="s">
        <v>375</v>
      </c>
      <c r="I2352" s="10">
        <v>10</v>
      </c>
      <c r="J2352" s="10" t="s">
        <v>1916</v>
      </c>
      <c r="K2352" s="10">
        <v>3</v>
      </c>
      <c r="L2352" s="10">
        <v>5</v>
      </c>
      <c r="M2352" s="14">
        <v>28</v>
      </c>
      <c r="N2352" s="14">
        <v>26</v>
      </c>
      <c r="O2352" s="55" t="s">
        <v>282</v>
      </c>
      <c r="Q2352" s="10">
        <v>180</v>
      </c>
      <c r="U2352" s="10">
        <v>60</v>
      </c>
      <c r="W2352" s="14"/>
      <c r="Y2352" s="79">
        <v>15</v>
      </c>
      <c r="Z2352" s="56" t="s">
        <v>10</v>
      </c>
    </row>
    <row r="2353" spans="1:28" ht="23.1" customHeight="1" x14ac:dyDescent="0.25">
      <c r="A2353" s="53" t="s">
        <v>1432</v>
      </c>
      <c r="B2353" s="10" t="s">
        <v>113</v>
      </c>
      <c r="C2353" s="10">
        <v>14</v>
      </c>
      <c r="D2353" s="10" t="s">
        <v>1653</v>
      </c>
      <c r="E2353" s="41" t="s">
        <v>139</v>
      </c>
      <c r="F2353" s="41" t="s">
        <v>139</v>
      </c>
      <c r="G2353" s="21" t="str">
        <f>VLOOKUP(D2353,[6]成飞半成品!$A:$B,2,0)</f>
        <v>支座</v>
      </c>
      <c r="H2353" s="10" t="s">
        <v>375</v>
      </c>
      <c r="I2353" s="10">
        <v>10</v>
      </c>
      <c r="J2353" s="10" t="s">
        <v>1916</v>
      </c>
      <c r="L2353" s="10">
        <v>3</v>
      </c>
      <c r="M2353" s="14">
        <v>26</v>
      </c>
      <c r="N2353" s="14">
        <v>26</v>
      </c>
      <c r="O2353" s="55" t="s">
        <v>282</v>
      </c>
      <c r="Q2353" s="10">
        <v>180</v>
      </c>
      <c r="U2353" s="10">
        <v>60</v>
      </c>
      <c r="W2353" s="14">
        <v>1</v>
      </c>
      <c r="X2353" s="14">
        <v>2</v>
      </c>
      <c r="Y2353" s="79">
        <v>12</v>
      </c>
      <c r="Z2353" s="56" t="s">
        <v>60</v>
      </c>
      <c r="AA2353" s="14" t="s">
        <v>1376</v>
      </c>
      <c r="AB2353" s="25" t="s">
        <v>238</v>
      </c>
    </row>
    <row r="2354" spans="1:28" ht="23.1" customHeight="1" x14ac:dyDescent="0.25">
      <c r="A2354" s="53" t="s">
        <v>1432</v>
      </c>
      <c r="B2354" s="10" t="s">
        <v>113</v>
      </c>
      <c r="C2354" s="10">
        <v>14</v>
      </c>
      <c r="D2354" s="10" t="s">
        <v>1388</v>
      </c>
      <c r="E2354" s="41" t="s">
        <v>625</v>
      </c>
      <c r="F2354" s="41" t="s">
        <v>625</v>
      </c>
      <c r="G2354" s="21" t="str">
        <f>VLOOKUP(D2354,[6]成飞半成品!$A:$B,2,0)</f>
        <v>支架</v>
      </c>
      <c r="H2354" s="10" t="s">
        <v>250</v>
      </c>
      <c r="I2354" s="10">
        <v>20</v>
      </c>
      <c r="J2354" s="10" t="s">
        <v>2311</v>
      </c>
      <c r="K2354" s="10">
        <v>5</v>
      </c>
      <c r="L2354" s="10">
        <v>3</v>
      </c>
      <c r="M2354" s="14">
        <v>28</v>
      </c>
      <c r="N2354" s="14">
        <v>28</v>
      </c>
      <c r="O2354" s="55" t="s">
        <v>1389</v>
      </c>
      <c r="Q2354" s="10">
        <v>140</v>
      </c>
      <c r="U2354" s="10">
        <v>120</v>
      </c>
      <c r="W2354" s="14"/>
      <c r="Y2354" s="79">
        <v>7</v>
      </c>
      <c r="Z2354" s="56" t="s">
        <v>60</v>
      </c>
    </row>
    <row r="2355" spans="1:28" ht="23.1" customHeight="1" x14ac:dyDescent="0.25">
      <c r="A2355" s="53" t="s">
        <v>1489</v>
      </c>
      <c r="B2355" s="10" t="s">
        <v>110</v>
      </c>
      <c r="C2355" s="10">
        <v>14</v>
      </c>
      <c r="D2355" s="10" t="s">
        <v>1653</v>
      </c>
      <c r="E2355" s="41" t="s">
        <v>139</v>
      </c>
      <c r="F2355" s="41" t="s">
        <v>139</v>
      </c>
      <c r="G2355" s="21" t="str">
        <f>VLOOKUP(D2355,[6]成飞半成品!$A:$B,2,0)</f>
        <v>支座</v>
      </c>
      <c r="H2355" s="10" t="s">
        <v>375</v>
      </c>
      <c r="I2355" s="10">
        <v>10</v>
      </c>
      <c r="J2355" s="10" t="s">
        <v>1916</v>
      </c>
      <c r="K2355" s="10">
        <v>3</v>
      </c>
      <c r="L2355" s="10">
        <v>6</v>
      </c>
      <c r="M2355" s="14">
        <v>26</v>
      </c>
      <c r="N2355" s="14">
        <v>26</v>
      </c>
      <c r="O2355" s="55" t="s">
        <v>282</v>
      </c>
      <c r="Q2355" s="10">
        <v>180</v>
      </c>
      <c r="U2355" s="10">
        <v>60</v>
      </c>
      <c r="W2355" s="14"/>
      <c r="Y2355" s="79">
        <v>18</v>
      </c>
      <c r="Z2355" s="56" t="s">
        <v>31</v>
      </c>
    </row>
    <row r="2356" spans="1:28" ht="23.1" customHeight="1" x14ac:dyDescent="0.25">
      <c r="A2356" s="53" t="s">
        <v>1489</v>
      </c>
      <c r="B2356" s="10" t="s">
        <v>113</v>
      </c>
      <c r="C2356" s="10">
        <v>14</v>
      </c>
      <c r="D2356" s="10" t="s">
        <v>1653</v>
      </c>
      <c r="E2356" s="41" t="s">
        <v>139</v>
      </c>
      <c r="F2356" s="41" t="s">
        <v>139</v>
      </c>
      <c r="G2356" s="21" t="str">
        <f>VLOOKUP(D2356,[6]成飞半成品!$A:$B,2,0)</f>
        <v>支座</v>
      </c>
      <c r="H2356" s="10" t="s">
        <v>375</v>
      </c>
      <c r="I2356" s="10">
        <v>10</v>
      </c>
      <c r="J2356" s="10" t="s">
        <v>2315</v>
      </c>
      <c r="L2356" s="10">
        <v>6</v>
      </c>
      <c r="M2356" s="14">
        <v>26</v>
      </c>
      <c r="N2356" s="14">
        <v>26</v>
      </c>
      <c r="O2356" s="55" t="s">
        <v>282</v>
      </c>
      <c r="Q2356" s="10">
        <v>180</v>
      </c>
      <c r="U2356" s="10">
        <v>60</v>
      </c>
      <c r="W2356" s="14"/>
      <c r="Y2356" s="79">
        <v>18</v>
      </c>
      <c r="Z2356" s="56" t="s">
        <v>60</v>
      </c>
    </row>
    <row r="2357" spans="1:28" ht="23.1" customHeight="1" x14ac:dyDescent="0.25">
      <c r="A2357" s="53" t="s">
        <v>1621</v>
      </c>
      <c r="B2357" s="10" t="s">
        <v>110</v>
      </c>
      <c r="C2357" s="10">
        <v>107</v>
      </c>
      <c r="D2357" s="10" t="s">
        <v>1275</v>
      </c>
      <c r="E2357" s="41" t="s">
        <v>215</v>
      </c>
      <c r="F2357" s="41" t="s">
        <v>215</v>
      </c>
      <c r="G2357" s="21" t="str">
        <f>VLOOKUP(D2357,[6]成飞半成品!$A:$B,2,0)</f>
        <v>口盖</v>
      </c>
      <c r="H2357" s="10" t="s">
        <v>154</v>
      </c>
      <c r="I2357" s="10">
        <v>40</v>
      </c>
      <c r="J2357" s="10" t="s">
        <v>2505</v>
      </c>
      <c r="K2357" s="10">
        <v>1.2</v>
      </c>
      <c r="L2357" s="10">
        <v>2</v>
      </c>
      <c r="M2357" s="14">
        <v>31</v>
      </c>
      <c r="N2357" s="14">
        <v>26</v>
      </c>
      <c r="O2357" s="55" t="s">
        <v>1654</v>
      </c>
      <c r="Q2357" s="10">
        <v>390</v>
      </c>
      <c r="T2357" s="10">
        <v>2</v>
      </c>
      <c r="U2357" s="10">
        <v>60</v>
      </c>
      <c r="W2357" s="14"/>
      <c r="Y2357" s="79">
        <v>13</v>
      </c>
      <c r="Z2357" s="56" t="s">
        <v>13</v>
      </c>
    </row>
    <row r="2358" spans="1:28" ht="23.1" customHeight="1" x14ac:dyDescent="0.25">
      <c r="A2358" s="53" t="s">
        <v>1621</v>
      </c>
      <c r="B2358" s="10" t="s">
        <v>110</v>
      </c>
      <c r="C2358" s="10">
        <v>12</v>
      </c>
      <c r="D2358" s="10" t="s">
        <v>248</v>
      </c>
      <c r="E2358" s="41" t="s">
        <v>249</v>
      </c>
      <c r="F2358" s="41" t="s">
        <v>249</v>
      </c>
      <c r="G2358" s="21" t="str">
        <f>VLOOKUP(D2358,[6]成飞半成品!$A:$B,2,0)</f>
        <v>10060下接头</v>
      </c>
      <c r="H2358" s="10" t="s">
        <v>250</v>
      </c>
      <c r="I2358" s="10">
        <v>20</v>
      </c>
      <c r="J2358" s="10" t="s">
        <v>2506</v>
      </c>
      <c r="L2358" s="10">
        <v>6</v>
      </c>
      <c r="M2358" s="14">
        <v>28</v>
      </c>
      <c r="N2358" s="14">
        <v>28</v>
      </c>
      <c r="O2358" s="55" t="s">
        <v>1426</v>
      </c>
      <c r="Q2358" s="10">
        <v>40</v>
      </c>
      <c r="R2358" s="10">
        <v>60</v>
      </c>
      <c r="U2358" s="10">
        <v>90</v>
      </c>
      <c r="W2358" s="14">
        <v>1</v>
      </c>
      <c r="X2358" s="14">
        <v>2</v>
      </c>
      <c r="Y2358" s="79">
        <v>7.5</v>
      </c>
      <c r="Z2358" s="56" t="s">
        <v>10</v>
      </c>
      <c r="AA2358" s="14" t="s">
        <v>1655</v>
      </c>
      <c r="AB2358" s="25" t="s">
        <v>238</v>
      </c>
    </row>
    <row r="2359" spans="1:28" ht="23.1" customHeight="1" x14ac:dyDescent="0.25">
      <c r="A2359" s="53" t="s">
        <v>1621</v>
      </c>
      <c r="B2359" s="10" t="s">
        <v>110</v>
      </c>
      <c r="C2359" s="10">
        <v>12</v>
      </c>
      <c r="D2359" s="10" t="s">
        <v>248</v>
      </c>
      <c r="E2359" s="41" t="s">
        <v>249</v>
      </c>
      <c r="F2359" s="41" t="s">
        <v>249</v>
      </c>
      <c r="G2359" s="21" t="str">
        <f>VLOOKUP(D2359,[6]成飞半成品!$A:$B,2,0)</f>
        <v>10060下接头</v>
      </c>
      <c r="H2359" s="10" t="s">
        <v>250</v>
      </c>
      <c r="I2359" s="10">
        <v>23</v>
      </c>
      <c r="L2359" s="10">
        <v>6</v>
      </c>
      <c r="M2359" s="14">
        <v>28</v>
      </c>
      <c r="N2359" s="14">
        <v>28</v>
      </c>
      <c r="O2359" s="55" t="s">
        <v>1426</v>
      </c>
      <c r="P2359" s="10">
        <v>15</v>
      </c>
      <c r="S2359" s="10">
        <v>60</v>
      </c>
      <c r="V2359" s="10">
        <v>120</v>
      </c>
      <c r="W2359" s="14">
        <v>1</v>
      </c>
      <c r="X2359" s="14">
        <v>2</v>
      </c>
      <c r="Y2359" s="83">
        <v>5.5</v>
      </c>
      <c r="Z2359" s="56" t="s">
        <v>10</v>
      </c>
      <c r="AA2359" s="14" t="s">
        <v>1396</v>
      </c>
    </row>
    <row r="2360" spans="1:28" ht="23.1" customHeight="1" x14ac:dyDescent="0.25">
      <c r="A2360" s="53" t="s">
        <v>1621</v>
      </c>
      <c r="B2360" s="10" t="s">
        <v>110</v>
      </c>
      <c r="C2360" s="10">
        <v>17</v>
      </c>
      <c r="D2360" s="10" t="s">
        <v>1520</v>
      </c>
      <c r="E2360" s="41" t="s">
        <v>133</v>
      </c>
      <c r="F2360" s="41" t="s">
        <v>133</v>
      </c>
      <c r="G2360" s="21" t="str">
        <f>VLOOKUP(D2360,[6]成飞半成品!$A:$B,2,0)</f>
        <v>摇臂</v>
      </c>
      <c r="H2360" s="10" t="s">
        <v>154</v>
      </c>
      <c r="I2360" s="10">
        <v>15</v>
      </c>
      <c r="K2360" s="10">
        <v>6</v>
      </c>
      <c r="L2360" s="10">
        <v>6</v>
      </c>
      <c r="M2360" s="14">
        <v>28</v>
      </c>
      <c r="N2360" s="14">
        <v>28</v>
      </c>
      <c r="O2360" s="55" t="s">
        <v>1521</v>
      </c>
      <c r="P2360" s="10">
        <v>80</v>
      </c>
      <c r="V2360" s="10">
        <v>60</v>
      </c>
      <c r="W2360" s="14">
        <v>1</v>
      </c>
      <c r="X2360" s="14">
        <v>2</v>
      </c>
      <c r="Y2360" s="83">
        <v>11</v>
      </c>
      <c r="Z2360" s="56" t="s">
        <v>43</v>
      </c>
      <c r="AA2360" s="14" t="s">
        <v>1473</v>
      </c>
      <c r="AB2360" s="25" t="s">
        <v>238</v>
      </c>
    </row>
    <row r="2361" spans="1:28" ht="23.1" customHeight="1" x14ac:dyDescent="0.25">
      <c r="A2361" s="53" t="s">
        <v>1621</v>
      </c>
      <c r="B2361" s="10" t="s">
        <v>110</v>
      </c>
      <c r="C2361" s="10">
        <v>18</v>
      </c>
      <c r="D2361" s="10" t="s">
        <v>1030</v>
      </c>
      <c r="E2361" s="41" t="s">
        <v>919</v>
      </c>
      <c r="F2361" s="41" t="s">
        <v>919</v>
      </c>
      <c r="G2361" s="21" t="str">
        <f>VLOOKUP(D2361,[6]成飞半成品!$A:$B,2,0)</f>
        <v>雷达罩锁支座</v>
      </c>
      <c r="H2361" s="10" t="s">
        <v>323</v>
      </c>
      <c r="I2361" s="10">
        <v>25</v>
      </c>
      <c r="J2361" s="10" t="s">
        <v>2149</v>
      </c>
      <c r="K2361" s="10">
        <v>2</v>
      </c>
      <c r="L2361" s="10">
        <v>4</v>
      </c>
      <c r="M2361" s="14">
        <v>28</v>
      </c>
      <c r="N2361" s="14">
        <v>28</v>
      </c>
      <c r="O2361" s="55" t="s">
        <v>778</v>
      </c>
      <c r="Q2361" s="10">
        <v>220</v>
      </c>
      <c r="U2361" s="10">
        <v>90</v>
      </c>
      <c r="W2361" s="14"/>
      <c r="Y2361" s="79">
        <v>14.7</v>
      </c>
      <c r="Z2361" s="56" t="s">
        <v>43</v>
      </c>
    </row>
    <row r="2362" spans="1:28" ht="23.1" customHeight="1" x14ac:dyDescent="0.25">
      <c r="A2362" s="53" t="s">
        <v>1621</v>
      </c>
      <c r="B2362" s="10" t="s">
        <v>110</v>
      </c>
      <c r="C2362" s="10">
        <v>57</v>
      </c>
      <c r="D2362" s="10" t="s">
        <v>1042</v>
      </c>
      <c r="E2362" s="41" t="s">
        <v>1281</v>
      </c>
      <c r="F2362" s="41" t="s">
        <v>1281</v>
      </c>
      <c r="G2362" s="21" t="str">
        <f>VLOOKUP(D2362,[6]成飞半成品!$A:$B,2,0)</f>
        <v>前上大梁（右）</v>
      </c>
      <c r="H2362" s="10" t="s">
        <v>107</v>
      </c>
      <c r="I2362" s="10">
        <v>35</v>
      </c>
      <c r="J2362" s="10" t="s">
        <v>2507</v>
      </c>
      <c r="K2362" s="10">
        <v>1</v>
      </c>
      <c r="L2362" s="10">
        <v>1</v>
      </c>
      <c r="M2362" s="14">
        <v>28</v>
      </c>
      <c r="N2362" s="14"/>
      <c r="O2362" s="55" t="s">
        <v>1656</v>
      </c>
      <c r="Q2362" s="10">
        <v>540</v>
      </c>
      <c r="U2362" s="10">
        <v>100</v>
      </c>
      <c r="W2362" s="14"/>
      <c r="Y2362" s="79">
        <v>9</v>
      </c>
      <c r="Z2362" s="56" t="s">
        <v>57</v>
      </c>
    </row>
    <row r="2363" spans="1:28" ht="23.1" customHeight="1" x14ac:dyDescent="0.25">
      <c r="A2363" s="53" t="s">
        <v>1621</v>
      </c>
      <c r="B2363" s="10" t="s">
        <v>110</v>
      </c>
      <c r="C2363" s="10">
        <v>9</v>
      </c>
      <c r="D2363" s="10" t="s">
        <v>1539</v>
      </c>
      <c r="E2363" s="41" t="s">
        <v>409</v>
      </c>
      <c r="F2363" s="41" t="s">
        <v>409</v>
      </c>
      <c r="G2363" s="21" t="str">
        <f>VLOOKUP(D2363,[6]成飞半成品!$A:$B,2,0)</f>
        <v>接头</v>
      </c>
      <c r="H2363" s="10" t="s">
        <v>375</v>
      </c>
      <c r="I2363" s="10">
        <v>20</v>
      </c>
      <c r="J2363" s="10" t="s">
        <v>2313</v>
      </c>
      <c r="K2363" s="10">
        <v>12</v>
      </c>
      <c r="L2363" s="10">
        <v>22</v>
      </c>
      <c r="M2363" s="14">
        <v>28</v>
      </c>
      <c r="N2363" s="14">
        <v>28</v>
      </c>
      <c r="O2363" s="55" t="s">
        <v>282</v>
      </c>
      <c r="Q2363" s="10">
        <v>35</v>
      </c>
      <c r="U2363" s="10">
        <v>90</v>
      </c>
      <c r="W2363" s="14">
        <v>1</v>
      </c>
      <c r="X2363" s="14">
        <v>2</v>
      </c>
      <c r="Y2363" s="79">
        <v>16.3</v>
      </c>
      <c r="Z2363" s="56" t="s">
        <v>55</v>
      </c>
      <c r="AA2363" s="14" t="s">
        <v>1473</v>
      </c>
      <c r="AB2363" s="25" t="s">
        <v>238</v>
      </c>
    </row>
    <row r="2364" spans="1:28" ht="23.1" customHeight="1" x14ac:dyDescent="0.25">
      <c r="A2364" s="53" t="s">
        <v>1621</v>
      </c>
      <c r="B2364" s="10" t="s">
        <v>110</v>
      </c>
      <c r="C2364" s="10">
        <v>9</v>
      </c>
      <c r="D2364" s="10" t="s">
        <v>1539</v>
      </c>
      <c r="E2364" s="41" t="s">
        <v>409</v>
      </c>
      <c r="F2364" s="41" t="s">
        <v>409</v>
      </c>
      <c r="G2364" s="21" t="str">
        <f>VLOOKUP(D2364,[6]成飞半成品!$A:$B,2,0)</f>
        <v>接头</v>
      </c>
      <c r="H2364" s="10" t="s">
        <v>375</v>
      </c>
      <c r="I2364" s="10">
        <v>25</v>
      </c>
      <c r="J2364" s="10" t="s">
        <v>2314</v>
      </c>
      <c r="K2364" s="10">
        <v>0</v>
      </c>
      <c r="L2364" s="10">
        <v>2</v>
      </c>
      <c r="M2364" s="14">
        <v>31</v>
      </c>
      <c r="N2364" s="14">
        <v>31</v>
      </c>
      <c r="O2364" s="55" t="s">
        <v>282</v>
      </c>
      <c r="Q2364" s="10">
        <v>40</v>
      </c>
      <c r="U2364" s="10">
        <v>90</v>
      </c>
      <c r="W2364" s="14">
        <v>1</v>
      </c>
      <c r="X2364" s="14">
        <v>2</v>
      </c>
      <c r="Y2364" s="79">
        <v>4.8</v>
      </c>
      <c r="Z2364" s="56" t="s">
        <v>55</v>
      </c>
      <c r="AA2364" s="14" t="s">
        <v>1473</v>
      </c>
      <c r="AB2364" s="25" t="s">
        <v>238</v>
      </c>
    </row>
    <row r="2365" spans="1:28" ht="23.1" customHeight="1" x14ac:dyDescent="0.25">
      <c r="A2365" s="53" t="s">
        <v>1621</v>
      </c>
      <c r="B2365" s="10" t="s">
        <v>110</v>
      </c>
      <c r="C2365" s="10">
        <v>10</v>
      </c>
      <c r="D2365" s="25" t="s">
        <v>2551</v>
      </c>
      <c r="E2365" s="41" t="s">
        <v>595</v>
      </c>
      <c r="F2365" s="41" t="e">
        <v>#N/A</v>
      </c>
      <c r="G2365" s="21" t="str">
        <f>VLOOKUP(D2365,[6]成飞半成品!$A:$B,2,0)</f>
        <v>工装</v>
      </c>
      <c r="H2365" s="10" t="s">
        <v>102</v>
      </c>
      <c r="I2365" s="10">
        <v>5</v>
      </c>
      <c r="L2365" s="10">
        <v>1</v>
      </c>
      <c r="M2365" s="14">
        <v>28</v>
      </c>
      <c r="N2365" s="14">
        <v>28</v>
      </c>
      <c r="W2365" s="14">
        <v>1</v>
      </c>
      <c r="X2365" s="14">
        <v>4</v>
      </c>
      <c r="Y2365" s="79">
        <v>4</v>
      </c>
      <c r="Z2365" s="56" t="s">
        <v>55</v>
      </c>
      <c r="AB2365" s="14" t="s">
        <v>238</v>
      </c>
    </row>
    <row r="2366" spans="1:28" ht="23.1" customHeight="1" x14ac:dyDescent="0.25">
      <c r="A2366" s="53" t="s">
        <v>1621</v>
      </c>
      <c r="B2366" s="10" t="s">
        <v>110</v>
      </c>
      <c r="C2366" s="10">
        <v>10</v>
      </c>
      <c r="D2366" s="25" t="s">
        <v>2551</v>
      </c>
      <c r="E2366" s="41" t="s">
        <v>595</v>
      </c>
      <c r="F2366" s="41" t="e">
        <v>#N/A</v>
      </c>
      <c r="G2366" s="21" t="str">
        <f>VLOOKUP(D2366,[6]成飞半成品!$A:$B,2,0)</f>
        <v>工装</v>
      </c>
      <c r="H2366" s="10" t="s">
        <v>102</v>
      </c>
      <c r="I2366" s="10">
        <v>10</v>
      </c>
      <c r="L2366" s="10">
        <v>1</v>
      </c>
      <c r="M2366" s="14">
        <v>28</v>
      </c>
      <c r="N2366" s="14">
        <v>28</v>
      </c>
      <c r="W2366" s="14">
        <v>1</v>
      </c>
      <c r="X2366" s="14">
        <v>4</v>
      </c>
      <c r="Y2366" s="79">
        <v>4</v>
      </c>
      <c r="Z2366" s="56" t="s">
        <v>55</v>
      </c>
      <c r="AB2366" s="14" t="s">
        <v>238</v>
      </c>
    </row>
    <row r="2367" spans="1:28" ht="23.1" customHeight="1" x14ac:dyDescent="0.25">
      <c r="A2367" s="53" t="s">
        <v>1621</v>
      </c>
      <c r="B2367" s="10" t="s">
        <v>110</v>
      </c>
      <c r="C2367" s="10">
        <v>10</v>
      </c>
      <c r="D2367" s="25" t="s">
        <v>2551</v>
      </c>
      <c r="E2367" s="41" t="s">
        <v>595</v>
      </c>
      <c r="F2367" s="41" t="e">
        <v>#N/A</v>
      </c>
      <c r="G2367" s="21" t="str">
        <f>VLOOKUP(D2367,[6]成飞半成品!$A:$B,2,0)</f>
        <v>工装</v>
      </c>
      <c r="H2367" s="10" t="s">
        <v>102</v>
      </c>
      <c r="I2367" s="10">
        <v>15</v>
      </c>
      <c r="L2367" s="10">
        <v>0.2</v>
      </c>
      <c r="M2367" s="14">
        <v>28</v>
      </c>
      <c r="N2367" s="14">
        <v>28</v>
      </c>
      <c r="W2367" s="14">
        <v>1</v>
      </c>
      <c r="X2367" s="14">
        <v>2</v>
      </c>
      <c r="Y2367" s="79">
        <v>2</v>
      </c>
      <c r="Z2367" s="56" t="s">
        <v>55</v>
      </c>
      <c r="AB2367" s="14" t="s">
        <v>238</v>
      </c>
    </row>
    <row r="2368" spans="1:28" ht="23.1" customHeight="1" x14ac:dyDescent="0.25">
      <c r="A2368" s="53" t="s">
        <v>1621</v>
      </c>
      <c r="B2368" s="10" t="s">
        <v>110</v>
      </c>
      <c r="C2368" s="10">
        <v>15</v>
      </c>
      <c r="D2368" s="10" t="s">
        <v>1255</v>
      </c>
      <c r="E2368" s="41" t="s">
        <v>117</v>
      </c>
      <c r="F2368" s="41" t="s">
        <v>117</v>
      </c>
      <c r="G2368" s="21" t="str">
        <f>VLOOKUP(D2368,[6]成飞半成品!$A:$B,2,0)</f>
        <v>7820~8270侧上梁</v>
      </c>
      <c r="H2368" s="10" t="s">
        <v>118</v>
      </c>
      <c r="I2368" s="10">
        <v>15</v>
      </c>
      <c r="J2368" s="10" t="s">
        <v>1946</v>
      </c>
      <c r="K2368" s="10">
        <v>6</v>
      </c>
      <c r="L2368" s="10">
        <v>6</v>
      </c>
      <c r="M2368" s="14">
        <v>28</v>
      </c>
      <c r="N2368" s="14">
        <v>28</v>
      </c>
      <c r="O2368" s="55" t="s">
        <v>155</v>
      </c>
      <c r="Q2368" s="10">
        <v>60</v>
      </c>
      <c r="U2368" s="10">
        <v>90</v>
      </c>
      <c r="W2368" s="14">
        <v>1</v>
      </c>
      <c r="X2368" s="14">
        <v>3</v>
      </c>
      <c r="Y2368" s="79">
        <v>10.5</v>
      </c>
      <c r="Z2368" s="56" t="s">
        <v>57</v>
      </c>
      <c r="AA2368" s="14" t="s">
        <v>1658</v>
      </c>
      <c r="AB2368" s="25" t="s">
        <v>238</v>
      </c>
    </row>
    <row r="2369" spans="1:28" ht="23.1" customHeight="1" x14ac:dyDescent="0.25">
      <c r="A2369" s="53" t="s">
        <v>1621</v>
      </c>
      <c r="B2369" s="10" t="s">
        <v>110</v>
      </c>
      <c r="C2369" s="10">
        <v>21</v>
      </c>
      <c r="D2369" s="10" t="s">
        <v>321</v>
      </c>
      <c r="E2369" s="41" t="s">
        <v>322</v>
      </c>
      <c r="F2369" s="41" t="s">
        <v>322</v>
      </c>
      <c r="G2369" s="21" t="str">
        <f>VLOOKUP(D2369,[6]成飞半成品!$A:$B,2,0)</f>
        <v>10860框</v>
      </c>
      <c r="H2369" s="10" t="s">
        <v>323</v>
      </c>
      <c r="I2369" s="10">
        <v>40</v>
      </c>
      <c r="J2369" s="10" t="s">
        <v>2443</v>
      </c>
      <c r="K2369" s="10">
        <v>2</v>
      </c>
      <c r="L2369" s="10">
        <v>1</v>
      </c>
      <c r="M2369" s="14">
        <v>28</v>
      </c>
      <c r="N2369" s="14"/>
      <c r="O2369" s="55" t="s">
        <v>1550</v>
      </c>
      <c r="Q2369" s="10">
        <v>390</v>
      </c>
      <c r="R2369" s="10">
        <v>120</v>
      </c>
      <c r="T2369" s="10">
        <v>1</v>
      </c>
      <c r="U2369" s="10">
        <v>180</v>
      </c>
      <c r="W2369" s="14">
        <v>1</v>
      </c>
      <c r="Y2369" s="79">
        <v>11.5</v>
      </c>
      <c r="Z2369" s="56" t="s">
        <v>49</v>
      </c>
    </row>
    <row r="2370" spans="1:28" ht="23.1" customHeight="1" x14ac:dyDescent="0.25">
      <c r="A2370" s="53" t="s">
        <v>1621</v>
      </c>
      <c r="B2370" s="10" t="s">
        <v>110</v>
      </c>
      <c r="C2370" s="10">
        <v>21</v>
      </c>
      <c r="D2370" s="10" t="s">
        <v>321</v>
      </c>
      <c r="E2370" s="41" t="s">
        <v>322</v>
      </c>
      <c r="F2370" s="41" t="s">
        <v>322</v>
      </c>
      <c r="G2370" s="21" t="str">
        <f>VLOOKUP(D2370,[6]成飞半成品!$A:$B,2,0)</f>
        <v>10860框</v>
      </c>
      <c r="H2370" s="10" t="s">
        <v>323</v>
      </c>
      <c r="I2370" s="10">
        <v>35</v>
      </c>
      <c r="J2370" s="10" t="s">
        <v>1925</v>
      </c>
      <c r="K2370" s="10">
        <v>0.2</v>
      </c>
      <c r="L2370" s="10">
        <v>0.3</v>
      </c>
      <c r="M2370" s="14">
        <v>28</v>
      </c>
      <c r="N2370" s="14"/>
      <c r="O2370" s="55" t="s">
        <v>1550</v>
      </c>
      <c r="Q2370" s="10">
        <v>480</v>
      </c>
      <c r="R2370" s="10">
        <v>120</v>
      </c>
      <c r="U2370" s="10">
        <v>180</v>
      </c>
      <c r="W2370" s="14"/>
      <c r="Y2370" s="79">
        <v>2.4</v>
      </c>
      <c r="Z2370" s="56" t="s">
        <v>49</v>
      </c>
    </row>
    <row r="2371" spans="1:28" ht="23.1" customHeight="1" x14ac:dyDescent="0.25">
      <c r="A2371" s="53" t="s">
        <v>1621</v>
      </c>
      <c r="B2371" s="10" t="s">
        <v>110</v>
      </c>
      <c r="C2371" s="10">
        <v>22</v>
      </c>
      <c r="D2371" s="10" t="s">
        <v>611</v>
      </c>
      <c r="E2371" s="41" t="s">
        <v>612</v>
      </c>
      <c r="F2371" s="41" t="s">
        <v>612</v>
      </c>
      <c r="G2371" s="21" t="str">
        <f>VLOOKUP(D2371,[6]成飞半成品!$A:$B,2,0)</f>
        <v>前梁二段</v>
      </c>
      <c r="H2371" s="10" t="s">
        <v>154</v>
      </c>
      <c r="I2371" s="10">
        <v>30</v>
      </c>
      <c r="J2371" s="10" t="s">
        <v>2508</v>
      </c>
      <c r="K2371" s="10">
        <v>0.15</v>
      </c>
      <c r="L2371" s="10">
        <v>0.15</v>
      </c>
      <c r="M2371" s="14">
        <v>28</v>
      </c>
      <c r="N2371" s="14">
        <v>28</v>
      </c>
      <c r="O2371" s="55" t="s">
        <v>613</v>
      </c>
      <c r="Q2371" s="10">
        <v>4800</v>
      </c>
      <c r="R2371" s="10">
        <v>180</v>
      </c>
      <c r="U2371" s="10">
        <v>180</v>
      </c>
      <c r="W2371" s="14"/>
      <c r="X2371" s="14">
        <v>4</v>
      </c>
      <c r="Y2371" s="79">
        <v>16</v>
      </c>
      <c r="Z2371" s="56" t="s">
        <v>49</v>
      </c>
      <c r="AA2371" s="89" t="s">
        <v>1875</v>
      </c>
    </row>
    <row r="2372" spans="1:28" ht="23.1" customHeight="1" x14ac:dyDescent="0.25">
      <c r="A2372" s="53" t="s">
        <v>1621</v>
      </c>
      <c r="B2372" s="10" t="s">
        <v>137</v>
      </c>
      <c r="C2372" s="10">
        <v>58</v>
      </c>
      <c r="D2372" s="25" t="s">
        <v>2552</v>
      </c>
      <c r="E2372" s="41" t="s">
        <v>731</v>
      </c>
      <c r="F2372" s="41" t="e">
        <v>#N/A</v>
      </c>
      <c r="G2372" s="21" t="str">
        <f>VLOOKUP(D2372,[6]成飞半成品!$A:$B,2,0)</f>
        <v>3D打印</v>
      </c>
      <c r="H2372" s="10" t="s">
        <v>108</v>
      </c>
      <c r="I2372" s="10">
        <v>15</v>
      </c>
      <c r="K2372" s="10">
        <v>1.5</v>
      </c>
      <c r="L2372" s="10">
        <v>1</v>
      </c>
      <c r="M2372" s="14"/>
      <c r="N2372" s="14"/>
      <c r="O2372" s="55" t="s">
        <v>108</v>
      </c>
      <c r="W2372" s="14"/>
      <c r="X2372" s="14">
        <v>12</v>
      </c>
      <c r="Y2372" s="79">
        <v>12</v>
      </c>
      <c r="Z2372" s="56" t="s">
        <v>0</v>
      </c>
      <c r="AB2372" s="14" t="s">
        <v>238</v>
      </c>
    </row>
    <row r="2373" spans="1:28" ht="23.1" customHeight="1" x14ac:dyDescent="0.25">
      <c r="A2373" s="53" t="s">
        <v>1621</v>
      </c>
      <c r="B2373" s="10" t="s">
        <v>137</v>
      </c>
      <c r="C2373" s="10">
        <v>57</v>
      </c>
      <c r="D2373" s="10" t="s">
        <v>1042</v>
      </c>
      <c r="E2373" s="41" t="s">
        <v>1281</v>
      </c>
      <c r="F2373" s="41" t="s">
        <v>1281</v>
      </c>
      <c r="G2373" s="21" t="str">
        <f>VLOOKUP(D2373,[6]成飞半成品!$A:$B,2,0)</f>
        <v>前上大梁（右）</v>
      </c>
      <c r="H2373" s="10" t="s">
        <v>107</v>
      </c>
      <c r="I2373" s="10">
        <v>35</v>
      </c>
      <c r="J2373" s="10" t="s">
        <v>2141</v>
      </c>
      <c r="K2373" s="10">
        <v>1</v>
      </c>
      <c r="L2373" s="10">
        <v>1.4</v>
      </c>
      <c r="M2373" s="14">
        <v>5</v>
      </c>
      <c r="N2373" s="14">
        <v>23</v>
      </c>
      <c r="O2373" s="55" t="s">
        <v>1033</v>
      </c>
      <c r="Q2373" s="10">
        <v>540</v>
      </c>
      <c r="U2373" s="10">
        <v>100</v>
      </c>
      <c r="W2373" s="14"/>
      <c r="Y2373" s="79">
        <v>12.6</v>
      </c>
      <c r="Z2373" s="56" t="s">
        <v>0</v>
      </c>
    </row>
    <row r="2374" spans="1:28" ht="23.1" customHeight="1" x14ac:dyDescent="0.25">
      <c r="A2374" s="53" t="s">
        <v>1621</v>
      </c>
      <c r="B2374" s="10" t="s">
        <v>137</v>
      </c>
      <c r="C2374" s="10">
        <v>10</v>
      </c>
      <c r="D2374" s="25" t="s">
        <v>2551</v>
      </c>
      <c r="E2374" s="41" t="s">
        <v>595</v>
      </c>
      <c r="F2374" s="41" t="e">
        <v>#N/A</v>
      </c>
      <c r="G2374" s="21" t="str">
        <f>VLOOKUP(D2374,[6]成飞半成品!$A:$B,2,0)</f>
        <v>工装</v>
      </c>
      <c r="H2374" s="10" t="s">
        <v>102</v>
      </c>
      <c r="I2374" s="10">
        <v>15</v>
      </c>
      <c r="K2374" s="10">
        <v>1</v>
      </c>
      <c r="M2374" s="14"/>
      <c r="N2374" s="14"/>
      <c r="O2374" s="55" t="s">
        <v>108</v>
      </c>
      <c r="W2374" s="14">
        <v>1</v>
      </c>
      <c r="X2374" s="14">
        <v>2</v>
      </c>
      <c r="Y2374" s="79">
        <v>2</v>
      </c>
      <c r="Z2374" s="56" t="s">
        <v>23</v>
      </c>
    </row>
    <row r="2375" spans="1:28" ht="23.1" customHeight="1" x14ac:dyDescent="0.25">
      <c r="A2375" s="53" t="s">
        <v>1621</v>
      </c>
      <c r="B2375" s="10" t="s">
        <v>137</v>
      </c>
      <c r="C2375" s="10">
        <v>10</v>
      </c>
      <c r="D2375" s="10" t="s">
        <v>197</v>
      </c>
      <c r="E2375" s="41" t="s">
        <v>198</v>
      </c>
      <c r="F2375" s="41" t="e">
        <v>#N/A</v>
      </c>
      <c r="G2375" s="21" t="e">
        <f>VLOOKUP(D2375,[6]成飞半成品!$A:$B,2,0)</f>
        <v>#N/A</v>
      </c>
      <c r="H2375" s="10" t="s">
        <v>154</v>
      </c>
      <c r="I2375" s="10">
        <v>10</v>
      </c>
      <c r="J2375" s="10" t="s">
        <v>1916</v>
      </c>
      <c r="L2375" s="10">
        <v>3</v>
      </c>
      <c r="M2375" s="14"/>
      <c r="N2375" s="14"/>
      <c r="O2375" s="55" t="s">
        <v>1659</v>
      </c>
      <c r="Q2375" s="10">
        <v>90</v>
      </c>
      <c r="T2375" s="10">
        <v>3</v>
      </c>
      <c r="U2375" s="10">
        <v>60</v>
      </c>
      <c r="W2375" s="14">
        <v>1</v>
      </c>
      <c r="X2375" s="14">
        <v>2</v>
      </c>
      <c r="Y2375" s="79">
        <v>7.5</v>
      </c>
      <c r="Z2375" s="56" t="s">
        <v>23</v>
      </c>
      <c r="AA2375" s="14" t="s">
        <v>1473</v>
      </c>
      <c r="AB2375" s="25" t="s">
        <v>238</v>
      </c>
    </row>
    <row r="2376" spans="1:28" ht="23.1" customHeight="1" x14ac:dyDescent="0.25">
      <c r="A2376" s="53" t="s">
        <v>1621</v>
      </c>
      <c r="B2376" s="10" t="s">
        <v>137</v>
      </c>
      <c r="C2376" s="10">
        <v>10</v>
      </c>
      <c r="D2376" s="10" t="s">
        <v>197</v>
      </c>
      <c r="E2376" s="41" t="s">
        <v>198</v>
      </c>
      <c r="F2376" s="41" t="e">
        <v>#N/A</v>
      </c>
      <c r="G2376" s="21" t="e">
        <f>VLOOKUP(D2376,[6]成飞半成品!$A:$B,2,0)</f>
        <v>#N/A</v>
      </c>
      <c r="H2376" s="10" t="s">
        <v>154</v>
      </c>
      <c r="I2376" s="10">
        <v>15</v>
      </c>
      <c r="J2376" s="10" t="s">
        <v>2151</v>
      </c>
      <c r="L2376" s="10">
        <v>2</v>
      </c>
      <c r="M2376" s="14"/>
      <c r="N2376" s="14"/>
      <c r="O2376" s="55" t="s">
        <v>1659</v>
      </c>
      <c r="Q2376" s="10">
        <v>65</v>
      </c>
      <c r="T2376" s="10">
        <v>2</v>
      </c>
      <c r="U2376" s="10">
        <v>60</v>
      </c>
      <c r="W2376" s="14">
        <v>1</v>
      </c>
      <c r="Y2376" s="79">
        <v>3.2</v>
      </c>
      <c r="Z2376" s="56" t="s">
        <v>23</v>
      </c>
    </row>
    <row r="2377" spans="1:28" ht="23.1" customHeight="1" x14ac:dyDescent="0.25">
      <c r="A2377" s="53" t="s">
        <v>1621</v>
      </c>
      <c r="B2377" s="10" t="s">
        <v>137</v>
      </c>
      <c r="C2377" s="10">
        <v>9</v>
      </c>
      <c r="D2377" s="10" t="s">
        <v>1539</v>
      </c>
      <c r="E2377" s="41" t="s">
        <v>409</v>
      </c>
      <c r="F2377" s="41" t="s">
        <v>409</v>
      </c>
      <c r="G2377" s="21" t="str">
        <f>VLOOKUP(D2377,[6]成飞半成品!$A:$B,2,0)</f>
        <v>接头</v>
      </c>
      <c r="H2377" s="10" t="s">
        <v>375</v>
      </c>
      <c r="I2377" s="10">
        <v>25</v>
      </c>
      <c r="J2377" s="10" t="s">
        <v>2314</v>
      </c>
      <c r="L2377" s="10">
        <v>20</v>
      </c>
      <c r="M2377" s="14">
        <v>26</v>
      </c>
      <c r="N2377" s="14">
        <v>5</v>
      </c>
      <c r="O2377" s="55" t="s">
        <v>282</v>
      </c>
      <c r="Q2377" s="10">
        <v>40</v>
      </c>
      <c r="U2377" s="10">
        <v>90</v>
      </c>
      <c r="W2377" s="14"/>
      <c r="Y2377" s="79">
        <v>13.3</v>
      </c>
      <c r="Z2377" s="56" t="s">
        <v>23</v>
      </c>
    </row>
    <row r="2378" spans="1:28" ht="23.1" customHeight="1" x14ac:dyDescent="0.25">
      <c r="A2378" s="53" t="s">
        <v>1621</v>
      </c>
      <c r="B2378" s="10" t="s">
        <v>137</v>
      </c>
      <c r="C2378" s="10">
        <v>76</v>
      </c>
      <c r="D2378" s="10" t="s">
        <v>1634</v>
      </c>
      <c r="E2378" s="41" t="s">
        <v>625</v>
      </c>
      <c r="F2378" s="41" t="s">
        <v>625</v>
      </c>
      <c r="G2378" s="21" t="str">
        <f>VLOOKUP(D2378,[6]成飞半成品!$A:$B,2,0)</f>
        <v>支架</v>
      </c>
      <c r="H2378" s="10" t="s">
        <v>118</v>
      </c>
      <c r="I2378" s="10">
        <v>20</v>
      </c>
      <c r="J2378" s="10" t="s">
        <v>1905</v>
      </c>
      <c r="K2378" s="10">
        <v>3</v>
      </c>
      <c r="L2378" s="10">
        <v>3</v>
      </c>
      <c r="M2378" s="14">
        <v>26</v>
      </c>
      <c r="N2378" s="14">
        <v>26</v>
      </c>
      <c r="O2378" s="55" t="s">
        <v>1635</v>
      </c>
      <c r="P2378" s="10">
        <v>90</v>
      </c>
      <c r="Q2378" s="10">
        <v>60</v>
      </c>
      <c r="U2378" s="10">
        <v>90</v>
      </c>
      <c r="V2378" s="10">
        <v>90</v>
      </c>
      <c r="W2378" s="14">
        <v>1</v>
      </c>
      <c r="Y2378" s="83">
        <v>6</v>
      </c>
      <c r="Z2378" s="56" t="s">
        <v>12</v>
      </c>
      <c r="AA2378" s="14" t="s">
        <v>1660</v>
      </c>
      <c r="AB2378" s="14" t="s">
        <v>1475</v>
      </c>
    </row>
    <row r="2379" spans="1:28" ht="23.1" customHeight="1" x14ac:dyDescent="0.25">
      <c r="A2379" s="53" t="s">
        <v>1621</v>
      </c>
      <c r="B2379" s="10" t="s">
        <v>137</v>
      </c>
      <c r="C2379" s="10">
        <v>76</v>
      </c>
      <c r="D2379" s="10" t="s">
        <v>1386</v>
      </c>
      <c r="E2379" s="41" t="s">
        <v>1288</v>
      </c>
      <c r="F2379" s="41" t="s">
        <v>1288</v>
      </c>
      <c r="G2379" s="21" t="str">
        <f>VLOOKUP(D2379,[6]成飞半成品!$A:$B,2,0)</f>
        <v>垫片</v>
      </c>
      <c r="H2379" s="10" t="s">
        <v>102</v>
      </c>
      <c r="I2379" s="10">
        <v>30</v>
      </c>
      <c r="J2379" s="10" t="s">
        <v>2243</v>
      </c>
      <c r="K2379" s="10">
        <v>30</v>
      </c>
      <c r="L2379" s="10">
        <v>30</v>
      </c>
      <c r="M2379" s="14">
        <v>37</v>
      </c>
      <c r="N2379" s="14">
        <v>5</v>
      </c>
      <c r="O2379" s="55" t="s">
        <v>596</v>
      </c>
      <c r="Q2379" s="10">
        <v>20</v>
      </c>
      <c r="U2379" s="10">
        <v>90</v>
      </c>
      <c r="W2379" s="14">
        <v>1</v>
      </c>
      <c r="Y2379" s="79">
        <v>11.5</v>
      </c>
      <c r="Z2379" s="56" t="s">
        <v>12</v>
      </c>
    </row>
    <row r="2380" spans="1:28" ht="23.1" customHeight="1" x14ac:dyDescent="0.25">
      <c r="A2380" s="53" t="s">
        <v>1621</v>
      </c>
      <c r="B2380" s="10" t="s">
        <v>137</v>
      </c>
      <c r="C2380" s="10">
        <v>59</v>
      </c>
      <c r="D2380" s="25" t="s">
        <v>2551</v>
      </c>
      <c r="E2380" s="41" t="s">
        <v>1644</v>
      </c>
      <c r="F2380" s="41" t="e">
        <v>#N/A</v>
      </c>
      <c r="G2380" s="21" t="str">
        <f>VLOOKUP(D2380,[6]成飞半成品!$A:$B,2,0)</f>
        <v>工装</v>
      </c>
      <c r="H2380" s="10" t="s">
        <v>102</v>
      </c>
      <c r="I2380" s="10">
        <v>20</v>
      </c>
      <c r="K2380" s="10">
        <v>1</v>
      </c>
      <c r="L2380" s="10">
        <v>0.9</v>
      </c>
      <c r="M2380" s="14">
        <v>37</v>
      </c>
      <c r="N2380" s="14">
        <v>37</v>
      </c>
      <c r="O2380" s="55" t="s">
        <v>108</v>
      </c>
      <c r="W2380" s="14"/>
      <c r="X2380" s="14">
        <v>6</v>
      </c>
      <c r="Y2380" s="79">
        <v>6</v>
      </c>
      <c r="Z2380" s="56" t="s">
        <v>6</v>
      </c>
    </row>
    <row r="2381" spans="1:28" ht="23.1" customHeight="1" x14ac:dyDescent="0.25">
      <c r="A2381" s="53" t="s">
        <v>1621</v>
      </c>
      <c r="B2381" s="10" t="s">
        <v>137</v>
      </c>
      <c r="C2381" s="10">
        <v>59</v>
      </c>
      <c r="D2381" s="10" t="s">
        <v>1661</v>
      </c>
      <c r="E2381" s="41" t="s">
        <v>595</v>
      </c>
      <c r="F2381" s="41" t="s">
        <v>595</v>
      </c>
      <c r="G2381" s="21" t="str">
        <f>VLOOKUP(D2381,[6]成飞半成品!$A:$B,2,0)</f>
        <v>加强件</v>
      </c>
      <c r="H2381" s="10" t="s">
        <v>102</v>
      </c>
      <c r="I2381" s="10">
        <v>5</v>
      </c>
      <c r="J2381" s="10" t="s">
        <v>2060</v>
      </c>
      <c r="L2381" s="10">
        <v>1</v>
      </c>
      <c r="M2381" s="14">
        <v>26</v>
      </c>
      <c r="N2381" s="14"/>
      <c r="O2381" s="55" t="s">
        <v>596</v>
      </c>
      <c r="Q2381" s="10">
        <v>45</v>
      </c>
      <c r="U2381" s="10">
        <v>60</v>
      </c>
      <c r="W2381" s="14">
        <v>1</v>
      </c>
      <c r="Y2381" s="79">
        <v>1.8</v>
      </c>
      <c r="Z2381" s="56" t="s">
        <v>6</v>
      </c>
    </row>
    <row r="2382" spans="1:28" ht="23.1" customHeight="1" x14ac:dyDescent="0.25">
      <c r="A2382" s="53" t="s">
        <v>1621</v>
      </c>
      <c r="B2382" s="10" t="s">
        <v>137</v>
      </c>
      <c r="C2382" s="10">
        <v>59</v>
      </c>
      <c r="D2382" s="10" t="s">
        <v>1661</v>
      </c>
      <c r="E2382" s="41" t="s">
        <v>595</v>
      </c>
      <c r="F2382" s="41" t="s">
        <v>595</v>
      </c>
      <c r="G2382" s="21" t="str">
        <f>VLOOKUP(D2382,[6]成飞半成品!$A:$B,2,0)</f>
        <v>加强件</v>
      </c>
      <c r="H2382" s="10" t="s">
        <v>102</v>
      </c>
      <c r="I2382" s="10">
        <v>10</v>
      </c>
      <c r="J2382" s="10" t="s">
        <v>2316</v>
      </c>
      <c r="L2382" s="10">
        <v>1</v>
      </c>
      <c r="M2382" s="14">
        <v>26</v>
      </c>
      <c r="N2382" s="14"/>
      <c r="O2382" s="55" t="s">
        <v>596</v>
      </c>
      <c r="Q2382" s="10">
        <v>35</v>
      </c>
      <c r="U2382" s="10">
        <v>90</v>
      </c>
      <c r="W2382" s="14">
        <v>1</v>
      </c>
      <c r="X2382" s="14">
        <v>2</v>
      </c>
      <c r="Y2382" s="79">
        <v>4.0999999999999996</v>
      </c>
      <c r="Z2382" s="56" t="s">
        <v>6</v>
      </c>
      <c r="AA2382" s="14" t="s">
        <v>1473</v>
      </c>
      <c r="AB2382" s="25" t="s">
        <v>238</v>
      </c>
    </row>
    <row r="2383" spans="1:28" ht="23.1" customHeight="1" x14ac:dyDescent="0.25">
      <c r="A2383" s="53" t="s">
        <v>1621</v>
      </c>
      <c r="B2383" s="10" t="s">
        <v>137</v>
      </c>
      <c r="C2383" s="10">
        <v>15</v>
      </c>
      <c r="D2383" s="10" t="s">
        <v>1255</v>
      </c>
      <c r="E2383" s="41" t="s">
        <v>117</v>
      </c>
      <c r="F2383" s="41" t="s">
        <v>117</v>
      </c>
      <c r="G2383" s="21" t="str">
        <f>VLOOKUP(D2383,[6]成飞半成品!$A:$B,2,0)</f>
        <v>7820~8270侧上梁</v>
      </c>
      <c r="H2383" s="10" t="s">
        <v>300</v>
      </c>
      <c r="I2383" s="10">
        <v>15</v>
      </c>
      <c r="J2383" s="10" t="s">
        <v>1946</v>
      </c>
      <c r="L2383" s="10">
        <v>4</v>
      </c>
      <c r="M2383" s="14">
        <v>26</v>
      </c>
      <c r="N2383" s="14">
        <v>26</v>
      </c>
      <c r="O2383" s="55" t="s">
        <v>1662</v>
      </c>
      <c r="Q2383" s="10">
        <v>75</v>
      </c>
      <c r="U2383" s="10">
        <v>90</v>
      </c>
      <c r="W2383" s="14"/>
      <c r="Y2383" s="79">
        <v>5</v>
      </c>
      <c r="Z2383" s="56" t="s">
        <v>6</v>
      </c>
    </row>
    <row r="2384" spans="1:28" ht="23.1" customHeight="1" x14ac:dyDescent="0.25">
      <c r="A2384" s="53" t="s">
        <v>1621</v>
      </c>
      <c r="B2384" s="10" t="s">
        <v>137</v>
      </c>
      <c r="C2384" s="10">
        <v>77</v>
      </c>
      <c r="D2384" s="10" t="s">
        <v>1663</v>
      </c>
      <c r="E2384" s="41" t="s">
        <v>409</v>
      </c>
      <c r="F2384" s="41" t="s">
        <v>409</v>
      </c>
      <c r="G2384" s="21" t="str">
        <f>VLOOKUP(D2384,[6]成飞半成品!$A:$B,2,0)</f>
        <v>接头</v>
      </c>
      <c r="H2384" s="10" t="s">
        <v>102</v>
      </c>
      <c r="I2384" s="10">
        <v>20</v>
      </c>
      <c r="J2384" s="10" t="s">
        <v>2317</v>
      </c>
      <c r="K2384" s="10">
        <v>10</v>
      </c>
      <c r="L2384" s="10">
        <v>12</v>
      </c>
      <c r="M2384" s="14">
        <v>26</v>
      </c>
      <c r="N2384" s="14">
        <v>26</v>
      </c>
      <c r="O2384" s="55" t="s">
        <v>596</v>
      </c>
      <c r="Q2384" s="10">
        <v>140</v>
      </c>
      <c r="U2384" s="10">
        <v>90</v>
      </c>
      <c r="W2384" s="14"/>
      <c r="Y2384" s="79">
        <v>28</v>
      </c>
      <c r="Z2384" s="56" t="s">
        <v>24</v>
      </c>
    </row>
    <row r="2385" spans="1:28" ht="23.1" customHeight="1" x14ac:dyDescent="0.25">
      <c r="A2385" s="53" t="s">
        <v>1621</v>
      </c>
      <c r="B2385" s="10" t="s">
        <v>137</v>
      </c>
      <c r="C2385" s="10">
        <v>18</v>
      </c>
      <c r="D2385" s="10" t="s">
        <v>918</v>
      </c>
      <c r="E2385" s="41" t="s">
        <v>919</v>
      </c>
      <c r="F2385" s="41" t="s">
        <v>919</v>
      </c>
      <c r="G2385" s="21" t="str">
        <f>VLOOKUP(D2385,[6]成飞半成品!$A:$B,2,0)</f>
        <v>雷达罩锁支座</v>
      </c>
      <c r="H2385" s="10" t="s">
        <v>323</v>
      </c>
      <c r="I2385" s="10">
        <v>25</v>
      </c>
      <c r="J2385" s="10" t="s">
        <v>2149</v>
      </c>
      <c r="K2385" s="10">
        <v>1</v>
      </c>
      <c r="L2385" s="10">
        <v>2</v>
      </c>
      <c r="M2385" s="14">
        <v>37</v>
      </c>
      <c r="N2385" s="14">
        <v>37</v>
      </c>
      <c r="O2385" s="55" t="s">
        <v>778</v>
      </c>
      <c r="Q2385" s="10">
        <v>220</v>
      </c>
      <c r="U2385" s="10">
        <v>90</v>
      </c>
      <c r="W2385" s="14"/>
      <c r="Y2385" s="79">
        <v>7.3</v>
      </c>
      <c r="Z2385" s="56" t="s">
        <v>14</v>
      </c>
    </row>
    <row r="2386" spans="1:28" ht="23.1" customHeight="1" x14ac:dyDescent="0.25">
      <c r="A2386" s="53" t="s">
        <v>1621</v>
      </c>
      <c r="B2386" s="10" t="s">
        <v>137</v>
      </c>
      <c r="C2386" s="10">
        <v>18</v>
      </c>
      <c r="D2386" s="10" t="s">
        <v>1030</v>
      </c>
      <c r="E2386" s="41" t="s">
        <v>919</v>
      </c>
      <c r="F2386" s="41" t="s">
        <v>919</v>
      </c>
      <c r="G2386" s="21" t="str">
        <f>VLOOKUP(D2386,[6]成飞半成品!$A:$B,2,0)</f>
        <v>雷达罩锁支座</v>
      </c>
      <c r="H2386" s="10" t="s">
        <v>323</v>
      </c>
      <c r="I2386" s="10">
        <v>25</v>
      </c>
      <c r="J2386" s="10" t="s">
        <v>2273</v>
      </c>
      <c r="K2386" s="10">
        <v>2</v>
      </c>
      <c r="L2386" s="10">
        <v>3</v>
      </c>
      <c r="M2386" s="14">
        <v>37</v>
      </c>
      <c r="N2386" s="14">
        <v>26</v>
      </c>
      <c r="O2386" s="55" t="s">
        <v>780</v>
      </c>
      <c r="Q2386" s="10">
        <v>220</v>
      </c>
      <c r="U2386" s="10">
        <v>90</v>
      </c>
      <c r="W2386" s="14">
        <v>1</v>
      </c>
      <c r="Y2386" s="79">
        <v>12.5</v>
      </c>
      <c r="Z2386" s="56" t="s">
        <v>14</v>
      </c>
    </row>
    <row r="2387" spans="1:28" ht="23.1" customHeight="1" x14ac:dyDescent="0.25">
      <c r="A2387" s="53" t="s">
        <v>1621</v>
      </c>
      <c r="B2387" s="10" t="s">
        <v>137</v>
      </c>
      <c r="C2387" s="10">
        <v>17</v>
      </c>
      <c r="D2387" s="10" t="s">
        <v>1520</v>
      </c>
      <c r="E2387" s="41" t="s">
        <v>133</v>
      </c>
      <c r="F2387" s="41" t="s">
        <v>133</v>
      </c>
      <c r="G2387" s="21" t="str">
        <f>VLOOKUP(D2387,[6]成飞半成品!$A:$B,2,0)</f>
        <v>摇臂</v>
      </c>
      <c r="H2387" s="10" t="s">
        <v>154</v>
      </c>
      <c r="I2387" s="10">
        <v>20</v>
      </c>
      <c r="K2387" s="10">
        <v>5</v>
      </c>
      <c r="L2387" s="10">
        <v>5</v>
      </c>
      <c r="M2387" s="14">
        <v>26</v>
      </c>
      <c r="N2387" s="14">
        <v>28</v>
      </c>
      <c r="O2387" s="55" t="s">
        <v>1521</v>
      </c>
      <c r="P2387" s="10">
        <v>100</v>
      </c>
      <c r="V2387" s="10">
        <v>120</v>
      </c>
      <c r="W2387" s="14">
        <v>1</v>
      </c>
      <c r="X2387" s="14">
        <v>2</v>
      </c>
      <c r="Y2387" s="83">
        <v>12.3</v>
      </c>
      <c r="Z2387" s="56" t="s">
        <v>14</v>
      </c>
      <c r="AA2387" s="14" t="s">
        <v>1319</v>
      </c>
    </row>
    <row r="2388" spans="1:28" ht="23.1" customHeight="1" x14ac:dyDescent="0.25">
      <c r="A2388" s="53" t="s">
        <v>1621</v>
      </c>
      <c r="B2388" s="10" t="s">
        <v>113</v>
      </c>
      <c r="C2388" s="10">
        <v>55</v>
      </c>
      <c r="D2388" s="10" t="s">
        <v>1506</v>
      </c>
      <c r="E2388" s="41" t="s">
        <v>1507</v>
      </c>
      <c r="F2388" s="41" t="s">
        <v>1507</v>
      </c>
      <c r="G2388" s="21" t="str">
        <f>VLOOKUP(D2388,[6]成飞半成品!$A:$B,2,0)</f>
        <v>转盘</v>
      </c>
      <c r="H2388" s="10" t="s">
        <v>154</v>
      </c>
      <c r="I2388" s="10">
        <v>45</v>
      </c>
      <c r="J2388" s="10" t="s">
        <v>2309</v>
      </c>
      <c r="K2388" s="10">
        <v>3</v>
      </c>
      <c r="L2388" s="10">
        <v>2</v>
      </c>
      <c r="M2388" s="14">
        <v>26</v>
      </c>
      <c r="N2388" s="14">
        <v>26</v>
      </c>
      <c r="O2388" s="55" t="s">
        <v>164</v>
      </c>
      <c r="Q2388" s="10">
        <v>100</v>
      </c>
      <c r="U2388" s="10">
        <v>60</v>
      </c>
      <c r="W2388" s="14"/>
      <c r="Y2388" s="79">
        <v>3.3</v>
      </c>
      <c r="Z2388" s="56" t="s">
        <v>44</v>
      </c>
    </row>
    <row r="2389" spans="1:28" ht="23.1" customHeight="1" x14ac:dyDescent="0.25">
      <c r="A2389" s="53" t="s">
        <v>1621</v>
      </c>
      <c r="B2389" s="10" t="s">
        <v>113</v>
      </c>
      <c r="C2389" s="10">
        <v>76</v>
      </c>
      <c r="D2389" s="10" t="s">
        <v>1386</v>
      </c>
      <c r="E2389" s="41" t="s">
        <v>1288</v>
      </c>
      <c r="F2389" s="41" t="s">
        <v>1288</v>
      </c>
      <c r="G2389" s="21" t="str">
        <f>VLOOKUP(D2389,[6]成飞半成品!$A:$B,2,0)</f>
        <v>垫片</v>
      </c>
      <c r="H2389" s="10" t="s">
        <v>102</v>
      </c>
      <c r="I2389" s="10">
        <v>30</v>
      </c>
      <c r="J2389" s="10" t="s">
        <v>2243</v>
      </c>
      <c r="K2389" s="10">
        <v>50</v>
      </c>
      <c r="L2389" s="10">
        <v>30</v>
      </c>
      <c r="M2389" s="14">
        <v>5</v>
      </c>
      <c r="N2389" s="14">
        <v>5</v>
      </c>
      <c r="O2389" s="55" t="s">
        <v>596</v>
      </c>
      <c r="Q2389" s="10">
        <v>20</v>
      </c>
      <c r="U2389" s="10">
        <v>90</v>
      </c>
      <c r="W2389" s="14"/>
      <c r="Y2389" s="79">
        <v>10</v>
      </c>
      <c r="Z2389" s="56" t="s">
        <v>46</v>
      </c>
    </row>
    <row r="2390" spans="1:28" ht="23.1" customHeight="1" x14ac:dyDescent="0.25">
      <c r="A2390" s="53" t="s">
        <v>1621</v>
      </c>
      <c r="B2390" s="10" t="s">
        <v>113</v>
      </c>
      <c r="C2390" s="10">
        <v>107</v>
      </c>
      <c r="D2390" s="10" t="s">
        <v>1415</v>
      </c>
      <c r="E2390" s="41" t="s">
        <v>215</v>
      </c>
      <c r="F2390" s="41" t="s">
        <v>215</v>
      </c>
      <c r="G2390" s="21" t="str">
        <f>VLOOKUP(D2390,[6]成飞半成品!$A:$B,2,0)</f>
        <v>口盖</v>
      </c>
      <c r="H2390" s="10" t="s">
        <v>154</v>
      </c>
      <c r="I2390" s="10">
        <v>40</v>
      </c>
      <c r="J2390" s="10" t="s">
        <v>2263</v>
      </c>
      <c r="L2390" s="10">
        <v>2.5</v>
      </c>
      <c r="M2390" s="14">
        <v>5</v>
      </c>
      <c r="N2390" s="14">
        <v>28</v>
      </c>
      <c r="O2390" s="55" t="s">
        <v>1641</v>
      </c>
      <c r="Q2390" s="10">
        <v>390</v>
      </c>
      <c r="T2390" s="10">
        <v>1</v>
      </c>
      <c r="U2390" s="10">
        <v>60</v>
      </c>
      <c r="W2390" s="14"/>
      <c r="Y2390" s="79">
        <v>16.3</v>
      </c>
      <c r="Z2390" s="56" t="s">
        <v>45</v>
      </c>
    </row>
    <row r="2391" spans="1:28" ht="23.1" customHeight="1" x14ac:dyDescent="0.25">
      <c r="A2391" s="53" t="s">
        <v>1621</v>
      </c>
      <c r="B2391" s="10" t="s">
        <v>113</v>
      </c>
      <c r="C2391" s="10">
        <v>21</v>
      </c>
      <c r="D2391" s="10" t="s">
        <v>321</v>
      </c>
      <c r="E2391" s="41" t="s">
        <v>322</v>
      </c>
      <c r="F2391" s="41" t="s">
        <v>322</v>
      </c>
      <c r="G2391" s="21" t="str">
        <f>VLOOKUP(D2391,[6]成飞半成品!$A:$B,2,0)</f>
        <v>10860框</v>
      </c>
      <c r="H2391" s="10" t="s">
        <v>323</v>
      </c>
      <c r="I2391" s="10">
        <v>50</v>
      </c>
      <c r="J2391" s="10" t="s">
        <v>1986</v>
      </c>
      <c r="K2391" s="10">
        <v>1.2</v>
      </c>
      <c r="L2391" s="10">
        <v>1.2</v>
      </c>
      <c r="M2391" s="14">
        <v>5</v>
      </c>
      <c r="N2391" s="14">
        <v>28</v>
      </c>
      <c r="O2391" s="55" t="s">
        <v>1664</v>
      </c>
      <c r="Q2391" s="10">
        <v>630</v>
      </c>
      <c r="R2391" s="10">
        <v>120</v>
      </c>
      <c r="T2391" s="10">
        <v>1</v>
      </c>
      <c r="U2391" s="10">
        <v>180</v>
      </c>
      <c r="W2391" s="14"/>
      <c r="Y2391" s="79">
        <v>14.6</v>
      </c>
      <c r="Z2391" s="56" t="s">
        <v>58</v>
      </c>
    </row>
    <row r="2392" spans="1:28" ht="23.1" customHeight="1" x14ac:dyDescent="0.25">
      <c r="A2392" s="53" t="s">
        <v>1621</v>
      </c>
      <c r="B2392" s="10" t="s">
        <v>113</v>
      </c>
      <c r="C2392" s="10">
        <v>12</v>
      </c>
      <c r="D2392" s="10" t="s">
        <v>248</v>
      </c>
      <c r="E2392" s="41" t="s">
        <v>249</v>
      </c>
      <c r="F2392" s="41" t="s">
        <v>249</v>
      </c>
      <c r="G2392" s="21" t="str">
        <f>VLOOKUP(D2392,[6]成飞半成品!$A:$B,2,0)</f>
        <v>10060下接头</v>
      </c>
      <c r="H2392" s="10" t="s">
        <v>250</v>
      </c>
      <c r="I2392" s="10">
        <v>25</v>
      </c>
      <c r="J2392" s="10" t="s">
        <v>1923</v>
      </c>
      <c r="K2392" s="10">
        <v>1</v>
      </c>
      <c r="L2392" s="10">
        <v>1</v>
      </c>
      <c r="M2392" s="14">
        <v>28</v>
      </c>
      <c r="N2392" s="14">
        <v>28</v>
      </c>
      <c r="O2392" s="55" t="s">
        <v>1036</v>
      </c>
      <c r="Q2392" s="10">
        <v>1080</v>
      </c>
      <c r="U2392" s="10">
        <v>120</v>
      </c>
      <c r="W2392" s="14">
        <v>1</v>
      </c>
      <c r="Y2392" s="79">
        <v>20</v>
      </c>
      <c r="Z2392" s="56" t="s">
        <v>72</v>
      </c>
      <c r="AB2392" s="25"/>
    </row>
    <row r="2393" spans="1:28" ht="23.1" customHeight="1" x14ac:dyDescent="0.25">
      <c r="A2393" s="53" t="s">
        <v>1621</v>
      </c>
      <c r="B2393" s="10" t="s">
        <v>113</v>
      </c>
      <c r="C2393" s="10">
        <v>16</v>
      </c>
      <c r="D2393" s="10" t="s">
        <v>1420</v>
      </c>
      <c r="E2393" s="41" t="s">
        <v>1421</v>
      </c>
      <c r="F2393" s="41" t="s">
        <v>1421</v>
      </c>
      <c r="G2393" s="21" t="str">
        <f>VLOOKUP(D2393,[6]成飞半成品!$A:$B,2,0)</f>
        <v>第5隔板</v>
      </c>
      <c r="H2393" s="10" t="s">
        <v>123</v>
      </c>
      <c r="I2393" s="10">
        <v>25</v>
      </c>
      <c r="J2393" s="10" t="s">
        <v>2308</v>
      </c>
      <c r="K2393" s="10">
        <v>0.7</v>
      </c>
      <c r="L2393" s="10">
        <v>0.7</v>
      </c>
      <c r="M2393" s="14">
        <v>31</v>
      </c>
      <c r="N2393" s="14"/>
      <c r="O2393" s="55" t="s">
        <v>1440</v>
      </c>
      <c r="Q2393" s="10">
        <v>780</v>
      </c>
      <c r="U2393" s="10">
        <v>90</v>
      </c>
      <c r="W2393" s="14"/>
      <c r="Y2393" s="79">
        <v>9.1</v>
      </c>
      <c r="Z2393" s="56" t="s">
        <v>71</v>
      </c>
    </row>
    <row r="2394" spans="1:28" ht="23.1" customHeight="1" x14ac:dyDescent="0.25">
      <c r="A2394" s="53" t="s">
        <v>1621</v>
      </c>
      <c r="B2394" s="10" t="s">
        <v>113</v>
      </c>
      <c r="C2394" s="10">
        <v>57</v>
      </c>
      <c r="D2394" s="10" t="s">
        <v>1042</v>
      </c>
      <c r="E2394" s="41" t="s">
        <v>1281</v>
      </c>
      <c r="F2394" s="41" t="s">
        <v>1281</v>
      </c>
      <c r="G2394" s="21" t="str">
        <f>VLOOKUP(D2394,[6]成飞半成品!$A:$B,2,0)</f>
        <v>前上大梁（右）</v>
      </c>
      <c r="H2394" s="10" t="s">
        <v>107</v>
      </c>
      <c r="I2394" s="10">
        <v>35</v>
      </c>
      <c r="J2394" s="10" t="s">
        <v>2312</v>
      </c>
      <c r="K2394" s="10">
        <v>1</v>
      </c>
      <c r="L2394" s="10">
        <v>1.6</v>
      </c>
      <c r="M2394" s="14">
        <v>23</v>
      </c>
      <c r="N2394" s="14">
        <v>28</v>
      </c>
      <c r="O2394" s="55" t="s">
        <v>1033</v>
      </c>
      <c r="Q2394" s="10">
        <v>540</v>
      </c>
      <c r="U2394" s="10">
        <v>100</v>
      </c>
      <c r="W2394" s="14"/>
      <c r="Y2394" s="79">
        <v>14.4</v>
      </c>
      <c r="Z2394" s="56" t="s">
        <v>7</v>
      </c>
    </row>
    <row r="2395" spans="1:28" ht="23.1" customHeight="1" x14ac:dyDescent="0.25">
      <c r="A2395" s="53" t="s">
        <v>1621</v>
      </c>
      <c r="B2395" s="10" t="s">
        <v>113</v>
      </c>
      <c r="C2395" s="10">
        <v>58</v>
      </c>
      <c r="D2395" s="25" t="s">
        <v>2552</v>
      </c>
      <c r="E2395" s="41" t="s">
        <v>1666</v>
      </c>
      <c r="F2395" s="41" t="e">
        <v>#N/A</v>
      </c>
      <c r="G2395" s="21" t="str">
        <f>VLOOKUP(D2395,[6]成飞半成品!$A:$B,2,0)</f>
        <v>3D打印</v>
      </c>
      <c r="H2395" s="10" t="s">
        <v>102</v>
      </c>
      <c r="I2395" s="10">
        <v>15</v>
      </c>
      <c r="K2395" s="10">
        <v>0.5</v>
      </c>
      <c r="L2395" s="10">
        <v>1</v>
      </c>
      <c r="M2395" s="14">
        <v>28</v>
      </c>
      <c r="N2395" s="14"/>
      <c r="O2395" s="55" t="s">
        <v>108</v>
      </c>
      <c r="W2395" s="14"/>
      <c r="X2395" s="14">
        <v>12</v>
      </c>
      <c r="Y2395" s="79">
        <v>12</v>
      </c>
      <c r="Z2395" s="56" t="s">
        <v>7</v>
      </c>
      <c r="AA2395" s="14" t="s">
        <v>1667</v>
      </c>
    </row>
    <row r="2396" spans="1:28" ht="23.1" customHeight="1" x14ac:dyDescent="0.25">
      <c r="A2396" s="53" t="s">
        <v>1621</v>
      </c>
      <c r="B2396" s="10" t="s">
        <v>113</v>
      </c>
      <c r="C2396" s="10">
        <v>77</v>
      </c>
      <c r="D2396" s="10" t="s">
        <v>1457</v>
      </c>
      <c r="E2396" s="41" t="s">
        <v>409</v>
      </c>
      <c r="F2396" s="41" t="s">
        <v>409</v>
      </c>
      <c r="G2396" s="21" t="str">
        <f>VLOOKUP(D2396,[6]成飞半成品!$A:$B,2,0)</f>
        <v>接头</v>
      </c>
      <c r="H2396" s="10" t="s">
        <v>102</v>
      </c>
      <c r="I2396" s="10">
        <v>40</v>
      </c>
      <c r="J2396" s="10" t="s">
        <v>2318</v>
      </c>
      <c r="K2396" s="10">
        <v>8</v>
      </c>
      <c r="L2396" s="10">
        <v>8</v>
      </c>
      <c r="M2396" s="14">
        <v>5</v>
      </c>
      <c r="N2396" s="14">
        <v>31</v>
      </c>
      <c r="O2396" s="55" t="s">
        <v>596</v>
      </c>
      <c r="Q2396" s="10">
        <v>20</v>
      </c>
      <c r="U2396" s="10">
        <v>60</v>
      </c>
      <c r="W2396" s="14">
        <v>1</v>
      </c>
      <c r="X2396" s="14">
        <v>2</v>
      </c>
      <c r="Y2396" s="79">
        <v>5.7</v>
      </c>
      <c r="Z2396" s="56" t="s">
        <v>15</v>
      </c>
      <c r="AA2396" s="14" t="s">
        <v>1376</v>
      </c>
      <c r="AB2396" s="25" t="s">
        <v>238</v>
      </c>
    </row>
    <row r="2397" spans="1:28" ht="23.1" customHeight="1" x14ac:dyDescent="0.25">
      <c r="A2397" s="53" t="s">
        <v>1621</v>
      </c>
      <c r="B2397" s="10" t="s">
        <v>113</v>
      </c>
      <c r="C2397" s="10">
        <v>15</v>
      </c>
      <c r="D2397" s="10" t="s">
        <v>1255</v>
      </c>
      <c r="E2397" s="41" t="s">
        <v>117</v>
      </c>
      <c r="F2397" s="41" t="s">
        <v>117</v>
      </c>
      <c r="G2397" s="21" t="str">
        <f>VLOOKUP(D2397,[6]成飞半成品!$A:$B,2,0)</f>
        <v>7820~8270侧上梁</v>
      </c>
      <c r="H2397" s="10" t="s">
        <v>300</v>
      </c>
      <c r="I2397" s="10">
        <v>20</v>
      </c>
      <c r="J2397" s="10" t="s">
        <v>2232</v>
      </c>
      <c r="K2397" s="10">
        <v>2.5</v>
      </c>
      <c r="L2397" s="10">
        <v>4</v>
      </c>
      <c r="M2397" s="14">
        <v>23</v>
      </c>
      <c r="N2397" s="14">
        <v>9</v>
      </c>
      <c r="O2397" s="55" t="s">
        <v>1517</v>
      </c>
      <c r="Q2397" s="10">
        <v>220</v>
      </c>
      <c r="U2397" s="10">
        <v>90</v>
      </c>
      <c r="W2397" s="14">
        <v>1</v>
      </c>
      <c r="X2397" s="14">
        <v>2</v>
      </c>
      <c r="Y2397" s="79">
        <v>18.2</v>
      </c>
      <c r="Z2397" s="56" t="s">
        <v>31</v>
      </c>
      <c r="AA2397" s="14" t="s">
        <v>1376</v>
      </c>
      <c r="AB2397" s="25" t="s">
        <v>238</v>
      </c>
    </row>
    <row r="2398" spans="1:28" ht="23.1" customHeight="1" x14ac:dyDescent="0.25">
      <c r="A2398" s="53" t="s">
        <v>1621</v>
      </c>
      <c r="B2398" s="10" t="s">
        <v>113</v>
      </c>
      <c r="C2398" s="10">
        <v>14</v>
      </c>
      <c r="D2398" s="10" t="s">
        <v>1653</v>
      </c>
      <c r="E2398" s="41" t="s">
        <v>139</v>
      </c>
      <c r="F2398" s="41" t="s">
        <v>139</v>
      </c>
      <c r="G2398" s="21" t="str">
        <f>VLOOKUP(D2398,[6]成飞半成品!$A:$B,2,0)</f>
        <v>支座</v>
      </c>
      <c r="H2398" s="10" t="s">
        <v>375</v>
      </c>
      <c r="I2398" s="10">
        <v>15</v>
      </c>
      <c r="J2398" s="10" t="s">
        <v>1895</v>
      </c>
      <c r="K2398" s="10">
        <v>10</v>
      </c>
      <c r="L2398" s="10">
        <v>15</v>
      </c>
      <c r="M2398" s="14">
        <v>37</v>
      </c>
      <c r="N2398" s="14">
        <v>9</v>
      </c>
      <c r="O2398" s="55" t="s">
        <v>282</v>
      </c>
      <c r="Q2398" s="10">
        <v>65</v>
      </c>
      <c r="U2398" s="10">
        <v>90</v>
      </c>
      <c r="W2398" s="14"/>
      <c r="X2398" s="14">
        <v>3</v>
      </c>
      <c r="Y2398" s="79">
        <v>19.3</v>
      </c>
      <c r="Z2398" s="56" t="s">
        <v>31</v>
      </c>
      <c r="AA2398" s="14" t="s">
        <v>1572</v>
      </c>
      <c r="AB2398" s="25" t="s">
        <v>238</v>
      </c>
    </row>
    <row r="2399" spans="1:28" ht="23.1" customHeight="1" x14ac:dyDescent="0.25">
      <c r="A2399" s="53" t="s">
        <v>1621</v>
      </c>
      <c r="B2399" s="10" t="s">
        <v>113</v>
      </c>
      <c r="C2399" s="10">
        <v>108</v>
      </c>
      <c r="D2399" s="10" t="s">
        <v>889</v>
      </c>
      <c r="E2399" s="41" t="s">
        <v>887</v>
      </c>
      <c r="F2399" s="41" t="s">
        <v>887</v>
      </c>
      <c r="G2399" s="21" t="str">
        <f>VLOOKUP(D2399,[6]成飞半成品!$A:$B,2,0)</f>
        <v>外侧梁</v>
      </c>
      <c r="H2399" s="10" t="s">
        <v>154</v>
      </c>
      <c r="I2399" s="10">
        <v>70</v>
      </c>
      <c r="J2399" s="10" t="s">
        <v>2289</v>
      </c>
      <c r="K2399" s="10">
        <v>0.3</v>
      </c>
      <c r="L2399" s="10">
        <v>0.4</v>
      </c>
      <c r="M2399" s="14">
        <v>28</v>
      </c>
      <c r="N2399" s="14"/>
      <c r="O2399" s="55" t="s">
        <v>159</v>
      </c>
      <c r="Q2399" s="10">
        <v>4800</v>
      </c>
      <c r="R2399" s="10">
        <v>60</v>
      </c>
      <c r="U2399" s="10">
        <v>180</v>
      </c>
      <c r="W2399" s="14"/>
      <c r="Y2399" s="79">
        <v>32</v>
      </c>
      <c r="Z2399" s="56" t="s">
        <v>45</v>
      </c>
    </row>
    <row r="2400" spans="1:28" ht="23.1" customHeight="1" x14ac:dyDescent="0.25">
      <c r="A2400" s="53" t="s">
        <v>1621</v>
      </c>
      <c r="B2400" s="10" t="s">
        <v>113</v>
      </c>
      <c r="C2400" s="10">
        <v>18</v>
      </c>
      <c r="D2400" s="10" t="s">
        <v>1030</v>
      </c>
      <c r="E2400" s="41" t="s">
        <v>919</v>
      </c>
      <c r="F2400" s="41" t="s">
        <v>919</v>
      </c>
      <c r="G2400" s="21" t="str">
        <f>VLOOKUP(D2400,[6]成飞半成品!$A:$B,2,0)</f>
        <v>雷达罩锁支座</v>
      </c>
      <c r="H2400" s="10" t="s">
        <v>323</v>
      </c>
      <c r="I2400" s="10">
        <v>25</v>
      </c>
      <c r="J2400" s="10" t="s">
        <v>2149</v>
      </c>
      <c r="K2400" s="10">
        <v>3</v>
      </c>
      <c r="L2400" s="10">
        <v>4</v>
      </c>
      <c r="M2400" s="14">
        <v>28</v>
      </c>
      <c r="N2400" s="14">
        <v>28</v>
      </c>
      <c r="O2400" s="55" t="s">
        <v>780</v>
      </c>
      <c r="Q2400" s="10">
        <v>220</v>
      </c>
      <c r="U2400" s="10">
        <v>90</v>
      </c>
      <c r="W2400" s="14"/>
      <c r="Y2400" s="79">
        <v>14.7</v>
      </c>
      <c r="Z2400" s="56" t="s">
        <v>16</v>
      </c>
    </row>
    <row r="2401" spans="1:28" ht="23.1" customHeight="1" x14ac:dyDescent="0.25">
      <c r="A2401" s="53" t="s">
        <v>1621</v>
      </c>
      <c r="B2401" s="10" t="s">
        <v>113</v>
      </c>
      <c r="C2401" s="10">
        <v>17</v>
      </c>
      <c r="D2401" s="10" t="s">
        <v>1520</v>
      </c>
      <c r="E2401" s="41" t="s">
        <v>133</v>
      </c>
      <c r="F2401" s="41" t="s">
        <v>133</v>
      </c>
      <c r="G2401" s="21" t="str">
        <f>VLOOKUP(D2401,[6]成飞半成品!$A:$B,2,0)</f>
        <v>摇臂</v>
      </c>
      <c r="H2401" s="10" t="s">
        <v>154</v>
      </c>
      <c r="I2401" s="10">
        <v>20</v>
      </c>
      <c r="K2401" s="10">
        <v>1</v>
      </c>
      <c r="L2401" s="10">
        <v>1</v>
      </c>
      <c r="M2401" s="14">
        <v>28</v>
      </c>
      <c r="N2401" s="14"/>
      <c r="O2401" s="55" t="s">
        <v>1521</v>
      </c>
      <c r="P2401" s="10">
        <v>100</v>
      </c>
      <c r="Q2401" s="10">
        <v>100</v>
      </c>
      <c r="W2401" s="14"/>
      <c r="Y2401" s="83">
        <v>1.7</v>
      </c>
      <c r="Z2401" s="56" t="s">
        <v>16</v>
      </c>
    </row>
    <row r="2402" spans="1:28" ht="23.1" customHeight="1" x14ac:dyDescent="0.25">
      <c r="A2402" s="53" t="s">
        <v>1621</v>
      </c>
      <c r="B2402" s="10" t="s">
        <v>113</v>
      </c>
      <c r="C2402" s="10">
        <v>17</v>
      </c>
      <c r="D2402" s="10" t="s">
        <v>1520</v>
      </c>
      <c r="E2402" s="41" t="s">
        <v>133</v>
      </c>
      <c r="F2402" s="41" t="s">
        <v>133</v>
      </c>
      <c r="G2402" s="21" t="str">
        <f>VLOOKUP(D2402,[6]成飞半成品!$A:$B,2,0)</f>
        <v>摇臂</v>
      </c>
      <c r="H2402" s="10" t="s">
        <v>154</v>
      </c>
      <c r="I2402" s="10">
        <v>25</v>
      </c>
      <c r="K2402" s="10">
        <v>6</v>
      </c>
      <c r="L2402" s="10">
        <v>2</v>
      </c>
      <c r="M2402" s="14">
        <v>28</v>
      </c>
      <c r="N2402" s="14">
        <v>28</v>
      </c>
      <c r="O2402" s="55" t="s">
        <v>1521</v>
      </c>
      <c r="P2402" s="10">
        <v>70</v>
      </c>
      <c r="Q2402" s="10">
        <v>70</v>
      </c>
      <c r="V2402" s="10">
        <v>120</v>
      </c>
      <c r="W2402" s="14">
        <v>1</v>
      </c>
      <c r="X2402" s="14">
        <v>2</v>
      </c>
      <c r="Y2402" s="83">
        <v>6.3</v>
      </c>
      <c r="Z2402" s="56" t="s">
        <v>16</v>
      </c>
      <c r="AB2402" s="14" t="s">
        <v>238</v>
      </c>
    </row>
    <row r="2403" spans="1:28" ht="23.1" customHeight="1" x14ac:dyDescent="0.25">
      <c r="A2403" s="53" t="s">
        <v>1621</v>
      </c>
      <c r="B2403" s="10" t="s">
        <v>113</v>
      </c>
      <c r="C2403" s="10">
        <v>13</v>
      </c>
      <c r="D2403" s="10" t="s">
        <v>1668</v>
      </c>
      <c r="E2403" s="41" t="s">
        <v>1669</v>
      </c>
      <c r="F2403" s="41" t="s">
        <v>1669</v>
      </c>
      <c r="G2403" s="21" t="str">
        <f>VLOOKUP(D2403,[6]成飞半成品!$A:$B,2,0)</f>
        <v>支臂</v>
      </c>
      <c r="H2403" s="10" t="s">
        <v>154</v>
      </c>
      <c r="I2403" s="10">
        <v>15</v>
      </c>
      <c r="J2403" s="10" t="s">
        <v>2319</v>
      </c>
      <c r="K2403" s="10">
        <v>3</v>
      </c>
      <c r="L2403" s="10">
        <v>3</v>
      </c>
      <c r="M2403" s="14">
        <v>37</v>
      </c>
      <c r="N2403" s="14">
        <v>37</v>
      </c>
      <c r="O2403" s="55" t="s">
        <v>1670</v>
      </c>
      <c r="Q2403" s="10">
        <v>15</v>
      </c>
      <c r="U2403" s="10">
        <v>60</v>
      </c>
      <c r="W2403" s="14">
        <v>1</v>
      </c>
      <c r="X2403" s="14">
        <v>4</v>
      </c>
      <c r="Y2403" s="79">
        <v>5.8</v>
      </c>
      <c r="Z2403" s="56" t="s">
        <v>72</v>
      </c>
      <c r="AA2403" s="14" t="s">
        <v>1671</v>
      </c>
      <c r="AB2403" s="25" t="s">
        <v>238</v>
      </c>
    </row>
    <row r="2404" spans="1:28" ht="23.1" customHeight="1" x14ac:dyDescent="0.25">
      <c r="A2404" s="53" t="s">
        <v>1621</v>
      </c>
      <c r="B2404" s="10" t="s">
        <v>113</v>
      </c>
      <c r="C2404" s="10">
        <v>13</v>
      </c>
      <c r="D2404" s="10" t="s">
        <v>1672</v>
      </c>
      <c r="E2404" s="41" t="s">
        <v>240</v>
      </c>
      <c r="F2404" s="41" t="s">
        <v>240</v>
      </c>
      <c r="G2404" s="21" t="str">
        <f>VLOOKUP(D2404,[6]成飞半成品!$A:$B,2,0)</f>
        <v>角片</v>
      </c>
      <c r="H2404" s="10" t="s">
        <v>123</v>
      </c>
      <c r="I2404" s="10">
        <v>10</v>
      </c>
      <c r="J2404" s="10" t="s">
        <v>1916</v>
      </c>
      <c r="K2404" s="10">
        <v>20</v>
      </c>
      <c r="L2404" s="10">
        <v>20</v>
      </c>
      <c r="M2404" s="14">
        <v>5</v>
      </c>
      <c r="N2404" s="14">
        <v>5</v>
      </c>
      <c r="O2404" s="55" t="s">
        <v>221</v>
      </c>
      <c r="Q2404" s="10">
        <v>40</v>
      </c>
      <c r="U2404" s="10">
        <v>60</v>
      </c>
      <c r="W2404" s="14">
        <v>1</v>
      </c>
      <c r="Y2404" s="79">
        <v>14.3</v>
      </c>
      <c r="Z2404" s="56" t="s">
        <v>72</v>
      </c>
    </row>
    <row r="2405" spans="1:28" ht="23.1" customHeight="1" x14ac:dyDescent="0.25">
      <c r="A2405" s="53" t="s">
        <v>1621</v>
      </c>
      <c r="B2405" s="10" t="s">
        <v>113</v>
      </c>
      <c r="C2405" s="10">
        <v>22</v>
      </c>
      <c r="D2405" s="10" t="s">
        <v>1673</v>
      </c>
      <c r="E2405" s="41" t="s">
        <v>1674</v>
      </c>
      <c r="F2405" s="41" t="s">
        <v>1674</v>
      </c>
      <c r="G2405" s="21" t="str">
        <f>VLOOKUP(D2405,[6]成飞半成品!$A:$B,2,0)</f>
        <v>10060框</v>
      </c>
      <c r="H2405" s="10" t="s">
        <v>375</v>
      </c>
      <c r="I2405" s="10">
        <v>15</v>
      </c>
      <c r="J2405" s="10" t="s">
        <v>2320</v>
      </c>
      <c r="K2405" s="10">
        <v>1</v>
      </c>
      <c r="L2405" s="10">
        <v>1</v>
      </c>
      <c r="M2405" s="14">
        <v>5</v>
      </c>
      <c r="N2405" s="14">
        <v>5</v>
      </c>
      <c r="O2405" s="55" t="s">
        <v>1675</v>
      </c>
      <c r="Q2405" s="10">
        <v>600</v>
      </c>
      <c r="R2405" s="10">
        <v>120</v>
      </c>
      <c r="T2405" s="10">
        <v>1</v>
      </c>
      <c r="U2405" s="10">
        <v>180</v>
      </c>
      <c r="W2405" s="14">
        <v>1</v>
      </c>
      <c r="X2405" s="14">
        <v>4</v>
      </c>
      <c r="Y2405" s="79">
        <v>19</v>
      </c>
      <c r="Z2405" s="56" t="s">
        <v>58</v>
      </c>
      <c r="AA2405" s="14" t="s">
        <v>1676</v>
      </c>
    </row>
    <row r="2406" spans="1:28" ht="23.1" customHeight="1" x14ac:dyDescent="0.25">
      <c r="A2406" s="53" t="s">
        <v>1621</v>
      </c>
      <c r="B2406" s="10" t="s">
        <v>113</v>
      </c>
      <c r="C2406" s="10">
        <v>78</v>
      </c>
      <c r="D2406" s="10" t="s">
        <v>992</v>
      </c>
      <c r="E2406" s="41" t="s">
        <v>993</v>
      </c>
      <c r="F2406" s="41" t="s">
        <v>993</v>
      </c>
      <c r="G2406" s="21" t="str">
        <f>VLOOKUP(D2406,[6]成飞半成品!$A:$B,2,0)</f>
        <v>内侧梁</v>
      </c>
      <c r="H2406" s="10" t="s">
        <v>154</v>
      </c>
      <c r="I2406" s="10">
        <v>30</v>
      </c>
      <c r="J2406" s="10" t="s">
        <v>1992</v>
      </c>
      <c r="K2406" s="10">
        <v>1.5</v>
      </c>
      <c r="L2406" s="10">
        <v>1.3</v>
      </c>
      <c r="M2406" s="14">
        <v>23</v>
      </c>
      <c r="N2406" s="14"/>
      <c r="O2406" s="55" t="s">
        <v>159</v>
      </c>
      <c r="Q2406" s="10">
        <v>450</v>
      </c>
      <c r="R2406" s="10">
        <v>60</v>
      </c>
      <c r="T2406" s="10">
        <v>1</v>
      </c>
      <c r="U2406" s="10">
        <v>90</v>
      </c>
      <c r="W2406" s="14"/>
      <c r="Y2406" s="79">
        <v>10.8</v>
      </c>
      <c r="Z2406" s="56" t="s">
        <v>19</v>
      </c>
    </row>
    <row r="2407" spans="1:28" ht="23.1" customHeight="1" x14ac:dyDescent="0.25">
      <c r="A2407" s="53" t="s">
        <v>1621</v>
      </c>
      <c r="B2407" s="10" t="s">
        <v>113</v>
      </c>
      <c r="C2407" s="10">
        <v>59</v>
      </c>
      <c r="D2407" s="10" t="s">
        <v>1661</v>
      </c>
      <c r="E2407" s="41" t="s">
        <v>595</v>
      </c>
      <c r="F2407" s="41" t="s">
        <v>595</v>
      </c>
      <c r="G2407" s="21" t="str">
        <f>VLOOKUP(D2407,[6]成飞半成品!$A:$B,2,0)</f>
        <v>加强件</v>
      </c>
      <c r="H2407" s="10" t="s">
        <v>102</v>
      </c>
      <c r="I2407" s="10">
        <v>15</v>
      </c>
      <c r="J2407" s="10" t="s">
        <v>2321</v>
      </c>
      <c r="L2407" s="10">
        <v>1</v>
      </c>
      <c r="M2407" s="14">
        <v>5</v>
      </c>
      <c r="N2407" s="14"/>
      <c r="O2407" s="55" t="s">
        <v>596</v>
      </c>
      <c r="Q2407" s="10">
        <v>150</v>
      </c>
      <c r="U2407" s="10">
        <v>60</v>
      </c>
      <c r="W2407" s="14">
        <v>1</v>
      </c>
      <c r="X2407" s="14">
        <v>2</v>
      </c>
      <c r="Y2407" s="79">
        <v>5.5</v>
      </c>
      <c r="Z2407" s="65" t="s">
        <v>1847</v>
      </c>
      <c r="AA2407" s="14" t="s">
        <v>1677</v>
      </c>
      <c r="AB2407" s="25" t="s">
        <v>238</v>
      </c>
    </row>
    <row r="2408" spans="1:28" ht="23.1" customHeight="1" x14ac:dyDescent="0.25">
      <c r="A2408" s="53" t="s">
        <v>1621</v>
      </c>
      <c r="B2408" s="10" t="s">
        <v>113</v>
      </c>
      <c r="C2408" s="10">
        <v>59</v>
      </c>
      <c r="D2408" s="10" t="s">
        <v>1661</v>
      </c>
      <c r="E2408" s="41" t="s">
        <v>595</v>
      </c>
      <c r="F2408" s="41" t="s">
        <v>595</v>
      </c>
      <c r="G2408" s="21" t="str">
        <f>VLOOKUP(D2408,[6]成飞半成品!$A:$B,2,0)</f>
        <v>加强件</v>
      </c>
      <c r="H2408" s="10" t="s">
        <v>102</v>
      </c>
      <c r="I2408" s="10">
        <v>20</v>
      </c>
      <c r="J2408" s="10" t="s">
        <v>2397</v>
      </c>
      <c r="L2408" s="10">
        <v>1</v>
      </c>
      <c r="M2408" s="14"/>
      <c r="N2408" s="14">
        <v>31</v>
      </c>
      <c r="O2408" s="55" t="s">
        <v>596</v>
      </c>
      <c r="Q2408" s="10">
        <v>70</v>
      </c>
      <c r="U2408" s="10">
        <v>90</v>
      </c>
      <c r="W2408" s="14">
        <v>1</v>
      </c>
      <c r="Y2408" s="79">
        <v>2.7</v>
      </c>
      <c r="Z2408" s="65" t="s">
        <v>1847</v>
      </c>
    </row>
    <row r="2409" spans="1:28" ht="23.1" customHeight="1" x14ac:dyDescent="0.25">
      <c r="A2409" s="53" t="s">
        <v>1621</v>
      </c>
      <c r="B2409" s="10" t="s">
        <v>113</v>
      </c>
      <c r="C2409" s="10">
        <v>59</v>
      </c>
      <c r="D2409" s="10" t="s">
        <v>1661</v>
      </c>
      <c r="E2409" s="41" t="s">
        <v>595</v>
      </c>
      <c r="F2409" s="41" t="s">
        <v>595</v>
      </c>
      <c r="G2409" s="21" t="str">
        <f>VLOOKUP(D2409,[6]成飞半成品!$A:$B,2,0)</f>
        <v>加强件</v>
      </c>
      <c r="H2409" s="10" t="s">
        <v>102</v>
      </c>
      <c r="I2409" s="10">
        <v>25</v>
      </c>
      <c r="J2409" s="10" t="s">
        <v>2349</v>
      </c>
      <c r="L2409" s="10">
        <v>1</v>
      </c>
      <c r="M2409" s="14"/>
      <c r="N2409" s="14">
        <v>31</v>
      </c>
      <c r="O2409" s="55" t="s">
        <v>596</v>
      </c>
      <c r="Q2409" s="10">
        <v>50</v>
      </c>
      <c r="U2409" s="10">
        <v>60</v>
      </c>
      <c r="W2409" s="14">
        <v>1</v>
      </c>
      <c r="X2409" s="14">
        <v>2</v>
      </c>
      <c r="Y2409" s="79">
        <v>3.8</v>
      </c>
      <c r="Z2409" s="65" t="s">
        <v>1847</v>
      </c>
      <c r="AA2409" s="14" t="s">
        <v>1655</v>
      </c>
      <c r="AB2409" s="25" t="s">
        <v>238</v>
      </c>
    </row>
    <row r="2410" spans="1:28" ht="23.1" customHeight="1" x14ac:dyDescent="0.25">
      <c r="A2410" s="53" t="s">
        <v>1621</v>
      </c>
      <c r="B2410" s="10" t="s">
        <v>113</v>
      </c>
      <c r="C2410" s="10">
        <v>9</v>
      </c>
      <c r="D2410" s="10" t="s">
        <v>1678</v>
      </c>
      <c r="E2410" s="41" t="s">
        <v>259</v>
      </c>
      <c r="F2410" s="41" t="s">
        <v>259</v>
      </c>
      <c r="G2410" s="21" t="str">
        <f>VLOOKUP(D2410,[6]成飞半成品!$A:$B,2,0)</f>
        <v>梁</v>
      </c>
      <c r="H2410" s="47" t="s">
        <v>123</v>
      </c>
      <c r="I2410" s="10">
        <v>5</v>
      </c>
      <c r="J2410" s="47" t="s">
        <v>2322</v>
      </c>
      <c r="L2410" s="10">
        <v>2</v>
      </c>
      <c r="M2410" s="14">
        <v>23</v>
      </c>
      <c r="N2410" s="14">
        <v>23</v>
      </c>
      <c r="O2410" s="55" t="s">
        <v>1404</v>
      </c>
      <c r="Q2410" s="10">
        <v>120</v>
      </c>
      <c r="U2410" s="10">
        <v>60</v>
      </c>
      <c r="W2410" s="14">
        <v>1</v>
      </c>
      <c r="X2410" s="14">
        <v>4</v>
      </c>
      <c r="Y2410" s="79">
        <v>9</v>
      </c>
      <c r="Z2410" s="56" t="s">
        <v>30</v>
      </c>
      <c r="AB2410" s="14" t="s">
        <v>238</v>
      </c>
    </row>
    <row r="2411" spans="1:28" ht="23.1" customHeight="1" x14ac:dyDescent="0.25">
      <c r="A2411" s="53" t="s">
        <v>1621</v>
      </c>
      <c r="B2411" s="10" t="s">
        <v>113</v>
      </c>
      <c r="C2411" s="10">
        <v>9</v>
      </c>
      <c r="D2411" s="10" t="s">
        <v>1678</v>
      </c>
      <c r="E2411" s="41" t="s">
        <v>259</v>
      </c>
      <c r="F2411" s="41" t="s">
        <v>259</v>
      </c>
      <c r="G2411" s="21" t="str">
        <f>VLOOKUP(D2411,[6]成飞半成品!$A:$B,2,0)</f>
        <v>梁</v>
      </c>
      <c r="H2411" s="47" t="s">
        <v>123</v>
      </c>
      <c r="I2411" s="10">
        <v>10</v>
      </c>
      <c r="J2411" s="10" t="s">
        <v>2023</v>
      </c>
      <c r="L2411" s="10">
        <v>2</v>
      </c>
      <c r="M2411" s="14">
        <v>23</v>
      </c>
      <c r="N2411" s="14">
        <v>23</v>
      </c>
      <c r="O2411" s="55" t="s">
        <v>1404</v>
      </c>
      <c r="Q2411" s="10">
        <v>70</v>
      </c>
      <c r="U2411" s="10">
        <v>60</v>
      </c>
      <c r="W2411" s="14">
        <v>1</v>
      </c>
      <c r="X2411" s="14">
        <v>4</v>
      </c>
      <c r="Y2411" s="79">
        <v>7.3</v>
      </c>
      <c r="Z2411" s="56" t="s">
        <v>30</v>
      </c>
      <c r="AB2411" s="14" t="s">
        <v>238</v>
      </c>
    </row>
    <row r="2412" spans="1:28" ht="23.1" customHeight="1" x14ac:dyDescent="0.25">
      <c r="A2412" s="53" t="s">
        <v>1621</v>
      </c>
      <c r="B2412" s="10" t="s">
        <v>113</v>
      </c>
      <c r="C2412" s="10">
        <v>9</v>
      </c>
      <c r="D2412" s="10" t="s">
        <v>1678</v>
      </c>
      <c r="E2412" s="41" t="s">
        <v>259</v>
      </c>
      <c r="F2412" s="41" t="s">
        <v>259</v>
      </c>
      <c r="G2412" s="21" t="str">
        <f>VLOOKUP(D2412,[6]成飞半成品!$A:$B,2,0)</f>
        <v>梁</v>
      </c>
      <c r="H2412" s="47" t="s">
        <v>123</v>
      </c>
      <c r="I2412" s="10">
        <v>15</v>
      </c>
      <c r="J2412" s="10" t="s">
        <v>2398</v>
      </c>
      <c r="L2412" s="10">
        <v>0.5</v>
      </c>
      <c r="M2412" s="14">
        <v>23</v>
      </c>
      <c r="N2412" s="14">
        <v>23</v>
      </c>
      <c r="O2412" s="55" t="s">
        <v>1404</v>
      </c>
      <c r="Q2412" s="10">
        <v>500</v>
      </c>
      <c r="U2412" s="10">
        <v>60</v>
      </c>
      <c r="W2412" s="14">
        <v>1</v>
      </c>
      <c r="X2412" s="14">
        <v>2</v>
      </c>
      <c r="Y2412" s="79">
        <v>7.2</v>
      </c>
      <c r="Z2412" s="56" t="s">
        <v>30</v>
      </c>
      <c r="AB2412" s="14" t="s">
        <v>238</v>
      </c>
    </row>
    <row r="2413" spans="1:28" ht="23.1" customHeight="1" x14ac:dyDescent="0.25">
      <c r="A2413" s="53" t="s">
        <v>1621</v>
      </c>
      <c r="B2413" s="10" t="s">
        <v>113</v>
      </c>
      <c r="C2413" s="10">
        <v>9</v>
      </c>
      <c r="D2413" s="10" t="s">
        <v>1678</v>
      </c>
      <c r="E2413" s="41" t="s">
        <v>259</v>
      </c>
      <c r="F2413" s="41" t="s">
        <v>259</v>
      </c>
      <c r="G2413" s="21" t="str">
        <f>VLOOKUP(D2413,[6]成飞半成品!$A:$B,2,0)</f>
        <v>梁</v>
      </c>
      <c r="H2413" s="47" t="s">
        <v>123</v>
      </c>
      <c r="I2413" s="10">
        <v>5</v>
      </c>
      <c r="J2413" s="10" t="s">
        <v>2060</v>
      </c>
      <c r="L2413" s="10">
        <v>2</v>
      </c>
      <c r="M2413" s="14">
        <v>23</v>
      </c>
      <c r="N2413" s="14">
        <v>23</v>
      </c>
      <c r="O2413" s="55" t="s">
        <v>1680</v>
      </c>
      <c r="Q2413" s="10">
        <v>120</v>
      </c>
      <c r="U2413" s="10">
        <v>60</v>
      </c>
      <c r="W2413" s="14">
        <v>1</v>
      </c>
      <c r="X2413" s="14">
        <v>2.5</v>
      </c>
      <c r="Y2413" s="79">
        <v>7.5</v>
      </c>
      <c r="Z2413" s="56" t="s">
        <v>30</v>
      </c>
      <c r="AB2413" s="14" t="s">
        <v>238</v>
      </c>
    </row>
    <row r="2414" spans="1:28" ht="23.1" customHeight="1" x14ac:dyDescent="0.25">
      <c r="A2414" s="53" t="s">
        <v>1621</v>
      </c>
      <c r="B2414" s="10" t="s">
        <v>113</v>
      </c>
      <c r="C2414" s="10">
        <v>9</v>
      </c>
      <c r="D2414" s="10" t="s">
        <v>1678</v>
      </c>
      <c r="E2414" s="41" t="s">
        <v>259</v>
      </c>
      <c r="F2414" s="41" t="s">
        <v>259</v>
      </c>
      <c r="G2414" s="21" t="str">
        <f>VLOOKUP(D2414,[6]成飞半成品!$A:$B,2,0)</f>
        <v>梁</v>
      </c>
      <c r="H2414" s="47" t="s">
        <v>123</v>
      </c>
      <c r="I2414" s="10">
        <v>10</v>
      </c>
      <c r="J2414" s="10" t="s">
        <v>2023</v>
      </c>
      <c r="L2414" s="10">
        <v>2</v>
      </c>
      <c r="M2414" s="14">
        <v>23</v>
      </c>
      <c r="N2414" s="14">
        <v>23</v>
      </c>
      <c r="O2414" s="55" t="s">
        <v>1680</v>
      </c>
      <c r="Q2414" s="10">
        <v>70</v>
      </c>
      <c r="U2414" s="10">
        <v>60</v>
      </c>
      <c r="W2414" s="14">
        <v>1</v>
      </c>
      <c r="X2414" s="14">
        <v>2.5</v>
      </c>
      <c r="Y2414" s="79">
        <v>5.8</v>
      </c>
      <c r="Z2414" s="56" t="s">
        <v>30</v>
      </c>
      <c r="AB2414" s="14" t="s">
        <v>238</v>
      </c>
    </row>
    <row r="2415" spans="1:28" ht="23.1" customHeight="1" x14ac:dyDescent="0.25">
      <c r="A2415" s="53" t="s">
        <v>1621</v>
      </c>
      <c r="B2415" s="10" t="s">
        <v>113</v>
      </c>
      <c r="C2415" s="10">
        <v>10</v>
      </c>
      <c r="D2415" s="10" t="s">
        <v>197</v>
      </c>
      <c r="E2415" s="41" t="s">
        <v>198</v>
      </c>
      <c r="F2415" s="41" t="e">
        <v>#N/A</v>
      </c>
      <c r="G2415" s="21" t="e">
        <f>VLOOKUP(D2415,[6]成飞半成品!$A:$B,2,0)</f>
        <v>#N/A</v>
      </c>
      <c r="H2415" s="10" t="s">
        <v>154</v>
      </c>
      <c r="I2415" s="10">
        <v>20</v>
      </c>
      <c r="J2415" s="10" t="s">
        <v>2150</v>
      </c>
      <c r="K2415" s="10">
        <v>1.5</v>
      </c>
      <c r="L2415" s="10">
        <v>4</v>
      </c>
      <c r="M2415" s="14">
        <v>23</v>
      </c>
      <c r="N2415" s="14">
        <v>28</v>
      </c>
      <c r="O2415" s="55" t="s">
        <v>873</v>
      </c>
      <c r="Q2415" s="10">
        <v>290</v>
      </c>
      <c r="U2415" s="10">
        <v>60</v>
      </c>
      <c r="W2415" s="14">
        <v>1</v>
      </c>
      <c r="X2415" s="14">
        <v>2</v>
      </c>
      <c r="Y2415" s="79">
        <v>22.3</v>
      </c>
      <c r="Z2415" s="56" t="s">
        <v>30</v>
      </c>
      <c r="AA2415" s="14" t="s">
        <v>1681</v>
      </c>
      <c r="AB2415" s="25" t="s">
        <v>238</v>
      </c>
    </row>
    <row r="2416" spans="1:28" ht="23.1" customHeight="1" x14ac:dyDescent="0.25">
      <c r="A2416" s="53" t="s">
        <v>1621</v>
      </c>
      <c r="B2416" s="10" t="s">
        <v>113</v>
      </c>
      <c r="C2416" s="10">
        <v>10</v>
      </c>
      <c r="D2416" s="10" t="s">
        <v>197</v>
      </c>
      <c r="E2416" s="41" t="s">
        <v>198</v>
      </c>
      <c r="F2416" s="41" t="e">
        <v>#N/A</v>
      </c>
      <c r="G2416" s="21" t="e">
        <f>VLOOKUP(D2416,[6]成飞半成品!$A:$B,2,0)</f>
        <v>#N/A</v>
      </c>
      <c r="H2416" s="10" t="s">
        <v>154</v>
      </c>
      <c r="I2416" s="10">
        <v>15</v>
      </c>
      <c r="J2416" s="10" t="s">
        <v>2151</v>
      </c>
      <c r="K2416" s="10">
        <v>2</v>
      </c>
      <c r="L2416" s="10">
        <v>2</v>
      </c>
      <c r="M2416" s="14">
        <v>23</v>
      </c>
      <c r="N2416" s="14">
        <v>23</v>
      </c>
      <c r="O2416" s="55" t="s">
        <v>1682</v>
      </c>
      <c r="Q2416" s="10">
        <v>65</v>
      </c>
      <c r="U2416" s="10">
        <v>60</v>
      </c>
      <c r="W2416" s="14"/>
      <c r="Y2416" s="79">
        <v>2.2000000000000002</v>
      </c>
      <c r="Z2416" s="56" t="s">
        <v>30</v>
      </c>
    </row>
    <row r="2417" spans="1:28" ht="23.1" customHeight="1" x14ac:dyDescent="0.25">
      <c r="A2417" s="53" t="s">
        <v>1621</v>
      </c>
      <c r="B2417" s="10" t="s">
        <v>113</v>
      </c>
      <c r="C2417" s="10">
        <v>56</v>
      </c>
      <c r="D2417" s="10" t="s">
        <v>1683</v>
      </c>
      <c r="E2417" s="41" t="s">
        <v>1398</v>
      </c>
      <c r="F2417" s="41" t="s">
        <v>1398</v>
      </c>
      <c r="G2417" s="21" t="str">
        <f>VLOOKUP(D2417,[6]成飞半成品!$A:$B,2,0)</f>
        <v>受剪接头</v>
      </c>
      <c r="H2417" s="10" t="s">
        <v>118</v>
      </c>
      <c r="I2417" s="10">
        <v>22</v>
      </c>
      <c r="L2417" s="10">
        <v>4</v>
      </c>
      <c r="M2417" s="14">
        <v>26</v>
      </c>
      <c r="N2417" s="14">
        <v>23</v>
      </c>
      <c r="O2417" s="55" t="s">
        <v>1417</v>
      </c>
      <c r="P2417" s="10">
        <v>10</v>
      </c>
      <c r="W2417" s="14"/>
      <c r="Y2417" s="83">
        <v>0.7</v>
      </c>
      <c r="Z2417" s="56" t="s">
        <v>44</v>
      </c>
    </row>
    <row r="2418" spans="1:28" ht="23.1" customHeight="1" x14ac:dyDescent="0.25">
      <c r="A2418" s="53" t="s">
        <v>1621</v>
      </c>
      <c r="B2418" s="10" t="s">
        <v>113</v>
      </c>
      <c r="C2418" s="10">
        <v>56</v>
      </c>
      <c r="D2418" s="10" t="s">
        <v>1683</v>
      </c>
      <c r="E2418" s="41" t="s">
        <v>1398</v>
      </c>
      <c r="F2418" s="41" t="s">
        <v>1398</v>
      </c>
      <c r="G2418" s="21" t="str">
        <f>VLOOKUP(D2418,[6]成飞半成品!$A:$B,2,0)</f>
        <v>受剪接头</v>
      </c>
      <c r="H2418" s="10" t="s">
        <v>118</v>
      </c>
      <c r="I2418" s="10">
        <v>25</v>
      </c>
      <c r="J2418" s="10" t="s">
        <v>2037</v>
      </c>
      <c r="L2418" s="10">
        <v>4</v>
      </c>
      <c r="M2418" s="14">
        <v>26</v>
      </c>
      <c r="N2418" s="14">
        <v>23</v>
      </c>
      <c r="O2418" s="55" t="s">
        <v>1417</v>
      </c>
      <c r="Q2418" s="10">
        <v>160</v>
      </c>
      <c r="U2418" s="10">
        <v>90</v>
      </c>
      <c r="W2418" s="14">
        <v>1</v>
      </c>
      <c r="Y2418" s="79">
        <v>12.2</v>
      </c>
      <c r="Z2418" s="56" t="s">
        <v>44</v>
      </c>
    </row>
    <row r="2419" spans="1:28" ht="23.1" customHeight="1" x14ac:dyDescent="0.25">
      <c r="A2419" s="53" t="s">
        <v>1621</v>
      </c>
      <c r="B2419" s="10" t="s">
        <v>113</v>
      </c>
      <c r="C2419" s="10">
        <v>56</v>
      </c>
      <c r="D2419" s="10" t="s">
        <v>1646</v>
      </c>
      <c r="E2419" s="41" t="s">
        <v>1398</v>
      </c>
      <c r="F2419" s="41" t="s">
        <v>1398</v>
      </c>
      <c r="G2419" s="21" t="str">
        <f>VLOOKUP(D2419,[6]成飞半成品!$A:$B,2,0)</f>
        <v>受剪接头</v>
      </c>
      <c r="H2419" s="10" t="s">
        <v>118</v>
      </c>
      <c r="I2419" s="10">
        <v>30</v>
      </c>
      <c r="J2419" s="10" t="s">
        <v>1994</v>
      </c>
      <c r="L2419" s="10">
        <v>4</v>
      </c>
      <c r="M2419" s="14">
        <v>23</v>
      </c>
      <c r="N2419" s="14">
        <v>23</v>
      </c>
      <c r="O2419" s="55" t="s">
        <v>1647</v>
      </c>
      <c r="Q2419" s="10">
        <v>50</v>
      </c>
      <c r="U2419" s="10">
        <v>60</v>
      </c>
      <c r="W2419" s="14">
        <v>1</v>
      </c>
      <c r="Y2419" s="79">
        <v>4.3</v>
      </c>
      <c r="Z2419" s="56" t="s">
        <v>44</v>
      </c>
    </row>
    <row r="2420" spans="1:28" ht="23.1" customHeight="1" x14ac:dyDescent="0.25">
      <c r="A2420" s="53" t="s">
        <v>1621</v>
      </c>
      <c r="B2420" s="10" t="s">
        <v>113</v>
      </c>
      <c r="C2420" s="10">
        <v>24</v>
      </c>
      <c r="D2420" s="10" t="s">
        <v>776</v>
      </c>
      <c r="E2420" s="41" t="s">
        <v>777</v>
      </c>
      <c r="F2420" s="41" t="s">
        <v>777</v>
      </c>
      <c r="G2420" s="21" t="str">
        <f>VLOOKUP(D2420,[6]成飞半成品!$A:$B,2,0)</f>
        <v>BL280侧壁（左件）</v>
      </c>
      <c r="H2420" s="10" t="s">
        <v>107</v>
      </c>
      <c r="I2420" s="10">
        <v>30</v>
      </c>
      <c r="J2420" s="10" t="s">
        <v>2061</v>
      </c>
      <c r="K2420" s="10">
        <v>0.7</v>
      </c>
      <c r="L2420" s="10">
        <v>0.7</v>
      </c>
      <c r="M2420" s="14">
        <v>5</v>
      </c>
      <c r="N2420" s="14">
        <v>28</v>
      </c>
      <c r="O2420" s="55" t="s">
        <v>1196</v>
      </c>
      <c r="Q2420" s="10">
        <v>1700</v>
      </c>
      <c r="R2420" s="10">
        <v>120</v>
      </c>
      <c r="T2420" s="10">
        <v>1</v>
      </c>
      <c r="U2420" s="10">
        <v>210</v>
      </c>
      <c r="W2420" s="14"/>
      <c r="Y2420" s="79">
        <v>21.8</v>
      </c>
      <c r="Z2420" s="56" t="s">
        <v>54</v>
      </c>
    </row>
    <row r="2421" spans="1:28" ht="23.1" customHeight="1" x14ac:dyDescent="0.25">
      <c r="A2421" s="53" t="s">
        <v>1621</v>
      </c>
      <c r="B2421" s="10" t="s">
        <v>113</v>
      </c>
      <c r="C2421" s="10">
        <v>69</v>
      </c>
      <c r="D2421" s="10" t="s">
        <v>298</v>
      </c>
      <c r="E2421" s="41" t="s">
        <v>299</v>
      </c>
      <c r="F2421" s="41" t="s">
        <v>299</v>
      </c>
      <c r="G2421" s="21" t="str">
        <f>VLOOKUP(D2421,[6]成飞半成品!$A:$B,2,0)</f>
        <v>8635右隔框</v>
      </c>
      <c r="H2421" s="10" t="s">
        <v>300</v>
      </c>
      <c r="I2421" s="10">
        <v>30</v>
      </c>
      <c r="J2421" s="10" t="s">
        <v>2323</v>
      </c>
      <c r="K2421" s="10">
        <v>0.8</v>
      </c>
      <c r="L2421" s="10">
        <v>1.1000000000000001</v>
      </c>
      <c r="M2421" s="14">
        <v>5</v>
      </c>
      <c r="N2421" s="14">
        <v>28</v>
      </c>
      <c r="O2421" s="55" t="s">
        <v>1113</v>
      </c>
      <c r="Q2421" s="10">
        <v>960</v>
      </c>
      <c r="R2421" s="10">
        <v>120</v>
      </c>
      <c r="T2421" s="10">
        <v>1</v>
      </c>
      <c r="U2421" s="10">
        <v>180</v>
      </c>
      <c r="W2421" s="14"/>
      <c r="Y2421" s="79">
        <v>19.600000000000001</v>
      </c>
      <c r="Z2421" s="56" t="s">
        <v>54</v>
      </c>
    </row>
    <row r="2422" spans="1:28" ht="23.1" customHeight="1" x14ac:dyDescent="0.25">
      <c r="A2422" s="53" t="s">
        <v>1621</v>
      </c>
      <c r="B2422" s="10" t="s">
        <v>113</v>
      </c>
      <c r="C2422" s="10">
        <v>69</v>
      </c>
      <c r="D2422" s="10" t="s">
        <v>298</v>
      </c>
      <c r="E2422" s="41" t="s">
        <v>299</v>
      </c>
      <c r="F2422" s="41" t="s">
        <v>299</v>
      </c>
      <c r="G2422" s="21" t="str">
        <f>VLOOKUP(D2422,[6]成飞半成品!$A:$B,2,0)</f>
        <v>8635右隔框</v>
      </c>
      <c r="H2422" s="10" t="s">
        <v>300</v>
      </c>
      <c r="I2422" s="10">
        <v>32</v>
      </c>
      <c r="K2422" s="10">
        <v>1</v>
      </c>
      <c r="L2422" s="10">
        <v>1</v>
      </c>
      <c r="M2422" s="14">
        <v>5</v>
      </c>
      <c r="N2422" s="14">
        <v>5</v>
      </c>
      <c r="O2422" s="55" t="s">
        <v>164</v>
      </c>
      <c r="P2422" s="10">
        <v>150</v>
      </c>
      <c r="S2422" s="10">
        <v>120</v>
      </c>
      <c r="T2422" s="10">
        <v>1</v>
      </c>
      <c r="V2422" s="10">
        <v>180</v>
      </c>
      <c r="W2422" s="14">
        <v>1</v>
      </c>
      <c r="Y2422" s="83">
        <v>7.5</v>
      </c>
      <c r="Z2422" s="56" t="s">
        <v>54</v>
      </c>
    </row>
    <row r="2423" spans="1:28" ht="23.1" customHeight="1" x14ac:dyDescent="0.25">
      <c r="A2423" s="53" t="s">
        <v>1621</v>
      </c>
      <c r="B2423" s="10" t="s">
        <v>113</v>
      </c>
      <c r="C2423" s="10">
        <v>91</v>
      </c>
      <c r="D2423" s="10" t="s">
        <v>254</v>
      </c>
      <c r="E2423" s="41" t="s">
        <v>1016</v>
      </c>
      <c r="F2423" s="41" t="s">
        <v>1016</v>
      </c>
      <c r="G2423" s="21" t="str">
        <f>VLOOKUP(D2423,[6]成飞半成品!$A:$B,2,0)</f>
        <v>9350-11140右侧上梁</v>
      </c>
      <c r="H2423" s="10" t="s">
        <v>375</v>
      </c>
      <c r="I2423" s="10">
        <v>40</v>
      </c>
      <c r="J2423" s="10" t="s">
        <v>2509</v>
      </c>
      <c r="K2423" s="10">
        <v>0.4</v>
      </c>
      <c r="L2423" s="10">
        <v>0.4</v>
      </c>
      <c r="M2423" s="14">
        <v>37</v>
      </c>
      <c r="N2423" s="14">
        <v>5</v>
      </c>
      <c r="O2423" s="55" t="s">
        <v>256</v>
      </c>
      <c r="Q2423" s="10">
        <v>3000</v>
      </c>
      <c r="R2423" s="10">
        <v>90</v>
      </c>
      <c r="T2423" s="10">
        <v>1</v>
      </c>
      <c r="U2423" s="10">
        <v>120</v>
      </c>
      <c r="W2423" s="14"/>
      <c r="Y2423" s="79">
        <v>21.5</v>
      </c>
      <c r="Z2423" s="56" t="s">
        <v>54</v>
      </c>
    </row>
    <row r="2424" spans="1:28" ht="23.1" customHeight="1" x14ac:dyDescent="0.25">
      <c r="A2424" s="53" t="s">
        <v>1621</v>
      </c>
      <c r="B2424" s="10" t="s">
        <v>113</v>
      </c>
      <c r="C2424" s="10">
        <v>119</v>
      </c>
      <c r="D2424" s="10" t="s">
        <v>352</v>
      </c>
      <c r="E2424" s="41" t="s">
        <v>353</v>
      </c>
      <c r="F2424" s="41" t="e">
        <v>#N/A</v>
      </c>
      <c r="G2424" s="21" t="e">
        <f>VLOOKUP(D2424,[6]成飞半成品!$A:$B,2,0)</f>
        <v>#N/A</v>
      </c>
      <c r="H2424" s="10" t="s">
        <v>300</v>
      </c>
      <c r="I2424" s="10">
        <v>35</v>
      </c>
      <c r="J2424" s="10" t="s">
        <v>2396</v>
      </c>
      <c r="K2424" s="10">
        <v>0.7</v>
      </c>
      <c r="L2424" s="10">
        <v>0.7</v>
      </c>
      <c r="M2424" s="14">
        <v>5</v>
      </c>
      <c r="N2424" s="14">
        <v>37</v>
      </c>
      <c r="O2424" s="55" t="s">
        <v>355</v>
      </c>
      <c r="Q2424" s="10">
        <v>1440</v>
      </c>
      <c r="R2424" s="10">
        <v>90</v>
      </c>
      <c r="T2424" s="10">
        <v>1</v>
      </c>
      <c r="U2424" s="10">
        <v>180</v>
      </c>
      <c r="W2424" s="14"/>
      <c r="Y2424" s="79">
        <v>18.3</v>
      </c>
      <c r="Z2424" s="56" t="s">
        <v>54</v>
      </c>
    </row>
    <row r="2425" spans="1:28" ht="23.1" customHeight="1" x14ac:dyDescent="0.25">
      <c r="A2425" s="53" t="s">
        <v>1621</v>
      </c>
      <c r="B2425" s="10" t="s">
        <v>113</v>
      </c>
      <c r="C2425" s="10">
        <v>121</v>
      </c>
      <c r="D2425" s="10" t="s">
        <v>288</v>
      </c>
      <c r="E2425" s="41" t="s">
        <v>1532</v>
      </c>
      <c r="F2425" s="41" t="s">
        <v>1532</v>
      </c>
      <c r="G2425" s="21" t="str">
        <f>VLOOKUP(D2425,[6]成飞半成品!$A:$B,2,0)</f>
        <v>9350-11140左侧上梁</v>
      </c>
      <c r="H2425" s="10" t="s">
        <v>250</v>
      </c>
      <c r="I2425" s="10">
        <v>50</v>
      </c>
      <c r="J2425" s="10" t="s">
        <v>2021</v>
      </c>
      <c r="K2425" s="10">
        <v>0.3</v>
      </c>
      <c r="L2425" s="10">
        <v>0.4</v>
      </c>
      <c r="M2425" s="14">
        <v>28</v>
      </c>
      <c r="N2425" s="14"/>
      <c r="O2425" s="55" t="s">
        <v>357</v>
      </c>
      <c r="Q2425" s="10">
        <v>3000</v>
      </c>
      <c r="R2425" s="10">
        <v>90</v>
      </c>
      <c r="U2425" s="10">
        <v>150</v>
      </c>
      <c r="W2425" s="14"/>
      <c r="Y2425" s="79">
        <v>20</v>
      </c>
      <c r="Z2425" s="56" t="s">
        <v>54</v>
      </c>
    </row>
    <row r="2426" spans="1:28" ht="23.1" customHeight="1" x14ac:dyDescent="0.25">
      <c r="A2426" s="53" t="s">
        <v>1621</v>
      </c>
      <c r="B2426" s="10" t="s">
        <v>113</v>
      </c>
      <c r="C2426" s="10">
        <v>23</v>
      </c>
      <c r="D2426" s="10" t="s">
        <v>498</v>
      </c>
      <c r="E2426" s="41" t="s">
        <v>499</v>
      </c>
      <c r="F2426" s="41" t="s">
        <v>499</v>
      </c>
      <c r="G2426" s="21" t="str">
        <f>VLOOKUP(D2426,[6]成飞半成品!$A:$B,2,0)</f>
        <v>10540中框</v>
      </c>
      <c r="H2426" s="10" t="s">
        <v>118</v>
      </c>
      <c r="I2426" s="10">
        <v>30</v>
      </c>
      <c r="J2426" s="10" t="s">
        <v>2510</v>
      </c>
      <c r="K2426" s="10">
        <v>0.1</v>
      </c>
      <c r="L2426" s="10">
        <v>0.1</v>
      </c>
      <c r="M2426" s="14">
        <v>37</v>
      </c>
      <c r="N2426" s="14"/>
      <c r="O2426" s="55" t="s">
        <v>222</v>
      </c>
      <c r="Q2426" s="10">
        <v>1020</v>
      </c>
      <c r="R2426" s="10">
        <v>90</v>
      </c>
      <c r="U2426" s="10">
        <v>120</v>
      </c>
      <c r="W2426" s="14"/>
      <c r="Y2426" s="79">
        <v>1.7</v>
      </c>
      <c r="Z2426" s="56" t="s">
        <v>33</v>
      </c>
    </row>
    <row r="2427" spans="1:28" ht="23.1" customHeight="1" x14ac:dyDescent="0.25">
      <c r="A2427" s="53" t="s">
        <v>1621</v>
      </c>
      <c r="B2427" s="10" t="s">
        <v>113</v>
      </c>
      <c r="C2427" s="10">
        <v>23</v>
      </c>
      <c r="D2427" s="10" t="s">
        <v>498</v>
      </c>
      <c r="E2427" s="41" t="s">
        <v>499</v>
      </c>
      <c r="F2427" s="41" t="s">
        <v>499</v>
      </c>
      <c r="G2427" s="21" t="str">
        <f>VLOOKUP(D2427,[6]成飞半成品!$A:$B,2,0)</f>
        <v>10540中框</v>
      </c>
      <c r="H2427" s="10" t="s">
        <v>118</v>
      </c>
      <c r="I2427" s="10">
        <v>45</v>
      </c>
      <c r="J2427" s="10" t="s">
        <v>2324</v>
      </c>
      <c r="K2427" s="10">
        <v>2</v>
      </c>
      <c r="L2427" s="10">
        <v>2</v>
      </c>
      <c r="M2427" s="14">
        <v>5</v>
      </c>
      <c r="N2427" s="14">
        <v>28</v>
      </c>
      <c r="O2427" s="55" t="s">
        <v>1137</v>
      </c>
      <c r="Q2427" s="10">
        <v>60</v>
      </c>
      <c r="R2427" s="10">
        <v>90</v>
      </c>
      <c r="T2427" s="10">
        <v>2</v>
      </c>
      <c r="U2427" s="10">
        <v>120</v>
      </c>
      <c r="W2427" s="14">
        <v>1</v>
      </c>
      <c r="Y2427" s="79">
        <v>7</v>
      </c>
      <c r="Z2427" s="56" t="s">
        <v>33</v>
      </c>
    </row>
    <row r="2428" spans="1:28" ht="23.1" customHeight="1" x14ac:dyDescent="0.25">
      <c r="A2428" s="53" t="s">
        <v>1621</v>
      </c>
      <c r="B2428" s="10" t="s">
        <v>113</v>
      </c>
      <c r="C2428" s="10">
        <v>23</v>
      </c>
      <c r="D2428" s="10" t="s">
        <v>498</v>
      </c>
      <c r="E2428" s="41" t="s">
        <v>499</v>
      </c>
      <c r="F2428" s="41" t="s">
        <v>499</v>
      </c>
      <c r="G2428" s="21" t="str">
        <f>VLOOKUP(D2428,[6]成飞半成品!$A:$B,2,0)</f>
        <v>10540中框</v>
      </c>
      <c r="H2428" s="10" t="s">
        <v>118</v>
      </c>
      <c r="I2428" s="10">
        <v>50</v>
      </c>
      <c r="J2428" s="10" t="s">
        <v>2511</v>
      </c>
      <c r="K2428" s="10">
        <v>1</v>
      </c>
      <c r="L2428" s="10">
        <v>1.35</v>
      </c>
      <c r="M2428" s="14">
        <v>5</v>
      </c>
      <c r="N2428" s="14">
        <v>28</v>
      </c>
      <c r="O2428" s="55" t="s">
        <v>1137</v>
      </c>
      <c r="Q2428" s="10">
        <v>600</v>
      </c>
      <c r="R2428" s="10">
        <v>90</v>
      </c>
      <c r="T2428" s="10">
        <v>2</v>
      </c>
      <c r="U2428" s="10">
        <v>180</v>
      </c>
      <c r="W2428" s="14">
        <v>1</v>
      </c>
      <c r="Y2428" s="79">
        <v>19.5</v>
      </c>
      <c r="Z2428" s="56" t="s">
        <v>33</v>
      </c>
    </row>
    <row r="2429" spans="1:28" ht="23.1" customHeight="1" x14ac:dyDescent="0.25">
      <c r="A2429" s="53" t="s">
        <v>1621</v>
      </c>
      <c r="B2429" s="10" t="s">
        <v>113</v>
      </c>
      <c r="C2429" s="10">
        <v>47</v>
      </c>
      <c r="D2429" s="10" t="s">
        <v>2560</v>
      </c>
      <c r="E2429" s="41" t="s">
        <v>979</v>
      </c>
      <c r="F2429" s="41" t="s">
        <v>979</v>
      </c>
      <c r="G2429" s="21" t="str">
        <f>VLOOKUP(D2429,[6]成飞半成品!$A:$B,2,0)</f>
        <v>翼尖接头</v>
      </c>
      <c r="H2429" s="10" t="s">
        <v>123</v>
      </c>
      <c r="I2429" s="10">
        <v>35</v>
      </c>
      <c r="J2429" s="10" t="s">
        <v>2174</v>
      </c>
      <c r="K2429" s="10">
        <v>1</v>
      </c>
      <c r="L2429" s="10">
        <v>1.2</v>
      </c>
      <c r="M2429" s="14">
        <v>37</v>
      </c>
      <c r="N2429" s="14">
        <v>5</v>
      </c>
      <c r="O2429" s="55" t="s">
        <v>1484</v>
      </c>
      <c r="Q2429" s="10">
        <v>660</v>
      </c>
      <c r="R2429" s="10">
        <v>120</v>
      </c>
      <c r="T2429" s="10">
        <v>1</v>
      </c>
      <c r="U2429" s="10">
        <v>60</v>
      </c>
      <c r="W2429" s="14"/>
      <c r="Y2429" s="79">
        <v>15.2</v>
      </c>
      <c r="Z2429" s="56" t="s">
        <v>33</v>
      </c>
    </row>
    <row r="2430" spans="1:28" ht="23.1" customHeight="1" x14ac:dyDescent="0.25">
      <c r="A2430" s="53" t="s">
        <v>1621</v>
      </c>
      <c r="B2430" s="10" t="s">
        <v>113</v>
      </c>
      <c r="C2430" s="10">
        <v>47</v>
      </c>
      <c r="D2430" s="10" t="s">
        <v>2560</v>
      </c>
      <c r="E2430" s="41" t="s">
        <v>979</v>
      </c>
      <c r="F2430" s="41" t="s">
        <v>979</v>
      </c>
      <c r="G2430" s="21" t="str">
        <f>VLOOKUP(D2430,[6]成飞半成品!$A:$B,2,0)</f>
        <v>翼尖接头</v>
      </c>
      <c r="H2430" s="10" t="s">
        <v>123</v>
      </c>
      <c r="I2430" s="10">
        <v>35</v>
      </c>
      <c r="J2430" s="10" t="s">
        <v>2174</v>
      </c>
      <c r="K2430" s="10">
        <v>0.5</v>
      </c>
      <c r="L2430" s="10">
        <v>0.5</v>
      </c>
      <c r="M2430" s="14">
        <v>28</v>
      </c>
      <c r="N2430" s="14">
        <v>28</v>
      </c>
      <c r="O2430" s="55" t="s">
        <v>1402</v>
      </c>
      <c r="Q2430" s="10">
        <v>660</v>
      </c>
      <c r="R2430" s="10">
        <v>120</v>
      </c>
      <c r="T2430" s="10">
        <v>1</v>
      </c>
      <c r="U2430" s="10">
        <v>60</v>
      </c>
      <c r="W2430" s="14"/>
      <c r="Y2430" s="79">
        <v>7.5</v>
      </c>
      <c r="Z2430" s="56" t="s">
        <v>33</v>
      </c>
    </row>
    <row r="2431" spans="1:28" ht="23.1" customHeight="1" x14ac:dyDescent="0.25">
      <c r="A2431" s="53" t="s">
        <v>1621</v>
      </c>
      <c r="B2431" s="10" t="s">
        <v>113</v>
      </c>
      <c r="C2431" s="10">
        <v>13</v>
      </c>
      <c r="D2431" s="10" t="s">
        <v>1519</v>
      </c>
      <c r="E2431" s="41" t="s">
        <v>133</v>
      </c>
      <c r="F2431" s="41" t="s">
        <v>133</v>
      </c>
      <c r="G2431" s="21" t="str">
        <f>VLOOKUP(D2431,[6]成飞半成品!$A:$B,2,0)</f>
        <v>摇臂</v>
      </c>
      <c r="H2431" s="10" t="s">
        <v>300</v>
      </c>
      <c r="I2431" s="10">
        <v>15</v>
      </c>
      <c r="J2431" s="10" t="s">
        <v>1931</v>
      </c>
      <c r="K2431" s="10">
        <v>12</v>
      </c>
      <c r="L2431" s="10">
        <v>12</v>
      </c>
      <c r="M2431" s="14">
        <v>26</v>
      </c>
      <c r="N2431" s="14">
        <v>26</v>
      </c>
      <c r="O2431" s="55" t="s">
        <v>287</v>
      </c>
      <c r="Q2431" s="10">
        <v>90</v>
      </c>
      <c r="U2431" s="10">
        <v>120</v>
      </c>
      <c r="W2431" s="14">
        <v>1</v>
      </c>
      <c r="Y2431" s="79">
        <v>20</v>
      </c>
      <c r="Z2431" s="56" t="s">
        <v>72</v>
      </c>
    </row>
    <row r="2432" spans="1:28" ht="23.1" customHeight="1" x14ac:dyDescent="0.25">
      <c r="A2432" s="53" t="s">
        <v>1621</v>
      </c>
      <c r="B2432" s="10" t="s">
        <v>113</v>
      </c>
      <c r="C2432" s="10">
        <v>13</v>
      </c>
      <c r="D2432" s="10" t="s">
        <v>1668</v>
      </c>
      <c r="E2432" s="41" t="s">
        <v>1669</v>
      </c>
      <c r="F2432" s="41" t="s">
        <v>1669</v>
      </c>
      <c r="G2432" s="21" t="str">
        <f>VLOOKUP(D2432,[6]成飞半成品!$A:$B,2,0)</f>
        <v>支臂</v>
      </c>
      <c r="H2432" s="10" t="s">
        <v>154</v>
      </c>
      <c r="I2432" s="10">
        <v>10</v>
      </c>
      <c r="J2432" s="10" t="s">
        <v>2325</v>
      </c>
      <c r="K2432" s="10">
        <v>3</v>
      </c>
      <c r="L2432" s="10">
        <v>3</v>
      </c>
      <c r="M2432" s="14">
        <v>37</v>
      </c>
      <c r="N2432" s="14">
        <v>37</v>
      </c>
      <c r="O2432" s="55" t="s">
        <v>1670</v>
      </c>
      <c r="Q2432" s="10">
        <v>30</v>
      </c>
      <c r="U2432" s="10">
        <v>60</v>
      </c>
      <c r="W2432" s="14">
        <v>1</v>
      </c>
      <c r="X2432" s="14">
        <v>2</v>
      </c>
      <c r="Y2432" s="79">
        <v>4.5</v>
      </c>
      <c r="Z2432" s="56" t="s">
        <v>72</v>
      </c>
      <c r="AA2432" s="14" t="s">
        <v>1671</v>
      </c>
      <c r="AB2432" s="25" t="s">
        <v>238</v>
      </c>
    </row>
    <row r="2433" spans="1:28" ht="23.1" customHeight="1" x14ac:dyDescent="0.25">
      <c r="A2433" s="53" t="s">
        <v>1621</v>
      </c>
      <c r="B2433" s="10" t="s">
        <v>113</v>
      </c>
      <c r="C2433" s="10">
        <v>11</v>
      </c>
      <c r="D2433" s="25" t="s">
        <v>2551</v>
      </c>
      <c r="E2433" s="41" t="s">
        <v>1652</v>
      </c>
      <c r="F2433" s="41" t="e">
        <v>#N/A</v>
      </c>
      <c r="G2433" s="21" t="str">
        <f>VLOOKUP(D2433,[6]成飞半成品!$A:$B,2,0)</f>
        <v>工装</v>
      </c>
      <c r="H2433" s="10" t="s">
        <v>102</v>
      </c>
      <c r="I2433" s="10">
        <v>10</v>
      </c>
      <c r="K2433" s="10">
        <v>8</v>
      </c>
      <c r="L2433" s="10">
        <v>4</v>
      </c>
      <c r="M2433" s="14">
        <v>37</v>
      </c>
      <c r="N2433" s="14">
        <v>37</v>
      </c>
      <c r="O2433" s="55" t="s">
        <v>108</v>
      </c>
      <c r="W2433" s="14"/>
      <c r="X2433" s="14">
        <v>5</v>
      </c>
      <c r="Y2433" s="79">
        <v>5</v>
      </c>
      <c r="Z2433" s="56" t="s">
        <v>71</v>
      </c>
    </row>
    <row r="2434" spans="1:28" ht="23.1" customHeight="1" x14ac:dyDescent="0.25">
      <c r="A2434" s="53" t="s">
        <v>1621</v>
      </c>
      <c r="B2434" s="10" t="s">
        <v>113</v>
      </c>
      <c r="C2434" s="10">
        <v>11</v>
      </c>
      <c r="D2434" s="25" t="s">
        <v>2551</v>
      </c>
      <c r="E2434" s="41" t="s">
        <v>1652</v>
      </c>
      <c r="F2434" s="41" t="e">
        <v>#N/A</v>
      </c>
      <c r="G2434" s="21" t="str">
        <f>VLOOKUP(D2434,[6]成飞半成品!$A:$B,2,0)</f>
        <v>工装</v>
      </c>
      <c r="H2434" s="10" t="s">
        <v>102</v>
      </c>
      <c r="I2434" s="10">
        <v>10</v>
      </c>
      <c r="K2434" s="10">
        <v>7</v>
      </c>
      <c r="L2434" s="10">
        <v>7</v>
      </c>
      <c r="M2434" s="14">
        <v>26</v>
      </c>
      <c r="N2434" s="14">
        <v>26</v>
      </c>
      <c r="O2434" s="55" t="s">
        <v>108</v>
      </c>
      <c r="W2434" s="14"/>
      <c r="X2434" s="14">
        <v>10</v>
      </c>
      <c r="Y2434" s="79">
        <v>10</v>
      </c>
      <c r="Z2434" s="56" t="s">
        <v>71</v>
      </c>
      <c r="AB2434" s="14" t="s">
        <v>238</v>
      </c>
    </row>
    <row r="2435" spans="1:28" ht="23.1" customHeight="1" x14ac:dyDescent="0.25">
      <c r="A2435" s="53" t="s">
        <v>1621</v>
      </c>
      <c r="B2435" s="10" t="s">
        <v>113</v>
      </c>
      <c r="C2435" s="10">
        <v>79</v>
      </c>
      <c r="D2435" s="10" t="s">
        <v>420</v>
      </c>
      <c r="E2435" s="41" t="s">
        <v>1247</v>
      </c>
      <c r="F2435" s="41" t="s">
        <v>1247</v>
      </c>
      <c r="G2435" s="21" t="str">
        <f>VLOOKUP(D2435,[6]成飞半成品!$A:$B,2,0)</f>
        <v>根肋前段</v>
      </c>
      <c r="H2435" s="10" t="s">
        <v>154</v>
      </c>
      <c r="I2435" s="10">
        <v>30</v>
      </c>
      <c r="J2435" s="10" t="s">
        <v>2053</v>
      </c>
      <c r="K2435" s="10">
        <v>3</v>
      </c>
      <c r="L2435" s="10">
        <v>0.6</v>
      </c>
      <c r="M2435" s="14">
        <v>23</v>
      </c>
      <c r="N2435" s="14">
        <v>37</v>
      </c>
      <c r="O2435" s="55" t="s">
        <v>421</v>
      </c>
      <c r="Q2435" s="10">
        <v>1830</v>
      </c>
      <c r="R2435" s="10">
        <v>90</v>
      </c>
      <c r="T2435" s="10">
        <v>1</v>
      </c>
      <c r="U2435" s="10">
        <v>120</v>
      </c>
      <c r="W2435" s="14"/>
      <c r="Y2435" s="79">
        <v>19.8</v>
      </c>
      <c r="Z2435" s="56" t="s">
        <v>19</v>
      </c>
    </row>
    <row r="2436" spans="1:28" ht="23.1" customHeight="1" x14ac:dyDescent="0.25">
      <c r="A2436" s="53" t="s">
        <v>1621</v>
      </c>
      <c r="B2436" s="10" t="s">
        <v>113</v>
      </c>
      <c r="C2436" s="10">
        <v>13</v>
      </c>
      <c r="D2436" s="25" t="s">
        <v>2551</v>
      </c>
      <c r="E2436" s="41" t="s">
        <v>1684</v>
      </c>
      <c r="F2436" s="41">
        <v>0</v>
      </c>
      <c r="G2436" s="21" t="str">
        <f>VLOOKUP(D2436,[6]成飞半成品!$A:$B,2,0)</f>
        <v>工装</v>
      </c>
      <c r="M2436" s="14"/>
      <c r="N2436" s="14"/>
      <c r="W2436" s="14"/>
      <c r="X2436" s="14">
        <v>10</v>
      </c>
      <c r="Y2436" s="79">
        <v>10</v>
      </c>
      <c r="Z2436" s="56" t="s">
        <v>10</v>
      </c>
      <c r="AB2436" s="14" t="s">
        <v>238</v>
      </c>
    </row>
    <row r="2437" spans="1:28" ht="23.1" customHeight="1" x14ac:dyDescent="0.25">
      <c r="A2437" s="53" t="s">
        <v>1236</v>
      </c>
      <c r="B2437" s="10" t="s">
        <v>113</v>
      </c>
      <c r="C2437" s="10">
        <v>76</v>
      </c>
      <c r="D2437" s="10" t="s">
        <v>1553</v>
      </c>
      <c r="E2437" s="41" t="s">
        <v>409</v>
      </c>
      <c r="F2437" s="41" t="e">
        <v>#N/A</v>
      </c>
      <c r="G2437" s="21" t="e">
        <f>VLOOKUP(D2437,[6]成飞半成品!$A:$B,2,0)</f>
        <v>#N/A</v>
      </c>
      <c r="H2437" s="10" t="s">
        <v>102</v>
      </c>
      <c r="I2437" s="10">
        <v>25</v>
      </c>
      <c r="K2437" s="10">
        <v>5</v>
      </c>
      <c r="L2437" s="10">
        <v>4</v>
      </c>
      <c r="M2437" s="14">
        <v>9</v>
      </c>
      <c r="N2437" s="14">
        <v>9</v>
      </c>
      <c r="O2437" s="55" t="s">
        <v>596</v>
      </c>
      <c r="P2437" s="10">
        <v>55</v>
      </c>
      <c r="V2437" s="14">
        <v>60</v>
      </c>
      <c r="W2437" s="14">
        <v>1</v>
      </c>
      <c r="Y2437" s="83">
        <v>4.7</v>
      </c>
      <c r="Z2437" s="56" t="s">
        <v>46</v>
      </c>
      <c r="AB2437" s="14" t="s">
        <v>238</v>
      </c>
    </row>
    <row r="2438" spans="1:28" ht="23.1" customHeight="1" x14ac:dyDescent="0.25">
      <c r="A2438" s="53" t="s">
        <v>653</v>
      </c>
      <c r="B2438" s="10" t="s">
        <v>113</v>
      </c>
      <c r="C2438" s="10">
        <v>76</v>
      </c>
      <c r="D2438" s="10" t="s">
        <v>541</v>
      </c>
      <c r="E2438" s="41" t="s">
        <v>542</v>
      </c>
      <c r="F2438" s="41" t="s">
        <v>542</v>
      </c>
      <c r="G2438" s="21" t="str">
        <f>VLOOKUP(D2438,[6]成飞半成品!$A:$B,2,0)</f>
        <v>3#下垫片</v>
      </c>
      <c r="H2438" s="10" t="s">
        <v>154</v>
      </c>
      <c r="I2438" s="10">
        <v>15</v>
      </c>
      <c r="J2438" s="10" t="s">
        <v>1926</v>
      </c>
      <c r="K2438" s="10">
        <v>2</v>
      </c>
      <c r="L2438" s="10">
        <v>2</v>
      </c>
      <c r="M2438" s="14">
        <v>5</v>
      </c>
      <c r="N2438" s="14">
        <v>5</v>
      </c>
      <c r="O2438" s="55" t="s">
        <v>351</v>
      </c>
      <c r="Q2438" s="10">
        <v>90</v>
      </c>
      <c r="U2438" s="10">
        <v>90</v>
      </c>
      <c r="W2438" s="14"/>
      <c r="X2438" s="10">
        <v>4</v>
      </c>
      <c r="Y2438" s="79">
        <v>7</v>
      </c>
      <c r="Z2438" s="56" t="s">
        <v>12</v>
      </c>
    </row>
    <row r="2439" spans="1:28" ht="23.1" customHeight="1" x14ac:dyDescent="0.25">
      <c r="A2439" s="14" t="s">
        <v>1221</v>
      </c>
      <c r="B2439" s="10" t="s">
        <v>110</v>
      </c>
      <c r="C2439" s="10">
        <v>21</v>
      </c>
      <c r="D2439" s="10" t="s">
        <v>321</v>
      </c>
      <c r="E2439" s="78" t="s">
        <v>322</v>
      </c>
      <c r="F2439" s="90" t="s">
        <v>322</v>
      </c>
      <c r="G2439" s="21" t="str">
        <f>VLOOKUP(D2439,[6]成飞半成品!$A:$B,2,0)</f>
        <v>10860框</v>
      </c>
      <c r="H2439" s="10" t="s">
        <v>323</v>
      </c>
      <c r="I2439" s="10">
        <v>50</v>
      </c>
      <c r="J2439" s="10" t="s">
        <v>1986</v>
      </c>
      <c r="K2439" s="10">
        <v>1</v>
      </c>
      <c r="L2439" s="10">
        <v>1</v>
      </c>
      <c r="M2439" s="10">
        <v>23</v>
      </c>
      <c r="O2439" s="55" t="s">
        <v>1685</v>
      </c>
      <c r="Q2439" s="10">
        <v>630</v>
      </c>
      <c r="R2439" s="10">
        <v>120</v>
      </c>
      <c r="T2439" s="10">
        <v>1</v>
      </c>
      <c r="U2439" s="10">
        <v>180</v>
      </c>
      <c r="W2439" s="10">
        <v>1</v>
      </c>
      <c r="Y2439" s="79">
        <v>15.5</v>
      </c>
      <c r="Z2439" s="10" t="s">
        <v>49</v>
      </c>
    </row>
    <row r="2440" spans="1:28" ht="23.1" customHeight="1" x14ac:dyDescent="0.25">
      <c r="A2440" s="14" t="s">
        <v>1221</v>
      </c>
      <c r="B2440" s="10" t="s">
        <v>110</v>
      </c>
      <c r="C2440" s="10">
        <v>21</v>
      </c>
      <c r="D2440" s="10" t="s">
        <v>321</v>
      </c>
      <c r="E2440" s="78" t="s">
        <v>322</v>
      </c>
      <c r="F2440" s="90" t="s">
        <v>322</v>
      </c>
      <c r="G2440" s="21" t="str">
        <f>VLOOKUP(D2440,[6]成飞半成品!$A:$B,2,0)</f>
        <v>10860框</v>
      </c>
      <c r="H2440" s="10" t="s">
        <v>323</v>
      </c>
      <c r="I2440" s="10">
        <v>55</v>
      </c>
      <c r="J2440" s="10" t="s">
        <v>2004</v>
      </c>
      <c r="L2440" s="10">
        <v>0.1</v>
      </c>
      <c r="M2440" s="10">
        <v>19</v>
      </c>
      <c r="O2440" s="55" t="s">
        <v>860</v>
      </c>
      <c r="Q2440" s="10">
        <v>660</v>
      </c>
      <c r="R2440" s="10">
        <v>120</v>
      </c>
      <c r="U2440" s="10">
        <v>180</v>
      </c>
      <c r="Y2440" s="79">
        <v>1.1000000000000001</v>
      </c>
      <c r="Z2440" s="10" t="s">
        <v>49</v>
      </c>
    </row>
    <row r="2441" spans="1:28" ht="23.1" customHeight="1" x14ac:dyDescent="0.25">
      <c r="A2441" s="14" t="s">
        <v>1221</v>
      </c>
      <c r="B2441" s="10" t="s">
        <v>110</v>
      </c>
      <c r="C2441" s="10">
        <v>59</v>
      </c>
      <c r="D2441" s="10" t="s">
        <v>1686</v>
      </c>
      <c r="E2441" s="78" t="s">
        <v>1687</v>
      </c>
      <c r="F2441" s="90" t="s">
        <v>1687</v>
      </c>
      <c r="G2441" s="21" t="str">
        <f>VLOOKUP(D2441,[6]成飞半成品!$A:$B,2,0)</f>
        <v>底板连接接头</v>
      </c>
      <c r="H2441" s="10" t="s">
        <v>102</v>
      </c>
      <c r="I2441" s="10">
        <v>20</v>
      </c>
      <c r="J2441" s="10" t="s">
        <v>2317</v>
      </c>
      <c r="L2441" s="10">
        <v>1</v>
      </c>
      <c r="M2441" s="10">
        <v>23</v>
      </c>
      <c r="O2441" s="55" t="s">
        <v>596</v>
      </c>
      <c r="Q2441" s="10">
        <v>140</v>
      </c>
      <c r="U2441" s="10">
        <v>90</v>
      </c>
      <c r="W2441" s="10">
        <v>1</v>
      </c>
      <c r="Y2441" s="79">
        <v>3.8</v>
      </c>
      <c r="Z2441" s="10" t="s">
        <v>6</v>
      </c>
    </row>
    <row r="2442" spans="1:28" ht="23.1" customHeight="1" x14ac:dyDescent="0.25">
      <c r="A2442" s="14" t="s">
        <v>1221</v>
      </c>
      <c r="B2442" s="10" t="s">
        <v>110</v>
      </c>
      <c r="C2442" s="10">
        <v>15</v>
      </c>
      <c r="D2442" s="10" t="s">
        <v>1255</v>
      </c>
      <c r="E2442" s="78" t="s">
        <v>117</v>
      </c>
      <c r="F2442" s="90" t="s">
        <v>117</v>
      </c>
      <c r="G2442" s="21" t="str">
        <f>VLOOKUP(D2442,[6]成飞半成品!$A:$B,2,0)</f>
        <v>7820~8270侧上梁</v>
      </c>
      <c r="H2442" s="10" t="s">
        <v>118</v>
      </c>
      <c r="I2442" s="10">
        <v>15</v>
      </c>
      <c r="J2442" s="10" t="s">
        <v>1946</v>
      </c>
      <c r="K2442" s="10">
        <v>6</v>
      </c>
      <c r="L2442" s="10">
        <v>12</v>
      </c>
      <c r="M2442" s="10">
        <v>9</v>
      </c>
      <c r="N2442" s="10">
        <v>9</v>
      </c>
      <c r="O2442" s="55" t="s">
        <v>256</v>
      </c>
      <c r="Q2442" s="10">
        <v>60</v>
      </c>
      <c r="U2442" s="10">
        <v>90</v>
      </c>
      <c r="W2442" s="10">
        <v>1</v>
      </c>
      <c r="Y2442" s="79">
        <v>13.5</v>
      </c>
      <c r="Z2442" s="10" t="s">
        <v>60</v>
      </c>
    </row>
    <row r="2443" spans="1:28" ht="23.1" customHeight="1" x14ac:dyDescent="0.25">
      <c r="A2443" s="14" t="s">
        <v>1221</v>
      </c>
      <c r="B2443" s="10" t="s">
        <v>110</v>
      </c>
      <c r="C2443" s="10">
        <v>15</v>
      </c>
      <c r="D2443" s="10" t="s">
        <v>1255</v>
      </c>
      <c r="E2443" s="78" t="s">
        <v>117</v>
      </c>
      <c r="F2443" s="90" t="s">
        <v>117</v>
      </c>
      <c r="G2443" s="21" t="str">
        <f>VLOOKUP(D2443,[6]成飞半成品!$A:$B,2,0)</f>
        <v>7820~8270侧上梁</v>
      </c>
      <c r="H2443" s="10" t="s">
        <v>118</v>
      </c>
      <c r="I2443" s="10">
        <v>20</v>
      </c>
      <c r="J2443" s="10" t="s">
        <v>2232</v>
      </c>
      <c r="L2443" s="10">
        <v>1</v>
      </c>
      <c r="M2443" s="10">
        <v>23</v>
      </c>
      <c r="O2443" s="55" t="s">
        <v>256</v>
      </c>
      <c r="Q2443" s="10">
        <v>270</v>
      </c>
      <c r="U2443" s="10">
        <v>90</v>
      </c>
      <c r="W2443" s="10">
        <v>1</v>
      </c>
      <c r="Y2443" s="79">
        <v>6</v>
      </c>
      <c r="Z2443" s="10" t="s">
        <v>60</v>
      </c>
    </row>
    <row r="2444" spans="1:28" ht="23.1" customHeight="1" x14ac:dyDescent="0.25">
      <c r="A2444" s="14" t="s">
        <v>1221</v>
      </c>
      <c r="B2444" s="10" t="s">
        <v>110</v>
      </c>
      <c r="C2444" s="10">
        <v>76</v>
      </c>
      <c r="D2444" s="10" t="s">
        <v>1688</v>
      </c>
      <c r="E2444" s="78" t="s">
        <v>409</v>
      </c>
      <c r="F2444" s="90" t="s">
        <v>409</v>
      </c>
      <c r="G2444" s="21" t="str">
        <f>VLOOKUP(D2444,[6]成飞半成品!$A:$B,2,0)</f>
        <v>接头</v>
      </c>
      <c r="H2444" s="10" t="s">
        <v>300</v>
      </c>
      <c r="I2444" s="10">
        <v>30</v>
      </c>
      <c r="J2444" s="10" t="s">
        <v>1901</v>
      </c>
      <c r="K2444" s="10">
        <v>15</v>
      </c>
      <c r="L2444" s="10">
        <v>9</v>
      </c>
      <c r="M2444" s="10">
        <v>9</v>
      </c>
      <c r="N2444" s="10">
        <v>19</v>
      </c>
      <c r="O2444" s="55" t="s">
        <v>393</v>
      </c>
      <c r="Q2444" s="10">
        <v>30</v>
      </c>
      <c r="U2444" s="10">
        <v>60</v>
      </c>
      <c r="Y2444" s="79">
        <v>4.5</v>
      </c>
      <c r="Z2444" s="10" t="s">
        <v>12</v>
      </c>
    </row>
    <row r="2445" spans="1:28" ht="23.1" customHeight="1" x14ac:dyDescent="0.25">
      <c r="A2445" s="14" t="s">
        <v>1221</v>
      </c>
      <c r="B2445" s="10" t="s">
        <v>110</v>
      </c>
      <c r="C2445" s="10">
        <v>76</v>
      </c>
      <c r="D2445" s="10" t="s">
        <v>1553</v>
      </c>
      <c r="E2445" s="78" t="s">
        <v>409</v>
      </c>
      <c r="F2445" s="90" t="e">
        <v>#N/A</v>
      </c>
      <c r="G2445" s="21" t="e">
        <f>VLOOKUP(D2445,[6]成飞半成品!$A:$B,2,0)</f>
        <v>#N/A</v>
      </c>
      <c r="H2445" s="10" t="s">
        <v>102</v>
      </c>
      <c r="I2445" s="10">
        <v>10</v>
      </c>
      <c r="L2445" s="10">
        <v>8</v>
      </c>
      <c r="M2445" s="10">
        <v>19</v>
      </c>
      <c r="N2445" s="10">
        <v>5</v>
      </c>
      <c r="O2445" s="55" t="s">
        <v>596</v>
      </c>
      <c r="P2445" s="10">
        <v>60</v>
      </c>
      <c r="V2445" s="10">
        <v>60</v>
      </c>
      <c r="Y2445" s="83">
        <v>8</v>
      </c>
      <c r="Z2445" s="10" t="s">
        <v>12</v>
      </c>
      <c r="AA2445" s="14" t="s">
        <v>1689</v>
      </c>
    </row>
    <row r="2446" spans="1:28" ht="23.1" customHeight="1" x14ac:dyDescent="0.25">
      <c r="A2446" s="14" t="s">
        <v>1221</v>
      </c>
      <c r="B2446" s="10" t="s">
        <v>110</v>
      </c>
      <c r="C2446" s="10">
        <v>57</v>
      </c>
      <c r="D2446" s="10" t="s">
        <v>1042</v>
      </c>
      <c r="E2446" s="78" t="s">
        <v>1281</v>
      </c>
      <c r="F2446" s="90" t="s">
        <v>1281</v>
      </c>
      <c r="G2446" s="21" t="str">
        <f>VLOOKUP(D2446,[6]成飞半成品!$A:$B,2,0)</f>
        <v>前上大梁（右）</v>
      </c>
      <c r="H2446" s="10" t="s">
        <v>107</v>
      </c>
      <c r="I2446" s="10">
        <v>10</v>
      </c>
      <c r="J2446" s="10" t="s">
        <v>2512</v>
      </c>
      <c r="L2446" s="10">
        <v>6</v>
      </c>
      <c r="M2446" s="10">
        <v>9</v>
      </c>
      <c r="N2446" s="10">
        <v>26</v>
      </c>
      <c r="O2446" s="55" t="s">
        <v>1043</v>
      </c>
      <c r="Q2446" s="10">
        <v>90</v>
      </c>
      <c r="U2446" s="10">
        <v>90</v>
      </c>
      <c r="W2446" s="10">
        <v>1</v>
      </c>
      <c r="Y2446" s="79">
        <v>10.5</v>
      </c>
      <c r="Z2446" s="10" t="s">
        <v>0</v>
      </c>
    </row>
    <row r="2447" spans="1:28" ht="23.1" customHeight="1" x14ac:dyDescent="0.25">
      <c r="A2447" s="14" t="s">
        <v>1221</v>
      </c>
      <c r="B2447" s="10" t="s">
        <v>110</v>
      </c>
      <c r="C2447" s="10">
        <v>22</v>
      </c>
      <c r="D2447" s="10" t="s">
        <v>635</v>
      </c>
      <c r="E2447" s="78" t="s">
        <v>612</v>
      </c>
      <c r="F2447" s="90" t="s">
        <v>612</v>
      </c>
      <c r="G2447" s="21" t="str">
        <f>VLOOKUP(D2447,[6]成飞半成品!$A:$B,2,0)</f>
        <v>前梁二段</v>
      </c>
      <c r="H2447" s="10" t="s">
        <v>102</v>
      </c>
      <c r="I2447" s="10">
        <v>5</v>
      </c>
      <c r="J2447" s="10" t="s">
        <v>1957</v>
      </c>
      <c r="K2447" s="10">
        <v>0.5</v>
      </c>
      <c r="L2447" s="10">
        <v>0.4</v>
      </c>
      <c r="M2447" s="10">
        <v>9</v>
      </c>
      <c r="N2447" s="10">
        <v>9</v>
      </c>
      <c r="O2447" s="55" t="s">
        <v>159</v>
      </c>
      <c r="Q2447" s="10">
        <v>2400</v>
      </c>
      <c r="R2447" s="10">
        <v>210</v>
      </c>
      <c r="U2447" s="10">
        <v>210</v>
      </c>
      <c r="Y2447" s="79">
        <v>16</v>
      </c>
      <c r="Z2447" s="10" t="s">
        <v>49</v>
      </c>
    </row>
    <row r="2448" spans="1:28" ht="23.1" customHeight="1" x14ac:dyDescent="0.25">
      <c r="A2448" s="14" t="s">
        <v>1221</v>
      </c>
      <c r="B2448" s="10" t="s">
        <v>110</v>
      </c>
      <c r="C2448" s="10">
        <v>22</v>
      </c>
      <c r="D2448" s="10" t="s">
        <v>635</v>
      </c>
      <c r="E2448" s="78" t="s">
        <v>612</v>
      </c>
      <c r="F2448" s="90" t="s">
        <v>612</v>
      </c>
      <c r="G2448" s="21" t="str">
        <f>VLOOKUP(D2448,[6]成飞半成品!$A:$B,2,0)</f>
        <v>前梁二段</v>
      </c>
      <c r="H2448" s="10" t="s">
        <v>102</v>
      </c>
      <c r="I2448" s="10">
        <v>10</v>
      </c>
      <c r="J2448" s="10" t="s">
        <v>1952</v>
      </c>
      <c r="K2448" s="10">
        <v>0.3</v>
      </c>
      <c r="L2448" s="10">
        <v>0.7</v>
      </c>
      <c r="M2448" s="10">
        <v>5</v>
      </c>
      <c r="O2448" s="55" t="s">
        <v>234</v>
      </c>
      <c r="Q2448" s="10">
        <v>1500</v>
      </c>
      <c r="R2448" s="10">
        <v>180</v>
      </c>
      <c r="T2448" s="10">
        <v>1</v>
      </c>
      <c r="U2448" s="10">
        <v>180</v>
      </c>
      <c r="W2448" s="10">
        <v>1</v>
      </c>
      <c r="X2448" s="10">
        <v>2</v>
      </c>
      <c r="Y2448" s="79">
        <v>25.5</v>
      </c>
      <c r="Z2448" s="10" t="s">
        <v>49</v>
      </c>
      <c r="AA2448" s="14" t="s">
        <v>1548</v>
      </c>
    </row>
    <row r="2449" spans="1:28" ht="23.1" customHeight="1" x14ac:dyDescent="0.25">
      <c r="A2449" s="14" t="s">
        <v>1221</v>
      </c>
      <c r="B2449" s="10" t="s">
        <v>110</v>
      </c>
      <c r="C2449" s="10">
        <v>56</v>
      </c>
      <c r="D2449" s="10" t="s">
        <v>273</v>
      </c>
      <c r="E2449" s="78" t="s">
        <v>274</v>
      </c>
      <c r="F2449" s="90" t="s">
        <v>274</v>
      </c>
      <c r="G2449" s="21" t="str">
        <f>VLOOKUP(D2449,[6]成飞半成品!$A:$B,2,0)</f>
        <v>前起落架水平接头</v>
      </c>
      <c r="H2449" s="10" t="s">
        <v>123</v>
      </c>
      <c r="I2449" s="10">
        <v>40</v>
      </c>
      <c r="J2449" s="10" t="s">
        <v>2326</v>
      </c>
      <c r="K2449" s="10">
        <v>3</v>
      </c>
      <c r="L2449" s="10">
        <v>1.9</v>
      </c>
      <c r="M2449" s="10">
        <v>26</v>
      </c>
      <c r="N2449" s="10">
        <v>37</v>
      </c>
      <c r="O2449" s="55" t="s">
        <v>275</v>
      </c>
      <c r="Q2449" s="10">
        <v>240</v>
      </c>
      <c r="U2449" s="10">
        <v>120</v>
      </c>
      <c r="X2449" s="14">
        <v>8</v>
      </c>
      <c r="Y2449" s="79">
        <v>15.6</v>
      </c>
      <c r="Z2449" s="10" t="s">
        <v>18</v>
      </c>
      <c r="AA2449" s="14" t="s">
        <v>1690</v>
      </c>
      <c r="AB2449" s="14" t="s">
        <v>238</v>
      </c>
    </row>
    <row r="2450" spans="1:28" ht="23.1" customHeight="1" x14ac:dyDescent="0.25">
      <c r="A2450" s="14" t="s">
        <v>1221</v>
      </c>
      <c r="B2450" s="10" t="s">
        <v>110</v>
      </c>
      <c r="C2450" s="10">
        <v>24</v>
      </c>
      <c r="D2450" s="10" t="s">
        <v>738</v>
      </c>
      <c r="E2450" s="78" t="s">
        <v>739</v>
      </c>
      <c r="F2450" s="90" t="s">
        <v>739</v>
      </c>
      <c r="G2450" s="21" t="str">
        <f>VLOOKUP(D2450,[6]成飞半成品!$A:$B,2,0)</f>
        <v>BL280侧壁（右件）</v>
      </c>
      <c r="H2450" s="10" t="s">
        <v>107</v>
      </c>
      <c r="I2450" s="10">
        <v>25</v>
      </c>
      <c r="J2450" s="10" t="s">
        <v>2035</v>
      </c>
      <c r="L2450" s="10">
        <v>1</v>
      </c>
      <c r="M2450" s="10">
        <v>23</v>
      </c>
      <c r="O2450" s="55" t="s">
        <v>295</v>
      </c>
      <c r="Q2450" s="10">
        <v>840</v>
      </c>
      <c r="R2450" s="10">
        <v>120</v>
      </c>
      <c r="T2450" s="10">
        <v>1</v>
      </c>
      <c r="U2450" s="10">
        <v>150</v>
      </c>
      <c r="W2450" s="10">
        <v>1</v>
      </c>
      <c r="Y2450" s="79">
        <v>18.5</v>
      </c>
      <c r="Z2450" s="10" t="s">
        <v>68</v>
      </c>
    </row>
    <row r="2451" spans="1:28" ht="23.1" customHeight="1" x14ac:dyDescent="0.25">
      <c r="A2451" s="14" t="s">
        <v>1221</v>
      </c>
      <c r="B2451" s="10" t="s">
        <v>110</v>
      </c>
      <c r="C2451" s="10">
        <v>24</v>
      </c>
      <c r="D2451" s="10" t="s">
        <v>776</v>
      </c>
      <c r="E2451" s="78" t="s">
        <v>777</v>
      </c>
      <c r="F2451" s="90" t="s">
        <v>777</v>
      </c>
      <c r="G2451" s="21" t="str">
        <f>VLOOKUP(D2451,[6]成飞半成品!$A:$B,2,0)</f>
        <v>BL280侧壁（左件）</v>
      </c>
      <c r="H2451" s="10" t="s">
        <v>107</v>
      </c>
      <c r="I2451" s="10">
        <v>25</v>
      </c>
      <c r="J2451" s="10" t="s">
        <v>2035</v>
      </c>
      <c r="K2451" s="10">
        <v>0.4</v>
      </c>
      <c r="L2451" s="10">
        <v>0.4</v>
      </c>
      <c r="M2451" s="10">
        <v>9</v>
      </c>
      <c r="O2451" s="55" t="s">
        <v>609</v>
      </c>
      <c r="Q2451" s="10">
        <v>840</v>
      </c>
      <c r="R2451" s="10">
        <v>120</v>
      </c>
      <c r="U2451" s="10">
        <v>150</v>
      </c>
      <c r="Y2451" s="79">
        <v>5.6</v>
      </c>
      <c r="Z2451" s="10" t="s">
        <v>68</v>
      </c>
    </row>
    <row r="2452" spans="1:28" ht="23.1" customHeight="1" x14ac:dyDescent="0.25">
      <c r="A2452" s="14" t="s">
        <v>1221</v>
      </c>
      <c r="B2452" s="10" t="s">
        <v>110</v>
      </c>
      <c r="C2452" s="10">
        <v>69</v>
      </c>
      <c r="D2452" s="10" t="s">
        <v>2557</v>
      </c>
      <c r="E2452" s="78" t="s">
        <v>1013</v>
      </c>
      <c r="F2452" s="90" t="s">
        <v>1013</v>
      </c>
      <c r="G2452" s="21" t="str">
        <f>VLOOKUP(D2452,[6]成飞半成品!$A:$B,2,0)</f>
        <v>9350-11140左侧上梁</v>
      </c>
      <c r="H2452" s="10" t="s">
        <v>250</v>
      </c>
      <c r="I2452" s="10">
        <v>35</v>
      </c>
      <c r="J2452" s="10" t="s">
        <v>2109</v>
      </c>
      <c r="K2452" s="10">
        <v>5</v>
      </c>
      <c r="L2452" s="10">
        <v>5</v>
      </c>
      <c r="M2452" s="10">
        <v>26</v>
      </c>
      <c r="N2452" s="10">
        <v>26</v>
      </c>
      <c r="O2452" s="55" t="s">
        <v>429</v>
      </c>
      <c r="Q2452" s="10">
        <v>120</v>
      </c>
      <c r="R2452" s="10">
        <v>60</v>
      </c>
      <c r="U2452" s="10">
        <v>120</v>
      </c>
      <c r="X2452" s="14">
        <v>3</v>
      </c>
      <c r="Y2452" s="79">
        <v>13</v>
      </c>
      <c r="Z2452" s="10" t="s">
        <v>68</v>
      </c>
      <c r="AA2452" s="14" t="s">
        <v>1691</v>
      </c>
    </row>
    <row r="2453" spans="1:28" ht="23.1" customHeight="1" x14ac:dyDescent="0.25">
      <c r="A2453" s="14" t="s">
        <v>1221</v>
      </c>
      <c r="B2453" s="10" t="s">
        <v>110</v>
      </c>
      <c r="C2453" s="10">
        <v>69</v>
      </c>
      <c r="D2453" s="10" t="s">
        <v>1095</v>
      </c>
      <c r="E2453" s="78" t="s">
        <v>1096</v>
      </c>
      <c r="F2453" s="90" t="s">
        <v>1096</v>
      </c>
      <c r="G2453" s="21" t="str">
        <f>VLOOKUP(D2453,[6]成飞半成品!$A:$B,2,0)</f>
        <v>1150肋根肋</v>
      </c>
      <c r="H2453" s="10" t="s">
        <v>658</v>
      </c>
      <c r="I2453" s="10">
        <v>62</v>
      </c>
      <c r="K2453" s="10">
        <v>1</v>
      </c>
      <c r="L2453" s="10">
        <v>3.5</v>
      </c>
      <c r="M2453" s="10">
        <v>9</v>
      </c>
      <c r="N2453" s="10">
        <v>28</v>
      </c>
      <c r="O2453" s="55" t="s">
        <v>282</v>
      </c>
      <c r="P2453" s="10">
        <v>210</v>
      </c>
      <c r="S2453" s="10">
        <v>60</v>
      </c>
      <c r="T2453" s="10">
        <v>4</v>
      </c>
      <c r="V2453" s="10">
        <v>120</v>
      </c>
      <c r="W2453" s="10">
        <v>1</v>
      </c>
      <c r="X2453" s="10">
        <v>5</v>
      </c>
      <c r="Y2453" s="83">
        <v>23.3</v>
      </c>
      <c r="Z2453" s="10" t="s">
        <v>68</v>
      </c>
      <c r="AA2453" s="14" t="s">
        <v>1639</v>
      </c>
    </row>
    <row r="2454" spans="1:28" ht="23.1" customHeight="1" x14ac:dyDescent="0.25">
      <c r="A2454" s="14" t="s">
        <v>1221</v>
      </c>
      <c r="B2454" s="10" t="s">
        <v>110</v>
      </c>
      <c r="C2454" s="10">
        <v>91</v>
      </c>
      <c r="D2454" s="10" t="s">
        <v>254</v>
      </c>
      <c r="E2454" s="78" t="s">
        <v>1016</v>
      </c>
      <c r="F2454" s="90" t="s">
        <v>1016</v>
      </c>
      <c r="G2454" s="21" t="str">
        <f>VLOOKUP(D2454,[6]成飞半成品!$A:$B,2,0)</f>
        <v>9350-11140右侧上梁</v>
      </c>
      <c r="H2454" s="10" t="s">
        <v>375</v>
      </c>
      <c r="I2454" s="10">
        <v>40</v>
      </c>
      <c r="J2454" s="10" t="s">
        <v>2110</v>
      </c>
      <c r="K2454" s="10">
        <v>0.3</v>
      </c>
      <c r="L2454" s="10">
        <v>0.4</v>
      </c>
      <c r="M2454" s="10">
        <v>28</v>
      </c>
      <c r="O2454" s="55" t="s">
        <v>664</v>
      </c>
      <c r="Q2454" s="10">
        <v>3000</v>
      </c>
      <c r="R2454" s="10">
        <v>90</v>
      </c>
      <c r="U2454" s="10">
        <v>120</v>
      </c>
      <c r="Y2454" s="79">
        <v>20</v>
      </c>
      <c r="Z2454" s="10" t="s">
        <v>68</v>
      </c>
    </row>
    <row r="2455" spans="1:28" ht="23.1" customHeight="1" x14ac:dyDescent="0.25">
      <c r="A2455" s="14" t="s">
        <v>1221</v>
      </c>
      <c r="B2455" s="10" t="s">
        <v>110</v>
      </c>
      <c r="C2455" s="10">
        <v>84</v>
      </c>
      <c r="D2455" s="10" t="s">
        <v>1301</v>
      </c>
      <c r="E2455" s="78" t="s">
        <v>1302</v>
      </c>
      <c r="F2455" s="90" t="s">
        <v>1302</v>
      </c>
      <c r="G2455" s="21" t="str">
        <f>VLOOKUP(D2455,[6]成飞半成品!$A:$B,2,0)</f>
        <v>后舱内段支撑件上段1段</v>
      </c>
      <c r="H2455" s="10" t="s">
        <v>154</v>
      </c>
      <c r="I2455" s="10">
        <v>25</v>
      </c>
      <c r="J2455" s="10" t="s">
        <v>2399</v>
      </c>
      <c r="K2455" s="10">
        <v>2</v>
      </c>
      <c r="L2455" s="10">
        <v>2</v>
      </c>
      <c r="M2455" s="10">
        <v>9</v>
      </c>
      <c r="N2455" s="10">
        <v>26</v>
      </c>
      <c r="O2455" s="55" t="s">
        <v>1322</v>
      </c>
      <c r="Q2455" s="10">
        <v>90</v>
      </c>
      <c r="R2455" s="10">
        <v>60</v>
      </c>
      <c r="T2455" s="10">
        <v>2</v>
      </c>
      <c r="U2455" s="10">
        <v>120</v>
      </c>
      <c r="W2455" s="10">
        <v>1</v>
      </c>
      <c r="X2455" s="10">
        <v>3</v>
      </c>
      <c r="Y2455" s="79">
        <v>10</v>
      </c>
      <c r="Z2455" s="10" t="s">
        <v>68</v>
      </c>
      <c r="AA2455" s="14" t="s">
        <v>1548</v>
      </c>
    </row>
    <row r="2456" spans="1:28" ht="23.1" customHeight="1" x14ac:dyDescent="0.25">
      <c r="A2456" s="14" t="s">
        <v>1221</v>
      </c>
      <c r="B2456" s="10" t="s">
        <v>110</v>
      </c>
      <c r="C2456" s="10">
        <v>84</v>
      </c>
      <c r="D2456" s="10" t="s">
        <v>1692</v>
      </c>
      <c r="E2456" s="78" t="s">
        <v>1693</v>
      </c>
      <c r="F2456" s="90" t="s">
        <v>1693</v>
      </c>
      <c r="G2456" s="21" t="str">
        <f>VLOOKUP(D2456,[6]成飞半成品!$A:$B,2,0)</f>
        <v>后舱内段支撑件上段2段</v>
      </c>
      <c r="H2456" s="10" t="s">
        <v>154</v>
      </c>
      <c r="I2456" s="10">
        <v>25</v>
      </c>
      <c r="J2456" s="10" t="s">
        <v>2327</v>
      </c>
      <c r="K2456" s="10">
        <v>2</v>
      </c>
      <c r="L2456" s="10">
        <v>2</v>
      </c>
      <c r="M2456" s="10">
        <v>19</v>
      </c>
      <c r="N2456" s="10">
        <v>26</v>
      </c>
      <c r="O2456" s="55" t="s">
        <v>1322</v>
      </c>
      <c r="R2456" s="10">
        <v>60</v>
      </c>
      <c r="T2456" s="10">
        <v>2</v>
      </c>
      <c r="U2456" s="10">
        <v>120</v>
      </c>
      <c r="W2456" s="10">
        <v>1</v>
      </c>
      <c r="X2456" s="10">
        <v>3</v>
      </c>
      <c r="Y2456" s="79">
        <v>7</v>
      </c>
      <c r="Z2456" s="10" t="s">
        <v>68</v>
      </c>
      <c r="AA2456" s="14" t="s">
        <v>1548</v>
      </c>
    </row>
    <row r="2457" spans="1:28" ht="23.1" customHeight="1" x14ac:dyDescent="0.25">
      <c r="A2457" s="14" t="s">
        <v>1221</v>
      </c>
      <c r="B2457" s="10" t="s">
        <v>110</v>
      </c>
      <c r="C2457" s="10">
        <v>121</v>
      </c>
      <c r="D2457" s="10" t="s">
        <v>1191</v>
      </c>
      <c r="E2457" s="78" t="s">
        <v>1192</v>
      </c>
      <c r="F2457" s="90" t="s">
        <v>1192</v>
      </c>
      <c r="G2457" s="21" t="str">
        <f>VLOOKUP(D2457,[6]成飞半成品!$A:$B,2,0)</f>
        <v>后顶板</v>
      </c>
      <c r="H2457" s="10" t="s">
        <v>300</v>
      </c>
      <c r="I2457" s="10">
        <v>35</v>
      </c>
      <c r="J2457" s="10" t="s">
        <v>2400</v>
      </c>
      <c r="K2457" s="10">
        <v>1</v>
      </c>
      <c r="L2457" s="10">
        <v>1</v>
      </c>
      <c r="M2457" s="10">
        <v>26</v>
      </c>
      <c r="O2457" s="55" t="s">
        <v>470</v>
      </c>
      <c r="Q2457" s="10">
        <v>150</v>
      </c>
      <c r="R2457" s="10">
        <v>90</v>
      </c>
      <c r="T2457" s="10">
        <v>1</v>
      </c>
      <c r="U2457" s="10">
        <v>120</v>
      </c>
      <c r="W2457" s="10">
        <v>1</v>
      </c>
      <c r="X2457" s="10">
        <v>3</v>
      </c>
      <c r="Y2457" s="79">
        <v>9</v>
      </c>
      <c r="Z2457" s="10" t="s">
        <v>68</v>
      </c>
      <c r="AA2457" s="14" t="s">
        <v>1691</v>
      </c>
    </row>
    <row r="2458" spans="1:28" ht="23.1" customHeight="1" x14ac:dyDescent="0.25">
      <c r="A2458" s="14" t="s">
        <v>1221</v>
      </c>
      <c r="B2458" s="10" t="s">
        <v>110</v>
      </c>
      <c r="C2458" s="10">
        <v>121</v>
      </c>
      <c r="D2458" s="10" t="s">
        <v>1071</v>
      </c>
      <c r="E2458" s="78" t="s">
        <v>1072</v>
      </c>
      <c r="F2458" s="90" t="e">
        <v>#N/A</v>
      </c>
      <c r="G2458" s="21" t="e">
        <f>VLOOKUP(D2458,[6]成飞半成品!$A:$B,2,0)</f>
        <v>#N/A</v>
      </c>
      <c r="H2458" s="10" t="s">
        <v>250</v>
      </c>
      <c r="I2458" s="10">
        <v>35</v>
      </c>
      <c r="J2458" s="10" t="s">
        <v>2328</v>
      </c>
      <c r="K2458" s="10">
        <v>2</v>
      </c>
      <c r="L2458" s="10">
        <v>0.7</v>
      </c>
      <c r="M2458" s="10">
        <v>28</v>
      </c>
      <c r="O2458" s="55" t="s">
        <v>1593</v>
      </c>
      <c r="Q2458" s="10">
        <v>960</v>
      </c>
      <c r="R2458" s="10">
        <v>90</v>
      </c>
      <c r="T2458" s="10">
        <v>1</v>
      </c>
      <c r="U2458" s="10">
        <v>180</v>
      </c>
      <c r="W2458" s="10">
        <v>1</v>
      </c>
      <c r="X2458" s="10">
        <v>3</v>
      </c>
      <c r="Y2458" s="79">
        <v>18.7</v>
      </c>
      <c r="Z2458" s="10" t="s">
        <v>68</v>
      </c>
      <c r="AA2458" s="14" t="s">
        <v>1548</v>
      </c>
    </row>
    <row r="2459" spans="1:28" ht="23.1" customHeight="1" x14ac:dyDescent="0.25">
      <c r="A2459" s="14" t="s">
        <v>1221</v>
      </c>
      <c r="B2459" s="10" t="s">
        <v>110</v>
      </c>
      <c r="C2459" s="10">
        <v>12</v>
      </c>
      <c r="D2459" s="10" t="s">
        <v>735</v>
      </c>
      <c r="E2459" s="78" t="s">
        <v>249</v>
      </c>
      <c r="F2459" s="90" t="s">
        <v>249</v>
      </c>
      <c r="G2459" s="21" t="str">
        <f>VLOOKUP(D2459,[6]成飞半成品!$A:$B,2,0)</f>
        <v>10060下接头</v>
      </c>
      <c r="H2459" s="10" t="s">
        <v>250</v>
      </c>
      <c r="I2459" s="10">
        <v>25</v>
      </c>
      <c r="J2459" s="10" t="s">
        <v>1923</v>
      </c>
      <c r="K2459" s="10">
        <v>1</v>
      </c>
      <c r="L2459" s="10">
        <v>1</v>
      </c>
      <c r="M2459" s="10">
        <v>37</v>
      </c>
      <c r="N2459" s="10">
        <v>37</v>
      </c>
      <c r="O2459" s="55" t="s">
        <v>1694</v>
      </c>
      <c r="Q2459" s="10">
        <v>1080</v>
      </c>
      <c r="U2459" s="10">
        <v>120</v>
      </c>
      <c r="Y2459" s="79">
        <v>18</v>
      </c>
      <c r="Z2459" s="10" t="s">
        <v>10</v>
      </c>
    </row>
    <row r="2460" spans="1:28" ht="23.1" customHeight="1" x14ac:dyDescent="0.25">
      <c r="A2460" s="14" t="s">
        <v>1221</v>
      </c>
      <c r="B2460" s="10" t="s">
        <v>110</v>
      </c>
      <c r="C2460" s="10">
        <v>108</v>
      </c>
      <c r="D2460" s="10" t="s">
        <v>992</v>
      </c>
      <c r="E2460" s="78" t="s">
        <v>993</v>
      </c>
      <c r="F2460" s="90" t="s">
        <v>993</v>
      </c>
      <c r="G2460" s="21" t="str">
        <f>VLOOKUP(D2460,[6]成飞半成品!$A:$B,2,0)</f>
        <v>内侧梁</v>
      </c>
      <c r="H2460" s="10" t="s">
        <v>154</v>
      </c>
      <c r="I2460" s="10">
        <v>10</v>
      </c>
      <c r="J2460" s="10" t="s">
        <v>1952</v>
      </c>
      <c r="K2460" s="10">
        <v>1</v>
      </c>
      <c r="L2460" s="10">
        <v>1</v>
      </c>
      <c r="M2460" s="10">
        <v>37</v>
      </c>
      <c r="O2460" s="55" t="s">
        <v>159</v>
      </c>
      <c r="Q2460" s="10">
        <v>340</v>
      </c>
      <c r="R2460" s="10">
        <v>60</v>
      </c>
      <c r="U2460" s="10">
        <v>90</v>
      </c>
      <c r="W2460" s="10">
        <v>1</v>
      </c>
      <c r="X2460" s="14">
        <v>2</v>
      </c>
      <c r="Y2460" s="79">
        <v>9.1999999999999993</v>
      </c>
      <c r="Z2460" s="10" t="s">
        <v>13</v>
      </c>
      <c r="AA2460" s="14" t="s">
        <v>1695</v>
      </c>
      <c r="AB2460" s="14" t="s">
        <v>238</v>
      </c>
    </row>
    <row r="2461" spans="1:28" ht="23.1" customHeight="1" x14ac:dyDescent="0.25">
      <c r="A2461" s="14" t="s">
        <v>1221</v>
      </c>
      <c r="B2461" s="10" t="s">
        <v>110</v>
      </c>
      <c r="C2461" s="10">
        <v>108</v>
      </c>
      <c r="D2461" s="10" t="s">
        <v>889</v>
      </c>
      <c r="E2461" s="78" t="s">
        <v>887</v>
      </c>
      <c r="F2461" s="90" t="s">
        <v>887</v>
      </c>
      <c r="G2461" s="21" t="str">
        <f>VLOOKUP(D2461,[6]成飞半成品!$A:$B,2,0)</f>
        <v>外侧梁</v>
      </c>
      <c r="H2461" s="10" t="s">
        <v>154</v>
      </c>
      <c r="I2461" s="10">
        <v>25</v>
      </c>
      <c r="J2461" s="10" t="s">
        <v>2037</v>
      </c>
      <c r="L2461" s="10">
        <v>1</v>
      </c>
      <c r="M2461" s="10">
        <v>23</v>
      </c>
      <c r="O2461" s="55" t="s">
        <v>159</v>
      </c>
      <c r="Q2461" s="10">
        <v>360</v>
      </c>
      <c r="R2461" s="10">
        <v>60</v>
      </c>
      <c r="T2461" s="10">
        <v>1</v>
      </c>
      <c r="U2461" s="10">
        <v>90</v>
      </c>
      <c r="W2461" s="10">
        <v>1</v>
      </c>
      <c r="Y2461" s="79">
        <v>8.5</v>
      </c>
      <c r="Z2461" s="10" t="s">
        <v>13</v>
      </c>
    </row>
    <row r="2462" spans="1:28" ht="23.1" customHeight="1" x14ac:dyDescent="0.25">
      <c r="A2462" s="14" t="s">
        <v>1221</v>
      </c>
      <c r="B2462" s="10" t="s">
        <v>110</v>
      </c>
      <c r="C2462" s="10">
        <v>107</v>
      </c>
      <c r="D2462" s="10" t="s">
        <v>173</v>
      </c>
      <c r="E2462" s="78" t="s">
        <v>174</v>
      </c>
      <c r="F2462" s="90" t="s">
        <v>1246</v>
      </c>
      <c r="G2462" s="21" t="str">
        <f>VLOOKUP(D2462,[6]成飞半成品!$A:$B,2,0)</f>
        <v>根肋后段</v>
      </c>
      <c r="H2462" s="10" t="s">
        <v>154</v>
      </c>
      <c r="I2462" s="10">
        <v>45</v>
      </c>
      <c r="J2462" s="10" t="s">
        <v>1866</v>
      </c>
      <c r="K2462" s="10">
        <v>0.5</v>
      </c>
      <c r="L2462" s="10">
        <v>0.6</v>
      </c>
      <c r="M2462" s="10">
        <v>28</v>
      </c>
      <c r="O2462" s="55" t="s">
        <v>470</v>
      </c>
      <c r="Q2462" s="10">
        <v>1900</v>
      </c>
      <c r="R2462" s="10">
        <v>90</v>
      </c>
      <c r="T2462" s="10">
        <v>1</v>
      </c>
      <c r="U2462" s="10">
        <v>180</v>
      </c>
      <c r="Y2462" s="79">
        <v>20.5</v>
      </c>
      <c r="Z2462" s="10" t="s">
        <v>13</v>
      </c>
    </row>
    <row r="2463" spans="1:28" ht="23.1" customHeight="1" x14ac:dyDescent="0.25">
      <c r="A2463" s="14" t="s">
        <v>1221</v>
      </c>
      <c r="B2463" s="10" t="s">
        <v>110</v>
      </c>
      <c r="C2463" s="10">
        <v>10</v>
      </c>
      <c r="D2463" s="10" t="s">
        <v>946</v>
      </c>
      <c r="E2463" s="78" t="s">
        <v>947</v>
      </c>
      <c r="F2463" s="90" t="s">
        <v>947</v>
      </c>
      <c r="G2463" s="21" t="str">
        <f>VLOOKUP(D2463,[6]成飞半成品!$A:$B,2,0)</f>
        <v>5755横框</v>
      </c>
      <c r="H2463" s="10" t="s">
        <v>300</v>
      </c>
      <c r="I2463" s="10">
        <v>10</v>
      </c>
      <c r="J2463" s="10" t="s">
        <v>2513</v>
      </c>
      <c r="K2463" s="10">
        <v>2</v>
      </c>
      <c r="L2463" s="10">
        <v>1.6</v>
      </c>
      <c r="M2463" s="10">
        <v>19</v>
      </c>
      <c r="N2463" s="10">
        <v>23</v>
      </c>
      <c r="O2463" s="55" t="s">
        <v>948</v>
      </c>
      <c r="Q2463" s="10">
        <v>60</v>
      </c>
      <c r="U2463" s="10">
        <v>60</v>
      </c>
      <c r="W2463" s="10">
        <v>1</v>
      </c>
      <c r="Y2463" s="79">
        <v>2.6</v>
      </c>
      <c r="Z2463" s="10" t="s">
        <v>23</v>
      </c>
    </row>
    <row r="2464" spans="1:28" ht="23.1" customHeight="1" x14ac:dyDescent="0.25">
      <c r="A2464" s="14" t="s">
        <v>1221</v>
      </c>
      <c r="B2464" s="10" t="s">
        <v>110</v>
      </c>
      <c r="C2464" s="10">
        <v>9</v>
      </c>
      <c r="D2464" s="10" t="s">
        <v>911</v>
      </c>
      <c r="E2464" s="78" t="s">
        <v>912</v>
      </c>
      <c r="F2464" s="90" t="s">
        <v>912</v>
      </c>
      <c r="G2464" s="21" t="str">
        <f>VLOOKUP(D2464,[6]成飞半成品!$A:$B,2,0)</f>
        <v>安装支座</v>
      </c>
      <c r="H2464" s="10" t="s">
        <v>154</v>
      </c>
      <c r="I2464" s="10">
        <v>20</v>
      </c>
      <c r="J2464" s="10" t="s">
        <v>2235</v>
      </c>
      <c r="K2464" s="10">
        <v>5</v>
      </c>
      <c r="L2464" s="10">
        <v>4.8</v>
      </c>
      <c r="M2464" s="10">
        <v>9</v>
      </c>
      <c r="N2464" s="10">
        <v>9</v>
      </c>
      <c r="O2464" s="55" t="s">
        <v>429</v>
      </c>
      <c r="Q2464" s="10">
        <v>140</v>
      </c>
      <c r="U2464" s="10">
        <v>60</v>
      </c>
      <c r="W2464" s="10">
        <v>1</v>
      </c>
      <c r="Y2464" s="79">
        <v>12.2</v>
      </c>
      <c r="Z2464" s="10" t="s">
        <v>23</v>
      </c>
    </row>
    <row r="2465" spans="1:28" ht="23.1" customHeight="1" x14ac:dyDescent="0.25">
      <c r="A2465" s="14" t="s">
        <v>1221</v>
      </c>
      <c r="B2465" s="10" t="s">
        <v>110</v>
      </c>
      <c r="C2465" s="10">
        <v>78</v>
      </c>
      <c r="D2465" s="10" t="s">
        <v>261</v>
      </c>
      <c r="E2465" s="78" t="s">
        <v>133</v>
      </c>
      <c r="F2465" s="90" t="s">
        <v>133</v>
      </c>
      <c r="G2465" s="21" t="str">
        <f>VLOOKUP(D2465,[6]成飞半成品!$A:$B,2,0)</f>
        <v>摇臂</v>
      </c>
      <c r="H2465" s="10" t="s">
        <v>102</v>
      </c>
      <c r="I2465" s="10">
        <v>85</v>
      </c>
      <c r="J2465" s="10" t="s">
        <v>2330</v>
      </c>
      <c r="K2465" s="10">
        <v>1</v>
      </c>
      <c r="L2465" s="10">
        <v>0.8</v>
      </c>
      <c r="M2465" s="10">
        <v>5</v>
      </c>
      <c r="O2465" s="55" t="s">
        <v>103</v>
      </c>
      <c r="Q2465" s="10">
        <v>1020</v>
      </c>
      <c r="R2465" s="10">
        <v>60</v>
      </c>
      <c r="U2465" s="10">
        <v>120</v>
      </c>
      <c r="X2465" s="14">
        <v>20</v>
      </c>
      <c r="Y2465" s="79">
        <v>33.6</v>
      </c>
      <c r="Z2465" s="10" t="s">
        <v>5</v>
      </c>
      <c r="AA2465" s="14" t="s">
        <v>1696</v>
      </c>
      <c r="AB2465" s="14" t="s">
        <v>238</v>
      </c>
    </row>
    <row r="2466" spans="1:28" ht="23.1" customHeight="1" x14ac:dyDescent="0.25">
      <c r="A2466" s="14" t="s">
        <v>1221</v>
      </c>
      <c r="B2466" s="10" t="s">
        <v>110</v>
      </c>
      <c r="C2466" s="10">
        <v>78</v>
      </c>
      <c r="D2466" s="10" t="s">
        <v>261</v>
      </c>
      <c r="E2466" s="78" t="s">
        <v>133</v>
      </c>
      <c r="F2466" s="90" t="s">
        <v>133</v>
      </c>
      <c r="G2466" s="21" t="str">
        <f>VLOOKUP(D2466,[6]成飞半成品!$A:$B,2,0)</f>
        <v>摇臂</v>
      </c>
      <c r="H2466" s="10" t="s">
        <v>102</v>
      </c>
      <c r="I2466" s="10">
        <v>85</v>
      </c>
      <c r="J2466" s="10" t="s">
        <v>2330</v>
      </c>
      <c r="K2466" s="10">
        <v>0.5</v>
      </c>
      <c r="L2466" s="10">
        <v>0.1</v>
      </c>
      <c r="M2466" s="10">
        <v>28</v>
      </c>
      <c r="O2466" s="55" t="s">
        <v>103</v>
      </c>
      <c r="Q2466" s="10">
        <v>1020</v>
      </c>
      <c r="R2466" s="10">
        <v>60</v>
      </c>
      <c r="T2466" s="10">
        <v>1</v>
      </c>
      <c r="U2466" s="10">
        <v>120</v>
      </c>
      <c r="Y2466" s="79">
        <v>2.7</v>
      </c>
      <c r="Z2466" s="10" t="s">
        <v>5</v>
      </c>
      <c r="AA2466" s="14" t="s">
        <v>1269</v>
      </c>
    </row>
    <row r="2467" spans="1:28" ht="23.1" customHeight="1" x14ac:dyDescent="0.25">
      <c r="A2467" s="14" t="s">
        <v>1221</v>
      </c>
      <c r="B2467" s="10" t="s">
        <v>110</v>
      </c>
      <c r="C2467" s="10">
        <v>47</v>
      </c>
      <c r="D2467" s="10" t="s">
        <v>826</v>
      </c>
      <c r="E2467" s="78" t="s">
        <v>827</v>
      </c>
      <c r="F2467" s="90" t="s">
        <v>827</v>
      </c>
      <c r="G2467" s="21" t="str">
        <f>VLOOKUP(D2467,[6]成飞半成品!$A:$B,2,0)</f>
        <v>BL900侧梁</v>
      </c>
      <c r="H2467" s="10" t="s">
        <v>118</v>
      </c>
      <c r="I2467" s="10">
        <v>20</v>
      </c>
      <c r="J2467" s="10" t="s">
        <v>2107</v>
      </c>
      <c r="K2467" s="10">
        <v>0.5</v>
      </c>
      <c r="L2467" s="10">
        <v>0.75</v>
      </c>
      <c r="M2467" s="10">
        <v>19</v>
      </c>
      <c r="O2467" s="55" t="s">
        <v>860</v>
      </c>
      <c r="Q2467" s="10">
        <v>780</v>
      </c>
      <c r="R2467" s="10">
        <v>90</v>
      </c>
      <c r="U2467" s="10">
        <v>60</v>
      </c>
      <c r="Y2467" s="79">
        <v>9.8000000000000007</v>
      </c>
      <c r="Z2467" s="10" t="s">
        <v>22</v>
      </c>
      <c r="AA2467" s="14" t="s">
        <v>1697</v>
      </c>
    </row>
    <row r="2468" spans="1:28" ht="23.1" customHeight="1" x14ac:dyDescent="0.25">
      <c r="A2468" s="14" t="s">
        <v>1221</v>
      </c>
      <c r="B2468" s="10" t="s">
        <v>110</v>
      </c>
      <c r="C2468" s="10">
        <v>47</v>
      </c>
      <c r="D2468" s="10" t="s">
        <v>2560</v>
      </c>
      <c r="E2468" s="78" t="s">
        <v>979</v>
      </c>
      <c r="F2468" s="90" t="s">
        <v>979</v>
      </c>
      <c r="G2468" s="21" t="str">
        <f>VLOOKUP(D2468,[6]成飞半成品!$A:$B,2,0)</f>
        <v>翼尖接头</v>
      </c>
      <c r="H2468" s="10" t="s">
        <v>154</v>
      </c>
      <c r="I2468" s="10">
        <v>60</v>
      </c>
      <c r="J2468" s="10" t="s">
        <v>2331</v>
      </c>
      <c r="O2468" s="55" t="s">
        <v>108</v>
      </c>
      <c r="Q2468" s="10">
        <v>520</v>
      </c>
      <c r="R2468" s="10">
        <v>120</v>
      </c>
      <c r="U2468" s="10">
        <v>90</v>
      </c>
      <c r="X2468" s="14">
        <v>3</v>
      </c>
      <c r="Y2468" s="79">
        <v>3</v>
      </c>
      <c r="Z2468" s="10" t="s">
        <v>22</v>
      </c>
      <c r="AA2468" s="14" t="s">
        <v>1572</v>
      </c>
    </row>
    <row r="2469" spans="1:28" ht="23.1" customHeight="1" x14ac:dyDescent="0.25">
      <c r="A2469" s="14" t="s">
        <v>1221</v>
      </c>
      <c r="B2469" s="10" t="s">
        <v>110</v>
      </c>
      <c r="C2469" s="10">
        <v>23</v>
      </c>
      <c r="D2469" s="10" t="s">
        <v>987</v>
      </c>
      <c r="E2469" s="78" t="s">
        <v>988</v>
      </c>
      <c r="F2469" s="90" t="s">
        <v>988</v>
      </c>
      <c r="G2469" s="21" t="str">
        <f>VLOOKUP(D2469,[6]成飞半成品!$A:$B,2,0)</f>
        <v>8270左隔框</v>
      </c>
      <c r="H2469" s="10" t="s">
        <v>118</v>
      </c>
      <c r="I2469" s="10">
        <v>20</v>
      </c>
      <c r="J2469" s="10" t="s">
        <v>2332</v>
      </c>
      <c r="K2469" s="10">
        <v>0.8</v>
      </c>
      <c r="L2469" s="10">
        <v>1.1499999999999999</v>
      </c>
      <c r="M2469" s="10">
        <v>19</v>
      </c>
      <c r="O2469" s="55" t="s">
        <v>989</v>
      </c>
      <c r="Q2469" s="10">
        <v>420</v>
      </c>
      <c r="R2469" s="10">
        <v>60</v>
      </c>
      <c r="T2469" s="10">
        <v>1</v>
      </c>
      <c r="U2469" s="10">
        <v>90</v>
      </c>
      <c r="Y2469" s="79">
        <v>9.1</v>
      </c>
      <c r="Z2469" s="10" t="s">
        <v>22</v>
      </c>
    </row>
    <row r="2470" spans="1:28" ht="23.1" customHeight="1" x14ac:dyDescent="0.25">
      <c r="A2470" s="14" t="s">
        <v>1221</v>
      </c>
      <c r="B2470" s="10" t="s">
        <v>110</v>
      </c>
      <c r="C2470" s="10">
        <v>23</v>
      </c>
      <c r="D2470" s="10" t="s">
        <v>987</v>
      </c>
      <c r="E2470" s="78" t="s">
        <v>988</v>
      </c>
      <c r="F2470" s="90" t="s">
        <v>988</v>
      </c>
      <c r="G2470" s="21" t="str">
        <f>VLOOKUP(D2470,[6]成飞半成品!$A:$B,2,0)</f>
        <v>8270左隔框</v>
      </c>
      <c r="H2470" s="10" t="s">
        <v>118</v>
      </c>
      <c r="I2470" s="10">
        <v>20</v>
      </c>
      <c r="J2470" s="10" t="s">
        <v>2332</v>
      </c>
      <c r="K2470" s="10">
        <v>0.8</v>
      </c>
      <c r="L2470" s="10">
        <v>0.8</v>
      </c>
      <c r="M2470" s="10">
        <v>31</v>
      </c>
      <c r="O2470" s="55" t="s">
        <v>155</v>
      </c>
      <c r="Q2470" s="10">
        <v>420</v>
      </c>
      <c r="R2470" s="10">
        <v>60</v>
      </c>
      <c r="T2470" s="10">
        <v>1</v>
      </c>
      <c r="U2470" s="10">
        <v>90</v>
      </c>
      <c r="Y2470" s="79">
        <v>6.6</v>
      </c>
      <c r="Z2470" s="10" t="s">
        <v>22</v>
      </c>
    </row>
    <row r="2471" spans="1:28" ht="23.1" customHeight="1" x14ac:dyDescent="0.25">
      <c r="A2471" s="14" t="s">
        <v>1221</v>
      </c>
      <c r="B2471" s="10" t="s">
        <v>110</v>
      </c>
      <c r="C2471" s="10">
        <v>16</v>
      </c>
      <c r="D2471" s="10" t="s">
        <v>1045</v>
      </c>
      <c r="E2471" s="78" t="s">
        <v>409</v>
      </c>
      <c r="F2471" s="90" t="s">
        <v>409</v>
      </c>
      <c r="G2471" s="21" t="str">
        <f>VLOOKUP(D2471,[6]成飞半成品!$A:$B,2,0)</f>
        <v>接头</v>
      </c>
      <c r="H2471" s="10" t="s">
        <v>102</v>
      </c>
      <c r="I2471" s="10">
        <v>10</v>
      </c>
      <c r="J2471" s="10" t="s">
        <v>2401</v>
      </c>
      <c r="K2471" s="10">
        <v>8</v>
      </c>
      <c r="L2471" s="10">
        <v>8</v>
      </c>
      <c r="M2471" s="10">
        <v>9</v>
      </c>
      <c r="N2471" s="10">
        <v>9</v>
      </c>
      <c r="O2471" s="55" t="s">
        <v>596</v>
      </c>
      <c r="Q2471" s="10">
        <v>35</v>
      </c>
      <c r="U2471" s="10">
        <v>90</v>
      </c>
      <c r="W2471" s="10">
        <v>1</v>
      </c>
      <c r="Y2471" s="79">
        <v>6.2</v>
      </c>
      <c r="Z2471" s="10" t="s">
        <v>71</v>
      </c>
    </row>
    <row r="2472" spans="1:28" ht="23.1" customHeight="1" x14ac:dyDescent="0.25">
      <c r="A2472" s="14" t="s">
        <v>1221</v>
      </c>
      <c r="B2472" s="10" t="s">
        <v>110</v>
      </c>
      <c r="C2472" s="10">
        <v>16</v>
      </c>
      <c r="D2472" s="10" t="s">
        <v>1045</v>
      </c>
      <c r="E2472" s="78" t="s">
        <v>409</v>
      </c>
      <c r="F2472" s="90" t="s">
        <v>409</v>
      </c>
      <c r="G2472" s="21" t="str">
        <f>VLOOKUP(D2472,[6]成飞半成品!$A:$B,2,0)</f>
        <v>接头</v>
      </c>
      <c r="H2472" s="10" t="s">
        <v>102</v>
      </c>
      <c r="I2472" s="10">
        <v>15</v>
      </c>
      <c r="J2472" s="10" t="s">
        <v>2091</v>
      </c>
      <c r="K2472" s="10">
        <v>2</v>
      </c>
      <c r="L2472" s="10">
        <v>5</v>
      </c>
      <c r="M2472" s="10">
        <v>26</v>
      </c>
      <c r="N2472" s="10">
        <v>26</v>
      </c>
      <c r="O2472" s="55" t="s">
        <v>596</v>
      </c>
      <c r="Q2472" s="10">
        <v>55</v>
      </c>
      <c r="U2472" s="10">
        <v>60</v>
      </c>
      <c r="W2472" s="10">
        <v>1</v>
      </c>
      <c r="X2472" s="14">
        <v>2</v>
      </c>
      <c r="Y2472" s="79">
        <v>7.6</v>
      </c>
      <c r="Z2472" s="10" t="s">
        <v>71</v>
      </c>
      <c r="AA2472" s="14" t="s">
        <v>1376</v>
      </c>
      <c r="AB2472" s="14" t="s">
        <v>238</v>
      </c>
    </row>
    <row r="2473" spans="1:28" ht="23.1" customHeight="1" x14ac:dyDescent="0.25">
      <c r="A2473" s="14" t="s">
        <v>1221</v>
      </c>
      <c r="B2473" s="10" t="s">
        <v>110</v>
      </c>
      <c r="C2473" s="10">
        <v>18</v>
      </c>
      <c r="D2473" s="10" t="s">
        <v>1030</v>
      </c>
      <c r="E2473" s="78" t="s">
        <v>919</v>
      </c>
      <c r="F2473" s="90" t="s">
        <v>919</v>
      </c>
      <c r="G2473" s="21" t="str">
        <f>VLOOKUP(D2473,[6]成飞半成品!$A:$B,2,0)</f>
        <v>雷达罩锁支座</v>
      </c>
      <c r="H2473" s="10" t="s">
        <v>323</v>
      </c>
      <c r="I2473" s="10">
        <v>10</v>
      </c>
      <c r="J2473" s="10" t="s">
        <v>2114</v>
      </c>
      <c r="K2473" s="10">
        <v>3</v>
      </c>
      <c r="L2473" s="10">
        <v>10</v>
      </c>
      <c r="M2473" s="10">
        <v>19</v>
      </c>
      <c r="N2473" s="10">
        <v>19</v>
      </c>
      <c r="O2473" s="55" t="s">
        <v>778</v>
      </c>
      <c r="Q2473" s="10">
        <v>60</v>
      </c>
      <c r="U2473" s="10">
        <v>90</v>
      </c>
      <c r="W2473" s="10">
        <v>1</v>
      </c>
      <c r="Y2473" s="79">
        <v>11.5</v>
      </c>
      <c r="Z2473" s="10" t="s">
        <v>14</v>
      </c>
    </row>
    <row r="2474" spans="1:28" ht="23.1" customHeight="1" x14ac:dyDescent="0.25">
      <c r="A2474" s="14" t="s">
        <v>1221</v>
      </c>
      <c r="B2474" s="10" t="s">
        <v>110</v>
      </c>
      <c r="C2474" s="10">
        <v>18</v>
      </c>
      <c r="D2474" s="10" t="s">
        <v>921</v>
      </c>
      <c r="E2474" s="78" t="s">
        <v>919</v>
      </c>
      <c r="F2474" s="90" t="s">
        <v>919</v>
      </c>
      <c r="G2474" s="21" t="str">
        <f>VLOOKUP(D2474,[6]成飞半成品!$A:$B,2,0)</f>
        <v>雷达罩锁支座</v>
      </c>
      <c r="H2474" s="10" t="s">
        <v>323</v>
      </c>
      <c r="I2474" s="10">
        <v>10</v>
      </c>
      <c r="J2474" s="10" t="s">
        <v>2114</v>
      </c>
      <c r="K2474" s="10">
        <v>2</v>
      </c>
      <c r="L2474" s="10">
        <v>10</v>
      </c>
      <c r="M2474" s="10">
        <v>26</v>
      </c>
      <c r="N2474" s="10">
        <v>19</v>
      </c>
      <c r="O2474" s="55" t="s">
        <v>860</v>
      </c>
      <c r="Q2474" s="10">
        <v>60</v>
      </c>
      <c r="U2474" s="10">
        <v>90</v>
      </c>
      <c r="W2474" s="10">
        <v>1</v>
      </c>
      <c r="Y2474" s="79">
        <v>11.5</v>
      </c>
      <c r="Z2474" s="10" t="s">
        <v>14</v>
      </c>
    </row>
    <row r="2475" spans="1:28" ht="23.1" customHeight="1" x14ac:dyDescent="0.25">
      <c r="A2475" s="14" t="s">
        <v>1221</v>
      </c>
      <c r="B2475" s="10" t="s">
        <v>110</v>
      </c>
      <c r="C2475" s="10">
        <v>17</v>
      </c>
      <c r="D2475" s="10" t="s">
        <v>916</v>
      </c>
      <c r="E2475" s="78" t="s">
        <v>917</v>
      </c>
      <c r="F2475" s="90" t="s">
        <v>917</v>
      </c>
      <c r="G2475" s="21" t="str">
        <f>VLOOKUP(D2475,[6]成飞半成品!$A:$B,2,0)</f>
        <v>座子</v>
      </c>
      <c r="H2475" s="10" t="s">
        <v>250</v>
      </c>
      <c r="I2475" s="10">
        <v>35</v>
      </c>
      <c r="J2475" s="10" t="s">
        <v>2333</v>
      </c>
      <c r="L2475" s="10">
        <v>15</v>
      </c>
      <c r="M2475" s="10">
        <v>19</v>
      </c>
      <c r="N2475" s="10">
        <v>19</v>
      </c>
      <c r="O2475" s="55" t="s">
        <v>247</v>
      </c>
      <c r="Q2475" s="10">
        <v>55</v>
      </c>
      <c r="U2475" s="10">
        <v>60</v>
      </c>
      <c r="W2475" s="10">
        <v>1</v>
      </c>
      <c r="Y2475" s="79">
        <v>14.8</v>
      </c>
      <c r="Z2475" s="10" t="s">
        <v>14</v>
      </c>
    </row>
    <row r="2476" spans="1:28" ht="23.1" customHeight="1" x14ac:dyDescent="0.25">
      <c r="A2476" s="14" t="s">
        <v>1221</v>
      </c>
      <c r="B2476" s="10" t="s">
        <v>110</v>
      </c>
      <c r="C2476" s="10">
        <v>59</v>
      </c>
      <c r="D2476" s="10" t="s">
        <v>1686</v>
      </c>
      <c r="E2476" s="78" t="s">
        <v>1687</v>
      </c>
      <c r="F2476" s="90" t="s">
        <v>1687</v>
      </c>
      <c r="G2476" s="21" t="str">
        <f>VLOOKUP(D2476,[6]成飞半成品!$A:$B,2,0)</f>
        <v>底板连接接头</v>
      </c>
      <c r="H2476" s="10" t="s">
        <v>102</v>
      </c>
      <c r="I2476" s="10">
        <v>15</v>
      </c>
      <c r="J2476" s="10" t="s">
        <v>1864</v>
      </c>
      <c r="K2476" s="10">
        <v>8</v>
      </c>
      <c r="L2476" s="10">
        <v>8</v>
      </c>
      <c r="M2476" s="10">
        <v>26</v>
      </c>
      <c r="N2476" s="10">
        <v>26</v>
      </c>
      <c r="O2476" s="55" t="s">
        <v>596</v>
      </c>
      <c r="Q2476" s="10">
        <v>40</v>
      </c>
      <c r="U2476" s="10">
        <v>60</v>
      </c>
      <c r="W2476" s="10">
        <v>1</v>
      </c>
      <c r="X2476" s="14">
        <v>2</v>
      </c>
      <c r="Y2476" s="79">
        <v>8.3000000000000007</v>
      </c>
      <c r="Z2476" s="10" t="s">
        <v>6</v>
      </c>
      <c r="AA2476" s="14" t="s">
        <v>1671</v>
      </c>
      <c r="AB2476" s="14" t="s">
        <v>238</v>
      </c>
    </row>
    <row r="2477" spans="1:28" ht="23.1" customHeight="1" x14ac:dyDescent="0.25">
      <c r="A2477" s="14" t="s">
        <v>1221</v>
      </c>
      <c r="B2477" s="10" t="s">
        <v>110</v>
      </c>
      <c r="C2477" s="10">
        <v>55</v>
      </c>
      <c r="D2477" s="10" t="s">
        <v>923</v>
      </c>
      <c r="E2477" s="78" t="s">
        <v>139</v>
      </c>
      <c r="F2477" s="90" t="s">
        <v>139</v>
      </c>
      <c r="G2477" s="21" t="str">
        <f>VLOOKUP(D2477,[6]成飞半成品!$A:$B,2,0)</f>
        <v>支座</v>
      </c>
      <c r="H2477" s="10" t="s">
        <v>250</v>
      </c>
      <c r="I2477" s="10">
        <v>25</v>
      </c>
      <c r="J2477" s="10" t="s">
        <v>2334</v>
      </c>
      <c r="L2477" s="10">
        <v>5</v>
      </c>
      <c r="M2477" s="10">
        <v>26</v>
      </c>
      <c r="N2477" s="10">
        <v>26</v>
      </c>
      <c r="O2477" s="55" t="s">
        <v>131</v>
      </c>
      <c r="Q2477" s="10">
        <v>150</v>
      </c>
      <c r="U2477" s="10">
        <v>60</v>
      </c>
      <c r="Y2477" s="79">
        <v>12.5</v>
      </c>
      <c r="Z2477" s="10" t="s">
        <v>18</v>
      </c>
    </row>
    <row r="2478" spans="1:28" ht="23.1" customHeight="1" x14ac:dyDescent="0.25">
      <c r="A2478" s="14" t="s">
        <v>1221</v>
      </c>
      <c r="B2478" s="10" t="s">
        <v>110</v>
      </c>
      <c r="C2478" s="10">
        <v>13</v>
      </c>
      <c r="D2478" s="10" t="s">
        <v>654</v>
      </c>
      <c r="E2478" s="78" t="s">
        <v>246</v>
      </c>
      <c r="F2478" s="90" t="s">
        <v>246</v>
      </c>
      <c r="G2478" s="21" t="str">
        <f>VLOOKUP(D2478,[6]成飞半成品!$A:$B,2,0)</f>
        <v>外侧轴承盖</v>
      </c>
      <c r="H2478" s="10" t="s">
        <v>154</v>
      </c>
      <c r="I2478" s="10">
        <v>45</v>
      </c>
      <c r="J2478" s="10" t="s">
        <v>1954</v>
      </c>
      <c r="K2478" s="10">
        <v>3</v>
      </c>
      <c r="L2478" s="10">
        <v>3</v>
      </c>
      <c r="M2478" s="10">
        <v>26</v>
      </c>
      <c r="N2478" s="10">
        <v>23</v>
      </c>
      <c r="O2478" s="55" t="s">
        <v>247</v>
      </c>
      <c r="Q2478" s="10">
        <v>250</v>
      </c>
      <c r="U2478" s="10">
        <v>60</v>
      </c>
      <c r="Y2478" s="79">
        <v>12.5</v>
      </c>
      <c r="Z2478" s="10" t="s">
        <v>10</v>
      </c>
    </row>
    <row r="2479" spans="1:28" ht="23.1" customHeight="1" x14ac:dyDescent="0.25">
      <c r="A2479" s="14" t="s">
        <v>1221</v>
      </c>
      <c r="B2479" s="10" t="s">
        <v>110</v>
      </c>
      <c r="C2479" s="10">
        <v>77</v>
      </c>
      <c r="D2479" s="10" t="s">
        <v>1698</v>
      </c>
      <c r="E2479" s="78" t="s">
        <v>1699</v>
      </c>
      <c r="F2479" s="90" t="s">
        <v>1699</v>
      </c>
      <c r="G2479" s="21" t="str">
        <f>VLOOKUP(D2479,[6]成飞半成品!$A:$B,2,0)</f>
        <v>Z型件</v>
      </c>
      <c r="H2479" s="10" t="s">
        <v>118</v>
      </c>
      <c r="I2479" s="10">
        <v>10</v>
      </c>
      <c r="J2479" s="10" t="s">
        <v>2315</v>
      </c>
      <c r="K2479" s="10">
        <v>20</v>
      </c>
      <c r="L2479" s="10">
        <v>50</v>
      </c>
      <c r="M2479" s="10">
        <v>19</v>
      </c>
      <c r="N2479" s="10">
        <v>5</v>
      </c>
      <c r="O2479" s="55" t="s">
        <v>393</v>
      </c>
      <c r="Q2479" s="10">
        <v>30</v>
      </c>
      <c r="U2479" s="10">
        <v>60</v>
      </c>
      <c r="W2479" s="10">
        <v>1</v>
      </c>
      <c r="X2479" s="14">
        <v>2</v>
      </c>
      <c r="Y2479" s="79">
        <v>28</v>
      </c>
      <c r="Z2479" s="10" t="s">
        <v>24</v>
      </c>
      <c r="AA2479" s="14" t="s">
        <v>1540</v>
      </c>
      <c r="AB2479" s="14" t="s">
        <v>238</v>
      </c>
    </row>
    <row r="2480" spans="1:28" ht="23.1" customHeight="1" x14ac:dyDescent="0.25">
      <c r="A2480" s="14" t="s">
        <v>1221</v>
      </c>
      <c r="B2480" s="10" t="s">
        <v>110</v>
      </c>
      <c r="C2480" s="10">
        <v>79</v>
      </c>
      <c r="D2480" s="10" t="s">
        <v>420</v>
      </c>
      <c r="E2480" s="78" t="s">
        <v>153</v>
      </c>
      <c r="F2480" s="90" t="s">
        <v>1247</v>
      </c>
      <c r="G2480" s="21" t="str">
        <f>VLOOKUP(D2480,[6]成飞半成品!$A:$B,2,0)</f>
        <v>根肋前段</v>
      </c>
      <c r="H2480" s="10" t="s">
        <v>154</v>
      </c>
      <c r="I2480" s="10">
        <v>45</v>
      </c>
      <c r="J2480" s="10" t="s">
        <v>2236</v>
      </c>
      <c r="K2480" s="10">
        <v>2</v>
      </c>
      <c r="L2480" s="10">
        <v>0.3</v>
      </c>
      <c r="M2480" s="10">
        <v>23</v>
      </c>
      <c r="O2480" s="55" t="s">
        <v>784</v>
      </c>
      <c r="Q2480" s="10">
        <v>2460</v>
      </c>
      <c r="R2480" s="10">
        <v>90</v>
      </c>
      <c r="U2480" s="10">
        <v>240</v>
      </c>
      <c r="X2480" s="14">
        <v>3</v>
      </c>
      <c r="Y2480" s="79">
        <v>15.3</v>
      </c>
      <c r="Z2480" s="10" t="s">
        <v>5</v>
      </c>
      <c r="AA2480" s="14" t="s">
        <v>1700</v>
      </c>
    </row>
    <row r="2481" spans="1:28" ht="23.1" customHeight="1" x14ac:dyDescent="0.25">
      <c r="A2481" s="14" t="s">
        <v>1221</v>
      </c>
      <c r="B2481" s="10" t="s">
        <v>110</v>
      </c>
      <c r="C2481" s="10">
        <v>79</v>
      </c>
      <c r="D2481" s="10" t="s">
        <v>152</v>
      </c>
      <c r="E2481" s="78" t="s">
        <v>153</v>
      </c>
      <c r="F2481" s="90" t="s">
        <v>1247</v>
      </c>
      <c r="G2481" s="21" t="str">
        <f>VLOOKUP(D2481,[6]成飞半成品!$A:$B,2,0)</f>
        <v>根肋前段</v>
      </c>
      <c r="H2481" s="10" t="s">
        <v>154</v>
      </c>
      <c r="I2481" s="10">
        <v>40</v>
      </c>
      <c r="J2481" s="10" t="s">
        <v>2093</v>
      </c>
      <c r="K2481" s="10">
        <v>0.3</v>
      </c>
      <c r="L2481" s="10">
        <v>2</v>
      </c>
      <c r="M2481" s="10">
        <v>5</v>
      </c>
      <c r="N2481" s="10">
        <v>5</v>
      </c>
      <c r="O2481" s="55" t="s">
        <v>1701</v>
      </c>
      <c r="Q2481" s="10">
        <v>270</v>
      </c>
      <c r="R2481" s="10">
        <v>90</v>
      </c>
      <c r="T2481" s="10">
        <v>2</v>
      </c>
      <c r="U2481" s="10">
        <v>120</v>
      </c>
      <c r="W2481" s="10">
        <v>1</v>
      </c>
      <c r="Y2481" s="79">
        <v>14</v>
      </c>
      <c r="Z2481" s="10" t="s">
        <v>5</v>
      </c>
    </row>
    <row r="2482" spans="1:28" ht="23.1" customHeight="1" x14ac:dyDescent="0.25">
      <c r="A2482" s="14" t="s">
        <v>1221</v>
      </c>
      <c r="B2482" s="10" t="s">
        <v>110</v>
      </c>
      <c r="C2482" s="10">
        <v>58</v>
      </c>
      <c r="D2482" s="10" t="s">
        <v>1047</v>
      </c>
      <c r="E2482" s="78" t="s">
        <v>424</v>
      </c>
      <c r="F2482" s="90" t="s">
        <v>424</v>
      </c>
      <c r="G2482" s="21" t="str">
        <f>VLOOKUP(D2482,[6]成飞半成品!$A:$B,2,0)</f>
        <v>后梁四段</v>
      </c>
      <c r="H2482" s="10" t="s">
        <v>107</v>
      </c>
      <c r="I2482" s="10">
        <v>15</v>
      </c>
      <c r="J2482" s="10" t="s">
        <v>1961</v>
      </c>
      <c r="K2482" s="10">
        <v>4.5</v>
      </c>
      <c r="L2482" s="10">
        <v>6</v>
      </c>
      <c r="M2482" s="10">
        <v>9</v>
      </c>
      <c r="N2482" s="10">
        <v>26</v>
      </c>
      <c r="O2482" s="55" t="s">
        <v>1049</v>
      </c>
      <c r="Q2482" s="10">
        <v>150</v>
      </c>
      <c r="U2482" s="10">
        <v>100</v>
      </c>
      <c r="Y2482" s="79">
        <v>15</v>
      </c>
      <c r="Z2482" s="10" t="s">
        <v>0</v>
      </c>
    </row>
    <row r="2483" spans="1:28" ht="23.1" customHeight="1" x14ac:dyDescent="0.25">
      <c r="A2483" s="14" t="s">
        <v>1221</v>
      </c>
      <c r="B2483" s="10" t="s">
        <v>110</v>
      </c>
      <c r="C2483" s="10">
        <v>14</v>
      </c>
      <c r="D2483" s="10" t="s">
        <v>1331</v>
      </c>
      <c r="E2483" s="78" t="s">
        <v>1332</v>
      </c>
      <c r="F2483" s="90" t="s">
        <v>1332</v>
      </c>
      <c r="G2483" s="21" t="str">
        <f>VLOOKUP(D2483,[6]成飞半成品!$A:$B,2,0)</f>
        <v>联锁摇臂</v>
      </c>
      <c r="H2483" s="10" t="s">
        <v>300</v>
      </c>
      <c r="I2483" s="10">
        <v>15</v>
      </c>
      <c r="J2483" s="10" t="s">
        <v>2231</v>
      </c>
      <c r="L2483" s="10">
        <v>10</v>
      </c>
      <c r="M2483" s="10">
        <v>26</v>
      </c>
      <c r="N2483" s="10">
        <v>5</v>
      </c>
      <c r="O2483" s="55" t="s">
        <v>316</v>
      </c>
      <c r="Q2483" s="10">
        <v>35</v>
      </c>
      <c r="U2483" s="10">
        <v>120</v>
      </c>
      <c r="W2483" s="10">
        <v>1</v>
      </c>
      <c r="Y2483" s="79">
        <v>7.8</v>
      </c>
      <c r="Z2483" s="10" t="s">
        <v>60</v>
      </c>
    </row>
    <row r="2484" spans="1:28" ht="23.1" customHeight="1" x14ac:dyDescent="0.25">
      <c r="A2484" s="14" t="s">
        <v>1221</v>
      </c>
      <c r="B2484" s="10" t="s">
        <v>110</v>
      </c>
      <c r="C2484" s="10">
        <v>57</v>
      </c>
      <c r="D2484" s="10" t="s">
        <v>1031</v>
      </c>
      <c r="E2484" s="78" t="s">
        <v>1032</v>
      </c>
      <c r="F2484" s="90" t="s">
        <v>1032</v>
      </c>
      <c r="G2484" s="21" t="str">
        <f>VLOOKUP(D2484,[6]成飞半成品!$A:$B,2,0)</f>
        <v>前上大梁（左）</v>
      </c>
      <c r="H2484" s="10" t="s">
        <v>107</v>
      </c>
      <c r="I2484" s="10">
        <v>10</v>
      </c>
      <c r="J2484" s="10" t="s">
        <v>2024</v>
      </c>
      <c r="K2484" s="10">
        <v>7</v>
      </c>
      <c r="L2484" s="10">
        <v>6</v>
      </c>
      <c r="M2484" s="10">
        <v>26</v>
      </c>
      <c r="N2484" s="10">
        <v>9</v>
      </c>
      <c r="O2484" s="55" t="s">
        <v>1312</v>
      </c>
      <c r="Q2484" s="10">
        <v>90</v>
      </c>
      <c r="U2484" s="10">
        <v>90</v>
      </c>
      <c r="Y2484" s="79">
        <v>9</v>
      </c>
      <c r="Z2484" s="10" t="s">
        <v>0</v>
      </c>
    </row>
    <row r="2485" spans="1:28" ht="23.1" customHeight="1" x14ac:dyDescent="0.25">
      <c r="A2485" s="14" t="s">
        <v>1221</v>
      </c>
      <c r="B2485" s="10" t="s">
        <v>110</v>
      </c>
      <c r="C2485" s="10">
        <v>11</v>
      </c>
      <c r="D2485" s="10" t="s">
        <v>2561</v>
      </c>
      <c r="E2485" s="78" t="s">
        <v>691</v>
      </c>
      <c r="F2485" s="90" t="s">
        <v>691</v>
      </c>
      <c r="G2485" s="21" t="str">
        <f>VLOOKUP(D2485,[6]成飞半成品!$A:$B,2,0)</f>
        <v>地板支撑件</v>
      </c>
      <c r="H2485" s="10" t="s">
        <v>123</v>
      </c>
      <c r="I2485" s="10">
        <v>35</v>
      </c>
      <c r="J2485" s="10" t="s">
        <v>2086</v>
      </c>
      <c r="K2485" s="10">
        <v>1.3</v>
      </c>
      <c r="L2485" s="10">
        <v>1</v>
      </c>
      <c r="M2485" s="10">
        <v>26</v>
      </c>
      <c r="O2485" s="55" t="s">
        <v>1628</v>
      </c>
      <c r="Q2485" s="10">
        <v>410</v>
      </c>
      <c r="U2485" s="10">
        <v>90</v>
      </c>
      <c r="Y2485" s="79">
        <v>6.8</v>
      </c>
      <c r="Z2485" s="10" t="s">
        <v>71</v>
      </c>
    </row>
    <row r="2486" spans="1:28" ht="23.1" customHeight="1" x14ac:dyDescent="0.25">
      <c r="A2486" s="14" t="s">
        <v>1221</v>
      </c>
      <c r="B2486" s="10" t="s">
        <v>137</v>
      </c>
      <c r="C2486" s="10">
        <v>17</v>
      </c>
      <c r="D2486" s="10" t="s">
        <v>1702</v>
      </c>
      <c r="E2486" s="78" t="s">
        <v>625</v>
      </c>
      <c r="F2486" s="90" t="s">
        <v>625</v>
      </c>
      <c r="G2486" s="21" t="str">
        <f>VLOOKUP(D2486,[6]成飞半成品!$A:$B,2,0)</f>
        <v>支架</v>
      </c>
      <c r="H2486" s="10" t="s">
        <v>250</v>
      </c>
      <c r="I2486" s="10">
        <v>10</v>
      </c>
      <c r="J2486" s="10" t="s">
        <v>1916</v>
      </c>
      <c r="K2486" s="10">
        <v>19</v>
      </c>
      <c r="L2486" s="10">
        <v>19</v>
      </c>
      <c r="O2486" s="55" t="s">
        <v>247</v>
      </c>
      <c r="Q2486" s="10">
        <v>25</v>
      </c>
      <c r="U2486" s="10">
        <v>60</v>
      </c>
      <c r="X2486" s="14">
        <v>6</v>
      </c>
      <c r="Y2486" s="79">
        <v>13.9</v>
      </c>
      <c r="Z2486" s="10" t="s">
        <v>16</v>
      </c>
      <c r="AA2486" s="14" t="s">
        <v>1703</v>
      </c>
    </row>
    <row r="2487" spans="1:28" ht="23.1" customHeight="1" x14ac:dyDescent="0.25">
      <c r="A2487" s="14" t="s">
        <v>1221</v>
      </c>
      <c r="B2487" s="10" t="s">
        <v>137</v>
      </c>
      <c r="C2487" s="10">
        <v>59</v>
      </c>
      <c r="D2487" s="10" t="s">
        <v>1686</v>
      </c>
      <c r="E2487" s="78" t="s">
        <v>1687</v>
      </c>
      <c r="F2487" s="90" t="s">
        <v>1687</v>
      </c>
      <c r="G2487" s="21" t="str">
        <f>VLOOKUP(D2487,[6]成飞半成品!$A:$B,2,0)</f>
        <v>底板连接接头</v>
      </c>
      <c r="H2487" s="10" t="s">
        <v>102</v>
      </c>
      <c r="I2487" s="10">
        <v>20</v>
      </c>
      <c r="J2487" s="10" t="s">
        <v>2317</v>
      </c>
      <c r="K2487" s="10">
        <v>7</v>
      </c>
      <c r="L2487" s="10">
        <v>6</v>
      </c>
      <c r="M2487" s="10">
        <v>23</v>
      </c>
      <c r="N2487" s="10">
        <v>28</v>
      </c>
      <c r="O2487" s="55" t="s">
        <v>596</v>
      </c>
      <c r="Q2487" s="10">
        <v>140</v>
      </c>
      <c r="U2487" s="10">
        <v>90</v>
      </c>
      <c r="Y2487" s="79">
        <v>14</v>
      </c>
      <c r="Z2487" s="65" t="s">
        <v>1847</v>
      </c>
    </row>
    <row r="2488" spans="1:28" ht="23.1" customHeight="1" x14ac:dyDescent="0.25">
      <c r="A2488" s="14" t="s">
        <v>1221</v>
      </c>
      <c r="B2488" s="10" t="s">
        <v>137</v>
      </c>
      <c r="C2488" s="10">
        <v>58</v>
      </c>
      <c r="D2488" s="10" t="s">
        <v>1047</v>
      </c>
      <c r="E2488" s="78" t="s">
        <v>424</v>
      </c>
      <c r="F2488" s="90" t="s">
        <v>424</v>
      </c>
      <c r="G2488" s="21" t="str">
        <f>VLOOKUP(D2488,[6]成飞半成品!$A:$B,2,0)</f>
        <v>后梁四段</v>
      </c>
      <c r="H2488" s="10" t="s">
        <v>107</v>
      </c>
      <c r="I2488" s="10">
        <v>15</v>
      </c>
      <c r="J2488" s="10" t="s">
        <v>1961</v>
      </c>
      <c r="L2488" s="10">
        <v>0.5</v>
      </c>
      <c r="M2488" s="10">
        <v>5</v>
      </c>
      <c r="N2488" s="10">
        <v>23</v>
      </c>
      <c r="O2488" s="55" t="s">
        <v>1049</v>
      </c>
      <c r="Q2488" s="10">
        <v>150</v>
      </c>
      <c r="U2488" s="10">
        <v>100</v>
      </c>
      <c r="Y2488" s="79">
        <v>1.3</v>
      </c>
      <c r="Z2488" s="10" t="s">
        <v>7</v>
      </c>
    </row>
    <row r="2489" spans="1:28" ht="23.1" customHeight="1" x14ac:dyDescent="0.25">
      <c r="A2489" s="14" t="s">
        <v>1221</v>
      </c>
      <c r="B2489" s="10" t="s">
        <v>137</v>
      </c>
      <c r="C2489" s="10">
        <v>58</v>
      </c>
      <c r="D2489" s="10" t="s">
        <v>1047</v>
      </c>
      <c r="E2489" s="78" t="s">
        <v>424</v>
      </c>
      <c r="F2489" s="90" t="s">
        <v>424</v>
      </c>
      <c r="G2489" s="21" t="str">
        <f>VLOOKUP(D2489,[6]成飞半成品!$A:$B,2,0)</f>
        <v>后梁四段</v>
      </c>
      <c r="H2489" s="10" t="s">
        <v>107</v>
      </c>
      <c r="I2489" s="10">
        <v>20</v>
      </c>
      <c r="J2489" s="10" t="s">
        <v>1974</v>
      </c>
      <c r="L2489" s="10">
        <v>6</v>
      </c>
      <c r="M2489" s="10">
        <v>5</v>
      </c>
      <c r="N2489" s="10">
        <v>23</v>
      </c>
      <c r="O2489" s="55" t="s">
        <v>1049</v>
      </c>
      <c r="Q2489" s="10">
        <v>90</v>
      </c>
      <c r="U2489" s="10">
        <v>100</v>
      </c>
      <c r="W2489" s="10">
        <v>1</v>
      </c>
      <c r="Y2489" s="79">
        <v>10.7</v>
      </c>
      <c r="Z2489" s="10" t="s">
        <v>7</v>
      </c>
    </row>
    <row r="2490" spans="1:28" ht="23.1" customHeight="1" x14ac:dyDescent="0.25">
      <c r="A2490" s="14" t="s">
        <v>1221</v>
      </c>
      <c r="B2490" s="10" t="s">
        <v>137</v>
      </c>
      <c r="C2490" s="10">
        <v>18</v>
      </c>
      <c r="D2490" s="10" t="s">
        <v>921</v>
      </c>
      <c r="E2490" s="78" t="s">
        <v>919</v>
      </c>
      <c r="F2490" s="90" t="s">
        <v>919</v>
      </c>
      <c r="G2490" s="21" t="str">
        <f>VLOOKUP(D2490,[6]成飞半成品!$A:$B,2,0)</f>
        <v>雷达罩锁支座</v>
      </c>
      <c r="H2490" s="10" t="s">
        <v>323</v>
      </c>
      <c r="I2490" s="10">
        <v>10</v>
      </c>
      <c r="J2490" s="10" t="s">
        <v>2114</v>
      </c>
      <c r="K2490" s="10">
        <v>10</v>
      </c>
      <c r="L2490" s="10">
        <v>10</v>
      </c>
      <c r="M2490" s="10">
        <v>5</v>
      </c>
      <c r="N2490" s="10">
        <v>5</v>
      </c>
      <c r="O2490" s="55" t="s">
        <v>780</v>
      </c>
      <c r="Q2490" s="10">
        <v>60</v>
      </c>
      <c r="U2490" s="10">
        <v>90</v>
      </c>
      <c r="W2490" s="10">
        <v>1</v>
      </c>
      <c r="Y2490" s="79">
        <v>11.5</v>
      </c>
      <c r="Z2490" s="10" t="s">
        <v>16</v>
      </c>
    </row>
    <row r="2491" spans="1:28" ht="23.1" customHeight="1" x14ac:dyDescent="0.25">
      <c r="A2491" s="14" t="s">
        <v>1221</v>
      </c>
      <c r="B2491" s="10" t="s">
        <v>137</v>
      </c>
      <c r="C2491" s="10">
        <v>18</v>
      </c>
      <c r="D2491" s="10" t="s">
        <v>921</v>
      </c>
      <c r="E2491" s="78" t="s">
        <v>919</v>
      </c>
      <c r="F2491" s="90" t="s">
        <v>919</v>
      </c>
      <c r="G2491" s="21" t="str">
        <f>VLOOKUP(D2491,[6]成飞半成品!$A:$B,2,0)</f>
        <v>雷达罩锁支座</v>
      </c>
      <c r="H2491" s="10" t="s">
        <v>323</v>
      </c>
      <c r="I2491" s="10">
        <v>15</v>
      </c>
      <c r="J2491" s="10" t="s">
        <v>2516</v>
      </c>
      <c r="K2491" s="10">
        <v>1</v>
      </c>
      <c r="L2491" s="10">
        <v>1</v>
      </c>
      <c r="M2491" s="10">
        <v>5</v>
      </c>
      <c r="N2491" s="10">
        <v>5</v>
      </c>
      <c r="O2491" s="55" t="s">
        <v>780</v>
      </c>
      <c r="Q2491" s="10">
        <v>210</v>
      </c>
      <c r="U2491" s="10">
        <v>90</v>
      </c>
      <c r="W2491" s="10">
        <v>1</v>
      </c>
      <c r="Y2491" s="79">
        <v>5</v>
      </c>
      <c r="Z2491" s="10" t="s">
        <v>16</v>
      </c>
    </row>
    <row r="2492" spans="1:28" ht="23.1" customHeight="1" x14ac:dyDescent="0.25">
      <c r="A2492" s="14" t="s">
        <v>1221</v>
      </c>
      <c r="B2492" s="10" t="s">
        <v>137</v>
      </c>
      <c r="C2492" s="10">
        <v>16</v>
      </c>
      <c r="D2492" s="10" t="s">
        <v>1045</v>
      </c>
      <c r="E2492" s="78" t="s">
        <v>409</v>
      </c>
      <c r="F2492" s="90" t="s">
        <v>409</v>
      </c>
      <c r="G2492" s="21" t="str">
        <f>VLOOKUP(D2492,[6]成飞半成品!$A:$B,2,0)</f>
        <v>接头</v>
      </c>
      <c r="H2492" s="10" t="s">
        <v>102</v>
      </c>
      <c r="I2492" s="10">
        <v>15</v>
      </c>
      <c r="J2492" s="10" t="s">
        <v>2091</v>
      </c>
      <c r="K2492" s="10">
        <v>3</v>
      </c>
      <c r="L2492" s="10">
        <v>3</v>
      </c>
      <c r="M2492" s="10">
        <v>23</v>
      </c>
      <c r="N2492" s="10">
        <v>23</v>
      </c>
      <c r="O2492" s="55" t="s">
        <v>596</v>
      </c>
      <c r="Q2492" s="10">
        <v>55</v>
      </c>
      <c r="U2492" s="10">
        <v>60</v>
      </c>
      <c r="Y2492" s="79">
        <v>2.8</v>
      </c>
      <c r="Z2492" s="10" t="s">
        <v>63</v>
      </c>
    </row>
    <row r="2493" spans="1:28" ht="23.1" customHeight="1" x14ac:dyDescent="0.25">
      <c r="A2493" s="14" t="s">
        <v>1221</v>
      </c>
      <c r="B2493" s="10" t="s">
        <v>137</v>
      </c>
      <c r="C2493" s="10">
        <v>16</v>
      </c>
      <c r="D2493" s="10" t="s">
        <v>1045</v>
      </c>
      <c r="E2493" s="78" t="s">
        <v>409</v>
      </c>
      <c r="F2493" s="90" t="s">
        <v>409</v>
      </c>
      <c r="G2493" s="21" t="str">
        <f>VLOOKUP(D2493,[6]成飞半成品!$A:$B,2,0)</f>
        <v>接头</v>
      </c>
      <c r="H2493" s="10" t="s">
        <v>102</v>
      </c>
      <c r="I2493" s="10">
        <v>20</v>
      </c>
      <c r="J2493" s="10" t="s">
        <v>2099</v>
      </c>
      <c r="K2493" s="10">
        <v>8</v>
      </c>
      <c r="L2493" s="10">
        <v>5</v>
      </c>
      <c r="M2493" s="10">
        <v>23</v>
      </c>
      <c r="N2493" s="10">
        <v>28</v>
      </c>
      <c r="O2493" s="55" t="s">
        <v>596</v>
      </c>
      <c r="Q2493" s="10">
        <v>60</v>
      </c>
      <c r="U2493" s="10">
        <v>60</v>
      </c>
      <c r="W2493" s="10">
        <v>1</v>
      </c>
      <c r="X2493" s="14">
        <v>2</v>
      </c>
      <c r="Y2493" s="79">
        <v>8</v>
      </c>
      <c r="Z2493" s="10" t="s">
        <v>63</v>
      </c>
      <c r="AA2493" s="14" t="s">
        <v>1704</v>
      </c>
      <c r="AB2493" s="14" t="s">
        <v>238</v>
      </c>
    </row>
    <row r="2494" spans="1:28" ht="23.1" customHeight="1" x14ac:dyDescent="0.25">
      <c r="A2494" s="14" t="s">
        <v>1221</v>
      </c>
      <c r="B2494" s="10" t="s">
        <v>137</v>
      </c>
      <c r="C2494" s="10">
        <v>11</v>
      </c>
      <c r="D2494" s="10" t="s">
        <v>1296</v>
      </c>
      <c r="E2494" s="78" t="s">
        <v>1297</v>
      </c>
      <c r="F2494" s="90" t="s">
        <v>1297</v>
      </c>
      <c r="G2494" s="21" t="str">
        <f>VLOOKUP(D2494,[6]成飞半成品!$A:$B,2,0)</f>
        <v>固定板</v>
      </c>
      <c r="H2494" s="10" t="s">
        <v>154</v>
      </c>
      <c r="I2494" s="10">
        <v>10</v>
      </c>
      <c r="J2494" s="10" t="s">
        <v>1916</v>
      </c>
      <c r="K2494" s="10">
        <v>16</v>
      </c>
      <c r="L2494" s="10">
        <v>21</v>
      </c>
      <c r="M2494" s="10">
        <v>5</v>
      </c>
      <c r="N2494" s="10">
        <v>5</v>
      </c>
      <c r="O2494" s="55" t="s">
        <v>1119</v>
      </c>
      <c r="Q2494" s="10">
        <v>30</v>
      </c>
      <c r="U2494" s="10">
        <v>60</v>
      </c>
      <c r="Y2494" s="79">
        <v>10.5</v>
      </c>
      <c r="Z2494" s="10" t="s">
        <v>63</v>
      </c>
    </row>
    <row r="2495" spans="1:28" ht="23.1" customHeight="1" x14ac:dyDescent="0.25">
      <c r="A2495" s="14" t="s">
        <v>1221</v>
      </c>
      <c r="B2495" s="10" t="s">
        <v>137</v>
      </c>
      <c r="C2495" s="10">
        <v>11</v>
      </c>
      <c r="D2495" s="10" t="s">
        <v>1296</v>
      </c>
      <c r="E2495" s="78" t="s">
        <v>1297</v>
      </c>
      <c r="F2495" s="90" t="s">
        <v>1297</v>
      </c>
      <c r="G2495" s="21" t="str">
        <f>VLOOKUP(D2495,[6]成飞半成品!$A:$B,2,0)</f>
        <v>固定板</v>
      </c>
      <c r="H2495" s="10" t="s">
        <v>154</v>
      </c>
      <c r="I2495" s="10">
        <v>25</v>
      </c>
      <c r="J2495" s="10" t="s">
        <v>2054</v>
      </c>
      <c r="L2495" s="10">
        <v>9</v>
      </c>
      <c r="M2495" s="10">
        <v>23</v>
      </c>
      <c r="N2495" s="10">
        <v>28</v>
      </c>
      <c r="O2495" s="55" t="s">
        <v>199</v>
      </c>
      <c r="Q2495" s="10">
        <v>65</v>
      </c>
      <c r="U2495" s="10">
        <v>60</v>
      </c>
      <c r="W2495" s="10">
        <v>1</v>
      </c>
      <c r="Y2495" s="79">
        <v>10.8</v>
      </c>
      <c r="Z2495" s="10" t="s">
        <v>63</v>
      </c>
      <c r="AA2495" s="14" t="s">
        <v>1705</v>
      </c>
    </row>
    <row r="2496" spans="1:28" ht="23.1" customHeight="1" x14ac:dyDescent="0.25">
      <c r="A2496" s="14" t="s">
        <v>1221</v>
      </c>
      <c r="B2496" s="10" t="s">
        <v>137</v>
      </c>
      <c r="C2496" s="10">
        <v>17</v>
      </c>
      <c r="D2496" s="10" t="s">
        <v>916</v>
      </c>
      <c r="E2496" s="78" t="s">
        <v>917</v>
      </c>
      <c r="F2496" s="90" t="s">
        <v>917</v>
      </c>
      <c r="G2496" s="21" t="str">
        <f>VLOOKUP(D2496,[6]成飞半成品!$A:$B,2,0)</f>
        <v>座子</v>
      </c>
      <c r="H2496" s="10" t="s">
        <v>250</v>
      </c>
      <c r="I2496" s="10">
        <v>35</v>
      </c>
      <c r="J2496" s="10" t="s">
        <v>2333</v>
      </c>
      <c r="K2496" s="10">
        <v>5</v>
      </c>
      <c r="L2496" s="10">
        <v>5</v>
      </c>
      <c r="M2496" s="10">
        <v>5</v>
      </c>
      <c r="N2496" s="10">
        <v>5</v>
      </c>
      <c r="O2496" s="55" t="s">
        <v>247</v>
      </c>
      <c r="Q2496" s="10">
        <v>55</v>
      </c>
      <c r="U2496" s="10">
        <v>60</v>
      </c>
      <c r="Y2496" s="79">
        <v>4.5999999999999996</v>
      </c>
      <c r="Z2496" s="10" t="s">
        <v>16</v>
      </c>
    </row>
    <row r="2497" spans="1:27" ht="23.1" customHeight="1" x14ac:dyDescent="0.25">
      <c r="A2497" s="14" t="s">
        <v>1221</v>
      </c>
      <c r="B2497" s="10" t="s">
        <v>137</v>
      </c>
      <c r="C2497" s="10">
        <v>17</v>
      </c>
      <c r="D2497" s="10" t="s">
        <v>1702</v>
      </c>
      <c r="E2497" s="78" t="s">
        <v>625</v>
      </c>
      <c r="F2497" s="90" t="s">
        <v>625</v>
      </c>
      <c r="G2497" s="21" t="str">
        <f>VLOOKUP(D2497,[6]成飞半成品!$A:$B,2,0)</f>
        <v>支架</v>
      </c>
      <c r="H2497" s="10" t="s">
        <v>250</v>
      </c>
      <c r="I2497" s="10">
        <v>10</v>
      </c>
      <c r="J2497" s="10" t="s">
        <v>2315</v>
      </c>
      <c r="K2497" s="10">
        <v>15</v>
      </c>
      <c r="L2497" s="10">
        <v>19</v>
      </c>
      <c r="M2497" s="10">
        <v>5</v>
      </c>
      <c r="N2497" s="10">
        <v>5</v>
      </c>
      <c r="O2497" s="55" t="s">
        <v>247</v>
      </c>
      <c r="Q2497" s="10">
        <v>25</v>
      </c>
      <c r="U2497" s="10">
        <v>60</v>
      </c>
      <c r="W2497" s="10">
        <v>1</v>
      </c>
      <c r="Y2497" s="79">
        <v>8.9</v>
      </c>
      <c r="Z2497" s="10" t="s">
        <v>16</v>
      </c>
    </row>
    <row r="2498" spans="1:27" ht="23.1" customHeight="1" x14ac:dyDescent="0.25">
      <c r="A2498" s="14" t="s">
        <v>1221</v>
      </c>
      <c r="B2498" s="10" t="s">
        <v>137</v>
      </c>
      <c r="C2498" s="10">
        <v>57</v>
      </c>
      <c r="D2498" s="10" t="s">
        <v>1042</v>
      </c>
      <c r="E2498" s="78" t="s">
        <v>1281</v>
      </c>
      <c r="F2498" s="90" t="s">
        <v>1281</v>
      </c>
      <c r="G2498" s="21" t="str">
        <f>VLOOKUP(D2498,[6]成飞半成品!$A:$B,2,0)</f>
        <v>前上大梁（右）</v>
      </c>
      <c r="H2498" s="10" t="s">
        <v>107</v>
      </c>
      <c r="I2498" s="10">
        <v>10</v>
      </c>
      <c r="J2498" s="10" t="s">
        <v>2403</v>
      </c>
      <c r="K2498" s="10">
        <v>4</v>
      </c>
      <c r="L2498" s="10">
        <v>4</v>
      </c>
      <c r="M2498" s="10">
        <v>23</v>
      </c>
      <c r="N2498" s="10">
        <v>23</v>
      </c>
      <c r="O2498" s="55" t="s">
        <v>1033</v>
      </c>
      <c r="Q2498" s="10">
        <v>90</v>
      </c>
      <c r="U2498" s="10">
        <v>90</v>
      </c>
      <c r="Y2498" s="79">
        <v>6</v>
      </c>
      <c r="Z2498" s="10" t="s">
        <v>7</v>
      </c>
    </row>
    <row r="2499" spans="1:27" ht="23.1" customHeight="1" x14ac:dyDescent="0.25">
      <c r="A2499" s="14" t="s">
        <v>1221</v>
      </c>
      <c r="B2499" s="10" t="s">
        <v>113</v>
      </c>
      <c r="C2499" s="10">
        <v>77</v>
      </c>
      <c r="D2499" s="10" t="s">
        <v>1698</v>
      </c>
      <c r="E2499" s="78" t="s">
        <v>1699</v>
      </c>
      <c r="F2499" s="90" t="s">
        <v>1699</v>
      </c>
      <c r="G2499" s="21" t="str">
        <f>VLOOKUP(D2499,[6]成飞半成品!$A:$B,2,0)</f>
        <v>Z型件</v>
      </c>
      <c r="H2499" s="10" t="s">
        <v>118</v>
      </c>
      <c r="I2499" s="10">
        <v>10</v>
      </c>
      <c r="J2499" s="10" t="s">
        <v>1916</v>
      </c>
      <c r="K2499" s="10">
        <v>20</v>
      </c>
      <c r="L2499" s="10">
        <v>52</v>
      </c>
      <c r="M2499" s="10">
        <v>5</v>
      </c>
      <c r="N2499" s="10">
        <v>31</v>
      </c>
      <c r="O2499" s="55" t="s">
        <v>282</v>
      </c>
      <c r="Q2499" s="10">
        <v>30</v>
      </c>
      <c r="U2499" s="10">
        <v>60</v>
      </c>
      <c r="Y2499" s="79">
        <v>26</v>
      </c>
      <c r="Z2499" s="10" t="s">
        <v>15</v>
      </c>
    </row>
    <row r="2500" spans="1:27" ht="23.1" customHeight="1" x14ac:dyDescent="0.25">
      <c r="A2500" s="14" t="s">
        <v>1221</v>
      </c>
      <c r="B2500" s="10" t="s">
        <v>113</v>
      </c>
      <c r="C2500" s="10">
        <v>24</v>
      </c>
      <c r="D2500" s="10" t="s">
        <v>738</v>
      </c>
      <c r="E2500" s="78" t="s">
        <v>739</v>
      </c>
      <c r="F2500" s="90" t="s">
        <v>739</v>
      </c>
      <c r="G2500" s="21" t="str">
        <f>VLOOKUP(D2500,[6]成飞半成品!$A:$B,2,0)</f>
        <v>BL280侧壁（右件）</v>
      </c>
      <c r="H2500" s="10" t="s">
        <v>107</v>
      </c>
      <c r="I2500" s="10">
        <v>25</v>
      </c>
      <c r="J2500" s="10" t="s">
        <v>2035</v>
      </c>
      <c r="K2500" s="10">
        <v>1</v>
      </c>
      <c r="L2500" s="10">
        <v>1</v>
      </c>
      <c r="M2500" s="10">
        <v>28</v>
      </c>
      <c r="O2500" s="55" t="s">
        <v>1169</v>
      </c>
      <c r="Q2500" s="10">
        <v>840</v>
      </c>
      <c r="R2500" s="10">
        <v>120</v>
      </c>
      <c r="T2500" s="10">
        <v>1</v>
      </c>
      <c r="U2500" s="10">
        <v>150</v>
      </c>
      <c r="Y2500" s="79">
        <v>16</v>
      </c>
      <c r="Z2500" s="10" t="s">
        <v>53</v>
      </c>
    </row>
    <row r="2501" spans="1:27" ht="23.1" customHeight="1" x14ac:dyDescent="0.25">
      <c r="A2501" s="14" t="s">
        <v>1221</v>
      </c>
      <c r="B2501" s="10" t="s">
        <v>113</v>
      </c>
      <c r="C2501" s="10">
        <v>24</v>
      </c>
      <c r="D2501" s="10" t="s">
        <v>776</v>
      </c>
      <c r="E2501" s="78" t="s">
        <v>777</v>
      </c>
      <c r="F2501" s="90" t="s">
        <v>777</v>
      </c>
      <c r="G2501" s="21" t="str">
        <f>VLOOKUP(D2501,[6]成飞半成品!$A:$B,2,0)</f>
        <v>BL280侧壁（左件）</v>
      </c>
      <c r="H2501" s="10" t="s">
        <v>107</v>
      </c>
      <c r="I2501" s="10">
        <v>30</v>
      </c>
      <c r="J2501" s="10" t="s">
        <v>2061</v>
      </c>
      <c r="K2501" s="10">
        <v>0.1</v>
      </c>
      <c r="L2501" s="10">
        <v>0.1</v>
      </c>
      <c r="M2501" s="10">
        <v>23</v>
      </c>
      <c r="O2501" s="55" t="s">
        <v>861</v>
      </c>
      <c r="Q2501" s="10">
        <v>1700</v>
      </c>
      <c r="R2501" s="10">
        <v>120</v>
      </c>
      <c r="T2501" s="10">
        <v>1</v>
      </c>
      <c r="U2501" s="10">
        <v>210</v>
      </c>
      <c r="W2501" s="10">
        <v>1</v>
      </c>
      <c r="Y2501" s="79">
        <v>8.3000000000000007</v>
      </c>
      <c r="Z2501" s="10" t="s">
        <v>53</v>
      </c>
    </row>
    <row r="2502" spans="1:27" ht="23.1" customHeight="1" x14ac:dyDescent="0.25">
      <c r="A2502" s="14" t="s">
        <v>1221</v>
      </c>
      <c r="B2502" s="10" t="s">
        <v>113</v>
      </c>
      <c r="C2502" s="10">
        <v>69</v>
      </c>
      <c r="D2502" s="10" t="s">
        <v>1095</v>
      </c>
      <c r="E2502" s="78" t="s">
        <v>1096</v>
      </c>
      <c r="F2502" s="90" t="s">
        <v>1096</v>
      </c>
      <c r="G2502" s="21" t="str">
        <f>VLOOKUP(D2502,[6]成飞半成品!$A:$B,2,0)</f>
        <v>1150肋根肋</v>
      </c>
      <c r="H2502" s="10" t="s">
        <v>658</v>
      </c>
      <c r="I2502" s="10">
        <v>62</v>
      </c>
      <c r="K2502" s="10">
        <v>6</v>
      </c>
      <c r="L2502" s="10">
        <v>7.5</v>
      </c>
      <c r="M2502" s="10">
        <v>28</v>
      </c>
      <c r="N2502" s="10">
        <v>28</v>
      </c>
      <c r="O2502" s="55" t="s">
        <v>282</v>
      </c>
      <c r="P2502" s="10">
        <v>210</v>
      </c>
      <c r="S2502" s="10">
        <v>60</v>
      </c>
      <c r="T2502" s="10">
        <v>7</v>
      </c>
      <c r="Y2502" s="83">
        <v>33.299999999999997</v>
      </c>
      <c r="Z2502" s="10" t="s">
        <v>53</v>
      </c>
    </row>
    <row r="2503" spans="1:27" ht="23.1" customHeight="1" x14ac:dyDescent="0.25">
      <c r="A2503" s="14" t="s">
        <v>1221</v>
      </c>
      <c r="B2503" s="10" t="s">
        <v>113</v>
      </c>
      <c r="C2503" s="10">
        <v>91</v>
      </c>
      <c r="D2503" s="10" t="s">
        <v>254</v>
      </c>
      <c r="E2503" s="78" t="s">
        <v>255</v>
      </c>
      <c r="F2503" s="90" t="s">
        <v>1016</v>
      </c>
      <c r="G2503" s="21" t="str">
        <f>VLOOKUP(D2503,[6]成飞半成品!$A:$B,2,0)</f>
        <v>9350-11140右侧上梁</v>
      </c>
      <c r="H2503" s="10" t="s">
        <v>375</v>
      </c>
      <c r="I2503" s="10">
        <v>40</v>
      </c>
      <c r="J2503" s="10" t="s">
        <v>2110</v>
      </c>
      <c r="K2503" s="10">
        <v>0.4</v>
      </c>
      <c r="L2503" s="10">
        <v>0.3</v>
      </c>
      <c r="M2503" s="10">
        <v>28</v>
      </c>
      <c r="O2503" s="55" t="s">
        <v>664</v>
      </c>
      <c r="Q2503" s="10">
        <v>3000</v>
      </c>
      <c r="R2503" s="10">
        <v>90</v>
      </c>
      <c r="U2503" s="10">
        <v>120</v>
      </c>
      <c r="X2503" s="14">
        <v>4</v>
      </c>
      <c r="Y2503" s="79">
        <v>19</v>
      </c>
      <c r="Z2503" s="10" t="s">
        <v>53</v>
      </c>
      <c r="AA2503" s="14" t="s">
        <v>1706</v>
      </c>
    </row>
    <row r="2504" spans="1:27" ht="23.1" customHeight="1" x14ac:dyDescent="0.25">
      <c r="A2504" s="14" t="s">
        <v>1221</v>
      </c>
      <c r="B2504" s="10" t="s">
        <v>113</v>
      </c>
      <c r="C2504" s="10">
        <v>84</v>
      </c>
      <c r="D2504" s="10" t="s">
        <v>436</v>
      </c>
      <c r="E2504" s="78" t="s">
        <v>437</v>
      </c>
      <c r="F2504" s="90" t="s">
        <v>437</v>
      </c>
      <c r="G2504" s="21" t="str">
        <f>VLOOKUP(D2504,[6]成飞半成品!$A:$B,2,0)</f>
        <v>外副作动器整流罩支撑件上段</v>
      </c>
      <c r="H2504" s="10" t="s">
        <v>154</v>
      </c>
      <c r="I2504" s="10">
        <v>25</v>
      </c>
      <c r="J2504" s="10" t="s">
        <v>2517</v>
      </c>
      <c r="K2504" s="10">
        <v>2</v>
      </c>
      <c r="L2504" s="10">
        <v>2</v>
      </c>
      <c r="M2504" s="10">
        <v>23</v>
      </c>
      <c r="N2504" s="10">
        <v>28</v>
      </c>
      <c r="O2504" s="55" t="s">
        <v>438</v>
      </c>
      <c r="Q2504" s="10">
        <v>150</v>
      </c>
      <c r="R2504" s="10">
        <v>60</v>
      </c>
      <c r="T2504" s="10">
        <v>2</v>
      </c>
      <c r="U2504" s="10">
        <v>120</v>
      </c>
      <c r="W2504" s="10">
        <v>1</v>
      </c>
      <c r="Y2504" s="79">
        <v>9</v>
      </c>
      <c r="Z2504" s="10" t="s">
        <v>53</v>
      </c>
    </row>
    <row r="2505" spans="1:27" ht="23.1" customHeight="1" x14ac:dyDescent="0.25">
      <c r="A2505" s="14" t="s">
        <v>1221</v>
      </c>
      <c r="B2505" s="10" t="s">
        <v>113</v>
      </c>
      <c r="C2505" s="10">
        <v>84</v>
      </c>
      <c r="D2505" s="10" t="s">
        <v>1707</v>
      </c>
      <c r="E2505" s="78" t="s">
        <v>437</v>
      </c>
      <c r="F2505" s="90" t="s">
        <v>437</v>
      </c>
      <c r="G2505" s="21" t="str">
        <f>VLOOKUP(D2505,[6]成飞半成品!$A:$B,2,0)</f>
        <v>外副作动器整流罩支撑件上段</v>
      </c>
      <c r="H2505" s="10" t="s">
        <v>154</v>
      </c>
      <c r="I2505" s="10">
        <v>25</v>
      </c>
      <c r="J2505" s="10" t="s">
        <v>2336</v>
      </c>
      <c r="K2505" s="10">
        <v>2</v>
      </c>
      <c r="L2505" s="10">
        <v>2</v>
      </c>
      <c r="M2505" s="10">
        <v>28</v>
      </c>
      <c r="N2505" s="10">
        <v>28</v>
      </c>
      <c r="O2505" s="55" t="s">
        <v>438</v>
      </c>
      <c r="Q2505" s="10">
        <v>180</v>
      </c>
      <c r="R2505" s="10">
        <v>60</v>
      </c>
      <c r="T2505" s="10">
        <v>2</v>
      </c>
      <c r="U2505" s="10">
        <v>120</v>
      </c>
      <c r="W2505" s="10">
        <v>1</v>
      </c>
      <c r="X2505" s="10">
        <v>3</v>
      </c>
      <c r="Y2505" s="79">
        <v>13</v>
      </c>
      <c r="Z2505" s="10" t="s">
        <v>53</v>
      </c>
      <c r="AA2505" s="14" t="s">
        <v>1697</v>
      </c>
    </row>
    <row r="2506" spans="1:27" ht="23.1" customHeight="1" x14ac:dyDescent="0.25">
      <c r="A2506" s="14" t="s">
        <v>1221</v>
      </c>
      <c r="B2506" s="10" t="s">
        <v>113</v>
      </c>
      <c r="C2506" s="10">
        <v>84</v>
      </c>
      <c r="D2506" s="10" t="s">
        <v>441</v>
      </c>
      <c r="E2506" s="78" t="s">
        <v>437</v>
      </c>
      <c r="F2506" s="90" t="s">
        <v>437</v>
      </c>
      <c r="G2506" s="21" t="str">
        <f>VLOOKUP(D2506,[6]成飞半成品!$A:$B,2,0)</f>
        <v>外副作动器整流罩支撑件上段</v>
      </c>
      <c r="H2506" s="10" t="s">
        <v>154</v>
      </c>
      <c r="I2506" s="10">
        <v>25</v>
      </c>
      <c r="J2506" s="10" t="s">
        <v>2052</v>
      </c>
      <c r="K2506" s="10">
        <v>2</v>
      </c>
      <c r="L2506" s="10">
        <v>2</v>
      </c>
      <c r="M2506" s="10">
        <v>28</v>
      </c>
      <c r="N2506" s="10">
        <v>28</v>
      </c>
      <c r="O2506" s="55" t="s">
        <v>438</v>
      </c>
      <c r="Q2506" s="10">
        <v>150</v>
      </c>
      <c r="R2506" s="10">
        <v>60</v>
      </c>
      <c r="T2506" s="10">
        <v>2</v>
      </c>
      <c r="U2506" s="10">
        <v>120</v>
      </c>
      <c r="W2506" s="10">
        <v>1</v>
      </c>
      <c r="Y2506" s="79">
        <v>9</v>
      </c>
      <c r="Z2506" s="10" t="s">
        <v>53</v>
      </c>
    </row>
    <row r="2507" spans="1:27" ht="23.1" customHeight="1" x14ac:dyDescent="0.25">
      <c r="A2507" s="14" t="s">
        <v>1221</v>
      </c>
      <c r="B2507" s="10" t="s">
        <v>113</v>
      </c>
      <c r="C2507" s="10">
        <v>119</v>
      </c>
      <c r="D2507" s="65" t="s">
        <v>2551</v>
      </c>
      <c r="E2507" s="78" t="s">
        <v>938</v>
      </c>
      <c r="F2507" s="90" t="s">
        <v>938</v>
      </c>
      <c r="G2507" s="21" t="str">
        <f>VLOOKUP(D2507,[6]成飞半成品!$A:$B,2,0)</f>
        <v>工装</v>
      </c>
      <c r="H2507" s="10" t="s">
        <v>939</v>
      </c>
      <c r="I2507" s="10">
        <v>60</v>
      </c>
      <c r="J2507" s="10" t="s">
        <v>2203</v>
      </c>
      <c r="K2507" s="10">
        <v>0.4</v>
      </c>
      <c r="L2507" s="10">
        <v>0.3</v>
      </c>
      <c r="M2507" s="10">
        <v>5</v>
      </c>
      <c r="O2507" s="55" t="s">
        <v>470</v>
      </c>
      <c r="Q2507" s="10">
        <v>900</v>
      </c>
      <c r="R2507" s="10">
        <v>90</v>
      </c>
      <c r="U2507" s="10">
        <v>180</v>
      </c>
      <c r="X2507" s="14">
        <v>3</v>
      </c>
      <c r="Y2507" s="79">
        <v>7.5</v>
      </c>
      <c r="Z2507" s="10" t="s">
        <v>53</v>
      </c>
      <c r="AA2507" s="14" t="s">
        <v>1697</v>
      </c>
    </row>
    <row r="2508" spans="1:27" ht="23.1" customHeight="1" x14ac:dyDescent="0.25">
      <c r="A2508" s="14" t="s">
        <v>1221</v>
      </c>
      <c r="B2508" s="10" t="s">
        <v>113</v>
      </c>
      <c r="C2508" s="10">
        <v>119</v>
      </c>
      <c r="D2508" s="10" t="s">
        <v>1067</v>
      </c>
      <c r="E2508" s="78" t="s">
        <v>1068</v>
      </c>
      <c r="F2508" s="90" t="s">
        <v>1068</v>
      </c>
      <c r="G2508" s="21" t="str">
        <f>VLOOKUP(D2508,[6]成飞半成品!$A:$B,2,0)</f>
        <v>11900梁一段（右件）</v>
      </c>
      <c r="H2508" s="47" t="s">
        <v>323</v>
      </c>
      <c r="I2508" s="10">
        <v>50</v>
      </c>
      <c r="J2508" s="10" t="s">
        <v>2337</v>
      </c>
      <c r="K2508" s="10">
        <v>0.3</v>
      </c>
      <c r="L2508" s="10">
        <v>1</v>
      </c>
      <c r="M2508" s="10">
        <v>28</v>
      </c>
      <c r="O2508" s="55" t="s">
        <v>316</v>
      </c>
      <c r="Q2508" s="10">
        <v>150</v>
      </c>
      <c r="R2508" s="10">
        <v>75</v>
      </c>
      <c r="T2508" s="10">
        <v>1</v>
      </c>
      <c r="U2508" s="10">
        <v>180</v>
      </c>
      <c r="W2508" s="10">
        <v>1</v>
      </c>
      <c r="X2508" s="10">
        <v>4</v>
      </c>
      <c r="Y2508" s="79">
        <v>10.8</v>
      </c>
      <c r="Z2508" s="10" t="s">
        <v>53</v>
      </c>
      <c r="AA2508" s="14" t="s">
        <v>1474</v>
      </c>
    </row>
    <row r="2509" spans="1:27" ht="23.1" customHeight="1" x14ac:dyDescent="0.25">
      <c r="A2509" s="14" t="s">
        <v>1221</v>
      </c>
      <c r="B2509" s="10" t="s">
        <v>113</v>
      </c>
      <c r="C2509" s="10">
        <v>121</v>
      </c>
      <c r="D2509" s="10" t="s">
        <v>1071</v>
      </c>
      <c r="E2509" s="78" t="s">
        <v>1072</v>
      </c>
      <c r="F2509" s="90" t="e">
        <v>#N/A</v>
      </c>
      <c r="G2509" s="21" t="e">
        <f>VLOOKUP(D2509,[6]成飞半成品!$A:$B,2,0)</f>
        <v>#N/A</v>
      </c>
      <c r="H2509" s="10" t="s">
        <v>250</v>
      </c>
      <c r="I2509" s="10">
        <v>35</v>
      </c>
      <c r="J2509" s="10" t="s">
        <v>2328</v>
      </c>
      <c r="K2509" s="10">
        <v>1.5</v>
      </c>
      <c r="L2509" s="10">
        <v>1.3</v>
      </c>
      <c r="M2509" s="10">
        <v>28</v>
      </c>
      <c r="N2509" s="10">
        <v>31</v>
      </c>
      <c r="O2509" s="55" t="s">
        <v>1588</v>
      </c>
      <c r="Q2509" s="10">
        <v>960</v>
      </c>
      <c r="R2509" s="10">
        <v>90</v>
      </c>
      <c r="T2509" s="10">
        <v>1</v>
      </c>
      <c r="U2509" s="10">
        <v>180</v>
      </c>
      <c r="Y2509" s="79">
        <v>22.3</v>
      </c>
      <c r="Z2509" s="10" t="s">
        <v>53</v>
      </c>
      <c r="AA2509" s="14" t="s">
        <v>1708</v>
      </c>
    </row>
    <row r="2510" spans="1:27" ht="23.1" customHeight="1" x14ac:dyDescent="0.25">
      <c r="A2510" s="14" t="s">
        <v>1221</v>
      </c>
      <c r="B2510" s="10" t="s">
        <v>113</v>
      </c>
      <c r="C2510" s="10">
        <v>76</v>
      </c>
      <c r="D2510" s="10" t="s">
        <v>1553</v>
      </c>
      <c r="E2510" s="78" t="s">
        <v>409</v>
      </c>
      <c r="F2510" s="90" t="e">
        <v>#N/A</v>
      </c>
      <c r="G2510" s="21" t="e">
        <f>VLOOKUP(D2510,[6]成飞半成品!$A:$B,2,0)</f>
        <v>#N/A</v>
      </c>
      <c r="H2510" s="10" t="s">
        <v>102</v>
      </c>
      <c r="I2510" s="10">
        <v>15</v>
      </c>
      <c r="L2510" s="10">
        <v>8</v>
      </c>
      <c r="M2510" s="10">
        <v>5</v>
      </c>
      <c r="N2510" s="10">
        <v>31</v>
      </c>
      <c r="O2510" s="55" t="s">
        <v>596</v>
      </c>
      <c r="P2510" s="10">
        <v>35</v>
      </c>
      <c r="V2510" s="10">
        <v>90</v>
      </c>
      <c r="W2510" s="10">
        <v>1</v>
      </c>
      <c r="Y2510" s="83">
        <v>6.2</v>
      </c>
      <c r="Z2510" s="10" t="s">
        <v>46</v>
      </c>
      <c r="AA2510" s="14" t="s">
        <v>1709</v>
      </c>
    </row>
    <row r="2511" spans="1:27" ht="23.1" customHeight="1" x14ac:dyDescent="0.25">
      <c r="A2511" s="14" t="s">
        <v>1221</v>
      </c>
      <c r="B2511" s="10" t="s">
        <v>113</v>
      </c>
      <c r="C2511" s="10">
        <v>76</v>
      </c>
      <c r="D2511" s="10" t="s">
        <v>1553</v>
      </c>
      <c r="E2511" s="78" t="s">
        <v>409</v>
      </c>
      <c r="F2511" s="90" t="e">
        <v>#N/A</v>
      </c>
      <c r="G2511" s="21" t="e">
        <f>VLOOKUP(D2511,[6]成飞半成品!$A:$B,2,0)</f>
        <v>#N/A</v>
      </c>
      <c r="H2511" s="10" t="s">
        <v>102</v>
      </c>
      <c r="I2511" s="10">
        <v>20</v>
      </c>
      <c r="L2511" s="10">
        <v>8</v>
      </c>
      <c r="M2511" s="10">
        <v>5</v>
      </c>
      <c r="N2511" s="10">
        <v>31</v>
      </c>
      <c r="O2511" s="55" t="s">
        <v>596</v>
      </c>
      <c r="P2511" s="10">
        <v>20</v>
      </c>
      <c r="V2511" s="10">
        <v>60</v>
      </c>
      <c r="W2511" s="10">
        <v>1</v>
      </c>
      <c r="Y2511" s="83">
        <v>3.7</v>
      </c>
      <c r="Z2511" s="10" t="s">
        <v>46</v>
      </c>
      <c r="AA2511" s="14" t="s">
        <v>1710</v>
      </c>
    </row>
    <row r="2512" spans="1:27" ht="23.1" customHeight="1" x14ac:dyDescent="0.25">
      <c r="A2512" s="14" t="s">
        <v>1221</v>
      </c>
      <c r="B2512" s="10" t="s">
        <v>113</v>
      </c>
      <c r="C2512" s="10">
        <v>55</v>
      </c>
      <c r="D2512" s="10" t="s">
        <v>273</v>
      </c>
      <c r="E2512" s="78" t="s">
        <v>274</v>
      </c>
      <c r="F2512" s="90" t="s">
        <v>274</v>
      </c>
      <c r="G2512" s="21" t="str">
        <f>VLOOKUP(D2512,[6]成飞半成品!$A:$B,2,0)</f>
        <v>前起落架水平接头</v>
      </c>
      <c r="H2512" s="10" t="s">
        <v>123</v>
      </c>
      <c r="I2512" s="10">
        <v>45</v>
      </c>
      <c r="J2512" s="10" t="s">
        <v>1954</v>
      </c>
      <c r="K2512" s="10">
        <v>3</v>
      </c>
      <c r="L2512" s="10">
        <v>3</v>
      </c>
      <c r="M2512" s="10">
        <v>31</v>
      </c>
      <c r="N2512" s="10">
        <v>37</v>
      </c>
      <c r="O2512" s="55" t="s">
        <v>275</v>
      </c>
      <c r="Q2512" s="10">
        <v>240</v>
      </c>
      <c r="U2512" s="10">
        <v>90</v>
      </c>
      <c r="W2512" s="10">
        <v>1</v>
      </c>
      <c r="Y2512" s="79">
        <v>13.5</v>
      </c>
      <c r="Z2512" s="10" t="s">
        <v>44</v>
      </c>
    </row>
    <row r="2513" spans="1:28" ht="23.1" customHeight="1" x14ac:dyDescent="0.25">
      <c r="A2513" s="14" t="s">
        <v>1221</v>
      </c>
      <c r="B2513" s="10" t="s">
        <v>113</v>
      </c>
      <c r="C2513" s="10">
        <v>58</v>
      </c>
      <c r="D2513" s="10" t="s">
        <v>1047</v>
      </c>
      <c r="E2513" s="78" t="s">
        <v>424</v>
      </c>
      <c r="F2513" s="90" t="s">
        <v>424</v>
      </c>
      <c r="G2513" s="21" t="str">
        <f>VLOOKUP(D2513,[6]成飞半成品!$A:$B,2,0)</f>
        <v>后梁四段</v>
      </c>
      <c r="H2513" s="10" t="s">
        <v>107</v>
      </c>
      <c r="I2513" s="10">
        <v>20</v>
      </c>
      <c r="J2513" s="10" t="s">
        <v>1974</v>
      </c>
      <c r="K2513" s="10">
        <v>2</v>
      </c>
      <c r="L2513" s="10">
        <v>1</v>
      </c>
      <c r="M2513" s="10">
        <v>28</v>
      </c>
      <c r="O2513" s="55" t="s">
        <v>1440</v>
      </c>
      <c r="Q2513" s="10">
        <v>90</v>
      </c>
      <c r="U2513" s="10">
        <v>100</v>
      </c>
      <c r="Y2513" s="79">
        <v>1.5</v>
      </c>
      <c r="Z2513" s="10" t="s">
        <v>57</v>
      </c>
    </row>
    <row r="2514" spans="1:28" ht="23.1" customHeight="1" x14ac:dyDescent="0.25">
      <c r="A2514" s="14" t="s">
        <v>1221</v>
      </c>
      <c r="B2514" s="10" t="s">
        <v>113</v>
      </c>
      <c r="C2514" s="10">
        <v>58</v>
      </c>
      <c r="D2514" s="10" t="s">
        <v>1047</v>
      </c>
      <c r="E2514" s="78" t="s">
        <v>424</v>
      </c>
      <c r="F2514" s="90" t="s">
        <v>424</v>
      </c>
      <c r="G2514" s="21" t="str">
        <f>VLOOKUP(D2514,[6]成飞半成品!$A:$B,2,0)</f>
        <v>后梁四段</v>
      </c>
      <c r="H2514" s="10" t="s">
        <v>107</v>
      </c>
      <c r="I2514" s="10">
        <v>25</v>
      </c>
      <c r="J2514" s="10" t="s">
        <v>2518</v>
      </c>
      <c r="K2514" s="10">
        <v>3</v>
      </c>
      <c r="L2514" s="10">
        <v>3</v>
      </c>
      <c r="M2514" s="10">
        <v>28</v>
      </c>
      <c r="N2514" s="10">
        <v>9</v>
      </c>
      <c r="O2514" s="55" t="s">
        <v>1049</v>
      </c>
      <c r="Q2514" s="10">
        <v>85</v>
      </c>
      <c r="U2514" s="10">
        <v>120</v>
      </c>
      <c r="W2514" s="10">
        <v>1</v>
      </c>
      <c r="X2514" s="14">
        <v>2</v>
      </c>
      <c r="Y2514" s="79">
        <v>8.3000000000000007</v>
      </c>
      <c r="Z2514" s="10" t="s">
        <v>57</v>
      </c>
      <c r="AA2514" s="14" t="s">
        <v>1671</v>
      </c>
      <c r="AB2514" s="14" t="s">
        <v>238</v>
      </c>
    </row>
    <row r="2515" spans="1:28" ht="23.1" customHeight="1" x14ac:dyDescent="0.25">
      <c r="A2515" s="14" t="s">
        <v>1221</v>
      </c>
      <c r="B2515" s="10" t="s">
        <v>113</v>
      </c>
      <c r="C2515" s="10">
        <v>57</v>
      </c>
      <c r="D2515" s="10" t="s">
        <v>1042</v>
      </c>
      <c r="E2515" s="78" t="s">
        <v>1281</v>
      </c>
      <c r="F2515" s="90" t="s">
        <v>1281</v>
      </c>
      <c r="G2515" s="21" t="str">
        <f>VLOOKUP(D2515,[6]成飞半成品!$A:$B,2,0)</f>
        <v>前上大梁（右）</v>
      </c>
      <c r="H2515" s="10" t="s">
        <v>107</v>
      </c>
      <c r="I2515" s="10">
        <v>15</v>
      </c>
      <c r="J2515" s="10" t="s">
        <v>2338</v>
      </c>
      <c r="K2515" s="10">
        <v>3.5</v>
      </c>
      <c r="L2515" s="10">
        <v>2</v>
      </c>
      <c r="M2515" s="10">
        <v>19</v>
      </c>
      <c r="N2515" s="10">
        <v>19</v>
      </c>
      <c r="O2515" s="55" t="s">
        <v>1043</v>
      </c>
      <c r="Q2515" s="10">
        <v>180</v>
      </c>
      <c r="U2515" s="10">
        <v>90</v>
      </c>
      <c r="W2515" s="10">
        <v>1</v>
      </c>
      <c r="X2515" s="14">
        <v>3</v>
      </c>
      <c r="Y2515" s="79">
        <v>10.5</v>
      </c>
      <c r="Z2515" s="10" t="s">
        <v>57</v>
      </c>
      <c r="AA2515" s="14" t="s">
        <v>1711</v>
      </c>
      <c r="AB2515" s="14" t="s">
        <v>238</v>
      </c>
    </row>
    <row r="2516" spans="1:28" ht="23.1" customHeight="1" x14ac:dyDescent="0.25">
      <c r="A2516" s="14" t="s">
        <v>1221</v>
      </c>
      <c r="B2516" s="10" t="s">
        <v>113</v>
      </c>
      <c r="C2516" s="10">
        <v>23</v>
      </c>
      <c r="D2516" s="10" t="s">
        <v>987</v>
      </c>
      <c r="E2516" s="78" t="s">
        <v>988</v>
      </c>
      <c r="F2516" s="90" t="s">
        <v>988</v>
      </c>
      <c r="G2516" s="21" t="str">
        <f>VLOOKUP(D2516,[6]成飞半成品!$A:$B,2,0)</f>
        <v>8270左隔框</v>
      </c>
      <c r="H2516" s="10" t="s">
        <v>300</v>
      </c>
      <c r="I2516" s="10">
        <v>20</v>
      </c>
      <c r="J2516" s="10" t="s">
        <v>2332</v>
      </c>
      <c r="K2516" s="10">
        <v>0.3</v>
      </c>
      <c r="L2516" s="10">
        <v>0.2</v>
      </c>
      <c r="M2516" s="10">
        <v>31</v>
      </c>
      <c r="O2516" s="55" t="s">
        <v>155</v>
      </c>
      <c r="Q2516" s="10">
        <v>420</v>
      </c>
      <c r="R2516" s="10">
        <v>60</v>
      </c>
      <c r="U2516" s="10">
        <v>90</v>
      </c>
      <c r="Y2516" s="79">
        <v>1.4</v>
      </c>
      <c r="Z2516" s="10" t="s">
        <v>33</v>
      </c>
    </row>
    <row r="2517" spans="1:28" ht="23.1" customHeight="1" x14ac:dyDescent="0.25">
      <c r="A2517" s="14" t="s">
        <v>1221</v>
      </c>
      <c r="B2517" s="10" t="s">
        <v>113</v>
      </c>
      <c r="C2517" s="10">
        <v>23</v>
      </c>
      <c r="D2517" s="10" t="s">
        <v>990</v>
      </c>
      <c r="E2517" s="78" t="s">
        <v>991</v>
      </c>
      <c r="F2517" s="90" t="s">
        <v>991</v>
      </c>
      <c r="G2517" s="21" t="str">
        <f>VLOOKUP(D2517,[6]成飞半成品!$A:$B,2,0)</f>
        <v>8270右隔框</v>
      </c>
      <c r="H2517" s="10" t="s">
        <v>300</v>
      </c>
      <c r="I2517" s="10">
        <v>20</v>
      </c>
      <c r="J2517" s="10" t="s">
        <v>2332</v>
      </c>
      <c r="K2517" s="10">
        <v>2</v>
      </c>
      <c r="L2517" s="10">
        <v>2.4</v>
      </c>
      <c r="M2517" s="10">
        <v>28</v>
      </c>
      <c r="N2517" s="10">
        <v>19</v>
      </c>
      <c r="O2517" s="55" t="s">
        <v>989</v>
      </c>
      <c r="Q2517" s="10">
        <v>420</v>
      </c>
      <c r="R2517" s="10">
        <v>60</v>
      </c>
      <c r="T2517" s="10">
        <v>3</v>
      </c>
      <c r="U2517" s="10">
        <v>90</v>
      </c>
      <c r="W2517" s="10">
        <v>1</v>
      </c>
      <c r="Y2517" s="79">
        <v>21.3</v>
      </c>
      <c r="Z2517" s="10" t="s">
        <v>33</v>
      </c>
    </row>
    <row r="2518" spans="1:28" ht="23.1" customHeight="1" x14ac:dyDescent="0.25">
      <c r="A2518" s="14" t="s">
        <v>1221</v>
      </c>
      <c r="B2518" s="10" t="s">
        <v>113</v>
      </c>
      <c r="C2518" s="10">
        <v>47</v>
      </c>
      <c r="D2518" s="10" t="s">
        <v>2560</v>
      </c>
      <c r="E2518" s="78" t="s">
        <v>979</v>
      </c>
      <c r="F2518" s="90" t="s">
        <v>979</v>
      </c>
      <c r="G2518" s="21" t="str">
        <f>VLOOKUP(D2518,[6]成飞半成品!$A:$B,2,0)</f>
        <v>翼尖接头</v>
      </c>
      <c r="H2518" s="10" t="s">
        <v>154</v>
      </c>
      <c r="I2518" s="10">
        <v>60</v>
      </c>
      <c r="J2518" s="10" t="s">
        <v>2331</v>
      </c>
      <c r="K2518" s="10">
        <v>0.8</v>
      </c>
      <c r="L2518" s="10">
        <v>1.5</v>
      </c>
      <c r="M2518" s="10">
        <v>28</v>
      </c>
      <c r="N2518" s="10">
        <v>19</v>
      </c>
      <c r="O2518" s="55" t="s">
        <v>1018</v>
      </c>
      <c r="Q2518" s="10">
        <v>520</v>
      </c>
      <c r="R2518" s="10">
        <v>120</v>
      </c>
      <c r="T2518" s="10">
        <v>2</v>
      </c>
      <c r="U2518" s="10">
        <v>90</v>
      </c>
      <c r="W2518" s="10">
        <v>1</v>
      </c>
      <c r="Y2518" s="79">
        <v>18.5</v>
      </c>
      <c r="Z2518" s="10" t="s">
        <v>33</v>
      </c>
    </row>
    <row r="2519" spans="1:28" ht="23.1" customHeight="1" x14ac:dyDescent="0.25">
      <c r="A2519" s="14" t="s">
        <v>1221</v>
      </c>
      <c r="B2519" s="10" t="s">
        <v>113</v>
      </c>
      <c r="C2519" s="10">
        <v>9</v>
      </c>
      <c r="D2519" s="10" t="s">
        <v>911</v>
      </c>
      <c r="E2519" s="78" t="s">
        <v>912</v>
      </c>
      <c r="F2519" s="90" t="s">
        <v>912</v>
      </c>
      <c r="G2519" s="21" t="str">
        <f>VLOOKUP(D2519,[6]成飞半成品!$A:$B,2,0)</f>
        <v>安装支座</v>
      </c>
      <c r="H2519" s="10" t="s">
        <v>154</v>
      </c>
      <c r="I2519" s="10">
        <v>20</v>
      </c>
      <c r="J2519" s="10" t="s">
        <v>2235</v>
      </c>
      <c r="K2519" s="10">
        <v>5</v>
      </c>
      <c r="L2519" s="10">
        <v>6.2</v>
      </c>
      <c r="M2519" s="10">
        <v>28</v>
      </c>
      <c r="N2519" s="10">
        <v>37</v>
      </c>
      <c r="O2519" s="55" t="s">
        <v>913</v>
      </c>
      <c r="Q2519" s="10">
        <v>140</v>
      </c>
      <c r="U2519" s="10">
        <v>60</v>
      </c>
      <c r="Y2519" s="79">
        <v>14.5</v>
      </c>
      <c r="Z2519" s="10" t="s">
        <v>55</v>
      </c>
    </row>
    <row r="2520" spans="1:28" ht="23.1" customHeight="1" x14ac:dyDescent="0.25">
      <c r="A2520" s="14" t="s">
        <v>1221</v>
      </c>
      <c r="B2520" s="10" t="s">
        <v>113</v>
      </c>
      <c r="C2520" s="10">
        <v>10</v>
      </c>
      <c r="D2520" s="10" t="s">
        <v>946</v>
      </c>
      <c r="E2520" s="78" t="s">
        <v>947</v>
      </c>
      <c r="F2520" s="90" t="s">
        <v>947</v>
      </c>
      <c r="G2520" s="21" t="str">
        <f>VLOOKUP(D2520,[6]成飞半成品!$A:$B,2,0)</f>
        <v>5755横框</v>
      </c>
      <c r="H2520" s="10" t="s">
        <v>300</v>
      </c>
      <c r="I2520" s="10">
        <v>20</v>
      </c>
      <c r="J2520" s="10" t="s">
        <v>2234</v>
      </c>
      <c r="K2520" s="10">
        <v>1.6</v>
      </c>
      <c r="L2520" s="10">
        <v>1.8</v>
      </c>
      <c r="M2520" s="10">
        <v>28</v>
      </c>
      <c r="N2520" s="10">
        <v>9</v>
      </c>
      <c r="O2520" s="55" t="s">
        <v>1712</v>
      </c>
      <c r="Q2520" s="10">
        <v>360</v>
      </c>
      <c r="U2520" s="10">
        <v>90</v>
      </c>
      <c r="Y2520" s="79">
        <v>10.8</v>
      </c>
      <c r="Z2520" s="10" t="s">
        <v>55</v>
      </c>
    </row>
    <row r="2521" spans="1:28" ht="23.1" customHeight="1" x14ac:dyDescent="0.25">
      <c r="A2521" s="14" t="s">
        <v>1221</v>
      </c>
      <c r="B2521" s="10" t="s">
        <v>113</v>
      </c>
      <c r="C2521" s="10">
        <v>9</v>
      </c>
      <c r="D2521" s="10" t="s">
        <v>1341</v>
      </c>
      <c r="E2521" s="78" t="s">
        <v>595</v>
      </c>
      <c r="F2521" s="90" t="s">
        <v>595</v>
      </c>
      <c r="G2521" s="21" t="str">
        <f>VLOOKUP(D2521,[6]成飞半成品!$A:$B,2,0)</f>
        <v>加强件</v>
      </c>
      <c r="H2521" s="10" t="s">
        <v>123</v>
      </c>
      <c r="I2521" s="10">
        <v>15</v>
      </c>
      <c r="J2521" s="10" t="s">
        <v>2231</v>
      </c>
      <c r="L2521" s="10">
        <v>7</v>
      </c>
      <c r="M2521" s="10">
        <v>31</v>
      </c>
      <c r="N2521" s="10">
        <v>37</v>
      </c>
      <c r="O2521" s="55" t="s">
        <v>1342</v>
      </c>
      <c r="Q2521" s="10">
        <v>40</v>
      </c>
      <c r="U2521" s="10">
        <v>60</v>
      </c>
      <c r="W2521" s="10">
        <v>1</v>
      </c>
      <c r="Y2521" s="79">
        <v>5.7</v>
      </c>
      <c r="Z2521" s="10" t="s">
        <v>55</v>
      </c>
      <c r="AA2521" s="14" t="s">
        <v>1713</v>
      </c>
    </row>
    <row r="2522" spans="1:28" ht="23.1" customHeight="1" x14ac:dyDescent="0.25">
      <c r="A2522" s="14" t="s">
        <v>1221</v>
      </c>
      <c r="B2522" s="10" t="s">
        <v>113</v>
      </c>
      <c r="C2522" s="10">
        <v>9</v>
      </c>
      <c r="D2522" s="10" t="s">
        <v>1341</v>
      </c>
      <c r="E2522" s="78" t="s">
        <v>595</v>
      </c>
      <c r="F2522" s="90" t="s">
        <v>595</v>
      </c>
      <c r="G2522" s="21" t="str">
        <f>VLOOKUP(D2522,[6]成飞半成品!$A:$B,2,0)</f>
        <v>加强件</v>
      </c>
      <c r="H2522" s="10" t="s">
        <v>123</v>
      </c>
      <c r="I2522" s="10">
        <v>20</v>
      </c>
      <c r="J2522" s="10" t="s">
        <v>1978</v>
      </c>
      <c r="L2522" s="10">
        <v>7</v>
      </c>
      <c r="M2522" s="10">
        <v>31</v>
      </c>
      <c r="N2522" s="10">
        <v>37</v>
      </c>
      <c r="O2522" s="55" t="s">
        <v>1342</v>
      </c>
      <c r="Q2522" s="10">
        <v>30</v>
      </c>
      <c r="U2522" s="10">
        <v>60</v>
      </c>
      <c r="X2522" s="14">
        <v>2</v>
      </c>
      <c r="Y2522" s="79">
        <v>5.5</v>
      </c>
      <c r="Z2522" s="10" t="s">
        <v>55</v>
      </c>
      <c r="AA2522" s="14" t="s">
        <v>1321</v>
      </c>
      <c r="AB2522" s="14" t="s">
        <v>238</v>
      </c>
    </row>
    <row r="2523" spans="1:28" ht="23.1" customHeight="1" x14ac:dyDescent="0.25">
      <c r="A2523" s="14" t="s">
        <v>1221</v>
      </c>
      <c r="B2523" s="10" t="s">
        <v>113</v>
      </c>
      <c r="C2523" s="10">
        <v>9</v>
      </c>
      <c r="D2523" s="10" t="s">
        <v>1714</v>
      </c>
      <c r="E2523" s="78" t="s">
        <v>460</v>
      </c>
      <c r="F2523" s="90" t="e">
        <v>#N/A</v>
      </c>
      <c r="G2523" s="21" t="e">
        <f>VLOOKUP(D2523,[6]成飞半成品!$A:$B,2,0)</f>
        <v>#N/A</v>
      </c>
      <c r="H2523" s="10" t="s">
        <v>123</v>
      </c>
      <c r="I2523" s="10">
        <v>30</v>
      </c>
      <c r="L2523" s="10">
        <v>19</v>
      </c>
      <c r="M2523" s="10">
        <v>28</v>
      </c>
      <c r="N2523" s="10">
        <v>28</v>
      </c>
      <c r="O2523" s="55" t="s">
        <v>1715</v>
      </c>
      <c r="Q2523" s="10">
        <v>25</v>
      </c>
      <c r="Y2523" s="79">
        <v>7.9</v>
      </c>
      <c r="Z2523" s="10" t="s">
        <v>55</v>
      </c>
    </row>
    <row r="2524" spans="1:28" ht="23.1" customHeight="1" x14ac:dyDescent="0.25">
      <c r="A2524" s="14" t="s">
        <v>1221</v>
      </c>
      <c r="B2524" s="10" t="s">
        <v>113</v>
      </c>
      <c r="C2524" s="10">
        <v>10</v>
      </c>
      <c r="D2524" s="10" t="s">
        <v>946</v>
      </c>
      <c r="E2524" s="78" t="s">
        <v>947</v>
      </c>
      <c r="F2524" s="90" t="s">
        <v>947</v>
      </c>
      <c r="G2524" s="21" t="str">
        <f>VLOOKUP(D2524,[6]成飞半成品!$A:$B,2,0)</f>
        <v>5755横框</v>
      </c>
      <c r="H2524" s="10" t="s">
        <v>300</v>
      </c>
      <c r="I2524" s="10">
        <v>25</v>
      </c>
      <c r="J2524" s="10" t="s">
        <v>2519</v>
      </c>
      <c r="K2524" s="10">
        <v>3.5</v>
      </c>
      <c r="L2524" s="10">
        <v>2.5</v>
      </c>
      <c r="M2524" s="10">
        <v>23</v>
      </c>
      <c r="N2524" s="10">
        <v>23</v>
      </c>
      <c r="O2524" s="55" t="s">
        <v>948</v>
      </c>
      <c r="Q2524" s="10">
        <v>240</v>
      </c>
      <c r="U2524" s="10">
        <v>90</v>
      </c>
      <c r="Y2524" s="79">
        <v>10</v>
      </c>
      <c r="Z2524" s="10" t="s">
        <v>55</v>
      </c>
    </row>
    <row r="2525" spans="1:28" ht="23.1" customHeight="1" x14ac:dyDescent="0.25">
      <c r="A2525" s="14" t="s">
        <v>1221</v>
      </c>
      <c r="B2525" s="10" t="s">
        <v>113</v>
      </c>
      <c r="C2525" s="10">
        <v>57</v>
      </c>
      <c r="D2525" s="10" t="s">
        <v>1039</v>
      </c>
      <c r="E2525" s="78" t="s">
        <v>1040</v>
      </c>
      <c r="F2525" s="90" t="s">
        <v>1040</v>
      </c>
      <c r="G2525" s="21" t="str">
        <f>VLOOKUP(D2525,[6]成飞半成品!$A:$B,2,0)</f>
        <v>底部连接接头</v>
      </c>
      <c r="H2525" s="10" t="s">
        <v>102</v>
      </c>
      <c r="I2525" s="10">
        <v>5</v>
      </c>
      <c r="J2525" s="10" t="s">
        <v>2060</v>
      </c>
      <c r="K2525" s="10">
        <v>8</v>
      </c>
      <c r="L2525" s="10">
        <v>8</v>
      </c>
      <c r="M2525" s="10">
        <v>31</v>
      </c>
      <c r="N2525" s="10">
        <v>31</v>
      </c>
      <c r="O2525" s="55" t="s">
        <v>596</v>
      </c>
      <c r="Q2525" s="10">
        <v>40</v>
      </c>
      <c r="U2525" s="10">
        <v>60</v>
      </c>
      <c r="W2525" s="10">
        <v>1</v>
      </c>
      <c r="Y2525" s="79">
        <v>6.3</v>
      </c>
      <c r="Z2525" s="10" t="s">
        <v>42</v>
      </c>
    </row>
    <row r="2526" spans="1:28" ht="23.1" customHeight="1" x14ac:dyDescent="0.25">
      <c r="A2526" s="14" t="s">
        <v>1221</v>
      </c>
      <c r="B2526" s="10" t="s">
        <v>113</v>
      </c>
      <c r="C2526" s="10">
        <v>57</v>
      </c>
      <c r="D2526" s="10" t="s">
        <v>1039</v>
      </c>
      <c r="E2526" s="78" t="s">
        <v>1040</v>
      </c>
      <c r="F2526" s="90" t="s">
        <v>1040</v>
      </c>
      <c r="G2526" s="21" t="str">
        <f>VLOOKUP(D2526,[6]成飞半成品!$A:$B,2,0)</f>
        <v>底部连接接头</v>
      </c>
      <c r="H2526" s="10" t="s">
        <v>102</v>
      </c>
      <c r="I2526" s="10">
        <v>10</v>
      </c>
      <c r="J2526" s="10" t="s">
        <v>1941</v>
      </c>
      <c r="K2526" s="10">
        <v>8</v>
      </c>
      <c r="L2526" s="10">
        <v>8</v>
      </c>
      <c r="M2526" s="10">
        <v>9</v>
      </c>
      <c r="N2526" s="10">
        <v>9</v>
      </c>
      <c r="O2526" s="55" t="s">
        <v>596</v>
      </c>
      <c r="Q2526" s="10">
        <v>35</v>
      </c>
      <c r="U2526" s="10">
        <v>60</v>
      </c>
      <c r="W2526" s="10">
        <v>1</v>
      </c>
      <c r="Y2526" s="79">
        <v>5.7</v>
      </c>
      <c r="Z2526" s="10" t="s">
        <v>42</v>
      </c>
    </row>
    <row r="2527" spans="1:28" ht="23.1" customHeight="1" x14ac:dyDescent="0.25">
      <c r="A2527" s="14" t="s">
        <v>1221</v>
      </c>
      <c r="B2527" s="10" t="s">
        <v>113</v>
      </c>
      <c r="C2527" s="10">
        <v>59</v>
      </c>
      <c r="D2527" s="10" t="s">
        <v>1039</v>
      </c>
      <c r="E2527" s="78" t="s">
        <v>1040</v>
      </c>
      <c r="F2527" s="90" t="s">
        <v>1040</v>
      </c>
      <c r="G2527" s="21" t="str">
        <f>VLOOKUP(D2527,[6]成飞半成品!$A:$B,2,0)</f>
        <v>底部连接接头</v>
      </c>
      <c r="H2527" s="10" t="s">
        <v>102</v>
      </c>
      <c r="I2527" s="10">
        <v>15</v>
      </c>
      <c r="J2527" s="10" t="s">
        <v>1864</v>
      </c>
      <c r="L2527" s="10">
        <v>4</v>
      </c>
      <c r="M2527" s="10">
        <v>9</v>
      </c>
      <c r="N2527" s="10">
        <v>9</v>
      </c>
      <c r="O2527" s="55" t="s">
        <v>596</v>
      </c>
      <c r="Q2527" s="10">
        <v>25</v>
      </c>
      <c r="U2527" s="10">
        <v>60</v>
      </c>
      <c r="W2527" s="10">
        <v>1</v>
      </c>
      <c r="X2527" s="14">
        <v>2</v>
      </c>
      <c r="Y2527" s="79">
        <v>4.7</v>
      </c>
      <c r="Z2527" s="10" t="s">
        <v>42</v>
      </c>
      <c r="AA2527" s="14" t="s">
        <v>1245</v>
      </c>
      <c r="AB2527" s="14" t="s">
        <v>238</v>
      </c>
    </row>
    <row r="2528" spans="1:28" ht="23.1" customHeight="1" x14ac:dyDescent="0.25">
      <c r="A2528" s="14" t="s">
        <v>1221</v>
      </c>
      <c r="B2528" s="10" t="s">
        <v>113</v>
      </c>
      <c r="C2528" s="10">
        <v>59</v>
      </c>
      <c r="D2528" s="10" t="s">
        <v>1686</v>
      </c>
      <c r="E2528" s="78" t="s">
        <v>1687</v>
      </c>
      <c r="F2528" s="90" t="s">
        <v>1687</v>
      </c>
      <c r="G2528" s="21" t="str">
        <f>VLOOKUP(D2528,[6]成飞半成品!$A:$B,2,0)</f>
        <v>底板连接接头</v>
      </c>
      <c r="H2528" s="10" t="s">
        <v>102</v>
      </c>
      <c r="I2528" s="10">
        <v>20</v>
      </c>
      <c r="J2528" s="10" t="s">
        <v>2317</v>
      </c>
      <c r="L2528" s="10">
        <v>1</v>
      </c>
      <c r="M2528" s="10">
        <v>28</v>
      </c>
      <c r="O2528" s="55" t="s">
        <v>596</v>
      </c>
      <c r="Q2528" s="10">
        <v>140</v>
      </c>
      <c r="U2528" s="10">
        <v>90</v>
      </c>
      <c r="Y2528" s="79">
        <v>2.2999999999999998</v>
      </c>
      <c r="Z2528" s="10" t="s">
        <v>42</v>
      </c>
    </row>
    <row r="2529" spans="1:28" ht="23.1" customHeight="1" x14ac:dyDescent="0.25">
      <c r="A2529" s="14" t="s">
        <v>1221</v>
      </c>
      <c r="B2529" s="10" t="s">
        <v>113</v>
      </c>
      <c r="C2529" s="10">
        <v>17</v>
      </c>
      <c r="D2529" s="10" t="s">
        <v>1702</v>
      </c>
      <c r="E2529" s="78" t="s">
        <v>625</v>
      </c>
      <c r="F2529" s="90" t="s">
        <v>625</v>
      </c>
      <c r="G2529" s="21" t="str">
        <f>VLOOKUP(D2529,[6]成飞半成品!$A:$B,2,0)</f>
        <v>支架</v>
      </c>
      <c r="H2529" s="10" t="s">
        <v>250</v>
      </c>
      <c r="I2529" s="10">
        <v>15</v>
      </c>
      <c r="J2529" s="10" t="s">
        <v>2339</v>
      </c>
      <c r="K2529" s="10">
        <v>12</v>
      </c>
      <c r="L2529" s="10">
        <v>19</v>
      </c>
      <c r="M2529" s="10">
        <v>23</v>
      </c>
      <c r="N2529" s="10">
        <v>37</v>
      </c>
      <c r="O2529" s="55" t="s">
        <v>247</v>
      </c>
      <c r="Q2529" s="10">
        <v>40</v>
      </c>
      <c r="U2529" s="10">
        <v>90</v>
      </c>
      <c r="W2529" s="10">
        <v>1</v>
      </c>
      <c r="Y2529" s="79">
        <v>14.2</v>
      </c>
      <c r="Z2529" s="10" t="s">
        <v>43</v>
      </c>
    </row>
    <row r="2530" spans="1:28" ht="23.1" customHeight="1" x14ac:dyDescent="0.25">
      <c r="A2530" s="14" t="s">
        <v>1221</v>
      </c>
      <c r="B2530" s="10" t="s">
        <v>113</v>
      </c>
      <c r="C2530" s="10">
        <v>18</v>
      </c>
      <c r="D2530" s="10" t="s">
        <v>918</v>
      </c>
      <c r="E2530" s="78" t="s">
        <v>919</v>
      </c>
      <c r="F2530" s="90" t="s">
        <v>919</v>
      </c>
      <c r="G2530" s="21" t="str">
        <f>VLOOKUP(D2530,[6]成飞半成品!$A:$B,2,0)</f>
        <v>雷达罩锁支座</v>
      </c>
      <c r="H2530" s="10" t="s">
        <v>323</v>
      </c>
      <c r="I2530" s="10">
        <v>15</v>
      </c>
      <c r="J2530" s="10" t="s">
        <v>2033</v>
      </c>
      <c r="K2530" s="10">
        <v>3</v>
      </c>
      <c r="L2530" s="10">
        <v>3</v>
      </c>
      <c r="M2530" s="10">
        <v>19</v>
      </c>
      <c r="N2530" s="10">
        <v>19</v>
      </c>
      <c r="O2530" s="55" t="s">
        <v>780</v>
      </c>
      <c r="Q2530" s="10">
        <v>210</v>
      </c>
      <c r="U2530" s="10">
        <v>90</v>
      </c>
      <c r="Y2530" s="79">
        <v>10.5</v>
      </c>
      <c r="Z2530" s="10" t="s">
        <v>43</v>
      </c>
    </row>
    <row r="2531" spans="1:28" ht="23.1" customHeight="1" x14ac:dyDescent="0.25">
      <c r="A2531" s="14" t="s">
        <v>1221</v>
      </c>
      <c r="B2531" s="10" t="s">
        <v>113</v>
      </c>
      <c r="C2531" s="10">
        <v>21</v>
      </c>
      <c r="D2531" s="10" t="s">
        <v>321</v>
      </c>
      <c r="E2531" s="78" t="s">
        <v>322</v>
      </c>
      <c r="F2531" s="90" t="s">
        <v>322</v>
      </c>
      <c r="G2531" s="21" t="str">
        <f>VLOOKUP(D2531,[6]成飞半成品!$A:$B,2,0)</f>
        <v>10860框</v>
      </c>
      <c r="H2531" s="10" t="s">
        <v>323</v>
      </c>
      <c r="I2531" s="10">
        <v>55</v>
      </c>
      <c r="J2531" s="10" t="s">
        <v>2004</v>
      </c>
      <c r="K2531" s="10">
        <v>1</v>
      </c>
      <c r="L2531" s="10">
        <v>1</v>
      </c>
      <c r="M2531" s="10">
        <v>28</v>
      </c>
      <c r="O2531" s="55" t="s">
        <v>780</v>
      </c>
      <c r="Q2531" s="10">
        <v>660</v>
      </c>
      <c r="R2531" s="10">
        <v>120</v>
      </c>
      <c r="T2531" s="10">
        <v>1</v>
      </c>
      <c r="U2531" s="10">
        <v>180</v>
      </c>
      <c r="W2531" s="10">
        <v>1</v>
      </c>
      <c r="Y2531" s="79">
        <v>16</v>
      </c>
      <c r="Z2531" s="10" t="s">
        <v>58</v>
      </c>
    </row>
    <row r="2532" spans="1:28" ht="23.1" customHeight="1" x14ac:dyDescent="0.25">
      <c r="A2532" s="14" t="s">
        <v>1221</v>
      </c>
      <c r="B2532" s="10" t="s">
        <v>113</v>
      </c>
      <c r="C2532" s="10">
        <v>21</v>
      </c>
      <c r="D2532" s="10" t="s">
        <v>321</v>
      </c>
      <c r="E2532" s="78" t="s">
        <v>322</v>
      </c>
      <c r="F2532" s="90" t="s">
        <v>322</v>
      </c>
      <c r="G2532" s="21" t="str">
        <f>VLOOKUP(D2532,[6]成飞半成品!$A:$B,2,0)</f>
        <v>10860框</v>
      </c>
      <c r="H2532" s="10" t="s">
        <v>323</v>
      </c>
      <c r="I2532" s="10">
        <v>30</v>
      </c>
      <c r="J2532" s="10" t="s">
        <v>2078</v>
      </c>
      <c r="K2532" s="10">
        <v>0.1</v>
      </c>
      <c r="L2532" s="10">
        <v>0.4</v>
      </c>
      <c r="M2532" s="10">
        <v>9</v>
      </c>
      <c r="O2532" s="55" t="s">
        <v>801</v>
      </c>
      <c r="Q2532" s="10">
        <v>360</v>
      </c>
      <c r="R2532" s="10">
        <v>120</v>
      </c>
      <c r="T2532" s="10">
        <v>1</v>
      </c>
      <c r="U2532" s="10">
        <v>180</v>
      </c>
      <c r="W2532" s="10">
        <v>1</v>
      </c>
      <c r="Y2532" s="79">
        <v>7.4</v>
      </c>
      <c r="Z2532" s="10" t="s">
        <v>58</v>
      </c>
    </row>
    <row r="2533" spans="1:28" ht="23.1" customHeight="1" x14ac:dyDescent="0.25">
      <c r="A2533" s="14" t="s">
        <v>1221</v>
      </c>
      <c r="B2533" s="10" t="s">
        <v>113</v>
      </c>
      <c r="C2533" s="10">
        <v>56</v>
      </c>
      <c r="D2533" s="10" t="s">
        <v>273</v>
      </c>
      <c r="E2533" s="78" t="s">
        <v>274</v>
      </c>
      <c r="F2533" s="90" t="s">
        <v>274</v>
      </c>
      <c r="G2533" s="21" t="str">
        <f>VLOOKUP(D2533,[6]成飞半成品!$A:$B,2,0)</f>
        <v>前起落架水平接头</v>
      </c>
      <c r="H2533" s="10" t="s">
        <v>123</v>
      </c>
      <c r="I2533" s="10">
        <v>40</v>
      </c>
      <c r="J2533" s="10" t="s">
        <v>2326</v>
      </c>
      <c r="K2533" s="10">
        <v>3.5</v>
      </c>
      <c r="L2533" s="10">
        <v>4</v>
      </c>
      <c r="M2533" s="10">
        <v>37</v>
      </c>
      <c r="N2533" s="10">
        <v>37</v>
      </c>
      <c r="O2533" s="55" t="s">
        <v>275</v>
      </c>
      <c r="Q2533" s="10">
        <v>240</v>
      </c>
      <c r="U2533" s="10">
        <v>120</v>
      </c>
      <c r="Y2533" s="79">
        <v>16</v>
      </c>
      <c r="Z2533" s="10" t="s">
        <v>44</v>
      </c>
      <c r="AA2533" s="14" t="s">
        <v>1716</v>
      </c>
    </row>
    <row r="2534" spans="1:28" ht="23.1" customHeight="1" x14ac:dyDescent="0.25">
      <c r="A2534" s="14" t="s">
        <v>1221</v>
      </c>
      <c r="B2534" s="10" t="s">
        <v>113</v>
      </c>
      <c r="C2534" s="10">
        <v>78</v>
      </c>
      <c r="D2534" s="10" t="s">
        <v>132</v>
      </c>
      <c r="E2534" s="78" t="s">
        <v>133</v>
      </c>
      <c r="F2534" s="90" t="s">
        <v>133</v>
      </c>
      <c r="G2534" s="21" t="str">
        <f>VLOOKUP(D2534,[6]成飞半成品!$A:$B,2,0)</f>
        <v>摇臂</v>
      </c>
      <c r="H2534" s="10" t="s">
        <v>102</v>
      </c>
      <c r="I2534" s="10">
        <v>85</v>
      </c>
      <c r="J2534" s="10" t="s">
        <v>2330</v>
      </c>
      <c r="K2534" s="10">
        <v>1</v>
      </c>
      <c r="L2534" s="10">
        <v>0.9</v>
      </c>
      <c r="M2534" s="10">
        <v>28</v>
      </c>
      <c r="O2534" s="55" t="s">
        <v>103</v>
      </c>
      <c r="Q2534" s="10">
        <v>1020</v>
      </c>
      <c r="R2534" s="10">
        <v>60</v>
      </c>
      <c r="U2534" s="10">
        <v>120</v>
      </c>
      <c r="X2534" s="14">
        <v>20</v>
      </c>
      <c r="Y2534" s="79">
        <v>35.299999999999997</v>
      </c>
      <c r="Z2534" s="10" t="s">
        <v>19</v>
      </c>
      <c r="AA2534" s="14" t="s">
        <v>1717</v>
      </c>
      <c r="AB2534" s="14" t="s">
        <v>238</v>
      </c>
    </row>
    <row r="2535" spans="1:28" ht="23.1" customHeight="1" x14ac:dyDescent="0.25">
      <c r="A2535" s="14" t="s">
        <v>1221</v>
      </c>
      <c r="B2535" s="10" t="s">
        <v>113</v>
      </c>
      <c r="C2535" s="10">
        <v>12</v>
      </c>
      <c r="D2535" s="10" t="s">
        <v>735</v>
      </c>
      <c r="E2535" s="78" t="s">
        <v>249</v>
      </c>
      <c r="F2535" s="90" t="s">
        <v>249</v>
      </c>
      <c r="G2535" s="21" t="str">
        <f>VLOOKUP(D2535,[6]成飞半成品!$A:$B,2,0)</f>
        <v>10060下接头</v>
      </c>
      <c r="H2535" s="10" t="s">
        <v>250</v>
      </c>
      <c r="I2535" s="10">
        <v>25</v>
      </c>
      <c r="J2535" s="10" t="s">
        <v>1923</v>
      </c>
      <c r="K2535" s="10">
        <v>1</v>
      </c>
      <c r="L2535" s="10">
        <v>1</v>
      </c>
      <c r="M2535" s="10">
        <v>37</v>
      </c>
      <c r="N2535" s="10">
        <v>37</v>
      </c>
      <c r="O2535" s="55" t="s">
        <v>1554</v>
      </c>
      <c r="Q2535" s="10">
        <v>1080</v>
      </c>
      <c r="U2535" s="10">
        <v>120</v>
      </c>
      <c r="Y2535" s="79">
        <v>18</v>
      </c>
      <c r="Z2535" s="10" t="s">
        <v>72</v>
      </c>
    </row>
    <row r="2536" spans="1:28" ht="23.1" customHeight="1" x14ac:dyDescent="0.25">
      <c r="A2536" s="14" t="s">
        <v>1221</v>
      </c>
      <c r="B2536" s="10" t="s">
        <v>113</v>
      </c>
      <c r="C2536" s="10">
        <v>107</v>
      </c>
      <c r="D2536" s="10" t="s">
        <v>173</v>
      </c>
      <c r="E2536" s="78" t="s">
        <v>174</v>
      </c>
      <c r="F2536" s="90" t="s">
        <v>1246</v>
      </c>
      <c r="G2536" s="21" t="str">
        <f>VLOOKUP(D2536,[6]成飞半成品!$A:$B,2,0)</f>
        <v>根肋后段</v>
      </c>
      <c r="H2536" s="10" t="s">
        <v>154</v>
      </c>
      <c r="I2536" s="10">
        <v>45</v>
      </c>
      <c r="J2536" s="10" t="s">
        <v>1866</v>
      </c>
      <c r="K2536" s="10">
        <v>0.2</v>
      </c>
      <c r="L2536" s="10">
        <v>0.4</v>
      </c>
      <c r="M2536" s="10">
        <v>28</v>
      </c>
      <c r="O2536" s="55" t="s">
        <v>470</v>
      </c>
      <c r="Q2536" s="10">
        <v>1900</v>
      </c>
      <c r="R2536" s="10">
        <v>90</v>
      </c>
      <c r="U2536" s="10">
        <v>180</v>
      </c>
      <c r="Y2536" s="79">
        <v>12.7</v>
      </c>
      <c r="Z2536" s="10" t="s">
        <v>45</v>
      </c>
    </row>
    <row r="2537" spans="1:28" ht="23.1" customHeight="1" x14ac:dyDescent="0.25">
      <c r="A2537" s="14" t="s">
        <v>1221</v>
      </c>
      <c r="B2537" s="10" t="s">
        <v>113</v>
      </c>
      <c r="C2537" s="10">
        <v>16</v>
      </c>
      <c r="D2537" s="10" t="s">
        <v>1718</v>
      </c>
      <c r="E2537" s="78" t="s">
        <v>625</v>
      </c>
      <c r="F2537" s="90" t="s">
        <v>625</v>
      </c>
      <c r="G2537" s="21" t="str">
        <f>VLOOKUP(D2537,[6]成飞半成品!$A:$B,2,0)</f>
        <v>支架</v>
      </c>
      <c r="H2537" s="10" t="s">
        <v>102</v>
      </c>
      <c r="I2537" s="10">
        <v>10</v>
      </c>
      <c r="J2537" s="10" t="s">
        <v>2325</v>
      </c>
      <c r="K2537" s="10">
        <v>8</v>
      </c>
      <c r="L2537" s="10">
        <v>4</v>
      </c>
      <c r="M2537" s="10">
        <v>9</v>
      </c>
      <c r="N2537" s="10">
        <v>9</v>
      </c>
      <c r="O2537" s="55" t="s">
        <v>596</v>
      </c>
      <c r="Q2537" s="10">
        <v>50</v>
      </c>
      <c r="U2537" s="10">
        <v>60</v>
      </c>
      <c r="W2537" s="10">
        <v>1</v>
      </c>
      <c r="Y2537" s="79">
        <v>4.3</v>
      </c>
      <c r="Z2537" s="10" t="s">
        <v>38</v>
      </c>
    </row>
    <row r="2538" spans="1:28" ht="23.1" customHeight="1" x14ac:dyDescent="0.25">
      <c r="A2538" s="14" t="s">
        <v>1221</v>
      </c>
      <c r="B2538" s="10" t="s">
        <v>113</v>
      </c>
      <c r="C2538" s="10">
        <v>16</v>
      </c>
      <c r="D2538" s="10" t="s">
        <v>1718</v>
      </c>
      <c r="E2538" s="78" t="s">
        <v>625</v>
      </c>
      <c r="F2538" s="90" t="s">
        <v>625</v>
      </c>
      <c r="G2538" s="21" t="str">
        <f>VLOOKUP(D2538,[6]成飞半成品!$A:$B,2,0)</f>
        <v>支架</v>
      </c>
      <c r="H2538" s="10" t="s">
        <v>102</v>
      </c>
      <c r="I2538" s="10">
        <v>15</v>
      </c>
      <c r="J2538" s="10" t="s">
        <v>2056</v>
      </c>
      <c r="K2538" s="10">
        <v>8</v>
      </c>
      <c r="L2538" s="10">
        <v>4</v>
      </c>
      <c r="M2538" s="10">
        <v>9</v>
      </c>
      <c r="N2538" s="10">
        <v>9</v>
      </c>
      <c r="O2538" s="55" t="s">
        <v>596</v>
      </c>
      <c r="Q2538" s="10">
        <v>40</v>
      </c>
      <c r="U2538" s="10">
        <v>90</v>
      </c>
      <c r="W2538" s="10">
        <v>1</v>
      </c>
      <c r="Y2538" s="79">
        <v>4.2</v>
      </c>
      <c r="Z2538" s="10" t="s">
        <v>38</v>
      </c>
    </row>
    <row r="2539" spans="1:28" ht="23.1" customHeight="1" x14ac:dyDescent="0.25">
      <c r="A2539" s="14" t="s">
        <v>1221</v>
      </c>
      <c r="B2539" s="10" t="s">
        <v>113</v>
      </c>
      <c r="C2539" s="10">
        <v>15</v>
      </c>
      <c r="D2539" s="10" t="s">
        <v>1255</v>
      </c>
      <c r="E2539" s="78" t="s">
        <v>117</v>
      </c>
      <c r="F2539" s="90" t="s">
        <v>117</v>
      </c>
      <c r="G2539" s="21" t="str">
        <f>VLOOKUP(D2539,[6]成飞半成品!$A:$B,2,0)</f>
        <v>7820~8270侧上梁</v>
      </c>
      <c r="H2539" s="10" t="s">
        <v>118</v>
      </c>
      <c r="I2539" s="10">
        <v>20</v>
      </c>
      <c r="J2539" s="10" t="s">
        <v>2232</v>
      </c>
      <c r="K2539" s="10">
        <v>3</v>
      </c>
      <c r="L2539" s="10">
        <v>3</v>
      </c>
      <c r="M2539" s="10">
        <v>37</v>
      </c>
      <c r="N2539" s="10">
        <v>37</v>
      </c>
      <c r="O2539" s="55" t="s">
        <v>1719</v>
      </c>
      <c r="Q2539" s="10">
        <v>270</v>
      </c>
      <c r="U2539" s="10">
        <v>90</v>
      </c>
      <c r="Y2539" s="79">
        <v>13.5</v>
      </c>
      <c r="Z2539" s="10" t="s">
        <v>31</v>
      </c>
    </row>
    <row r="2540" spans="1:28" ht="23.1" customHeight="1" x14ac:dyDescent="0.25">
      <c r="A2540" s="14" t="s">
        <v>1221</v>
      </c>
      <c r="B2540" s="10" t="s">
        <v>113</v>
      </c>
      <c r="C2540" s="10">
        <v>11</v>
      </c>
      <c r="D2540" s="10" t="s">
        <v>1296</v>
      </c>
      <c r="E2540" s="78" t="s">
        <v>1297</v>
      </c>
      <c r="F2540" s="90" t="s">
        <v>1297</v>
      </c>
      <c r="G2540" s="21" t="str">
        <f>VLOOKUP(D2540,[6]成飞半成品!$A:$B,2,0)</f>
        <v>固定板</v>
      </c>
      <c r="H2540" s="10" t="s">
        <v>154</v>
      </c>
      <c r="I2540" s="10">
        <v>25</v>
      </c>
      <c r="J2540" s="10" t="s">
        <v>2054</v>
      </c>
      <c r="K2540" s="10">
        <v>4</v>
      </c>
      <c r="L2540" s="10">
        <v>10</v>
      </c>
      <c r="M2540" s="10">
        <v>28</v>
      </c>
      <c r="N2540" s="10">
        <v>31</v>
      </c>
      <c r="Q2540" s="10">
        <v>65</v>
      </c>
      <c r="U2540" s="10">
        <v>60</v>
      </c>
      <c r="Y2540" s="79">
        <v>10.8</v>
      </c>
      <c r="Z2540" s="10" t="s">
        <v>38</v>
      </c>
    </row>
    <row r="2541" spans="1:28" ht="23.1" customHeight="1" x14ac:dyDescent="0.25">
      <c r="A2541" s="14" t="s">
        <v>1221</v>
      </c>
      <c r="B2541" s="10" t="s">
        <v>113</v>
      </c>
      <c r="C2541" s="10">
        <v>13</v>
      </c>
      <c r="D2541" s="10" t="s">
        <v>687</v>
      </c>
      <c r="E2541" s="78" t="s">
        <v>657</v>
      </c>
      <c r="F2541" s="90" t="s">
        <v>657</v>
      </c>
      <c r="G2541" s="21" t="str">
        <f>VLOOKUP(D2541,[6]成飞半成品!$A:$B,2,0)</f>
        <v>拨叉</v>
      </c>
      <c r="H2541" s="10" t="s">
        <v>375</v>
      </c>
      <c r="I2541" s="10">
        <v>50</v>
      </c>
      <c r="J2541" s="10" t="s">
        <v>2126</v>
      </c>
      <c r="K2541" s="10">
        <v>3</v>
      </c>
      <c r="L2541" s="10">
        <v>3</v>
      </c>
      <c r="M2541" s="10">
        <v>23</v>
      </c>
      <c r="N2541" s="10">
        <v>23</v>
      </c>
      <c r="O2541" s="55" t="s">
        <v>659</v>
      </c>
      <c r="Q2541" s="10">
        <v>30</v>
      </c>
      <c r="U2541" s="10">
        <v>120</v>
      </c>
      <c r="W2541" s="10">
        <v>1</v>
      </c>
      <c r="Y2541" s="79">
        <v>3.5</v>
      </c>
      <c r="Z2541" s="10" t="s">
        <v>72</v>
      </c>
    </row>
    <row r="2542" spans="1:28" ht="23.1" customHeight="1" x14ac:dyDescent="0.25">
      <c r="A2542" s="14" t="s">
        <v>1221</v>
      </c>
      <c r="B2542" s="10" t="s">
        <v>113</v>
      </c>
      <c r="C2542" s="10">
        <v>13</v>
      </c>
      <c r="D2542" s="31" t="s">
        <v>687</v>
      </c>
      <c r="E2542" s="78" t="s">
        <v>657</v>
      </c>
      <c r="F2542" s="90" t="s">
        <v>657</v>
      </c>
      <c r="G2542" s="21" t="str">
        <f>VLOOKUP(D2542,[6]成飞半成品!$A:$B,2,0)</f>
        <v>拨叉</v>
      </c>
      <c r="H2542" s="10" t="s">
        <v>658</v>
      </c>
      <c r="I2542" s="10">
        <v>55</v>
      </c>
      <c r="J2542" s="10" t="s">
        <v>1898</v>
      </c>
      <c r="L2542" s="10">
        <v>3</v>
      </c>
      <c r="M2542" s="10">
        <v>23</v>
      </c>
      <c r="N2542" s="10">
        <v>23</v>
      </c>
      <c r="O2542" s="55" t="s">
        <v>659</v>
      </c>
      <c r="Q2542" s="10">
        <v>30</v>
      </c>
      <c r="U2542" s="10">
        <v>120</v>
      </c>
      <c r="W2542" s="10">
        <v>1</v>
      </c>
      <c r="Y2542" s="79">
        <v>3.5</v>
      </c>
      <c r="Z2542" s="10" t="s">
        <v>72</v>
      </c>
    </row>
    <row r="2543" spans="1:28" ht="23.1" customHeight="1" x14ac:dyDescent="0.25">
      <c r="A2543" s="14" t="s">
        <v>1221</v>
      </c>
      <c r="B2543" s="10" t="s">
        <v>113</v>
      </c>
      <c r="C2543" s="10">
        <v>13</v>
      </c>
      <c r="D2543" s="31" t="s">
        <v>687</v>
      </c>
      <c r="E2543" s="78" t="s">
        <v>657</v>
      </c>
      <c r="F2543" s="90" t="s">
        <v>657</v>
      </c>
      <c r="G2543" s="21" t="str">
        <f>VLOOKUP(D2543,[6]成飞半成品!$A:$B,2,0)</f>
        <v>拨叉</v>
      </c>
      <c r="H2543" s="10" t="s">
        <v>658</v>
      </c>
      <c r="I2543" s="10">
        <v>60</v>
      </c>
      <c r="J2543" s="10" t="s">
        <v>2340</v>
      </c>
      <c r="L2543" s="10">
        <v>3</v>
      </c>
      <c r="M2543" s="10">
        <v>23</v>
      </c>
      <c r="N2543" s="10">
        <v>23</v>
      </c>
      <c r="O2543" s="55" t="s">
        <v>659</v>
      </c>
      <c r="Q2543" s="10">
        <v>20</v>
      </c>
      <c r="U2543" s="10">
        <v>120</v>
      </c>
      <c r="W2543" s="10">
        <v>1</v>
      </c>
      <c r="Y2543" s="79">
        <v>3</v>
      </c>
      <c r="Z2543" s="10" t="s">
        <v>72</v>
      </c>
    </row>
    <row r="2544" spans="1:28" ht="23.1" customHeight="1" x14ac:dyDescent="0.25">
      <c r="A2544" s="14" t="s">
        <v>1221</v>
      </c>
      <c r="B2544" s="10" t="s">
        <v>113</v>
      </c>
      <c r="C2544" s="10">
        <v>22</v>
      </c>
      <c r="D2544" s="10" t="s">
        <v>635</v>
      </c>
      <c r="E2544" s="78" t="s">
        <v>612</v>
      </c>
      <c r="F2544" s="90" t="s">
        <v>612</v>
      </c>
      <c r="G2544" s="21" t="str">
        <f>VLOOKUP(D2544,[6]成飞半成品!$A:$B,2,0)</f>
        <v>前梁二段</v>
      </c>
      <c r="H2544" s="10" t="s">
        <v>102</v>
      </c>
      <c r="I2544" s="10">
        <v>10</v>
      </c>
      <c r="J2544" s="10" t="s">
        <v>1952</v>
      </c>
      <c r="L2544" s="10">
        <v>1</v>
      </c>
      <c r="M2544" s="10">
        <v>31</v>
      </c>
      <c r="O2544" s="55" t="s">
        <v>159</v>
      </c>
      <c r="Q2544" s="10">
        <v>1500</v>
      </c>
      <c r="R2544" s="10">
        <v>180</v>
      </c>
      <c r="T2544" s="10">
        <v>1</v>
      </c>
      <c r="U2544" s="10">
        <v>180</v>
      </c>
      <c r="W2544" s="10">
        <v>1</v>
      </c>
      <c r="Y2544" s="79">
        <v>31</v>
      </c>
      <c r="Z2544" s="10" t="s">
        <v>58</v>
      </c>
    </row>
    <row r="2545" spans="1:28" ht="23.1" customHeight="1" x14ac:dyDescent="0.25">
      <c r="A2545" s="14" t="s">
        <v>1221</v>
      </c>
      <c r="B2545" s="10" t="s">
        <v>113</v>
      </c>
      <c r="C2545" s="10">
        <v>22</v>
      </c>
      <c r="D2545" s="10" t="s">
        <v>611</v>
      </c>
      <c r="E2545" s="78" t="s">
        <v>612</v>
      </c>
      <c r="F2545" s="90" t="s">
        <v>612</v>
      </c>
      <c r="G2545" s="21" t="str">
        <f>VLOOKUP(D2545,[6]成飞半成品!$A:$B,2,0)</f>
        <v>前梁二段</v>
      </c>
      <c r="H2545" s="10" t="s">
        <v>102</v>
      </c>
      <c r="I2545" s="10">
        <v>10</v>
      </c>
      <c r="J2545" s="10" t="s">
        <v>1952</v>
      </c>
      <c r="K2545" s="10">
        <v>1</v>
      </c>
      <c r="L2545" s="10">
        <v>1.3</v>
      </c>
      <c r="M2545" s="10">
        <v>5</v>
      </c>
      <c r="N2545" s="10">
        <v>28</v>
      </c>
      <c r="O2545" s="55" t="s">
        <v>1322</v>
      </c>
      <c r="Q2545" s="10">
        <v>1500</v>
      </c>
      <c r="R2545" s="10">
        <v>180</v>
      </c>
      <c r="T2545" s="10">
        <v>1</v>
      </c>
      <c r="U2545" s="10">
        <v>180</v>
      </c>
      <c r="Y2545" s="79">
        <v>35.5</v>
      </c>
      <c r="Z2545" s="10" t="s">
        <v>58</v>
      </c>
    </row>
    <row r="2546" spans="1:28" ht="23.1" customHeight="1" x14ac:dyDescent="0.25">
      <c r="A2546" s="14" t="s">
        <v>1236</v>
      </c>
      <c r="B2546" s="10" t="s">
        <v>110</v>
      </c>
      <c r="C2546" s="10">
        <v>108</v>
      </c>
      <c r="D2546" s="10" t="s">
        <v>992</v>
      </c>
      <c r="E2546" s="78" t="s">
        <v>993</v>
      </c>
      <c r="F2546" s="90" t="s">
        <v>993</v>
      </c>
      <c r="G2546" s="21" t="str">
        <f>VLOOKUP(D2546,[6]成飞半成品!$A:$B,2,0)</f>
        <v>内侧梁</v>
      </c>
      <c r="H2546" s="10" t="s">
        <v>154</v>
      </c>
      <c r="I2546" s="10">
        <v>30</v>
      </c>
      <c r="J2546" s="10" t="s">
        <v>1992</v>
      </c>
      <c r="K2546" s="10">
        <v>1</v>
      </c>
      <c r="L2546" s="10">
        <v>0.5</v>
      </c>
      <c r="M2546" s="10">
        <v>23</v>
      </c>
      <c r="O2546" s="55" t="s">
        <v>159</v>
      </c>
      <c r="Q2546" s="10">
        <v>450</v>
      </c>
      <c r="R2546" s="10">
        <v>60</v>
      </c>
      <c r="T2546" s="10">
        <v>1</v>
      </c>
      <c r="U2546" s="10">
        <v>90</v>
      </c>
      <c r="W2546" s="10">
        <v>1</v>
      </c>
      <c r="X2546" s="10">
        <v>2</v>
      </c>
      <c r="Y2546" s="79">
        <v>8.3000000000000007</v>
      </c>
      <c r="Z2546" s="10" t="s">
        <v>13</v>
      </c>
      <c r="AA2546" s="14" t="s">
        <v>1245</v>
      </c>
      <c r="AB2546" s="14" t="s">
        <v>238</v>
      </c>
    </row>
    <row r="2547" spans="1:28" ht="23.1" customHeight="1" x14ac:dyDescent="0.25">
      <c r="A2547" s="14" t="s">
        <v>1236</v>
      </c>
      <c r="B2547" s="10" t="s">
        <v>110</v>
      </c>
      <c r="C2547" s="10">
        <v>107</v>
      </c>
      <c r="D2547" s="10" t="s">
        <v>173</v>
      </c>
      <c r="E2547" s="78" t="s">
        <v>174</v>
      </c>
      <c r="F2547" s="90" t="s">
        <v>1246</v>
      </c>
      <c r="G2547" s="21" t="str">
        <f>VLOOKUP(D2547,[6]成飞半成品!$A:$B,2,0)</f>
        <v>根肋后段</v>
      </c>
      <c r="H2547" s="10" t="s">
        <v>154</v>
      </c>
      <c r="I2547" s="10">
        <v>50</v>
      </c>
      <c r="J2547" s="10" t="s">
        <v>2210</v>
      </c>
      <c r="K2547" s="10">
        <v>0.4</v>
      </c>
      <c r="L2547" s="10">
        <v>0.4</v>
      </c>
      <c r="M2547" s="10">
        <v>28</v>
      </c>
      <c r="N2547" s="10">
        <v>28</v>
      </c>
      <c r="O2547" s="55" t="s">
        <v>1209</v>
      </c>
      <c r="Q2547" s="10">
        <v>2100</v>
      </c>
      <c r="R2547" s="10">
        <v>90</v>
      </c>
      <c r="T2547" s="10">
        <v>1</v>
      </c>
      <c r="U2547" s="10">
        <v>150</v>
      </c>
      <c r="W2547" s="10">
        <v>1</v>
      </c>
      <c r="X2547" s="10">
        <v>2</v>
      </c>
      <c r="Y2547" s="79">
        <v>20</v>
      </c>
      <c r="Z2547" s="10" t="s">
        <v>13</v>
      </c>
      <c r="AA2547" s="14" t="s">
        <v>1245</v>
      </c>
      <c r="AB2547" s="14" t="s">
        <v>238</v>
      </c>
    </row>
    <row r="2548" spans="1:28" ht="23.1" customHeight="1" x14ac:dyDescent="0.25">
      <c r="A2548" s="14" t="s">
        <v>1236</v>
      </c>
      <c r="B2548" s="10" t="s">
        <v>110</v>
      </c>
      <c r="C2548" s="10">
        <v>24</v>
      </c>
      <c r="D2548" s="10" t="s">
        <v>776</v>
      </c>
      <c r="E2548" s="78" t="s">
        <v>777</v>
      </c>
      <c r="F2548" s="90" t="s">
        <v>777</v>
      </c>
      <c r="G2548" s="21" t="str">
        <f>VLOOKUP(D2548,[6]成飞半成品!$A:$B,2,0)</f>
        <v>BL280侧壁（左件）</v>
      </c>
      <c r="H2548" s="10" t="s">
        <v>107</v>
      </c>
      <c r="I2548" s="10">
        <v>30</v>
      </c>
      <c r="J2548" s="10" t="s">
        <v>2061</v>
      </c>
      <c r="K2548" s="10">
        <v>0.3</v>
      </c>
      <c r="L2548" s="10">
        <v>0.6</v>
      </c>
      <c r="M2548" s="10">
        <v>23</v>
      </c>
      <c r="O2548" s="55" t="s">
        <v>861</v>
      </c>
      <c r="Q2548" s="10">
        <v>1700</v>
      </c>
      <c r="R2548" s="10">
        <v>120</v>
      </c>
      <c r="U2548" s="10">
        <v>210</v>
      </c>
      <c r="Y2548" s="79">
        <v>17</v>
      </c>
      <c r="Z2548" s="10" t="s">
        <v>68</v>
      </c>
    </row>
    <row r="2549" spans="1:28" ht="23.1" customHeight="1" x14ac:dyDescent="0.25">
      <c r="A2549" s="14" t="s">
        <v>1236</v>
      </c>
      <c r="B2549" s="10" t="s">
        <v>110</v>
      </c>
      <c r="C2549" s="10">
        <v>69</v>
      </c>
      <c r="D2549" s="10" t="s">
        <v>1095</v>
      </c>
      <c r="E2549" s="78" t="s">
        <v>1096</v>
      </c>
      <c r="F2549" s="90" t="s">
        <v>1096</v>
      </c>
      <c r="G2549" s="21" t="str">
        <f>VLOOKUP(D2549,[6]成飞半成品!$A:$B,2,0)</f>
        <v>1150肋根肋</v>
      </c>
      <c r="H2549" s="10" t="s">
        <v>658</v>
      </c>
      <c r="I2549" s="10">
        <v>62</v>
      </c>
      <c r="K2549" s="10">
        <v>2</v>
      </c>
      <c r="L2549" s="10">
        <v>8</v>
      </c>
      <c r="M2549" s="10">
        <v>37</v>
      </c>
      <c r="N2549" s="10">
        <v>37</v>
      </c>
      <c r="O2549" s="55" t="s">
        <v>697</v>
      </c>
      <c r="P2549" s="10">
        <v>210</v>
      </c>
      <c r="S2549" s="10">
        <v>60</v>
      </c>
      <c r="T2549" s="10">
        <v>8</v>
      </c>
      <c r="Y2549" s="83">
        <v>36</v>
      </c>
      <c r="Z2549" s="10" t="s">
        <v>68</v>
      </c>
    </row>
    <row r="2550" spans="1:28" ht="23.1" customHeight="1" x14ac:dyDescent="0.25">
      <c r="A2550" s="14" t="s">
        <v>1236</v>
      </c>
      <c r="B2550" s="10" t="s">
        <v>110</v>
      </c>
      <c r="C2550" s="10">
        <v>91</v>
      </c>
      <c r="D2550" s="10" t="s">
        <v>254</v>
      </c>
      <c r="E2550" s="78" t="s">
        <v>255</v>
      </c>
      <c r="F2550" s="90" t="s">
        <v>1016</v>
      </c>
      <c r="G2550" s="21" t="str">
        <f>VLOOKUP(D2550,[6]成飞半成品!$A:$B,2,0)</f>
        <v>9350-11140右侧上梁</v>
      </c>
      <c r="H2550" s="10" t="s">
        <v>375</v>
      </c>
      <c r="I2550" s="10">
        <v>40</v>
      </c>
      <c r="J2550" s="10" t="s">
        <v>2355</v>
      </c>
      <c r="K2550" s="10">
        <v>0.3</v>
      </c>
      <c r="L2550" s="10">
        <v>0.4</v>
      </c>
      <c r="M2550" s="10">
        <v>28</v>
      </c>
      <c r="O2550" s="55" t="s">
        <v>712</v>
      </c>
      <c r="Q2550" s="10">
        <v>3000</v>
      </c>
      <c r="R2550" s="10">
        <v>90</v>
      </c>
      <c r="T2550" s="10">
        <v>1</v>
      </c>
      <c r="U2550" s="10">
        <v>120</v>
      </c>
      <c r="Y2550" s="79">
        <v>21.5</v>
      </c>
      <c r="Z2550" s="10" t="s">
        <v>68</v>
      </c>
    </row>
    <row r="2551" spans="1:28" ht="23.1" customHeight="1" x14ac:dyDescent="0.25">
      <c r="A2551" s="14" t="s">
        <v>1236</v>
      </c>
      <c r="B2551" s="10" t="s">
        <v>110</v>
      </c>
      <c r="C2551" s="10">
        <v>84</v>
      </c>
      <c r="D2551" s="10" t="s">
        <v>805</v>
      </c>
      <c r="E2551" s="78" t="s">
        <v>806</v>
      </c>
      <c r="F2551" s="90" t="s">
        <v>806</v>
      </c>
      <c r="G2551" s="21" t="str">
        <f>VLOOKUP(D2551,[6]成飞半成品!$A:$B,2,0)</f>
        <v>前缘短肋</v>
      </c>
      <c r="H2551" s="10" t="s">
        <v>154</v>
      </c>
      <c r="I2551" s="10">
        <v>20</v>
      </c>
      <c r="J2551" s="10" t="s">
        <v>2341</v>
      </c>
      <c r="K2551" s="10">
        <v>2</v>
      </c>
      <c r="L2551" s="10">
        <v>2</v>
      </c>
      <c r="M2551" s="10">
        <v>37</v>
      </c>
      <c r="N2551" s="10">
        <v>5</v>
      </c>
      <c r="O2551" s="55" t="s">
        <v>438</v>
      </c>
      <c r="Q2551" s="10">
        <v>600</v>
      </c>
      <c r="R2551" s="10">
        <v>60</v>
      </c>
      <c r="T2551" s="10">
        <v>2</v>
      </c>
      <c r="U2551" s="10">
        <v>120</v>
      </c>
      <c r="W2551" s="10">
        <v>1</v>
      </c>
      <c r="X2551" s="10">
        <v>3</v>
      </c>
      <c r="Y2551" s="79">
        <v>27</v>
      </c>
      <c r="Z2551" s="10" t="s">
        <v>68</v>
      </c>
      <c r="AA2551" s="14" t="s">
        <v>1548</v>
      </c>
    </row>
    <row r="2552" spans="1:28" ht="23.1" customHeight="1" x14ac:dyDescent="0.25">
      <c r="A2552" s="14" t="s">
        <v>1236</v>
      </c>
      <c r="B2552" s="10" t="s">
        <v>110</v>
      </c>
      <c r="C2552" s="10">
        <v>84</v>
      </c>
      <c r="D2552" s="10" t="s">
        <v>1299</v>
      </c>
      <c r="E2552" s="78" t="s">
        <v>437</v>
      </c>
      <c r="F2552" s="90" t="s">
        <v>437</v>
      </c>
      <c r="G2552" s="21" t="str">
        <f>VLOOKUP(D2552,[6]成飞半成品!$A:$B,2,0)</f>
        <v>外副作动器整流罩支撑件上段</v>
      </c>
      <c r="H2552" s="10" t="s">
        <v>154</v>
      </c>
      <c r="I2552" s="10">
        <v>25</v>
      </c>
      <c r="J2552" s="10" t="s">
        <v>2336</v>
      </c>
      <c r="K2552" s="10">
        <v>2</v>
      </c>
      <c r="L2552" s="10">
        <v>2</v>
      </c>
      <c r="M2552" s="10">
        <v>9</v>
      </c>
      <c r="N2552" s="10">
        <v>9</v>
      </c>
      <c r="O2552" s="55" t="s">
        <v>1300</v>
      </c>
      <c r="Q2552" s="10">
        <v>180</v>
      </c>
      <c r="R2552" s="10">
        <v>60</v>
      </c>
      <c r="T2552" s="10">
        <v>2</v>
      </c>
      <c r="U2552" s="10">
        <v>120</v>
      </c>
      <c r="W2552" s="10">
        <v>1</v>
      </c>
      <c r="X2552" s="10">
        <v>3</v>
      </c>
      <c r="Y2552" s="79">
        <v>13</v>
      </c>
      <c r="Z2552" s="10" t="s">
        <v>68</v>
      </c>
      <c r="AA2552" s="14" t="s">
        <v>1691</v>
      </c>
    </row>
    <row r="2553" spans="1:28" ht="23.1" customHeight="1" x14ac:dyDescent="0.25">
      <c r="A2553" s="14" t="s">
        <v>1236</v>
      </c>
      <c r="B2553" s="10" t="s">
        <v>110</v>
      </c>
      <c r="C2553" s="10">
        <v>119</v>
      </c>
      <c r="D2553" s="10" t="s">
        <v>1067</v>
      </c>
      <c r="E2553" s="78" t="s">
        <v>1068</v>
      </c>
      <c r="F2553" s="90" t="s">
        <v>1068</v>
      </c>
      <c r="G2553" s="21" t="str">
        <f>VLOOKUP(D2553,[6]成飞半成品!$A:$B,2,0)</f>
        <v>11900梁一段（右件）</v>
      </c>
      <c r="H2553" s="10" t="s">
        <v>323</v>
      </c>
      <c r="I2553" s="10">
        <v>50</v>
      </c>
      <c r="J2553" s="10" t="s">
        <v>2337</v>
      </c>
      <c r="K2553" s="10">
        <v>3</v>
      </c>
      <c r="L2553" s="10">
        <v>3</v>
      </c>
      <c r="M2553" s="10">
        <v>37</v>
      </c>
      <c r="N2553" s="10">
        <v>37</v>
      </c>
      <c r="O2553" s="55" t="s">
        <v>1720</v>
      </c>
      <c r="Q2553" s="10">
        <v>150</v>
      </c>
      <c r="R2553" s="10">
        <v>75</v>
      </c>
      <c r="T2553" s="10">
        <v>3</v>
      </c>
      <c r="U2553" s="10">
        <v>180</v>
      </c>
      <c r="X2553" s="14">
        <v>4</v>
      </c>
      <c r="Y2553" s="79">
        <v>15.3</v>
      </c>
      <c r="Z2553" s="10" t="s">
        <v>68</v>
      </c>
      <c r="AA2553" s="14" t="s">
        <v>1474</v>
      </c>
    </row>
    <row r="2554" spans="1:28" ht="23.1" customHeight="1" x14ac:dyDescent="0.25">
      <c r="A2554" s="14" t="s">
        <v>1236</v>
      </c>
      <c r="B2554" s="10" t="s">
        <v>110</v>
      </c>
      <c r="C2554" s="10">
        <v>121</v>
      </c>
      <c r="D2554" s="10" t="s">
        <v>1071</v>
      </c>
      <c r="E2554" s="78" t="s">
        <v>1072</v>
      </c>
      <c r="F2554" s="90" t="e">
        <v>#N/A</v>
      </c>
      <c r="G2554" s="21" t="e">
        <f>VLOOKUP(D2554,[6]成飞半成品!$A:$B,2,0)</f>
        <v>#N/A</v>
      </c>
      <c r="H2554" s="10" t="s">
        <v>250</v>
      </c>
      <c r="I2554" s="10">
        <v>35</v>
      </c>
      <c r="J2554" s="10" t="s">
        <v>2328</v>
      </c>
      <c r="K2554" s="10">
        <v>0.5</v>
      </c>
      <c r="L2554" s="10">
        <v>1</v>
      </c>
      <c r="M2554" s="10">
        <v>37</v>
      </c>
      <c r="O2554" s="55" t="s">
        <v>1721</v>
      </c>
      <c r="Q2554" s="10">
        <v>960</v>
      </c>
      <c r="R2554" s="10">
        <v>90</v>
      </c>
      <c r="T2554" s="10">
        <v>1</v>
      </c>
      <c r="U2554" s="10">
        <v>180</v>
      </c>
      <c r="Y2554" s="79">
        <v>17.5</v>
      </c>
      <c r="Z2554" s="10" t="s">
        <v>68</v>
      </c>
    </row>
    <row r="2555" spans="1:28" ht="23.1" customHeight="1" x14ac:dyDescent="0.25">
      <c r="A2555" s="14" t="s">
        <v>1236</v>
      </c>
      <c r="B2555" s="10" t="s">
        <v>110</v>
      </c>
      <c r="C2555" s="10">
        <v>47</v>
      </c>
      <c r="D2555" s="10" t="s">
        <v>2560</v>
      </c>
      <c r="E2555" s="78" t="s">
        <v>979</v>
      </c>
      <c r="F2555" s="90" t="s">
        <v>979</v>
      </c>
      <c r="G2555" s="21" t="str">
        <f>VLOOKUP(D2555,[6]成飞半成品!$A:$B,2,0)</f>
        <v>翼尖接头</v>
      </c>
      <c r="H2555" s="10" t="s">
        <v>154</v>
      </c>
      <c r="I2555" s="10">
        <v>60</v>
      </c>
      <c r="J2555" s="10" t="s">
        <v>2331</v>
      </c>
      <c r="K2555" s="10">
        <v>0.7</v>
      </c>
      <c r="L2555" s="10">
        <v>1.5</v>
      </c>
      <c r="M2555" s="10">
        <v>19</v>
      </c>
      <c r="N2555" s="10">
        <v>5</v>
      </c>
      <c r="O2555" s="55" t="s">
        <v>1722</v>
      </c>
      <c r="Q2555" s="10">
        <v>520</v>
      </c>
      <c r="R2555" s="10">
        <v>120</v>
      </c>
      <c r="T2555" s="10">
        <v>1</v>
      </c>
      <c r="U2555" s="10">
        <v>90</v>
      </c>
      <c r="Y2555" s="79">
        <v>15</v>
      </c>
      <c r="Z2555" s="10" t="s">
        <v>22</v>
      </c>
    </row>
    <row r="2556" spans="1:28" ht="23.1" customHeight="1" x14ac:dyDescent="0.25">
      <c r="A2556" s="14" t="s">
        <v>1236</v>
      </c>
      <c r="B2556" s="10" t="s">
        <v>110</v>
      </c>
      <c r="C2556" s="10">
        <v>23</v>
      </c>
      <c r="D2556" s="10" t="s">
        <v>990</v>
      </c>
      <c r="E2556" s="78" t="s">
        <v>991</v>
      </c>
      <c r="F2556" s="90" t="s">
        <v>991</v>
      </c>
      <c r="G2556" s="21" t="str">
        <f>VLOOKUP(D2556,[6]成飞半成品!$A:$B,2,0)</f>
        <v>8270右隔框</v>
      </c>
      <c r="H2556" s="10" t="s">
        <v>300</v>
      </c>
      <c r="I2556" s="10">
        <v>20</v>
      </c>
      <c r="J2556" s="10" t="s">
        <v>2332</v>
      </c>
      <c r="K2556" s="10">
        <v>0.6</v>
      </c>
      <c r="L2556" s="10">
        <v>0.6</v>
      </c>
      <c r="M2556" s="10">
        <v>19</v>
      </c>
      <c r="O2556" s="55" t="s">
        <v>1132</v>
      </c>
      <c r="Q2556" s="10">
        <v>420</v>
      </c>
      <c r="R2556" s="10">
        <v>60</v>
      </c>
      <c r="U2556" s="10">
        <v>90</v>
      </c>
      <c r="X2556" s="14">
        <v>1.5</v>
      </c>
      <c r="Y2556" s="79">
        <v>5.7</v>
      </c>
      <c r="Z2556" s="10" t="s">
        <v>22</v>
      </c>
      <c r="AA2556" s="14" t="s">
        <v>1723</v>
      </c>
    </row>
    <row r="2557" spans="1:28" ht="23.1" customHeight="1" x14ac:dyDescent="0.25">
      <c r="A2557" s="14" t="s">
        <v>1236</v>
      </c>
      <c r="B2557" s="10" t="s">
        <v>110</v>
      </c>
      <c r="C2557" s="10">
        <v>23</v>
      </c>
      <c r="D2557" s="10" t="s">
        <v>990</v>
      </c>
      <c r="E2557" s="78" t="s">
        <v>991</v>
      </c>
      <c r="F2557" s="90" t="s">
        <v>991</v>
      </c>
      <c r="G2557" s="21" t="str">
        <f>VLOOKUP(D2557,[6]成飞半成品!$A:$B,2,0)</f>
        <v>8270右隔框</v>
      </c>
      <c r="H2557" s="10" t="s">
        <v>300</v>
      </c>
      <c r="I2557" s="10">
        <v>25</v>
      </c>
      <c r="J2557" s="10" t="s">
        <v>2224</v>
      </c>
      <c r="K2557" s="10">
        <v>0.3</v>
      </c>
      <c r="L2557" s="10">
        <v>0.3</v>
      </c>
      <c r="M2557" s="10">
        <v>5</v>
      </c>
      <c r="O2557" s="55" t="s">
        <v>256</v>
      </c>
      <c r="Q2557" s="10">
        <v>720</v>
      </c>
      <c r="R2557" s="10">
        <v>60</v>
      </c>
      <c r="T2557" s="10">
        <v>1</v>
      </c>
      <c r="U2557" s="10">
        <v>90</v>
      </c>
      <c r="W2557" s="10">
        <v>1</v>
      </c>
      <c r="Y2557" s="79">
        <v>6.1</v>
      </c>
      <c r="Z2557" s="10" t="s">
        <v>22</v>
      </c>
      <c r="AA2557" s="14" t="s">
        <v>1724</v>
      </c>
    </row>
    <row r="2558" spans="1:28" ht="23.1" customHeight="1" x14ac:dyDescent="0.25">
      <c r="A2558" s="14" t="s">
        <v>1236</v>
      </c>
      <c r="B2558" s="10" t="s">
        <v>110</v>
      </c>
      <c r="C2558" s="10">
        <v>22</v>
      </c>
      <c r="D2558" s="10" t="s">
        <v>635</v>
      </c>
      <c r="E2558" s="78" t="s">
        <v>612</v>
      </c>
      <c r="F2558" s="90" t="s">
        <v>612</v>
      </c>
      <c r="G2558" s="21" t="str">
        <f>VLOOKUP(D2558,[6]成飞半成品!$A:$B,2,0)</f>
        <v>前梁二段</v>
      </c>
      <c r="H2558" s="10" t="s">
        <v>102</v>
      </c>
      <c r="I2558" s="10">
        <v>10</v>
      </c>
      <c r="J2558" s="10" t="s">
        <v>1952</v>
      </c>
      <c r="K2558" s="10">
        <v>1</v>
      </c>
      <c r="L2558" s="10">
        <v>0.8</v>
      </c>
      <c r="M2558" s="10">
        <v>23</v>
      </c>
      <c r="O2558" s="55" t="s">
        <v>930</v>
      </c>
      <c r="Q2558" s="10">
        <v>1500</v>
      </c>
      <c r="R2558" s="10">
        <v>180</v>
      </c>
      <c r="T2558" s="10">
        <v>1</v>
      </c>
      <c r="U2558" s="10">
        <v>180</v>
      </c>
      <c r="Y2558" s="79">
        <v>23</v>
      </c>
      <c r="Z2558" s="10" t="s">
        <v>49</v>
      </c>
    </row>
    <row r="2559" spans="1:28" ht="23.1" customHeight="1" x14ac:dyDescent="0.25">
      <c r="A2559" s="14" t="s">
        <v>1236</v>
      </c>
      <c r="B2559" s="10" t="s">
        <v>110</v>
      </c>
      <c r="C2559" s="10">
        <v>56</v>
      </c>
      <c r="D2559" s="10" t="s">
        <v>273</v>
      </c>
      <c r="E2559" s="78" t="s">
        <v>274</v>
      </c>
      <c r="F2559" s="90" t="s">
        <v>274</v>
      </c>
      <c r="G2559" s="21" t="str">
        <f>VLOOKUP(D2559,[6]成飞半成品!$A:$B,2,0)</f>
        <v>前起落架水平接头</v>
      </c>
      <c r="H2559" s="10" t="s">
        <v>123</v>
      </c>
      <c r="I2559" s="10">
        <v>40</v>
      </c>
      <c r="J2559" s="10" t="s">
        <v>2326</v>
      </c>
      <c r="K2559" s="10">
        <v>3.5</v>
      </c>
      <c r="L2559" s="10">
        <v>3</v>
      </c>
      <c r="M2559" s="10">
        <v>37</v>
      </c>
      <c r="N2559" s="10">
        <v>28</v>
      </c>
      <c r="O2559" s="55" t="s">
        <v>275</v>
      </c>
      <c r="Q2559" s="10">
        <v>240</v>
      </c>
      <c r="U2559" s="10">
        <v>120</v>
      </c>
      <c r="Y2559" s="79">
        <v>12</v>
      </c>
      <c r="Z2559" s="10" t="s">
        <v>18</v>
      </c>
    </row>
    <row r="2560" spans="1:28" ht="23.1" customHeight="1" x14ac:dyDescent="0.25">
      <c r="A2560" s="14" t="s">
        <v>1236</v>
      </c>
      <c r="B2560" s="10" t="s">
        <v>110</v>
      </c>
      <c r="C2560" s="10">
        <v>15</v>
      </c>
      <c r="D2560" s="10" t="s">
        <v>1255</v>
      </c>
      <c r="E2560" s="78" t="s">
        <v>117</v>
      </c>
      <c r="F2560" s="90" t="s">
        <v>117</v>
      </c>
      <c r="G2560" s="21" t="str">
        <f>VLOOKUP(D2560,[6]成飞半成品!$A:$B,2,0)</f>
        <v>7820~8270侧上梁</v>
      </c>
      <c r="H2560" s="10" t="s">
        <v>118</v>
      </c>
      <c r="I2560" s="10">
        <v>20</v>
      </c>
      <c r="J2560" s="10" t="s">
        <v>2232</v>
      </c>
      <c r="K2560" s="10">
        <v>3</v>
      </c>
      <c r="L2560" s="10">
        <v>3.4</v>
      </c>
      <c r="M2560" s="10">
        <v>9</v>
      </c>
      <c r="N2560" s="10">
        <v>5</v>
      </c>
      <c r="O2560" s="55" t="s">
        <v>1725</v>
      </c>
      <c r="Q2560" s="10">
        <v>270</v>
      </c>
      <c r="U2560" s="10">
        <v>90</v>
      </c>
      <c r="Y2560" s="79">
        <v>15.3</v>
      </c>
      <c r="Z2560" s="10" t="s">
        <v>60</v>
      </c>
    </row>
    <row r="2561" spans="1:28" ht="23.1" customHeight="1" x14ac:dyDescent="0.25">
      <c r="A2561" s="14" t="s">
        <v>1236</v>
      </c>
      <c r="B2561" s="10" t="s">
        <v>110</v>
      </c>
      <c r="C2561" s="10">
        <v>55</v>
      </c>
      <c r="D2561" s="10" t="s">
        <v>273</v>
      </c>
      <c r="E2561" s="78" t="s">
        <v>274</v>
      </c>
      <c r="F2561" s="90" t="s">
        <v>274</v>
      </c>
      <c r="G2561" s="21" t="str">
        <f>VLOOKUP(D2561,[6]成飞半成品!$A:$B,2,0)</f>
        <v>前起落架水平接头</v>
      </c>
      <c r="H2561" s="10" t="s">
        <v>123</v>
      </c>
      <c r="I2561" s="10">
        <v>45</v>
      </c>
      <c r="J2561" s="10" t="s">
        <v>1954</v>
      </c>
      <c r="K2561" s="10">
        <v>3</v>
      </c>
      <c r="L2561" s="10">
        <v>3</v>
      </c>
      <c r="M2561" s="10">
        <v>37</v>
      </c>
      <c r="N2561" s="10">
        <v>28</v>
      </c>
      <c r="O2561" s="55" t="s">
        <v>275</v>
      </c>
      <c r="Q2561" s="10">
        <v>240</v>
      </c>
      <c r="U2561" s="10">
        <v>90</v>
      </c>
      <c r="Y2561" s="79">
        <v>12</v>
      </c>
      <c r="Z2561" s="10" t="s">
        <v>18</v>
      </c>
    </row>
    <row r="2562" spans="1:28" ht="23.1" customHeight="1" x14ac:dyDescent="0.25">
      <c r="A2562" s="14" t="s">
        <v>1236</v>
      </c>
      <c r="B2562" s="10" t="s">
        <v>110</v>
      </c>
      <c r="C2562" s="10">
        <v>12</v>
      </c>
      <c r="D2562" s="10" t="s">
        <v>735</v>
      </c>
      <c r="E2562" s="78" t="s">
        <v>249</v>
      </c>
      <c r="F2562" s="90" t="s">
        <v>249</v>
      </c>
      <c r="G2562" s="21" t="str">
        <f>VLOOKUP(D2562,[6]成飞半成品!$A:$B,2,0)</f>
        <v>10060下接头</v>
      </c>
      <c r="H2562" s="10" t="s">
        <v>250</v>
      </c>
      <c r="I2562" s="10">
        <v>25</v>
      </c>
      <c r="J2562" s="10" t="s">
        <v>1923</v>
      </c>
      <c r="K2562" s="10">
        <v>1</v>
      </c>
      <c r="L2562" s="10">
        <v>0.7</v>
      </c>
      <c r="M2562" s="10">
        <v>23</v>
      </c>
      <c r="O2562" s="55" t="s">
        <v>1726</v>
      </c>
      <c r="Q2562" s="10">
        <v>1080</v>
      </c>
      <c r="U2562" s="10">
        <v>120</v>
      </c>
      <c r="Y2562" s="79">
        <v>12.6</v>
      </c>
      <c r="Z2562" s="10" t="s">
        <v>10</v>
      </c>
    </row>
    <row r="2563" spans="1:28" ht="23.1" customHeight="1" x14ac:dyDescent="0.25">
      <c r="A2563" s="14" t="s">
        <v>1236</v>
      </c>
      <c r="B2563" s="10" t="s">
        <v>110</v>
      </c>
      <c r="C2563" s="10">
        <v>14</v>
      </c>
      <c r="D2563" s="10" t="s">
        <v>1331</v>
      </c>
      <c r="E2563" s="78" t="s">
        <v>1332</v>
      </c>
      <c r="F2563" s="90" t="s">
        <v>1332</v>
      </c>
      <c r="G2563" s="21" t="str">
        <f>VLOOKUP(D2563,[6]成飞半成品!$A:$B,2,0)</f>
        <v>联锁摇臂</v>
      </c>
      <c r="H2563" s="10" t="s">
        <v>300</v>
      </c>
      <c r="I2563" s="10">
        <v>15</v>
      </c>
      <c r="J2563" s="10" t="s">
        <v>2231</v>
      </c>
      <c r="K2563" s="10">
        <v>15</v>
      </c>
      <c r="L2563" s="10">
        <v>23</v>
      </c>
      <c r="M2563" s="10">
        <v>9</v>
      </c>
      <c r="N2563" s="10">
        <v>23</v>
      </c>
      <c r="O2563" s="55" t="s">
        <v>316</v>
      </c>
      <c r="Q2563" s="10">
        <v>35</v>
      </c>
      <c r="U2563" s="10">
        <v>120</v>
      </c>
      <c r="Y2563" s="79">
        <v>13.4</v>
      </c>
      <c r="Z2563" s="10" t="s">
        <v>60</v>
      </c>
    </row>
    <row r="2564" spans="1:28" ht="23.1" customHeight="1" x14ac:dyDescent="0.25">
      <c r="A2564" s="14" t="s">
        <v>1236</v>
      </c>
      <c r="B2564" s="10" t="s">
        <v>110</v>
      </c>
      <c r="C2564" s="10">
        <v>59</v>
      </c>
      <c r="D2564" s="10" t="s">
        <v>1039</v>
      </c>
      <c r="E2564" s="78" t="s">
        <v>1040</v>
      </c>
      <c r="F2564" s="90" t="s">
        <v>1040</v>
      </c>
      <c r="G2564" s="21" t="str">
        <f>VLOOKUP(D2564,[6]成飞半成品!$A:$B,2,0)</f>
        <v>底部连接接头</v>
      </c>
      <c r="H2564" s="10" t="s">
        <v>102</v>
      </c>
      <c r="I2564" s="10">
        <v>15</v>
      </c>
      <c r="J2564" s="10" t="s">
        <v>1864</v>
      </c>
      <c r="K2564" s="10">
        <v>8</v>
      </c>
      <c r="L2564" s="10">
        <v>4</v>
      </c>
      <c r="M2564" s="10">
        <v>9</v>
      </c>
      <c r="N2564" s="10">
        <v>9</v>
      </c>
      <c r="O2564" s="55" t="s">
        <v>596</v>
      </c>
      <c r="Q2564" s="10">
        <v>25</v>
      </c>
      <c r="U2564" s="10">
        <v>60</v>
      </c>
      <c r="W2564" s="10">
        <v>1</v>
      </c>
      <c r="Y2564" s="79">
        <v>2.7</v>
      </c>
      <c r="Z2564" s="10" t="s">
        <v>6</v>
      </c>
    </row>
    <row r="2565" spans="1:28" ht="23.1" customHeight="1" x14ac:dyDescent="0.25">
      <c r="A2565" s="14" t="s">
        <v>1236</v>
      </c>
      <c r="B2565" s="10" t="s">
        <v>110</v>
      </c>
      <c r="C2565" s="10">
        <v>59</v>
      </c>
      <c r="D2565" s="10" t="s">
        <v>1039</v>
      </c>
      <c r="E2565" s="78" t="s">
        <v>1040</v>
      </c>
      <c r="F2565" s="90" t="s">
        <v>1040</v>
      </c>
      <c r="G2565" s="21" t="str">
        <f>VLOOKUP(D2565,[6]成飞半成品!$A:$B,2,0)</f>
        <v>底部连接接头</v>
      </c>
      <c r="H2565" s="10" t="s">
        <v>102</v>
      </c>
      <c r="I2565" s="10">
        <v>20</v>
      </c>
      <c r="J2565" s="10" t="s">
        <v>2317</v>
      </c>
      <c r="K2565" s="10">
        <v>3</v>
      </c>
      <c r="L2565" s="10">
        <v>4</v>
      </c>
      <c r="M2565" s="10">
        <v>9</v>
      </c>
      <c r="N2565" s="10">
        <v>5</v>
      </c>
      <c r="O2565" s="55" t="s">
        <v>596</v>
      </c>
      <c r="Q2565" s="10">
        <v>150</v>
      </c>
      <c r="U2565" s="10">
        <v>90</v>
      </c>
      <c r="W2565" s="10">
        <v>1</v>
      </c>
      <c r="Y2565" s="79">
        <v>11.5</v>
      </c>
      <c r="Z2565" s="10" t="s">
        <v>6</v>
      </c>
    </row>
    <row r="2566" spans="1:28" ht="23.1" customHeight="1" x14ac:dyDescent="0.25">
      <c r="A2566" s="14" t="s">
        <v>1236</v>
      </c>
      <c r="B2566" s="10" t="s">
        <v>110</v>
      </c>
      <c r="C2566" s="10">
        <v>13</v>
      </c>
      <c r="D2566" s="10" t="s">
        <v>1727</v>
      </c>
      <c r="E2566" s="78" t="s">
        <v>1728</v>
      </c>
      <c r="F2566" s="90" t="s">
        <v>1728</v>
      </c>
      <c r="G2566" s="21" t="str">
        <f>VLOOKUP(D2566,[6]成飞半成品!$A:$B,2,0)</f>
        <v>球形杯</v>
      </c>
      <c r="H2566" s="10" t="s">
        <v>102</v>
      </c>
      <c r="I2566" s="10">
        <v>10</v>
      </c>
      <c r="J2566" s="10" t="s">
        <v>1952</v>
      </c>
      <c r="K2566" s="10">
        <v>10</v>
      </c>
      <c r="L2566" s="10">
        <v>12</v>
      </c>
      <c r="M2566" s="10">
        <v>37</v>
      </c>
      <c r="N2566" s="10">
        <v>5</v>
      </c>
      <c r="O2566" s="55" t="s">
        <v>596</v>
      </c>
      <c r="Q2566" s="10">
        <v>60</v>
      </c>
      <c r="U2566" s="10">
        <v>90</v>
      </c>
      <c r="W2566" s="10">
        <v>1</v>
      </c>
      <c r="Y2566" s="79">
        <v>13.5</v>
      </c>
      <c r="Z2566" s="10" t="s">
        <v>10</v>
      </c>
    </row>
    <row r="2567" spans="1:28" ht="23.1" customHeight="1" x14ac:dyDescent="0.25">
      <c r="A2567" s="14" t="s">
        <v>1236</v>
      </c>
      <c r="B2567" s="10" t="s">
        <v>110</v>
      </c>
      <c r="C2567" s="10">
        <v>16</v>
      </c>
      <c r="D2567" s="10" t="s">
        <v>1718</v>
      </c>
      <c r="E2567" s="78" t="s">
        <v>625</v>
      </c>
      <c r="F2567" s="90" t="s">
        <v>625</v>
      </c>
      <c r="G2567" s="21" t="str">
        <f>VLOOKUP(D2567,[6]成飞半成品!$A:$B,2,0)</f>
        <v>支架</v>
      </c>
      <c r="H2567" s="10" t="s">
        <v>102</v>
      </c>
      <c r="I2567" s="10">
        <v>20</v>
      </c>
      <c r="J2567" s="10" t="s">
        <v>2207</v>
      </c>
      <c r="K2567" s="10">
        <v>8</v>
      </c>
      <c r="L2567" s="10">
        <v>4</v>
      </c>
      <c r="M2567" s="10">
        <v>9</v>
      </c>
      <c r="N2567" s="10">
        <v>9</v>
      </c>
      <c r="O2567" s="55" t="s">
        <v>596</v>
      </c>
      <c r="Q2567" s="10">
        <v>45</v>
      </c>
      <c r="U2567" s="10">
        <v>60</v>
      </c>
      <c r="W2567" s="10">
        <v>1</v>
      </c>
      <c r="X2567" s="14">
        <v>2</v>
      </c>
      <c r="Y2567" s="79">
        <v>6</v>
      </c>
      <c r="Z2567" s="10" t="s">
        <v>71</v>
      </c>
      <c r="AA2567" s="14" t="s">
        <v>1729</v>
      </c>
    </row>
    <row r="2568" spans="1:28" ht="23.1" customHeight="1" x14ac:dyDescent="0.25">
      <c r="A2568" s="14" t="s">
        <v>1236</v>
      </c>
      <c r="B2568" s="10" t="s">
        <v>110</v>
      </c>
      <c r="C2568" s="10">
        <v>16</v>
      </c>
      <c r="D2568" s="10" t="s">
        <v>1707</v>
      </c>
      <c r="E2568" s="78" t="s">
        <v>437</v>
      </c>
      <c r="F2568" s="90" t="s">
        <v>437</v>
      </c>
      <c r="G2568" s="21" t="str">
        <f>VLOOKUP(D2568,[6]成飞半成品!$A:$B,2,0)</f>
        <v>外副作动器整流罩支撑件上段</v>
      </c>
      <c r="H2568" s="10" t="s">
        <v>154</v>
      </c>
      <c r="I2568" s="10">
        <v>30</v>
      </c>
      <c r="J2568" s="10" t="s">
        <v>2342</v>
      </c>
      <c r="K2568" s="10">
        <v>0</v>
      </c>
      <c r="L2568" s="10">
        <v>0.5</v>
      </c>
      <c r="M2568" s="10">
        <v>5</v>
      </c>
      <c r="O2568" s="55" t="s">
        <v>159</v>
      </c>
      <c r="Q2568" s="10">
        <v>100</v>
      </c>
      <c r="U2568" s="10">
        <v>60</v>
      </c>
      <c r="W2568" s="10">
        <v>1</v>
      </c>
      <c r="X2568" s="14">
        <v>2</v>
      </c>
      <c r="Y2568" s="79">
        <v>3.8</v>
      </c>
      <c r="Z2568" s="10" t="s">
        <v>71</v>
      </c>
      <c r="AA2568" s="14" t="s">
        <v>1376</v>
      </c>
      <c r="AB2568" s="14" t="s">
        <v>238</v>
      </c>
    </row>
    <row r="2569" spans="1:28" ht="23.1" customHeight="1" x14ac:dyDescent="0.25">
      <c r="A2569" s="14" t="s">
        <v>1236</v>
      </c>
      <c r="B2569" s="10" t="s">
        <v>110</v>
      </c>
      <c r="C2569" s="10">
        <v>78</v>
      </c>
      <c r="D2569" s="10" t="s">
        <v>2557</v>
      </c>
      <c r="E2569" s="78" t="s">
        <v>1013</v>
      </c>
      <c r="F2569" s="90" t="s">
        <v>1013</v>
      </c>
      <c r="G2569" s="21" t="str">
        <f>VLOOKUP(D2569,[6]成飞半成品!$A:$B,2,0)</f>
        <v>9350-11140左侧上梁</v>
      </c>
      <c r="H2569" s="10" t="s">
        <v>250</v>
      </c>
      <c r="I2569" s="10">
        <v>40</v>
      </c>
      <c r="J2569" s="10" t="s">
        <v>1902</v>
      </c>
      <c r="K2569" s="10">
        <v>3</v>
      </c>
      <c r="L2569" s="10">
        <v>2</v>
      </c>
      <c r="M2569" s="10">
        <v>19</v>
      </c>
      <c r="N2569" s="10">
        <v>5</v>
      </c>
      <c r="O2569" s="55" t="s">
        <v>974</v>
      </c>
      <c r="Q2569" s="10">
        <v>250</v>
      </c>
      <c r="R2569" s="10">
        <v>60</v>
      </c>
      <c r="T2569" s="10">
        <v>2</v>
      </c>
      <c r="U2569" s="10">
        <v>90</v>
      </c>
      <c r="W2569" s="10">
        <v>1</v>
      </c>
      <c r="X2569" s="10">
        <v>2</v>
      </c>
      <c r="Y2569" s="79">
        <v>13.8</v>
      </c>
      <c r="Z2569" s="10" t="s">
        <v>5</v>
      </c>
      <c r="AA2569" s="14" t="s">
        <v>1548</v>
      </c>
      <c r="AB2569" s="14" t="s">
        <v>238</v>
      </c>
    </row>
    <row r="2570" spans="1:28" ht="23.1" customHeight="1" x14ac:dyDescent="0.25">
      <c r="A2570" s="14" t="s">
        <v>1236</v>
      </c>
      <c r="B2570" s="10" t="s">
        <v>110</v>
      </c>
      <c r="C2570" s="10">
        <v>9</v>
      </c>
      <c r="D2570" s="10" t="s">
        <v>911</v>
      </c>
      <c r="E2570" s="78" t="s">
        <v>912</v>
      </c>
      <c r="F2570" s="90" t="s">
        <v>912</v>
      </c>
      <c r="G2570" s="21" t="str">
        <f>VLOOKUP(D2570,[6]成飞半成品!$A:$B,2,0)</f>
        <v>安装支座</v>
      </c>
      <c r="H2570" s="10" t="s">
        <v>154</v>
      </c>
      <c r="I2570" s="10">
        <v>20</v>
      </c>
      <c r="J2570" s="10" t="s">
        <v>2235</v>
      </c>
      <c r="K2570" s="10">
        <v>5</v>
      </c>
      <c r="L2570" s="10">
        <v>5</v>
      </c>
      <c r="M2570" s="10">
        <v>37</v>
      </c>
      <c r="N2570" s="10">
        <v>5</v>
      </c>
      <c r="O2570" s="55" t="s">
        <v>216</v>
      </c>
      <c r="Q2570" s="10">
        <v>140</v>
      </c>
      <c r="U2570" s="10">
        <v>60</v>
      </c>
      <c r="Y2570" s="79">
        <v>11.7</v>
      </c>
      <c r="Z2570" s="10" t="s">
        <v>23</v>
      </c>
    </row>
    <row r="2571" spans="1:28" ht="23.1" customHeight="1" x14ac:dyDescent="0.25">
      <c r="A2571" s="14" t="s">
        <v>1236</v>
      </c>
      <c r="B2571" s="10" t="s">
        <v>110</v>
      </c>
      <c r="C2571" s="10">
        <v>10</v>
      </c>
      <c r="D2571" s="10" t="s">
        <v>946</v>
      </c>
      <c r="E2571" s="78" t="s">
        <v>947</v>
      </c>
      <c r="F2571" s="90" t="s">
        <v>947</v>
      </c>
      <c r="G2571" s="21" t="str">
        <f>VLOOKUP(D2571,[6]成飞半成品!$A:$B,2,0)</f>
        <v>5755横框</v>
      </c>
      <c r="H2571" s="10" t="s">
        <v>300</v>
      </c>
      <c r="I2571" s="10">
        <v>20</v>
      </c>
      <c r="J2571" s="10" t="s">
        <v>2234</v>
      </c>
      <c r="K2571" s="10">
        <v>1.7</v>
      </c>
      <c r="L2571" s="10">
        <v>1.7</v>
      </c>
      <c r="M2571" s="10">
        <v>9</v>
      </c>
      <c r="N2571" s="10">
        <v>5</v>
      </c>
      <c r="O2571" s="55" t="s">
        <v>1730</v>
      </c>
      <c r="Q2571" s="10">
        <v>360</v>
      </c>
      <c r="U2571" s="10">
        <v>90</v>
      </c>
      <c r="Y2571" s="79">
        <v>10.199999999999999</v>
      </c>
      <c r="Z2571" s="10" t="s">
        <v>23</v>
      </c>
    </row>
    <row r="2572" spans="1:28" ht="23.1" customHeight="1" x14ac:dyDescent="0.25">
      <c r="A2572" s="14" t="s">
        <v>1236</v>
      </c>
      <c r="B2572" s="10" t="s">
        <v>110</v>
      </c>
      <c r="C2572" s="10">
        <v>108</v>
      </c>
      <c r="D2572" s="10" t="s">
        <v>886</v>
      </c>
      <c r="E2572" s="78" t="s">
        <v>887</v>
      </c>
      <c r="F2572" s="90" t="s">
        <v>887</v>
      </c>
      <c r="G2572" s="21" t="str">
        <f>VLOOKUP(D2572,[6]成飞半成品!$A:$B,2,0)</f>
        <v>外侧梁</v>
      </c>
      <c r="H2572" s="10" t="s">
        <v>154</v>
      </c>
      <c r="I2572" s="10">
        <v>25</v>
      </c>
      <c r="J2572" s="10" t="s">
        <v>2037</v>
      </c>
      <c r="K2572" s="10">
        <v>1</v>
      </c>
      <c r="L2572" s="10">
        <v>1</v>
      </c>
      <c r="M2572" s="10">
        <v>37</v>
      </c>
      <c r="O2572" s="55" t="s">
        <v>234</v>
      </c>
      <c r="Q2572" s="10">
        <v>360</v>
      </c>
      <c r="R2572" s="10">
        <v>60</v>
      </c>
      <c r="T2572" s="10">
        <v>1</v>
      </c>
      <c r="U2572" s="10">
        <v>90</v>
      </c>
      <c r="W2572" s="10">
        <v>1</v>
      </c>
      <c r="Y2572" s="79">
        <v>8.5</v>
      </c>
      <c r="Z2572" s="10" t="s">
        <v>13</v>
      </c>
    </row>
    <row r="2573" spans="1:28" ht="23.1" customHeight="1" x14ac:dyDescent="0.25">
      <c r="A2573" s="14" t="s">
        <v>1236</v>
      </c>
      <c r="B2573" s="10" t="s">
        <v>110</v>
      </c>
      <c r="C2573" s="10">
        <v>13</v>
      </c>
      <c r="D2573" s="10" t="s">
        <v>1727</v>
      </c>
      <c r="E2573" s="78" t="s">
        <v>1728</v>
      </c>
      <c r="F2573" s="90" t="s">
        <v>1728</v>
      </c>
      <c r="G2573" s="21" t="str">
        <f>VLOOKUP(D2573,[6]成飞半成品!$A:$B,2,0)</f>
        <v>球形杯</v>
      </c>
      <c r="H2573" s="10" t="s">
        <v>102</v>
      </c>
      <c r="I2573" s="10">
        <v>10</v>
      </c>
      <c r="J2573" s="10" t="s">
        <v>1952</v>
      </c>
      <c r="K2573" s="10">
        <v>1</v>
      </c>
      <c r="L2573" s="10">
        <v>1</v>
      </c>
      <c r="O2573" s="55" t="s">
        <v>596</v>
      </c>
      <c r="Q2573" s="10">
        <v>60</v>
      </c>
      <c r="U2573" s="10">
        <v>90</v>
      </c>
      <c r="X2573" s="14">
        <v>2</v>
      </c>
      <c r="Y2573" s="79">
        <v>3</v>
      </c>
      <c r="Z2573" s="10" t="s">
        <v>10</v>
      </c>
      <c r="AA2573" s="14" t="s">
        <v>1671</v>
      </c>
      <c r="AB2573" s="14" t="s">
        <v>238</v>
      </c>
    </row>
    <row r="2574" spans="1:28" ht="23.1" customHeight="1" x14ac:dyDescent="0.25">
      <c r="A2574" s="14" t="s">
        <v>1236</v>
      </c>
      <c r="B2574" s="10" t="s">
        <v>110</v>
      </c>
      <c r="C2574" s="10">
        <v>11</v>
      </c>
      <c r="D2574" s="10" t="s">
        <v>1296</v>
      </c>
      <c r="E2574" s="78" t="s">
        <v>1297</v>
      </c>
      <c r="F2574" s="90" t="s">
        <v>1297</v>
      </c>
      <c r="G2574" s="21" t="str">
        <f>VLOOKUP(D2574,[6]成飞半成品!$A:$B,2,0)</f>
        <v>固定板</v>
      </c>
      <c r="H2574" s="10" t="s">
        <v>154</v>
      </c>
      <c r="I2574" s="10">
        <v>25</v>
      </c>
      <c r="J2574" s="10" t="s">
        <v>2054</v>
      </c>
      <c r="K2574" s="10">
        <v>4</v>
      </c>
      <c r="L2574" s="10">
        <v>2</v>
      </c>
      <c r="M2574" s="10">
        <v>9</v>
      </c>
      <c r="N2574" s="10">
        <v>9</v>
      </c>
      <c r="O2574" s="55" t="s">
        <v>199</v>
      </c>
      <c r="Q2574" s="10">
        <v>65</v>
      </c>
      <c r="U2574" s="10">
        <v>60</v>
      </c>
      <c r="Y2574" s="79">
        <v>2.2000000000000002</v>
      </c>
      <c r="Z2574" s="10" t="s">
        <v>71</v>
      </c>
    </row>
    <row r="2575" spans="1:28" ht="23.1" customHeight="1" x14ac:dyDescent="0.25">
      <c r="A2575" s="14" t="s">
        <v>1236</v>
      </c>
      <c r="B2575" s="10" t="s">
        <v>110</v>
      </c>
      <c r="C2575" s="10">
        <v>11</v>
      </c>
      <c r="D2575" s="10" t="s">
        <v>1296</v>
      </c>
      <c r="E2575" s="78" t="s">
        <v>1297</v>
      </c>
      <c r="F2575" s="90" t="s">
        <v>1297</v>
      </c>
      <c r="G2575" s="21" t="str">
        <f>VLOOKUP(D2575,[6]成飞半成品!$A:$B,2,0)</f>
        <v>固定板</v>
      </c>
      <c r="H2575" s="10" t="s">
        <v>154</v>
      </c>
      <c r="I2575" s="10">
        <v>30</v>
      </c>
      <c r="J2575" s="10" t="s">
        <v>1863</v>
      </c>
      <c r="K2575" s="10">
        <v>5</v>
      </c>
      <c r="L2575" s="10">
        <v>1</v>
      </c>
      <c r="M2575" s="10">
        <v>9</v>
      </c>
      <c r="O2575" s="55" t="s">
        <v>199</v>
      </c>
      <c r="Q2575" s="10">
        <v>160</v>
      </c>
      <c r="U2575" s="10">
        <v>60</v>
      </c>
      <c r="W2575" s="10">
        <v>1</v>
      </c>
      <c r="X2575" s="14">
        <v>3</v>
      </c>
      <c r="Y2575" s="79">
        <v>6.7</v>
      </c>
      <c r="Z2575" s="10" t="s">
        <v>71</v>
      </c>
      <c r="AA2575" s="14" t="s">
        <v>1731</v>
      </c>
      <c r="AB2575" s="14" t="s">
        <v>238</v>
      </c>
    </row>
    <row r="2576" spans="1:28" ht="23.1" customHeight="1" x14ac:dyDescent="0.25">
      <c r="A2576" s="14" t="s">
        <v>1236</v>
      </c>
      <c r="B2576" s="10" t="s">
        <v>110</v>
      </c>
      <c r="C2576" s="10">
        <v>58</v>
      </c>
      <c r="D2576" s="10" t="s">
        <v>1047</v>
      </c>
      <c r="E2576" s="78" t="s">
        <v>424</v>
      </c>
      <c r="F2576" s="90" t="s">
        <v>424</v>
      </c>
      <c r="G2576" s="21" t="str">
        <f>VLOOKUP(D2576,[6]成飞半成品!$A:$B,2,0)</f>
        <v>后梁四段</v>
      </c>
      <c r="H2576" s="10" t="s">
        <v>107</v>
      </c>
      <c r="I2576" s="10">
        <v>25</v>
      </c>
      <c r="J2576" s="10" t="s">
        <v>1983</v>
      </c>
      <c r="K2576" s="10">
        <v>3</v>
      </c>
      <c r="L2576" s="10">
        <v>4</v>
      </c>
      <c r="M2576" s="10">
        <v>9</v>
      </c>
      <c r="N2576" s="10">
        <v>19</v>
      </c>
      <c r="O2576" s="55" t="s">
        <v>1048</v>
      </c>
      <c r="Q2576" s="10">
        <v>85</v>
      </c>
      <c r="U2576" s="10">
        <v>120</v>
      </c>
      <c r="Y2576" s="79">
        <v>5.7</v>
      </c>
      <c r="Z2576" s="10" t="s">
        <v>0</v>
      </c>
    </row>
    <row r="2577" spans="1:28" ht="23.1" customHeight="1" x14ac:dyDescent="0.25">
      <c r="A2577" s="14" t="s">
        <v>1236</v>
      </c>
      <c r="B2577" s="10" t="s">
        <v>110</v>
      </c>
      <c r="C2577" s="10">
        <v>18</v>
      </c>
      <c r="D2577" s="10" t="s">
        <v>918</v>
      </c>
      <c r="E2577" s="78" t="s">
        <v>919</v>
      </c>
      <c r="F2577" s="90" t="s">
        <v>919</v>
      </c>
      <c r="G2577" s="21" t="str">
        <f>VLOOKUP(D2577,[6]成飞半成品!$A:$B,2,0)</f>
        <v>雷达罩锁支座</v>
      </c>
      <c r="H2577" s="10" t="s">
        <v>323</v>
      </c>
      <c r="I2577" s="10">
        <v>15</v>
      </c>
      <c r="J2577" s="10" t="s">
        <v>2520</v>
      </c>
      <c r="K2577" s="10">
        <v>3</v>
      </c>
      <c r="L2577" s="10">
        <v>3</v>
      </c>
      <c r="M2577" s="10">
        <v>19</v>
      </c>
      <c r="N2577" s="10">
        <v>19</v>
      </c>
      <c r="O2577" s="55" t="s">
        <v>780</v>
      </c>
      <c r="Q2577" s="10">
        <v>210</v>
      </c>
      <c r="U2577" s="10">
        <v>90</v>
      </c>
      <c r="Y2577" s="79">
        <v>10.5</v>
      </c>
      <c r="Z2577" s="10" t="s">
        <v>14</v>
      </c>
    </row>
    <row r="2578" spans="1:28" ht="23.1" customHeight="1" x14ac:dyDescent="0.25">
      <c r="A2578" s="14" t="s">
        <v>1236</v>
      </c>
      <c r="B2578" s="10" t="s">
        <v>110</v>
      </c>
      <c r="C2578" s="10">
        <v>57</v>
      </c>
      <c r="D2578" s="10" t="s">
        <v>1042</v>
      </c>
      <c r="E2578" s="78" t="s">
        <v>1281</v>
      </c>
      <c r="F2578" s="90" t="s">
        <v>1281</v>
      </c>
      <c r="G2578" s="21" t="str">
        <f>VLOOKUP(D2578,[6]成飞半成品!$A:$B,2,0)</f>
        <v>前上大梁（右）</v>
      </c>
      <c r="H2578" s="10" t="s">
        <v>107</v>
      </c>
      <c r="I2578" s="10">
        <v>15</v>
      </c>
      <c r="J2578" s="10" t="s">
        <v>2338</v>
      </c>
      <c r="K2578" s="10">
        <v>3.5</v>
      </c>
      <c r="L2578" s="10">
        <v>3</v>
      </c>
      <c r="M2578" s="10">
        <v>19</v>
      </c>
      <c r="N2578" s="10">
        <v>19</v>
      </c>
      <c r="O2578" s="55" t="s">
        <v>1043</v>
      </c>
      <c r="Q2578" s="10">
        <v>180</v>
      </c>
      <c r="U2578" s="10">
        <v>90</v>
      </c>
      <c r="Y2578" s="79">
        <v>9</v>
      </c>
      <c r="Z2578" s="10" t="s">
        <v>0</v>
      </c>
    </row>
    <row r="2579" spans="1:28" ht="23.1" customHeight="1" x14ac:dyDescent="0.25">
      <c r="A2579" s="14" t="s">
        <v>1236</v>
      </c>
      <c r="B2579" s="10" t="s">
        <v>110</v>
      </c>
      <c r="C2579" s="10">
        <v>76</v>
      </c>
      <c r="D2579" s="10" t="s">
        <v>1553</v>
      </c>
      <c r="E2579" s="78" t="s">
        <v>409</v>
      </c>
      <c r="F2579" s="90" t="e">
        <v>#N/A</v>
      </c>
      <c r="G2579" s="21" t="e">
        <f>VLOOKUP(D2579,[6]成飞半成品!$A:$B,2,0)</f>
        <v>#N/A</v>
      </c>
      <c r="H2579" s="10" t="s">
        <v>102</v>
      </c>
      <c r="I2579" s="10">
        <v>25</v>
      </c>
      <c r="K2579" s="10">
        <v>6</v>
      </c>
      <c r="L2579" s="10">
        <v>2</v>
      </c>
      <c r="M2579" s="10">
        <v>5</v>
      </c>
      <c r="N2579" s="10">
        <v>5</v>
      </c>
      <c r="O2579" s="55" t="s">
        <v>596</v>
      </c>
      <c r="P2579" s="10">
        <v>55</v>
      </c>
      <c r="Q2579" s="10">
        <v>55</v>
      </c>
      <c r="U2579" s="10">
        <v>60</v>
      </c>
      <c r="V2579" s="10">
        <v>60</v>
      </c>
      <c r="W2579" s="10">
        <v>1</v>
      </c>
      <c r="X2579" s="14">
        <v>2</v>
      </c>
      <c r="Y2579" s="83">
        <v>4.8</v>
      </c>
      <c r="Z2579" s="10" t="s">
        <v>12</v>
      </c>
      <c r="AA2579" s="14" t="s">
        <v>1671</v>
      </c>
      <c r="AB2579" s="14" t="s">
        <v>238</v>
      </c>
    </row>
    <row r="2580" spans="1:28" ht="23.1" customHeight="1" x14ac:dyDescent="0.25">
      <c r="A2580" s="14" t="s">
        <v>1236</v>
      </c>
      <c r="B2580" s="10" t="s">
        <v>110</v>
      </c>
      <c r="C2580" s="10">
        <v>77</v>
      </c>
      <c r="D2580" s="10" t="s">
        <v>1698</v>
      </c>
      <c r="E2580" s="78" t="s">
        <v>1699</v>
      </c>
      <c r="F2580" s="90" t="s">
        <v>1699</v>
      </c>
      <c r="G2580" s="21" t="str">
        <f>VLOOKUP(D2580,[6]成飞半成品!$A:$B,2,0)</f>
        <v>Z型件</v>
      </c>
      <c r="H2580" s="10" t="s">
        <v>118</v>
      </c>
      <c r="I2580" s="10">
        <v>15</v>
      </c>
      <c r="J2580" s="10" t="s">
        <v>2343</v>
      </c>
      <c r="K2580" s="10">
        <v>20</v>
      </c>
      <c r="L2580" s="10">
        <v>45</v>
      </c>
      <c r="M2580" s="10">
        <v>9</v>
      </c>
      <c r="N2580" s="10">
        <v>9</v>
      </c>
      <c r="O2580" s="55" t="s">
        <v>282</v>
      </c>
      <c r="Q2580" s="10">
        <v>25</v>
      </c>
      <c r="U2580" s="10">
        <v>90</v>
      </c>
      <c r="W2580" s="10">
        <v>1</v>
      </c>
      <c r="X2580" s="14">
        <v>2</v>
      </c>
      <c r="Y2580" s="79">
        <v>22.3</v>
      </c>
      <c r="Z2580" s="10" t="s">
        <v>24</v>
      </c>
      <c r="AA2580" s="14" t="s">
        <v>1540</v>
      </c>
      <c r="AB2580" s="14" t="s">
        <v>238</v>
      </c>
    </row>
    <row r="2581" spans="1:28" ht="23.1" customHeight="1" x14ac:dyDescent="0.25">
      <c r="A2581" s="14" t="s">
        <v>1236</v>
      </c>
      <c r="B2581" s="10" t="s">
        <v>110</v>
      </c>
      <c r="C2581" s="10">
        <v>21</v>
      </c>
      <c r="D2581" s="10" t="s">
        <v>321</v>
      </c>
      <c r="E2581" s="78" t="s">
        <v>322</v>
      </c>
      <c r="F2581" s="90" t="s">
        <v>322</v>
      </c>
      <c r="G2581" s="21" t="str">
        <f>VLOOKUP(D2581,[6]成飞半成品!$A:$B,2,0)</f>
        <v>10860框</v>
      </c>
      <c r="H2581" s="10" t="s">
        <v>323</v>
      </c>
      <c r="I2581" s="10">
        <v>30</v>
      </c>
      <c r="J2581" s="10" t="s">
        <v>2078</v>
      </c>
      <c r="K2581" s="10">
        <v>0.9</v>
      </c>
      <c r="L2581" s="10">
        <v>0.6</v>
      </c>
      <c r="M2581" s="10">
        <v>9</v>
      </c>
      <c r="N2581" s="10">
        <v>9</v>
      </c>
      <c r="O2581" s="55" t="s">
        <v>801</v>
      </c>
      <c r="Q2581" s="10">
        <v>360</v>
      </c>
      <c r="R2581" s="10">
        <v>120</v>
      </c>
      <c r="U2581" s="10">
        <v>180</v>
      </c>
      <c r="Y2581" s="79">
        <v>3.6</v>
      </c>
      <c r="Z2581" s="10" t="s">
        <v>49</v>
      </c>
    </row>
    <row r="2582" spans="1:28" ht="23.1" customHeight="1" x14ac:dyDescent="0.25">
      <c r="A2582" s="14" t="s">
        <v>1236</v>
      </c>
      <c r="B2582" s="10" t="s">
        <v>110</v>
      </c>
      <c r="C2582" s="10">
        <v>21</v>
      </c>
      <c r="D2582" s="10" t="s">
        <v>321</v>
      </c>
      <c r="E2582" s="78" t="s">
        <v>322</v>
      </c>
      <c r="F2582" s="90" t="s">
        <v>322</v>
      </c>
      <c r="G2582" s="21" t="str">
        <f>VLOOKUP(D2582,[6]成飞半成品!$A:$B,2,0)</f>
        <v>10860框</v>
      </c>
      <c r="H2582" s="10" t="s">
        <v>323</v>
      </c>
      <c r="I2582" s="10">
        <v>35</v>
      </c>
      <c r="J2582" s="10" t="s">
        <v>1925</v>
      </c>
      <c r="K2582" s="10">
        <v>0.5</v>
      </c>
      <c r="L2582" s="10">
        <v>0.9</v>
      </c>
      <c r="M2582" s="10">
        <v>5</v>
      </c>
      <c r="O2582" s="55" t="s">
        <v>1273</v>
      </c>
      <c r="Q2582" s="10">
        <v>480</v>
      </c>
      <c r="R2582" s="10">
        <v>120</v>
      </c>
      <c r="T2582" s="10">
        <v>1</v>
      </c>
      <c r="U2582" s="10">
        <v>180</v>
      </c>
      <c r="W2582" s="10">
        <v>1</v>
      </c>
      <c r="Y2582" s="79">
        <v>12.2</v>
      </c>
      <c r="Z2582" s="10" t="s">
        <v>49</v>
      </c>
    </row>
    <row r="2583" spans="1:28" ht="23.1" customHeight="1" x14ac:dyDescent="0.25">
      <c r="A2583" s="14" t="s">
        <v>1236</v>
      </c>
      <c r="B2583" s="10" t="s">
        <v>137</v>
      </c>
      <c r="C2583" s="10">
        <v>11</v>
      </c>
      <c r="D2583" s="10" t="s">
        <v>1296</v>
      </c>
      <c r="E2583" s="78" t="s">
        <v>1297</v>
      </c>
      <c r="F2583" s="90" t="s">
        <v>1297</v>
      </c>
      <c r="G2583" s="21" t="str">
        <f>VLOOKUP(D2583,[6]成飞半成品!$A:$B,2,0)</f>
        <v>固定板</v>
      </c>
      <c r="H2583" s="10" t="s">
        <v>154</v>
      </c>
      <c r="I2583" s="10">
        <v>30</v>
      </c>
      <c r="J2583" s="10" t="s">
        <v>1863</v>
      </c>
      <c r="K2583" s="10">
        <v>4</v>
      </c>
      <c r="L2583" s="10">
        <v>3</v>
      </c>
      <c r="M2583" s="10">
        <v>28</v>
      </c>
      <c r="N2583" s="10">
        <v>23</v>
      </c>
      <c r="O2583" s="55" t="s">
        <v>199</v>
      </c>
      <c r="Q2583" s="10">
        <v>160</v>
      </c>
      <c r="U2583" s="10">
        <v>60</v>
      </c>
      <c r="W2583" s="10">
        <v>1</v>
      </c>
      <c r="X2583" s="14">
        <v>2</v>
      </c>
      <c r="Y2583" s="79">
        <v>11</v>
      </c>
      <c r="Z2583" s="10" t="s">
        <v>63</v>
      </c>
      <c r="AA2583" s="14" t="s">
        <v>1376</v>
      </c>
      <c r="AB2583" s="14" t="s">
        <v>238</v>
      </c>
    </row>
    <row r="2584" spans="1:28" ht="23.1" customHeight="1" x14ac:dyDescent="0.25">
      <c r="A2584" s="14" t="s">
        <v>1236</v>
      </c>
      <c r="B2584" s="10" t="s">
        <v>137</v>
      </c>
      <c r="C2584" s="10">
        <v>57</v>
      </c>
      <c r="D2584" s="10" t="s">
        <v>1042</v>
      </c>
      <c r="E2584" s="78" t="s">
        <v>1281</v>
      </c>
      <c r="F2584" s="90" t="s">
        <v>1281</v>
      </c>
      <c r="G2584" s="21" t="str">
        <f>VLOOKUP(D2584,[6]成飞半成品!$A:$B,2,0)</f>
        <v>前上大梁（右）</v>
      </c>
      <c r="H2584" s="10" t="s">
        <v>107</v>
      </c>
      <c r="I2584" s="10">
        <v>15</v>
      </c>
      <c r="J2584" s="10" t="s">
        <v>2338</v>
      </c>
      <c r="K2584" s="10">
        <v>3.5</v>
      </c>
      <c r="L2584" s="10">
        <v>3.5</v>
      </c>
      <c r="M2584" s="10">
        <v>23</v>
      </c>
      <c r="N2584" s="10">
        <v>28</v>
      </c>
      <c r="O2584" s="55" t="s">
        <v>1732</v>
      </c>
      <c r="Q2584" s="10">
        <v>180</v>
      </c>
      <c r="U2584" s="10">
        <v>90</v>
      </c>
      <c r="Y2584" s="79">
        <v>10.5</v>
      </c>
      <c r="Z2584" s="10" t="s">
        <v>7</v>
      </c>
    </row>
    <row r="2585" spans="1:28" ht="23.1" customHeight="1" x14ac:dyDescent="0.25">
      <c r="A2585" s="14" t="s">
        <v>1236</v>
      </c>
      <c r="B2585" s="10" t="s">
        <v>137</v>
      </c>
      <c r="C2585" s="10">
        <v>17</v>
      </c>
      <c r="D2585" s="10" t="s">
        <v>1702</v>
      </c>
      <c r="E2585" s="78" t="s">
        <v>625</v>
      </c>
      <c r="F2585" s="90" t="s">
        <v>625</v>
      </c>
      <c r="G2585" s="21" t="str">
        <f>VLOOKUP(D2585,[6]成飞半成品!$A:$B,2,0)</f>
        <v>支架</v>
      </c>
      <c r="H2585" s="10" t="s">
        <v>250</v>
      </c>
      <c r="I2585" s="10">
        <v>20</v>
      </c>
      <c r="J2585" s="10" t="s">
        <v>2344</v>
      </c>
      <c r="K2585" s="10">
        <v>4</v>
      </c>
      <c r="L2585" s="10">
        <v>6</v>
      </c>
      <c r="M2585" s="10">
        <v>5</v>
      </c>
      <c r="N2585" s="10">
        <v>5</v>
      </c>
      <c r="O2585" s="55" t="s">
        <v>247</v>
      </c>
      <c r="Q2585" s="10">
        <v>150</v>
      </c>
      <c r="U2585" s="10">
        <v>150</v>
      </c>
      <c r="W2585" s="10">
        <v>1</v>
      </c>
      <c r="Y2585" s="79">
        <v>17.5</v>
      </c>
      <c r="Z2585" s="10" t="s">
        <v>16</v>
      </c>
    </row>
    <row r="2586" spans="1:28" ht="23.1" customHeight="1" x14ac:dyDescent="0.25">
      <c r="A2586" s="14" t="s">
        <v>1236</v>
      </c>
      <c r="B2586" s="10" t="s">
        <v>137</v>
      </c>
      <c r="C2586" s="10">
        <v>18</v>
      </c>
      <c r="D2586" s="10" t="s">
        <v>921</v>
      </c>
      <c r="E2586" s="78" t="s">
        <v>919</v>
      </c>
      <c r="F2586" s="90" t="s">
        <v>919</v>
      </c>
      <c r="G2586" s="21" t="str">
        <f>VLOOKUP(D2586,[6]成飞半成品!$A:$B,2,0)</f>
        <v>雷达罩锁支座</v>
      </c>
      <c r="H2586" s="10" t="s">
        <v>323</v>
      </c>
      <c r="I2586" s="10">
        <v>15</v>
      </c>
      <c r="J2586" s="10" t="s">
        <v>2335</v>
      </c>
      <c r="K2586" s="10">
        <v>3</v>
      </c>
      <c r="L2586" s="10">
        <v>2</v>
      </c>
      <c r="M2586" s="10">
        <v>19</v>
      </c>
      <c r="N2586" s="10">
        <v>19</v>
      </c>
      <c r="O2586" s="55" t="s">
        <v>780</v>
      </c>
      <c r="Q2586" s="10">
        <v>210</v>
      </c>
      <c r="U2586" s="10">
        <v>90</v>
      </c>
      <c r="W2586" s="10">
        <v>1</v>
      </c>
      <c r="Y2586" s="79">
        <v>8.5</v>
      </c>
      <c r="Z2586" s="10" t="s">
        <v>16</v>
      </c>
      <c r="AA2586" s="14" t="s">
        <v>1733</v>
      </c>
      <c r="AB2586" s="14" t="s">
        <v>238</v>
      </c>
    </row>
    <row r="2587" spans="1:28" ht="23.1" customHeight="1" x14ac:dyDescent="0.25">
      <c r="A2587" s="14" t="s">
        <v>1236</v>
      </c>
      <c r="B2587" s="10" t="s">
        <v>137</v>
      </c>
      <c r="C2587" s="10">
        <v>18</v>
      </c>
      <c r="D2587" s="10" t="s">
        <v>1734</v>
      </c>
      <c r="E2587" s="78" t="s">
        <v>1735</v>
      </c>
      <c r="F2587" s="90" t="s">
        <v>1735</v>
      </c>
      <c r="G2587" s="21" t="str">
        <f>VLOOKUP(D2587,[6]成飞半成品!$A:$B,2,0)</f>
        <v>U形转轴</v>
      </c>
      <c r="H2587" s="10" t="s">
        <v>154</v>
      </c>
      <c r="I2587" s="10">
        <v>45</v>
      </c>
      <c r="J2587" s="10" t="s">
        <v>2345</v>
      </c>
      <c r="L2587" s="10">
        <v>2</v>
      </c>
      <c r="M2587" s="10">
        <v>5</v>
      </c>
      <c r="N2587" s="10">
        <v>5</v>
      </c>
      <c r="O2587" s="55" t="s">
        <v>1736</v>
      </c>
      <c r="W2587" s="10">
        <v>1</v>
      </c>
      <c r="X2587" s="14">
        <v>3</v>
      </c>
      <c r="Y2587" s="79">
        <v>3</v>
      </c>
      <c r="Z2587" s="10" t="s">
        <v>16</v>
      </c>
      <c r="AA2587" s="14" t="s">
        <v>1737</v>
      </c>
      <c r="AB2587" s="14" t="s">
        <v>238</v>
      </c>
    </row>
    <row r="2588" spans="1:28" ht="23.1" customHeight="1" x14ac:dyDescent="0.25">
      <c r="A2588" s="14" t="s">
        <v>1236</v>
      </c>
      <c r="B2588" s="10" t="s">
        <v>137</v>
      </c>
      <c r="C2588" s="10">
        <v>16</v>
      </c>
      <c r="D2588" s="10" t="s">
        <v>1707</v>
      </c>
      <c r="E2588" s="78" t="s">
        <v>437</v>
      </c>
      <c r="F2588" s="90" t="s">
        <v>437</v>
      </c>
      <c r="G2588" s="21" t="str">
        <f>VLOOKUP(D2588,[6]成飞半成品!$A:$B,2,0)</f>
        <v>外副作动器整流罩支撑件上段</v>
      </c>
      <c r="H2588" s="10" t="s">
        <v>154</v>
      </c>
      <c r="I2588" s="10">
        <v>30</v>
      </c>
      <c r="J2588" s="10" t="s">
        <v>2342</v>
      </c>
      <c r="K2588" s="10">
        <v>1</v>
      </c>
      <c r="L2588" s="10">
        <v>1.5</v>
      </c>
      <c r="M2588" s="10">
        <v>5</v>
      </c>
      <c r="N2588" s="10">
        <v>5</v>
      </c>
      <c r="O2588" s="55" t="s">
        <v>438</v>
      </c>
      <c r="Q2588" s="10">
        <v>100</v>
      </c>
      <c r="U2588" s="10">
        <v>60</v>
      </c>
      <c r="Y2588" s="79">
        <v>2.5</v>
      </c>
      <c r="Z2588" s="10" t="s">
        <v>63</v>
      </c>
    </row>
    <row r="2589" spans="1:28" ht="23.1" customHeight="1" x14ac:dyDescent="0.25">
      <c r="A2589" s="14" t="s">
        <v>1236</v>
      </c>
      <c r="B2589" s="10" t="s">
        <v>137</v>
      </c>
      <c r="C2589" s="10">
        <v>16</v>
      </c>
      <c r="D2589" s="10" t="s">
        <v>436</v>
      </c>
      <c r="E2589" s="78" t="s">
        <v>437</v>
      </c>
      <c r="F2589" s="90" t="s">
        <v>437</v>
      </c>
      <c r="G2589" s="21" t="str">
        <f>VLOOKUP(D2589,[6]成飞半成品!$A:$B,2,0)</f>
        <v>外副作动器整流罩支撑件上段</v>
      </c>
      <c r="H2589" s="10" t="s">
        <v>154</v>
      </c>
      <c r="I2589" s="10">
        <v>30</v>
      </c>
      <c r="J2589" s="10" t="s">
        <v>2342</v>
      </c>
      <c r="K2589" s="10">
        <v>2</v>
      </c>
      <c r="L2589" s="10">
        <v>2</v>
      </c>
      <c r="M2589" s="10">
        <v>28</v>
      </c>
      <c r="N2589" s="10">
        <v>28</v>
      </c>
      <c r="O2589" s="55" t="s">
        <v>438</v>
      </c>
      <c r="Q2589" s="10">
        <v>130</v>
      </c>
      <c r="U2589" s="10">
        <v>60</v>
      </c>
      <c r="W2589" s="10">
        <v>1</v>
      </c>
      <c r="Y2589" s="79">
        <v>5.3</v>
      </c>
      <c r="Z2589" s="10" t="s">
        <v>63</v>
      </c>
    </row>
    <row r="2590" spans="1:28" ht="23.1" customHeight="1" x14ac:dyDescent="0.25">
      <c r="A2590" s="14" t="s">
        <v>1236</v>
      </c>
      <c r="B2590" s="10" t="s">
        <v>137</v>
      </c>
      <c r="C2590" s="10">
        <v>58</v>
      </c>
      <c r="D2590" s="10" t="s">
        <v>1047</v>
      </c>
      <c r="E2590" s="78" t="s">
        <v>424</v>
      </c>
      <c r="F2590" s="90" t="s">
        <v>424</v>
      </c>
      <c r="G2590" s="21" t="str">
        <f>VLOOKUP(D2590,[6]成飞半成品!$A:$B,2,0)</f>
        <v>后梁四段</v>
      </c>
      <c r="H2590" s="10" t="s">
        <v>107</v>
      </c>
      <c r="I2590" s="10">
        <v>30</v>
      </c>
      <c r="J2590" s="10" t="s">
        <v>1994</v>
      </c>
      <c r="K2590" s="10">
        <v>2</v>
      </c>
      <c r="L2590" s="10">
        <v>7</v>
      </c>
      <c r="M2590" s="10">
        <v>23</v>
      </c>
      <c r="N2590" s="10">
        <v>5</v>
      </c>
      <c r="O2590" s="55" t="s">
        <v>1049</v>
      </c>
      <c r="Q2590" s="10">
        <v>50</v>
      </c>
      <c r="R2590" s="10">
        <v>30</v>
      </c>
      <c r="U2590" s="10">
        <v>60</v>
      </c>
      <c r="W2590" s="10">
        <v>1</v>
      </c>
      <c r="X2590" s="14">
        <v>2</v>
      </c>
      <c r="Y2590" s="79">
        <v>8.8000000000000007</v>
      </c>
      <c r="Z2590" s="10" t="s">
        <v>7</v>
      </c>
      <c r="AA2590" s="14" t="s">
        <v>1738</v>
      </c>
      <c r="AB2590" s="14" t="s">
        <v>238</v>
      </c>
    </row>
    <row r="2591" spans="1:28" ht="23.1" customHeight="1" x14ac:dyDescent="0.25">
      <c r="A2591" s="14" t="s">
        <v>1236</v>
      </c>
      <c r="B2591" s="10" t="s">
        <v>137</v>
      </c>
      <c r="C2591" s="10">
        <v>59</v>
      </c>
      <c r="D2591" s="10" t="s">
        <v>1686</v>
      </c>
      <c r="E2591" s="78" t="s">
        <v>1687</v>
      </c>
      <c r="F2591" s="90" t="s">
        <v>1687</v>
      </c>
      <c r="G2591" s="21" t="str">
        <f>VLOOKUP(D2591,[6]成飞半成品!$A:$B,2,0)</f>
        <v>底板连接接头</v>
      </c>
      <c r="H2591" s="10" t="s">
        <v>102</v>
      </c>
      <c r="I2591" s="10">
        <v>20</v>
      </c>
      <c r="J2591" s="10" t="s">
        <v>2317</v>
      </c>
      <c r="K2591" s="10">
        <v>4</v>
      </c>
      <c r="L2591" s="10">
        <v>4</v>
      </c>
      <c r="M2591" s="10">
        <v>5</v>
      </c>
      <c r="N2591" s="10">
        <v>5</v>
      </c>
      <c r="O2591" s="55" t="s">
        <v>596</v>
      </c>
      <c r="Q2591" s="10">
        <v>140</v>
      </c>
      <c r="U2591" s="10">
        <v>90</v>
      </c>
      <c r="Y2591" s="79">
        <v>9.3000000000000007</v>
      </c>
      <c r="Z2591" s="65" t="s">
        <v>1847</v>
      </c>
    </row>
    <row r="2592" spans="1:28" ht="23.1" customHeight="1" x14ac:dyDescent="0.25">
      <c r="A2592" s="14" t="s">
        <v>1236</v>
      </c>
      <c r="B2592" s="10" t="s">
        <v>113</v>
      </c>
      <c r="C2592" s="10">
        <v>79</v>
      </c>
      <c r="D2592" s="10" t="s">
        <v>152</v>
      </c>
      <c r="E2592" s="78" t="s">
        <v>153</v>
      </c>
      <c r="F2592" s="90" t="s">
        <v>1247</v>
      </c>
      <c r="G2592" s="21" t="str">
        <f>VLOOKUP(D2592,[6]成飞半成品!$A:$B,2,0)</f>
        <v>根肋前段</v>
      </c>
      <c r="H2592" s="10" t="s">
        <v>154</v>
      </c>
      <c r="I2592" s="10">
        <v>45</v>
      </c>
      <c r="J2592" s="10" t="s">
        <v>2236</v>
      </c>
      <c r="K2592" s="10">
        <v>0.6</v>
      </c>
      <c r="L2592" s="10">
        <v>0.5</v>
      </c>
      <c r="M2592" s="10">
        <v>31</v>
      </c>
      <c r="O2592" s="55" t="s">
        <v>421</v>
      </c>
      <c r="Q2592" s="10">
        <v>2460</v>
      </c>
      <c r="R2592" s="10">
        <v>90</v>
      </c>
      <c r="T2592" s="10">
        <v>1</v>
      </c>
      <c r="U2592" s="10">
        <v>240</v>
      </c>
      <c r="X2592" s="14">
        <v>3</v>
      </c>
      <c r="Y2592" s="79">
        <v>25</v>
      </c>
      <c r="Z2592" s="10" t="s">
        <v>19</v>
      </c>
      <c r="AA2592" s="14" t="s">
        <v>1700</v>
      </c>
    </row>
    <row r="2593" spans="1:26" ht="23.1" customHeight="1" x14ac:dyDescent="0.25">
      <c r="A2593" s="14" t="s">
        <v>1236</v>
      </c>
      <c r="B2593" s="10" t="s">
        <v>113</v>
      </c>
      <c r="C2593" s="10">
        <v>13</v>
      </c>
      <c r="D2593" s="10" t="s">
        <v>1727</v>
      </c>
      <c r="E2593" s="78" t="s">
        <v>1728</v>
      </c>
      <c r="F2593" s="90" t="s">
        <v>1728</v>
      </c>
      <c r="G2593" s="21" t="str">
        <f>VLOOKUP(D2593,[6]成飞半成品!$A:$B,2,0)</f>
        <v>球形杯</v>
      </c>
      <c r="H2593" s="10" t="s">
        <v>102</v>
      </c>
      <c r="I2593" s="10">
        <v>10</v>
      </c>
      <c r="J2593" s="10" t="s">
        <v>1952</v>
      </c>
      <c r="L2593" s="10">
        <v>5</v>
      </c>
      <c r="M2593" s="10">
        <v>5</v>
      </c>
      <c r="N2593" s="10">
        <v>5</v>
      </c>
      <c r="O2593" s="55" t="s">
        <v>596</v>
      </c>
      <c r="Q2593" s="10">
        <v>60</v>
      </c>
      <c r="U2593" s="10">
        <v>90</v>
      </c>
      <c r="Y2593" s="79">
        <v>5</v>
      </c>
      <c r="Z2593" s="10" t="s">
        <v>72</v>
      </c>
    </row>
    <row r="2594" spans="1:26" ht="23.1" customHeight="1" x14ac:dyDescent="0.25">
      <c r="A2594" s="14" t="s">
        <v>1236</v>
      </c>
      <c r="B2594" s="10" t="s">
        <v>113</v>
      </c>
      <c r="C2594" s="10">
        <v>13</v>
      </c>
      <c r="D2594" s="10" t="s">
        <v>1727</v>
      </c>
      <c r="E2594" s="78" t="s">
        <v>1728</v>
      </c>
      <c r="F2594" s="90" t="s">
        <v>1728</v>
      </c>
      <c r="G2594" s="21" t="str">
        <f>VLOOKUP(D2594,[6]成飞半成品!$A:$B,2,0)</f>
        <v>球形杯</v>
      </c>
      <c r="H2594" s="10" t="s">
        <v>102</v>
      </c>
      <c r="I2594" s="10">
        <v>15</v>
      </c>
      <c r="J2594" s="10" t="s">
        <v>2346</v>
      </c>
      <c r="K2594" s="10">
        <v>4</v>
      </c>
      <c r="L2594" s="10">
        <v>5</v>
      </c>
      <c r="M2594" s="10">
        <v>23</v>
      </c>
      <c r="N2594" s="10">
        <v>28</v>
      </c>
      <c r="O2594" s="55" t="s">
        <v>596</v>
      </c>
      <c r="Q2594" s="10">
        <v>140</v>
      </c>
      <c r="U2594" s="10">
        <v>90</v>
      </c>
      <c r="W2594" s="10">
        <v>1</v>
      </c>
      <c r="Y2594" s="79">
        <v>13.2</v>
      </c>
      <c r="Z2594" s="10" t="s">
        <v>72</v>
      </c>
    </row>
    <row r="2595" spans="1:26" ht="23.1" customHeight="1" x14ac:dyDescent="0.25">
      <c r="A2595" s="14" t="s">
        <v>1236</v>
      </c>
      <c r="B2595" s="10" t="s">
        <v>113</v>
      </c>
      <c r="C2595" s="10">
        <v>107</v>
      </c>
      <c r="D2595" s="10" t="s">
        <v>173</v>
      </c>
      <c r="E2595" s="78" t="s">
        <v>174</v>
      </c>
      <c r="F2595" s="90" t="s">
        <v>1246</v>
      </c>
      <c r="G2595" s="21" t="str">
        <f>VLOOKUP(D2595,[6]成飞半成品!$A:$B,2,0)</f>
        <v>根肋后段</v>
      </c>
      <c r="H2595" s="10" t="s">
        <v>154</v>
      </c>
      <c r="I2595" s="10">
        <v>50</v>
      </c>
      <c r="J2595" s="10" t="s">
        <v>2210</v>
      </c>
      <c r="K2595" s="10">
        <v>0.4</v>
      </c>
      <c r="L2595" s="10">
        <v>0.4</v>
      </c>
      <c r="M2595" s="10">
        <v>28</v>
      </c>
      <c r="O2595" s="55" t="s">
        <v>470</v>
      </c>
      <c r="Q2595" s="10">
        <v>2100</v>
      </c>
      <c r="R2595" s="10">
        <v>90</v>
      </c>
      <c r="U2595" s="10">
        <v>150</v>
      </c>
      <c r="Y2595" s="79">
        <v>14</v>
      </c>
      <c r="Z2595" s="10" t="s">
        <v>45</v>
      </c>
    </row>
    <row r="2596" spans="1:26" ht="23.1" customHeight="1" x14ac:dyDescent="0.25">
      <c r="A2596" s="14" t="s">
        <v>1236</v>
      </c>
      <c r="B2596" s="10" t="s">
        <v>113</v>
      </c>
      <c r="C2596" s="10">
        <v>108</v>
      </c>
      <c r="D2596" s="10" t="s">
        <v>889</v>
      </c>
      <c r="E2596" s="78" t="s">
        <v>887</v>
      </c>
      <c r="F2596" s="90" t="s">
        <v>887</v>
      </c>
      <c r="G2596" s="21" t="str">
        <f>VLOOKUP(D2596,[6]成飞半成品!$A:$B,2,0)</f>
        <v>外侧梁</v>
      </c>
      <c r="H2596" s="10" t="s">
        <v>154</v>
      </c>
      <c r="I2596" s="10">
        <v>30</v>
      </c>
      <c r="J2596" s="10" t="s">
        <v>2347</v>
      </c>
      <c r="K2596" s="10">
        <v>1</v>
      </c>
      <c r="L2596" s="10">
        <v>0.5</v>
      </c>
      <c r="M2596" s="10">
        <v>23</v>
      </c>
      <c r="O2596" s="55" t="s">
        <v>159</v>
      </c>
      <c r="Q2596" s="10">
        <v>720</v>
      </c>
      <c r="R2596" s="10">
        <v>60</v>
      </c>
      <c r="U2596" s="10">
        <v>90</v>
      </c>
      <c r="Y2596" s="79">
        <v>6</v>
      </c>
      <c r="Z2596" s="10" t="s">
        <v>45</v>
      </c>
    </row>
    <row r="2597" spans="1:26" ht="23.1" customHeight="1" x14ac:dyDescent="0.25">
      <c r="A2597" s="14" t="s">
        <v>1236</v>
      </c>
      <c r="B2597" s="10" t="s">
        <v>113</v>
      </c>
      <c r="C2597" s="10">
        <v>55</v>
      </c>
      <c r="D2597" s="10" t="s">
        <v>273</v>
      </c>
      <c r="E2597" s="78" t="s">
        <v>274</v>
      </c>
      <c r="F2597" s="90" t="s">
        <v>274</v>
      </c>
      <c r="G2597" s="21" t="str">
        <f>VLOOKUP(D2597,[6]成飞半成品!$A:$B,2,0)</f>
        <v>前起落架水平接头</v>
      </c>
      <c r="H2597" s="10" t="s">
        <v>123</v>
      </c>
      <c r="I2597" s="10">
        <v>45</v>
      </c>
      <c r="J2597" s="10" t="s">
        <v>1954</v>
      </c>
      <c r="K2597" s="10">
        <v>3</v>
      </c>
      <c r="L2597" s="10">
        <v>3</v>
      </c>
      <c r="M2597" s="10">
        <v>28</v>
      </c>
      <c r="N2597" s="10">
        <v>28</v>
      </c>
      <c r="O2597" s="55" t="s">
        <v>275</v>
      </c>
      <c r="Q2597" s="10">
        <v>240</v>
      </c>
      <c r="U2597" s="10">
        <v>90</v>
      </c>
      <c r="Y2597" s="79">
        <v>12</v>
      </c>
      <c r="Z2597" s="10" t="s">
        <v>44</v>
      </c>
    </row>
    <row r="2598" spans="1:26" ht="23.1" customHeight="1" x14ac:dyDescent="0.25">
      <c r="A2598" s="14" t="s">
        <v>1236</v>
      </c>
      <c r="B2598" s="10" t="s">
        <v>113</v>
      </c>
      <c r="C2598" s="10">
        <v>56</v>
      </c>
      <c r="D2598" s="10" t="s">
        <v>273</v>
      </c>
      <c r="E2598" s="78" t="s">
        <v>274</v>
      </c>
      <c r="F2598" s="90" t="s">
        <v>274</v>
      </c>
      <c r="G2598" s="21" t="str">
        <f>VLOOKUP(D2598,[6]成飞半成品!$A:$B,2,0)</f>
        <v>前起落架水平接头</v>
      </c>
      <c r="H2598" s="10" t="s">
        <v>123</v>
      </c>
      <c r="I2598" s="10">
        <v>40</v>
      </c>
      <c r="J2598" s="10" t="s">
        <v>2326</v>
      </c>
      <c r="K2598" s="10">
        <v>3.5</v>
      </c>
      <c r="L2598" s="10">
        <v>3</v>
      </c>
      <c r="M2598" s="10">
        <v>28</v>
      </c>
      <c r="N2598" s="10">
        <v>28</v>
      </c>
      <c r="O2598" s="55" t="s">
        <v>275</v>
      </c>
      <c r="Q2598" s="10">
        <v>240</v>
      </c>
      <c r="U2598" s="10">
        <v>120</v>
      </c>
      <c r="Y2598" s="79">
        <v>12</v>
      </c>
      <c r="Z2598" s="10" t="s">
        <v>44</v>
      </c>
    </row>
    <row r="2599" spans="1:26" ht="23.1" customHeight="1" x14ac:dyDescent="0.25">
      <c r="A2599" s="14" t="s">
        <v>1236</v>
      </c>
      <c r="B2599" s="10" t="s">
        <v>113</v>
      </c>
      <c r="C2599" s="10">
        <v>15</v>
      </c>
      <c r="D2599" s="10" t="s">
        <v>1255</v>
      </c>
      <c r="E2599" s="78" t="s">
        <v>117</v>
      </c>
      <c r="F2599" s="90" t="s">
        <v>117</v>
      </c>
      <c r="G2599" s="21" t="str">
        <f>VLOOKUP(D2599,[6]成飞半成品!$A:$B,2,0)</f>
        <v>7820~8270侧上梁</v>
      </c>
      <c r="H2599" s="10" t="s">
        <v>118</v>
      </c>
      <c r="I2599" s="10">
        <v>20</v>
      </c>
      <c r="J2599" s="10" t="s">
        <v>2232</v>
      </c>
      <c r="K2599" s="10">
        <v>3</v>
      </c>
      <c r="L2599" s="10">
        <v>3.6</v>
      </c>
      <c r="M2599" s="10">
        <v>5</v>
      </c>
      <c r="N2599" s="10">
        <v>23</v>
      </c>
      <c r="O2599" s="55" t="s">
        <v>1100</v>
      </c>
      <c r="Q2599" s="10">
        <v>270</v>
      </c>
      <c r="U2599" s="10">
        <v>90</v>
      </c>
      <c r="Y2599" s="79">
        <v>16.2</v>
      </c>
      <c r="Z2599" s="10" t="s">
        <v>31</v>
      </c>
    </row>
    <row r="2600" spans="1:26" ht="23.1" customHeight="1" x14ac:dyDescent="0.25">
      <c r="A2600" s="14" t="s">
        <v>1236</v>
      </c>
      <c r="B2600" s="10" t="s">
        <v>113</v>
      </c>
      <c r="C2600" s="10">
        <v>18</v>
      </c>
      <c r="D2600" s="10" t="s">
        <v>920</v>
      </c>
      <c r="E2600" s="78" t="s">
        <v>919</v>
      </c>
      <c r="F2600" s="90" t="s">
        <v>919</v>
      </c>
      <c r="G2600" s="21" t="str">
        <f>VLOOKUP(D2600,[6]成飞半成品!$A:$B,2,0)</f>
        <v>雷达罩锁支座</v>
      </c>
      <c r="H2600" s="10" t="s">
        <v>323</v>
      </c>
      <c r="I2600" s="10">
        <v>15</v>
      </c>
      <c r="J2600" s="10" t="s">
        <v>2033</v>
      </c>
      <c r="L2600" s="10">
        <v>1</v>
      </c>
      <c r="M2600" s="10">
        <v>5</v>
      </c>
      <c r="N2600" s="10">
        <v>5</v>
      </c>
      <c r="O2600" s="55" t="s">
        <v>860</v>
      </c>
      <c r="Q2600" s="10">
        <v>210</v>
      </c>
      <c r="U2600" s="10">
        <v>90</v>
      </c>
      <c r="W2600" s="10">
        <v>1</v>
      </c>
      <c r="Y2600" s="79">
        <v>5</v>
      </c>
      <c r="Z2600" s="10" t="s">
        <v>43</v>
      </c>
    </row>
    <row r="2601" spans="1:26" ht="23.1" customHeight="1" x14ac:dyDescent="0.25">
      <c r="A2601" s="14" t="s">
        <v>1236</v>
      </c>
      <c r="B2601" s="10" t="s">
        <v>113</v>
      </c>
      <c r="C2601" s="10">
        <v>18</v>
      </c>
      <c r="D2601" s="10" t="s">
        <v>921</v>
      </c>
      <c r="E2601" s="78" t="s">
        <v>919</v>
      </c>
      <c r="F2601" s="90" t="s">
        <v>919</v>
      </c>
      <c r="G2601" s="21" t="str">
        <f>VLOOKUP(D2601,[6]成飞半成品!$A:$B,2,0)</f>
        <v>雷达罩锁支座</v>
      </c>
      <c r="H2601" s="10" t="s">
        <v>323</v>
      </c>
      <c r="I2601" s="10">
        <v>15</v>
      </c>
      <c r="J2601" s="10" t="s">
        <v>2335</v>
      </c>
      <c r="L2601" s="10">
        <v>1</v>
      </c>
      <c r="M2601" s="10">
        <v>5</v>
      </c>
      <c r="N2601" s="10">
        <v>5</v>
      </c>
      <c r="O2601" s="55" t="s">
        <v>780</v>
      </c>
      <c r="Q2601" s="10">
        <v>210</v>
      </c>
      <c r="U2601" s="10">
        <v>90</v>
      </c>
      <c r="Y2601" s="79">
        <v>3.5</v>
      </c>
      <c r="Z2601" s="10" t="s">
        <v>43</v>
      </c>
    </row>
    <row r="2602" spans="1:26" ht="23.1" customHeight="1" x14ac:dyDescent="0.25">
      <c r="A2602" s="14" t="s">
        <v>1236</v>
      </c>
      <c r="B2602" s="10" t="s">
        <v>113</v>
      </c>
      <c r="C2602" s="10">
        <v>12</v>
      </c>
      <c r="D2602" s="10" t="s">
        <v>735</v>
      </c>
      <c r="E2602" s="78" t="s">
        <v>249</v>
      </c>
      <c r="F2602" s="90" t="s">
        <v>249</v>
      </c>
      <c r="G2602" s="21" t="str">
        <f>VLOOKUP(D2602,[6]成飞半成品!$A:$B,2,0)</f>
        <v>10060下接头</v>
      </c>
      <c r="H2602" s="10" t="s">
        <v>250</v>
      </c>
      <c r="I2602" s="10">
        <v>25</v>
      </c>
      <c r="J2602" s="10" t="s">
        <v>1923</v>
      </c>
      <c r="K2602" s="10">
        <v>1</v>
      </c>
      <c r="L2602" s="10">
        <v>1.3</v>
      </c>
      <c r="M2602" s="10">
        <v>23</v>
      </c>
      <c r="N2602" s="10">
        <v>9</v>
      </c>
      <c r="O2602" s="55" t="s">
        <v>1739</v>
      </c>
      <c r="Q2602" s="10">
        <v>1080</v>
      </c>
      <c r="U2602" s="10">
        <v>120</v>
      </c>
      <c r="Y2602" s="79">
        <v>23.4</v>
      </c>
      <c r="Z2602" s="10" t="s">
        <v>72</v>
      </c>
    </row>
    <row r="2603" spans="1:26" ht="23.1" customHeight="1" x14ac:dyDescent="0.25">
      <c r="A2603" s="14" t="s">
        <v>1236</v>
      </c>
      <c r="B2603" s="10" t="s">
        <v>113</v>
      </c>
      <c r="C2603" s="10">
        <v>78</v>
      </c>
      <c r="D2603" s="10" t="s">
        <v>2557</v>
      </c>
      <c r="E2603" s="78" t="s">
        <v>1013</v>
      </c>
      <c r="F2603" s="90" t="s">
        <v>1013</v>
      </c>
      <c r="G2603" s="21" t="str">
        <f>VLOOKUP(D2603,[6]成飞半成品!$A:$B,2,0)</f>
        <v>9350-11140左侧上梁</v>
      </c>
      <c r="H2603" s="10" t="s">
        <v>250</v>
      </c>
      <c r="I2603" s="10">
        <v>40</v>
      </c>
      <c r="J2603" s="10" t="s">
        <v>1902</v>
      </c>
      <c r="K2603" s="10">
        <v>3</v>
      </c>
      <c r="L2603" s="10">
        <v>4</v>
      </c>
      <c r="M2603" s="10">
        <v>5</v>
      </c>
      <c r="N2603" s="10">
        <v>5</v>
      </c>
      <c r="O2603" s="55" t="s">
        <v>216</v>
      </c>
      <c r="Q2603" s="10">
        <v>250</v>
      </c>
      <c r="R2603" s="10">
        <v>60</v>
      </c>
      <c r="T2603" s="10">
        <v>4</v>
      </c>
      <c r="U2603" s="10">
        <v>90</v>
      </c>
      <c r="Y2603" s="79">
        <v>20.7</v>
      </c>
      <c r="Z2603" s="10" t="s">
        <v>19</v>
      </c>
    </row>
    <row r="2604" spans="1:26" ht="23.1" customHeight="1" x14ac:dyDescent="0.25">
      <c r="A2604" s="14" t="s">
        <v>1236</v>
      </c>
      <c r="B2604" s="10" t="s">
        <v>113</v>
      </c>
      <c r="C2604" s="10">
        <v>11</v>
      </c>
      <c r="D2604" s="10" t="s">
        <v>1296</v>
      </c>
      <c r="E2604" s="78" t="s">
        <v>1297</v>
      </c>
      <c r="F2604" s="90" t="s">
        <v>1297</v>
      </c>
      <c r="G2604" s="21" t="str">
        <f>VLOOKUP(D2604,[6]成飞半成品!$A:$B,2,0)</f>
        <v>固定板</v>
      </c>
      <c r="H2604" s="10" t="s">
        <v>154</v>
      </c>
      <c r="I2604" s="10">
        <v>30</v>
      </c>
      <c r="J2604" s="10" t="s">
        <v>1863</v>
      </c>
      <c r="K2604" s="10">
        <v>4</v>
      </c>
      <c r="L2604" s="10">
        <v>4</v>
      </c>
      <c r="M2604" s="10">
        <v>31</v>
      </c>
      <c r="N2604" s="10">
        <v>23</v>
      </c>
      <c r="O2604" s="55" t="s">
        <v>199</v>
      </c>
      <c r="Q2604" s="10">
        <v>160</v>
      </c>
      <c r="U2604" s="10">
        <v>60</v>
      </c>
      <c r="Y2604" s="79">
        <v>10.7</v>
      </c>
      <c r="Z2604" s="10" t="s">
        <v>38</v>
      </c>
    </row>
    <row r="2605" spans="1:26" ht="23.1" customHeight="1" x14ac:dyDescent="0.25">
      <c r="A2605" s="14" t="s">
        <v>1236</v>
      </c>
      <c r="B2605" s="10" t="s">
        <v>113</v>
      </c>
      <c r="C2605" s="10">
        <v>16</v>
      </c>
      <c r="D2605" s="10" t="s">
        <v>441</v>
      </c>
      <c r="E2605" s="78" t="s">
        <v>437</v>
      </c>
      <c r="F2605" s="90" t="s">
        <v>437</v>
      </c>
      <c r="G2605" s="21" t="str">
        <f>VLOOKUP(D2605,[6]成飞半成品!$A:$B,2,0)</f>
        <v>外副作动器整流罩支撑件上段</v>
      </c>
      <c r="H2605" s="10" t="s">
        <v>154</v>
      </c>
      <c r="I2605" s="10">
        <v>30</v>
      </c>
      <c r="J2605" s="10" t="s">
        <v>2342</v>
      </c>
      <c r="K2605" s="10">
        <v>1</v>
      </c>
      <c r="L2605" s="10">
        <v>1</v>
      </c>
      <c r="M2605" s="10">
        <v>31</v>
      </c>
      <c r="O2605" s="55" t="s">
        <v>234</v>
      </c>
      <c r="Q2605" s="10">
        <v>130</v>
      </c>
      <c r="U2605" s="10">
        <v>60</v>
      </c>
      <c r="Y2605" s="79">
        <v>2.2000000000000002</v>
      </c>
      <c r="Z2605" s="10" t="s">
        <v>38</v>
      </c>
    </row>
    <row r="2606" spans="1:26" ht="23.1" customHeight="1" x14ac:dyDescent="0.25">
      <c r="A2606" s="14" t="s">
        <v>1236</v>
      </c>
      <c r="B2606" s="10" t="s">
        <v>113</v>
      </c>
      <c r="C2606" s="10">
        <v>16</v>
      </c>
      <c r="D2606" s="10" t="s">
        <v>1740</v>
      </c>
      <c r="E2606" s="78" t="s">
        <v>1693</v>
      </c>
      <c r="F2606" s="90" t="s">
        <v>1693</v>
      </c>
      <c r="G2606" s="21" t="str">
        <f>VLOOKUP(D2606,[6]成飞半成品!$A:$B,2,0)</f>
        <v>后舱内段支撑件上段2段</v>
      </c>
      <c r="H2606" s="10" t="s">
        <v>154</v>
      </c>
      <c r="I2606" s="10">
        <v>30</v>
      </c>
      <c r="J2606" s="10" t="s">
        <v>2348</v>
      </c>
      <c r="K2606" s="10">
        <v>20</v>
      </c>
      <c r="L2606" s="10">
        <v>1</v>
      </c>
      <c r="M2606" s="10">
        <v>23</v>
      </c>
      <c r="O2606" s="55" t="s">
        <v>613</v>
      </c>
      <c r="Q2606" s="10">
        <v>130</v>
      </c>
      <c r="U2606" s="10">
        <v>60</v>
      </c>
      <c r="W2606" s="10">
        <v>1</v>
      </c>
      <c r="Y2606" s="79">
        <v>3.2</v>
      </c>
      <c r="Z2606" s="10" t="s">
        <v>38</v>
      </c>
    </row>
    <row r="2607" spans="1:26" ht="23.1" customHeight="1" x14ac:dyDescent="0.25">
      <c r="A2607" s="14" t="s">
        <v>1236</v>
      </c>
      <c r="B2607" s="10" t="s">
        <v>113</v>
      </c>
      <c r="C2607" s="10">
        <v>17</v>
      </c>
      <c r="D2607" s="10" t="s">
        <v>1702</v>
      </c>
      <c r="E2607" s="78" t="s">
        <v>625</v>
      </c>
      <c r="F2607" s="90" t="s">
        <v>625</v>
      </c>
      <c r="G2607" s="21" t="str">
        <f>VLOOKUP(D2607,[6]成飞半成品!$A:$B,2,0)</f>
        <v>支架</v>
      </c>
      <c r="H2607" s="10" t="s">
        <v>250</v>
      </c>
      <c r="I2607" s="10">
        <v>20</v>
      </c>
      <c r="J2607" s="10" t="s">
        <v>2344</v>
      </c>
      <c r="K2607" s="10">
        <v>4</v>
      </c>
      <c r="L2607" s="10">
        <v>4</v>
      </c>
      <c r="M2607" s="10">
        <v>28</v>
      </c>
      <c r="N2607" s="10">
        <v>5</v>
      </c>
      <c r="O2607" s="55" t="s">
        <v>247</v>
      </c>
      <c r="Q2607" s="10">
        <v>150</v>
      </c>
      <c r="U2607" s="10">
        <v>150</v>
      </c>
      <c r="Y2607" s="79">
        <v>10</v>
      </c>
      <c r="Z2607" s="10" t="s">
        <v>43</v>
      </c>
    </row>
    <row r="2608" spans="1:26" ht="23.1" customHeight="1" x14ac:dyDescent="0.25">
      <c r="A2608" s="14" t="s">
        <v>1236</v>
      </c>
      <c r="B2608" s="10" t="s">
        <v>113</v>
      </c>
      <c r="C2608" s="10">
        <v>14</v>
      </c>
      <c r="D2608" s="10" t="s">
        <v>1331</v>
      </c>
      <c r="E2608" s="78" t="s">
        <v>1332</v>
      </c>
      <c r="F2608" s="90" t="s">
        <v>1332</v>
      </c>
      <c r="G2608" s="21" t="str">
        <f>VLOOKUP(D2608,[6]成飞半成品!$A:$B,2,0)</f>
        <v>联锁摇臂</v>
      </c>
      <c r="H2608" s="10" t="s">
        <v>300</v>
      </c>
      <c r="I2608" s="10">
        <v>15</v>
      </c>
      <c r="J2608" s="10" t="s">
        <v>2231</v>
      </c>
      <c r="K2608" s="10">
        <v>10</v>
      </c>
      <c r="L2608" s="10">
        <v>15</v>
      </c>
      <c r="M2608" s="10">
        <v>23</v>
      </c>
      <c r="N2608" s="10">
        <v>23</v>
      </c>
      <c r="O2608" s="55" t="s">
        <v>316</v>
      </c>
      <c r="Q2608" s="10">
        <v>35</v>
      </c>
      <c r="U2608" s="10">
        <v>120</v>
      </c>
      <c r="Y2608" s="79">
        <v>8.8000000000000007</v>
      </c>
      <c r="Z2608" s="10" t="s">
        <v>31</v>
      </c>
    </row>
    <row r="2609" spans="1:28" ht="23.1" customHeight="1" x14ac:dyDescent="0.25">
      <c r="A2609" s="14" t="s">
        <v>1236</v>
      </c>
      <c r="B2609" s="10" t="s">
        <v>113</v>
      </c>
      <c r="C2609" s="10">
        <v>77</v>
      </c>
      <c r="D2609" s="10" t="s">
        <v>1698</v>
      </c>
      <c r="E2609" s="78" t="s">
        <v>1699</v>
      </c>
      <c r="F2609" s="90" t="s">
        <v>1699</v>
      </c>
      <c r="G2609" s="21" t="str">
        <f>VLOOKUP(D2609,[6]成飞半成品!$A:$B,2,0)</f>
        <v>Z型件</v>
      </c>
      <c r="H2609" s="10" t="s">
        <v>118</v>
      </c>
      <c r="I2609" s="10">
        <v>15</v>
      </c>
      <c r="J2609" s="10" t="s">
        <v>2343</v>
      </c>
      <c r="K2609" s="10">
        <v>30</v>
      </c>
      <c r="L2609" s="10">
        <v>30</v>
      </c>
      <c r="M2609" s="10">
        <v>5</v>
      </c>
      <c r="N2609" s="10">
        <v>31</v>
      </c>
      <c r="O2609" s="55" t="s">
        <v>282</v>
      </c>
      <c r="Q2609" s="10">
        <v>25</v>
      </c>
      <c r="U2609" s="10">
        <v>90</v>
      </c>
      <c r="Y2609" s="79">
        <v>12.5</v>
      </c>
      <c r="Z2609" s="10" t="s">
        <v>15</v>
      </c>
    </row>
    <row r="2610" spans="1:28" ht="23.1" customHeight="1" x14ac:dyDescent="0.25">
      <c r="A2610" s="14" t="s">
        <v>1236</v>
      </c>
      <c r="B2610" s="10" t="s">
        <v>113</v>
      </c>
      <c r="C2610" s="10">
        <v>58</v>
      </c>
      <c r="D2610" s="10" t="s">
        <v>1047</v>
      </c>
      <c r="E2610" s="78" t="s">
        <v>424</v>
      </c>
      <c r="F2610" s="90" t="s">
        <v>424</v>
      </c>
      <c r="G2610" s="21" t="str">
        <f>VLOOKUP(D2610,[6]成飞半成品!$A:$B,2,0)</f>
        <v>后梁四段</v>
      </c>
      <c r="H2610" s="10" t="s">
        <v>107</v>
      </c>
      <c r="I2610" s="10">
        <v>35</v>
      </c>
      <c r="J2610" s="10" t="s">
        <v>2012</v>
      </c>
      <c r="K2610" s="10">
        <v>6</v>
      </c>
      <c r="L2610" s="10">
        <v>7</v>
      </c>
      <c r="M2610" s="10">
        <v>28</v>
      </c>
      <c r="N2610" s="10">
        <v>28</v>
      </c>
      <c r="O2610" s="55" t="s">
        <v>724</v>
      </c>
      <c r="Q2610" s="10">
        <v>50</v>
      </c>
      <c r="R2610" s="10">
        <v>30</v>
      </c>
      <c r="U2610" s="10">
        <v>60</v>
      </c>
      <c r="W2610" s="10">
        <v>1</v>
      </c>
      <c r="X2610" s="14">
        <v>2</v>
      </c>
      <c r="Y2610" s="79">
        <v>8.8000000000000007</v>
      </c>
      <c r="Z2610" s="10" t="s">
        <v>57</v>
      </c>
      <c r="AA2610" s="14" t="s">
        <v>492</v>
      </c>
    </row>
    <row r="2611" spans="1:28" ht="23.1" customHeight="1" x14ac:dyDescent="0.25">
      <c r="A2611" s="14" t="s">
        <v>1236</v>
      </c>
      <c r="B2611" s="10" t="s">
        <v>113</v>
      </c>
      <c r="C2611" s="10">
        <v>57</v>
      </c>
      <c r="D2611" s="10" t="s">
        <v>1042</v>
      </c>
      <c r="E2611" s="78" t="s">
        <v>1281</v>
      </c>
      <c r="F2611" s="90" t="s">
        <v>1281</v>
      </c>
      <c r="G2611" s="21" t="str">
        <f>VLOOKUP(D2611,[6]成飞半成品!$A:$B,2,0)</f>
        <v>前上大梁（右）</v>
      </c>
      <c r="H2611" s="10" t="s">
        <v>107</v>
      </c>
      <c r="I2611" s="10">
        <v>15</v>
      </c>
      <c r="J2611" s="10" t="s">
        <v>2338</v>
      </c>
      <c r="K2611" s="10">
        <v>1.5</v>
      </c>
      <c r="L2611" s="10">
        <v>1.5</v>
      </c>
      <c r="M2611" s="10">
        <v>28</v>
      </c>
      <c r="N2611" s="10">
        <v>28</v>
      </c>
      <c r="O2611" s="55" t="s">
        <v>1574</v>
      </c>
      <c r="Q2611" s="10">
        <v>180</v>
      </c>
      <c r="U2611" s="10">
        <v>90</v>
      </c>
      <c r="Y2611" s="79">
        <v>4.5</v>
      </c>
      <c r="Z2611" s="10" t="s">
        <v>57</v>
      </c>
    </row>
    <row r="2612" spans="1:28" ht="23.1" customHeight="1" x14ac:dyDescent="0.25">
      <c r="A2612" s="14" t="s">
        <v>1236</v>
      </c>
      <c r="B2612" s="10" t="s">
        <v>113</v>
      </c>
      <c r="C2612" s="10">
        <v>57</v>
      </c>
      <c r="D2612" s="10" t="s">
        <v>1031</v>
      </c>
      <c r="E2612" s="78" t="s">
        <v>1032</v>
      </c>
      <c r="F2612" s="90" t="s">
        <v>1032</v>
      </c>
      <c r="G2612" s="21" t="str">
        <f>VLOOKUP(D2612,[6]成飞半成品!$A:$B,2,0)</f>
        <v>前上大梁（左）</v>
      </c>
      <c r="H2612" s="10" t="s">
        <v>107</v>
      </c>
      <c r="I2612" s="10">
        <v>15</v>
      </c>
      <c r="J2612" s="10" t="s">
        <v>2338</v>
      </c>
      <c r="K2612" s="10">
        <v>2</v>
      </c>
      <c r="L2612" s="10">
        <v>2</v>
      </c>
      <c r="M2612" s="10">
        <v>37</v>
      </c>
      <c r="N2612" s="10">
        <v>37</v>
      </c>
      <c r="O2612" s="55" t="s">
        <v>1043</v>
      </c>
      <c r="Q2612" s="10">
        <v>180</v>
      </c>
      <c r="U2612" s="10">
        <v>90</v>
      </c>
      <c r="W2612" s="10">
        <v>1</v>
      </c>
      <c r="X2612" s="14">
        <v>2</v>
      </c>
      <c r="Y2612" s="79">
        <v>9.5</v>
      </c>
      <c r="Z2612" s="10" t="s">
        <v>57</v>
      </c>
      <c r="AA2612" s="14" t="s">
        <v>1741</v>
      </c>
      <c r="AB2612" s="14" t="s">
        <v>238</v>
      </c>
    </row>
    <row r="2613" spans="1:28" ht="23.1" customHeight="1" x14ac:dyDescent="0.25">
      <c r="A2613" s="14" t="s">
        <v>1236</v>
      </c>
      <c r="B2613" s="10" t="s">
        <v>113</v>
      </c>
      <c r="C2613" s="10">
        <v>16</v>
      </c>
      <c r="D2613" s="10" t="s">
        <v>1045</v>
      </c>
      <c r="E2613" s="78" t="s">
        <v>409</v>
      </c>
      <c r="F2613" s="90" t="s">
        <v>409</v>
      </c>
      <c r="G2613" s="21" t="str">
        <f>VLOOKUP(D2613,[6]成飞半成品!$A:$B,2,0)</f>
        <v>接头</v>
      </c>
      <c r="H2613" s="10" t="s">
        <v>102</v>
      </c>
      <c r="I2613" s="10">
        <v>20</v>
      </c>
      <c r="J2613" s="10" t="s">
        <v>2099</v>
      </c>
      <c r="L2613" s="10">
        <v>3</v>
      </c>
      <c r="M2613" s="10">
        <v>31</v>
      </c>
      <c r="N2613" s="10">
        <v>31</v>
      </c>
      <c r="O2613" s="55" t="s">
        <v>596</v>
      </c>
      <c r="Q2613" s="10">
        <v>60</v>
      </c>
      <c r="U2613" s="10">
        <v>60</v>
      </c>
      <c r="Y2613" s="79">
        <v>3</v>
      </c>
      <c r="Z2613" s="10" t="s">
        <v>38</v>
      </c>
    </row>
    <row r="2614" spans="1:28" ht="23.1" customHeight="1" x14ac:dyDescent="0.25">
      <c r="A2614" s="14" t="s">
        <v>1236</v>
      </c>
      <c r="B2614" s="10" t="s">
        <v>113</v>
      </c>
      <c r="C2614" s="10">
        <v>59</v>
      </c>
      <c r="D2614" s="10" t="s">
        <v>1742</v>
      </c>
      <c r="E2614" s="78" t="s">
        <v>1743</v>
      </c>
      <c r="F2614" s="90" t="e">
        <v>#N/A</v>
      </c>
      <c r="G2614" s="21" t="e">
        <f>VLOOKUP(D2614,[6]成飞半成品!$A:$B,2,0)</f>
        <v>#N/A</v>
      </c>
      <c r="H2614" s="10" t="s">
        <v>154</v>
      </c>
      <c r="I2614" s="10">
        <v>5</v>
      </c>
      <c r="J2614" s="10" t="s">
        <v>1930</v>
      </c>
      <c r="L2614" s="10">
        <v>10</v>
      </c>
      <c r="M2614" s="10">
        <v>28</v>
      </c>
      <c r="N2614" s="10">
        <v>28</v>
      </c>
      <c r="O2614" s="55" t="s">
        <v>1552</v>
      </c>
      <c r="Q2614" s="10">
        <v>30</v>
      </c>
      <c r="U2614" s="10">
        <v>60</v>
      </c>
      <c r="W2614" s="10">
        <v>1</v>
      </c>
      <c r="X2614" s="14">
        <v>1</v>
      </c>
      <c r="Y2614" s="79">
        <v>7</v>
      </c>
      <c r="Z2614" s="10" t="s">
        <v>42</v>
      </c>
      <c r="AA2614" s="14" t="s">
        <v>1744</v>
      </c>
      <c r="AB2614" s="14" t="s">
        <v>238</v>
      </c>
    </row>
    <row r="2615" spans="1:28" ht="23.1" customHeight="1" x14ac:dyDescent="0.25">
      <c r="A2615" s="14" t="s">
        <v>1236</v>
      </c>
      <c r="B2615" s="10" t="s">
        <v>113</v>
      </c>
      <c r="C2615" s="10">
        <v>59</v>
      </c>
      <c r="D2615" s="10" t="s">
        <v>1742</v>
      </c>
      <c r="E2615" s="78" t="s">
        <v>1743</v>
      </c>
      <c r="F2615" s="90" t="e">
        <v>#N/A</v>
      </c>
      <c r="G2615" s="21" t="e">
        <f>VLOOKUP(D2615,[6]成飞半成品!$A:$B,2,0)</f>
        <v>#N/A</v>
      </c>
      <c r="H2615" s="10" t="s">
        <v>154</v>
      </c>
      <c r="I2615" s="10">
        <v>10</v>
      </c>
      <c r="J2615" s="10" t="s">
        <v>2069</v>
      </c>
      <c r="L2615" s="10">
        <v>10</v>
      </c>
      <c r="M2615" s="10">
        <v>28</v>
      </c>
      <c r="N2615" s="10">
        <v>28</v>
      </c>
      <c r="O2615" s="55" t="s">
        <v>1552</v>
      </c>
      <c r="Q2615" s="10">
        <v>30</v>
      </c>
      <c r="U2615" s="10">
        <v>60</v>
      </c>
      <c r="W2615" s="10">
        <v>1</v>
      </c>
      <c r="Y2615" s="79">
        <v>6</v>
      </c>
      <c r="Z2615" s="10" t="s">
        <v>42</v>
      </c>
    </row>
    <row r="2616" spans="1:28" ht="23.1" customHeight="1" x14ac:dyDescent="0.25">
      <c r="A2616" s="14" t="s">
        <v>1329</v>
      </c>
      <c r="B2616" s="10" t="s">
        <v>110</v>
      </c>
      <c r="C2616" s="10">
        <v>59</v>
      </c>
      <c r="D2616" s="10" t="s">
        <v>1745</v>
      </c>
      <c r="E2616" s="78" t="s">
        <v>139</v>
      </c>
      <c r="F2616" s="90" t="s">
        <v>139</v>
      </c>
      <c r="G2616" s="21" t="str">
        <f>VLOOKUP(D2616,[6]成飞半成品!$A:$B,2,0)</f>
        <v>支座</v>
      </c>
      <c r="H2616" s="47" t="s">
        <v>250</v>
      </c>
      <c r="I2616" s="10">
        <v>10</v>
      </c>
      <c r="J2616" s="10" t="s">
        <v>2098</v>
      </c>
      <c r="L2616" s="10">
        <v>20</v>
      </c>
      <c r="M2616" s="10">
        <v>37</v>
      </c>
      <c r="N2616" s="10">
        <v>37</v>
      </c>
      <c r="O2616" s="55" t="s">
        <v>247</v>
      </c>
      <c r="Q2616" s="10">
        <v>40</v>
      </c>
      <c r="U2616" s="10">
        <v>90</v>
      </c>
      <c r="W2616" s="10">
        <v>1</v>
      </c>
      <c r="X2616" s="14">
        <v>1</v>
      </c>
      <c r="Y2616" s="79">
        <v>15.8</v>
      </c>
      <c r="Z2616" s="10" t="s">
        <v>42</v>
      </c>
      <c r="AA2616" s="14" t="s">
        <v>1746</v>
      </c>
    </row>
    <row r="2617" spans="1:28" ht="23.1" customHeight="1" x14ac:dyDescent="0.25">
      <c r="A2617" s="14" t="s">
        <v>1329</v>
      </c>
      <c r="B2617" s="10" t="s">
        <v>110</v>
      </c>
      <c r="C2617" s="10">
        <v>18</v>
      </c>
      <c r="D2617" s="10" t="s">
        <v>1702</v>
      </c>
      <c r="E2617" s="78" t="s">
        <v>625</v>
      </c>
      <c r="F2617" s="90" t="s">
        <v>625</v>
      </c>
      <c r="G2617" s="21" t="str">
        <f>VLOOKUP(D2617,[6]成飞半成品!$A:$B,2,0)</f>
        <v>支架</v>
      </c>
      <c r="H2617" s="10" t="s">
        <v>250</v>
      </c>
      <c r="I2617" s="10">
        <v>20</v>
      </c>
      <c r="J2617" s="10" t="s">
        <v>2344</v>
      </c>
      <c r="K2617" s="10">
        <v>4</v>
      </c>
      <c r="L2617" s="10">
        <v>4</v>
      </c>
      <c r="M2617" s="10">
        <v>19</v>
      </c>
      <c r="N2617" s="10">
        <v>19</v>
      </c>
      <c r="O2617" s="55" t="s">
        <v>247</v>
      </c>
      <c r="Q2617" s="10">
        <v>150</v>
      </c>
      <c r="U2617" s="10">
        <v>150</v>
      </c>
      <c r="Y2617" s="79">
        <v>10</v>
      </c>
      <c r="Z2617" s="10" t="s">
        <v>16</v>
      </c>
    </row>
    <row r="2618" spans="1:28" ht="23.1" customHeight="1" x14ac:dyDescent="0.25">
      <c r="A2618" s="14" t="s">
        <v>1329</v>
      </c>
      <c r="B2618" s="10" t="s">
        <v>110</v>
      </c>
      <c r="C2618" s="10">
        <v>18</v>
      </c>
      <c r="D2618" s="10" t="s">
        <v>1702</v>
      </c>
      <c r="E2618" s="78" t="s">
        <v>625</v>
      </c>
      <c r="F2618" s="90" t="s">
        <v>625</v>
      </c>
      <c r="G2618" s="21" t="str">
        <f>VLOOKUP(D2618,[6]成飞半成品!$A:$B,2,0)</f>
        <v>支架</v>
      </c>
      <c r="H2618" s="10" t="s">
        <v>250</v>
      </c>
      <c r="I2618" s="10">
        <v>25</v>
      </c>
      <c r="J2618" s="10" t="s">
        <v>2349</v>
      </c>
      <c r="K2618" s="10">
        <v>4</v>
      </c>
      <c r="L2618" s="10">
        <v>4</v>
      </c>
      <c r="M2618" s="10">
        <v>9</v>
      </c>
      <c r="N2618" s="10">
        <v>28</v>
      </c>
      <c r="O2618" s="55" t="s">
        <v>247</v>
      </c>
      <c r="Q2618" s="10">
        <v>50</v>
      </c>
      <c r="U2618" s="10">
        <v>60</v>
      </c>
      <c r="W2618" s="10">
        <v>1</v>
      </c>
      <c r="Y2618" s="79">
        <v>4.3</v>
      </c>
      <c r="Z2618" s="10" t="s">
        <v>16</v>
      </c>
    </row>
    <row r="2619" spans="1:28" ht="23.1" customHeight="1" x14ac:dyDescent="0.25">
      <c r="A2619" s="14" t="s">
        <v>1329</v>
      </c>
      <c r="B2619" s="10" t="s">
        <v>110</v>
      </c>
      <c r="C2619" s="10">
        <v>69</v>
      </c>
      <c r="D2619" s="10" t="s">
        <v>1197</v>
      </c>
      <c r="E2619" s="78" t="s">
        <v>1198</v>
      </c>
      <c r="F2619" s="90" t="s">
        <v>1198</v>
      </c>
      <c r="G2619" s="21" t="str">
        <f>VLOOKUP(D2619,[6]成飞半成品!$A:$B,2,0)</f>
        <v>1150肋根肋</v>
      </c>
      <c r="H2619" s="10" t="s">
        <v>658</v>
      </c>
      <c r="I2619" s="10">
        <v>62</v>
      </c>
      <c r="K2619" s="10">
        <v>5</v>
      </c>
      <c r="L2619" s="10">
        <v>4</v>
      </c>
      <c r="M2619" s="10">
        <v>37</v>
      </c>
      <c r="N2619" s="10">
        <v>37</v>
      </c>
      <c r="O2619" s="55" t="s">
        <v>1747</v>
      </c>
      <c r="P2619" s="10">
        <v>210</v>
      </c>
      <c r="S2619" s="10">
        <v>60</v>
      </c>
      <c r="T2619" s="10">
        <v>4</v>
      </c>
      <c r="V2619" s="10">
        <v>120</v>
      </c>
      <c r="W2619" s="10">
        <v>1</v>
      </c>
      <c r="Y2619" s="83">
        <v>20</v>
      </c>
      <c r="Z2619" s="10" t="s">
        <v>8</v>
      </c>
    </row>
    <row r="2620" spans="1:28" ht="23.1" customHeight="1" x14ac:dyDescent="0.25">
      <c r="A2620" s="14" t="s">
        <v>1329</v>
      </c>
      <c r="B2620" s="10" t="s">
        <v>110</v>
      </c>
      <c r="C2620" s="10">
        <v>69</v>
      </c>
      <c r="D2620" s="10" t="s">
        <v>1095</v>
      </c>
      <c r="E2620" s="78" t="s">
        <v>1096</v>
      </c>
      <c r="F2620" s="90" t="s">
        <v>1096</v>
      </c>
      <c r="G2620" s="21" t="str">
        <f>VLOOKUP(D2620,[6]成飞半成品!$A:$B,2,0)</f>
        <v>1150肋根肋</v>
      </c>
      <c r="H2620" s="10" t="s">
        <v>658</v>
      </c>
      <c r="I2620" s="10">
        <v>64</v>
      </c>
      <c r="K2620" s="10">
        <v>0.5</v>
      </c>
      <c r="L2620" s="10">
        <v>3</v>
      </c>
      <c r="M2620" s="10">
        <v>37</v>
      </c>
      <c r="N2620" s="10">
        <v>28</v>
      </c>
      <c r="O2620" s="55" t="s">
        <v>282</v>
      </c>
      <c r="P2620" s="10">
        <v>360</v>
      </c>
      <c r="S2620" s="10">
        <v>60</v>
      </c>
      <c r="T2620" s="10">
        <v>3</v>
      </c>
      <c r="V2620" s="10">
        <v>120</v>
      </c>
      <c r="W2620" s="10">
        <v>1</v>
      </c>
      <c r="Y2620" s="83">
        <v>23</v>
      </c>
      <c r="Z2620" s="10" t="s">
        <v>8</v>
      </c>
    </row>
    <row r="2621" spans="1:28" ht="23.1" customHeight="1" x14ac:dyDescent="0.25">
      <c r="A2621" s="14" t="s">
        <v>1329</v>
      </c>
      <c r="B2621" s="10" t="s">
        <v>110</v>
      </c>
      <c r="C2621" s="10">
        <v>91</v>
      </c>
      <c r="D2621" s="10" t="s">
        <v>254</v>
      </c>
      <c r="E2621" s="78" t="s">
        <v>255</v>
      </c>
      <c r="F2621" s="90" t="s">
        <v>1016</v>
      </c>
      <c r="G2621" s="21" t="str">
        <f>VLOOKUP(D2621,[6]成飞半成品!$A:$B,2,0)</f>
        <v>9350-11140右侧上梁</v>
      </c>
      <c r="H2621" s="10" t="s">
        <v>375</v>
      </c>
      <c r="I2621" s="10">
        <v>40</v>
      </c>
      <c r="J2621" s="10" t="s">
        <v>2110</v>
      </c>
      <c r="K2621" s="10">
        <v>0.3</v>
      </c>
      <c r="L2621" s="10">
        <v>0.3</v>
      </c>
      <c r="M2621" s="10">
        <v>28</v>
      </c>
      <c r="O2621" s="55" t="s">
        <v>712</v>
      </c>
      <c r="Q2621" s="10">
        <v>3000</v>
      </c>
      <c r="R2621" s="10">
        <v>90</v>
      </c>
      <c r="U2621" s="10">
        <v>120</v>
      </c>
      <c r="Y2621" s="79">
        <v>15</v>
      </c>
      <c r="Z2621" s="10" t="s">
        <v>8</v>
      </c>
    </row>
    <row r="2622" spans="1:28" ht="23.1" customHeight="1" x14ac:dyDescent="0.25">
      <c r="A2622" s="14" t="s">
        <v>1329</v>
      </c>
      <c r="B2622" s="10" t="s">
        <v>110</v>
      </c>
      <c r="C2622" s="10">
        <v>119</v>
      </c>
      <c r="D2622" s="10" t="s">
        <v>830</v>
      </c>
      <c r="E2622" s="78" t="s">
        <v>788</v>
      </c>
      <c r="F2622" s="90" t="s">
        <v>788</v>
      </c>
      <c r="G2622" s="21" t="str">
        <f>VLOOKUP(D2622,[6]成飞半成品!$A:$B,2,0)</f>
        <v>根肋二段</v>
      </c>
      <c r="H2622" s="10" t="s">
        <v>123</v>
      </c>
      <c r="I2622" s="10">
        <v>60</v>
      </c>
      <c r="J2622" s="10" t="s">
        <v>2222</v>
      </c>
      <c r="L2622" s="10">
        <v>2</v>
      </c>
      <c r="M2622" s="10">
        <v>37</v>
      </c>
      <c r="N2622" s="10">
        <v>28</v>
      </c>
      <c r="O2622" s="55" t="s">
        <v>216</v>
      </c>
      <c r="Q2622" s="10">
        <v>210</v>
      </c>
      <c r="R2622" s="10">
        <v>60</v>
      </c>
      <c r="T2622" s="10">
        <v>2</v>
      </c>
      <c r="U2622" s="10">
        <v>90</v>
      </c>
      <c r="W2622" s="10">
        <v>1</v>
      </c>
      <c r="Y2622" s="79">
        <v>10.5</v>
      </c>
      <c r="Z2622" s="10" t="s">
        <v>8</v>
      </c>
    </row>
    <row r="2623" spans="1:28" ht="23.1" customHeight="1" x14ac:dyDescent="0.25">
      <c r="A2623" s="14" t="s">
        <v>1329</v>
      </c>
      <c r="B2623" s="10" t="s">
        <v>113</v>
      </c>
      <c r="C2623" s="10">
        <v>107</v>
      </c>
      <c r="D2623" s="10" t="s">
        <v>173</v>
      </c>
      <c r="E2623" s="78" t="s">
        <v>174</v>
      </c>
      <c r="F2623" s="90" t="s">
        <v>1246</v>
      </c>
      <c r="G2623" s="21" t="str">
        <f>VLOOKUP(D2623,[6]成飞半成品!$A:$B,2,0)</f>
        <v>根肋后段</v>
      </c>
      <c r="H2623" s="10" t="s">
        <v>154</v>
      </c>
      <c r="I2623" s="10">
        <v>25</v>
      </c>
      <c r="J2623" s="10" t="s">
        <v>2006</v>
      </c>
      <c r="L2623" s="10">
        <v>1</v>
      </c>
      <c r="M2623" s="10">
        <v>26</v>
      </c>
      <c r="O2623" s="55" t="s">
        <v>216</v>
      </c>
      <c r="Q2623" s="10">
        <v>1050</v>
      </c>
      <c r="R2623" s="10">
        <v>90</v>
      </c>
      <c r="T2623" s="10">
        <v>1</v>
      </c>
      <c r="U2623" s="10">
        <v>120</v>
      </c>
      <c r="Y2623" s="79">
        <v>19</v>
      </c>
      <c r="Z2623" s="10" t="s">
        <v>45</v>
      </c>
    </row>
    <row r="2624" spans="1:28" ht="23.1" customHeight="1" x14ac:dyDescent="0.25">
      <c r="A2624" s="14" t="s">
        <v>1329</v>
      </c>
      <c r="B2624" s="10" t="s">
        <v>113</v>
      </c>
      <c r="C2624" s="10">
        <v>108</v>
      </c>
      <c r="D2624" s="10" t="s">
        <v>886</v>
      </c>
      <c r="E2624" s="78" t="s">
        <v>887</v>
      </c>
      <c r="F2624" s="90" t="s">
        <v>887</v>
      </c>
      <c r="G2624" s="21" t="str">
        <f>VLOOKUP(D2624,[6]成飞半成品!$A:$B,2,0)</f>
        <v>外侧梁</v>
      </c>
      <c r="H2624" s="10" t="s">
        <v>154</v>
      </c>
      <c r="I2624" s="10">
        <v>5</v>
      </c>
      <c r="J2624" s="10" t="s">
        <v>1930</v>
      </c>
      <c r="L2624" s="10">
        <v>1</v>
      </c>
      <c r="M2624" s="10">
        <v>26</v>
      </c>
      <c r="O2624" s="55" t="s">
        <v>234</v>
      </c>
      <c r="Q2624" s="10">
        <v>660</v>
      </c>
      <c r="R2624" s="10">
        <v>60</v>
      </c>
      <c r="T2624" s="10">
        <v>1</v>
      </c>
      <c r="U2624" s="10">
        <v>90</v>
      </c>
      <c r="W2624" s="10">
        <v>1</v>
      </c>
      <c r="Y2624" s="79">
        <v>13.5</v>
      </c>
      <c r="Z2624" s="10" t="s">
        <v>45</v>
      </c>
    </row>
    <row r="2625" spans="1:28" ht="23.1" customHeight="1" x14ac:dyDescent="0.25">
      <c r="A2625" s="14" t="s">
        <v>1329</v>
      </c>
      <c r="B2625" s="10" t="s">
        <v>113</v>
      </c>
      <c r="C2625" s="10">
        <v>108</v>
      </c>
      <c r="D2625" s="10" t="s">
        <v>889</v>
      </c>
      <c r="E2625" s="78" t="s">
        <v>887</v>
      </c>
      <c r="F2625" s="90" t="s">
        <v>887</v>
      </c>
      <c r="G2625" s="21" t="str">
        <f>VLOOKUP(D2625,[6]成飞半成品!$A:$B,2,0)</f>
        <v>外侧梁</v>
      </c>
      <c r="H2625" s="10" t="s">
        <v>154</v>
      </c>
      <c r="I2625" s="10">
        <v>5</v>
      </c>
      <c r="J2625" s="10" t="s">
        <v>1930</v>
      </c>
      <c r="L2625" s="10">
        <v>1</v>
      </c>
      <c r="M2625" s="10">
        <v>26</v>
      </c>
      <c r="O2625" s="55" t="s">
        <v>234</v>
      </c>
      <c r="Q2625" s="10">
        <v>660</v>
      </c>
      <c r="R2625" s="10">
        <v>60</v>
      </c>
      <c r="T2625" s="10">
        <v>1</v>
      </c>
      <c r="U2625" s="10">
        <v>90</v>
      </c>
      <c r="W2625" s="10">
        <v>1</v>
      </c>
      <c r="Y2625" s="79">
        <v>13.5</v>
      </c>
      <c r="Z2625" s="10" t="s">
        <v>45</v>
      </c>
    </row>
    <row r="2626" spans="1:28" ht="23.1" customHeight="1" x14ac:dyDescent="0.25">
      <c r="A2626" s="14" t="s">
        <v>1329</v>
      </c>
      <c r="B2626" s="10" t="s">
        <v>113</v>
      </c>
      <c r="C2626" s="10">
        <v>77</v>
      </c>
      <c r="D2626" s="10" t="s">
        <v>1698</v>
      </c>
      <c r="E2626" s="78" t="s">
        <v>1699</v>
      </c>
      <c r="F2626" s="90" t="s">
        <v>1699</v>
      </c>
      <c r="G2626" s="21" t="str">
        <f>VLOOKUP(D2626,[6]成飞半成品!$A:$B,2,0)</f>
        <v>Z型件</v>
      </c>
      <c r="H2626" s="10" t="s">
        <v>118</v>
      </c>
      <c r="I2626" s="10">
        <v>15</v>
      </c>
      <c r="J2626" s="10" t="s">
        <v>2343</v>
      </c>
      <c r="L2626" s="10">
        <v>26</v>
      </c>
      <c r="M2626" s="10">
        <v>31</v>
      </c>
      <c r="N2626" s="10">
        <v>31</v>
      </c>
      <c r="O2626" s="55" t="s">
        <v>282</v>
      </c>
      <c r="Q2626" s="10">
        <v>25</v>
      </c>
      <c r="U2626" s="10">
        <v>90</v>
      </c>
      <c r="Y2626" s="79">
        <v>10.8</v>
      </c>
      <c r="Z2626" s="10" t="s">
        <v>15</v>
      </c>
    </row>
    <row r="2627" spans="1:28" ht="23.1" customHeight="1" x14ac:dyDescent="0.25">
      <c r="A2627" s="91" t="s">
        <v>1333</v>
      </c>
      <c r="B2627" s="10" t="s">
        <v>137</v>
      </c>
      <c r="C2627" s="10">
        <v>59</v>
      </c>
      <c r="D2627" s="47" t="s">
        <v>1748</v>
      </c>
      <c r="E2627" s="78" t="s">
        <v>409</v>
      </c>
      <c r="F2627" s="90" t="s">
        <v>409</v>
      </c>
      <c r="G2627" s="21" t="str">
        <f>VLOOKUP(D2627,[6]成飞半成品!$A:$B,2,0)</f>
        <v>接头</v>
      </c>
      <c r="H2627" s="10" t="s">
        <v>102</v>
      </c>
      <c r="I2627" s="10">
        <v>10</v>
      </c>
      <c r="J2627" s="10" t="s">
        <v>1952</v>
      </c>
      <c r="L2627" s="10">
        <v>1</v>
      </c>
      <c r="M2627" s="10">
        <v>37</v>
      </c>
      <c r="N2627" s="10">
        <v>37</v>
      </c>
      <c r="O2627" s="55" t="s">
        <v>596</v>
      </c>
      <c r="Q2627" s="10">
        <v>35</v>
      </c>
      <c r="U2627" s="10">
        <v>60</v>
      </c>
      <c r="W2627" s="10">
        <v>1</v>
      </c>
      <c r="Y2627" s="79">
        <v>1.6</v>
      </c>
      <c r="Z2627" s="10" t="s">
        <v>42</v>
      </c>
    </row>
    <row r="2628" spans="1:28" ht="23.1" customHeight="1" x14ac:dyDescent="0.25">
      <c r="A2628" s="92" t="s">
        <v>1333</v>
      </c>
      <c r="B2628" s="10" t="s">
        <v>110</v>
      </c>
      <c r="C2628" s="10">
        <v>59</v>
      </c>
      <c r="D2628" s="10" t="s">
        <v>1742</v>
      </c>
      <c r="E2628" s="78" t="s">
        <v>1743</v>
      </c>
      <c r="F2628" s="90" t="e">
        <v>#N/A</v>
      </c>
      <c r="G2628" s="21" t="e">
        <f>VLOOKUP(D2628,[6]成飞半成品!$A:$B,2,0)</f>
        <v>#N/A</v>
      </c>
      <c r="H2628" s="10" t="s">
        <v>154</v>
      </c>
      <c r="I2628" s="10">
        <v>20</v>
      </c>
      <c r="J2628" s="10" t="s">
        <v>2351</v>
      </c>
      <c r="K2628" s="10">
        <v>10</v>
      </c>
      <c r="L2628" s="10">
        <v>10</v>
      </c>
      <c r="M2628" s="10">
        <v>31</v>
      </c>
      <c r="N2628" s="10">
        <v>31</v>
      </c>
      <c r="O2628" s="55" t="s">
        <v>1749</v>
      </c>
      <c r="Q2628" s="10">
        <v>70</v>
      </c>
      <c r="U2628" s="10">
        <v>60</v>
      </c>
      <c r="W2628" s="10">
        <v>1</v>
      </c>
      <c r="Y2628" s="79">
        <v>12.7</v>
      </c>
      <c r="Z2628" s="10" t="s">
        <v>42</v>
      </c>
      <c r="AA2628" s="14" t="s">
        <v>1750</v>
      </c>
    </row>
    <row r="2629" spans="1:28" ht="23.1" customHeight="1" x14ac:dyDescent="0.25">
      <c r="A2629" s="92" t="s">
        <v>1333</v>
      </c>
      <c r="B2629" s="10" t="s">
        <v>137</v>
      </c>
      <c r="C2629" s="10">
        <v>59</v>
      </c>
      <c r="D2629" s="10" t="s">
        <v>1261</v>
      </c>
      <c r="E2629" s="78" t="s">
        <v>409</v>
      </c>
      <c r="F2629" s="90" t="s">
        <v>409</v>
      </c>
      <c r="G2629" s="21" t="str">
        <f>VLOOKUP(D2629,[6]成飞半成品!$A:$B,2,0)</f>
        <v>接头</v>
      </c>
      <c r="H2629" s="10" t="s">
        <v>102</v>
      </c>
      <c r="I2629" s="10">
        <v>10</v>
      </c>
      <c r="J2629" s="10" t="s">
        <v>1952</v>
      </c>
      <c r="K2629" s="10">
        <v>1</v>
      </c>
      <c r="L2629" s="10">
        <v>1</v>
      </c>
      <c r="M2629" s="10">
        <v>37</v>
      </c>
      <c r="N2629" s="10">
        <v>37</v>
      </c>
      <c r="O2629" s="55" t="s">
        <v>596</v>
      </c>
      <c r="Q2629" s="10">
        <v>40</v>
      </c>
      <c r="U2629" s="10">
        <v>60</v>
      </c>
      <c r="W2629" s="10">
        <v>1</v>
      </c>
      <c r="Y2629" s="79">
        <v>1.7</v>
      </c>
      <c r="Z2629" s="10" t="s">
        <v>42</v>
      </c>
    </row>
    <row r="2630" spans="1:28" ht="23.1" customHeight="1" x14ac:dyDescent="0.25">
      <c r="A2630" s="14" t="s">
        <v>1337</v>
      </c>
      <c r="B2630" s="10" t="s">
        <v>110</v>
      </c>
      <c r="C2630" s="10">
        <v>107</v>
      </c>
      <c r="D2630" s="10" t="s">
        <v>173</v>
      </c>
      <c r="E2630" s="78" t="s">
        <v>174</v>
      </c>
      <c r="F2630" s="90" t="s">
        <v>1246</v>
      </c>
      <c r="G2630" s="21" t="str">
        <f>VLOOKUP(D2630,[6]成飞半成品!$A:$B,2,0)</f>
        <v>根肋后段</v>
      </c>
      <c r="H2630" s="10" t="s">
        <v>154</v>
      </c>
      <c r="I2630" s="10">
        <v>50</v>
      </c>
      <c r="J2630" s="10" t="s">
        <v>2210</v>
      </c>
      <c r="K2630" s="10">
        <v>0.4</v>
      </c>
      <c r="L2630" s="10">
        <v>0.4</v>
      </c>
      <c r="M2630" s="10">
        <v>28</v>
      </c>
      <c r="N2630" s="10">
        <v>5</v>
      </c>
      <c r="O2630" s="55" t="s">
        <v>1187</v>
      </c>
      <c r="Q2630" s="10">
        <v>2100</v>
      </c>
      <c r="R2630" s="10">
        <v>90</v>
      </c>
      <c r="T2630" s="10">
        <v>1</v>
      </c>
      <c r="U2630" s="10">
        <v>150</v>
      </c>
      <c r="Y2630" s="79">
        <v>15.5</v>
      </c>
      <c r="Z2630" s="10" t="s">
        <v>45</v>
      </c>
    </row>
    <row r="2631" spans="1:28" ht="23.1" customHeight="1" x14ac:dyDescent="0.25">
      <c r="A2631" s="14" t="s">
        <v>1337</v>
      </c>
      <c r="B2631" s="10" t="s">
        <v>110</v>
      </c>
      <c r="C2631" s="10">
        <v>23</v>
      </c>
      <c r="D2631" s="10" t="s">
        <v>990</v>
      </c>
      <c r="E2631" s="78" t="s">
        <v>991</v>
      </c>
      <c r="F2631" s="90" t="s">
        <v>991</v>
      </c>
      <c r="G2631" s="21" t="str">
        <f>VLOOKUP(D2631,[6]成飞半成品!$A:$B,2,0)</f>
        <v>8270右隔框</v>
      </c>
      <c r="H2631" s="10" t="s">
        <v>300</v>
      </c>
      <c r="I2631" s="10">
        <v>25</v>
      </c>
      <c r="J2631" s="10" t="s">
        <v>2224</v>
      </c>
      <c r="K2631" s="10">
        <v>1</v>
      </c>
      <c r="L2631" s="10">
        <v>1</v>
      </c>
      <c r="M2631" s="10">
        <v>5</v>
      </c>
      <c r="N2631" s="10">
        <v>26</v>
      </c>
      <c r="O2631" s="55" t="s">
        <v>989</v>
      </c>
      <c r="Q2631" s="10">
        <v>720</v>
      </c>
      <c r="R2631" s="10">
        <v>60</v>
      </c>
      <c r="T2631" s="10">
        <v>1</v>
      </c>
      <c r="U2631" s="10">
        <v>90</v>
      </c>
      <c r="Y2631" s="79">
        <v>13</v>
      </c>
      <c r="Z2631" s="10" t="s">
        <v>33</v>
      </c>
    </row>
    <row r="2632" spans="1:28" ht="23.1" customHeight="1" x14ac:dyDescent="0.25">
      <c r="A2632" s="14" t="s">
        <v>1337</v>
      </c>
      <c r="B2632" s="10" t="s">
        <v>110</v>
      </c>
      <c r="C2632" s="10">
        <v>47</v>
      </c>
      <c r="D2632" s="10" t="s">
        <v>2560</v>
      </c>
      <c r="E2632" s="78" t="s">
        <v>979</v>
      </c>
      <c r="F2632" s="90" t="s">
        <v>979</v>
      </c>
      <c r="G2632" s="21" t="str">
        <f>VLOOKUP(D2632,[6]成飞半成品!$A:$B,2,0)</f>
        <v>翼尖接头</v>
      </c>
      <c r="H2632" s="10" t="s">
        <v>154</v>
      </c>
      <c r="I2632" s="10">
        <v>60</v>
      </c>
      <c r="J2632" s="10" t="s">
        <v>2331</v>
      </c>
      <c r="K2632" s="10">
        <v>1</v>
      </c>
      <c r="L2632" s="10">
        <v>1</v>
      </c>
      <c r="M2632" s="10">
        <v>28</v>
      </c>
      <c r="O2632" s="55" t="s">
        <v>285</v>
      </c>
      <c r="Q2632" s="10">
        <v>520</v>
      </c>
      <c r="R2632" s="10">
        <v>120</v>
      </c>
      <c r="T2632" s="10">
        <v>1</v>
      </c>
      <c r="U2632" s="10">
        <v>90</v>
      </c>
      <c r="Y2632" s="79">
        <v>10.7</v>
      </c>
      <c r="Z2632" s="10" t="s">
        <v>33</v>
      </c>
    </row>
    <row r="2633" spans="1:28" ht="23.1" customHeight="1" x14ac:dyDescent="0.25">
      <c r="A2633" s="14" t="s">
        <v>1337</v>
      </c>
      <c r="B2633" s="10" t="s">
        <v>110</v>
      </c>
      <c r="C2633" s="10">
        <v>47</v>
      </c>
      <c r="D2633" s="25" t="s">
        <v>294</v>
      </c>
      <c r="E2633" s="78" t="s">
        <v>259</v>
      </c>
      <c r="F2633" s="90" t="s">
        <v>284</v>
      </c>
      <c r="G2633" s="21" t="str">
        <f>VLOOKUP(D2633,[6]成飞半成品!$A:$B,2,0)</f>
        <v>梁（左件）</v>
      </c>
      <c r="H2633" s="10" t="s">
        <v>154</v>
      </c>
      <c r="I2633" s="10">
        <v>60</v>
      </c>
      <c r="J2633" s="10" t="s">
        <v>2331</v>
      </c>
      <c r="O2633" s="55" t="s">
        <v>1429</v>
      </c>
      <c r="Q2633" s="10">
        <v>520</v>
      </c>
      <c r="R2633" s="10">
        <v>120</v>
      </c>
      <c r="T2633" s="10">
        <v>1</v>
      </c>
      <c r="U2633" s="10">
        <v>90</v>
      </c>
      <c r="W2633" s="10">
        <v>1</v>
      </c>
      <c r="X2633" s="10">
        <v>2</v>
      </c>
      <c r="Y2633" s="79">
        <v>5.5</v>
      </c>
      <c r="Z2633" s="10" t="s">
        <v>33</v>
      </c>
      <c r="AA2633" s="14" t="s">
        <v>1548</v>
      </c>
    </row>
    <row r="2634" spans="1:28" ht="23.1" customHeight="1" x14ac:dyDescent="0.25">
      <c r="A2634" s="14" t="s">
        <v>1337</v>
      </c>
      <c r="B2634" s="10" t="s">
        <v>110</v>
      </c>
      <c r="C2634" s="10">
        <v>108</v>
      </c>
      <c r="D2634" s="10" t="s">
        <v>992</v>
      </c>
      <c r="E2634" s="78" t="s">
        <v>993</v>
      </c>
      <c r="F2634" s="90" t="s">
        <v>993</v>
      </c>
      <c r="G2634" s="21" t="str">
        <f>VLOOKUP(D2634,[6]成飞半成品!$A:$B,2,0)</f>
        <v>内侧梁</v>
      </c>
      <c r="H2634" s="10" t="s">
        <v>154</v>
      </c>
      <c r="I2634" s="10">
        <v>10</v>
      </c>
      <c r="J2634" s="10" t="s">
        <v>1952</v>
      </c>
      <c r="L2634" s="10">
        <v>0.5</v>
      </c>
      <c r="M2634" s="10">
        <v>28</v>
      </c>
      <c r="N2634" s="10">
        <v>28</v>
      </c>
      <c r="O2634" s="55" t="s">
        <v>234</v>
      </c>
      <c r="Q2634" s="10">
        <v>340</v>
      </c>
      <c r="R2634" s="10">
        <v>60</v>
      </c>
      <c r="T2634" s="10">
        <v>1</v>
      </c>
      <c r="U2634" s="10">
        <v>90</v>
      </c>
      <c r="W2634" s="10">
        <v>1</v>
      </c>
      <c r="X2634" s="10">
        <v>2</v>
      </c>
      <c r="Y2634" s="79">
        <v>7.3</v>
      </c>
      <c r="Z2634" s="10" t="s">
        <v>45</v>
      </c>
      <c r="AA2634" s="14" t="s">
        <v>1245</v>
      </c>
      <c r="AB2634" s="14" t="s">
        <v>238</v>
      </c>
    </row>
    <row r="2635" spans="1:28" ht="23.1" customHeight="1" x14ac:dyDescent="0.25">
      <c r="A2635" s="14" t="s">
        <v>1337</v>
      </c>
      <c r="B2635" s="10" t="s">
        <v>110</v>
      </c>
      <c r="C2635" s="10">
        <v>108</v>
      </c>
      <c r="D2635" s="10" t="s">
        <v>886</v>
      </c>
      <c r="E2635" s="78" t="s">
        <v>887</v>
      </c>
      <c r="F2635" s="90" t="s">
        <v>887</v>
      </c>
      <c r="G2635" s="21" t="str">
        <f>VLOOKUP(D2635,[6]成飞半成品!$A:$B,2,0)</f>
        <v>外侧梁</v>
      </c>
      <c r="H2635" s="10" t="s">
        <v>154</v>
      </c>
      <c r="I2635" s="10">
        <v>30</v>
      </c>
      <c r="J2635" s="10" t="s">
        <v>2347</v>
      </c>
      <c r="K2635" s="10">
        <v>1</v>
      </c>
      <c r="L2635" s="10">
        <v>1</v>
      </c>
      <c r="M2635" s="10">
        <v>28</v>
      </c>
      <c r="N2635" s="10">
        <v>28</v>
      </c>
      <c r="O2635" s="55" t="s">
        <v>159</v>
      </c>
      <c r="Q2635" s="10">
        <v>720</v>
      </c>
      <c r="R2635" s="10">
        <v>60</v>
      </c>
      <c r="T2635" s="10">
        <v>1</v>
      </c>
      <c r="U2635" s="10">
        <v>90</v>
      </c>
      <c r="X2635" s="14">
        <v>2</v>
      </c>
      <c r="Y2635" s="79">
        <v>15</v>
      </c>
      <c r="Z2635" s="10" t="s">
        <v>45</v>
      </c>
      <c r="AA2635" s="14" t="s">
        <v>1245</v>
      </c>
      <c r="AB2635" s="14" t="s">
        <v>238</v>
      </c>
    </row>
    <row r="2636" spans="1:28" ht="23.1" customHeight="1" x14ac:dyDescent="0.25">
      <c r="A2636" s="14" t="s">
        <v>1337</v>
      </c>
      <c r="B2636" s="10" t="s">
        <v>110</v>
      </c>
      <c r="C2636" s="10">
        <v>55</v>
      </c>
      <c r="D2636" s="10" t="s">
        <v>273</v>
      </c>
      <c r="E2636" s="78" t="s">
        <v>274</v>
      </c>
      <c r="F2636" s="90" t="s">
        <v>274</v>
      </c>
      <c r="G2636" s="21" t="str">
        <f>VLOOKUP(D2636,[6]成飞半成品!$A:$B,2,0)</f>
        <v>前起落架水平接头</v>
      </c>
      <c r="H2636" s="10" t="s">
        <v>123</v>
      </c>
      <c r="I2636" s="10">
        <v>45</v>
      </c>
      <c r="J2636" s="10" t="s">
        <v>1954</v>
      </c>
      <c r="K2636" s="10">
        <v>3</v>
      </c>
      <c r="L2636" s="10">
        <v>4</v>
      </c>
      <c r="M2636" s="10">
        <v>19</v>
      </c>
      <c r="N2636" s="10">
        <v>28</v>
      </c>
      <c r="O2636" s="55" t="s">
        <v>275</v>
      </c>
      <c r="Q2636" s="10">
        <v>240</v>
      </c>
      <c r="U2636" s="10">
        <v>90</v>
      </c>
      <c r="Y2636" s="79">
        <v>16</v>
      </c>
      <c r="Z2636" s="10" t="s">
        <v>44</v>
      </c>
    </row>
    <row r="2637" spans="1:28" ht="23.1" customHeight="1" x14ac:dyDescent="0.25">
      <c r="A2637" s="14" t="s">
        <v>1337</v>
      </c>
      <c r="B2637" s="10" t="s">
        <v>110</v>
      </c>
      <c r="C2637" s="10">
        <v>56</v>
      </c>
      <c r="D2637" s="10" t="s">
        <v>273</v>
      </c>
      <c r="E2637" s="78" t="s">
        <v>274</v>
      </c>
      <c r="F2637" s="90" t="s">
        <v>274</v>
      </c>
      <c r="G2637" s="21" t="str">
        <f>VLOOKUP(D2637,[6]成飞半成品!$A:$B,2,0)</f>
        <v>前起落架水平接头</v>
      </c>
      <c r="H2637" s="10" t="s">
        <v>123</v>
      </c>
      <c r="I2637" s="10">
        <v>40</v>
      </c>
      <c r="J2637" s="10" t="s">
        <v>2326</v>
      </c>
      <c r="K2637" s="10">
        <v>3.5</v>
      </c>
      <c r="L2637" s="10">
        <v>4</v>
      </c>
      <c r="M2637" s="10">
        <v>19</v>
      </c>
      <c r="N2637" s="10">
        <v>28</v>
      </c>
      <c r="O2637" s="55" t="s">
        <v>275</v>
      </c>
      <c r="Q2637" s="10">
        <v>240</v>
      </c>
      <c r="U2637" s="10">
        <v>120</v>
      </c>
      <c r="Y2637" s="79">
        <v>16</v>
      </c>
      <c r="Z2637" s="10" t="s">
        <v>44</v>
      </c>
    </row>
    <row r="2638" spans="1:28" ht="23.1" customHeight="1" x14ac:dyDescent="0.25">
      <c r="A2638" s="14" t="s">
        <v>1337</v>
      </c>
      <c r="B2638" s="10" t="s">
        <v>110</v>
      </c>
      <c r="C2638" s="10">
        <v>24</v>
      </c>
      <c r="D2638" s="10" t="s">
        <v>776</v>
      </c>
      <c r="E2638" s="78" t="s">
        <v>777</v>
      </c>
      <c r="F2638" s="90" t="s">
        <v>777</v>
      </c>
      <c r="G2638" s="21" t="str">
        <f>VLOOKUP(D2638,[6]成飞半成品!$A:$B,2,0)</f>
        <v>BL280侧壁（左件）</v>
      </c>
      <c r="H2638" s="10" t="s">
        <v>107</v>
      </c>
      <c r="I2638" s="10">
        <v>30</v>
      </c>
      <c r="J2638" s="10" t="s">
        <v>2061</v>
      </c>
      <c r="K2638" s="10">
        <v>0.4</v>
      </c>
      <c r="L2638" s="10">
        <v>0.9</v>
      </c>
      <c r="M2638" s="10">
        <v>23</v>
      </c>
      <c r="N2638" s="10">
        <v>26</v>
      </c>
      <c r="O2638" s="55" t="s">
        <v>1001</v>
      </c>
      <c r="Q2638" s="10">
        <v>1700</v>
      </c>
      <c r="R2638" s="10">
        <v>120</v>
      </c>
      <c r="T2638" s="10">
        <v>1</v>
      </c>
      <c r="U2638" s="10">
        <v>210</v>
      </c>
      <c r="W2638" s="10">
        <v>1</v>
      </c>
      <c r="Y2638" s="79">
        <v>31</v>
      </c>
      <c r="Z2638" s="10" t="s">
        <v>54</v>
      </c>
      <c r="AA2638" s="14" t="s">
        <v>1751</v>
      </c>
    </row>
    <row r="2639" spans="1:28" ht="23.1" customHeight="1" x14ac:dyDescent="0.25">
      <c r="A2639" s="14" t="s">
        <v>1337</v>
      </c>
      <c r="B2639" s="10" t="s">
        <v>110</v>
      </c>
      <c r="C2639" s="10">
        <v>69</v>
      </c>
      <c r="D2639" s="10" t="s">
        <v>1197</v>
      </c>
      <c r="E2639" s="78" t="s">
        <v>1198</v>
      </c>
      <c r="F2639" s="90" t="s">
        <v>1198</v>
      </c>
      <c r="G2639" s="21" t="str">
        <f>VLOOKUP(D2639,[6]成飞半成品!$A:$B,2,0)</f>
        <v>1150肋根肋</v>
      </c>
      <c r="H2639" s="10" t="s">
        <v>658</v>
      </c>
      <c r="I2639" s="10">
        <v>64</v>
      </c>
      <c r="K2639" s="10">
        <v>4</v>
      </c>
      <c r="L2639" s="10">
        <v>5</v>
      </c>
      <c r="M2639" s="10">
        <v>23</v>
      </c>
      <c r="N2639" s="10">
        <v>28</v>
      </c>
      <c r="O2639" s="55" t="s">
        <v>697</v>
      </c>
      <c r="P2639" s="10">
        <v>360</v>
      </c>
      <c r="S2639" s="10">
        <v>60</v>
      </c>
      <c r="T2639" s="10">
        <v>7</v>
      </c>
      <c r="V2639" s="10">
        <v>120</v>
      </c>
      <c r="W2639" s="10">
        <v>1</v>
      </c>
      <c r="Y2639" s="83">
        <v>39</v>
      </c>
      <c r="Z2639" s="10" t="s">
        <v>54</v>
      </c>
    </row>
    <row r="2640" spans="1:28" ht="23.1" customHeight="1" x14ac:dyDescent="0.25">
      <c r="A2640" s="14" t="s">
        <v>1337</v>
      </c>
      <c r="B2640" s="10" t="s">
        <v>110</v>
      </c>
      <c r="C2640" s="10">
        <v>91</v>
      </c>
      <c r="D2640" s="10" t="s">
        <v>254</v>
      </c>
      <c r="E2640" s="78" t="s">
        <v>255</v>
      </c>
      <c r="F2640" s="90" t="s">
        <v>1016</v>
      </c>
      <c r="G2640" s="21" t="str">
        <f>VLOOKUP(D2640,[6]成飞半成品!$A:$B,2,0)</f>
        <v>9350-11140右侧上梁</v>
      </c>
      <c r="H2640" s="10" t="s">
        <v>375</v>
      </c>
      <c r="I2640" s="10">
        <v>40</v>
      </c>
      <c r="J2640" s="10" t="s">
        <v>2110</v>
      </c>
      <c r="K2640" s="10">
        <v>0.4</v>
      </c>
      <c r="L2640" s="10">
        <v>0.3</v>
      </c>
      <c r="M2640" s="10">
        <v>28</v>
      </c>
      <c r="O2640" s="55" t="s">
        <v>712</v>
      </c>
      <c r="Q2640" s="10">
        <v>3000</v>
      </c>
      <c r="R2640" s="10">
        <v>90</v>
      </c>
      <c r="U2640" s="10">
        <v>120</v>
      </c>
      <c r="X2640" s="14">
        <v>5</v>
      </c>
      <c r="Y2640" s="79">
        <v>20</v>
      </c>
      <c r="Z2640" s="10" t="s">
        <v>54</v>
      </c>
      <c r="AA2640" s="14" t="s">
        <v>1752</v>
      </c>
    </row>
    <row r="2641" spans="1:28" ht="23.1" customHeight="1" x14ac:dyDescent="0.25">
      <c r="A2641" s="14" t="s">
        <v>1337</v>
      </c>
      <c r="B2641" s="10" t="s">
        <v>110</v>
      </c>
      <c r="C2641" s="10">
        <v>84</v>
      </c>
      <c r="D2641" s="10" t="s">
        <v>1457</v>
      </c>
      <c r="E2641" s="78" t="s">
        <v>409</v>
      </c>
      <c r="F2641" s="90" t="s">
        <v>409</v>
      </c>
      <c r="G2641" s="21" t="str">
        <f>VLOOKUP(D2641,[6]成飞半成品!$A:$B,2,0)</f>
        <v>接头</v>
      </c>
      <c r="H2641" s="10" t="s">
        <v>102</v>
      </c>
      <c r="I2641" s="10">
        <v>25</v>
      </c>
      <c r="J2641" s="10" t="s">
        <v>2008</v>
      </c>
      <c r="K2641" s="10">
        <v>4</v>
      </c>
      <c r="L2641" s="10">
        <v>1</v>
      </c>
      <c r="M2641" s="10">
        <v>5</v>
      </c>
      <c r="O2641" s="55" t="s">
        <v>596</v>
      </c>
      <c r="Q2641" s="10">
        <v>25</v>
      </c>
      <c r="T2641" s="10">
        <v>1</v>
      </c>
      <c r="U2641" s="10">
        <v>60</v>
      </c>
      <c r="W2641" s="10">
        <v>1</v>
      </c>
      <c r="X2641" s="14">
        <v>2</v>
      </c>
      <c r="Y2641" s="79">
        <v>3.4</v>
      </c>
      <c r="Z2641" s="10" t="s">
        <v>54</v>
      </c>
      <c r="AA2641" s="14" t="s">
        <v>1753</v>
      </c>
    </row>
    <row r="2642" spans="1:28" ht="23.1" customHeight="1" x14ac:dyDescent="0.25">
      <c r="A2642" s="14" t="s">
        <v>1337</v>
      </c>
      <c r="B2642" s="10" t="s">
        <v>110</v>
      </c>
      <c r="C2642" s="10">
        <v>84</v>
      </c>
      <c r="D2642" s="10" t="s">
        <v>1457</v>
      </c>
      <c r="E2642" s="78" t="s">
        <v>409</v>
      </c>
      <c r="F2642" s="90" t="s">
        <v>409</v>
      </c>
      <c r="G2642" s="21" t="str">
        <f>VLOOKUP(D2642,[6]成飞半成品!$A:$B,2,0)</f>
        <v>接头</v>
      </c>
      <c r="H2642" s="10" t="s">
        <v>102</v>
      </c>
      <c r="I2642" s="10">
        <v>25</v>
      </c>
      <c r="J2642" s="10" t="s">
        <v>2008</v>
      </c>
      <c r="L2642" s="10">
        <v>1</v>
      </c>
      <c r="M2642" s="10">
        <v>5</v>
      </c>
      <c r="O2642" s="55" t="s">
        <v>596</v>
      </c>
      <c r="Q2642" s="10">
        <v>25</v>
      </c>
      <c r="U2642" s="10">
        <v>60</v>
      </c>
      <c r="X2642" s="14">
        <v>5</v>
      </c>
      <c r="Y2642" s="79">
        <v>5.4</v>
      </c>
      <c r="Z2642" s="10" t="s">
        <v>54</v>
      </c>
      <c r="AA2642" s="14" t="s">
        <v>1754</v>
      </c>
    </row>
    <row r="2643" spans="1:28" ht="23.1" customHeight="1" x14ac:dyDescent="0.25">
      <c r="A2643" s="14" t="s">
        <v>1337</v>
      </c>
      <c r="B2643" s="10" t="s">
        <v>110</v>
      </c>
      <c r="C2643" s="10">
        <v>121</v>
      </c>
      <c r="D2643" s="10" t="s">
        <v>1755</v>
      </c>
      <c r="E2643" s="78" t="s">
        <v>1756</v>
      </c>
      <c r="F2643" s="90" t="e">
        <v>#N/A</v>
      </c>
      <c r="G2643" s="21" t="e">
        <f>VLOOKUP(D2643,[6]成飞半成品!$A:$B,2,0)</f>
        <v>#N/A</v>
      </c>
      <c r="H2643" s="10" t="s">
        <v>250</v>
      </c>
      <c r="I2643" s="10">
        <v>35</v>
      </c>
      <c r="J2643" s="10" t="s">
        <v>2352</v>
      </c>
      <c r="K2643" s="10">
        <v>1</v>
      </c>
      <c r="L2643" s="10">
        <v>1.4</v>
      </c>
      <c r="M2643" s="10">
        <v>19</v>
      </c>
      <c r="N2643" s="10">
        <v>28</v>
      </c>
      <c r="O2643" s="55" t="s">
        <v>1256</v>
      </c>
      <c r="Q2643" s="10">
        <v>330</v>
      </c>
      <c r="R2643" s="10">
        <v>90</v>
      </c>
      <c r="T2643" s="10">
        <v>2</v>
      </c>
      <c r="U2643" s="10">
        <v>180</v>
      </c>
      <c r="W2643" s="10">
        <v>1</v>
      </c>
      <c r="X2643" s="10">
        <v>3</v>
      </c>
      <c r="Y2643" s="79">
        <v>16.7</v>
      </c>
      <c r="Z2643" s="10" t="s">
        <v>54</v>
      </c>
      <c r="AA2643" s="14" t="s">
        <v>1548</v>
      </c>
    </row>
    <row r="2644" spans="1:28" ht="23.1" customHeight="1" x14ac:dyDescent="0.25">
      <c r="A2644" s="14" t="s">
        <v>1337</v>
      </c>
      <c r="B2644" s="10" t="s">
        <v>110</v>
      </c>
      <c r="C2644" s="10">
        <v>15</v>
      </c>
      <c r="D2644" s="10" t="s">
        <v>1255</v>
      </c>
      <c r="E2644" s="78" t="s">
        <v>117</v>
      </c>
      <c r="F2644" s="90" t="s">
        <v>117</v>
      </c>
      <c r="G2644" s="21" t="str">
        <f>VLOOKUP(D2644,[6]成飞半成品!$A:$B,2,0)</f>
        <v>7820~8270侧上梁</v>
      </c>
      <c r="H2644" s="10" t="s">
        <v>118</v>
      </c>
      <c r="I2644" s="10">
        <v>20</v>
      </c>
      <c r="J2644" s="10" t="s">
        <v>2232</v>
      </c>
      <c r="K2644" s="10">
        <v>2</v>
      </c>
      <c r="L2644" s="10">
        <v>1</v>
      </c>
      <c r="M2644" s="10">
        <v>23</v>
      </c>
      <c r="O2644" s="55" t="s">
        <v>128</v>
      </c>
      <c r="Q2644" s="10">
        <v>270</v>
      </c>
      <c r="U2644" s="10">
        <v>90</v>
      </c>
      <c r="Y2644" s="79">
        <v>4.5</v>
      </c>
      <c r="Z2644" s="10" t="s">
        <v>31</v>
      </c>
    </row>
    <row r="2645" spans="1:28" ht="23.1" customHeight="1" x14ac:dyDescent="0.25">
      <c r="A2645" s="14" t="s">
        <v>1337</v>
      </c>
      <c r="B2645" s="10" t="s">
        <v>110</v>
      </c>
      <c r="C2645" s="10">
        <v>15</v>
      </c>
      <c r="D2645" s="10" t="s">
        <v>1255</v>
      </c>
      <c r="E2645" s="78" t="s">
        <v>117</v>
      </c>
      <c r="F2645" s="90" t="s">
        <v>117</v>
      </c>
      <c r="G2645" s="21" t="str">
        <f>VLOOKUP(D2645,[6]成飞半成品!$A:$B,2,0)</f>
        <v>7820~8270侧上梁</v>
      </c>
      <c r="H2645" s="10" t="s">
        <v>118</v>
      </c>
      <c r="I2645" s="10">
        <v>25</v>
      </c>
      <c r="J2645" s="10" t="s">
        <v>2018</v>
      </c>
      <c r="K2645" s="10">
        <v>0.2</v>
      </c>
      <c r="L2645" s="10">
        <v>0.4</v>
      </c>
      <c r="M2645" s="10">
        <v>37</v>
      </c>
      <c r="O2645" s="55" t="s">
        <v>256</v>
      </c>
      <c r="Q2645" s="10">
        <v>900</v>
      </c>
      <c r="U2645" s="10">
        <v>120</v>
      </c>
      <c r="Y2645" s="79">
        <v>6</v>
      </c>
      <c r="Z2645" s="10" t="s">
        <v>31</v>
      </c>
    </row>
    <row r="2646" spans="1:28" ht="23.1" customHeight="1" x14ac:dyDescent="0.25">
      <c r="A2646" s="14" t="s">
        <v>1337</v>
      </c>
      <c r="B2646" s="10" t="s">
        <v>110</v>
      </c>
      <c r="C2646" s="10">
        <v>78</v>
      </c>
      <c r="D2646" s="10" t="s">
        <v>2557</v>
      </c>
      <c r="E2646" s="78" t="s">
        <v>1013</v>
      </c>
      <c r="F2646" s="90" t="s">
        <v>1013</v>
      </c>
      <c r="G2646" s="21" t="str">
        <f>VLOOKUP(D2646,[6]成飞半成品!$A:$B,2,0)</f>
        <v>9350-11140左侧上梁</v>
      </c>
      <c r="H2646" s="10" t="s">
        <v>250</v>
      </c>
      <c r="I2646" s="10">
        <v>40</v>
      </c>
      <c r="J2646" s="10" t="s">
        <v>1902</v>
      </c>
      <c r="K2646" s="10">
        <v>3</v>
      </c>
      <c r="L2646" s="10">
        <v>3.1</v>
      </c>
      <c r="M2646" s="10">
        <v>5</v>
      </c>
      <c r="N2646" s="10">
        <v>26</v>
      </c>
      <c r="O2646" s="55" t="s">
        <v>216</v>
      </c>
      <c r="Q2646" s="10">
        <v>250</v>
      </c>
      <c r="R2646" s="10">
        <v>60</v>
      </c>
      <c r="T2646" s="10">
        <v>4</v>
      </c>
      <c r="U2646" s="10">
        <v>90</v>
      </c>
      <c r="Y2646" s="79">
        <v>16.899999999999999</v>
      </c>
      <c r="Z2646" s="10" t="s">
        <v>19</v>
      </c>
    </row>
    <row r="2647" spans="1:28" ht="23.1" customHeight="1" x14ac:dyDescent="0.25">
      <c r="A2647" s="14" t="s">
        <v>1337</v>
      </c>
      <c r="B2647" s="10" t="s">
        <v>110</v>
      </c>
      <c r="C2647" s="10">
        <v>14</v>
      </c>
      <c r="D2647" s="10" t="s">
        <v>1331</v>
      </c>
      <c r="E2647" s="78" t="s">
        <v>1332</v>
      </c>
      <c r="F2647" s="90" t="s">
        <v>1332</v>
      </c>
      <c r="G2647" s="21" t="str">
        <f>VLOOKUP(D2647,[6]成飞半成品!$A:$B,2,0)</f>
        <v>联锁摇臂</v>
      </c>
      <c r="H2647" s="10" t="s">
        <v>300</v>
      </c>
      <c r="I2647" s="10">
        <v>20</v>
      </c>
      <c r="J2647" s="10" t="s">
        <v>1978</v>
      </c>
      <c r="K2647" s="10">
        <v>16</v>
      </c>
      <c r="L2647" s="10">
        <v>20</v>
      </c>
      <c r="M2647" s="10">
        <v>23</v>
      </c>
      <c r="N2647" s="10">
        <v>28</v>
      </c>
      <c r="O2647" s="55" t="s">
        <v>697</v>
      </c>
      <c r="Q2647" s="10">
        <v>30</v>
      </c>
      <c r="U2647" s="10">
        <v>90</v>
      </c>
      <c r="W2647" s="10">
        <v>1</v>
      </c>
      <c r="Y2647" s="79">
        <v>11.5</v>
      </c>
      <c r="Z2647" s="10" t="s">
        <v>31</v>
      </c>
    </row>
    <row r="2648" spans="1:28" ht="23.1" customHeight="1" x14ac:dyDescent="0.25">
      <c r="A2648" s="14" t="s">
        <v>1337</v>
      </c>
      <c r="B2648" s="10" t="s">
        <v>110</v>
      </c>
      <c r="C2648" s="10">
        <v>12</v>
      </c>
      <c r="D2648" s="10" t="s">
        <v>735</v>
      </c>
      <c r="E2648" s="78" t="s">
        <v>249</v>
      </c>
      <c r="F2648" s="90" t="s">
        <v>249</v>
      </c>
      <c r="G2648" s="21" t="str">
        <f>VLOOKUP(D2648,[6]成飞半成品!$A:$B,2,0)</f>
        <v>10060下接头</v>
      </c>
      <c r="H2648" s="10" t="s">
        <v>250</v>
      </c>
      <c r="I2648" s="10">
        <v>25</v>
      </c>
      <c r="J2648" s="10" t="s">
        <v>1923</v>
      </c>
      <c r="K2648" s="10">
        <v>1</v>
      </c>
      <c r="L2648" s="10">
        <v>1</v>
      </c>
      <c r="M2648" s="10">
        <v>28</v>
      </c>
      <c r="O2648" s="55" t="s">
        <v>1757</v>
      </c>
      <c r="Q2648" s="10">
        <v>1080</v>
      </c>
      <c r="U2648" s="10">
        <v>120</v>
      </c>
      <c r="Y2648" s="79">
        <v>18</v>
      </c>
      <c r="Z2648" s="10" t="s">
        <v>72</v>
      </c>
    </row>
    <row r="2649" spans="1:28" ht="23.1" customHeight="1" x14ac:dyDescent="0.25">
      <c r="A2649" s="14" t="s">
        <v>1337</v>
      </c>
      <c r="B2649" s="10" t="s">
        <v>110</v>
      </c>
      <c r="C2649" s="10">
        <v>16</v>
      </c>
      <c r="D2649" s="10" t="s">
        <v>1692</v>
      </c>
      <c r="E2649" s="78" t="s">
        <v>1693</v>
      </c>
      <c r="F2649" s="90" t="s">
        <v>1693</v>
      </c>
      <c r="G2649" s="21" t="str">
        <f>VLOOKUP(D2649,[6]成飞半成品!$A:$B,2,0)</f>
        <v>后舱内段支撑件上段2段</v>
      </c>
      <c r="H2649" s="10" t="s">
        <v>154</v>
      </c>
      <c r="I2649" s="10">
        <v>30</v>
      </c>
      <c r="J2649" s="10" t="s">
        <v>2521</v>
      </c>
      <c r="K2649" s="10">
        <v>1</v>
      </c>
      <c r="L2649" s="10">
        <v>2</v>
      </c>
      <c r="M2649" s="10">
        <v>9</v>
      </c>
      <c r="N2649" s="10">
        <v>9</v>
      </c>
      <c r="O2649" s="55" t="s">
        <v>1322</v>
      </c>
      <c r="U2649" s="10">
        <v>60</v>
      </c>
      <c r="W2649" s="10">
        <v>1</v>
      </c>
      <c r="Y2649" s="79">
        <v>1</v>
      </c>
      <c r="Z2649" s="10" t="s">
        <v>63</v>
      </c>
    </row>
    <row r="2650" spans="1:28" ht="23.1" customHeight="1" x14ac:dyDescent="0.25">
      <c r="A2650" s="14" t="s">
        <v>1337</v>
      </c>
      <c r="B2650" s="10" t="s">
        <v>110</v>
      </c>
      <c r="C2650" s="10">
        <v>16</v>
      </c>
      <c r="D2650" s="10" t="s">
        <v>1740</v>
      </c>
      <c r="E2650" s="78" t="s">
        <v>1693</v>
      </c>
      <c r="F2650" s="90" t="s">
        <v>1693</v>
      </c>
      <c r="G2650" s="21" t="str">
        <f>VLOOKUP(D2650,[6]成飞半成品!$A:$B,2,0)</f>
        <v>后舱内段支撑件上段2段</v>
      </c>
      <c r="H2650" s="10" t="s">
        <v>154</v>
      </c>
      <c r="I2650" s="10">
        <v>30</v>
      </c>
      <c r="J2650" s="10" t="s">
        <v>2348</v>
      </c>
      <c r="K2650" s="10">
        <v>2</v>
      </c>
      <c r="L2650" s="10">
        <v>1</v>
      </c>
      <c r="M2650" s="10">
        <v>9</v>
      </c>
      <c r="O2650" s="55" t="s">
        <v>234</v>
      </c>
      <c r="Q2650" s="10">
        <v>130</v>
      </c>
      <c r="U2650" s="10">
        <v>60</v>
      </c>
      <c r="Y2650" s="79">
        <v>2.2000000000000002</v>
      </c>
      <c r="Z2650" s="10" t="s">
        <v>63</v>
      </c>
    </row>
    <row r="2651" spans="1:28" ht="23.1" customHeight="1" x14ac:dyDescent="0.25">
      <c r="A2651" s="14" t="s">
        <v>1337</v>
      </c>
      <c r="B2651" s="10" t="s">
        <v>110</v>
      </c>
      <c r="C2651" s="10">
        <v>16</v>
      </c>
      <c r="D2651" s="10" t="s">
        <v>1301</v>
      </c>
      <c r="E2651" s="78" t="s">
        <v>1302</v>
      </c>
      <c r="F2651" s="90" t="s">
        <v>1302</v>
      </c>
      <c r="G2651" s="21" t="str">
        <f>VLOOKUP(D2651,[6]成飞半成品!$A:$B,2,0)</f>
        <v>后舱内段支撑件上段1段</v>
      </c>
      <c r="H2651" s="10" t="s">
        <v>154</v>
      </c>
      <c r="I2651" s="10">
        <v>30</v>
      </c>
      <c r="J2651" s="10" t="s">
        <v>2348</v>
      </c>
      <c r="K2651" s="10">
        <v>1</v>
      </c>
      <c r="L2651" s="10">
        <v>1</v>
      </c>
      <c r="M2651" s="10">
        <v>31</v>
      </c>
      <c r="O2651" s="55" t="s">
        <v>159</v>
      </c>
      <c r="Q2651" s="10">
        <v>130</v>
      </c>
      <c r="U2651" s="10">
        <v>60</v>
      </c>
      <c r="W2651" s="10">
        <v>1</v>
      </c>
      <c r="X2651" s="14">
        <v>2</v>
      </c>
      <c r="Y2651" s="79">
        <v>5.2</v>
      </c>
      <c r="Z2651" s="10" t="s">
        <v>63</v>
      </c>
      <c r="AA2651" s="14" t="s">
        <v>1376</v>
      </c>
      <c r="AB2651" s="14" t="s">
        <v>238</v>
      </c>
    </row>
    <row r="2652" spans="1:28" ht="23.1" customHeight="1" x14ac:dyDescent="0.25">
      <c r="A2652" s="14" t="s">
        <v>1337</v>
      </c>
      <c r="B2652" s="10" t="s">
        <v>110</v>
      </c>
      <c r="C2652" s="10">
        <v>79</v>
      </c>
      <c r="D2652" s="10" t="s">
        <v>152</v>
      </c>
      <c r="E2652" s="78" t="s">
        <v>153</v>
      </c>
      <c r="F2652" s="90" t="s">
        <v>1247</v>
      </c>
      <c r="G2652" s="21" t="str">
        <f>VLOOKUP(D2652,[6]成飞半成品!$A:$B,2,0)</f>
        <v>根肋前段</v>
      </c>
      <c r="H2652" s="10" t="s">
        <v>154</v>
      </c>
      <c r="I2652" s="10">
        <v>45</v>
      </c>
      <c r="J2652" s="10" t="s">
        <v>2236</v>
      </c>
      <c r="K2652" s="10">
        <v>0.7</v>
      </c>
      <c r="L2652" s="10">
        <v>0.5</v>
      </c>
      <c r="M2652" s="10">
        <v>31</v>
      </c>
      <c r="O2652" s="55" t="s">
        <v>421</v>
      </c>
      <c r="Q2652" s="10">
        <v>2460</v>
      </c>
      <c r="R2652" s="10">
        <v>90</v>
      </c>
      <c r="U2652" s="10">
        <v>240</v>
      </c>
      <c r="Y2652" s="79">
        <v>20.5</v>
      </c>
      <c r="Z2652" s="10" t="s">
        <v>19</v>
      </c>
    </row>
    <row r="2653" spans="1:28" ht="23.1" customHeight="1" x14ac:dyDescent="0.25">
      <c r="A2653" s="14" t="s">
        <v>1337</v>
      </c>
      <c r="B2653" s="10" t="s">
        <v>110</v>
      </c>
      <c r="C2653" s="10">
        <v>57</v>
      </c>
      <c r="D2653" s="10" t="s">
        <v>1031</v>
      </c>
      <c r="E2653" s="78" t="s">
        <v>1032</v>
      </c>
      <c r="F2653" s="90" t="s">
        <v>1032</v>
      </c>
      <c r="G2653" s="21" t="str">
        <f>VLOOKUP(D2653,[6]成飞半成品!$A:$B,2,0)</f>
        <v>前上大梁（左）</v>
      </c>
      <c r="H2653" s="10" t="s">
        <v>107</v>
      </c>
      <c r="I2653" s="10">
        <v>15</v>
      </c>
      <c r="J2653" s="10" t="s">
        <v>2338</v>
      </c>
      <c r="K2653" s="10">
        <v>3.5</v>
      </c>
      <c r="L2653" s="10">
        <v>3.5</v>
      </c>
      <c r="M2653" s="10">
        <v>19</v>
      </c>
      <c r="N2653" s="10">
        <v>28</v>
      </c>
      <c r="O2653" s="55" t="s">
        <v>1656</v>
      </c>
      <c r="Q2653" s="10">
        <v>180</v>
      </c>
      <c r="U2653" s="10">
        <v>90</v>
      </c>
      <c r="Y2653" s="79">
        <v>10.5</v>
      </c>
      <c r="Z2653" s="10" t="s">
        <v>7</v>
      </c>
    </row>
    <row r="2654" spans="1:28" ht="23.1" customHeight="1" x14ac:dyDescent="0.25">
      <c r="A2654" s="14" t="s">
        <v>1337</v>
      </c>
      <c r="B2654" s="10" t="s">
        <v>110</v>
      </c>
      <c r="C2654" s="10">
        <v>18</v>
      </c>
      <c r="D2654" s="10" t="s">
        <v>920</v>
      </c>
      <c r="E2654" s="78" t="s">
        <v>919</v>
      </c>
      <c r="F2654" s="90" t="s">
        <v>919</v>
      </c>
      <c r="G2654" s="21" t="str">
        <f>VLOOKUP(D2654,[6]成飞半成品!$A:$B,2,0)</f>
        <v>雷达罩锁支座</v>
      </c>
      <c r="H2654" s="10" t="s">
        <v>323</v>
      </c>
      <c r="I2654" s="10">
        <v>15</v>
      </c>
      <c r="J2654" s="10" t="s">
        <v>2033</v>
      </c>
      <c r="K2654" s="10">
        <v>3</v>
      </c>
      <c r="L2654" s="10">
        <v>5</v>
      </c>
      <c r="M2654" s="10">
        <v>19</v>
      </c>
      <c r="N2654" s="10">
        <v>19</v>
      </c>
      <c r="O2654" s="55" t="s">
        <v>860</v>
      </c>
      <c r="Q2654" s="10">
        <v>210</v>
      </c>
      <c r="U2654" s="10">
        <v>90</v>
      </c>
      <c r="Y2654" s="79">
        <v>17.5</v>
      </c>
      <c r="Z2654" s="10" t="s">
        <v>16</v>
      </c>
    </row>
    <row r="2655" spans="1:28" ht="23.1" customHeight="1" x14ac:dyDescent="0.25">
      <c r="A2655" s="14" t="s">
        <v>1337</v>
      </c>
      <c r="B2655" s="10" t="s">
        <v>110</v>
      </c>
      <c r="C2655" s="10">
        <v>77</v>
      </c>
      <c r="D2655" s="10" t="s">
        <v>1698</v>
      </c>
      <c r="E2655" s="78" t="s">
        <v>1699</v>
      </c>
      <c r="F2655" s="90" t="s">
        <v>1699</v>
      </c>
      <c r="G2655" s="21" t="str">
        <f>VLOOKUP(D2655,[6]成飞半成品!$A:$B,2,0)</f>
        <v>Z型件</v>
      </c>
      <c r="H2655" s="10" t="s">
        <v>118</v>
      </c>
      <c r="I2655" s="10">
        <v>20</v>
      </c>
      <c r="J2655" s="10" t="s">
        <v>2353</v>
      </c>
      <c r="K2655" s="10">
        <v>10</v>
      </c>
      <c r="L2655" s="10">
        <v>30</v>
      </c>
      <c r="M2655" s="10">
        <v>19</v>
      </c>
      <c r="N2655" s="10">
        <v>19</v>
      </c>
      <c r="O2655" s="55" t="s">
        <v>282</v>
      </c>
      <c r="Q2655" s="10">
        <v>20</v>
      </c>
      <c r="U2655" s="10">
        <v>90</v>
      </c>
      <c r="W2655" s="10">
        <v>1</v>
      </c>
      <c r="X2655" s="14">
        <v>2</v>
      </c>
      <c r="Y2655" s="79">
        <v>13.5</v>
      </c>
      <c r="Z2655" s="10" t="s">
        <v>15</v>
      </c>
      <c r="AA2655" s="14" t="s">
        <v>1671</v>
      </c>
      <c r="AB2655" s="14" t="s">
        <v>238</v>
      </c>
    </row>
    <row r="2656" spans="1:28" ht="23.1" customHeight="1" x14ac:dyDescent="0.25">
      <c r="A2656" s="14" t="s">
        <v>1337</v>
      </c>
      <c r="B2656" s="10" t="s">
        <v>110</v>
      </c>
      <c r="C2656" s="10">
        <v>59</v>
      </c>
      <c r="D2656" s="10" t="s">
        <v>1742</v>
      </c>
      <c r="E2656" s="78" t="s">
        <v>1743</v>
      </c>
      <c r="F2656" s="90" t="e">
        <v>#N/A</v>
      </c>
      <c r="G2656" s="21" t="e">
        <f>VLOOKUP(D2656,[6]成飞半成品!$A:$B,2,0)</f>
        <v>#N/A</v>
      </c>
      <c r="H2656" s="10" t="s">
        <v>154</v>
      </c>
      <c r="I2656" s="10">
        <v>15</v>
      </c>
      <c r="J2656" s="10" t="s">
        <v>1895</v>
      </c>
      <c r="L2656" s="10">
        <v>6</v>
      </c>
      <c r="M2656" s="10">
        <v>5</v>
      </c>
      <c r="N2656" s="10">
        <v>19</v>
      </c>
      <c r="O2656" s="55" t="s">
        <v>164</v>
      </c>
      <c r="Q2656" s="10">
        <v>70</v>
      </c>
      <c r="U2656" s="10">
        <v>60</v>
      </c>
      <c r="W2656" s="10">
        <v>1</v>
      </c>
      <c r="X2656" s="14">
        <v>2</v>
      </c>
      <c r="Y2656" s="79">
        <v>10</v>
      </c>
      <c r="Z2656" s="65" t="s">
        <v>1847</v>
      </c>
      <c r="AA2656" s="14" t="s">
        <v>1758</v>
      </c>
      <c r="AB2656" s="14" t="s">
        <v>238</v>
      </c>
    </row>
    <row r="2657" spans="1:28" ht="23.1" customHeight="1" x14ac:dyDescent="0.25">
      <c r="A2657" s="14" t="s">
        <v>1337</v>
      </c>
      <c r="B2657" s="10" t="s">
        <v>110</v>
      </c>
      <c r="C2657" s="10">
        <v>22</v>
      </c>
      <c r="D2657" s="10" t="s">
        <v>635</v>
      </c>
      <c r="E2657" s="78" t="s">
        <v>612</v>
      </c>
      <c r="F2657" s="90" t="s">
        <v>612</v>
      </c>
      <c r="G2657" s="21" t="str">
        <f>VLOOKUP(D2657,[6]成飞半成品!$A:$B,2,0)</f>
        <v>前梁二段</v>
      </c>
      <c r="H2657" s="10" t="s">
        <v>102</v>
      </c>
      <c r="I2657" s="10">
        <v>10</v>
      </c>
      <c r="J2657" s="10" t="s">
        <v>1952</v>
      </c>
      <c r="K2657" s="10">
        <v>0.2</v>
      </c>
      <c r="L2657" s="10">
        <v>0.2</v>
      </c>
      <c r="M2657" s="10">
        <v>23</v>
      </c>
      <c r="O2657" s="55" t="s">
        <v>234</v>
      </c>
      <c r="Q2657" s="10">
        <v>1500</v>
      </c>
      <c r="R2657" s="10">
        <v>180</v>
      </c>
      <c r="U2657" s="10">
        <v>180</v>
      </c>
      <c r="Y2657" s="79">
        <v>5</v>
      </c>
      <c r="Z2657" s="10" t="s">
        <v>58</v>
      </c>
    </row>
    <row r="2658" spans="1:28" ht="23.1" customHeight="1" x14ac:dyDescent="0.25">
      <c r="A2658" s="14" t="s">
        <v>1337</v>
      </c>
      <c r="B2658" s="10" t="s">
        <v>110</v>
      </c>
      <c r="C2658" s="10">
        <v>22</v>
      </c>
      <c r="D2658" s="10" t="s">
        <v>611</v>
      </c>
      <c r="E2658" s="78" t="s">
        <v>612</v>
      </c>
      <c r="F2658" s="90" t="s">
        <v>612</v>
      </c>
      <c r="G2658" s="21" t="str">
        <f>VLOOKUP(D2658,[6]成飞半成品!$A:$B,2,0)</f>
        <v>前梁二段</v>
      </c>
      <c r="H2658" s="10" t="s">
        <v>102</v>
      </c>
      <c r="I2658" s="10">
        <v>5</v>
      </c>
      <c r="J2658" s="10" t="s">
        <v>1957</v>
      </c>
      <c r="K2658" s="10">
        <v>0.5</v>
      </c>
      <c r="L2658" s="10">
        <v>1</v>
      </c>
      <c r="M2658" s="10">
        <v>5</v>
      </c>
      <c r="O2658" s="55" t="s">
        <v>103</v>
      </c>
      <c r="Q2658" s="10">
        <v>2400</v>
      </c>
      <c r="R2658" s="10">
        <v>210</v>
      </c>
      <c r="U2658" s="10">
        <v>210</v>
      </c>
      <c r="W2658" s="10">
        <v>1</v>
      </c>
      <c r="Y2658" s="79">
        <v>43.5</v>
      </c>
      <c r="Z2658" s="10" t="s">
        <v>58</v>
      </c>
    </row>
    <row r="2659" spans="1:28" ht="23.1" customHeight="1" x14ac:dyDescent="0.25">
      <c r="A2659" s="14" t="s">
        <v>1337</v>
      </c>
      <c r="B2659" s="10" t="s">
        <v>110</v>
      </c>
      <c r="C2659" s="10">
        <v>13</v>
      </c>
      <c r="D2659" s="10" t="s">
        <v>1727</v>
      </c>
      <c r="E2659" s="78" t="s">
        <v>1728</v>
      </c>
      <c r="F2659" s="90" t="s">
        <v>1728</v>
      </c>
      <c r="G2659" s="21" t="str">
        <f>VLOOKUP(D2659,[6]成飞半成品!$A:$B,2,0)</f>
        <v>球形杯</v>
      </c>
      <c r="H2659" s="10" t="s">
        <v>102</v>
      </c>
      <c r="I2659" s="10">
        <v>15</v>
      </c>
      <c r="J2659" s="10" t="s">
        <v>2346</v>
      </c>
      <c r="K2659" s="10">
        <v>12</v>
      </c>
      <c r="L2659" s="10">
        <v>12</v>
      </c>
      <c r="M2659" s="10">
        <v>28</v>
      </c>
      <c r="N2659" s="10">
        <v>28</v>
      </c>
      <c r="O2659" s="55" t="s">
        <v>596</v>
      </c>
      <c r="Q2659" s="10">
        <v>140</v>
      </c>
      <c r="U2659" s="10">
        <v>90</v>
      </c>
      <c r="Y2659" s="79">
        <v>28</v>
      </c>
      <c r="Z2659" s="10" t="s">
        <v>72</v>
      </c>
    </row>
    <row r="2660" spans="1:28" ht="23.1" customHeight="1" x14ac:dyDescent="0.25">
      <c r="A2660" s="14" t="s">
        <v>1337</v>
      </c>
      <c r="B2660" s="10" t="s">
        <v>110</v>
      </c>
      <c r="C2660" s="10">
        <v>11</v>
      </c>
      <c r="D2660" s="10" t="s">
        <v>1296</v>
      </c>
      <c r="E2660" s="78" t="s">
        <v>1297</v>
      </c>
      <c r="F2660" s="90" t="s">
        <v>1297</v>
      </c>
      <c r="G2660" s="21" t="str">
        <f>VLOOKUP(D2660,[6]成飞半成品!$A:$B,2,0)</f>
        <v>固定板</v>
      </c>
      <c r="H2660" s="10" t="s">
        <v>154</v>
      </c>
      <c r="I2660" s="10">
        <v>30</v>
      </c>
      <c r="J2660" s="10" t="s">
        <v>1863</v>
      </c>
      <c r="K2660" s="10">
        <v>4</v>
      </c>
      <c r="L2660" s="10">
        <v>2</v>
      </c>
      <c r="M2660" s="10">
        <v>23</v>
      </c>
      <c r="N2660" s="10">
        <v>23</v>
      </c>
      <c r="O2660" s="55" t="s">
        <v>199</v>
      </c>
      <c r="Q2660" s="10">
        <v>160</v>
      </c>
      <c r="U2660" s="10">
        <v>60</v>
      </c>
      <c r="Y2660" s="79">
        <v>5.3</v>
      </c>
      <c r="Z2660" s="10" t="s">
        <v>63</v>
      </c>
    </row>
    <row r="2661" spans="1:28" ht="23.1" customHeight="1" x14ac:dyDescent="0.25">
      <c r="A2661" s="14" t="s">
        <v>1337</v>
      </c>
      <c r="B2661" s="10" t="s">
        <v>110</v>
      </c>
      <c r="C2661" s="10">
        <v>21</v>
      </c>
      <c r="D2661" s="10" t="s">
        <v>321</v>
      </c>
      <c r="E2661" s="78" t="s">
        <v>322</v>
      </c>
      <c r="F2661" s="90" t="s">
        <v>322</v>
      </c>
      <c r="G2661" s="21" t="str">
        <f>VLOOKUP(D2661,[6]成飞半成品!$A:$B,2,0)</f>
        <v>10860框</v>
      </c>
      <c r="H2661" s="10" t="s">
        <v>323</v>
      </c>
      <c r="I2661" s="10">
        <v>35</v>
      </c>
      <c r="J2661" s="10" t="s">
        <v>1925</v>
      </c>
      <c r="K2661" s="10">
        <v>1.5</v>
      </c>
      <c r="L2661" s="10">
        <v>1.1000000000000001</v>
      </c>
      <c r="M2661" s="10">
        <v>5</v>
      </c>
      <c r="N2661" s="10">
        <v>5</v>
      </c>
      <c r="O2661" s="55" t="s">
        <v>1000</v>
      </c>
      <c r="Q2661" s="10">
        <v>480</v>
      </c>
      <c r="R2661" s="10">
        <v>120</v>
      </c>
      <c r="T2661" s="10">
        <v>1</v>
      </c>
      <c r="U2661" s="10">
        <v>180</v>
      </c>
      <c r="Y2661" s="79">
        <v>10.8</v>
      </c>
      <c r="Z2661" s="10" t="s">
        <v>58</v>
      </c>
    </row>
    <row r="2662" spans="1:28" ht="23.1" customHeight="1" x14ac:dyDescent="0.25">
      <c r="A2662" s="14" t="s">
        <v>1337</v>
      </c>
      <c r="B2662" s="10" t="s">
        <v>110</v>
      </c>
      <c r="C2662" s="10">
        <v>21</v>
      </c>
      <c r="D2662" s="10" t="s">
        <v>321</v>
      </c>
      <c r="E2662" s="78" t="s">
        <v>322</v>
      </c>
      <c r="F2662" s="90" t="s">
        <v>322</v>
      </c>
      <c r="G2662" s="21" t="str">
        <f>VLOOKUP(D2662,[6]成飞半成品!$A:$B,2,0)</f>
        <v>10860框</v>
      </c>
      <c r="H2662" s="10" t="s">
        <v>323</v>
      </c>
      <c r="I2662" s="10">
        <v>40</v>
      </c>
      <c r="J2662" s="10" t="s">
        <v>1969</v>
      </c>
      <c r="L2662" s="10">
        <v>1</v>
      </c>
      <c r="M2662" s="10">
        <v>31</v>
      </c>
      <c r="O2662" s="55" t="s">
        <v>1273</v>
      </c>
      <c r="Q2662" s="10">
        <v>390</v>
      </c>
      <c r="R2662" s="10">
        <v>120</v>
      </c>
      <c r="T2662" s="10">
        <v>1</v>
      </c>
      <c r="U2662" s="10">
        <v>180</v>
      </c>
      <c r="W2662" s="10">
        <v>1</v>
      </c>
      <c r="Y2662" s="79">
        <v>11.5</v>
      </c>
      <c r="Z2662" s="10" t="s">
        <v>58</v>
      </c>
    </row>
    <row r="2663" spans="1:28" ht="23.1" customHeight="1" x14ac:dyDescent="0.25">
      <c r="A2663" s="14" t="s">
        <v>1337</v>
      </c>
      <c r="B2663" s="10" t="s">
        <v>110</v>
      </c>
      <c r="C2663" s="10">
        <v>58</v>
      </c>
      <c r="D2663" s="10" t="s">
        <v>1759</v>
      </c>
      <c r="E2663" s="78" t="s">
        <v>409</v>
      </c>
      <c r="F2663" s="90" t="s">
        <v>409</v>
      </c>
      <c r="G2663" s="21" t="str">
        <f>VLOOKUP(D2663,[6]成飞半成品!$A:$B,2,0)</f>
        <v>接头</v>
      </c>
      <c r="H2663" s="10" t="s">
        <v>658</v>
      </c>
      <c r="I2663" s="10">
        <v>10</v>
      </c>
      <c r="J2663" s="10" t="s">
        <v>1916</v>
      </c>
      <c r="K2663" s="10">
        <v>15</v>
      </c>
      <c r="L2663" s="10">
        <v>38</v>
      </c>
      <c r="M2663" s="10">
        <v>9</v>
      </c>
      <c r="N2663" s="10">
        <v>9</v>
      </c>
      <c r="O2663" s="55" t="s">
        <v>282</v>
      </c>
      <c r="Q2663" s="10">
        <v>30</v>
      </c>
      <c r="U2663" s="10">
        <v>90</v>
      </c>
      <c r="W2663" s="10">
        <v>1</v>
      </c>
      <c r="X2663" s="14">
        <v>2</v>
      </c>
      <c r="Y2663" s="79">
        <v>22.5</v>
      </c>
      <c r="Z2663" s="10" t="s">
        <v>7</v>
      </c>
      <c r="AA2663" s="14" t="s">
        <v>1527</v>
      </c>
      <c r="AB2663" s="14" t="s">
        <v>238</v>
      </c>
    </row>
    <row r="2664" spans="1:28" ht="23.1" customHeight="1" x14ac:dyDescent="0.25">
      <c r="A2664" s="14" t="s">
        <v>1337</v>
      </c>
      <c r="B2664" s="10" t="s">
        <v>110</v>
      </c>
      <c r="C2664" s="10">
        <v>17</v>
      </c>
      <c r="D2664" s="10" t="s">
        <v>1702</v>
      </c>
      <c r="E2664" s="78" t="s">
        <v>625</v>
      </c>
      <c r="F2664" s="90" t="s">
        <v>625</v>
      </c>
      <c r="G2664" s="21" t="str">
        <f>VLOOKUP(D2664,[6]成飞半成品!$A:$B,2,0)</f>
        <v>支架</v>
      </c>
      <c r="H2664" s="10" t="s">
        <v>250</v>
      </c>
      <c r="I2664" s="10">
        <v>20</v>
      </c>
      <c r="J2664" s="10" t="s">
        <v>2344</v>
      </c>
      <c r="K2664" s="10">
        <v>4</v>
      </c>
      <c r="L2664" s="10">
        <v>5</v>
      </c>
      <c r="M2664" s="10">
        <v>5</v>
      </c>
      <c r="N2664" s="10">
        <v>19</v>
      </c>
      <c r="O2664" s="55" t="s">
        <v>247</v>
      </c>
      <c r="Q2664" s="10">
        <v>150</v>
      </c>
      <c r="U2664" s="10">
        <v>150</v>
      </c>
      <c r="Y2664" s="79">
        <v>12.5</v>
      </c>
      <c r="Z2664" s="10" t="s">
        <v>16</v>
      </c>
    </row>
    <row r="2665" spans="1:28" ht="23.1" customHeight="1" x14ac:dyDescent="0.25">
      <c r="A2665" s="14" t="s">
        <v>1337</v>
      </c>
      <c r="B2665" s="10" t="s">
        <v>137</v>
      </c>
      <c r="C2665" s="10">
        <v>11</v>
      </c>
      <c r="D2665" s="10" t="s">
        <v>1296</v>
      </c>
      <c r="E2665" s="78" t="s">
        <v>1297</v>
      </c>
      <c r="F2665" s="90" t="s">
        <v>1297</v>
      </c>
      <c r="G2665" s="21" t="str">
        <f>VLOOKUP(D2665,[6]成飞半成品!$A:$B,2,0)</f>
        <v>固定板</v>
      </c>
      <c r="H2665" s="10" t="s">
        <v>154</v>
      </c>
      <c r="I2665" s="10">
        <v>30</v>
      </c>
      <c r="J2665" s="10" t="s">
        <v>1863</v>
      </c>
      <c r="K2665" s="10">
        <v>4</v>
      </c>
      <c r="L2665" s="10">
        <v>6</v>
      </c>
      <c r="M2665" s="10">
        <v>31</v>
      </c>
      <c r="N2665" s="10">
        <v>28</v>
      </c>
      <c r="O2665" s="55" t="s">
        <v>199</v>
      </c>
      <c r="Q2665" s="10">
        <v>160</v>
      </c>
      <c r="U2665" s="10">
        <v>60</v>
      </c>
      <c r="Y2665" s="79">
        <v>16</v>
      </c>
      <c r="Z2665" s="10" t="s">
        <v>38</v>
      </c>
    </row>
    <row r="2666" spans="1:28" ht="23.1" customHeight="1" x14ac:dyDescent="0.25">
      <c r="A2666" s="14" t="s">
        <v>1337</v>
      </c>
      <c r="B2666" s="10" t="s">
        <v>137</v>
      </c>
      <c r="C2666" s="10">
        <v>58</v>
      </c>
      <c r="D2666" s="10" t="s">
        <v>1759</v>
      </c>
      <c r="E2666" s="78" t="s">
        <v>409</v>
      </c>
      <c r="F2666" s="90" t="s">
        <v>409</v>
      </c>
      <c r="G2666" s="21" t="str">
        <f>VLOOKUP(D2666,[6]成飞半成品!$A:$B,2,0)</f>
        <v>接头</v>
      </c>
      <c r="H2666" s="10" t="s">
        <v>658</v>
      </c>
      <c r="I2666" s="10">
        <v>20</v>
      </c>
      <c r="J2666" s="10" t="s">
        <v>2313</v>
      </c>
      <c r="L2666" s="10">
        <v>8</v>
      </c>
      <c r="M2666" s="10">
        <v>31</v>
      </c>
      <c r="N2666" s="10">
        <v>9</v>
      </c>
      <c r="O2666" s="55" t="s">
        <v>282</v>
      </c>
      <c r="Q2666" s="10">
        <v>35</v>
      </c>
      <c r="U2666" s="10">
        <v>90</v>
      </c>
      <c r="W2666" s="10">
        <v>1</v>
      </c>
      <c r="X2666" s="14">
        <v>2</v>
      </c>
      <c r="Y2666" s="79">
        <v>8.1999999999999993</v>
      </c>
      <c r="Z2666" s="10" t="s">
        <v>57</v>
      </c>
      <c r="AA2666" s="14" t="s">
        <v>1671</v>
      </c>
      <c r="AB2666" s="14" t="s">
        <v>238</v>
      </c>
    </row>
    <row r="2667" spans="1:28" ht="23.1" customHeight="1" x14ac:dyDescent="0.25">
      <c r="A2667" s="14" t="s">
        <v>1337</v>
      </c>
      <c r="B2667" s="10" t="s">
        <v>137</v>
      </c>
      <c r="C2667" s="10">
        <v>17</v>
      </c>
      <c r="D2667" s="10" t="s">
        <v>1702</v>
      </c>
      <c r="E2667" s="78" t="s">
        <v>625</v>
      </c>
      <c r="F2667" s="90" t="s">
        <v>625</v>
      </c>
      <c r="G2667" s="21" t="str">
        <f>VLOOKUP(D2667,[6]成飞半成品!$A:$B,2,0)</f>
        <v>支架</v>
      </c>
      <c r="H2667" s="10" t="s">
        <v>250</v>
      </c>
      <c r="I2667" s="10">
        <v>25</v>
      </c>
      <c r="J2667" s="10" t="s">
        <v>2349</v>
      </c>
      <c r="K2667" s="10">
        <v>10</v>
      </c>
      <c r="L2667" s="10">
        <v>15</v>
      </c>
      <c r="M2667" s="10">
        <v>28</v>
      </c>
      <c r="N2667" s="10">
        <v>28</v>
      </c>
      <c r="O2667" s="55" t="s">
        <v>247</v>
      </c>
      <c r="Q2667" s="10">
        <v>50</v>
      </c>
      <c r="U2667" s="10">
        <v>60</v>
      </c>
      <c r="Y2667" s="79">
        <v>12.5</v>
      </c>
      <c r="Z2667" s="10" t="s">
        <v>43</v>
      </c>
    </row>
    <row r="2668" spans="1:28" ht="23.1" customHeight="1" x14ac:dyDescent="0.25">
      <c r="A2668" s="14" t="s">
        <v>1337</v>
      </c>
      <c r="B2668" s="10" t="s">
        <v>137</v>
      </c>
      <c r="C2668" s="10">
        <v>17</v>
      </c>
      <c r="D2668" s="10" t="s">
        <v>1702</v>
      </c>
      <c r="E2668" s="78" t="s">
        <v>625</v>
      </c>
      <c r="F2668" s="90" t="s">
        <v>625</v>
      </c>
      <c r="G2668" s="21" t="str">
        <f>VLOOKUP(D2668,[6]成飞半成品!$A:$B,2,0)</f>
        <v>支架</v>
      </c>
      <c r="H2668" s="10" t="s">
        <v>250</v>
      </c>
      <c r="I2668" s="10">
        <v>30</v>
      </c>
      <c r="J2668" s="10" t="s">
        <v>2116</v>
      </c>
      <c r="L2668" s="10">
        <v>4</v>
      </c>
      <c r="M2668" s="10">
        <v>28</v>
      </c>
      <c r="N2668" s="10">
        <v>37</v>
      </c>
      <c r="O2668" s="55" t="s">
        <v>247</v>
      </c>
      <c r="Q2668" s="10">
        <v>45</v>
      </c>
      <c r="U2668" s="10">
        <v>90</v>
      </c>
      <c r="W2668" s="10">
        <v>1</v>
      </c>
      <c r="Y2668" s="79">
        <v>4.5</v>
      </c>
      <c r="Z2668" s="10" t="s">
        <v>43</v>
      </c>
    </row>
    <row r="2669" spans="1:28" ht="23.1" customHeight="1" x14ac:dyDescent="0.25">
      <c r="A2669" s="14" t="s">
        <v>1337</v>
      </c>
      <c r="B2669" s="10" t="s">
        <v>137</v>
      </c>
      <c r="C2669" s="10">
        <v>58</v>
      </c>
      <c r="D2669" s="10" t="s">
        <v>1759</v>
      </c>
      <c r="E2669" s="78" t="s">
        <v>409</v>
      </c>
      <c r="F2669" s="90" t="s">
        <v>409</v>
      </c>
      <c r="G2669" s="21" t="str">
        <f>VLOOKUP(D2669,[6]成飞半成品!$A:$B,2,0)</f>
        <v>接头</v>
      </c>
      <c r="H2669" s="10" t="s">
        <v>658</v>
      </c>
      <c r="I2669" s="10">
        <v>15</v>
      </c>
      <c r="J2669" s="10" t="s">
        <v>2290</v>
      </c>
      <c r="K2669" s="10">
        <v>19</v>
      </c>
      <c r="L2669" s="10">
        <v>38</v>
      </c>
      <c r="M2669" s="10">
        <v>31</v>
      </c>
      <c r="N2669" s="10">
        <v>31</v>
      </c>
      <c r="O2669" s="55" t="s">
        <v>282</v>
      </c>
      <c r="Q2669" s="10">
        <v>20</v>
      </c>
      <c r="U2669" s="10">
        <v>90</v>
      </c>
      <c r="W2669" s="10">
        <v>1</v>
      </c>
      <c r="X2669" s="14">
        <v>2</v>
      </c>
      <c r="Y2669" s="79">
        <v>16.2</v>
      </c>
      <c r="Z2669" s="10" t="s">
        <v>57</v>
      </c>
      <c r="AA2669" s="14" t="s">
        <v>1540</v>
      </c>
      <c r="AB2669" s="14" t="s">
        <v>238</v>
      </c>
    </row>
    <row r="2670" spans="1:28" ht="23.1" customHeight="1" x14ac:dyDescent="0.25">
      <c r="A2670" s="14" t="s">
        <v>1337</v>
      </c>
      <c r="B2670" s="10" t="s">
        <v>137</v>
      </c>
      <c r="C2670" s="10">
        <v>57</v>
      </c>
      <c r="D2670" s="10" t="s">
        <v>1031</v>
      </c>
      <c r="E2670" s="78" t="s">
        <v>1032</v>
      </c>
      <c r="F2670" s="90" t="s">
        <v>1032</v>
      </c>
      <c r="G2670" s="21" t="str">
        <f>VLOOKUP(D2670,[6]成飞半成品!$A:$B,2,0)</f>
        <v>前上大梁（左）</v>
      </c>
      <c r="H2670" s="10" t="s">
        <v>107</v>
      </c>
      <c r="I2670" s="10">
        <v>15</v>
      </c>
      <c r="J2670" s="10" t="s">
        <v>2338</v>
      </c>
      <c r="K2670" s="10">
        <v>4</v>
      </c>
      <c r="L2670" s="10">
        <v>3.5</v>
      </c>
      <c r="M2670" s="10">
        <v>28</v>
      </c>
      <c r="N2670" s="10">
        <v>28</v>
      </c>
      <c r="O2670" s="55" t="s">
        <v>1033</v>
      </c>
      <c r="Q2670" s="10">
        <v>180</v>
      </c>
      <c r="U2670" s="10">
        <v>90</v>
      </c>
      <c r="Y2670" s="79">
        <v>10.5</v>
      </c>
      <c r="Z2670" s="10" t="s">
        <v>57</v>
      </c>
    </row>
    <row r="2671" spans="1:28" ht="23.1" customHeight="1" x14ac:dyDescent="0.25">
      <c r="A2671" s="14" t="s">
        <v>1337</v>
      </c>
      <c r="B2671" s="10" t="s">
        <v>137</v>
      </c>
      <c r="C2671" s="10">
        <v>16</v>
      </c>
      <c r="D2671" s="10" t="s">
        <v>1760</v>
      </c>
      <c r="E2671" s="78" t="s">
        <v>1302</v>
      </c>
      <c r="F2671" s="90" t="s">
        <v>1302</v>
      </c>
      <c r="G2671" s="21" t="str">
        <f>VLOOKUP(D2671,[6]成飞半成品!$A:$B,2,0)</f>
        <v>后舱内段支撑件上段1段</v>
      </c>
      <c r="H2671" s="10" t="s">
        <v>154</v>
      </c>
      <c r="I2671" s="10">
        <v>30</v>
      </c>
      <c r="J2671" s="10" t="s">
        <v>2348</v>
      </c>
      <c r="L2671" s="10">
        <v>2</v>
      </c>
      <c r="M2671" s="10">
        <v>37</v>
      </c>
      <c r="N2671" s="10">
        <v>37</v>
      </c>
      <c r="O2671" s="55" t="s">
        <v>1322</v>
      </c>
      <c r="Q2671" s="10">
        <v>130</v>
      </c>
      <c r="U2671" s="10">
        <v>60</v>
      </c>
      <c r="W2671" s="10">
        <v>1</v>
      </c>
      <c r="Y2671" s="79">
        <v>5.3</v>
      </c>
      <c r="Z2671" s="10" t="s">
        <v>38</v>
      </c>
    </row>
    <row r="2672" spans="1:28" ht="23.1" customHeight="1" x14ac:dyDescent="0.25">
      <c r="A2672" s="14" t="s">
        <v>1337</v>
      </c>
      <c r="B2672" s="10" t="s">
        <v>137</v>
      </c>
      <c r="C2672" s="10">
        <v>16</v>
      </c>
      <c r="D2672" s="10" t="s">
        <v>1299</v>
      </c>
      <c r="E2672" s="78" t="s">
        <v>437</v>
      </c>
      <c r="F2672" s="90" t="s">
        <v>437</v>
      </c>
      <c r="G2672" s="21" t="str">
        <f>VLOOKUP(D2672,[6]成飞半成品!$A:$B,2,0)</f>
        <v>外副作动器整流罩支撑件上段</v>
      </c>
      <c r="H2672" s="10" t="s">
        <v>154</v>
      </c>
      <c r="I2672" s="10">
        <v>30</v>
      </c>
      <c r="J2672" s="10" t="s">
        <v>2342</v>
      </c>
      <c r="K2672" s="10">
        <v>1</v>
      </c>
      <c r="L2672" s="10">
        <v>2</v>
      </c>
      <c r="M2672" s="10">
        <v>37</v>
      </c>
      <c r="N2672" s="10">
        <v>37</v>
      </c>
      <c r="O2672" s="55" t="s">
        <v>1300</v>
      </c>
      <c r="Q2672" s="10">
        <v>100</v>
      </c>
      <c r="U2672" s="10">
        <v>60</v>
      </c>
      <c r="W2672" s="10">
        <v>1</v>
      </c>
      <c r="Y2672" s="79">
        <v>4.3</v>
      </c>
      <c r="Z2672" s="10" t="s">
        <v>38</v>
      </c>
    </row>
    <row r="2673" spans="1:28" ht="23.1" customHeight="1" x14ac:dyDescent="0.25">
      <c r="A2673" s="92" t="s">
        <v>1337</v>
      </c>
      <c r="B2673" s="10" t="s">
        <v>137</v>
      </c>
      <c r="C2673" s="10">
        <v>59</v>
      </c>
      <c r="D2673" s="10" t="s">
        <v>1742</v>
      </c>
      <c r="E2673" s="78" t="s">
        <v>1743</v>
      </c>
      <c r="F2673" s="90" t="e">
        <v>#N/A</v>
      </c>
      <c r="G2673" s="21" t="e">
        <f>VLOOKUP(D2673,[6]成飞半成品!$A:$B,2,0)</f>
        <v>#N/A</v>
      </c>
      <c r="H2673" s="10" t="s">
        <v>154</v>
      </c>
      <c r="I2673" s="10">
        <v>15</v>
      </c>
      <c r="J2673" s="10" t="s">
        <v>1895</v>
      </c>
      <c r="K2673" s="10">
        <v>4</v>
      </c>
      <c r="L2673" s="10">
        <v>4</v>
      </c>
      <c r="M2673" s="10">
        <v>31</v>
      </c>
      <c r="N2673" s="10">
        <v>31</v>
      </c>
      <c r="O2673" s="55" t="s">
        <v>1552</v>
      </c>
      <c r="Q2673" s="10">
        <v>70</v>
      </c>
      <c r="U2673" s="10">
        <v>60</v>
      </c>
      <c r="Y2673" s="79">
        <v>4.7</v>
      </c>
      <c r="Z2673" s="10" t="s">
        <v>42</v>
      </c>
    </row>
    <row r="2674" spans="1:28" ht="23.1" customHeight="1" x14ac:dyDescent="0.25">
      <c r="A2674" s="92" t="s">
        <v>1337</v>
      </c>
      <c r="B2674" s="10" t="s">
        <v>137</v>
      </c>
      <c r="C2674" s="10">
        <v>59</v>
      </c>
      <c r="D2674" s="10" t="s">
        <v>1742</v>
      </c>
      <c r="E2674" s="78" t="s">
        <v>1743</v>
      </c>
      <c r="F2674" s="90" t="e">
        <v>#N/A</v>
      </c>
      <c r="G2674" s="21" t="e">
        <f>VLOOKUP(D2674,[6]成飞半成品!$A:$B,2,0)</f>
        <v>#N/A</v>
      </c>
      <c r="H2674" s="10" t="s">
        <v>154</v>
      </c>
      <c r="I2674" s="10">
        <v>20</v>
      </c>
      <c r="J2674" s="10" t="s">
        <v>2351</v>
      </c>
      <c r="L2674" s="10">
        <v>6</v>
      </c>
      <c r="M2674" s="10">
        <v>31</v>
      </c>
      <c r="N2674" s="10">
        <v>37</v>
      </c>
      <c r="O2674" s="55" t="s">
        <v>1552</v>
      </c>
      <c r="Q2674" s="10">
        <v>70</v>
      </c>
      <c r="U2674" s="10">
        <v>60</v>
      </c>
      <c r="W2674" s="10">
        <v>1</v>
      </c>
      <c r="X2674" s="14">
        <v>1</v>
      </c>
      <c r="Y2674" s="79">
        <v>9</v>
      </c>
      <c r="Z2674" s="10" t="s">
        <v>42</v>
      </c>
      <c r="AA2674" s="14" t="s">
        <v>1750</v>
      </c>
    </row>
    <row r="2675" spans="1:28" ht="23.1" customHeight="1" x14ac:dyDescent="0.25">
      <c r="A2675" s="14" t="s">
        <v>1337</v>
      </c>
      <c r="B2675" s="10" t="s">
        <v>137</v>
      </c>
      <c r="C2675" s="10">
        <v>18</v>
      </c>
      <c r="D2675" s="10" t="s">
        <v>920</v>
      </c>
      <c r="E2675" s="78" t="s">
        <v>919</v>
      </c>
      <c r="F2675" s="90" t="s">
        <v>919</v>
      </c>
      <c r="G2675" s="21" t="str">
        <f>VLOOKUP(D2675,[6]成飞半成品!$A:$B,2,0)</f>
        <v>雷达罩锁支座</v>
      </c>
      <c r="H2675" s="10" t="s">
        <v>323</v>
      </c>
      <c r="I2675" s="10">
        <v>15</v>
      </c>
      <c r="J2675" s="10" t="s">
        <v>2033</v>
      </c>
      <c r="K2675" s="10">
        <v>3</v>
      </c>
      <c r="L2675" s="10">
        <v>4</v>
      </c>
      <c r="M2675" s="10">
        <v>28</v>
      </c>
      <c r="N2675" s="10">
        <v>28</v>
      </c>
      <c r="O2675" s="55" t="s">
        <v>860</v>
      </c>
      <c r="Q2675" s="10">
        <v>210</v>
      </c>
      <c r="U2675" s="10">
        <v>90</v>
      </c>
      <c r="Y2675" s="79">
        <v>14</v>
      </c>
      <c r="Z2675" s="10" t="s">
        <v>43</v>
      </c>
    </row>
    <row r="2676" spans="1:28" ht="23.1" customHeight="1" x14ac:dyDescent="0.25">
      <c r="A2676" s="14" t="s">
        <v>1337</v>
      </c>
      <c r="B2676" s="10" t="s">
        <v>137</v>
      </c>
      <c r="C2676" s="10">
        <v>9</v>
      </c>
      <c r="D2676" s="10" t="s">
        <v>1714</v>
      </c>
      <c r="E2676" s="78" t="s">
        <v>460</v>
      </c>
      <c r="F2676" s="90" t="e">
        <v>#N/A</v>
      </c>
      <c r="G2676" s="21" t="e">
        <f>VLOOKUP(D2676,[6]成飞半成品!$A:$B,2,0)</f>
        <v>#N/A</v>
      </c>
      <c r="H2676" s="10" t="s">
        <v>123</v>
      </c>
      <c r="I2676" s="10">
        <v>30</v>
      </c>
      <c r="K2676" s="10">
        <v>14</v>
      </c>
      <c r="L2676" s="10">
        <v>19</v>
      </c>
      <c r="M2676" s="10">
        <v>28</v>
      </c>
      <c r="N2676" s="10">
        <v>28</v>
      </c>
      <c r="O2676" s="55" t="s">
        <v>1715</v>
      </c>
      <c r="Q2676" s="10">
        <v>25</v>
      </c>
      <c r="Y2676" s="79">
        <v>7.9</v>
      </c>
      <c r="Z2676" s="10" t="s">
        <v>55</v>
      </c>
    </row>
    <row r="2677" spans="1:28" ht="23.1" customHeight="1" x14ac:dyDescent="0.25">
      <c r="A2677" s="14" t="s">
        <v>1337</v>
      </c>
      <c r="B2677" s="10" t="s">
        <v>137</v>
      </c>
      <c r="C2677" s="10">
        <v>10</v>
      </c>
      <c r="D2677" s="10" t="s">
        <v>946</v>
      </c>
      <c r="E2677" s="78" t="s">
        <v>947</v>
      </c>
      <c r="F2677" s="90" t="s">
        <v>947</v>
      </c>
      <c r="G2677" s="21" t="str">
        <f>VLOOKUP(D2677,[6]成飞半成品!$A:$B,2,0)</f>
        <v>5755横框</v>
      </c>
      <c r="H2677" s="10" t="s">
        <v>300</v>
      </c>
      <c r="I2677" s="10">
        <v>25</v>
      </c>
      <c r="J2677" s="10" t="s">
        <v>2233</v>
      </c>
      <c r="K2677" s="10">
        <v>2.5</v>
      </c>
      <c r="L2677" s="10">
        <v>2.5</v>
      </c>
      <c r="M2677" s="10">
        <v>28</v>
      </c>
      <c r="N2677" s="10">
        <v>28</v>
      </c>
      <c r="O2677" s="55" t="s">
        <v>1761</v>
      </c>
      <c r="Q2677" s="10">
        <v>240</v>
      </c>
      <c r="U2677" s="10">
        <v>90</v>
      </c>
      <c r="Y2677" s="79">
        <v>10</v>
      </c>
      <c r="Z2677" s="10" t="s">
        <v>55</v>
      </c>
    </row>
    <row r="2678" spans="1:28" ht="23.1" customHeight="1" x14ac:dyDescent="0.25">
      <c r="A2678" s="14" t="s">
        <v>1337</v>
      </c>
      <c r="B2678" s="10" t="s">
        <v>137</v>
      </c>
      <c r="C2678" s="10">
        <v>10</v>
      </c>
      <c r="D2678" s="10" t="s">
        <v>946</v>
      </c>
      <c r="E2678" s="78" t="s">
        <v>947</v>
      </c>
      <c r="F2678" s="90" t="s">
        <v>947</v>
      </c>
      <c r="G2678" s="21" t="str">
        <f>VLOOKUP(D2678,[6]成飞半成品!$A:$B,2,0)</f>
        <v>5755横框</v>
      </c>
      <c r="H2678" s="10" t="s">
        <v>300</v>
      </c>
      <c r="I2678" s="10">
        <v>27</v>
      </c>
      <c r="O2678" s="55" t="s">
        <v>1762</v>
      </c>
      <c r="P2678" s="10">
        <v>60</v>
      </c>
      <c r="X2678" s="14">
        <v>2</v>
      </c>
      <c r="Y2678" s="83">
        <v>2</v>
      </c>
      <c r="Z2678" s="10" t="s">
        <v>55</v>
      </c>
      <c r="AA2678" s="14" t="s">
        <v>1763</v>
      </c>
      <c r="AB2678" s="14" t="s">
        <v>238</v>
      </c>
    </row>
    <row r="2679" spans="1:28" ht="23.1" customHeight="1" x14ac:dyDescent="0.25">
      <c r="A2679" s="14" t="s">
        <v>1337</v>
      </c>
      <c r="B2679" s="10" t="s">
        <v>113</v>
      </c>
      <c r="C2679" s="10">
        <v>22</v>
      </c>
      <c r="D2679" s="10" t="s">
        <v>635</v>
      </c>
      <c r="E2679" s="78" t="s">
        <v>612</v>
      </c>
      <c r="F2679" s="90" t="s">
        <v>612</v>
      </c>
      <c r="G2679" s="21" t="str">
        <f>VLOOKUP(D2679,[6]成飞半成品!$A:$B,2,0)</f>
        <v>前梁二段</v>
      </c>
      <c r="H2679" s="10" t="s">
        <v>154</v>
      </c>
      <c r="I2679" s="10">
        <v>10</v>
      </c>
      <c r="J2679" s="10" t="s">
        <v>1952</v>
      </c>
      <c r="K2679" s="10">
        <v>0.6</v>
      </c>
      <c r="L2679" s="10">
        <v>0.4</v>
      </c>
      <c r="M2679" s="10">
        <v>28</v>
      </c>
      <c r="O2679" s="55" t="s">
        <v>613</v>
      </c>
      <c r="Q2679" s="10">
        <v>1500</v>
      </c>
      <c r="R2679" s="10">
        <v>180</v>
      </c>
      <c r="T2679" s="10">
        <v>1</v>
      </c>
      <c r="U2679" s="10">
        <v>180</v>
      </c>
      <c r="W2679" s="10">
        <v>1</v>
      </c>
      <c r="Y2679" s="79">
        <v>16</v>
      </c>
      <c r="Z2679" s="10" t="s">
        <v>49</v>
      </c>
    </row>
    <row r="2680" spans="1:28" ht="23.1" customHeight="1" x14ac:dyDescent="0.25">
      <c r="A2680" s="14" t="s">
        <v>1337</v>
      </c>
      <c r="B2680" s="10" t="s">
        <v>113</v>
      </c>
      <c r="C2680" s="10">
        <v>108</v>
      </c>
      <c r="D2680" s="10" t="s">
        <v>611</v>
      </c>
      <c r="E2680" s="78" t="s">
        <v>993</v>
      </c>
      <c r="F2680" s="90" t="s">
        <v>993</v>
      </c>
      <c r="G2680" s="21" t="str">
        <f>VLOOKUP(D2680,[6]成飞半成品!$A:$B,2,0)</f>
        <v>前梁二段</v>
      </c>
      <c r="H2680" s="10" t="s">
        <v>154</v>
      </c>
      <c r="I2680" s="10">
        <v>10</v>
      </c>
      <c r="J2680" s="10" t="s">
        <v>1952</v>
      </c>
      <c r="K2680" s="10">
        <v>1</v>
      </c>
      <c r="L2680" s="10">
        <v>2</v>
      </c>
      <c r="M2680" s="10">
        <v>26</v>
      </c>
      <c r="N2680" s="10">
        <v>23</v>
      </c>
      <c r="O2680" s="55" t="s">
        <v>1322</v>
      </c>
      <c r="Q2680" s="10">
        <v>340</v>
      </c>
      <c r="R2680" s="10">
        <v>60</v>
      </c>
      <c r="T2680" s="10">
        <v>2</v>
      </c>
      <c r="U2680" s="10">
        <v>90</v>
      </c>
      <c r="W2680" s="10">
        <v>1</v>
      </c>
      <c r="Y2680" s="79">
        <v>14.8</v>
      </c>
      <c r="Z2680" s="10" t="s">
        <v>13</v>
      </c>
    </row>
    <row r="2681" spans="1:28" ht="23.1" customHeight="1" x14ac:dyDescent="0.25">
      <c r="A2681" s="14" t="s">
        <v>1337</v>
      </c>
      <c r="B2681" s="10" t="s">
        <v>113</v>
      </c>
      <c r="C2681" s="10">
        <v>108</v>
      </c>
      <c r="D2681" s="10" t="s">
        <v>992</v>
      </c>
      <c r="E2681" s="78" t="s">
        <v>993</v>
      </c>
      <c r="F2681" s="90" t="s">
        <v>993</v>
      </c>
      <c r="G2681" s="21" t="str">
        <f>VLOOKUP(D2681,[6]成飞半成品!$A:$B,2,0)</f>
        <v>内侧梁</v>
      </c>
      <c r="H2681" s="10" t="s">
        <v>154</v>
      </c>
      <c r="I2681" s="10">
        <v>10</v>
      </c>
      <c r="J2681" s="10" t="s">
        <v>1952</v>
      </c>
      <c r="L2681" s="10">
        <v>1.5</v>
      </c>
      <c r="M2681" s="10">
        <v>28</v>
      </c>
      <c r="N2681" s="10">
        <v>26</v>
      </c>
      <c r="O2681" s="55" t="s">
        <v>1322</v>
      </c>
      <c r="Q2681" s="10">
        <v>340</v>
      </c>
      <c r="R2681" s="10">
        <v>60</v>
      </c>
      <c r="T2681" s="10">
        <v>1</v>
      </c>
      <c r="U2681" s="10">
        <v>90</v>
      </c>
      <c r="Y2681" s="79">
        <v>9.5</v>
      </c>
      <c r="Z2681" s="10" t="s">
        <v>13</v>
      </c>
    </row>
    <row r="2682" spans="1:28" ht="23.1" customHeight="1" x14ac:dyDescent="0.25">
      <c r="A2682" s="14" t="s">
        <v>1337</v>
      </c>
      <c r="B2682" s="10" t="s">
        <v>113</v>
      </c>
      <c r="C2682" s="10">
        <v>107</v>
      </c>
      <c r="D2682" s="10" t="s">
        <v>173</v>
      </c>
      <c r="E2682" s="78" t="s">
        <v>174</v>
      </c>
      <c r="F2682" s="90" t="s">
        <v>1246</v>
      </c>
      <c r="G2682" s="21" t="str">
        <f>VLOOKUP(D2682,[6]成飞半成品!$A:$B,2,0)</f>
        <v>根肋后段</v>
      </c>
      <c r="H2682" s="10" t="s">
        <v>154</v>
      </c>
      <c r="I2682" s="10">
        <v>50</v>
      </c>
      <c r="J2682" s="10" t="s">
        <v>2210</v>
      </c>
      <c r="K2682" s="10">
        <v>0.4</v>
      </c>
      <c r="L2682" s="10">
        <v>0.6</v>
      </c>
      <c r="M2682" s="10">
        <v>5</v>
      </c>
      <c r="O2682" s="55" t="s">
        <v>532</v>
      </c>
      <c r="Q2682" s="10">
        <v>2100</v>
      </c>
      <c r="R2682" s="10">
        <v>90</v>
      </c>
      <c r="U2682" s="10">
        <v>150</v>
      </c>
      <c r="Y2682" s="79">
        <v>21</v>
      </c>
      <c r="Z2682" s="10" t="s">
        <v>13</v>
      </c>
    </row>
    <row r="2683" spans="1:28" ht="23.1" customHeight="1" x14ac:dyDescent="0.25">
      <c r="A2683" s="14" t="s">
        <v>1337</v>
      </c>
      <c r="B2683" s="10" t="s">
        <v>113</v>
      </c>
      <c r="C2683" s="10">
        <v>57</v>
      </c>
      <c r="D2683" s="10" t="s">
        <v>1031</v>
      </c>
      <c r="E2683" s="78" t="s">
        <v>1032</v>
      </c>
      <c r="F2683" s="90" t="s">
        <v>1032</v>
      </c>
      <c r="G2683" s="21" t="str">
        <f>VLOOKUP(D2683,[6]成飞半成品!$A:$B,2,0)</f>
        <v>前上大梁（左）</v>
      </c>
      <c r="H2683" s="10" t="s">
        <v>107</v>
      </c>
      <c r="I2683" s="10">
        <v>20</v>
      </c>
      <c r="J2683" s="10" t="s">
        <v>2213</v>
      </c>
      <c r="K2683" s="10">
        <v>3.5</v>
      </c>
      <c r="L2683" s="10">
        <v>2</v>
      </c>
      <c r="M2683" s="10">
        <v>5</v>
      </c>
      <c r="N2683" s="10">
        <v>5</v>
      </c>
      <c r="O2683" s="55" t="s">
        <v>1033</v>
      </c>
      <c r="Q2683" s="10">
        <v>180</v>
      </c>
      <c r="U2683" s="10">
        <v>90</v>
      </c>
      <c r="W2683" s="10">
        <v>1</v>
      </c>
      <c r="Y2683" s="79">
        <v>7.5</v>
      </c>
      <c r="Z2683" s="10" t="s">
        <v>0</v>
      </c>
    </row>
    <row r="2684" spans="1:28" ht="23.1" customHeight="1" x14ac:dyDescent="0.25">
      <c r="A2684" s="14" t="s">
        <v>1337</v>
      </c>
      <c r="B2684" s="10" t="s">
        <v>113</v>
      </c>
      <c r="C2684" s="10">
        <v>57</v>
      </c>
      <c r="D2684" s="10" t="s">
        <v>1031</v>
      </c>
      <c r="E2684" s="78" t="s">
        <v>1032</v>
      </c>
      <c r="F2684" s="90" t="s">
        <v>1032</v>
      </c>
      <c r="G2684" s="21" t="str">
        <f>VLOOKUP(D2684,[6]成飞半成品!$A:$B,2,0)</f>
        <v>前上大梁（左）</v>
      </c>
      <c r="H2684" s="10" t="s">
        <v>107</v>
      </c>
      <c r="I2684" s="10">
        <v>15</v>
      </c>
      <c r="J2684" s="10" t="s">
        <v>2338</v>
      </c>
      <c r="L2684" s="10">
        <v>1</v>
      </c>
      <c r="M2684" s="10">
        <v>28</v>
      </c>
      <c r="O2684" s="55" t="s">
        <v>1574</v>
      </c>
      <c r="Q2684" s="10">
        <v>180</v>
      </c>
      <c r="U2684" s="10">
        <v>90</v>
      </c>
      <c r="Y2684" s="79">
        <v>3</v>
      </c>
      <c r="Z2684" s="10" t="s">
        <v>0</v>
      </c>
    </row>
    <row r="2685" spans="1:28" ht="23.1" customHeight="1" x14ac:dyDescent="0.25">
      <c r="A2685" s="14" t="s">
        <v>1337</v>
      </c>
      <c r="B2685" s="10" t="s">
        <v>113</v>
      </c>
      <c r="C2685" s="10">
        <v>15</v>
      </c>
      <c r="D2685" s="10" t="s">
        <v>1255</v>
      </c>
      <c r="E2685" s="78" t="s">
        <v>117</v>
      </c>
      <c r="F2685" s="90" t="s">
        <v>117</v>
      </c>
      <c r="G2685" s="21" t="str">
        <f>VLOOKUP(D2685,[6]成飞半成品!$A:$B,2,0)</f>
        <v>7820~8270侧上梁</v>
      </c>
      <c r="H2685" s="10" t="s">
        <v>118</v>
      </c>
      <c r="I2685" s="10">
        <v>25</v>
      </c>
      <c r="J2685" s="10" t="s">
        <v>2018</v>
      </c>
      <c r="K2685" s="10">
        <v>0.8</v>
      </c>
      <c r="L2685" s="10">
        <v>1.4</v>
      </c>
      <c r="M2685" s="10">
        <v>37</v>
      </c>
      <c r="N2685" s="10">
        <v>5</v>
      </c>
      <c r="O2685" s="55" t="s">
        <v>1765</v>
      </c>
      <c r="Q2685" s="10">
        <v>900</v>
      </c>
      <c r="U2685" s="10">
        <v>120</v>
      </c>
      <c r="Y2685" s="79">
        <v>21</v>
      </c>
      <c r="Z2685" s="10" t="s">
        <v>60</v>
      </c>
    </row>
    <row r="2686" spans="1:28" ht="23.1" customHeight="1" x14ac:dyDescent="0.25">
      <c r="A2686" s="14" t="s">
        <v>1337</v>
      </c>
      <c r="B2686" s="10" t="s">
        <v>113</v>
      </c>
      <c r="C2686" s="10">
        <v>23</v>
      </c>
      <c r="D2686" s="10" t="s">
        <v>990</v>
      </c>
      <c r="E2686" s="78" t="s">
        <v>991</v>
      </c>
      <c r="F2686" s="90" t="s">
        <v>991</v>
      </c>
      <c r="G2686" s="21" t="str">
        <f>VLOOKUP(D2686,[6]成飞半成品!$A:$B,2,0)</f>
        <v>8270右隔框</v>
      </c>
      <c r="H2686" s="10" t="s">
        <v>300</v>
      </c>
      <c r="I2686" s="10">
        <v>25</v>
      </c>
      <c r="J2686" s="10" t="s">
        <v>2224</v>
      </c>
      <c r="K2686" s="10">
        <v>1</v>
      </c>
      <c r="L2686" s="10">
        <v>1.3</v>
      </c>
      <c r="M2686" s="10">
        <v>26</v>
      </c>
      <c r="N2686" s="10">
        <v>5</v>
      </c>
      <c r="O2686" s="55" t="s">
        <v>1266</v>
      </c>
      <c r="Q2686" s="10">
        <v>720</v>
      </c>
      <c r="R2686" s="10">
        <v>60</v>
      </c>
      <c r="T2686" s="10">
        <v>1</v>
      </c>
      <c r="U2686" s="10">
        <v>90</v>
      </c>
      <c r="Y2686" s="79">
        <v>16.600000000000001</v>
      </c>
      <c r="Z2686" s="10" t="s">
        <v>22</v>
      </c>
    </row>
    <row r="2687" spans="1:28" ht="23.1" customHeight="1" x14ac:dyDescent="0.25">
      <c r="A2687" s="14" t="s">
        <v>1337</v>
      </c>
      <c r="B2687" s="10" t="s">
        <v>113</v>
      </c>
      <c r="C2687" s="10">
        <v>47</v>
      </c>
      <c r="D2687" s="25" t="s">
        <v>294</v>
      </c>
      <c r="E2687" s="78" t="s">
        <v>259</v>
      </c>
      <c r="F2687" s="90" t="s">
        <v>284</v>
      </c>
      <c r="G2687" s="21" t="str">
        <f>VLOOKUP(D2687,[6]成飞半成品!$A:$B,2,0)</f>
        <v>梁（左件）</v>
      </c>
      <c r="H2687" s="10" t="s">
        <v>154</v>
      </c>
      <c r="I2687" s="10">
        <v>60</v>
      </c>
      <c r="J2687" s="10" t="s">
        <v>2331</v>
      </c>
      <c r="K2687" s="10">
        <v>1</v>
      </c>
      <c r="L2687" s="10">
        <v>1.5</v>
      </c>
      <c r="M2687" s="10">
        <v>26</v>
      </c>
      <c r="N2687" s="10">
        <v>5</v>
      </c>
      <c r="O2687" s="55" t="s">
        <v>1722</v>
      </c>
      <c r="Q2687" s="10">
        <v>520</v>
      </c>
      <c r="R2687" s="10">
        <v>120</v>
      </c>
      <c r="T2687" s="10">
        <v>1</v>
      </c>
      <c r="U2687" s="10">
        <v>90</v>
      </c>
      <c r="Y2687" s="79">
        <v>15</v>
      </c>
      <c r="Z2687" s="10" t="s">
        <v>22</v>
      </c>
    </row>
    <row r="2688" spans="1:28" ht="23.1" customHeight="1" x14ac:dyDescent="0.25">
      <c r="A2688" s="14" t="s">
        <v>1337</v>
      </c>
      <c r="B2688" s="10" t="s">
        <v>113</v>
      </c>
      <c r="C2688" s="10">
        <v>12</v>
      </c>
      <c r="D2688" s="10" t="s">
        <v>735</v>
      </c>
      <c r="E2688" s="78" t="s">
        <v>249</v>
      </c>
      <c r="F2688" s="90" t="s">
        <v>249</v>
      </c>
      <c r="G2688" s="21" t="str">
        <f>VLOOKUP(D2688,[6]成飞半成品!$A:$B,2,0)</f>
        <v>10060下接头</v>
      </c>
      <c r="H2688" s="10" t="s">
        <v>250</v>
      </c>
      <c r="I2688" s="10">
        <v>25</v>
      </c>
      <c r="J2688" s="10" t="s">
        <v>1923</v>
      </c>
      <c r="K2688" s="10">
        <v>1</v>
      </c>
      <c r="L2688" s="10">
        <v>1</v>
      </c>
      <c r="M2688" s="10">
        <v>5</v>
      </c>
      <c r="O2688" s="55" t="s">
        <v>1766</v>
      </c>
      <c r="Q2688" s="10">
        <v>1080</v>
      </c>
      <c r="U2688" s="10">
        <v>120</v>
      </c>
      <c r="Y2688" s="79">
        <v>18</v>
      </c>
      <c r="Z2688" s="10" t="s">
        <v>10</v>
      </c>
    </row>
    <row r="2689" spans="1:28" ht="23.1" customHeight="1" x14ac:dyDescent="0.25">
      <c r="A2689" s="14" t="s">
        <v>1337</v>
      </c>
      <c r="B2689" s="10" t="s">
        <v>113</v>
      </c>
      <c r="C2689" s="10">
        <v>58</v>
      </c>
      <c r="D2689" s="10" t="s">
        <v>1759</v>
      </c>
      <c r="E2689" s="78" t="s">
        <v>409</v>
      </c>
      <c r="F2689" s="90" t="s">
        <v>409</v>
      </c>
      <c r="G2689" s="21" t="str">
        <f>VLOOKUP(D2689,[6]成飞半成品!$A:$B,2,0)</f>
        <v>接头</v>
      </c>
      <c r="H2689" s="10" t="s">
        <v>658</v>
      </c>
      <c r="I2689" s="10">
        <v>20</v>
      </c>
      <c r="J2689" s="10" t="s">
        <v>2313</v>
      </c>
      <c r="K2689" s="10">
        <v>14</v>
      </c>
      <c r="L2689" s="10">
        <v>30</v>
      </c>
      <c r="M2689" s="10">
        <v>26</v>
      </c>
      <c r="N2689" s="10">
        <v>9</v>
      </c>
      <c r="O2689" s="55" t="s">
        <v>282</v>
      </c>
      <c r="Q2689" s="10">
        <v>35</v>
      </c>
      <c r="U2689" s="10">
        <v>90</v>
      </c>
      <c r="Y2689" s="79">
        <v>17.5</v>
      </c>
      <c r="Z2689" s="10" t="s">
        <v>0</v>
      </c>
    </row>
    <row r="2690" spans="1:28" ht="23.1" customHeight="1" x14ac:dyDescent="0.25">
      <c r="A2690" s="14" t="s">
        <v>1337</v>
      </c>
      <c r="B2690" s="10" t="s">
        <v>113</v>
      </c>
      <c r="C2690" s="10">
        <v>18</v>
      </c>
      <c r="D2690" s="10" t="s">
        <v>1030</v>
      </c>
      <c r="E2690" s="78" t="s">
        <v>919</v>
      </c>
      <c r="F2690" s="90" t="s">
        <v>919</v>
      </c>
      <c r="G2690" s="21" t="str">
        <f>VLOOKUP(D2690,[6]成飞半成品!$A:$B,2,0)</f>
        <v>雷达罩锁支座</v>
      </c>
      <c r="H2690" s="10" t="s">
        <v>323</v>
      </c>
      <c r="I2690" s="10">
        <v>15</v>
      </c>
      <c r="J2690" s="10" t="s">
        <v>2335</v>
      </c>
      <c r="K2690" s="10">
        <v>2</v>
      </c>
      <c r="L2690" s="10">
        <v>4</v>
      </c>
      <c r="M2690" s="10">
        <v>26</v>
      </c>
      <c r="N2690" s="10">
        <v>19</v>
      </c>
      <c r="O2690" s="55" t="s">
        <v>780</v>
      </c>
      <c r="Q2690" s="10">
        <v>210</v>
      </c>
      <c r="U2690" s="10">
        <v>90</v>
      </c>
      <c r="W2690" s="10">
        <v>1</v>
      </c>
      <c r="Y2690" s="79">
        <v>15.5</v>
      </c>
      <c r="Z2690" s="10" t="s">
        <v>14</v>
      </c>
    </row>
    <row r="2691" spans="1:28" ht="23.1" customHeight="1" x14ac:dyDescent="0.25">
      <c r="A2691" s="14" t="s">
        <v>1337</v>
      </c>
      <c r="B2691" s="10" t="s">
        <v>113</v>
      </c>
      <c r="C2691" s="10">
        <v>78</v>
      </c>
      <c r="D2691" s="10" t="s">
        <v>2557</v>
      </c>
      <c r="E2691" s="78" t="s">
        <v>1013</v>
      </c>
      <c r="F2691" s="90" t="s">
        <v>1013</v>
      </c>
      <c r="G2691" s="21" t="str">
        <f>VLOOKUP(D2691,[6]成飞半成品!$A:$B,2,0)</f>
        <v>9350-11140左侧上梁</v>
      </c>
      <c r="H2691" s="10" t="s">
        <v>250</v>
      </c>
      <c r="I2691" s="10">
        <v>40</v>
      </c>
      <c r="J2691" s="10" t="s">
        <v>1902</v>
      </c>
      <c r="K2691" s="10">
        <v>2.5</v>
      </c>
      <c r="L2691" s="10">
        <v>2.9</v>
      </c>
      <c r="M2691" s="10">
        <v>26</v>
      </c>
      <c r="N2691" s="10">
        <v>26</v>
      </c>
      <c r="O2691" s="55" t="s">
        <v>216</v>
      </c>
      <c r="Q2691" s="10">
        <v>250</v>
      </c>
      <c r="R2691" s="10">
        <v>60</v>
      </c>
      <c r="T2691" s="10">
        <v>2</v>
      </c>
      <c r="U2691" s="10">
        <v>90</v>
      </c>
      <c r="X2691" s="14">
        <v>2</v>
      </c>
      <c r="Y2691" s="79">
        <v>16.100000000000001</v>
      </c>
      <c r="Z2691" s="10" t="s">
        <v>5</v>
      </c>
      <c r="AA2691" s="14" t="s">
        <v>1691</v>
      </c>
      <c r="AB2691" s="14" t="s">
        <v>238</v>
      </c>
    </row>
    <row r="2692" spans="1:28" ht="23.1" customHeight="1" x14ac:dyDescent="0.25">
      <c r="A2692" s="14" t="s">
        <v>1337</v>
      </c>
      <c r="B2692" s="10" t="s">
        <v>113</v>
      </c>
      <c r="C2692" s="10">
        <v>78</v>
      </c>
      <c r="D2692" s="10" t="s">
        <v>2557</v>
      </c>
      <c r="E2692" s="78" t="s">
        <v>1013</v>
      </c>
      <c r="F2692" s="90" t="s">
        <v>1013</v>
      </c>
      <c r="G2692" s="21" t="str">
        <f>VLOOKUP(D2692,[6]成飞半成品!$A:$B,2,0)</f>
        <v>9350-11140左侧上梁</v>
      </c>
      <c r="H2692" s="10" t="s">
        <v>250</v>
      </c>
      <c r="I2692" s="10">
        <v>40</v>
      </c>
      <c r="J2692" s="10" t="s">
        <v>1902</v>
      </c>
      <c r="K2692" s="10">
        <v>0.5</v>
      </c>
      <c r="L2692" s="10">
        <v>0.5</v>
      </c>
      <c r="M2692" s="10">
        <v>23</v>
      </c>
      <c r="O2692" s="55" t="s">
        <v>429</v>
      </c>
      <c r="Q2692" s="10">
        <v>250</v>
      </c>
      <c r="R2692" s="10">
        <v>60</v>
      </c>
      <c r="T2692" s="10">
        <v>1</v>
      </c>
      <c r="U2692" s="10">
        <v>90</v>
      </c>
      <c r="W2692" s="10">
        <v>1</v>
      </c>
      <c r="X2692" s="10">
        <v>2</v>
      </c>
      <c r="Y2692" s="79">
        <v>6.6</v>
      </c>
      <c r="Z2692" s="10" t="s">
        <v>5</v>
      </c>
      <c r="AA2692" s="14" t="s">
        <v>1548</v>
      </c>
      <c r="AB2692" s="14" t="s">
        <v>238</v>
      </c>
    </row>
    <row r="2693" spans="1:28" ht="23.1" customHeight="1" x14ac:dyDescent="0.25">
      <c r="A2693" s="14" t="s">
        <v>1337</v>
      </c>
      <c r="B2693" s="10" t="s">
        <v>113</v>
      </c>
      <c r="C2693" s="10">
        <v>59</v>
      </c>
      <c r="D2693" s="10" t="s">
        <v>1742</v>
      </c>
      <c r="E2693" s="78" t="s">
        <v>1743</v>
      </c>
      <c r="F2693" s="90" t="e">
        <v>#N/A</v>
      </c>
      <c r="G2693" s="21" t="e">
        <f>VLOOKUP(D2693,[6]成飞半成品!$A:$B,2,0)</f>
        <v>#N/A</v>
      </c>
      <c r="H2693" s="10" t="s">
        <v>154</v>
      </c>
      <c r="I2693" s="10">
        <v>10</v>
      </c>
      <c r="J2693" s="10" t="s">
        <v>2069</v>
      </c>
      <c r="L2693" s="10">
        <v>10</v>
      </c>
      <c r="M2693" s="10">
        <v>5</v>
      </c>
      <c r="N2693" s="10">
        <v>5</v>
      </c>
      <c r="O2693" s="55" t="s">
        <v>1127</v>
      </c>
      <c r="Q2693" s="10">
        <v>30</v>
      </c>
      <c r="U2693" s="10">
        <v>60</v>
      </c>
      <c r="W2693" s="10">
        <v>1</v>
      </c>
      <c r="X2693" s="14">
        <v>2</v>
      </c>
      <c r="Y2693" s="79">
        <v>8</v>
      </c>
      <c r="Z2693" s="10" t="s">
        <v>6</v>
      </c>
      <c r="AA2693" s="14" t="s">
        <v>1548</v>
      </c>
      <c r="AB2693" s="14" t="s">
        <v>238</v>
      </c>
    </row>
    <row r="2694" spans="1:28" ht="23.1" customHeight="1" x14ac:dyDescent="0.25">
      <c r="A2694" s="14" t="s">
        <v>1337</v>
      </c>
      <c r="B2694" s="10" t="s">
        <v>113</v>
      </c>
      <c r="C2694" s="10">
        <v>59</v>
      </c>
      <c r="D2694" s="10" t="s">
        <v>1742</v>
      </c>
      <c r="E2694" s="78" t="s">
        <v>1743</v>
      </c>
      <c r="F2694" s="90" t="e">
        <v>#N/A</v>
      </c>
      <c r="G2694" s="21" t="e">
        <f>VLOOKUP(D2694,[6]成飞半成品!$A:$B,2,0)</f>
        <v>#N/A</v>
      </c>
      <c r="H2694" s="10" t="s">
        <v>154</v>
      </c>
      <c r="I2694" s="10">
        <v>20</v>
      </c>
      <c r="J2694" s="10" t="s">
        <v>2351</v>
      </c>
      <c r="K2694" s="10">
        <v>6</v>
      </c>
      <c r="L2694" s="10">
        <v>4</v>
      </c>
      <c r="M2694" s="10">
        <v>37</v>
      </c>
      <c r="N2694" s="10">
        <v>37</v>
      </c>
      <c r="O2694" s="55" t="s">
        <v>247</v>
      </c>
      <c r="Q2694" s="10">
        <v>70</v>
      </c>
      <c r="U2694" s="10">
        <v>60</v>
      </c>
      <c r="Y2694" s="79">
        <v>4.7</v>
      </c>
      <c r="Z2694" s="10" t="s">
        <v>6</v>
      </c>
    </row>
    <row r="2695" spans="1:28" ht="23.1" customHeight="1" x14ac:dyDescent="0.25">
      <c r="A2695" s="14" t="s">
        <v>1337</v>
      </c>
      <c r="B2695" s="10" t="s">
        <v>113</v>
      </c>
      <c r="C2695" s="10">
        <v>59</v>
      </c>
      <c r="D2695" s="10" t="s">
        <v>1742</v>
      </c>
      <c r="E2695" s="78" t="s">
        <v>1743</v>
      </c>
      <c r="F2695" s="90" t="e">
        <v>#N/A</v>
      </c>
      <c r="G2695" s="21" t="e">
        <f>VLOOKUP(D2695,[6]成飞半成品!$A:$B,2,0)</f>
        <v>#N/A</v>
      </c>
      <c r="H2695" s="10" t="s">
        <v>154</v>
      </c>
      <c r="I2695" s="10">
        <v>5</v>
      </c>
      <c r="J2695" s="10" t="s">
        <v>1930</v>
      </c>
      <c r="L2695" s="10">
        <v>10</v>
      </c>
      <c r="M2695" s="10">
        <v>37</v>
      </c>
      <c r="N2695" s="10">
        <v>37</v>
      </c>
      <c r="O2695" s="55" t="s">
        <v>1127</v>
      </c>
      <c r="Q2695" s="10">
        <v>30</v>
      </c>
      <c r="U2695" s="10">
        <v>60</v>
      </c>
      <c r="W2695" s="10">
        <v>1</v>
      </c>
      <c r="Y2695" s="79">
        <v>6</v>
      </c>
      <c r="Z2695" s="10" t="s">
        <v>6</v>
      </c>
    </row>
    <row r="2696" spans="1:28" ht="23.1" customHeight="1" x14ac:dyDescent="0.25">
      <c r="A2696" s="14" t="s">
        <v>1337</v>
      </c>
      <c r="B2696" s="10" t="s">
        <v>113</v>
      </c>
      <c r="C2696" s="10">
        <v>56</v>
      </c>
      <c r="D2696" s="10" t="s">
        <v>273</v>
      </c>
      <c r="E2696" s="78" t="s">
        <v>274</v>
      </c>
      <c r="F2696" s="90" t="s">
        <v>274</v>
      </c>
      <c r="G2696" s="21" t="str">
        <f>VLOOKUP(D2696,[6]成飞半成品!$A:$B,2,0)</f>
        <v>前起落架水平接头</v>
      </c>
      <c r="H2696" s="10" t="s">
        <v>123</v>
      </c>
      <c r="I2696" s="10">
        <v>40</v>
      </c>
      <c r="J2696" s="10" t="s">
        <v>2326</v>
      </c>
      <c r="K2696" s="10">
        <v>4</v>
      </c>
      <c r="L2696" s="10">
        <v>4</v>
      </c>
      <c r="M2696" s="10">
        <v>19</v>
      </c>
      <c r="N2696" s="10">
        <v>19</v>
      </c>
      <c r="O2696" s="55" t="s">
        <v>275</v>
      </c>
      <c r="Q2696" s="10">
        <v>240</v>
      </c>
      <c r="U2696" s="10">
        <v>120</v>
      </c>
      <c r="Y2696" s="79">
        <v>16</v>
      </c>
      <c r="Z2696" s="10" t="s">
        <v>18</v>
      </c>
    </row>
    <row r="2697" spans="1:28" ht="23.1" customHeight="1" x14ac:dyDescent="0.25">
      <c r="A2697" s="14" t="s">
        <v>1337</v>
      </c>
      <c r="B2697" s="10" t="s">
        <v>113</v>
      </c>
      <c r="C2697" s="10">
        <v>13</v>
      </c>
      <c r="D2697" s="10" t="s">
        <v>1277</v>
      </c>
      <c r="E2697" s="78" t="s">
        <v>1278</v>
      </c>
      <c r="F2697" s="90" t="s">
        <v>1278</v>
      </c>
      <c r="G2697" s="21" t="str">
        <f>VLOOKUP(D2697,[6]成飞半成品!$A:$B,2,0)</f>
        <v>接管嘴</v>
      </c>
      <c r="H2697" s="10" t="s">
        <v>154</v>
      </c>
      <c r="I2697" s="10">
        <v>20</v>
      </c>
      <c r="J2697" s="10" t="s">
        <v>2354</v>
      </c>
      <c r="K2697" s="10">
        <v>20</v>
      </c>
      <c r="L2697" s="10">
        <v>34</v>
      </c>
      <c r="M2697" s="10">
        <v>28</v>
      </c>
      <c r="N2697" s="10">
        <v>26</v>
      </c>
      <c r="O2697" s="55" t="s">
        <v>1279</v>
      </c>
      <c r="Q2697" s="10">
        <v>40</v>
      </c>
      <c r="U2697" s="10">
        <v>120</v>
      </c>
      <c r="W2697" s="10">
        <v>1</v>
      </c>
      <c r="X2697" s="14">
        <v>2</v>
      </c>
      <c r="Y2697" s="79">
        <v>26.7</v>
      </c>
      <c r="Z2697" s="10" t="s">
        <v>10</v>
      </c>
      <c r="AA2697" s="14" t="s">
        <v>1767</v>
      </c>
      <c r="AB2697" s="14" t="s">
        <v>238</v>
      </c>
    </row>
    <row r="2698" spans="1:28" ht="23.1" customHeight="1" x14ac:dyDescent="0.25">
      <c r="A2698" s="14" t="s">
        <v>1337</v>
      </c>
      <c r="B2698" s="10" t="s">
        <v>113</v>
      </c>
      <c r="C2698" s="10">
        <v>55</v>
      </c>
      <c r="D2698" s="10" t="s">
        <v>273</v>
      </c>
      <c r="E2698" s="78" t="s">
        <v>274</v>
      </c>
      <c r="F2698" s="90" t="s">
        <v>274</v>
      </c>
      <c r="G2698" s="21" t="str">
        <f>VLOOKUP(D2698,[6]成飞半成品!$A:$B,2,0)</f>
        <v>前起落架水平接头</v>
      </c>
      <c r="H2698" s="10" t="s">
        <v>123</v>
      </c>
      <c r="I2698" s="10">
        <v>45</v>
      </c>
      <c r="J2698" s="10" t="s">
        <v>1954</v>
      </c>
      <c r="K2698" s="10">
        <v>3</v>
      </c>
      <c r="L2698" s="10">
        <v>4</v>
      </c>
      <c r="M2698" s="10">
        <v>28</v>
      </c>
      <c r="N2698" s="10">
        <v>19</v>
      </c>
      <c r="O2698" s="55" t="s">
        <v>275</v>
      </c>
      <c r="Q2698" s="10">
        <v>240</v>
      </c>
      <c r="U2698" s="10">
        <v>90</v>
      </c>
      <c r="Y2698" s="79">
        <v>16</v>
      </c>
      <c r="Z2698" s="10" t="s">
        <v>18</v>
      </c>
    </row>
    <row r="2699" spans="1:28" ht="23.1" customHeight="1" x14ac:dyDescent="0.25">
      <c r="A2699" s="14" t="s">
        <v>1337</v>
      </c>
      <c r="B2699" s="10" t="s">
        <v>113</v>
      </c>
      <c r="C2699" s="10">
        <v>17</v>
      </c>
      <c r="D2699" s="10" t="s">
        <v>1702</v>
      </c>
      <c r="E2699" s="78" t="s">
        <v>625</v>
      </c>
      <c r="F2699" s="90" t="s">
        <v>625</v>
      </c>
      <c r="G2699" s="21" t="str">
        <f>VLOOKUP(D2699,[6]成飞半成品!$A:$B,2,0)</f>
        <v>支架</v>
      </c>
      <c r="H2699" s="10" t="s">
        <v>250</v>
      </c>
      <c r="I2699" s="10">
        <v>30</v>
      </c>
      <c r="J2699" s="10" t="s">
        <v>2116</v>
      </c>
      <c r="K2699" s="10">
        <v>2</v>
      </c>
      <c r="L2699" s="10">
        <v>15</v>
      </c>
      <c r="M2699" s="10">
        <v>37</v>
      </c>
      <c r="N2699" s="10">
        <v>37</v>
      </c>
      <c r="O2699" s="55" t="s">
        <v>247</v>
      </c>
      <c r="Q2699" s="10">
        <v>45</v>
      </c>
      <c r="U2699" s="10">
        <v>90</v>
      </c>
      <c r="Y2699" s="79">
        <v>11.3</v>
      </c>
      <c r="Z2699" s="10" t="s">
        <v>14</v>
      </c>
    </row>
    <row r="2700" spans="1:28" ht="23.1" customHeight="1" x14ac:dyDescent="0.25">
      <c r="A2700" s="14" t="s">
        <v>1337</v>
      </c>
      <c r="B2700" s="10" t="s">
        <v>113</v>
      </c>
      <c r="C2700" s="10">
        <v>21</v>
      </c>
      <c r="D2700" s="10" t="s">
        <v>321</v>
      </c>
      <c r="E2700" s="78" t="s">
        <v>322</v>
      </c>
      <c r="F2700" s="90" t="s">
        <v>322</v>
      </c>
      <c r="G2700" s="21" t="str">
        <f>VLOOKUP(D2700,[6]成飞半成品!$A:$B,2,0)</f>
        <v>10860框</v>
      </c>
      <c r="H2700" s="10" t="s">
        <v>323</v>
      </c>
      <c r="I2700" s="10">
        <v>40</v>
      </c>
      <c r="J2700" s="10" t="s">
        <v>1969</v>
      </c>
      <c r="K2700" s="10">
        <v>1</v>
      </c>
      <c r="L2700" s="10">
        <v>1</v>
      </c>
      <c r="M2700" s="10">
        <v>28</v>
      </c>
      <c r="O2700" s="55" t="s">
        <v>1768</v>
      </c>
      <c r="Q2700" s="10">
        <v>390</v>
      </c>
      <c r="R2700" s="10">
        <v>120</v>
      </c>
      <c r="T2700" s="10">
        <v>1</v>
      </c>
      <c r="U2700" s="10">
        <v>180</v>
      </c>
      <c r="Y2700" s="79">
        <v>8.5</v>
      </c>
      <c r="Z2700" s="10" t="s">
        <v>49</v>
      </c>
    </row>
    <row r="2701" spans="1:28" ht="23.1" customHeight="1" x14ac:dyDescent="0.25">
      <c r="A2701" s="14" t="s">
        <v>1337</v>
      </c>
      <c r="B2701" s="10" t="s">
        <v>113</v>
      </c>
      <c r="C2701" s="10">
        <v>21</v>
      </c>
      <c r="D2701" s="10" t="s">
        <v>321</v>
      </c>
      <c r="E2701" s="78" t="s">
        <v>322</v>
      </c>
      <c r="F2701" s="90" t="s">
        <v>322</v>
      </c>
      <c r="G2701" s="21" t="str">
        <f>VLOOKUP(D2701,[6]成飞半成品!$A:$B,2,0)</f>
        <v>10860框</v>
      </c>
      <c r="H2701" s="10" t="s">
        <v>323</v>
      </c>
      <c r="I2701" s="10">
        <v>10</v>
      </c>
      <c r="J2701" s="10" t="s">
        <v>2046</v>
      </c>
      <c r="K2701" s="10">
        <v>1</v>
      </c>
      <c r="L2701" s="10">
        <v>1</v>
      </c>
      <c r="M2701" s="10">
        <v>37</v>
      </c>
      <c r="N2701" s="10">
        <v>37</v>
      </c>
      <c r="O2701" s="55" t="s">
        <v>607</v>
      </c>
      <c r="Q2701" s="10">
        <v>420</v>
      </c>
      <c r="R2701" s="10">
        <v>120</v>
      </c>
      <c r="T2701" s="10">
        <v>1</v>
      </c>
      <c r="U2701" s="10">
        <v>180</v>
      </c>
      <c r="W2701" s="10">
        <v>1</v>
      </c>
      <c r="Y2701" s="79">
        <v>12</v>
      </c>
      <c r="Z2701" s="10" t="s">
        <v>49</v>
      </c>
    </row>
    <row r="2702" spans="1:28" ht="23.1" customHeight="1" x14ac:dyDescent="0.25">
      <c r="A2702" s="14" t="s">
        <v>1337</v>
      </c>
      <c r="B2702" s="10" t="s">
        <v>113</v>
      </c>
      <c r="C2702" s="10">
        <v>14</v>
      </c>
      <c r="D2702" s="10" t="s">
        <v>1295</v>
      </c>
      <c r="E2702" s="78" t="s">
        <v>409</v>
      </c>
      <c r="F2702" s="90" t="s">
        <v>409</v>
      </c>
      <c r="G2702" s="21" t="str">
        <f>VLOOKUP(D2702,[6]成飞半成品!$A:$B,2,0)</f>
        <v>接头</v>
      </c>
      <c r="H2702" s="10" t="s">
        <v>102</v>
      </c>
      <c r="I2702" s="10">
        <v>10</v>
      </c>
      <c r="J2702" s="10" t="s">
        <v>2350</v>
      </c>
      <c r="L2702" s="10">
        <v>4</v>
      </c>
      <c r="M2702" s="10">
        <v>37</v>
      </c>
      <c r="N2702" s="10">
        <v>37</v>
      </c>
      <c r="O2702" s="55" t="s">
        <v>596</v>
      </c>
      <c r="Q2702" s="10">
        <v>35</v>
      </c>
      <c r="U2702" s="10">
        <v>60</v>
      </c>
      <c r="W2702" s="10">
        <v>1</v>
      </c>
      <c r="X2702" s="14">
        <v>2</v>
      </c>
      <c r="Y2702" s="79">
        <v>5.3</v>
      </c>
      <c r="Z2702" s="10" t="s">
        <v>60</v>
      </c>
      <c r="AA2702" s="14" t="s">
        <v>1769</v>
      </c>
      <c r="AB2702" s="14" t="s">
        <v>238</v>
      </c>
    </row>
    <row r="2703" spans="1:28" ht="23.1" customHeight="1" x14ac:dyDescent="0.25">
      <c r="A2703" s="14" t="s">
        <v>1337</v>
      </c>
      <c r="B2703" s="10" t="s">
        <v>113</v>
      </c>
      <c r="C2703" s="10">
        <v>14</v>
      </c>
      <c r="D2703" s="10" t="s">
        <v>1292</v>
      </c>
      <c r="E2703" s="78" t="s">
        <v>409</v>
      </c>
      <c r="F2703" s="90" t="s">
        <v>409</v>
      </c>
      <c r="G2703" s="21" t="str">
        <f>VLOOKUP(D2703,[6]成飞半成品!$A:$B,2,0)</f>
        <v>接头</v>
      </c>
      <c r="H2703" s="10" t="s">
        <v>102</v>
      </c>
      <c r="I2703" s="10">
        <v>10</v>
      </c>
      <c r="J2703" s="10" t="s">
        <v>1952</v>
      </c>
      <c r="L2703" s="10">
        <v>4</v>
      </c>
      <c r="M2703" s="10">
        <v>37</v>
      </c>
      <c r="N2703" s="10">
        <v>37</v>
      </c>
      <c r="O2703" s="55" t="s">
        <v>596</v>
      </c>
      <c r="Q2703" s="10">
        <v>35</v>
      </c>
      <c r="U2703" s="10">
        <v>60</v>
      </c>
      <c r="W2703" s="10">
        <v>1</v>
      </c>
      <c r="Y2703" s="79">
        <v>3.3</v>
      </c>
      <c r="Z2703" s="10" t="s">
        <v>60</v>
      </c>
    </row>
    <row r="2704" spans="1:28" ht="23.1" customHeight="1" x14ac:dyDescent="0.25">
      <c r="A2704" s="14" t="s">
        <v>1337</v>
      </c>
      <c r="B2704" s="10" t="s">
        <v>113</v>
      </c>
      <c r="C2704" s="10">
        <v>14</v>
      </c>
      <c r="D2704" s="10" t="s">
        <v>1331</v>
      </c>
      <c r="E2704" s="78" t="s">
        <v>1332</v>
      </c>
      <c r="F2704" s="90" t="s">
        <v>1332</v>
      </c>
      <c r="G2704" s="21" t="str">
        <f>VLOOKUP(D2704,[6]成飞半成品!$A:$B,2,0)</f>
        <v>联锁摇臂</v>
      </c>
      <c r="H2704" s="10" t="s">
        <v>300</v>
      </c>
      <c r="I2704" s="10">
        <v>20</v>
      </c>
      <c r="J2704" s="10" t="s">
        <v>1978</v>
      </c>
      <c r="K2704" s="10">
        <v>16</v>
      </c>
      <c r="L2704" s="10">
        <v>28</v>
      </c>
      <c r="M2704" s="10">
        <v>28</v>
      </c>
      <c r="N2704" s="10">
        <v>28</v>
      </c>
      <c r="O2704" s="55" t="s">
        <v>697</v>
      </c>
      <c r="Q2704" s="10">
        <v>30</v>
      </c>
      <c r="U2704" s="10">
        <v>90</v>
      </c>
      <c r="Y2704" s="79">
        <v>14</v>
      </c>
      <c r="Z2704" s="10" t="s">
        <v>60</v>
      </c>
    </row>
    <row r="2705" spans="1:28" ht="23.1" customHeight="1" x14ac:dyDescent="0.25">
      <c r="A2705" s="14" t="s">
        <v>1337</v>
      </c>
      <c r="B2705" s="10" t="s">
        <v>137</v>
      </c>
      <c r="C2705" s="10">
        <v>16</v>
      </c>
      <c r="D2705" s="10" t="s">
        <v>1301</v>
      </c>
      <c r="E2705" s="78" t="s">
        <v>1302</v>
      </c>
      <c r="F2705" s="90" t="s">
        <v>1302</v>
      </c>
      <c r="G2705" s="21" t="str">
        <f>VLOOKUP(D2705,[6]成飞半成品!$A:$B,2,0)</f>
        <v>后舱内段支撑件上段1段</v>
      </c>
      <c r="H2705" s="10" t="s">
        <v>154</v>
      </c>
      <c r="I2705" s="10">
        <v>30</v>
      </c>
      <c r="J2705" s="10" t="s">
        <v>2348</v>
      </c>
      <c r="K2705" s="10">
        <v>1</v>
      </c>
      <c r="L2705" s="10">
        <v>1</v>
      </c>
      <c r="M2705" s="10">
        <v>31</v>
      </c>
      <c r="O2705" s="55" t="s">
        <v>159</v>
      </c>
      <c r="Q2705" s="10">
        <v>130</v>
      </c>
      <c r="U2705" s="10">
        <v>60</v>
      </c>
      <c r="Y2705" s="79">
        <v>2.2000000000000002</v>
      </c>
      <c r="Z2705" s="10" t="s">
        <v>38</v>
      </c>
    </row>
    <row r="2706" spans="1:28" ht="23.1" customHeight="1" x14ac:dyDescent="0.25">
      <c r="A2706" s="14" t="s">
        <v>1337</v>
      </c>
      <c r="B2706" s="10" t="s">
        <v>113</v>
      </c>
      <c r="C2706" s="10">
        <v>77</v>
      </c>
      <c r="D2706" s="10" t="s">
        <v>1698</v>
      </c>
      <c r="E2706" s="78" t="s">
        <v>1699</v>
      </c>
      <c r="F2706" s="90" t="s">
        <v>1699</v>
      </c>
      <c r="G2706" s="21" t="str">
        <f>VLOOKUP(D2706,[6]成飞半成品!$A:$B,2,0)</f>
        <v>Z型件</v>
      </c>
      <c r="H2706" s="10" t="s">
        <v>118</v>
      </c>
      <c r="I2706" s="10">
        <v>20</v>
      </c>
      <c r="J2706" s="10" t="s">
        <v>2353</v>
      </c>
      <c r="K2706" s="10">
        <v>40</v>
      </c>
      <c r="L2706" s="10">
        <v>51</v>
      </c>
      <c r="M2706" s="10">
        <v>31</v>
      </c>
      <c r="N2706" s="10">
        <v>31</v>
      </c>
      <c r="O2706" s="55" t="s">
        <v>1770</v>
      </c>
      <c r="Q2706" s="10">
        <v>20</v>
      </c>
      <c r="U2706" s="10">
        <v>90</v>
      </c>
      <c r="Y2706" s="79">
        <v>17</v>
      </c>
      <c r="Z2706" s="10" t="s">
        <v>24</v>
      </c>
    </row>
    <row r="2707" spans="1:28" ht="23.1" customHeight="1" x14ac:dyDescent="0.25">
      <c r="A2707" s="14" t="s">
        <v>1337</v>
      </c>
      <c r="B2707" s="10" t="s">
        <v>113</v>
      </c>
      <c r="C2707" s="10">
        <v>14</v>
      </c>
      <c r="D2707" s="10" t="s">
        <v>1294</v>
      </c>
      <c r="E2707" s="78" t="s">
        <v>409</v>
      </c>
      <c r="F2707" s="90" t="s">
        <v>409</v>
      </c>
      <c r="G2707" s="21" t="str">
        <f>VLOOKUP(D2707,[6]成飞半成品!$A:$B,2,0)</f>
        <v>接头</v>
      </c>
      <c r="H2707" s="10" t="s">
        <v>102</v>
      </c>
      <c r="I2707" s="10">
        <v>10</v>
      </c>
      <c r="J2707" s="10" t="s">
        <v>1952</v>
      </c>
      <c r="L2707" s="10">
        <v>4</v>
      </c>
      <c r="M2707" s="10">
        <v>37</v>
      </c>
      <c r="N2707" s="10">
        <v>37</v>
      </c>
      <c r="O2707" s="55" t="s">
        <v>596</v>
      </c>
      <c r="Q2707" s="10">
        <v>30</v>
      </c>
      <c r="U2707" s="10">
        <v>60</v>
      </c>
      <c r="W2707" s="10">
        <v>1</v>
      </c>
      <c r="X2707" s="14">
        <v>2</v>
      </c>
      <c r="Y2707" s="79">
        <v>5</v>
      </c>
      <c r="Z2707" s="10" t="s">
        <v>60</v>
      </c>
      <c r="AA2707" s="14" t="s">
        <v>1769</v>
      </c>
      <c r="AB2707" s="14" t="s">
        <v>238</v>
      </c>
    </row>
    <row r="2708" spans="1:28" ht="23.1" customHeight="1" x14ac:dyDescent="0.25">
      <c r="A2708" s="14" t="s">
        <v>1337</v>
      </c>
      <c r="B2708" s="10" t="s">
        <v>113</v>
      </c>
      <c r="C2708" s="10">
        <v>14</v>
      </c>
      <c r="D2708" s="10" t="s">
        <v>1293</v>
      </c>
      <c r="E2708" s="78" t="s">
        <v>409</v>
      </c>
      <c r="F2708" s="90" t="s">
        <v>409</v>
      </c>
      <c r="G2708" s="21" t="str">
        <f>VLOOKUP(D2708,[6]成飞半成品!$A:$B,2,0)</f>
        <v>接头</v>
      </c>
      <c r="H2708" s="10" t="s">
        <v>102</v>
      </c>
      <c r="I2708" s="10">
        <v>10</v>
      </c>
      <c r="J2708" s="10" t="s">
        <v>1952</v>
      </c>
      <c r="L2708" s="10">
        <v>4</v>
      </c>
      <c r="M2708" s="10">
        <v>37</v>
      </c>
      <c r="N2708" s="10">
        <v>37</v>
      </c>
      <c r="O2708" s="55" t="s">
        <v>596</v>
      </c>
      <c r="Q2708" s="10">
        <v>35</v>
      </c>
      <c r="U2708" s="10">
        <v>60</v>
      </c>
      <c r="W2708" s="10">
        <v>1</v>
      </c>
      <c r="Y2708" s="79">
        <v>3.3</v>
      </c>
      <c r="Z2708" s="10" t="s">
        <v>60</v>
      </c>
    </row>
    <row r="2709" spans="1:28" ht="23.1" customHeight="1" x14ac:dyDescent="0.25">
      <c r="A2709" s="14" t="s">
        <v>1337</v>
      </c>
      <c r="B2709" s="10" t="s">
        <v>113</v>
      </c>
      <c r="C2709" s="10">
        <v>79</v>
      </c>
      <c r="D2709" s="10" t="s">
        <v>420</v>
      </c>
      <c r="E2709" s="78" t="s">
        <v>153</v>
      </c>
      <c r="F2709" s="90" t="s">
        <v>1247</v>
      </c>
      <c r="G2709" s="21" t="str">
        <f>VLOOKUP(D2709,[6]成飞半成品!$A:$B,2,0)</f>
        <v>根肋前段</v>
      </c>
      <c r="H2709" s="10" t="s">
        <v>154</v>
      </c>
      <c r="I2709" s="10">
        <v>50</v>
      </c>
      <c r="J2709" s="10" t="s">
        <v>2204</v>
      </c>
      <c r="K2709" s="10">
        <v>0.3</v>
      </c>
      <c r="L2709" s="10">
        <v>0.3</v>
      </c>
      <c r="M2709" s="10">
        <v>23</v>
      </c>
      <c r="O2709" s="55" t="s">
        <v>784</v>
      </c>
      <c r="Q2709" s="10">
        <v>3700</v>
      </c>
      <c r="R2709" s="10">
        <v>90</v>
      </c>
      <c r="T2709" s="10">
        <v>1</v>
      </c>
      <c r="U2709" s="10">
        <v>180</v>
      </c>
      <c r="W2709" s="10">
        <v>1</v>
      </c>
      <c r="X2709" s="10">
        <v>2</v>
      </c>
      <c r="Y2709" s="79">
        <v>25</v>
      </c>
      <c r="Z2709" s="10" t="s">
        <v>5</v>
      </c>
      <c r="AA2709" s="14" t="s">
        <v>1548</v>
      </c>
      <c r="AB2709" s="14" t="s">
        <v>238</v>
      </c>
    </row>
    <row r="2710" spans="1:28" ht="23.1" customHeight="1" x14ac:dyDescent="0.25">
      <c r="A2710" s="14" t="s">
        <v>1337</v>
      </c>
      <c r="B2710" s="10" t="s">
        <v>113</v>
      </c>
      <c r="C2710" s="10">
        <v>24</v>
      </c>
      <c r="D2710" s="10" t="s">
        <v>776</v>
      </c>
      <c r="E2710" s="78" t="s">
        <v>777</v>
      </c>
      <c r="F2710" s="90" t="s">
        <v>777</v>
      </c>
      <c r="G2710" s="21" t="str">
        <f>VLOOKUP(D2710,[6]成飞半成品!$A:$B,2,0)</f>
        <v>BL280侧壁（左件）</v>
      </c>
      <c r="H2710" s="10" t="s">
        <v>107</v>
      </c>
      <c r="I2710" s="10">
        <v>30</v>
      </c>
      <c r="J2710" s="10" t="s">
        <v>2061</v>
      </c>
      <c r="K2710" s="10">
        <v>0.4</v>
      </c>
      <c r="L2710" s="10">
        <v>0.4</v>
      </c>
      <c r="M2710" s="10">
        <v>26</v>
      </c>
      <c r="O2710" s="55" t="s">
        <v>609</v>
      </c>
      <c r="Q2710" s="10">
        <v>1700</v>
      </c>
      <c r="R2710" s="10">
        <v>120</v>
      </c>
      <c r="U2710" s="10">
        <v>210</v>
      </c>
      <c r="Y2710" s="79">
        <v>11.3</v>
      </c>
      <c r="Z2710" s="10" t="s">
        <v>26</v>
      </c>
    </row>
    <row r="2711" spans="1:28" ht="23.1" customHeight="1" x14ac:dyDescent="0.25">
      <c r="A2711" s="14" t="s">
        <v>1337</v>
      </c>
      <c r="B2711" s="10" t="s">
        <v>113</v>
      </c>
      <c r="C2711" s="10">
        <v>24</v>
      </c>
      <c r="D2711" s="10" t="s">
        <v>738</v>
      </c>
      <c r="E2711" s="78" t="s">
        <v>739</v>
      </c>
      <c r="F2711" s="90" t="s">
        <v>739</v>
      </c>
      <c r="G2711" s="21" t="str">
        <f>VLOOKUP(D2711,[6]成飞半成品!$A:$B,2,0)</f>
        <v>BL280侧壁（右件）</v>
      </c>
      <c r="H2711" s="10" t="s">
        <v>107</v>
      </c>
      <c r="I2711" s="10">
        <v>30</v>
      </c>
      <c r="J2711" s="10" t="s">
        <v>2061</v>
      </c>
      <c r="L2711" s="10">
        <v>0.3</v>
      </c>
      <c r="M2711" s="10">
        <v>28</v>
      </c>
      <c r="N2711" s="10">
        <v>26</v>
      </c>
      <c r="O2711" s="55" t="s">
        <v>295</v>
      </c>
      <c r="Q2711" s="10">
        <v>1700</v>
      </c>
      <c r="R2711" s="10">
        <v>120</v>
      </c>
      <c r="T2711" s="10">
        <v>1</v>
      </c>
      <c r="U2711" s="10">
        <v>210</v>
      </c>
      <c r="W2711" s="10">
        <v>1</v>
      </c>
      <c r="Y2711" s="79">
        <v>14</v>
      </c>
      <c r="Z2711" s="10" t="s">
        <v>26</v>
      </c>
    </row>
    <row r="2712" spans="1:28" ht="23.1" customHeight="1" x14ac:dyDescent="0.25">
      <c r="A2712" s="14" t="s">
        <v>1337</v>
      </c>
      <c r="B2712" s="10" t="s">
        <v>113</v>
      </c>
      <c r="C2712" s="10">
        <v>69</v>
      </c>
      <c r="D2712" s="10" t="s">
        <v>1197</v>
      </c>
      <c r="E2712" s="78" t="s">
        <v>1198</v>
      </c>
      <c r="F2712" s="90" t="s">
        <v>1198</v>
      </c>
      <c r="G2712" s="21" t="str">
        <f>VLOOKUP(D2712,[6]成飞半成品!$A:$B,2,0)</f>
        <v>1150肋根肋</v>
      </c>
      <c r="H2712" s="10" t="s">
        <v>658</v>
      </c>
      <c r="I2712" s="10">
        <v>64</v>
      </c>
      <c r="K2712" s="10">
        <v>5</v>
      </c>
      <c r="L2712" s="10">
        <v>5</v>
      </c>
      <c r="M2712" s="10">
        <v>28</v>
      </c>
      <c r="N2712" s="10">
        <v>28</v>
      </c>
      <c r="O2712" s="55" t="s">
        <v>282</v>
      </c>
      <c r="P2712" s="10">
        <v>360</v>
      </c>
      <c r="S2712" s="10">
        <v>60</v>
      </c>
      <c r="T2712" s="10">
        <v>5</v>
      </c>
      <c r="Y2712" s="83">
        <v>35</v>
      </c>
      <c r="Z2712" s="10" t="s">
        <v>26</v>
      </c>
    </row>
    <row r="2713" spans="1:28" ht="23.1" customHeight="1" x14ac:dyDescent="0.25">
      <c r="A2713" s="14" t="s">
        <v>1337</v>
      </c>
      <c r="B2713" s="10" t="s">
        <v>113</v>
      </c>
      <c r="C2713" s="10">
        <v>91</v>
      </c>
      <c r="D2713" s="10" t="s">
        <v>254</v>
      </c>
      <c r="E2713" s="78" t="s">
        <v>255</v>
      </c>
      <c r="F2713" s="90" t="s">
        <v>1016</v>
      </c>
      <c r="G2713" s="21" t="str">
        <f>VLOOKUP(D2713,[6]成飞半成品!$A:$B,2,0)</f>
        <v>9350-11140右侧上梁</v>
      </c>
      <c r="H2713" s="10" t="s">
        <v>375</v>
      </c>
      <c r="I2713" s="10">
        <v>40</v>
      </c>
      <c r="J2713" s="10" t="s">
        <v>2110</v>
      </c>
      <c r="K2713" s="10">
        <v>0.3</v>
      </c>
      <c r="L2713" s="10">
        <v>0.3</v>
      </c>
      <c r="M2713" s="10">
        <v>37</v>
      </c>
      <c r="N2713" s="10">
        <v>37</v>
      </c>
      <c r="O2713" s="55" t="s">
        <v>301</v>
      </c>
      <c r="Q2713" s="10">
        <v>3000</v>
      </c>
      <c r="R2713" s="10">
        <v>90</v>
      </c>
      <c r="T2713" s="10">
        <v>1</v>
      </c>
      <c r="U2713" s="10">
        <v>120</v>
      </c>
      <c r="Y2713" s="79">
        <v>16.5</v>
      </c>
      <c r="Z2713" s="10" t="s">
        <v>26</v>
      </c>
      <c r="AA2713" s="14" t="s">
        <v>1474</v>
      </c>
    </row>
    <row r="2714" spans="1:28" ht="23.1" customHeight="1" x14ac:dyDescent="0.25">
      <c r="A2714" s="14" t="s">
        <v>1337</v>
      </c>
      <c r="B2714" s="10" t="s">
        <v>113</v>
      </c>
      <c r="C2714" s="10">
        <v>84</v>
      </c>
      <c r="D2714" s="10" t="s">
        <v>924</v>
      </c>
      <c r="E2714" s="78" t="s">
        <v>409</v>
      </c>
      <c r="F2714" s="90" t="s">
        <v>409</v>
      </c>
      <c r="G2714" s="21" t="str">
        <f>VLOOKUP(D2714,[6]成飞半成品!$A:$B,2,0)</f>
        <v>接头</v>
      </c>
      <c r="H2714" s="10" t="s">
        <v>102</v>
      </c>
      <c r="I2714" s="10">
        <v>25</v>
      </c>
      <c r="J2714" s="10" t="s">
        <v>2113</v>
      </c>
      <c r="K2714" s="10">
        <v>4</v>
      </c>
      <c r="L2714" s="10">
        <v>4</v>
      </c>
      <c r="M2714" s="10">
        <v>26</v>
      </c>
      <c r="N2714" s="10">
        <v>26</v>
      </c>
      <c r="O2714" s="55" t="s">
        <v>596</v>
      </c>
      <c r="Q2714" s="10">
        <v>120</v>
      </c>
      <c r="R2714" s="10">
        <v>60</v>
      </c>
      <c r="T2714" s="10">
        <v>4</v>
      </c>
      <c r="U2714" s="10">
        <v>120</v>
      </c>
      <c r="Y2714" s="79">
        <v>12</v>
      </c>
      <c r="Z2714" s="10" t="s">
        <v>26</v>
      </c>
      <c r="AA2714" s="14" t="s">
        <v>1771</v>
      </c>
    </row>
    <row r="2715" spans="1:28" ht="23.1" customHeight="1" x14ac:dyDescent="0.25">
      <c r="A2715" s="14" t="s">
        <v>1337</v>
      </c>
      <c r="B2715" s="10" t="s">
        <v>113</v>
      </c>
      <c r="C2715" s="10">
        <v>121</v>
      </c>
      <c r="D2715" s="10" t="s">
        <v>1755</v>
      </c>
      <c r="E2715" s="78" t="s">
        <v>1756</v>
      </c>
      <c r="F2715" s="90" t="e">
        <v>#N/A</v>
      </c>
      <c r="G2715" s="21" t="e">
        <f>VLOOKUP(D2715,[6]成飞半成品!$A:$B,2,0)</f>
        <v>#N/A</v>
      </c>
      <c r="H2715" s="10" t="s">
        <v>250</v>
      </c>
      <c r="I2715" s="10">
        <v>35</v>
      </c>
      <c r="J2715" s="10" t="s">
        <v>2356</v>
      </c>
      <c r="K2715" s="10">
        <v>1.5</v>
      </c>
      <c r="L2715" s="10">
        <v>2.2000000000000002</v>
      </c>
      <c r="M2715" s="10">
        <v>28</v>
      </c>
      <c r="N2715" s="10">
        <v>19</v>
      </c>
      <c r="O2715" s="55" t="s">
        <v>1772</v>
      </c>
      <c r="Q2715" s="10">
        <v>330</v>
      </c>
      <c r="R2715" s="10">
        <v>90</v>
      </c>
      <c r="U2715" s="10">
        <v>180</v>
      </c>
      <c r="Y2715" s="79">
        <v>12.1</v>
      </c>
      <c r="Z2715" s="10" t="s">
        <v>26</v>
      </c>
    </row>
    <row r="2716" spans="1:28" ht="23.1" customHeight="1" x14ac:dyDescent="0.25">
      <c r="A2716" s="14" t="s">
        <v>1337</v>
      </c>
      <c r="B2716" s="10" t="s">
        <v>113</v>
      </c>
      <c r="C2716" s="10">
        <v>9</v>
      </c>
      <c r="D2716" s="10" t="s">
        <v>1287</v>
      </c>
      <c r="E2716" s="78" t="s">
        <v>1367</v>
      </c>
      <c r="F2716" s="90" t="s">
        <v>1367</v>
      </c>
      <c r="G2716" s="21" t="str">
        <f>VLOOKUP(D2716,[6]成飞半成品!$A:$B,2,0)</f>
        <v>垫板</v>
      </c>
      <c r="H2716" s="10" t="s">
        <v>123</v>
      </c>
      <c r="I2716" s="10">
        <v>5</v>
      </c>
      <c r="J2716" s="10" t="s">
        <v>2060</v>
      </c>
      <c r="K2716" s="10">
        <v>6</v>
      </c>
      <c r="L2716" s="10">
        <v>8</v>
      </c>
      <c r="M2716" s="10">
        <v>37</v>
      </c>
      <c r="N2716" s="10">
        <v>9</v>
      </c>
      <c r="O2716" s="55" t="s">
        <v>1773</v>
      </c>
      <c r="Q2716" s="10">
        <v>150</v>
      </c>
      <c r="U2716" s="10">
        <v>60</v>
      </c>
      <c r="W2716" s="10">
        <v>1</v>
      </c>
      <c r="X2716" s="14">
        <v>1</v>
      </c>
      <c r="Y2716" s="79">
        <v>22</v>
      </c>
      <c r="Z2716" s="10" t="s">
        <v>23</v>
      </c>
      <c r="AA2716" s="14" t="s">
        <v>1774</v>
      </c>
    </row>
    <row r="2717" spans="1:28" ht="23.1" customHeight="1" x14ac:dyDescent="0.25">
      <c r="A2717" s="14" t="s">
        <v>1337</v>
      </c>
      <c r="B2717" s="10" t="s">
        <v>113</v>
      </c>
      <c r="C2717" s="10">
        <v>10</v>
      </c>
      <c r="D2717" s="10" t="s">
        <v>946</v>
      </c>
      <c r="E2717" s="78" t="s">
        <v>947</v>
      </c>
      <c r="F2717" s="90" t="s">
        <v>947</v>
      </c>
      <c r="G2717" s="21" t="str">
        <f>VLOOKUP(D2717,[6]成飞半成品!$A:$B,2,0)</f>
        <v>5755横框</v>
      </c>
      <c r="H2717" s="10" t="s">
        <v>300</v>
      </c>
      <c r="I2717" s="10">
        <v>27</v>
      </c>
      <c r="K2717" s="10">
        <v>10</v>
      </c>
      <c r="L2717" s="10">
        <v>10</v>
      </c>
      <c r="M2717" s="10">
        <v>26</v>
      </c>
      <c r="N2717" s="10">
        <v>23</v>
      </c>
      <c r="O2717" s="55" t="s">
        <v>948</v>
      </c>
      <c r="P2717" s="10">
        <v>60</v>
      </c>
      <c r="V2717" s="10">
        <v>120</v>
      </c>
      <c r="W2717" s="10">
        <v>1</v>
      </c>
      <c r="X2717" s="14">
        <v>3</v>
      </c>
      <c r="Y2717" s="83">
        <v>15</v>
      </c>
      <c r="Z2717" s="10" t="s">
        <v>23</v>
      </c>
      <c r="AA2717" s="14" t="s">
        <v>1775</v>
      </c>
      <c r="AB2717" s="14" t="s">
        <v>238</v>
      </c>
    </row>
    <row r="2718" spans="1:28" ht="23.1" customHeight="1" x14ac:dyDescent="0.25">
      <c r="A2718" s="14" t="s">
        <v>1333</v>
      </c>
      <c r="B2718" s="10" t="s">
        <v>110</v>
      </c>
      <c r="C2718" s="10">
        <v>107</v>
      </c>
      <c r="D2718" s="10" t="s">
        <v>173</v>
      </c>
      <c r="E2718" s="78" t="s">
        <v>174</v>
      </c>
      <c r="F2718" s="90" t="s">
        <v>1246</v>
      </c>
      <c r="G2718" s="21" t="str">
        <f>VLOOKUP(D2718,[6]成飞半成品!$A:$B,2,0)</f>
        <v>根肋后段</v>
      </c>
      <c r="H2718" s="10" t="s">
        <v>154</v>
      </c>
      <c r="I2718" s="10">
        <v>50</v>
      </c>
      <c r="J2718" s="10" t="s">
        <v>2210</v>
      </c>
      <c r="K2718" s="10">
        <v>0.4</v>
      </c>
      <c r="L2718" s="10">
        <v>0.4</v>
      </c>
      <c r="M2718" s="10">
        <v>5</v>
      </c>
      <c r="N2718" s="10">
        <v>9</v>
      </c>
      <c r="O2718" s="55" t="s">
        <v>1776</v>
      </c>
      <c r="Q2718" s="10">
        <v>2100</v>
      </c>
      <c r="R2718" s="10">
        <v>90</v>
      </c>
      <c r="T2718" s="10">
        <v>1</v>
      </c>
      <c r="U2718" s="10">
        <v>150</v>
      </c>
      <c r="Y2718" s="79">
        <v>15.5</v>
      </c>
      <c r="Z2718" s="10" t="s">
        <v>45</v>
      </c>
    </row>
    <row r="2719" spans="1:28" ht="23.1" customHeight="1" x14ac:dyDescent="0.25">
      <c r="A2719" s="14" t="s">
        <v>1333</v>
      </c>
      <c r="B2719" s="10" t="s">
        <v>110</v>
      </c>
      <c r="C2719" s="10">
        <v>79</v>
      </c>
      <c r="D2719" s="10" t="s">
        <v>420</v>
      </c>
      <c r="E2719" s="78" t="s">
        <v>153</v>
      </c>
      <c r="F2719" s="90" t="s">
        <v>1247</v>
      </c>
      <c r="G2719" s="21" t="str">
        <f>VLOOKUP(D2719,[6]成飞半成品!$A:$B,2,0)</f>
        <v>根肋前段</v>
      </c>
      <c r="H2719" s="10" t="s">
        <v>154</v>
      </c>
      <c r="I2719" s="10">
        <v>50</v>
      </c>
      <c r="J2719" s="10" t="s">
        <v>2204</v>
      </c>
      <c r="K2719" s="10">
        <v>0.3</v>
      </c>
      <c r="L2719" s="10">
        <v>0.3</v>
      </c>
      <c r="M2719" s="10">
        <v>23</v>
      </c>
      <c r="O2719" s="55" t="s">
        <v>784</v>
      </c>
      <c r="Q2719" s="10">
        <v>3700</v>
      </c>
      <c r="R2719" s="10">
        <v>90</v>
      </c>
      <c r="U2719" s="10">
        <v>180</v>
      </c>
      <c r="Y2719" s="79">
        <v>18.5</v>
      </c>
      <c r="Z2719" s="10" t="s">
        <v>19</v>
      </c>
    </row>
    <row r="2720" spans="1:28" ht="23.1" customHeight="1" x14ac:dyDescent="0.25">
      <c r="A2720" s="14" t="s">
        <v>1333</v>
      </c>
      <c r="B2720" s="10" t="s">
        <v>110</v>
      </c>
      <c r="C2720" s="10">
        <v>23</v>
      </c>
      <c r="D2720" s="10" t="s">
        <v>990</v>
      </c>
      <c r="E2720" s="78" t="s">
        <v>991</v>
      </c>
      <c r="F2720" s="90" t="s">
        <v>991</v>
      </c>
      <c r="G2720" s="21" t="str">
        <f>VLOOKUP(D2720,[6]成飞半成品!$A:$B,2,0)</f>
        <v>8270右隔框</v>
      </c>
      <c r="H2720" s="10" t="s">
        <v>300</v>
      </c>
      <c r="I2720" s="10">
        <v>25</v>
      </c>
      <c r="J2720" s="10" t="s">
        <v>2224</v>
      </c>
      <c r="K2720" s="10">
        <v>0.7</v>
      </c>
      <c r="L2720" s="10">
        <v>0.4</v>
      </c>
      <c r="M2720" s="10">
        <v>5</v>
      </c>
      <c r="O2720" s="55" t="s">
        <v>1132</v>
      </c>
      <c r="Q2720" s="10">
        <v>720</v>
      </c>
      <c r="R2720" s="10">
        <v>60</v>
      </c>
      <c r="U2720" s="10">
        <v>90</v>
      </c>
      <c r="Y2720" s="79">
        <v>4.8</v>
      </c>
      <c r="Z2720" s="10" t="s">
        <v>33</v>
      </c>
    </row>
    <row r="2721" spans="1:28" ht="23.1" customHeight="1" x14ac:dyDescent="0.25">
      <c r="A2721" s="14" t="s">
        <v>1333</v>
      </c>
      <c r="B2721" s="10" t="s">
        <v>110</v>
      </c>
      <c r="C2721" s="10">
        <v>23</v>
      </c>
      <c r="D2721" s="10" t="s">
        <v>987</v>
      </c>
      <c r="E2721" s="78" t="s">
        <v>988</v>
      </c>
      <c r="F2721" s="90" t="s">
        <v>988</v>
      </c>
      <c r="G2721" s="21" t="str">
        <f>VLOOKUP(D2721,[6]成飞半成品!$A:$B,2,0)</f>
        <v>8270左隔框</v>
      </c>
      <c r="H2721" s="10" t="s">
        <v>300</v>
      </c>
      <c r="I2721" s="10">
        <v>25</v>
      </c>
      <c r="J2721" s="10" t="s">
        <v>2224</v>
      </c>
      <c r="L2721" s="10">
        <v>0.6</v>
      </c>
      <c r="M2721" s="10">
        <v>31</v>
      </c>
      <c r="O2721" s="55" t="s">
        <v>256</v>
      </c>
      <c r="Q2721" s="10">
        <v>720</v>
      </c>
      <c r="R2721" s="10">
        <v>60</v>
      </c>
      <c r="T2721" s="10">
        <v>1</v>
      </c>
      <c r="U2721" s="10">
        <v>90</v>
      </c>
      <c r="W2721" s="10">
        <v>1</v>
      </c>
      <c r="Y2721" s="79">
        <v>9.6999999999999993</v>
      </c>
      <c r="Z2721" s="10" t="s">
        <v>33</v>
      </c>
    </row>
    <row r="2722" spans="1:28" ht="23.1" customHeight="1" x14ac:dyDescent="0.25">
      <c r="A2722" s="14" t="s">
        <v>1333</v>
      </c>
      <c r="B2722" s="10" t="s">
        <v>110</v>
      </c>
      <c r="C2722" s="10">
        <v>47</v>
      </c>
      <c r="D2722" s="25" t="s">
        <v>294</v>
      </c>
      <c r="E2722" s="78" t="s">
        <v>259</v>
      </c>
      <c r="F2722" s="90" t="s">
        <v>284</v>
      </c>
      <c r="G2722" s="21" t="str">
        <f>VLOOKUP(D2722,[6]成飞半成品!$A:$B,2,0)</f>
        <v>梁（左件）</v>
      </c>
      <c r="H2722" s="10" t="s">
        <v>154</v>
      </c>
      <c r="I2722" s="10">
        <v>60</v>
      </c>
      <c r="J2722" s="10" t="s">
        <v>2331</v>
      </c>
      <c r="K2722" s="10">
        <v>1</v>
      </c>
      <c r="L2722" s="10">
        <v>1.5</v>
      </c>
      <c r="M2722" s="10">
        <v>5</v>
      </c>
      <c r="N2722" s="10">
        <v>28</v>
      </c>
      <c r="O2722" s="55" t="s">
        <v>1777</v>
      </c>
      <c r="Q2722" s="10">
        <v>520</v>
      </c>
      <c r="R2722" s="10">
        <v>120</v>
      </c>
      <c r="T2722" s="10">
        <v>1</v>
      </c>
      <c r="U2722" s="10">
        <v>90</v>
      </c>
      <c r="Y2722" s="79">
        <v>15</v>
      </c>
      <c r="Z2722" s="10" t="s">
        <v>33</v>
      </c>
    </row>
    <row r="2723" spans="1:28" ht="23.1" customHeight="1" x14ac:dyDescent="0.25">
      <c r="A2723" s="14" t="s">
        <v>1333</v>
      </c>
      <c r="B2723" s="10" t="s">
        <v>110</v>
      </c>
      <c r="C2723" s="10">
        <v>24</v>
      </c>
      <c r="D2723" s="10" t="s">
        <v>738</v>
      </c>
      <c r="E2723" s="78" t="s">
        <v>739</v>
      </c>
      <c r="F2723" s="90" t="s">
        <v>739</v>
      </c>
      <c r="G2723" s="21" t="str">
        <f>VLOOKUP(D2723,[6]成飞半成品!$A:$B,2,0)</f>
        <v>BL280侧壁（右件）</v>
      </c>
      <c r="H2723" s="10" t="s">
        <v>107</v>
      </c>
      <c r="I2723" s="10">
        <v>30</v>
      </c>
      <c r="J2723" s="10" t="s">
        <v>2061</v>
      </c>
      <c r="K2723" s="10">
        <v>0.4</v>
      </c>
      <c r="L2723" s="10">
        <v>0.7</v>
      </c>
      <c r="M2723" s="10">
        <v>28</v>
      </c>
      <c r="O2723" s="55" t="s">
        <v>295</v>
      </c>
      <c r="Q2723" s="10">
        <v>1700</v>
      </c>
      <c r="R2723" s="10">
        <v>120</v>
      </c>
      <c r="U2723" s="10">
        <v>210</v>
      </c>
      <c r="Y2723" s="79">
        <v>19.8</v>
      </c>
      <c r="Z2723" s="10" t="s">
        <v>54</v>
      </c>
    </row>
    <row r="2724" spans="1:28" ht="23.1" customHeight="1" x14ac:dyDescent="0.25">
      <c r="A2724" s="14" t="s">
        <v>1333</v>
      </c>
      <c r="B2724" s="10" t="s">
        <v>110</v>
      </c>
      <c r="C2724" s="10">
        <v>69</v>
      </c>
      <c r="D2724" s="10" t="s">
        <v>217</v>
      </c>
      <c r="E2724" s="78" t="s">
        <v>218</v>
      </c>
      <c r="F2724" s="90" t="s">
        <v>218</v>
      </c>
      <c r="G2724" s="21" t="str">
        <f>VLOOKUP(D2724,[6]成飞半成品!$A:$B,2,0)</f>
        <v>横梁</v>
      </c>
      <c r="H2724" s="10" t="s">
        <v>107</v>
      </c>
      <c r="I2724" s="10">
        <v>50</v>
      </c>
      <c r="J2724" s="10" t="s">
        <v>2202</v>
      </c>
      <c r="K2724" s="10">
        <v>6</v>
      </c>
      <c r="L2724" s="10">
        <v>5</v>
      </c>
      <c r="M2724" s="10">
        <v>5</v>
      </c>
      <c r="N2724" s="10">
        <v>28</v>
      </c>
      <c r="O2724" s="55" t="s">
        <v>219</v>
      </c>
      <c r="Q2724" s="10">
        <v>180</v>
      </c>
      <c r="R2724" s="10">
        <v>60</v>
      </c>
      <c r="T2724" s="10">
        <v>5</v>
      </c>
      <c r="U2724" s="10">
        <v>150</v>
      </c>
      <c r="W2724" s="10">
        <v>1</v>
      </c>
      <c r="Y2724" s="79">
        <v>22.5</v>
      </c>
      <c r="Z2724" s="10" t="s">
        <v>54</v>
      </c>
    </row>
    <row r="2725" spans="1:28" ht="23.1" customHeight="1" x14ac:dyDescent="0.25">
      <c r="A2725" s="14" t="s">
        <v>1333</v>
      </c>
      <c r="B2725" s="10" t="s">
        <v>110</v>
      </c>
      <c r="C2725" s="10">
        <v>84</v>
      </c>
      <c r="D2725" s="10" t="s">
        <v>924</v>
      </c>
      <c r="E2725" s="78" t="s">
        <v>409</v>
      </c>
      <c r="F2725" s="90" t="s">
        <v>409</v>
      </c>
      <c r="G2725" s="21" t="str">
        <f>VLOOKUP(D2725,[6]成飞半成品!$A:$B,2,0)</f>
        <v>接头</v>
      </c>
      <c r="H2725" s="10" t="s">
        <v>102</v>
      </c>
      <c r="I2725" s="10">
        <v>25</v>
      </c>
      <c r="J2725" s="10" t="s">
        <v>2113</v>
      </c>
      <c r="K2725" s="10">
        <v>4</v>
      </c>
      <c r="L2725" s="10">
        <v>3</v>
      </c>
      <c r="M2725" s="10">
        <v>5</v>
      </c>
      <c r="N2725" s="10">
        <v>23</v>
      </c>
      <c r="O2725" s="55" t="s">
        <v>950</v>
      </c>
      <c r="Q2725" s="10">
        <v>120</v>
      </c>
      <c r="R2725" s="10">
        <v>60</v>
      </c>
      <c r="T2725" s="10">
        <v>3</v>
      </c>
      <c r="U2725" s="10">
        <v>120</v>
      </c>
      <c r="Y2725" s="79">
        <v>9</v>
      </c>
      <c r="Z2725" s="10" t="s">
        <v>54</v>
      </c>
    </row>
    <row r="2726" spans="1:28" ht="23.1" customHeight="1" x14ac:dyDescent="0.25">
      <c r="A2726" s="14" t="s">
        <v>1333</v>
      </c>
      <c r="B2726" s="10" t="s">
        <v>110</v>
      </c>
      <c r="C2726" s="10">
        <v>84</v>
      </c>
      <c r="D2726" s="10" t="s">
        <v>436</v>
      </c>
      <c r="E2726" s="78" t="s">
        <v>437</v>
      </c>
      <c r="F2726" s="90" t="s">
        <v>437</v>
      </c>
      <c r="G2726" s="21" t="str">
        <f>VLOOKUP(D2726,[6]成飞半成品!$A:$B,2,0)</f>
        <v>外副作动器整流罩支撑件上段</v>
      </c>
      <c r="H2726" s="10" t="s">
        <v>154</v>
      </c>
      <c r="I2726" s="10">
        <v>35</v>
      </c>
      <c r="J2726" s="10" t="s">
        <v>2522</v>
      </c>
      <c r="L2726" s="10">
        <v>2</v>
      </c>
      <c r="M2726" s="10">
        <v>9</v>
      </c>
      <c r="N2726" s="10">
        <v>9</v>
      </c>
      <c r="O2726" s="55" t="s">
        <v>438</v>
      </c>
      <c r="Q2726" s="10">
        <v>90</v>
      </c>
      <c r="R2726" s="10">
        <v>60</v>
      </c>
      <c r="T2726" s="10">
        <v>2</v>
      </c>
      <c r="U2726" s="10">
        <v>120</v>
      </c>
      <c r="W2726" s="10">
        <v>1</v>
      </c>
      <c r="X2726" s="10">
        <v>3</v>
      </c>
      <c r="Y2726" s="79">
        <v>10</v>
      </c>
      <c r="Z2726" s="10" t="s">
        <v>54</v>
      </c>
      <c r="AA2726" s="14" t="s">
        <v>1778</v>
      </c>
    </row>
    <row r="2727" spans="1:28" ht="23.1" customHeight="1" x14ac:dyDescent="0.25">
      <c r="A2727" s="14" t="s">
        <v>1333</v>
      </c>
      <c r="B2727" s="10" t="s">
        <v>110</v>
      </c>
      <c r="C2727" s="10">
        <v>84</v>
      </c>
      <c r="D2727" s="10" t="s">
        <v>441</v>
      </c>
      <c r="E2727" s="78" t="s">
        <v>437</v>
      </c>
      <c r="F2727" s="90" t="s">
        <v>437</v>
      </c>
      <c r="G2727" s="21" t="str">
        <f>VLOOKUP(D2727,[6]成飞半成品!$A:$B,2,0)</f>
        <v>外副作动器整流罩支撑件上段</v>
      </c>
      <c r="H2727" s="10" t="s">
        <v>154</v>
      </c>
      <c r="I2727" s="10">
        <v>35</v>
      </c>
      <c r="J2727" s="10" t="s">
        <v>2220</v>
      </c>
      <c r="L2727" s="10">
        <v>2</v>
      </c>
      <c r="M2727" s="10">
        <v>9</v>
      </c>
      <c r="N2727" s="10">
        <v>9</v>
      </c>
      <c r="O2727" s="55" t="s">
        <v>438</v>
      </c>
      <c r="Q2727" s="10">
        <v>90</v>
      </c>
      <c r="R2727" s="10">
        <v>60</v>
      </c>
      <c r="T2727" s="10">
        <v>2</v>
      </c>
      <c r="U2727" s="10">
        <v>120</v>
      </c>
      <c r="W2727" s="10">
        <v>1</v>
      </c>
      <c r="Y2727" s="79">
        <v>7</v>
      </c>
      <c r="Z2727" s="10" t="s">
        <v>54</v>
      </c>
    </row>
    <row r="2728" spans="1:28" ht="23.1" customHeight="1" x14ac:dyDescent="0.25">
      <c r="A2728" s="14" t="s">
        <v>1333</v>
      </c>
      <c r="B2728" s="10" t="s">
        <v>110</v>
      </c>
      <c r="C2728" s="10">
        <v>91</v>
      </c>
      <c r="D2728" s="10" t="s">
        <v>254</v>
      </c>
      <c r="E2728" s="78" t="s">
        <v>255</v>
      </c>
      <c r="F2728" s="90" t="s">
        <v>1016</v>
      </c>
      <c r="G2728" s="21" t="str">
        <f>VLOOKUP(D2728,[6]成飞半成品!$A:$B,2,0)</f>
        <v>9350-11140右侧上梁</v>
      </c>
      <c r="H2728" s="10" t="s">
        <v>375</v>
      </c>
      <c r="I2728" s="10">
        <v>40</v>
      </c>
      <c r="J2728" s="10" t="s">
        <v>2110</v>
      </c>
      <c r="K2728" s="10">
        <v>0.3</v>
      </c>
      <c r="L2728" s="10">
        <v>0.4</v>
      </c>
      <c r="M2728" s="10">
        <v>37</v>
      </c>
      <c r="N2728" s="10">
        <v>37</v>
      </c>
      <c r="O2728" s="55" t="s">
        <v>1779</v>
      </c>
      <c r="Q2728" s="10">
        <v>3000</v>
      </c>
      <c r="R2728" s="10">
        <v>90</v>
      </c>
      <c r="U2728" s="10">
        <v>120</v>
      </c>
      <c r="Y2728" s="79">
        <v>20</v>
      </c>
      <c r="Z2728" s="10" t="s">
        <v>54</v>
      </c>
    </row>
    <row r="2729" spans="1:28" ht="23.1" customHeight="1" x14ac:dyDescent="0.25">
      <c r="A2729" s="14" t="s">
        <v>1333</v>
      </c>
      <c r="B2729" s="10" t="s">
        <v>110</v>
      </c>
      <c r="C2729" s="10">
        <v>119</v>
      </c>
      <c r="D2729" s="10" t="s">
        <v>830</v>
      </c>
      <c r="E2729" s="78" t="s">
        <v>788</v>
      </c>
      <c r="F2729" s="90" t="s">
        <v>788</v>
      </c>
      <c r="G2729" s="21" t="str">
        <f>VLOOKUP(D2729,[6]成飞半成品!$A:$B,2,0)</f>
        <v>根肋二段</v>
      </c>
      <c r="H2729" s="10" t="s">
        <v>123</v>
      </c>
      <c r="I2729" s="10">
        <v>15</v>
      </c>
      <c r="J2729" s="10" t="s">
        <v>2357</v>
      </c>
      <c r="K2729" s="10">
        <v>1</v>
      </c>
      <c r="L2729" s="10">
        <v>1</v>
      </c>
      <c r="M2729" s="10">
        <v>28</v>
      </c>
      <c r="O2729" s="55" t="s">
        <v>108</v>
      </c>
      <c r="Q2729" s="10">
        <v>240</v>
      </c>
      <c r="R2729" s="10">
        <v>60</v>
      </c>
      <c r="U2729" s="10">
        <v>60</v>
      </c>
      <c r="X2729" s="14">
        <v>10</v>
      </c>
      <c r="Y2729" s="79">
        <v>14</v>
      </c>
      <c r="Z2729" s="10" t="s">
        <v>54</v>
      </c>
      <c r="AA2729" s="14" t="s">
        <v>1780</v>
      </c>
    </row>
    <row r="2730" spans="1:28" ht="23.1" customHeight="1" x14ac:dyDescent="0.25">
      <c r="A2730" s="14" t="s">
        <v>1333</v>
      </c>
      <c r="B2730" s="10" t="s">
        <v>110</v>
      </c>
      <c r="C2730" s="10">
        <v>121</v>
      </c>
      <c r="D2730" s="10" t="s">
        <v>1755</v>
      </c>
      <c r="E2730" s="78" t="s">
        <v>1756</v>
      </c>
      <c r="F2730" s="90" t="e">
        <v>#N/A</v>
      </c>
      <c r="G2730" s="21" t="e">
        <f>VLOOKUP(D2730,[6]成飞半成品!$A:$B,2,0)</f>
        <v>#N/A</v>
      </c>
      <c r="H2730" s="10" t="s">
        <v>250</v>
      </c>
      <c r="I2730" s="10">
        <v>35</v>
      </c>
      <c r="J2730" s="10" t="s">
        <v>2356</v>
      </c>
      <c r="K2730" s="10">
        <v>1</v>
      </c>
      <c r="L2730" s="10">
        <v>1.4</v>
      </c>
      <c r="M2730" s="10">
        <v>19</v>
      </c>
      <c r="N2730" s="10">
        <v>5</v>
      </c>
      <c r="O2730" s="55" t="s">
        <v>1100</v>
      </c>
      <c r="Q2730" s="10">
        <v>330</v>
      </c>
      <c r="R2730" s="10">
        <v>90</v>
      </c>
      <c r="T2730" s="10">
        <v>1</v>
      </c>
      <c r="U2730" s="10">
        <v>180</v>
      </c>
      <c r="X2730" s="14">
        <v>2</v>
      </c>
      <c r="Y2730" s="79">
        <v>11.2</v>
      </c>
      <c r="Z2730" s="10" t="s">
        <v>54</v>
      </c>
      <c r="AA2730" s="14" t="s">
        <v>1691</v>
      </c>
    </row>
    <row r="2731" spans="1:28" ht="23.1" customHeight="1" x14ac:dyDescent="0.25">
      <c r="A2731" s="14" t="s">
        <v>1333</v>
      </c>
      <c r="B2731" s="10" t="s">
        <v>110</v>
      </c>
      <c r="C2731" s="10">
        <v>121</v>
      </c>
      <c r="D2731" s="10" t="s">
        <v>717</v>
      </c>
      <c r="E2731" s="78" t="s">
        <v>718</v>
      </c>
      <c r="F2731" s="90" t="s">
        <v>718</v>
      </c>
      <c r="G2731" s="21" t="str">
        <f>VLOOKUP(D2731,[6]成飞半成品!$A:$B,2,0)</f>
        <v>上边肋</v>
      </c>
      <c r="H2731" s="10" t="s">
        <v>118</v>
      </c>
      <c r="I2731" s="10">
        <v>50</v>
      </c>
      <c r="J2731" s="10" t="s">
        <v>2358</v>
      </c>
      <c r="K2731" s="10">
        <v>1</v>
      </c>
      <c r="L2731" s="10">
        <v>1</v>
      </c>
      <c r="M2731" s="10">
        <v>28</v>
      </c>
      <c r="O2731" s="55" t="s">
        <v>1563</v>
      </c>
      <c r="Q2731" s="10">
        <v>40</v>
      </c>
      <c r="R2731" s="10">
        <v>90</v>
      </c>
      <c r="T2731" s="10">
        <v>1</v>
      </c>
      <c r="U2731" s="10">
        <v>120</v>
      </c>
      <c r="W2731" s="10">
        <v>1</v>
      </c>
      <c r="X2731" s="10">
        <v>2</v>
      </c>
      <c r="Y2731" s="79">
        <v>6.2</v>
      </c>
      <c r="Z2731" s="10" t="s">
        <v>54</v>
      </c>
      <c r="AA2731" s="14" t="s">
        <v>1548</v>
      </c>
    </row>
    <row r="2732" spans="1:28" ht="23.1" customHeight="1" x14ac:dyDescent="0.25">
      <c r="A2732" s="14" t="s">
        <v>1333</v>
      </c>
      <c r="B2732" s="10" t="s">
        <v>110</v>
      </c>
      <c r="C2732" s="10">
        <v>58</v>
      </c>
      <c r="D2732" s="10" t="s">
        <v>1759</v>
      </c>
      <c r="E2732" s="78" t="s">
        <v>409</v>
      </c>
      <c r="F2732" s="90" t="s">
        <v>409</v>
      </c>
      <c r="G2732" s="21" t="str">
        <f>VLOOKUP(D2732,[6]成飞半成品!$A:$B,2,0)</f>
        <v>接头</v>
      </c>
      <c r="H2732" s="10" t="s">
        <v>658</v>
      </c>
      <c r="I2732" s="10">
        <v>25</v>
      </c>
      <c r="J2732" s="10" t="s">
        <v>2314</v>
      </c>
      <c r="K2732" s="10">
        <v>7</v>
      </c>
      <c r="L2732" s="10">
        <v>14</v>
      </c>
      <c r="M2732" s="10">
        <v>9</v>
      </c>
      <c r="N2732" s="10">
        <v>28</v>
      </c>
      <c r="O2732" s="55" t="s">
        <v>282</v>
      </c>
      <c r="Q2732" s="10">
        <v>40</v>
      </c>
      <c r="U2732" s="10">
        <v>90</v>
      </c>
      <c r="W2732" s="10">
        <v>1</v>
      </c>
      <c r="X2732" s="14">
        <v>2</v>
      </c>
      <c r="Y2732" s="79">
        <v>12.8</v>
      </c>
      <c r="Z2732" s="10" t="s">
        <v>7</v>
      </c>
      <c r="AA2732" s="14" t="s">
        <v>1671</v>
      </c>
      <c r="AB2732" s="14" t="s">
        <v>238</v>
      </c>
    </row>
    <row r="2733" spans="1:28" ht="23.1" customHeight="1" x14ac:dyDescent="0.25">
      <c r="A2733" s="14" t="s">
        <v>1333</v>
      </c>
      <c r="B2733" s="10" t="s">
        <v>110</v>
      </c>
      <c r="C2733" s="10">
        <v>11</v>
      </c>
      <c r="D2733" s="10" t="s">
        <v>1296</v>
      </c>
      <c r="E2733" s="78" t="s">
        <v>1297</v>
      </c>
      <c r="F2733" s="90" t="s">
        <v>1297</v>
      </c>
      <c r="G2733" s="21" t="str">
        <f>VLOOKUP(D2733,[6]成飞半成品!$A:$B,2,0)</f>
        <v>固定板</v>
      </c>
      <c r="H2733" s="10" t="s">
        <v>154</v>
      </c>
      <c r="I2733" s="10">
        <v>30</v>
      </c>
      <c r="J2733" s="10" t="s">
        <v>1863</v>
      </c>
      <c r="K2733" s="10">
        <v>3</v>
      </c>
      <c r="L2733" s="10">
        <v>1</v>
      </c>
      <c r="M2733" s="10">
        <v>28</v>
      </c>
      <c r="O2733" s="55" t="s">
        <v>247</v>
      </c>
      <c r="Q2733" s="10">
        <v>160</v>
      </c>
      <c r="U2733" s="10">
        <v>60</v>
      </c>
      <c r="Y2733" s="79">
        <v>2.7</v>
      </c>
      <c r="Z2733" s="10" t="s">
        <v>63</v>
      </c>
    </row>
    <row r="2734" spans="1:28" ht="23.1" customHeight="1" x14ac:dyDescent="0.25">
      <c r="A2734" s="14" t="s">
        <v>1333</v>
      </c>
      <c r="B2734" s="10" t="s">
        <v>110</v>
      </c>
      <c r="C2734" s="10">
        <v>78</v>
      </c>
      <c r="D2734" s="10" t="s">
        <v>2557</v>
      </c>
      <c r="E2734" s="78" t="s">
        <v>1013</v>
      </c>
      <c r="F2734" s="90" t="s">
        <v>1013</v>
      </c>
      <c r="G2734" s="21" t="str">
        <f>VLOOKUP(D2734,[6]成飞半成品!$A:$B,2,0)</f>
        <v>9350-11140左侧上梁</v>
      </c>
      <c r="H2734" s="10" t="s">
        <v>250</v>
      </c>
      <c r="I2734" s="10">
        <v>40</v>
      </c>
      <c r="J2734" s="10" t="s">
        <v>1902</v>
      </c>
      <c r="K2734" s="10">
        <v>3</v>
      </c>
      <c r="L2734" s="10">
        <v>3.2</v>
      </c>
      <c r="M2734" s="10">
        <v>23</v>
      </c>
      <c r="N2734" s="10">
        <v>28</v>
      </c>
      <c r="O2734" s="55" t="s">
        <v>429</v>
      </c>
      <c r="Q2734" s="10">
        <v>250</v>
      </c>
      <c r="R2734" s="10">
        <v>60</v>
      </c>
      <c r="T2734" s="10">
        <v>3</v>
      </c>
      <c r="U2734" s="10">
        <v>90</v>
      </c>
      <c r="Y2734" s="79">
        <v>16.3</v>
      </c>
      <c r="Z2734" s="10" t="s">
        <v>19</v>
      </c>
    </row>
    <row r="2735" spans="1:28" ht="23.1" customHeight="1" x14ac:dyDescent="0.25">
      <c r="A2735" s="14" t="s">
        <v>1333</v>
      </c>
      <c r="B2735" s="10" t="s">
        <v>110</v>
      </c>
      <c r="C2735" s="10">
        <v>57</v>
      </c>
      <c r="D2735" s="10" t="s">
        <v>1031</v>
      </c>
      <c r="E2735" s="78" t="s">
        <v>1032</v>
      </c>
      <c r="F2735" s="90" t="s">
        <v>1032</v>
      </c>
      <c r="G2735" s="21" t="str">
        <f>VLOOKUP(D2735,[6]成飞半成品!$A:$B,2,0)</f>
        <v>前上大梁（左）</v>
      </c>
      <c r="H2735" s="10" t="s">
        <v>107</v>
      </c>
      <c r="I2735" s="10">
        <v>20</v>
      </c>
      <c r="J2735" s="10" t="s">
        <v>2213</v>
      </c>
      <c r="K2735" s="10">
        <v>3.5</v>
      </c>
      <c r="L2735" s="10">
        <v>4</v>
      </c>
      <c r="M2735" s="10">
        <v>5</v>
      </c>
      <c r="N2735" s="10">
        <v>28</v>
      </c>
      <c r="O2735" s="55" t="s">
        <v>1574</v>
      </c>
      <c r="Q2735" s="10">
        <v>180</v>
      </c>
      <c r="U2735" s="10">
        <v>90</v>
      </c>
      <c r="Y2735" s="79">
        <v>12</v>
      </c>
      <c r="Z2735" s="10" t="s">
        <v>7</v>
      </c>
    </row>
    <row r="2736" spans="1:28" ht="23.1" customHeight="1" x14ac:dyDescent="0.25">
      <c r="A2736" s="14" t="s">
        <v>1333</v>
      </c>
      <c r="B2736" s="10" t="s">
        <v>110</v>
      </c>
      <c r="C2736" s="10">
        <v>12</v>
      </c>
      <c r="D2736" s="10" t="s">
        <v>735</v>
      </c>
      <c r="E2736" s="78" t="s">
        <v>249</v>
      </c>
      <c r="F2736" s="90" t="s">
        <v>249</v>
      </c>
      <c r="G2736" s="21" t="str">
        <f>VLOOKUP(D2736,[6]成飞半成品!$A:$B,2,0)</f>
        <v>10060下接头</v>
      </c>
      <c r="H2736" s="10" t="s">
        <v>250</v>
      </c>
      <c r="I2736" s="10">
        <v>25</v>
      </c>
      <c r="J2736" s="10" t="s">
        <v>1923</v>
      </c>
      <c r="K2736" s="10">
        <v>1</v>
      </c>
      <c r="L2736" s="10">
        <v>1</v>
      </c>
      <c r="M2736" s="10">
        <v>28</v>
      </c>
      <c r="O2736" s="55" t="s">
        <v>1781</v>
      </c>
      <c r="Q2736" s="10">
        <v>1080</v>
      </c>
      <c r="U2736" s="10">
        <v>120</v>
      </c>
      <c r="Y2736" s="79">
        <v>18</v>
      </c>
      <c r="Z2736" s="10" t="s">
        <v>72</v>
      </c>
    </row>
    <row r="2737" spans="1:28" ht="23.1" customHeight="1" x14ac:dyDescent="0.25">
      <c r="A2737" s="14" t="s">
        <v>1333</v>
      </c>
      <c r="B2737" s="10" t="s">
        <v>110</v>
      </c>
      <c r="C2737" s="10">
        <v>22</v>
      </c>
      <c r="D2737" s="10" t="s">
        <v>100</v>
      </c>
      <c r="E2737" s="78" t="s">
        <v>101</v>
      </c>
      <c r="F2737" s="90" t="s">
        <v>101</v>
      </c>
      <c r="G2737" s="21" t="str">
        <f>VLOOKUP(D2737,[6]成飞半成品!$A:$B,2,0)</f>
        <v>前梁一段</v>
      </c>
      <c r="H2737" s="10" t="s">
        <v>154</v>
      </c>
      <c r="I2737" s="10">
        <v>10</v>
      </c>
      <c r="J2737" s="10" t="s">
        <v>2523</v>
      </c>
      <c r="L2737" s="10">
        <v>0.5</v>
      </c>
      <c r="M2737" s="10">
        <v>28</v>
      </c>
      <c r="O2737" s="55" t="s">
        <v>613</v>
      </c>
      <c r="Q2737" s="10">
        <v>2700</v>
      </c>
      <c r="R2737" s="10">
        <v>240</v>
      </c>
      <c r="U2737" s="10">
        <v>240</v>
      </c>
      <c r="Y2737" s="79">
        <v>22.5</v>
      </c>
      <c r="Z2737" s="10" t="s">
        <v>58</v>
      </c>
    </row>
    <row r="2738" spans="1:28" ht="23.1" customHeight="1" x14ac:dyDescent="0.25">
      <c r="A2738" s="14" t="s">
        <v>1333</v>
      </c>
      <c r="B2738" s="10" t="s">
        <v>110</v>
      </c>
      <c r="C2738" s="10">
        <v>21</v>
      </c>
      <c r="D2738" s="10" t="s">
        <v>321</v>
      </c>
      <c r="E2738" s="78" t="s">
        <v>322</v>
      </c>
      <c r="F2738" s="90" t="s">
        <v>322</v>
      </c>
      <c r="G2738" s="21" t="str">
        <f>VLOOKUP(D2738,[6]成飞半成品!$A:$B,2,0)</f>
        <v>10860框</v>
      </c>
      <c r="H2738" s="10" t="s">
        <v>323</v>
      </c>
      <c r="I2738" s="10">
        <v>10</v>
      </c>
      <c r="J2738" s="10" t="s">
        <v>2046</v>
      </c>
      <c r="K2738" s="10">
        <v>2</v>
      </c>
      <c r="L2738" s="10">
        <v>2</v>
      </c>
      <c r="M2738" s="10">
        <v>5</v>
      </c>
      <c r="N2738" s="10">
        <v>28</v>
      </c>
      <c r="O2738" s="55" t="s">
        <v>1482</v>
      </c>
      <c r="Q2738" s="10">
        <v>420</v>
      </c>
      <c r="R2738" s="10">
        <v>120</v>
      </c>
      <c r="T2738" s="10">
        <v>2</v>
      </c>
      <c r="U2738" s="10">
        <v>180</v>
      </c>
      <c r="Y2738" s="79">
        <v>18</v>
      </c>
      <c r="Z2738" s="10" t="s">
        <v>58</v>
      </c>
    </row>
    <row r="2739" spans="1:28" ht="23.1" customHeight="1" x14ac:dyDescent="0.25">
      <c r="A2739" s="14" t="s">
        <v>1333</v>
      </c>
      <c r="B2739" s="10" t="s">
        <v>110</v>
      </c>
      <c r="C2739" s="10">
        <v>21</v>
      </c>
      <c r="D2739" s="10" t="s">
        <v>321</v>
      </c>
      <c r="E2739" s="78" t="s">
        <v>322</v>
      </c>
      <c r="F2739" s="90" t="s">
        <v>322</v>
      </c>
      <c r="G2739" s="21" t="str">
        <f>VLOOKUP(D2739,[6]成飞半成品!$A:$B,2,0)</f>
        <v>10860框</v>
      </c>
      <c r="H2739" s="10" t="s">
        <v>323</v>
      </c>
      <c r="I2739" s="10">
        <v>15</v>
      </c>
      <c r="J2739" s="10" t="s">
        <v>2048</v>
      </c>
      <c r="L2739" s="10">
        <v>0.1</v>
      </c>
      <c r="M2739" s="10">
        <v>31</v>
      </c>
      <c r="O2739" s="55" t="s">
        <v>607</v>
      </c>
      <c r="Q2739" s="10">
        <v>210</v>
      </c>
      <c r="R2739" s="10">
        <v>120</v>
      </c>
      <c r="T2739" s="10">
        <v>1</v>
      </c>
      <c r="U2739" s="10">
        <v>180</v>
      </c>
      <c r="W2739" s="10">
        <v>1</v>
      </c>
      <c r="Y2739" s="79">
        <v>5.4</v>
      </c>
      <c r="Z2739" s="10" t="s">
        <v>58</v>
      </c>
    </row>
    <row r="2740" spans="1:28" ht="23.1" customHeight="1" x14ac:dyDescent="0.25">
      <c r="A2740" s="14" t="s">
        <v>1333</v>
      </c>
      <c r="B2740" s="10" t="s">
        <v>110</v>
      </c>
      <c r="C2740" s="10">
        <v>77</v>
      </c>
      <c r="D2740" s="10" t="s">
        <v>1698</v>
      </c>
      <c r="E2740" s="78" t="s">
        <v>1699</v>
      </c>
      <c r="F2740" s="90" t="s">
        <v>1699</v>
      </c>
      <c r="G2740" s="21" t="str">
        <f>VLOOKUP(D2740,[6]成飞半成品!$A:$B,2,0)</f>
        <v>Z型件</v>
      </c>
      <c r="H2740" s="10" t="s">
        <v>118</v>
      </c>
      <c r="I2740" s="10">
        <v>20</v>
      </c>
      <c r="J2740" s="10" t="s">
        <v>2353</v>
      </c>
      <c r="L2740" s="10">
        <v>20</v>
      </c>
      <c r="M2740" s="10">
        <v>19</v>
      </c>
      <c r="N2740" s="10">
        <v>19</v>
      </c>
      <c r="O2740" s="55" t="s">
        <v>282</v>
      </c>
      <c r="Q2740" s="10">
        <v>20</v>
      </c>
      <c r="U2740" s="10">
        <v>90</v>
      </c>
      <c r="W2740" s="10">
        <v>1</v>
      </c>
      <c r="Y2740" s="79">
        <v>8.1999999999999993</v>
      </c>
      <c r="Z2740" s="10" t="s">
        <v>15</v>
      </c>
    </row>
    <row r="2741" spans="1:28" ht="23.1" customHeight="1" x14ac:dyDescent="0.25">
      <c r="A2741" s="14" t="s">
        <v>1333</v>
      </c>
      <c r="B2741" s="10" t="s">
        <v>110</v>
      </c>
      <c r="C2741" s="10">
        <v>77</v>
      </c>
      <c r="D2741" s="10" t="s">
        <v>1663</v>
      </c>
      <c r="E2741" s="78" t="s">
        <v>409</v>
      </c>
      <c r="F2741" s="90" t="s">
        <v>409</v>
      </c>
      <c r="G2741" s="21" t="str">
        <f>VLOOKUP(D2741,[6]成飞半成品!$A:$B,2,0)</f>
        <v>接头</v>
      </c>
      <c r="H2741" s="10" t="s">
        <v>102</v>
      </c>
      <c r="I2741" s="10">
        <v>10</v>
      </c>
      <c r="J2741" s="10" t="s">
        <v>2038</v>
      </c>
      <c r="L2741" s="10">
        <v>13</v>
      </c>
      <c r="M2741" s="10">
        <v>31</v>
      </c>
      <c r="N2741" s="10">
        <v>31</v>
      </c>
      <c r="O2741" s="55" t="s">
        <v>596</v>
      </c>
      <c r="Q2741" s="10">
        <v>40</v>
      </c>
      <c r="U2741" s="10">
        <v>60</v>
      </c>
      <c r="Y2741" s="79">
        <v>8.6999999999999993</v>
      </c>
      <c r="Z2741" s="10" t="s">
        <v>46</v>
      </c>
      <c r="AA2741" s="14" t="s">
        <v>1709</v>
      </c>
    </row>
    <row r="2742" spans="1:28" ht="23.1" customHeight="1" x14ac:dyDescent="0.25">
      <c r="A2742" s="14" t="s">
        <v>1333</v>
      </c>
      <c r="B2742" s="10" t="s">
        <v>110</v>
      </c>
      <c r="C2742" s="10">
        <v>14</v>
      </c>
      <c r="D2742" s="10" t="s">
        <v>1295</v>
      </c>
      <c r="E2742" s="78" t="s">
        <v>409</v>
      </c>
      <c r="F2742" s="90" t="s">
        <v>409</v>
      </c>
      <c r="G2742" s="21" t="str">
        <f>VLOOKUP(D2742,[6]成飞半成品!$A:$B,2,0)</f>
        <v>接头</v>
      </c>
      <c r="H2742" s="10" t="s">
        <v>102</v>
      </c>
      <c r="I2742" s="10">
        <v>15</v>
      </c>
      <c r="J2742" s="10" t="s">
        <v>2205</v>
      </c>
      <c r="L2742" s="10">
        <v>4</v>
      </c>
      <c r="M2742" s="10">
        <v>19</v>
      </c>
      <c r="N2742" s="10">
        <v>19</v>
      </c>
      <c r="O2742" s="55" t="s">
        <v>596</v>
      </c>
      <c r="Q2742" s="10">
        <v>40</v>
      </c>
      <c r="U2742" s="10">
        <v>60</v>
      </c>
      <c r="W2742" s="10">
        <v>1</v>
      </c>
      <c r="Y2742" s="79">
        <v>3.7</v>
      </c>
      <c r="Z2742" s="10" t="s">
        <v>31</v>
      </c>
    </row>
    <row r="2743" spans="1:28" ht="23.1" customHeight="1" x14ac:dyDescent="0.25">
      <c r="A2743" s="14" t="s">
        <v>1333</v>
      </c>
      <c r="B2743" s="10" t="s">
        <v>110</v>
      </c>
      <c r="C2743" s="10">
        <v>14</v>
      </c>
      <c r="D2743" s="10" t="s">
        <v>1294</v>
      </c>
      <c r="E2743" s="78" t="s">
        <v>409</v>
      </c>
      <c r="F2743" s="90" t="s">
        <v>409</v>
      </c>
      <c r="G2743" s="21" t="str">
        <f>VLOOKUP(D2743,[6]成飞半成品!$A:$B,2,0)</f>
        <v>接头</v>
      </c>
      <c r="H2743" s="10" t="s">
        <v>102</v>
      </c>
      <c r="I2743" s="10">
        <v>15</v>
      </c>
      <c r="J2743" s="10" t="s">
        <v>2056</v>
      </c>
      <c r="L2743" s="10">
        <v>4</v>
      </c>
      <c r="M2743" s="10">
        <v>19</v>
      </c>
      <c r="N2743" s="10">
        <v>19</v>
      </c>
      <c r="O2743" s="55" t="s">
        <v>596</v>
      </c>
      <c r="Q2743" s="10">
        <v>45</v>
      </c>
      <c r="U2743" s="10">
        <v>60</v>
      </c>
      <c r="W2743" s="10">
        <v>1</v>
      </c>
      <c r="X2743" s="14">
        <v>2</v>
      </c>
      <c r="Y2743" s="79">
        <v>6</v>
      </c>
      <c r="Z2743" s="10" t="s">
        <v>31</v>
      </c>
      <c r="AA2743" s="14" t="s">
        <v>1540</v>
      </c>
      <c r="AB2743" s="14" t="s">
        <v>238</v>
      </c>
    </row>
    <row r="2744" spans="1:28" ht="23.1" customHeight="1" x14ac:dyDescent="0.25">
      <c r="A2744" s="14" t="s">
        <v>1333</v>
      </c>
      <c r="B2744" s="10" t="s">
        <v>110</v>
      </c>
      <c r="C2744" s="10">
        <v>59</v>
      </c>
      <c r="D2744" s="10" t="s">
        <v>1742</v>
      </c>
      <c r="E2744" s="78" t="s">
        <v>1743</v>
      </c>
      <c r="F2744" s="90" t="e">
        <v>#N/A</v>
      </c>
      <c r="G2744" s="21" t="e">
        <f>VLOOKUP(D2744,[6]成飞半成品!$A:$B,2,0)</f>
        <v>#N/A</v>
      </c>
      <c r="H2744" s="10" t="s">
        <v>154</v>
      </c>
      <c r="I2744" s="10">
        <v>15</v>
      </c>
      <c r="J2744" s="10" t="s">
        <v>1895</v>
      </c>
      <c r="L2744" s="10">
        <v>10</v>
      </c>
      <c r="M2744" s="10">
        <v>23</v>
      </c>
      <c r="N2744" s="10">
        <v>23</v>
      </c>
      <c r="O2744" s="55" t="s">
        <v>418</v>
      </c>
      <c r="Q2744" s="10">
        <v>70</v>
      </c>
      <c r="U2744" s="10">
        <v>60</v>
      </c>
      <c r="W2744" s="10">
        <v>1</v>
      </c>
      <c r="X2744" s="14">
        <v>3</v>
      </c>
      <c r="Y2744" s="79">
        <v>15.7</v>
      </c>
      <c r="Z2744" s="65" t="s">
        <v>1847</v>
      </c>
      <c r="AA2744" s="14" t="s">
        <v>1245</v>
      </c>
      <c r="AB2744" s="14" t="s">
        <v>238</v>
      </c>
    </row>
    <row r="2745" spans="1:28" ht="23.1" customHeight="1" x14ac:dyDescent="0.25">
      <c r="A2745" s="14" t="s">
        <v>1333</v>
      </c>
      <c r="B2745" s="10" t="s">
        <v>110</v>
      </c>
      <c r="C2745" s="10">
        <v>17</v>
      </c>
      <c r="D2745" s="10" t="s">
        <v>1702</v>
      </c>
      <c r="E2745" s="78" t="s">
        <v>625</v>
      </c>
      <c r="F2745" s="90" t="s">
        <v>625</v>
      </c>
      <c r="G2745" s="21" t="str">
        <f>VLOOKUP(D2745,[6]成飞半成品!$A:$B,2,0)</f>
        <v>支架</v>
      </c>
      <c r="H2745" s="10" t="s">
        <v>250</v>
      </c>
      <c r="I2745" s="10">
        <v>35</v>
      </c>
      <c r="J2745" s="10" t="s">
        <v>2359</v>
      </c>
      <c r="K2745" s="10">
        <v>10</v>
      </c>
      <c r="L2745" s="10">
        <v>13</v>
      </c>
      <c r="M2745" s="10">
        <v>19</v>
      </c>
      <c r="N2745" s="10">
        <v>28</v>
      </c>
      <c r="O2745" s="55" t="s">
        <v>247</v>
      </c>
      <c r="Q2745" s="10">
        <v>65</v>
      </c>
      <c r="U2745" s="10">
        <v>120</v>
      </c>
      <c r="W2745" s="10">
        <v>1</v>
      </c>
      <c r="Y2745" s="79">
        <v>16.100000000000001</v>
      </c>
      <c r="Z2745" s="10" t="s">
        <v>16</v>
      </c>
    </row>
    <row r="2746" spans="1:28" ht="23.1" customHeight="1" x14ac:dyDescent="0.25">
      <c r="A2746" s="14" t="s">
        <v>1333</v>
      </c>
      <c r="B2746" s="10" t="s">
        <v>110</v>
      </c>
      <c r="C2746" s="10">
        <v>18</v>
      </c>
      <c r="D2746" s="10" t="s">
        <v>1030</v>
      </c>
      <c r="E2746" s="78" t="s">
        <v>919</v>
      </c>
      <c r="F2746" s="90" t="s">
        <v>919</v>
      </c>
      <c r="G2746" s="21" t="str">
        <f>VLOOKUP(D2746,[6]成飞半成品!$A:$B,2,0)</f>
        <v>雷达罩锁支座</v>
      </c>
      <c r="H2746" s="10" t="s">
        <v>323</v>
      </c>
      <c r="I2746" s="10">
        <v>15</v>
      </c>
      <c r="J2746" s="10" t="s">
        <v>2524</v>
      </c>
      <c r="K2746" s="10">
        <v>3</v>
      </c>
      <c r="L2746" s="10">
        <v>4</v>
      </c>
      <c r="M2746" s="10">
        <v>19</v>
      </c>
      <c r="N2746" s="10">
        <v>28</v>
      </c>
      <c r="O2746" s="55" t="s">
        <v>780</v>
      </c>
      <c r="Q2746" s="10">
        <v>210</v>
      </c>
      <c r="U2746" s="10">
        <v>90</v>
      </c>
      <c r="Y2746" s="79">
        <v>14</v>
      </c>
      <c r="Z2746" s="10" t="s">
        <v>16</v>
      </c>
    </row>
    <row r="2747" spans="1:28" ht="23.1" customHeight="1" x14ac:dyDescent="0.25">
      <c r="A2747" s="14" t="s">
        <v>1333</v>
      </c>
      <c r="B2747" s="10" t="s">
        <v>110</v>
      </c>
      <c r="C2747" s="10">
        <v>55</v>
      </c>
      <c r="D2747" s="10" t="s">
        <v>273</v>
      </c>
      <c r="E2747" s="78" t="s">
        <v>274</v>
      </c>
      <c r="F2747" s="90" t="s">
        <v>274</v>
      </c>
      <c r="G2747" s="21" t="str">
        <f>VLOOKUP(D2747,[6]成飞半成品!$A:$B,2,0)</f>
        <v>前起落架水平接头</v>
      </c>
      <c r="H2747" s="10" t="s">
        <v>123</v>
      </c>
      <c r="I2747" s="10">
        <v>45</v>
      </c>
      <c r="J2747" s="10" t="s">
        <v>1954</v>
      </c>
      <c r="K2747" s="10">
        <v>3</v>
      </c>
      <c r="L2747" s="10">
        <v>3</v>
      </c>
      <c r="M2747" s="10">
        <v>23</v>
      </c>
      <c r="N2747" s="10">
        <v>28</v>
      </c>
      <c r="O2747" s="55" t="s">
        <v>275</v>
      </c>
      <c r="Q2747" s="10">
        <v>240</v>
      </c>
      <c r="U2747" s="10">
        <v>90</v>
      </c>
      <c r="Y2747" s="79">
        <v>12</v>
      </c>
      <c r="Z2747" s="10" t="s">
        <v>44</v>
      </c>
    </row>
    <row r="2748" spans="1:28" ht="23.1" customHeight="1" x14ac:dyDescent="0.25">
      <c r="A2748" s="14" t="s">
        <v>1333</v>
      </c>
      <c r="B2748" s="10" t="s">
        <v>110</v>
      </c>
      <c r="C2748" s="10">
        <v>76</v>
      </c>
      <c r="D2748" s="10" t="s">
        <v>1663</v>
      </c>
      <c r="E2748" s="78" t="s">
        <v>409</v>
      </c>
      <c r="F2748" s="90" t="s">
        <v>409</v>
      </c>
      <c r="G2748" s="21" t="str">
        <f>VLOOKUP(D2748,[6]成飞半成品!$A:$B,2,0)</f>
        <v>接头</v>
      </c>
      <c r="H2748" s="10" t="s">
        <v>102</v>
      </c>
      <c r="I2748" s="10">
        <v>5</v>
      </c>
      <c r="J2748" s="10" t="s">
        <v>1957</v>
      </c>
      <c r="K2748" s="10">
        <v>8</v>
      </c>
      <c r="L2748" s="10">
        <v>16</v>
      </c>
      <c r="M2748" s="10">
        <v>9</v>
      </c>
      <c r="N2748" s="10">
        <v>9</v>
      </c>
      <c r="O2748" s="55" t="s">
        <v>596</v>
      </c>
      <c r="Q2748" s="10">
        <v>40</v>
      </c>
      <c r="U2748" s="10">
        <v>60</v>
      </c>
      <c r="W2748" s="10">
        <v>1</v>
      </c>
      <c r="X2748" s="14">
        <v>3</v>
      </c>
      <c r="Y2748" s="79">
        <v>14.7</v>
      </c>
      <c r="Z2748" s="10" t="s">
        <v>46</v>
      </c>
      <c r="AA2748" s="14" t="s">
        <v>1782</v>
      </c>
      <c r="AB2748" s="14" t="s">
        <v>238</v>
      </c>
    </row>
    <row r="2749" spans="1:28" ht="23.1" customHeight="1" x14ac:dyDescent="0.25">
      <c r="A2749" s="14" t="s">
        <v>1333</v>
      </c>
      <c r="B2749" s="10" t="s">
        <v>110</v>
      </c>
      <c r="C2749" s="10">
        <v>76</v>
      </c>
      <c r="D2749" s="10" t="s">
        <v>1663</v>
      </c>
      <c r="E2749" s="78" t="s">
        <v>409</v>
      </c>
      <c r="F2749" s="90" t="s">
        <v>409</v>
      </c>
      <c r="G2749" s="21" t="str">
        <f>VLOOKUP(D2749,[6]成飞半成品!$A:$B,2,0)</f>
        <v>接头</v>
      </c>
      <c r="H2749" s="10" t="s">
        <v>102</v>
      </c>
      <c r="I2749" s="10">
        <v>10</v>
      </c>
      <c r="J2749" s="10" t="s">
        <v>2038</v>
      </c>
      <c r="K2749" s="10">
        <v>4</v>
      </c>
      <c r="L2749" s="10">
        <v>3</v>
      </c>
      <c r="M2749" s="10">
        <v>9</v>
      </c>
      <c r="N2749" s="10">
        <v>31</v>
      </c>
      <c r="O2749" s="55" t="s">
        <v>596</v>
      </c>
      <c r="Q2749" s="10">
        <v>40</v>
      </c>
      <c r="U2749" s="10">
        <v>60</v>
      </c>
      <c r="W2749" s="10">
        <v>1</v>
      </c>
      <c r="X2749" s="14">
        <v>3</v>
      </c>
      <c r="Y2749" s="79">
        <v>6</v>
      </c>
      <c r="Z2749" s="10" t="s">
        <v>46</v>
      </c>
      <c r="AA2749" s="14" t="s">
        <v>1783</v>
      </c>
      <c r="AB2749" s="14" t="s">
        <v>238</v>
      </c>
    </row>
    <row r="2750" spans="1:28" ht="23.1" customHeight="1" x14ac:dyDescent="0.25">
      <c r="A2750" s="14" t="s">
        <v>1333</v>
      </c>
      <c r="B2750" s="10" t="s">
        <v>110</v>
      </c>
      <c r="C2750" s="10">
        <v>56</v>
      </c>
      <c r="D2750" s="10" t="s">
        <v>273</v>
      </c>
      <c r="E2750" s="78" t="s">
        <v>274</v>
      </c>
      <c r="F2750" s="90" t="s">
        <v>274</v>
      </c>
      <c r="G2750" s="21" t="str">
        <f>VLOOKUP(D2750,[6]成飞半成品!$A:$B,2,0)</f>
        <v>前起落架水平接头</v>
      </c>
      <c r="H2750" s="10" t="s">
        <v>123</v>
      </c>
      <c r="I2750" s="10">
        <v>50</v>
      </c>
      <c r="J2750" s="10" t="s">
        <v>2360</v>
      </c>
      <c r="L2750" s="10">
        <v>20</v>
      </c>
      <c r="M2750" s="10">
        <v>19</v>
      </c>
      <c r="N2750" s="10">
        <v>28</v>
      </c>
      <c r="O2750" s="55" t="s">
        <v>275</v>
      </c>
      <c r="Q2750" s="10">
        <v>30</v>
      </c>
      <c r="U2750" s="10">
        <v>60</v>
      </c>
      <c r="W2750" s="10">
        <v>1</v>
      </c>
      <c r="Y2750" s="79">
        <v>11</v>
      </c>
      <c r="Z2750" s="10" t="s">
        <v>44</v>
      </c>
    </row>
    <row r="2751" spans="1:28" ht="23.1" customHeight="1" x14ac:dyDescent="0.25">
      <c r="A2751" s="14" t="s">
        <v>1333</v>
      </c>
      <c r="B2751" s="10" t="s">
        <v>110</v>
      </c>
      <c r="C2751" s="10">
        <v>56</v>
      </c>
      <c r="D2751" s="10" t="s">
        <v>273</v>
      </c>
      <c r="E2751" s="78" t="s">
        <v>274</v>
      </c>
      <c r="F2751" s="90" t="s">
        <v>274</v>
      </c>
      <c r="G2751" s="21" t="str">
        <f>VLOOKUP(D2751,[6]成飞半成品!$A:$B,2,0)</f>
        <v>前起落架水平接头</v>
      </c>
      <c r="H2751" s="10" t="s">
        <v>123</v>
      </c>
      <c r="I2751" s="10">
        <v>55</v>
      </c>
      <c r="J2751" s="10" t="s">
        <v>2119</v>
      </c>
      <c r="L2751" s="10">
        <v>20</v>
      </c>
      <c r="M2751" s="10">
        <v>19</v>
      </c>
      <c r="N2751" s="10">
        <v>28</v>
      </c>
      <c r="O2751" s="55" t="s">
        <v>275</v>
      </c>
      <c r="Q2751" s="10">
        <v>30</v>
      </c>
      <c r="U2751" s="10">
        <v>60</v>
      </c>
      <c r="W2751" s="10">
        <v>1</v>
      </c>
      <c r="Y2751" s="79">
        <v>11</v>
      </c>
      <c r="Z2751" s="10" t="s">
        <v>44</v>
      </c>
    </row>
    <row r="2752" spans="1:28" ht="23.1" customHeight="1" x14ac:dyDescent="0.25">
      <c r="A2752" s="14" t="s">
        <v>1333</v>
      </c>
      <c r="B2752" s="10" t="s">
        <v>110</v>
      </c>
      <c r="C2752" s="10">
        <v>16</v>
      </c>
      <c r="D2752" s="10" t="s">
        <v>1280</v>
      </c>
      <c r="E2752" s="78" t="s">
        <v>595</v>
      </c>
      <c r="F2752" s="90" t="s">
        <v>595</v>
      </c>
      <c r="G2752" s="21" t="str">
        <f>VLOOKUP(D2752,[6]成飞半成品!$A:$B,2,0)</f>
        <v>加强件</v>
      </c>
      <c r="H2752" s="10" t="s">
        <v>102</v>
      </c>
      <c r="I2752" s="10">
        <v>5</v>
      </c>
      <c r="J2752" s="10" t="s">
        <v>2060</v>
      </c>
      <c r="L2752" s="10">
        <v>2</v>
      </c>
      <c r="M2752" s="10">
        <v>23</v>
      </c>
      <c r="N2752" s="10">
        <v>28</v>
      </c>
      <c r="O2752" s="55" t="s">
        <v>596</v>
      </c>
      <c r="Q2752" s="10">
        <v>45</v>
      </c>
      <c r="U2752" s="10">
        <v>60</v>
      </c>
      <c r="W2752" s="10">
        <v>1</v>
      </c>
      <c r="Y2752" s="79">
        <v>2.5</v>
      </c>
      <c r="Z2752" s="10" t="s">
        <v>63</v>
      </c>
    </row>
    <row r="2753" spans="1:28" ht="23.1" customHeight="1" x14ac:dyDescent="0.25">
      <c r="A2753" s="14" t="s">
        <v>1333</v>
      </c>
      <c r="B2753" s="10" t="s">
        <v>110</v>
      </c>
      <c r="C2753" s="10">
        <v>16</v>
      </c>
      <c r="D2753" s="10" t="s">
        <v>1280</v>
      </c>
      <c r="E2753" s="78" t="s">
        <v>595</v>
      </c>
      <c r="F2753" s="90" t="s">
        <v>595</v>
      </c>
      <c r="G2753" s="21" t="str">
        <f>VLOOKUP(D2753,[6]成飞半成品!$A:$B,2,0)</f>
        <v>加强件</v>
      </c>
      <c r="H2753" s="10" t="s">
        <v>102</v>
      </c>
      <c r="I2753" s="10">
        <v>10</v>
      </c>
      <c r="J2753" s="10" t="s">
        <v>2226</v>
      </c>
      <c r="L2753" s="10">
        <v>2</v>
      </c>
      <c r="M2753" s="10">
        <v>23</v>
      </c>
      <c r="N2753" s="10">
        <v>28</v>
      </c>
      <c r="O2753" s="55" t="s">
        <v>596</v>
      </c>
      <c r="Q2753" s="10">
        <v>50</v>
      </c>
      <c r="U2753" s="10">
        <v>90</v>
      </c>
      <c r="W2753" s="10">
        <v>1</v>
      </c>
      <c r="Y2753" s="79">
        <v>3.2</v>
      </c>
      <c r="Z2753" s="10" t="s">
        <v>63</v>
      </c>
    </row>
    <row r="2754" spans="1:28" ht="23.1" customHeight="1" x14ac:dyDescent="0.25">
      <c r="A2754" s="14" t="s">
        <v>1333</v>
      </c>
      <c r="B2754" s="10" t="s">
        <v>110</v>
      </c>
      <c r="C2754" s="10">
        <v>16</v>
      </c>
      <c r="D2754" s="10" t="s">
        <v>1280</v>
      </c>
      <c r="E2754" s="78" t="s">
        <v>595</v>
      </c>
      <c r="F2754" s="90" t="s">
        <v>595</v>
      </c>
      <c r="G2754" s="21" t="str">
        <f>VLOOKUP(D2754,[6]成飞半成品!$A:$B,2,0)</f>
        <v>加强件</v>
      </c>
      <c r="H2754" s="10" t="s">
        <v>102</v>
      </c>
      <c r="I2754" s="10">
        <v>15</v>
      </c>
      <c r="J2754" s="10" t="s">
        <v>1947</v>
      </c>
      <c r="L2754" s="10">
        <v>0.1</v>
      </c>
      <c r="M2754" s="10">
        <v>23</v>
      </c>
      <c r="N2754" s="10">
        <v>28</v>
      </c>
      <c r="O2754" s="55" t="s">
        <v>596</v>
      </c>
      <c r="Q2754" s="10">
        <v>35</v>
      </c>
      <c r="U2754" s="10">
        <v>60</v>
      </c>
      <c r="W2754" s="10">
        <v>1</v>
      </c>
      <c r="X2754" s="14">
        <v>2</v>
      </c>
      <c r="Y2754" s="79">
        <v>3.1</v>
      </c>
      <c r="Z2754" s="10" t="s">
        <v>63</v>
      </c>
      <c r="AA2754" s="14" t="s">
        <v>1376</v>
      </c>
      <c r="AB2754" s="14" t="s">
        <v>238</v>
      </c>
    </row>
    <row r="2755" spans="1:28" ht="23.1" customHeight="1" x14ac:dyDescent="0.25">
      <c r="A2755" s="14" t="s">
        <v>1333</v>
      </c>
      <c r="B2755" s="10" t="s">
        <v>110</v>
      </c>
      <c r="C2755" s="10">
        <v>108</v>
      </c>
      <c r="D2755" s="47" t="s">
        <v>886</v>
      </c>
      <c r="E2755" s="78" t="s">
        <v>887</v>
      </c>
      <c r="F2755" s="90" t="e">
        <v>#N/A</v>
      </c>
      <c r="G2755" s="21" t="str">
        <f>VLOOKUP(D2755,[6]成飞半成品!$A:$B,2,0)</f>
        <v>外侧梁</v>
      </c>
      <c r="H2755" s="10" t="s">
        <v>154</v>
      </c>
      <c r="I2755" s="10">
        <v>25</v>
      </c>
      <c r="J2755" s="10" t="s">
        <v>2310</v>
      </c>
      <c r="K2755" s="10">
        <v>2</v>
      </c>
      <c r="L2755" s="10">
        <v>2</v>
      </c>
      <c r="M2755" s="10">
        <v>28</v>
      </c>
      <c r="N2755" s="10">
        <v>28</v>
      </c>
      <c r="O2755" s="55" t="s">
        <v>234</v>
      </c>
      <c r="Q2755" s="10">
        <v>360</v>
      </c>
      <c r="R2755" s="10">
        <v>60</v>
      </c>
      <c r="T2755" s="10">
        <v>2</v>
      </c>
      <c r="U2755" s="10">
        <v>90</v>
      </c>
      <c r="W2755" s="10">
        <v>1</v>
      </c>
      <c r="Y2755" s="79">
        <v>15.5</v>
      </c>
      <c r="Z2755" s="10" t="s">
        <v>45</v>
      </c>
    </row>
    <row r="2756" spans="1:28" ht="23.1" customHeight="1" x14ac:dyDescent="0.25">
      <c r="A2756" s="14" t="s">
        <v>1333</v>
      </c>
      <c r="B2756" s="10" t="s">
        <v>110</v>
      </c>
      <c r="C2756" s="10">
        <v>13</v>
      </c>
      <c r="D2756" s="10" t="s">
        <v>1277</v>
      </c>
      <c r="E2756" s="78" t="s">
        <v>1278</v>
      </c>
      <c r="F2756" s="90" t="s">
        <v>1278</v>
      </c>
      <c r="G2756" s="21" t="str">
        <f>VLOOKUP(D2756,[6]成飞半成品!$A:$B,2,0)</f>
        <v>接管嘴</v>
      </c>
      <c r="H2756" s="10" t="s">
        <v>154</v>
      </c>
      <c r="I2756" s="10">
        <v>20</v>
      </c>
      <c r="J2756" s="10" t="s">
        <v>2354</v>
      </c>
      <c r="K2756" s="10">
        <v>20</v>
      </c>
      <c r="L2756" s="10">
        <v>34</v>
      </c>
      <c r="M2756" s="10">
        <v>23</v>
      </c>
      <c r="N2756" s="10">
        <v>28</v>
      </c>
      <c r="O2756" s="55" t="s">
        <v>1279</v>
      </c>
      <c r="Q2756" s="10">
        <v>40</v>
      </c>
      <c r="U2756" s="10">
        <v>120</v>
      </c>
      <c r="Y2756" s="79">
        <v>22.7</v>
      </c>
      <c r="Z2756" s="10" t="s">
        <v>72</v>
      </c>
    </row>
    <row r="2757" spans="1:28" ht="23.1" customHeight="1" x14ac:dyDescent="0.25">
      <c r="A2757" s="14" t="s">
        <v>1333</v>
      </c>
      <c r="B2757" s="10" t="s">
        <v>110</v>
      </c>
      <c r="C2757" s="10">
        <v>13</v>
      </c>
      <c r="D2757" s="10" t="s">
        <v>1277</v>
      </c>
      <c r="E2757" s="78" t="s">
        <v>1278</v>
      </c>
      <c r="F2757" s="90" t="s">
        <v>1278</v>
      </c>
      <c r="G2757" s="21" t="str">
        <f>VLOOKUP(D2757,[6]成飞半成品!$A:$B,2,0)</f>
        <v>接管嘴</v>
      </c>
      <c r="H2757" s="10" t="s">
        <v>154</v>
      </c>
      <c r="I2757" s="10">
        <v>25</v>
      </c>
      <c r="J2757" s="10" t="s">
        <v>2361</v>
      </c>
      <c r="L2757" s="10">
        <v>24</v>
      </c>
      <c r="M2757" s="10">
        <v>23</v>
      </c>
      <c r="N2757" s="10">
        <v>28</v>
      </c>
      <c r="O2757" s="55" t="s">
        <v>1279</v>
      </c>
      <c r="Q2757" s="10">
        <v>25</v>
      </c>
      <c r="U2757" s="10">
        <v>90</v>
      </c>
      <c r="X2757" s="14">
        <v>2</v>
      </c>
      <c r="Y2757" s="79">
        <v>12</v>
      </c>
      <c r="Z2757" s="10" t="s">
        <v>72</v>
      </c>
      <c r="AA2757" s="14" t="s">
        <v>1671</v>
      </c>
      <c r="AB2757" s="14" t="s">
        <v>238</v>
      </c>
    </row>
    <row r="2758" spans="1:28" ht="23.1" customHeight="1" x14ac:dyDescent="0.25">
      <c r="A2758" s="14" t="s">
        <v>1333</v>
      </c>
      <c r="B2758" s="10" t="s">
        <v>110</v>
      </c>
      <c r="C2758" s="10">
        <v>15</v>
      </c>
      <c r="D2758" s="10" t="s">
        <v>1255</v>
      </c>
      <c r="E2758" s="78" t="s">
        <v>117</v>
      </c>
      <c r="F2758" s="90" t="s">
        <v>117</v>
      </c>
      <c r="G2758" s="21" t="str">
        <f>VLOOKUP(D2758,[6]成飞半成品!$A:$B,2,0)</f>
        <v>7820~8270侧上梁</v>
      </c>
      <c r="H2758" s="10" t="s">
        <v>118</v>
      </c>
      <c r="I2758" s="10">
        <v>25</v>
      </c>
      <c r="J2758" s="10" t="s">
        <v>2018</v>
      </c>
      <c r="K2758" s="10">
        <v>0.8</v>
      </c>
      <c r="L2758" s="10">
        <v>1.2</v>
      </c>
      <c r="M2758" s="10">
        <v>5</v>
      </c>
      <c r="N2758" s="10">
        <v>28</v>
      </c>
      <c r="O2758" s="55" t="s">
        <v>1266</v>
      </c>
      <c r="Q2758" s="10">
        <v>900</v>
      </c>
      <c r="T2758" s="10">
        <v>1</v>
      </c>
      <c r="U2758" s="10">
        <v>120</v>
      </c>
      <c r="Y2758" s="79">
        <v>18</v>
      </c>
      <c r="Z2758" s="10" t="s">
        <v>31</v>
      </c>
    </row>
    <row r="2759" spans="1:28" ht="23.1" customHeight="1" x14ac:dyDescent="0.25">
      <c r="A2759" s="14" t="s">
        <v>1333</v>
      </c>
      <c r="B2759" s="10" t="s">
        <v>110</v>
      </c>
      <c r="C2759" s="10">
        <v>14</v>
      </c>
      <c r="D2759" s="10" t="s">
        <v>1292</v>
      </c>
      <c r="E2759" s="78" t="s">
        <v>409</v>
      </c>
      <c r="F2759" s="90" t="s">
        <v>409</v>
      </c>
      <c r="G2759" s="21" t="str">
        <f>VLOOKUP(D2759,[6]成飞半成品!$A:$B,2,0)</f>
        <v>接头</v>
      </c>
      <c r="H2759" s="10" t="s">
        <v>102</v>
      </c>
      <c r="I2759" s="10">
        <v>15</v>
      </c>
      <c r="J2759" s="10" t="s">
        <v>2205</v>
      </c>
      <c r="L2759" s="10">
        <v>4</v>
      </c>
      <c r="M2759" s="10">
        <v>9</v>
      </c>
      <c r="N2759" s="10">
        <v>5</v>
      </c>
      <c r="O2759" s="55" t="s">
        <v>596</v>
      </c>
      <c r="Q2759" s="10">
        <v>40</v>
      </c>
      <c r="U2759" s="10">
        <v>60</v>
      </c>
      <c r="W2759" s="10">
        <v>1</v>
      </c>
      <c r="X2759" s="14">
        <v>2</v>
      </c>
      <c r="Y2759" s="79">
        <v>5.7</v>
      </c>
      <c r="Z2759" s="10" t="s">
        <v>31</v>
      </c>
      <c r="AA2759" s="14" t="s">
        <v>1784</v>
      </c>
      <c r="AB2759" s="14" t="s">
        <v>238</v>
      </c>
    </row>
    <row r="2760" spans="1:28" ht="23.1" customHeight="1" x14ac:dyDescent="0.25">
      <c r="A2760" s="14" t="s">
        <v>1333</v>
      </c>
      <c r="B2760" s="10" t="s">
        <v>110</v>
      </c>
      <c r="C2760" s="10">
        <v>14</v>
      </c>
      <c r="D2760" s="10" t="s">
        <v>1293</v>
      </c>
      <c r="E2760" s="78" t="s">
        <v>409</v>
      </c>
      <c r="F2760" s="90" t="s">
        <v>409</v>
      </c>
      <c r="G2760" s="21" t="str">
        <f>VLOOKUP(D2760,[6]成飞半成品!$A:$B,2,0)</f>
        <v>接头</v>
      </c>
      <c r="H2760" s="10" t="s">
        <v>102</v>
      </c>
      <c r="I2760" s="10">
        <v>15</v>
      </c>
      <c r="J2760" s="10" t="s">
        <v>2205</v>
      </c>
      <c r="L2760" s="10">
        <v>4</v>
      </c>
      <c r="M2760" s="10">
        <v>9</v>
      </c>
      <c r="N2760" s="10">
        <v>5</v>
      </c>
      <c r="O2760" s="55" t="s">
        <v>596</v>
      </c>
      <c r="Q2760" s="10">
        <v>40</v>
      </c>
      <c r="U2760" s="10">
        <v>60</v>
      </c>
      <c r="W2760" s="10">
        <v>1</v>
      </c>
      <c r="X2760" s="14">
        <v>2</v>
      </c>
      <c r="Y2760" s="79">
        <v>5.7</v>
      </c>
      <c r="Z2760" s="10" t="s">
        <v>31</v>
      </c>
      <c r="AA2760" s="14" t="s">
        <v>1784</v>
      </c>
      <c r="AB2760" s="14" t="s">
        <v>238</v>
      </c>
    </row>
    <row r="2761" spans="1:28" ht="23.1" customHeight="1" x14ac:dyDescent="0.25">
      <c r="A2761" s="14" t="s">
        <v>1333</v>
      </c>
      <c r="B2761" s="10" t="s">
        <v>110</v>
      </c>
      <c r="C2761" s="10">
        <v>77</v>
      </c>
      <c r="D2761" s="10" t="s">
        <v>1785</v>
      </c>
      <c r="E2761" s="78" t="s">
        <v>1786</v>
      </c>
      <c r="F2761" s="90" t="s">
        <v>1786</v>
      </c>
      <c r="G2761" s="21" t="str">
        <f>VLOOKUP(D2761,[6]成飞半成品!$A:$B,2,0)</f>
        <v>弓形件</v>
      </c>
      <c r="H2761" s="10" t="s">
        <v>118</v>
      </c>
      <c r="I2761" s="10">
        <v>5</v>
      </c>
      <c r="J2761" s="10" t="s">
        <v>1930</v>
      </c>
      <c r="L2761" s="10">
        <v>21</v>
      </c>
      <c r="M2761" s="10">
        <v>19</v>
      </c>
      <c r="N2761" s="10">
        <v>9</v>
      </c>
      <c r="O2761" s="55" t="s">
        <v>393</v>
      </c>
      <c r="Q2761" s="10">
        <v>30</v>
      </c>
      <c r="U2761" s="10">
        <v>60</v>
      </c>
      <c r="W2761" s="10">
        <v>1</v>
      </c>
      <c r="X2761" s="14">
        <v>2</v>
      </c>
      <c r="Y2761" s="79">
        <v>13.5</v>
      </c>
      <c r="Z2761" s="10" t="s">
        <v>15</v>
      </c>
      <c r="AA2761" s="14" t="s">
        <v>1540</v>
      </c>
      <c r="AB2761" s="14" t="s">
        <v>238</v>
      </c>
    </row>
    <row r="2762" spans="1:28" ht="23.1" customHeight="1" x14ac:dyDescent="0.25">
      <c r="A2762" s="14" t="s">
        <v>1333</v>
      </c>
      <c r="B2762" s="10" t="s">
        <v>110</v>
      </c>
      <c r="C2762" s="10">
        <v>77</v>
      </c>
      <c r="D2762" s="10" t="s">
        <v>1785</v>
      </c>
      <c r="E2762" s="78" t="s">
        <v>1786</v>
      </c>
      <c r="F2762" s="90" t="s">
        <v>1786</v>
      </c>
      <c r="G2762" s="21" t="str">
        <f>VLOOKUP(D2762,[6]成飞半成品!$A:$B,2,0)</f>
        <v>弓形件</v>
      </c>
      <c r="H2762" s="10" t="s">
        <v>118</v>
      </c>
      <c r="I2762" s="10">
        <v>10</v>
      </c>
      <c r="J2762" s="10" t="s">
        <v>2362</v>
      </c>
      <c r="L2762" s="10">
        <v>21</v>
      </c>
      <c r="M2762" s="10">
        <v>9</v>
      </c>
      <c r="N2762" s="10">
        <v>31</v>
      </c>
      <c r="O2762" s="55" t="s">
        <v>393</v>
      </c>
      <c r="Q2762" s="10">
        <v>15</v>
      </c>
      <c r="U2762" s="10">
        <v>60</v>
      </c>
      <c r="W2762" s="10">
        <v>1</v>
      </c>
      <c r="X2762" s="14">
        <v>2</v>
      </c>
      <c r="Y2762" s="79">
        <v>8.3000000000000007</v>
      </c>
      <c r="Z2762" s="10" t="s">
        <v>15</v>
      </c>
      <c r="AA2762" s="14" t="s">
        <v>1540</v>
      </c>
      <c r="AB2762" s="14" t="s">
        <v>238</v>
      </c>
    </row>
    <row r="2763" spans="1:28" ht="23.1" customHeight="1" x14ac:dyDescent="0.25">
      <c r="A2763" s="14" t="s">
        <v>1333</v>
      </c>
      <c r="B2763" s="10" t="s">
        <v>137</v>
      </c>
      <c r="C2763" s="10">
        <v>57</v>
      </c>
      <c r="D2763" s="10" t="s">
        <v>1031</v>
      </c>
      <c r="E2763" s="78" t="s">
        <v>1032</v>
      </c>
      <c r="F2763" s="90" t="s">
        <v>1032</v>
      </c>
      <c r="G2763" s="21" t="str">
        <f>VLOOKUP(D2763,[6]成飞半成品!$A:$B,2,0)</f>
        <v>前上大梁（左）</v>
      </c>
      <c r="H2763" s="10" t="s">
        <v>107</v>
      </c>
      <c r="I2763" s="10">
        <v>20</v>
      </c>
      <c r="J2763" s="10" t="s">
        <v>2213</v>
      </c>
      <c r="L2763" s="10">
        <v>0.5</v>
      </c>
      <c r="M2763" s="10">
        <v>26</v>
      </c>
      <c r="O2763" s="55" t="s">
        <v>1312</v>
      </c>
      <c r="Q2763" s="10">
        <v>180</v>
      </c>
      <c r="U2763" s="10">
        <v>90</v>
      </c>
      <c r="W2763" s="10">
        <v>1</v>
      </c>
      <c r="Y2763" s="79">
        <v>3</v>
      </c>
      <c r="Z2763" s="10" t="s">
        <v>57</v>
      </c>
    </row>
    <row r="2764" spans="1:28" ht="23.1" customHeight="1" x14ac:dyDescent="0.25">
      <c r="A2764" s="14" t="s">
        <v>1333</v>
      </c>
      <c r="B2764" s="10" t="s">
        <v>137</v>
      </c>
      <c r="C2764" s="10">
        <v>18</v>
      </c>
      <c r="D2764" s="10" t="s">
        <v>1030</v>
      </c>
      <c r="E2764" s="78" t="s">
        <v>919</v>
      </c>
      <c r="F2764" s="90" t="s">
        <v>919</v>
      </c>
      <c r="G2764" s="21" t="str">
        <f>VLOOKUP(D2764,[6]成飞半成品!$A:$B,2,0)</f>
        <v>雷达罩锁支座</v>
      </c>
      <c r="H2764" s="10" t="s">
        <v>323</v>
      </c>
      <c r="I2764" s="10">
        <v>15</v>
      </c>
      <c r="J2764" s="10" t="s">
        <v>2402</v>
      </c>
      <c r="K2764" s="10">
        <v>2</v>
      </c>
      <c r="L2764" s="10">
        <v>2</v>
      </c>
      <c r="M2764" s="10">
        <v>28</v>
      </c>
      <c r="N2764" s="10">
        <v>28</v>
      </c>
      <c r="O2764" s="55" t="s">
        <v>778</v>
      </c>
      <c r="Q2764" s="10">
        <v>210</v>
      </c>
      <c r="U2764" s="10">
        <v>90</v>
      </c>
      <c r="Y2764" s="79">
        <v>7</v>
      </c>
      <c r="Z2764" s="10" t="s">
        <v>43</v>
      </c>
    </row>
    <row r="2765" spans="1:28" ht="23.1" customHeight="1" x14ac:dyDescent="0.25">
      <c r="A2765" s="14" t="s">
        <v>1333</v>
      </c>
      <c r="B2765" s="10" t="s">
        <v>137</v>
      </c>
      <c r="C2765" s="10">
        <v>18</v>
      </c>
      <c r="D2765" s="10" t="s">
        <v>918</v>
      </c>
      <c r="E2765" s="78" t="s">
        <v>919</v>
      </c>
      <c r="F2765" s="90" t="s">
        <v>919</v>
      </c>
      <c r="G2765" s="21" t="str">
        <f>VLOOKUP(D2765,[6]成飞半成品!$A:$B,2,0)</f>
        <v>雷达罩锁支座</v>
      </c>
      <c r="H2765" s="10" t="s">
        <v>323</v>
      </c>
      <c r="I2765" s="10">
        <v>15</v>
      </c>
      <c r="J2765" s="10" t="s">
        <v>2033</v>
      </c>
      <c r="K2765" s="10">
        <v>1</v>
      </c>
      <c r="L2765" s="10">
        <v>2</v>
      </c>
      <c r="M2765" s="10">
        <v>26</v>
      </c>
      <c r="N2765" s="10">
        <v>26</v>
      </c>
      <c r="O2765" s="55" t="s">
        <v>778</v>
      </c>
      <c r="Q2765" s="10">
        <v>210</v>
      </c>
      <c r="U2765" s="10">
        <v>90</v>
      </c>
      <c r="W2765" s="10">
        <v>1</v>
      </c>
      <c r="Y2765" s="79">
        <v>8.5</v>
      </c>
      <c r="Z2765" s="10" t="s">
        <v>43</v>
      </c>
    </row>
    <row r="2766" spans="1:28" ht="23.1" customHeight="1" x14ac:dyDescent="0.25">
      <c r="A2766" s="14" t="s">
        <v>1333</v>
      </c>
      <c r="B2766" s="10" t="s">
        <v>137</v>
      </c>
      <c r="C2766" s="10">
        <v>9</v>
      </c>
      <c r="D2766" s="10" t="s">
        <v>1366</v>
      </c>
      <c r="E2766" s="78" t="s">
        <v>1367</v>
      </c>
      <c r="F2766" s="90" t="s">
        <v>1367</v>
      </c>
      <c r="G2766" s="21" t="str">
        <f>VLOOKUP(D2766,[6]成飞半成品!$A:$B,2,0)</f>
        <v>垫板</v>
      </c>
      <c r="H2766" s="10" t="s">
        <v>123</v>
      </c>
      <c r="I2766" s="10">
        <v>10</v>
      </c>
      <c r="J2766" s="10" t="s">
        <v>2215</v>
      </c>
      <c r="L2766" s="10">
        <v>1.6</v>
      </c>
      <c r="M2766" s="10">
        <v>28</v>
      </c>
      <c r="N2766" s="10">
        <v>37</v>
      </c>
      <c r="O2766" s="55" t="s">
        <v>925</v>
      </c>
      <c r="Q2766" s="10">
        <v>390</v>
      </c>
      <c r="U2766" s="10">
        <v>90</v>
      </c>
      <c r="W2766" s="10">
        <v>1</v>
      </c>
      <c r="X2766" s="14">
        <v>4</v>
      </c>
      <c r="Y2766" s="79">
        <v>15.9</v>
      </c>
      <c r="Z2766" s="10" t="s">
        <v>55</v>
      </c>
      <c r="AA2766" s="14" t="s">
        <v>1787</v>
      </c>
      <c r="AB2766" s="14" t="s">
        <v>238</v>
      </c>
    </row>
    <row r="2767" spans="1:28" ht="23.1" customHeight="1" x14ac:dyDescent="0.25">
      <c r="A2767" s="14" t="s">
        <v>1333</v>
      </c>
      <c r="B2767" s="10" t="s">
        <v>137</v>
      </c>
      <c r="C2767" s="10">
        <v>10</v>
      </c>
      <c r="D2767" s="10" t="s">
        <v>946</v>
      </c>
      <c r="E2767" s="78" t="s">
        <v>947</v>
      </c>
      <c r="F2767" s="90" t="s">
        <v>947</v>
      </c>
      <c r="G2767" s="21" t="str">
        <f>VLOOKUP(D2767,[6]成飞半成品!$A:$B,2,0)</f>
        <v>5755横框</v>
      </c>
      <c r="H2767" s="10" t="s">
        <v>300</v>
      </c>
      <c r="I2767" s="10">
        <v>30</v>
      </c>
      <c r="J2767" s="10" t="s">
        <v>2216</v>
      </c>
      <c r="K2767" s="10">
        <v>2.2000000000000002</v>
      </c>
      <c r="L2767" s="10">
        <v>2.1</v>
      </c>
      <c r="M2767" s="10">
        <v>28</v>
      </c>
      <c r="N2767" s="10">
        <v>37</v>
      </c>
      <c r="O2767" s="55" t="s">
        <v>1338</v>
      </c>
      <c r="Q2767" s="10">
        <v>320</v>
      </c>
      <c r="U2767" s="10">
        <v>90</v>
      </c>
      <c r="Y2767" s="79">
        <v>11.2</v>
      </c>
      <c r="Z2767" s="10" t="s">
        <v>55</v>
      </c>
      <c r="AA2767" s="14" t="s">
        <v>1788</v>
      </c>
    </row>
    <row r="2768" spans="1:28" ht="23.1" customHeight="1" x14ac:dyDescent="0.25">
      <c r="A2768" s="14" t="s">
        <v>1333</v>
      </c>
      <c r="B2768" s="10" t="s">
        <v>137</v>
      </c>
      <c r="C2768" s="10">
        <v>11</v>
      </c>
      <c r="D2768" s="10" t="s">
        <v>1296</v>
      </c>
      <c r="E2768" s="78" t="s">
        <v>1297</v>
      </c>
      <c r="F2768" s="90" t="s">
        <v>1297</v>
      </c>
      <c r="G2768" s="21" t="str">
        <f>VLOOKUP(D2768,[6]成飞半成品!$A:$B,2,0)</f>
        <v>固定板</v>
      </c>
      <c r="H2768" s="10" t="s">
        <v>154</v>
      </c>
      <c r="I2768" s="10">
        <v>30</v>
      </c>
      <c r="J2768" s="10" t="s">
        <v>2390</v>
      </c>
      <c r="K2768" s="10">
        <v>2</v>
      </c>
      <c r="L2768" s="10">
        <v>1</v>
      </c>
      <c r="M2768" s="10">
        <v>28</v>
      </c>
      <c r="N2768" s="10">
        <v>28</v>
      </c>
      <c r="O2768" s="55" t="s">
        <v>439</v>
      </c>
      <c r="Q2768" s="10">
        <v>160</v>
      </c>
      <c r="U2768" s="10">
        <v>60</v>
      </c>
      <c r="Y2768" s="79">
        <v>2.7</v>
      </c>
      <c r="Z2768" s="10" t="s">
        <v>38</v>
      </c>
    </row>
    <row r="2769" spans="1:28" ht="23.1" customHeight="1" x14ac:dyDescent="0.25">
      <c r="A2769" s="14" t="s">
        <v>1333</v>
      </c>
      <c r="B2769" s="10" t="s">
        <v>137</v>
      </c>
      <c r="C2769" s="10">
        <v>16</v>
      </c>
      <c r="D2769" s="10" t="s">
        <v>1280</v>
      </c>
      <c r="E2769" s="78" t="s">
        <v>595</v>
      </c>
      <c r="F2769" s="90" t="s">
        <v>595</v>
      </c>
      <c r="G2769" s="21" t="str">
        <f>VLOOKUP(D2769,[6]成飞半成品!$A:$B,2,0)</f>
        <v>加强件</v>
      </c>
      <c r="H2769" s="10" t="s">
        <v>102</v>
      </c>
      <c r="I2769" s="10">
        <v>15</v>
      </c>
      <c r="J2769" s="10" t="s">
        <v>1947</v>
      </c>
      <c r="K2769" s="10">
        <v>2</v>
      </c>
      <c r="L2769" s="10">
        <v>1.9</v>
      </c>
      <c r="M2769" s="10">
        <v>28</v>
      </c>
      <c r="N2769" s="10">
        <v>28</v>
      </c>
      <c r="O2769" s="55" t="s">
        <v>596</v>
      </c>
      <c r="Q2769" s="10">
        <v>35</v>
      </c>
      <c r="U2769" s="10">
        <v>60</v>
      </c>
      <c r="Y2769" s="79">
        <v>1.1000000000000001</v>
      </c>
      <c r="Z2769" s="10" t="s">
        <v>38</v>
      </c>
    </row>
    <row r="2770" spans="1:28" ht="23.1" customHeight="1" x14ac:dyDescent="0.25">
      <c r="A2770" s="14" t="s">
        <v>1333</v>
      </c>
      <c r="B2770" s="10" t="s">
        <v>137</v>
      </c>
      <c r="C2770" s="10">
        <v>57</v>
      </c>
      <c r="D2770" s="10" t="s">
        <v>1031</v>
      </c>
      <c r="E2770" s="78" t="s">
        <v>1032</v>
      </c>
      <c r="F2770" s="90" t="s">
        <v>1032</v>
      </c>
      <c r="G2770" s="21" t="str">
        <f>VLOOKUP(D2770,[6]成飞半成品!$A:$B,2,0)</f>
        <v>前上大梁（左）</v>
      </c>
      <c r="H2770" s="10" t="s">
        <v>107</v>
      </c>
      <c r="I2770" s="10">
        <v>20</v>
      </c>
      <c r="J2770" s="10" t="s">
        <v>2213</v>
      </c>
      <c r="K2770" s="10">
        <v>3.5</v>
      </c>
      <c r="L2770" s="10">
        <v>4</v>
      </c>
      <c r="M2770" s="10">
        <v>28</v>
      </c>
      <c r="N2770" s="10">
        <v>28</v>
      </c>
      <c r="O2770" s="55" t="s">
        <v>1656</v>
      </c>
      <c r="Q2770" s="10">
        <v>180</v>
      </c>
      <c r="U2770" s="10">
        <v>90</v>
      </c>
      <c r="Y2770" s="79">
        <v>12</v>
      </c>
      <c r="Z2770" s="10" t="s">
        <v>57</v>
      </c>
    </row>
    <row r="2771" spans="1:28" ht="23.1" customHeight="1" x14ac:dyDescent="0.25">
      <c r="A2771" s="14" t="s">
        <v>1333</v>
      </c>
      <c r="B2771" s="10" t="s">
        <v>137</v>
      </c>
      <c r="C2771" s="10">
        <v>58</v>
      </c>
      <c r="D2771" s="10" t="s">
        <v>1759</v>
      </c>
      <c r="E2771" s="78" t="s">
        <v>409</v>
      </c>
      <c r="F2771" s="90" t="s">
        <v>409</v>
      </c>
      <c r="G2771" s="21" t="str">
        <f>VLOOKUP(D2771,[6]成飞半成品!$A:$B,2,0)</f>
        <v>接头</v>
      </c>
      <c r="H2771" s="10" t="s">
        <v>658</v>
      </c>
      <c r="I2771" s="10">
        <v>25</v>
      </c>
      <c r="J2771" s="10" t="s">
        <v>2314</v>
      </c>
      <c r="K2771" s="10">
        <v>12</v>
      </c>
      <c r="L2771" s="10">
        <v>24</v>
      </c>
      <c r="M2771" s="10">
        <v>28</v>
      </c>
      <c r="N2771" s="10">
        <v>28</v>
      </c>
      <c r="O2771" s="55" t="s">
        <v>282</v>
      </c>
      <c r="Q2771" s="10">
        <v>40</v>
      </c>
      <c r="U2771" s="10">
        <v>90</v>
      </c>
      <c r="Y2771" s="79">
        <v>16</v>
      </c>
      <c r="Z2771" s="10" t="s">
        <v>57</v>
      </c>
    </row>
    <row r="2772" spans="1:28" ht="23.1" customHeight="1" x14ac:dyDescent="0.25">
      <c r="A2772" s="14" t="s">
        <v>1333</v>
      </c>
      <c r="B2772" s="10" t="s">
        <v>137</v>
      </c>
      <c r="C2772" s="10">
        <v>17</v>
      </c>
      <c r="D2772" s="10" t="s">
        <v>1702</v>
      </c>
      <c r="E2772" s="78" t="s">
        <v>625</v>
      </c>
      <c r="F2772" s="90" t="s">
        <v>625</v>
      </c>
      <c r="G2772" s="21" t="str">
        <f>VLOOKUP(D2772,[6]成飞半成品!$A:$B,2,0)</f>
        <v>支架</v>
      </c>
      <c r="H2772" s="10" t="s">
        <v>250</v>
      </c>
      <c r="I2772" s="10">
        <v>35</v>
      </c>
      <c r="J2772" s="10" t="s">
        <v>2359</v>
      </c>
      <c r="K2772" s="10">
        <v>6</v>
      </c>
      <c r="L2772" s="10">
        <v>6</v>
      </c>
      <c r="M2772" s="10">
        <v>28</v>
      </c>
      <c r="N2772" s="10">
        <v>28</v>
      </c>
      <c r="O2772" s="55" t="s">
        <v>247</v>
      </c>
      <c r="Q2772" s="10">
        <v>65</v>
      </c>
      <c r="U2772" s="10">
        <v>120</v>
      </c>
      <c r="Y2772" s="79">
        <v>6.5</v>
      </c>
      <c r="Z2772" s="10" t="s">
        <v>43</v>
      </c>
    </row>
    <row r="2773" spans="1:28" ht="23.1" customHeight="1" x14ac:dyDescent="0.25">
      <c r="A2773" s="14" t="s">
        <v>1333</v>
      </c>
      <c r="B2773" s="10" t="s">
        <v>137</v>
      </c>
      <c r="C2773" s="10">
        <v>17</v>
      </c>
      <c r="D2773" s="10" t="s">
        <v>1702</v>
      </c>
      <c r="E2773" s="78" t="s">
        <v>625</v>
      </c>
      <c r="F2773" s="90" t="s">
        <v>625</v>
      </c>
      <c r="G2773" s="21" t="str">
        <f>VLOOKUP(D2773,[6]成飞半成品!$A:$B,2,0)</f>
        <v>支架</v>
      </c>
      <c r="H2773" s="10" t="s">
        <v>250</v>
      </c>
      <c r="I2773" s="10">
        <v>10</v>
      </c>
      <c r="J2773" s="10" t="s">
        <v>1916</v>
      </c>
      <c r="L2773" s="10">
        <v>1</v>
      </c>
      <c r="M2773" s="10">
        <v>31</v>
      </c>
      <c r="O2773" s="55" t="s">
        <v>247</v>
      </c>
      <c r="Q2773" s="10">
        <v>25</v>
      </c>
      <c r="U2773" s="10">
        <v>60</v>
      </c>
      <c r="W2773" s="10">
        <v>1</v>
      </c>
      <c r="Y2773" s="79">
        <v>1.4</v>
      </c>
      <c r="Z2773" s="10" t="s">
        <v>43</v>
      </c>
    </row>
    <row r="2774" spans="1:28" ht="23.1" customHeight="1" x14ac:dyDescent="0.25">
      <c r="A2774" s="14" t="s">
        <v>1333</v>
      </c>
      <c r="B2774" s="10" t="s">
        <v>137</v>
      </c>
      <c r="C2774" s="10">
        <v>17</v>
      </c>
      <c r="D2774" s="10" t="s">
        <v>1702</v>
      </c>
      <c r="E2774" s="78" t="s">
        <v>625</v>
      </c>
      <c r="F2774" s="90" t="s">
        <v>625</v>
      </c>
      <c r="G2774" s="21" t="str">
        <f>VLOOKUP(D2774,[6]成飞半成品!$A:$B,2,0)</f>
        <v>支架</v>
      </c>
      <c r="H2774" s="10" t="s">
        <v>250</v>
      </c>
      <c r="I2774" s="10">
        <v>15</v>
      </c>
      <c r="J2774" s="10" t="s">
        <v>2339</v>
      </c>
      <c r="L2774" s="10">
        <v>1</v>
      </c>
      <c r="N2774" s="10">
        <v>31</v>
      </c>
      <c r="O2774" s="55" t="s">
        <v>247</v>
      </c>
      <c r="Q2774" s="10">
        <v>40</v>
      </c>
      <c r="U2774" s="10">
        <v>90</v>
      </c>
      <c r="W2774" s="10">
        <v>1</v>
      </c>
      <c r="Y2774" s="79">
        <v>2.2000000000000002</v>
      </c>
      <c r="Z2774" s="10" t="s">
        <v>43</v>
      </c>
    </row>
    <row r="2775" spans="1:28" ht="23.1" customHeight="1" x14ac:dyDescent="0.25">
      <c r="A2775" s="14" t="s">
        <v>1333</v>
      </c>
      <c r="B2775" s="10" t="s">
        <v>113</v>
      </c>
      <c r="C2775" s="10">
        <v>15</v>
      </c>
      <c r="D2775" s="10" t="s">
        <v>1255</v>
      </c>
      <c r="E2775" s="78" t="s">
        <v>117</v>
      </c>
      <c r="F2775" s="90" t="s">
        <v>117</v>
      </c>
      <c r="G2775" s="21" t="str">
        <f>VLOOKUP(D2775,[6]成飞半成品!$A:$B,2,0)</f>
        <v>7820~8270侧上梁</v>
      </c>
      <c r="H2775" s="10" t="s">
        <v>118</v>
      </c>
      <c r="I2775" s="10">
        <v>25</v>
      </c>
      <c r="J2775" s="10" t="s">
        <v>2018</v>
      </c>
      <c r="K2775" s="10">
        <v>0.8</v>
      </c>
      <c r="L2775" s="10">
        <v>1.5</v>
      </c>
      <c r="M2775" s="10">
        <v>26</v>
      </c>
      <c r="N2775" s="10">
        <v>19</v>
      </c>
      <c r="O2775" s="55" t="s">
        <v>1593</v>
      </c>
      <c r="Q2775" s="10">
        <v>900</v>
      </c>
      <c r="U2775" s="10">
        <v>120</v>
      </c>
      <c r="Y2775" s="79">
        <v>22.5</v>
      </c>
      <c r="Z2775" s="10" t="s">
        <v>60</v>
      </c>
    </row>
    <row r="2776" spans="1:28" ht="23.1" customHeight="1" x14ac:dyDescent="0.25">
      <c r="A2776" s="14" t="s">
        <v>1333</v>
      </c>
      <c r="B2776" s="10" t="s">
        <v>113</v>
      </c>
      <c r="C2776" s="10">
        <v>10</v>
      </c>
      <c r="D2776" s="10" t="s">
        <v>946</v>
      </c>
      <c r="E2776" s="78" t="s">
        <v>947</v>
      </c>
      <c r="F2776" s="90" t="s">
        <v>947</v>
      </c>
      <c r="G2776" s="21" t="str">
        <f>VLOOKUP(D2776,[6]成飞半成品!$A:$B,2,0)</f>
        <v>5755横框</v>
      </c>
      <c r="H2776" s="10" t="s">
        <v>300</v>
      </c>
      <c r="I2776" s="10">
        <v>30</v>
      </c>
      <c r="J2776" s="10" t="s">
        <v>2216</v>
      </c>
      <c r="L2776" s="10">
        <v>1.6</v>
      </c>
      <c r="M2776" s="10">
        <v>37</v>
      </c>
      <c r="N2776" s="10">
        <v>23</v>
      </c>
      <c r="O2776" s="55" t="s">
        <v>948</v>
      </c>
      <c r="Q2776" s="10">
        <v>320</v>
      </c>
      <c r="U2776" s="10">
        <v>90</v>
      </c>
      <c r="Y2776" s="79">
        <v>8.5</v>
      </c>
      <c r="Z2776" s="10" t="s">
        <v>23</v>
      </c>
      <c r="AA2776" s="14" t="s">
        <v>1789</v>
      </c>
    </row>
    <row r="2777" spans="1:28" ht="23.1" customHeight="1" x14ac:dyDescent="0.25">
      <c r="A2777" s="14" t="s">
        <v>1333</v>
      </c>
      <c r="B2777" s="10" t="s">
        <v>113</v>
      </c>
      <c r="C2777" s="10">
        <v>9</v>
      </c>
      <c r="D2777" s="10" t="s">
        <v>1287</v>
      </c>
      <c r="E2777" s="78" t="s">
        <v>1367</v>
      </c>
      <c r="F2777" s="90" t="s">
        <v>1367</v>
      </c>
      <c r="G2777" s="21" t="str">
        <f>VLOOKUP(D2777,[6]成飞半成品!$A:$B,2,0)</f>
        <v>垫板</v>
      </c>
      <c r="H2777" s="10" t="s">
        <v>123</v>
      </c>
      <c r="I2777" s="10">
        <v>10</v>
      </c>
      <c r="J2777" s="10" t="s">
        <v>2215</v>
      </c>
      <c r="L2777" s="10">
        <v>1.8</v>
      </c>
      <c r="M2777" s="10">
        <v>37</v>
      </c>
      <c r="N2777" s="10">
        <v>5</v>
      </c>
      <c r="O2777" s="55" t="s">
        <v>1790</v>
      </c>
      <c r="Q2777" s="10">
        <v>390</v>
      </c>
      <c r="U2777" s="10">
        <v>90</v>
      </c>
      <c r="Y2777" s="79">
        <v>11.7</v>
      </c>
      <c r="Z2777" s="10" t="s">
        <v>23</v>
      </c>
    </row>
    <row r="2778" spans="1:28" ht="23.1" customHeight="1" x14ac:dyDescent="0.25">
      <c r="A2778" s="14" t="s">
        <v>1333</v>
      </c>
      <c r="B2778" s="10" t="s">
        <v>113</v>
      </c>
      <c r="C2778" s="10">
        <v>79</v>
      </c>
      <c r="D2778" s="10" t="s">
        <v>420</v>
      </c>
      <c r="E2778" s="78" t="s">
        <v>153</v>
      </c>
      <c r="F2778" s="90" t="s">
        <v>1247</v>
      </c>
      <c r="G2778" s="21" t="str">
        <f>VLOOKUP(D2778,[6]成飞半成品!$A:$B,2,0)</f>
        <v>根肋前段</v>
      </c>
      <c r="H2778" s="10" t="s">
        <v>154</v>
      </c>
      <c r="I2778" s="10">
        <v>50</v>
      </c>
      <c r="J2778" s="10" t="s">
        <v>2204</v>
      </c>
      <c r="K2778" s="10">
        <v>0.3</v>
      </c>
      <c r="L2778" s="10">
        <v>0.3</v>
      </c>
      <c r="M2778" s="10">
        <v>23</v>
      </c>
      <c r="O2778" s="55" t="s">
        <v>784</v>
      </c>
      <c r="Q2778" s="10">
        <v>3700</v>
      </c>
      <c r="R2778" s="10">
        <v>90</v>
      </c>
      <c r="U2778" s="10">
        <v>180</v>
      </c>
      <c r="Y2778" s="79">
        <v>18.5</v>
      </c>
      <c r="Z2778" s="10" t="s">
        <v>5</v>
      </c>
    </row>
    <row r="2779" spans="1:28" ht="23.1" customHeight="1" x14ac:dyDescent="0.25">
      <c r="A2779" s="14" t="s">
        <v>1333</v>
      </c>
      <c r="B2779" s="10" t="s">
        <v>113</v>
      </c>
      <c r="C2779" s="10">
        <v>59</v>
      </c>
      <c r="D2779" s="10" t="s">
        <v>1791</v>
      </c>
      <c r="E2779" s="78" t="s">
        <v>409</v>
      </c>
      <c r="F2779" s="90" t="s">
        <v>409</v>
      </c>
      <c r="G2779" s="21" t="str">
        <f>VLOOKUP(D2779,[6]成飞半成品!$A:$B,2,0)</f>
        <v>接头</v>
      </c>
      <c r="H2779" s="10" t="s">
        <v>102</v>
      </c>
      <c r="I2779" s="10">
        <v>15</v>
      </c>
      <c r="J2779" s="10" t="s">
        <v>1852</v>
      </c>
      <c r="L2779" s="10">
        <v>1</v>
      </c>
      <c r="M2779" s="10">
        <v>26</v>
      </c>
      <c r="O2779" s="55" t="s">
        <v>596</v>
      </c>
      <c r="Q2779" s="10">
        <v>35</v>
      </c>
      <c r="U2779" s="10">
        <v>90</v>
      </c>
      <c r="W2779" s="10">
        <v>1</v>
      </c>
      <c r="Y2779" s="79">
        <v>2.1</v>
      </c>
      <c r="Z2779" s="10" t="s">
        <v>6</v>
      </c>
    </row>
    <row r="2780" spans="1:28" ht="23.1" customHeight="1" x14ac:dyDescent="0.25">
      <c r="A2780" s="14" t="s">
        <v>1333</v>
      </c>
      <c r="B2780" s="10" t="s">
        <v>113</v>
      </c>
      <c r="C2780" s="10">
        <v>59</v>
      </c>
      <c r="D2780" s="10" t="s">
        <v>1791</v>
      </c>
      <c r="E2780" s="78" t="s">
        <v>409</v>
      </c>
      <c r="F2780" s="90" t="s">
        <v>409</v>
      </c>
      <c r="G2780" s="21" t="str">
        <f>VLOOKUP(D2780,[6]成飞半成品!$A:$B,2,0)</f>
        <v>接头</v>
      </c>
      <c r="H2780" s="10" t="s">
        <v>102</v>
      </c>
      <c r="I2780" s="10">
        <v>20</v>
      </c>
      <c r="J2780" s="10" t="s">
        <v>2217</v>
      </c>
      <c r="L2780" s="10">
        <v>1</v>
      </c>
      <c r="N2780" s="10">
        <v>23</v>
      </c>
      <c r="O2780" s="55" t="s">
        <v>596</v>
      </c>
      <c r="Q2780" s="10">
        <v>25</v>
      </c>
      <c r="U2780" s="10">
        <v>60</v>
      </c>
      <c r="W2780" s="10">
        <v>1</v>
      </c>
      <c r="X2780" s="14">
        <v>5</v>
      </c>
      <c r="Y2780" s="79">
        <v>6.4</v>
      </c>
      <c r="Z2780" s="10" t="s">
        <v>6</v>
      </c>
      <c r="AA2780" s="14" t="s">
        <v>1792</v>
      </c>
      <c r="AB2780" s="14" t="s">
        <v>238</v>
      </c>
    </row>
    <row r="2781" spans="1:28" ht="23.1" customHeight="1" x14ac:dyDescent="0.25">
      <c r="A2781" s="14" t="s">
        <v>1333</v>
      </c>
      <c r="B2781" s="10" t="s">
        <v>113</v>
      </c>
      <c r="C2781" s="10">
        <v>59</v>
      </c>
      <c r="D2781" s="10" t="s">
        <v>1791</v>
      </c>
      <c r="E2781" s="78" t="s">
        <v>409</v>
      </c>
      <c r="F2781" s="90" t="s">
        <v>409</v>
      </c>
      <c r="G2781" s="21" t="str">
        <f>VLOOKUP(D2781,[6]成飞半成品!$A:$B,2,0)</f>
        <v>接头</v>
      </c>
      <c r="H2781" s="10" t="s">
        <v>102</v>
      </c>
      <c r="I2781" s="10">
        <v>25</v>
      </c>
      <c r="J2781" s="10" t="s">
        <v>2208</v>
      </c>
      <c r="L2781" s="10">
        <v>1</v>
      </c>
      <c r="N2781" s="10">
        <v>23</v>
      </c>
      <c r="O2781" s="55" t="s">
        <v>596</v>
      </c>
      <c r="Q2781" s="10">
        <v>55</v>
      </c>
      <c r="U2781" s="10">
        <v>90</v>
      </c>
      <c r="W2781" s="10">
        <v>1</v>
      </c>
      <c r="Y2781" s="79">
        <v>2.4</v>
      </c>
      <c r="Z2781" s="10" t="s">
        <v>6</v>
      </c>
    </row>
    <row r="2782" spans="1:28" ht="23.1" customHeight="1" x14ac:dyDescent="0.25">
      <c r="A2782" s="14" t="s">
        <v>1333</v>
      </c>
      <c r="B2782" s="10" t="s">
        <v>113</v>
      </c>
      <c r="C2782" s="10">
        <v>18</v>
      </c>
      <c r="D2782" s="10" t="s">
        <v>918</v>
      </c>
      <c r="E2782" s="78" t="s">
        <v>919</v>
      </c>
      <c r="F2782" s="90" t="s">
        <v>919</v>
      </c>
      <c r="G2782" s="21" t="str">
        <f>VLOOKUP(D2782,[6]成飞半成品!$A:$B,2,0)</f>
        <v>雷达罩锁支座</v>
      </c>
      <c r="H2782" s="10" t="s">
        <v>323</v>
      </c>
      <c r="I2782" s="10">
        <v>15</v>
      </c>
      <c r="J2782" s="10" t="s">
        <v>2033</v>
      </c>
      <c r="K2782" s="10">
        <v>3</v>
      </c>
      <c r="L2782" s="10">
        <v>4</v>
      </c>
      <c r="M2782" s="10">
        <v>5</v>
      </c>
      <c r="N2782" s="10">
        <v>5</v>
      </c>
      <c r="O2782" s="55" t="s">
        <v>778</v>
      </c>
      <c r="Q2782" s="10">
        <v>210</v>
      </c>
      <c r="U2782" s="10">
        <v>90</v>
      </c>
      <c r="Y2782" s="79">
        <v>14</v>
      </c>
      <c r="Z2782" s="10" t="s">
        <v>14</v>
      </c>
    </row>
    <row r="2783" spans="1:28" ht="23.1" customHeight="1" x14ac:dyDescent="0.25">
      <c r="A2783" s="14" t="s">
        <v>1333</v>
      </c>
      <c r="B2783" s="10" t="s">
        <v>113</v>
      </c>
      <c r="C2783" s="10">
        <v>12</v>
      </c>
      <c r="D2783" s="10" t="s">
        <v>735</v>
      </c>
      <c r="E2783" s="78" t="s">
        <v>249</v>
      </c>
      <c r="F2783" s="90" t="s">
        <v>249</v>
      </c>
      <c r="G2783" s="21" t="str">
        <f>VLOOKUP(D2783,[6]成飞半成品!$A:$B,2,0)</f>
        <v>10060下接头</v>
      </c>
      <c r="H2783" s="10" t="s">
        <v>250</v>
      </c>
      <c r="I2783" s="10">
        <v>25</v>
      </c>
      <c r="J2783" s="10" t="s">
        <v>1923</v>
      </c>
      <c r="K2783" s="10">
        <v>1</v>
      </c>
      <c r="L2783" s="10">
        <v>1</v>
      </c>
      <c r="M2783" s="10">
        <v>19</v>
      </c>
      <c r="O2783" s="55" t="s">
        <v>1793</v>
      </c>
      <c r="Q2783" s="10">
        <v>1080</v>
      </c>
      <c r="U2783" s="10">
        <v>120</v>
      </c>
      <c r="Y2783" s="79">
        <v>18</v>
      </c>
      <c r="Z2783" s="10" t="s">
        <v>10</v>
      </c>
    </row>
    <row r="2784" spans="1:28" ht="23.1" customHeight="1" x14ac:dyDescent="0.25">
      <c r="A2784" s="14" t="s">
        <v>1333</v>
      </c>
      <c r="B2784" s="10" t="s">
        <v>113</v>
      </c>
      <c r="C2784" s="10">
        <v>56</v>
      </c>
      <c r="D2784" s="10" t="s">
        <v>273</v>
      </c>
      <c r="E2784" s="78" t="s">
        <v>274</v>
      </c>
      <c r="F2784" s="90" t="s">
        <v>274</v>
      </c>
      <c r="G2784" s="21" t="str">
        <f>VLOOKUP(D2784,[6]成飞半成品!$A:$B,2,0)</f>
        <v>前起落架水平接头</v>
      </c>
      <c r="H2784" s="10" t="s">
        <v>123</v>
      </c>
      <c r="I2784" s="10">
        <v>58</v>
      </c>
      <c r="L2784" s="10">
        <v>5</v>
      </c>
      <c r="M2784" s="10">
        <v>31</v>
      </c>
      <c r="N2784" s="10">
        <v>23</v>
      </c>
      <c r="O2784" s="55" t="s">
        <v>275</v>
      </c>
      <c r="P2784" s="10">
        <v>90</v>
      </c>
      <c r="V2784" s="10">
        <v>60</v>
      </c>
      <c r="W2784" s="10">
        <v>1</v>
      </c>
      <c r="X2784" s="14">
        <v>2</v>
      </c>
      <c r="Y2784" s="83">
        <v>10.5</v>
      </c>
      <c r="Z2784" s="10" t="s">
        <v>18</v>
      </c>
      <c r="AA2784" s="14" t="s">
        <v>1245</v>
      </c>
      <c r="AB2784" s="14" t="s">
        <v>238</v>
      </c>
    </row>
    <row r="2785" spans="1:28" ht="23.1" customHeight="1" x14ac:dyDescent="0.25">
      <c r="A2785" s="14" t="s">
        <v>1333</v>
      </c>
      <c r="B2785" s="10" t="s">
        <v>113</v>
      </c>
      <c r="C2785" s="10">
        <v>56</v>
      </c>
      <c r="D2785" s="10" t="s">
        <v>273</v>
      </c>
      <c r="E2785" s="78" t="s">
        <v>274</v>
      </c>
      <c r="F2785" s="90" t="s">
        <v>274</v>
      </c>
      <c r="G2785" s="21" t="str">
        <f>VLOOKUP(D2785,[6]成飞半成品!$A:$B,2,0)</f>
        <v>前起落架水平接头</v>
      </c>
      <c r="H2785" s="10" t="s">
        <v>123</v>
      </c>
      <c r="I2785" s="10">
        <v>60</v>
      </c>
      <c r="J2785" s="10" t="s">
        <v>2206</v>
      </c>
      <c r="L2785" s="10">
        <v>5</v>
      </c>
      <c r="M2785" s="10">
        <v>31</v>
      </c>
      <c r="N2785" s="10">
        <v>23</v>
      </c>
      <c r="O2785" s="55" t="s">
        <v>275</v>
      </c>
      <c r="Q2785" s="10">
        <v>45</v>
      </c>
      <c r="U2785" s="10">
        <v>60</v>
      </c>
      <c r="W2785" s="10">
        <v>1</v>
      </c>
      <c r="Y2785" s="79">
        <v>4.8</v>
      </c>
      <c r="Z2785" s="10" t="s">
        <v>18</v>
      </c>
    </row>
    <row r="2786" spans="1:28" ht="23.1" customHeight="1" x14ac:dyDescent="0.25">
      <c r="A2786" s="14" t="s">
        <v>1333</v>
      </c>
      <c r="B2786" s="10" t="s">
        <v>113</v>
      </c>
      <c r="C2786" s="10">
        <v>78</v>
      </c>
      <c r="D2786" s="10" t="s">
        <v>2557</v>
      </c>
      <c r="E2786" s="78" t="s">
        <v>1013</v>
      </c>
      <c r="F2786" s="90" t="s">
        <v>1013</v>
      </c>
      <c r="G2786" s="21" t="str">
        <f>VLOOKUP(D2786,[6]成飞半成品!$A:$B,2,0)</f>
        <v>9350-11140左侧上梁</v>
      </c>
      <c r="H2786" s="10" t="s">
        <v>250</v>
      </c>
      <c r="I2786" s="10">
        <v>40</v>
      </c>
      <c r="J2786" s="10" t="s">
        <v>1902</v>
      </c>
      <c r="K2786" s="10">
        <v>3</v>
      </c>
      <c r="L2786" s="10">
        <v>3.3</v>
      </c>
      <c r="M2786" s="10">
        <v>28</v>
      </c>
      <c r="N2786" s="10">
        <v>5</v>
      </c>
      <c r="O2786" s="55" t="s">
        <v>1794</v>
      </c>
      <c r="Q2786" s="10">
        <v>250</v>
      </c>
      <c r="R2786" s="10">
        <v>60</v>
      </c>
      <c r="T2786" s="10">
        <v>3</v>
      </c>
      <c r="U2786" s="10">
        <v>90</v>
      </c>
      <c r="Y2786" s="79">
        <v>16.8</v>
      </c>
      <c r="Z2786" s="10" t="s">
        <v>5</v>
      </c>
    </row>
    <row r="2787" spans="1:28" ht="23.1" customHeight="1" x14ac:dyDescent="0.25">
      <c r="A2787" s="14" t="s">
        <v>1333</v>
      </c>
      <c r="B2787" s="10" t="s">
        <v>113</v>
      </c>
      <c r="C2787" s="10">
        <v>57</v>
      </c>
      <c r="D2787" s="10" t="s">
        <v>1042</v>
      </c>
      <c r="E2787" s="78" t="s">
        <v>1281</v>
      </c>
      <c r="F2787" s="90" t="s">
        <v>1281</v>
      </c>
      <c r="G2787" s="21" t="str">
        <f>VLOOKUP(D2787,[6]成飞半成品!$A:$B,2,0)</f>
        <v>前上大梁（右）</v>
      </c>
      <c r="H2787" s="10" t="s">
        <v>107</v>
      </c>
      <c r="I2787" s="10">
        <v>20</v>
      </c>
      <c r="J2787" s="10" t="s">
        <v>2213</v>
      </c>
      <c r="K2787" s="10">
        <v>0.5</v>
      </c>
      <c r="L2787" s="10">
        <v>0.5</v>
      </c>
      <c r="M2787" s="10">
        <v>26</v>
      </c>
      <c r="O2787" s="55" t="s">
        <v>1312</v>
      </c>
      <c r="Q2787" s="10">
        <v>180</v>
      </c>
      <c r="U2787" s="10">
        <v>90</v>
      </c>
      <c r="Y2787" s="79">
        <v>1.5</v>
      </c>
      <c r="Z2787" s="10" t="s">
        <v>6</v>
      </c>
    </row>
    <row r="2788" spans="1:28" ht="23.1" customHeight="1" x14ac:dyDescent="0.25">
      <c r="A2788" s="14" t="s">
        <v>1333</v>
      </c>
      <c r="B2788" s="10" t="s">
        <v>113</v>
      </c>
      <c r="C2788" s="10">
        <v>57</v>
      </c>
      <c r="D2788" s="10" t="s">
        <v>1042</v>
      </c>
      <c r="E2788" s="78" t="s">
        <v>1281</v>
      </c>
      <c r="F2788" s="90" t="s">
        <v>1281</v>
      </c>
      <c r="G2788" s="21" t="str">
        <f>VLOOKUP(D2788,[6]成飞半成品!$A:$B,2,0)</f>
        <v>前上大梁（右）</v>
      </c>
      <c r="H2788" s="10" t="s">
        <v>107</v>
      </c>
      <c r="I2788" s="10">
        <v>20</v>
      </c>
      <c r="J2788" s="10" t="s">
        <v>2213</v>
      </c>
      <c r="K2788" s="10">
        <v>3</v>
      </c>
      <c r="L2788" s="10">
        <v>3.8</v>
      </c>
      <c r="M2788" s="10">
        <v>5</v>
      </c>
      <c r="N2788" s="10">
        <v>5</v>
      </c>
      <c r="O2788" s="55" t="s">
        <v>1795</v>
      </c>
      <c r="Q2788" s="10">
        <v>180</v>
      </c>
      <c r="U2788" s="10">
        <v>90</v>
      </c>
      <c r="Y2788" s="79">
        <v>11.4</v>
      </c>
      <c r="Z2788" s="10" t="s">
        <v>6</v>
      </c>
    </row>
    <row r="2789" spans="1:28" ht="23.1" customHeight="1" x14ac:dyDescent="0.25">
      <c r="A2789" s="14" t="s">
        <v>1333</v>
      </c>
      <c r="B2789" s="10" t="s">
        <v>113</v>
      </c>
      <c r="C2789" s="10">
        <v>13</v>
      </c>
      <c r="D2789" s="10" t="s">
        <v>1277</v>
      </c>
      <c r="E2789" s="78" t="s">
        <v>1278</v>
      </c>
      <c r="F2789" s="90" t="s">
        <v>1278</v>
      </c>
      <c r="G2789" s="21" t="str">
        <f>VLOOKUP(D2789,[6]成飞半成品!$A:$B,2,0)</f>
        <v>接管嘴</v>
      </c>
      <c r="H2789" s="10" t="s">
        <v>154</v>
      </c>
      <c r="I2789" s="10">
        <v>25</v>
      </c>
      <c r="J2789" s="10" t="s">
        <v>2404</v>
      </c>
      <c r="K2789" s="10">
        <v>40</v>
      </c>
      <c r="L2789" s="10">
        <v>44</v>
      </c>
      <c r="M2789" s="10">
        <v>28</v>
      </c>
      <c r="N2789" s="10">
        <v>37</v>
      </c>
      <c r="O2789" s="55" t="s">
        <v>1279</v>
      </c>
      <c r="Q2789" s="10">
        <v>25</v>
      </c>
      <c r="U2789" s="10">
        <v>90</v>
      </c>
      <c r="Y2789" s="79">
        <v>18.3</v>
      </c>
      <c r="Z2789" s="10" t="s">
        <v>10</v>
      </c>
    </row>
    <row r="2790" spans="1:28" ht="23.1" customHeight="1" x14ac:dyDescent="0.25">
      <c r="A2790" s="14" t="s">
        <v>1333</v>
      </c>
      <c r="B2790" s="10" t="s">
        <v>113</v>
      </c>
      <c r="C2790" s="10">
        <v>13</v>
      </c>
      <c r="D2790" s="10" t="s">
        <v>1277</v>
      </c>
      <c r="E2790" s="78" t="s">
        <v>1278</v>
      </c>
      <c r="F2790" s="90" t="s">
        <v>1278</v>
      </c>
      <c r="G2790" s="21" t="str">
        <f>VLOOKUP(D2790,[6]成飞半成品!$A:$B,2,0)</f>
        <v>接管嘴</v>
      </c>
      <c r="H2790" s="10" t="s">
        <v>154</v>
      </c>
      <c r="I2790" s="10">
        <v>30</v>
      </c>
      <c r="J2790" s="10" t="s">
        <v>2525</v>
      </c>
      <c r="K2790" s="10">
        <v>20</v>
      </c>
      <c r="L2790" s="10">
        <v>17</v>
      </c>
      <c r="M2790" s="10">
        <v>37</v>
      </c>
      <c r="N2790" s="10">
        <v>37</v>
      </c>
      <c r="O2790" s="55" t="s">
        <v>1279</v>
      </c>
      <c r="Q2790" s="10">
        <v>35</v>
      </c>
      <c r="U2790" s="10">
        <v>90</v>
      </c>
      <c r="W2790" s="10">
        <v>1</v>
      </c>
      <c r="X2790" s="14">
        <v>2</v>
      </c>
      <c r="Y2790" s="79">
        <v>13.4</v>
      </c>
      <c r="Z2790" s="10" t="s">
        <v>10</v>
      </c>
      <c r="AA2790" s="14" t="s">
        <v>1767</v>
      </c>
      <c r="AB2790" s="14" t="s">
        <v>238</v>
      </c>
    </row>
    <row r="2791" spans="1:28" ht="23.1" customHeight="1" x14ac:dyDescent="0.25">
      <c r="A2791" s="14" t="s">
        <v>1333</v>
      </c>
      <c r="B2791" s="10" t="s">
        <v>113</v>
      </c>
      <c r="C2791" s="10">
        <v>14</v>
      </c>
      <c r="D2791" s="10" t="s">
        <v>1257</v>
      </c>
      <c r="E2791" s="78" t="s">
        <v>806</v>
      </c>
      <c r="F2791" s="90" t="s">
        <v>806</v>
      </c>
      <c r="G2791" s="21" t="str">
        <f>VLOOKUP(D2791,[6]成飞半成品!$A:$B,2,0)</f>
        <v>前缘短肋</v>
      </c>
      <c r="H2791" s="10" t="s">
        <v>154</v>
      </c>
      <c r="I2791" s="10">
        <v>5</v>
      </c>
      <c r="J2791" s="10" t="s">
        <v>1957</v>
      </c>
      <c r="K2791" s="10">
        <v>2</v>
      </c>
      <c r="L2791" s="10">
        <v>2</v>
      </c>
      <c r="M2791" s="10">
        <v>28</v>
      </c>
      <c r="N2791" s="10">
        <v>28</v>
      </c>
      <c r="O2791" s="55" t="s">
        <v>159</v>
      </c>
      <c r="Q2791" s="10">
        <v>330</v>
      </c>
      <c r="U2791" s="10">
        <v>60</v>
      </c>
      <c r="W2791" s="10">
        <v>1</v>
      </c>
      <c r="X2791" s="14">
        <v>2</v>
      </c>
      <c r="Y2791" s="79">
        <v>14</v>
      </c>
      <c r="Z2791" s="10" t="s">
        <v>60</v>
      </c>
      <c r="AA2791" s="14" t="s">
        <v>1376</v>
      </c>
      <c r="AB2791" s="14" t="s">
        <v>238</v>
      </c>
    </row>
    <row r="2792" spans="1:28" ht="23.1" customHeight="1" x14ac:dyDescent="0.25">
      <c r="A2792" s="14" t="s">
        <v>1333</v>
      </c>
      <c r="B2792" s="10" t="s">
        <v>113</v>
      </c>
      <c r="C2792" s="10">
        <v>14</v>
      </c>
      <c r="D2792" s="10" t="s">
        <v>1257</v>
      </c>
      <c r="E2792" s="78" t="s">
        <v>806</v>
      </c>
      <c r="F2792" s="90" t="s">
        <v>806</v>
      </c>
      <c r="G2792" s="21" t="str">
        <f>VLOOKUP(D2792,[6]成飞半成品!$A:$B,2,0)</f>
        <v>前缘短肋</v>
      </c>
      <c r="H2792" s="10" t="s">
        <v>154</v>
      </c>
      <c r="I2792" s="10">
        <v>10</v>
      </c>
      <c r="J2792" s="10" t="s">
        <v>2057</v>
      </c>
      <c r="K2792" s="10">
        <v>2</v>
      </c>
      <c r="L2792" s="10">
        <v>2</v>
      </c>
      <c r="M2792" s="10">
        <v>37</v>
      </c>
      <c r="N2792" s="10">
        <v>37</v>
      </c>
      <c r="O2792" s="55" t="s">
        <v>159</v>
      </c>
      <c r="Q2792" s="10">
        <v>140</v>
      </c>
      <c r="U2792" s="10">
        <v>90</v>
      </c>
      <c r="W2792" s="10">
        <v>1</v>
      </c>
      <c r="X2792" s="14">
        <v>2</v>
      </c>
      <c r="Y2792" s="79">
        <v>8.1999999999999993</v>
      </c>
      <c r="Z2792" s="10" t="s">
        <v>60</v>
      </c>
      <c r="AA2792" s="14" t="s">
        <v>1396</v>
      </c>
    </row>
    <row r="2793" spans="1:28" ht="23.1" customHeight="1" x14ac:dyDescent="0.25">
      <c r="A2793" s="14" t="s">
        <v>1333</v>
      </c>
      <c r="B2793" s="10" t="s">
        <v>113</v>
      </c>
      <c r="C2793" s="10">
        <v>21</v>
      </c>
      <c r="D2793" s="10" t="s">
        <v>321</v>
      </c>
      <c r="E2793" s="78" t="s">
        <v>322</v>
      </c>
      <c r="F2793" s="90" t="s">
        <v>322</v>
      </c>
      <c r="G2793" s="21" t="str">
        <f>VLOOKUP(D2793,[6]成飞半成品!$A:$B,2,0)</f>
        <v>10860框</v>
      </c>
      <c r="H2793" s="10" t="s">
        <v>323</v>
      </c>
      <c r="I2793" s="10">
        <v>15</v>
      </c>
      <c r="J2793" s="10" t="s">
        <v>2048</v>
      </c>
      <c r="K2793" s="10">
        <v>3</v>
      </c>
      <c r="L2793" s="10">
        <v>2.9</v>
      </c>
      <c r="M2793" s="10">
        <v>31</v>
      </c>
      <c r="N2793" s="10">
        <v>37</v>
      </c>
      <c r="O2793" s="55" t="s">
        <v>1448</v>
      </c>
      <c r="Q2793" s="10">
        <v>210</v>
      </c>
      <c r="R2793" s="10">
        <v>120</v>
      </c>
      <c r="T2793" s="10">
        <v>2</v>
      </c>
      <c r="U2793" s="10">
        <v>180</v>
      </c>
      <c r="Y2793" s="79">
        <v>14.2</v>
      </c>
      <c r="Z2793" s="10" t="s">
        <v>49</v>
      </c>
    </row>
    <row r="2794" spans="1:28" ht="23.1" customHeight="1" x14ac:dyDescent="0.25">
      <c r="A2794" s="14" t="s">
        <v>1333</v>
      </c>
      <c r="B2794" s="10" t="s">
        <v>113</v>
      </c>
      <c r="C2794" s="10">
        <v>55</v>
      </c>
      <c r="D2794" s="10" t="s">
        <v>1268</v>
      </c>
      <c r="E2794" s="78" t="s">
        <v>409</v>
      </c>
      <c r="F2794" s="90" t="s">
        <v>409</v>
      </c>
      <c r="G2794" s="21" t="str">
        <f>VLOOKUP(D2794,[6]成飞半成品!$A:$B,2,0)</f>
        <v>接头</v>
      </c>
      <c r="H2794" s="10" t="s">
        <v>102</v>
      </c>
      <c r="I2794" s="10">
        <v>10</v>
      </c>
      <c r="J2794" s="10" t="s">
        <v>1952</v>
      </c>
      <c r="L2794" s="10">
        <v>2</v>
      </c>
      <c r="M2794" s="10">
        <v>31</v>
      </c>
      <c r="N2794" s="10">
        <v>31</v>
      </c>
      <c r="O2794" s="55" t="s">
        <v>596</v>
      </c>
      <c r="Q2794" s="10">
        <v>60</v>
      </c>
      <c r="U2794" s="10">
        <v>60</v>
      </c>
      <c r="W2794" s="10">
        <v>1</v>
      </c>
      <c r="Y2794" s="79">
        <v>3</v>
      </c>
      <c r="Z2794" s="10" t="s">
        <v>18</v>
      </c>
    </row>
    <row r="2795" spans="1:28" ht="23.1" customHeight="1" x14ac:dyDescent="0.25">
      <c r="A2795" s="14" t="s">
        <v>1333</v>
      </c>
      <c r="B2795" s="10" t="s">
        <v>113</v>
      </c>
      <c r="C2795" s="10">
        <v>55</v>
      </c>
      <c r="D2795" s="10" t="s">
        <v>1268</v>
      </c>
      <c r="E2795" s="78" t="s">
        <v>409</v>
      </c>
      <c r="F2795" s="90" t="s">
        <v>409</v>
      </c>
      <c r="G2795" s="21" t="str">
        <f>VLOOKUP(D2795,[6]成飞半成品!$A:$B,2,0)</f>
        <v>接头</v>
      </c>
      <c r="H2795" s="10" t="s">
        <v>102</v>
      </c>
      <c r="I2795" s="10">
        <v>15</v>
      </c>
      <c r="J2795" s="10" t="s">
        <v>1864</v>
      </c>
      <c r="L2795" s="10">
        <v>2</v>
      </c>
      <c r="M2795" s="10">
        <v>31</v>
      </c>
      <c r="N2795" s="10">
        <v>31</v>
      </c>
      <c r="O2795" s="55" t="s">
        <v>596</v>
      </c>
      <c r="Q2795" s="10">
        <v>35</v>
      </c>
      <c r="U2795" s="10">
        <v>90</v>
      </c>
      <c r="W2795" s="10">
        <v>1</v>
      </c>
      <c r="Y2795" s="79">
        <v>2.7</v>
      </c>
      <c r="Z2795" s="10" t="s">
        <v>18</v>
      </c>
    </row>
    <row r="2796" spans="1:28" ht="23.1" customHeight="1" x14ac:dyDescent="0.25">
      <c r="A2796" s="14" t="s">
        <v>1333</v>
      </c>
      <c r="B2796" s="10" t="s">
        <v>113</v>
      </c>
      <c r="C2796" s="10">
        <v>55</v>
      </c>
      <c r="D2796" s="10" t="s">
        <v>1268</v>
      </c>
      <c r="E2796" s="78" t="s">
        <v>409</v>
      </c>
      <c r="F2796" s="90" t="s">
        <v>409</v>
      </c>
      <c r="G2796" s="21" t="str">
        <f>VLOOKUP(D2796,[6]成飞半成品!$A:$B,2,0)</f>
        <v>接头</v>
      </c>
      <c r="H2796" s="10" t="s">
        <v>102</v>
      </c>
      <c r="I2796" s="10">
        <v>20</v>
      </c>
      <c r="J2796" s="10" t="s">
        <v>2252</v>
      </c>
      <c r="L2796" s="10">
        <v>2</v>
      </c>
      <c r="M2796" s="10">
        <v>31</v>
      </c>
      <c r="N2796" s="10">
        <v>31</v>
      </c>
      <c r="O2796" s="55" t="s">
        <v>596</v>
      </c>
      <c r="Q2796" s="10">
        <v>10</v>
      </c>
      <c r="X2796" s="14">
        <v>2</v>
      </c>
      <c r="Y2796" s="79">
        <v>2.2999999999999998</v>
      </c>
      <c r="Z2796" s="10" t="s">
        <v>18</v>
      </c>
      <c r="AA2796" s="14" t="s">
        <v>1796</v>
      </c>
      <c r="AB2796" s="14" t="s">
        <v>238</v>
      </c>
    </row>
    <row r="2797" spans="1:28" ht="23.1" customHeight="1" x14ac:dyDescent="0.25">
      <c r="A2797" s="14" t="s">
        <v>1333</v>
      </c>
      <c r="B2797" s="10" t="s">
        <v>113</v>
      </c>
      <c r="C2797" s="10">
        <v>55</v>
      </c>
      <c r="D2797" s="10" t="s">
        <v>1270</v>
      </c>
      <c r="E2797" s="78" t="s">
        <v>409</v>
      </c>
      <c r="F2797" s="90" t="s">
        <v>409</v>
      </c>
      <c r="G2797" s="21" t="str">
        <f>VLOOKUP(D2797,[6]成飞半成品!$A:$B,2,0)</f>
        <v>接头</v>
      </c>
      <c r="H2797" s="10" t="s">
        <v>102</v>
      </c>
      <c r="I2797" s="10">
        <v>10</v>
      </c>
      <c r="J2797" s="10" t="s">
        <v>1952</v>
      </c>
      <c r="L2797" s="10">
        <v>1</v>
      </c>
      <c r="M2797" s="10">
        <v>31</v>
      </c>
      <c r="N2797" s="10">
        <v>31</v>
      </c>
      <c r="O2797" s="55" t="s">
        <v>596</v>
      </c>
      <c r="Q2797" s="10">
        <v>60</v>
      </c>
      <c r="U2797" s="10">
        <v>60</v>
      </c>
      <c r="W2797" s="10">
        <v>1</v>
      </c>
      <c r="X2797" s="14">
        <v>6</v>
      </c>
      <c r="Y2797" s="79">
        <v>8</v>
      </c>
      <c r="Z2797" s="10" t="s">
        <v>18</v>
      </c>
    </row>
    <row r="2798" spans="1:28" ht="23.1" customHeight="1" x14ac:dyDescent="0.25">
      <c r="A2798" s="14" t="s">
        <v>1333</v>
      </c>
      <c r="B2798" s="10" t="s">
        <v>113</v>
      </c>
      <c r="C2798" s="10">
        <v>55</v>
      </c>
      <c r="D2798" s="10" t="s">
        <v>1270</v>
      </c>
      <c r="E2798" s="78" t="s">
        <v>409</v>
      </c>
      <c r="F2798" s="90" t="s">
        <v>409</v>
      </c>
      <c r="G2798" s="21" t="str">
        <f>VLOOKUP(D2798,[6]成飞半成品!$A:$B,2,0)</f>
        <v>接头</v>
      </c>
      <c r="H2798" s="10" t="s">
        <v>102</v>
      </c>
      <c r="I2798" s="10">
        <v>15</v>
      </c>
      <c r="J2798" s="10" t="s">
        <v>2526</v>
      </c>
      <c r="L2798" s="10">
        <v>1</v>
      </c>
      <c r="M2798" s="10">
        <v>31</v>
      </c>
      <c r="N2798" s="10">
        <v>31</v>
      </c>
      <c r="O2798" s="55" t="s">
        <v>596</v>
      </c>
      <c r="Q2798" s="10">
        <v>35</v>
      </c>
      <c r="U2798" s="10">
        <v>90</v>
      </c>
      <c r="W2798" s="10">
        <v>1</v>
      </c>
      <c r="Y2798" s="79">
        <v>2.1</v>
      </c>
      <c r="Z2798" s="10" t="s">
        <v>18</v>
      </c>
    </row>
    <row r="2799" spans="1:28" ht="23.1" customHeight="1" x14ac:dyDescent="0.25">
      <c r="A2799" s="14" t="s">
        <v>1333</v>
      </c>
      <c r="B2799" s="10" t="s">
        <v>113</v>
      </c>
      <c r="C2799" s="10">
        <v>55</v>
      </c>
      <c r="D2799" s="10" t="s">
        <v>1270</v>
      </c>
      <c r="E2799" s="78" t="s">
        <v>409</v>
      </c>
      <c r="F2799" s="90" t="s">
        <v>409</v>
      </c>
      <c r="G2799" s="21" t="str">
        <f>VLOOKUP(D2799,[6]成飞半成品!$A:$B,2,0)</f>
        <v>接头</v>
      </c>
      <c r="H2799" s="10" t="s">
        <v>102</v>
      </c>
      <c r="I2799" s="10">
        <v>20</v>
      </c>
      <c r="J2799" s="10" t="s">
        <v>2252</v>
      </c>
      <c r="L2799" s="10">
        <v>1</v>
      </c>
      <c r="M2799" s="10">
        <v>31</v>
      </c>
      <c r="N2799" s="10">
        <v>31</v>
      </c>
      <c r="O2799" s="55" t="s">
        <v>596</v>
      </c>
      <c r="Q2799" s="10">
        <v>10</v>
      </c>
      <c r="X2799" s="14">
        <v>2</v>
      </c>
      <c r="Y2799" s="79">
        <v>2.2000000000000002</v>
      </c>
      <c r="Z2799" s="10" t="s">
        <v>18</v>
      </c>
      <c r="AA2799" s="14" t="s">
        <v>1796</v>
      </c>
      <c r="AB2799" s="14" t="s">
        <v>238</v>
      </c>
    </row>
    <row r="2800" spans="1:28" ht="23.1" customHeight="1" x14ac:dyDescent="0.25">
      <c r="A2800" s="14" t="s">
        <v>1333</v>
      </c>
      <c r="B2800" s="10" t="s">
        <v>113</v>
      </c>
      <c r="C2800" s="10">
        <v>77</v>
      </c>
      <c r="D2800" s="10" t="s">
        <v>1785</v>
      </c>
      <c r="E2800" s="78" t="s">
        <v>1786</v>
      </c>
      <c r="F2800" s="90" t="s">
        <v>1786</v>
      </c>
      <c r="G2800" s="21" t="str">
        <f>VLOOKUP(D2800,[6]成飞半成品!$A:$B,2,0)</f>
        <v>弓形件</v>
      </c>
      <c r="H2800" s="10" t="s">
        <v>118</v>
      </c>
      <c r="I2800" s="10">
        <v>15</v>
      </c>
      <c r="J2800" s="10" t="s">
        <v>2363</v>
      </c>
      <c r="K2800" s="10">
        <v>21</v>
      </c>
      <c r="L2800" s="10">
        <v>21</v>
      </c>
      <c r="M2800" s="10">
        <v>31</v>
      </c>
      <c r="N2800" s="10">
        <v>31</v>
      </c>
      <c r="O2800" s="55" t="s">
        <v>393</v>
      </c>
      <c r="Q2800" s="10">
        <v>25</v>
      </c>
      <c r="U2800" s="10">
        <v>60</v>
      </c>
      <c r="W2800" s="10">
        <v>1</v>
      </c>
      <c r="X2800" s="14">
        <v>2</v>
      </c>
      <c r="Y2800" s="79">
        <v>11.8</v>
      </c>
      <c r="Z2800" s="10" t="s">
        <v>24</v>
      </c>
      <c r="AA2800" s="14" t="s">
        <v>1540</v>
      </c>
      <c r="AB2800" s="14" t="s">
        <v>238</v>
      </c>
    </row>
    <row r="2801" spans="1:28" ht="23.1" customHeight="1" x14ac:dyDescent="0.25">
      <c r="A2801" s="14" t="s">
        <v>1333</v>
      </c>
      <c r="B2801" s="10" t="s">
        <v>113</v>
      </c>
      <c r="C2801" s="10">
        <v>24</v>
      </c>
      <c r="D2801" s="10" t="s">
        <v>738</v>
      </c>
      <c r="E2801" s="78" t="s">
        <v>739</v>
      </c>
      <c r="F2801" s="90" t="s">
        <v>739</v>
      </c>
      <c r="G2801" s="21" t="str">
        <f>VLOOKUP(D2801,[6]成飞半成品!$A:$B,2,0)</f>
        <v>BL280侧壁（右件）</v>
      </c>
      <c r="H2801" s="10" t="s">
        <v>107</v>
      </c>
      <c r="I2801" s="10">
        <v>30</v>
      </c>
      <c r="J2801" s="10" t="s">
        <v>2364</v>
      </c>
      <c r="L2801" s="10">
        <v>0.6</v>
      </c>
      <c r="M2801" s="10">
        <v>5</v>
      </c>
      <c r="O2801" s="55" t="s">
        <v>1169</v>
      </c>
      <c r="Q2801" s="10">
        <v>1700</v>
      </c>
      <c r="R2801" s="10">
        <v>120</v>
      </c>
      <c r="T2801" s="10">
        <v>1</v>
      </c>
      <c r="U2801" s="10">
        <v>210</v>
      </c>
      <c r="Y2801" s="79">
        <v>19</v>
      </c>
      <c r="Z2801" s="10" t="s">
        <v>26</v>
      </c>
    </row>
    <row r="2802" spans="1:28" ht="23.1" customHeight="1" x14ac:dyDescent="0.25">
      <c r="A2802" s="14" t="s">
        <v>1333</v>
      </c>
      <c r="B2802" s="10" t="s">
        <v>113</v>
      </c>
      <c r="C2802" s="10">
        <v>69</v>
      </c>
      <c r="D2802" s="10" t="s">
        <v>217</v>
      </c>
      <c r="E2802" s="78" t="s">
        <v>218</v>
      </c>
      <c r="F2802" s="90" t="s">
        <v>218</v>
      </c>
      <c r="G2802" s="21" t="str">
        <f>VLOOKUP(D2802,[6]成飞半成品!$A:$B,2,0)</f>
        <v>横梁</v>
      </c>
      <c r="H2802" s="10" t="s">
        <v>107</v>
      </c>
      <c r="I2802" s="10">
        <v>50</v>
      </c>
      <c r="J2802" s="10" t="s">
        <v>2202</v>
      </c>
      <c r="K2802" s="10">
        <v>5</v>
      </c>
      <c r="L2802" s="10">
        <v>5</v>
      </c>
      <c r="M2802" s="10">
        <v>28</v>
      </c>
      <c r="N2802" s="10">
        <v>37</v>
      </c>
      <c r="O2802" s="55" t="s">
        <v>1094</v>
      </c>
      <c r="Q2802" s="10">
        <v>180</v>
      </c>
      <c r="R2802" s="10">
        <v>60</v>
      </c>
      <c r="T2802" s="10">
        <v>5</v>
      </c>
      <c r="U2802" s="10">
        <v>150</v>
      </c>
      <c r="X2802" s="14">
        <v>5</v>
      </c>
      <c r="Y2802" s="79">
        <v>25</v>
      </c>
      <c r="Z2802" s="10" t="s">
        <v>26</v>
      </c>
      <c r="AA2802" s="14" t="s">
        <v>1797</v>
      </c>
    </row>
    <row r="2803" spans="1:28" ht="23.1" customHeight="1" x14ac:dyDescent="0.25">
      <c r="A2803" s="14" t="s">
        <v>1333</v>
      </c>
      <c r="B2803" s="10" t="s">
        <v>113</v>
      </c>
      <c r="C2803" s="10">
        <v>69</v>
      </c>
      <c r="D2803" s="10" t="s">
        <v>592</v>
      </c>
      <c r="E2803" s="78" t="s">
        <v>218</v>
      </c>
      <c r="F2803" s="90" t="s">
        <v>218</v>
      </c>
      <c r="G2803" s="21" t="str">
        <f>VLOOKUP(D2803,[6]成飞半成品!$A:$B,2,0)</f>
        <v>横梁</v>
      </c>
      <c r="H2803" s="10" t="s">
        <v>107</v>
      </c>
      <c r="I2803" s="10">
        <v>50</v>
      </c>
      <c r="J2803" s="10" t="s">
        <v>2202</v>
      </c>
      <c r="K2803" s="10">
        <v>2</v>
      </c>
      <c r="L2803" s="10">
        <v>1</v>
      </c>
      <c r="M2803" s="10">
        <v>37</v>
      </c>
      <c r="O2803" s="55" t="s">
        <v>456</v>
      </c>
      <c r="Q2803" s="10">
        <v>180</v>
      </c>
      <c r="R2803" s="10">
        <v>60</v>
      </c>
      <c r="U2803" s="10">
        <v>150</v>
      </c>
      <c r="W2803" s="10">
        <v>1</v>
      </c>
      <c r="X2803" s="14">
        <v>5</v>
      </c>
      <c r="Y2803" s="79">
        <v>10.5</v>
      </c>
      <c r="Z2803" s="10" t="s">
        <v>26</v>
      </c>
      <c r="AA2803" s="14" t="s">
        <v>1798</v>
      </c>
    </row>
    <row r="2804" spans="1:28" ht="23.1" customHeight="1" x14ac:dyDescent="0.25">
      <c r="A2804" s="14" t="s">
        <v>1333</v>
      </c>
      <c r="B2804" s="10" t="s">
        <v>113</v>
      </c>
      <c r="C2804" s="10">
        <v>91</v>
      </c>
      <c r="D2804" s="10" t="s">
        <v>254</v>
      </c>
      <c r="E2804" s="78" t="s">
        <v>1016</v>
      </c>
      <c r="F2804" s="90" t="s">
        <v>1016</v>
      </c>
      <c r="G2804" s="21" t="str">
        <f>VLOOKUP(D2804,[6]成飞半成品!$A:$B,2,0)</f>
        <v>9350-11140右侧上梁</v>
      </c>
      <c r="H2804" s="10" t="s">
        <v>375</v>
      </c>
      <c r="I2804" s="10">
        <v>40</v>
      </c>
      <c r="J2804" s="10" t="s">
        <v>2110</v>
      </c>
      <c r="K2804" s="10">
        <v>0.3</v>
      </c>
      <c r="L2804" s="10">
        <v>0.3</v>
      </c>
      <c r="M2804" s="10">
        <v>37</v>
      </c>
      <c r="O2804" s="55" t="s">
        <v>301</v>
      </c>
      <c r="Q2804" s="10">
        <v>3000</v>
      </c>
      <c r="R2804" s="10">
        <v>90</v>
      </c>
      <c r="U2804" s="10">
        <v>120</v>
      </c>
      <c r="Y2804" s="79">
        <v>15</v>
      </c>
      <c r="Z2804" s="10" t="s">
        <v>26</v>
      </c>
      <c r="AA2804" s="14" t="s">
        <v>1799</v>
      </c>
    </row>
    <row r="2805" spans="1:28" ht="23.1" customHeight="1" x14ac:dyDescent="0.25">
      <c r="A2805" s="14" t="s">
        <v>1333</v>
      </c>
      <c r="B2805" s="10" t="s">
        <v>113</v>
      </c>
      <c r="C2805" s="10">
        <v>119</v>
      </c>
      <c r="D2805" s="65" t="s">
        <v>2551</v>
      </c>
      <c r="E2805" s="78" t="s">
        <v>938</v>
      </c>
      <c r="F2805" s="90" t="s">
        <v>938</v>
      </c>
      <c r="G2805" s="21" t="str">
        <f>VLOOKUP(D2805,[6]成飞半成品!$A:$B,2,0)</f>
        <v>工装</v>
      </c>
      <c r="H2805" s="10" t="s">
        <v>939</v>
      </c>
      <c r="I2805" s="10">
        <v>60</v>
      </c>
      <c r="J2805" s="10" t="s">
        <v>2203</v>
      </c>
      <c r="K2805" s="10">
        <v>0.6</v>
      </c>
      <c r="L2805" s="10">
        <v>0.6</v>
      </c>
      <c r="M2805" s="10">
        <v>5</v>
      </c>
      <c r="N2805" s="10">
        <v>37</v>
      </c>
      <c r="O2805" s="55" t="s">
        <v>425</v>
      </c>
      <c r="Q2805" s="10">
        <v>900</v>
      </c>
      <c r="R2805" s="10">
        <v>90</v>
      </c>
      <c r="U2805" s="10">
        <v>180</v>
      </c>
      <c r="W2805" s="10">
        <v>1</v>
      </c>
      <c r="X2805" s="14">
        <v>5</v>
      </c>
      <c r="Y2805" s="79">
        <v>17</v>
      </c>
      <c r="Z2805" s="10" t="s">
        <v>26</v>
      </c>
      <c r="AA2805" s="14" t="s">
        <v>1639</v>
      </c>
    </row>
    <row r="2806" spans="1:28" ht="23.1" customHeight="1" x14ac:dyDescent="0.25">
      <c r="A2806" s="14" t="s">
        <v>1333</v>
      </c>
      <c r="B2806" s="10" t="s">
        <v>113</v>
      </c>
      <c r="C2806" s="10">
        <v>84</v>
      </c>
      <c r="D2806" s="10" t="s">
        <v>1692</v>
      </c>
      <c r="E2806" s="78" t="s">
        <v>1693</v>
      </c>
      <c r="F2806" s="90" t="s">
        <v>1693</v>
      </c>
      <c r="G2806" s="21" t="str">
        <f>VLOOKUP(D2806,[6]成飞半成品!$A:$B,2,0)</f>
        <v>后舱内段支撑件上段2段</v>
      </c>
      <c r="H2806" s="10" t="s">
        <v>154</v>
      </c>
      <c r="I2806" s="10">
        <v>35</v>
      </c>
      <c r="J2806" s="10" t="s">
        <v>2365</v>
      </c>
      <c r="L2806" s="10">
        <v>2</v>
      </c>
      <c r="M2806" s="10">
        <v>28</v>
      </c>
      <c r="N2806" s="10">
        <v>28</v>
      </c>
      <c r="O2806" s="55" t="s">
        <v>1322</v>
      </c>
      <c r="R2806" s="10">
        <v>60</v>
      </c>
      <c r="T2806" s="10">
        <v>2</v>
      </c>
      <c r="U2806" s="10">
        <v>120</v>
      </c>
      <c r="W2806" s="10">
        <v>1</v>
      </c>
      <c r="X2806" s="10">
        <v>3</v>
      </c>
      <c r="Y2806" s="79">
        <v>7</v>
      </c>
      <c r="Z2806" s="10" t="s">
        <v>26</v>
      </c>
      <c r="AA2806" s="14" t="s">
        <v>1245</v>
      </c>
    </row>
    <row r="2807" spans="1:28" ht="23.1" customHeight="1" x14ac:dyDescent="0.25">
      <c r="A2807" s="14" t="s">
        <v>1333</v>
      </c>
      <c r="B2807" s="10" t="s">
        <v>113</v>
      </c>
      <c r="C2807" s="10">
        <v>84</v>
      </c>
      <c r="D2807" s="10" t="s">
        <v>1740</v>
      </c>
      <c r="E2807" s="78" t="s">
        <v>1693</v>
      </c>
      <c r="F2807" s="90" t="s">
        <v>1693</v>
      </c>
      <c r="G2807" s="21" t="str">
        <f>VLOOKUP(D2807,[6]成飞半成品!$A:$B,2,0)</f>
        <v>后舱内段支撑件上段2段</v>
      </c>
      <c r="H2807" s="10" t="s">
        <v>154</v>
      </c>
      <c r="I2807" s="10">
        <v>35</v>
      </c>
      <c r="J2807" s="10" t="s">
        <v>2365</v>
      </c>
      <c r="L2807" s="10">
        <v>2</v>
      </c>
      <c r="M2807" s="10">
        <v>28</v>
      </c>
      <c r="N2807" s="10">
        <v>28</v>
      </c>
      <c r="O2807" s="55" t="s">
        <v>613</v>
      </c>
      <c r="Q2807" s="10">
        <v>180</v>
      </c>
      <c r="R2807" s="10">
        <v>60</v>
      </c>
      <c r="T2807" s="10">
        <v>2</v>
      </c>
      <c r="U2807" s="10">
        <v>120</v>
      </c>
      <c r="W2807" s="10">
        <v>1</v>
      </c>
      <c r="X2807" s="10">
        <v>3</v>
      </c>
      <c r="Y2807" s="79">
        <v>13</v>
      </c>
      <c r="Z2807" s="10" t="s">
        <v>26</v>
      </c>
      <c r="AA2807" s="14" t="s">
        <v>1245</v>
      </c>
    </row>
    <row r="2808" spans="1:28" ht="23.1" customHeight="1" x14ac:dyDescent="0.25">
      <c r="A2808" s="14" t="s">
        <v>1333</v>
      </c>
      <c r="B2808" s="10" t="s">
        <v>113</v>
      </c>
      <c r="C2808" s="10">
        <v>121</v>
      </c>
      <c r="D2808" s="10" t="s">
        <v>717</v>
      </c>
      <c r="E2808" s="78" t="s">
        <v>718</v>
      </c>
      <c r="F2808" s="90" t="s">
        <v>718</v>
      </c>
      <c r="G2808" s="21" t="str">
        <f>VLOOKUP(D2808,[6]成飞半成品!$A:$B,2,0)</f>
        <v>上边肋</v>
      </c>
      <c r="H2808" s="10" t="s">
        <v>118</v>
      </c>
      <c r="I2808" s="10">
        <v>50</v>
      </c>
      <c r="J2808" s="10" t="s">
        <v>2358</v>
      </c>
      <c r="L2808" s="10">
        <v>5</v>
      </c>
      <c r="M2808" s="10">
        <v>28</v>
      </c>
      <c r="N2808" s="10">
        <v>37</v>
      </c>
      <c r="O2808" s="55" t="s">
        <v>1576</v>
      </c>
      <c r="Q2808" s="10">
        <v>40</v>
      </c>
      <c r="R2808" s="10">
        <v>90</v>
      </c>
      <c r="T2808" s="10">
        <v>5</v>
      </c>
      <c r="U2808" s="10">
        <v>120</v>
      </c>
      <c r="X2808" s="14">
        <v>3</v>
      </c>
      <c r="Y2808" s="79">
        <v>13.8</v>
      </c>
      <c r="Z2808" s="10" t="s">
        <v>26</v>
      </c>
      <c r="AA2808" s="14" t="s">
        <v>1691</v>
      </c>
    </row>
    <row r="2809" spans="1:28" ht="23.1" customHeight="1" x14ac:dyDescent="0.25">
      <c r="A2809" s="14" t="s">
        <v>1333</v>
      </c>
      <c r="B2809" s="10" t="s">
        <v>113</v>
      </c>
      <c r="C2809" s="10">
        <v>17</v>
      </c>
      <c r="D2809" s="10" t="s">
        <v>1702</v>
      </c>
      <c r="E2809" s="78" t="s">
        <v>625</v>
      </c>
      <c r="F2809" s="90" t="s">
        <v>625</v>
      </c>
      <c r="G2809" s="21" t="str">
        <f>VLOOKUP(D2809,[6]成飞半成品!$A:$B,2,0)</f>
        <v>支架</v>
      </c>
      <c r="H2809" s="10" t="s">
        <v>250</v>
      </c>
      <c r="I2809" s="10">
        <v>20</v>
      </c>
      <c r="J2809" s="10" t="s">
        <v>2527</v>
      </c>
      <c r="L2809" s="10">
        <v>1</v>
      </c>
      <c r="M2809" s="10">
        <v>28</v>
      </c>
      <c r="O2809" s="55" t="s">
        <v>1389</v>
      </c>
      <c r="Q2809" s="10">
        <v>150</v>
      </c>
      <c r="U2809" s="10">
        <v>150</v>
      </c>
      <c r="W2809" s="10">
        <v>1</v>
      </c>
      <c r="Y2809" s="79">
        <v>5</v>
      </c>
      <c r="Z2809" s="10" t="s">
        <v>14</v>
      </c>
    </row>
    <row r="2810" spans="1:28" ht="23.1" customHeight="1" x14ac:dyDescent="0.25">
      <c r="A2810" s="14" t="s">
        <v>1333</v>
      </c>
      <c r="B2810" s="10" t="s">
        <v>113</v>
      </c>
      <c r="C2810" s="10">
        <v>17</v>
      </c>
      <c r="D2810" s="10" t="s">
        <v>1702</v>
      </c>
      <c r="E2810" s="78" t="s">
        <v>625</v>
      </c>
      <c r="F2810" s="90" t="s">
        <v>625</v>
      </c>
      <c r="G2810" s="21" t="str">
        <f>VLOOKUP(D2810,[6]成飞半成品!$A:$B,2,0)</f>
        <v>支架</v>
      </c>
      <c r="H2810" s="10" t="s">
        <v>250</v>
      </c>
      <c r="I2810" s="10">
        <v>25</v>
      </c>
      <c r="J2810" s="10" t="s">
        <v>2349</v>
      </c>
      <c r="L2810" s="10">
        <v>1</v>
      </c>
      <c r="N2810" s="10">
        <v>31</v>
      </c>
      <c r="O2810" s="55" t="s">
        <v>1389</v>
      </c>
      <c r="Q2810" s="10">
        <v>50</v>
      </c>
      <c r="U2810" s="10">
        <v>60</v>
      </c>
      <c r="W2810" s="10">
        <v>1</v>
      </c>
      <c r="Y2810" s="79">
        <v>1.8</v>
      </c>
      <c r="Z2810" s="10" t="s">
        <v>14</v>
      </c>
    </row>
    <row r="2811" spans="1:28" ht="23.1" customHeight="1" x14ac:dyDescent="0.25">
      <c r="A2811" s="14" t="s">
        <v>1333</v>
      </c>
      <c r="B2811" s="10" t="s">
        <v>113</v>
      </c>
      <c r="C2811" s="10">
        <v>17</v>
      </c>
      <c r="D2811" s="10" t="s">
        <v>1702</v>
      </c>
      <c r="E2811" s="78" t="s">
        <v>625</v>
      </c>
      <c r="F2811" s="90" t="s">
        <v>625</v>
      </c>
      <c r="G2811" s="21" t="str">
        <f>VLOOKUP(D2811,[6]成飞半成品!$A:$B,2,0)</f>
        <v>支架</v>
      </c>
      <c r="H2811" s="10" t="s">
        <v>250</v>
      </c>
      <c r="I2811" s="10">
        <v>30</v>
      </c>
      <c r="J2811" s="10" t="s">
        <v>2116</v>
      </c>
      <c r="L2811" s="10">
        <v>1</v>
      </c>
      <c r="N2811" s="10">
        <v>26</v>
      </c>
      <c r="O2811" s="55" t="s">
        <v>1389</v>
      </c>
      <c r="Q2811" s="10">
        <v>45</v>
      </c>
      <c r="U2811" s="10">
        <v>90</v>
      </c>
      <c r="W2811" s="10">
        <v>1</v>
      </c>
      <c r="Y2811" s="79">
        <v>2.2999999999999998</v>
      </c>
      <c r="Z2811" s="10" t="s">
        <v>14</v>
      </c>
    </row>
    <row r="2812" spans="1:28" ht="23.1" customHeight="1" x14ac:dyDescent="0.25">
      <c r="A2812" s="14" t="s">
        <v>1333</v>
      </c>
      <c r="B2812" s="10" t="s">
        <v>113</v>
      </c>
      <c r="C2812" s="10">
        <v>17</v>
      </c>
      <c r="D2812" s="10" t="s">
        <v>1702</v>
      </c>
      <c r="E2812" s="78" t="s">
        <v>625</v>
      </c>
      <c r="F2812" s="90" t="s">
        <v>625</v>
      </c>
      <c r="G2812" s="21" t="str">
        <f>VLOOKUP(D2812,[6]成飞半成品!$A:$B,2,0)</f>
        <v>支架</v>
      </c>
      <c r="H2812" s="10" t="s">
        <v>250</v>
      </c>
      <c r="I2812" s="10">
        <v>35</v>
      </c>
      <c r="J2812" s="10" t="s">
        <v>2359</v>
      </c>
      <c r="L2812" s="10">
        <v>1</v>
      </c>
      <c r="N2812" s="10">
        <v>26</v>
      </c>
      <c r="O2812" s="55" t="s">
        <v>1389</v>
      </c>
      <c r="Q2812" s="10">
        <v>65</v>
      </c>
      <c r="U2812" s="10">
        <v>120</v>
      </c>
      <c r="W2812" s="10">
        <v>1</v>
      </c>
      <c r="Y2812" s="79">
        <v>3.1</v>
      </c>
      <c r="Z2812" s="10" t="s">
        <v>14</v>
      </c>
    </row>
    <row r="2813" spans="1:28" ht="23.1" customHeight="1" x14ac:dyDescent="0.25">
      <c r="A2813" s="14" t="s">
        <v>1333</v>
      </c>
      <c r="B2813" s="10" t="s">
        <v>113</v>
      </c>
      <c r="C2813" s="10">
        <v>107</v>
      </c>
      <c r="D2813" s="10" t="s">
        <v>173</v>
      </c>
      <c r="E2813" s="78" t="s">
        <v>1246</v>
      </c>
      <c r="F2813" s="90" t="s">
        <v>1246</v>
      </c>
      <c r="G2813" s="21" t="str">
        <f>VLOOKUP(D2813,[6]成飞半成品!$A:$B,2,0)</f>
        <v>根肋后段</v>
      </c>
      <c r="H2813" s="10" t="s">
        <v>154</v>
      </c>
      <c r="I2813" s="10">
        <v>50</v>
      </c>
      <c r="J2813" s="10" t="s">
        <v>2210</v>
      </c>
      <c r="K2813" s="10">
        <v>0.4</v>
      </c>
      <c r="L2813" s="10">
        <v>0.6</v>
      </c>
      <c r="M2813" s="10">
        <v>9</v>
      </c>
      <c r="O2813" s="55" t="s">
        <v>421</v>
      </c>
      <c r="Q2813" s="10">
        <v>2100</v>
      </c>
      <c r="R2813" s="10">
        <v>90</v>
      </c>
      <c r="U2813" s="10">
        <v>150</v>
      </c>
      <c r="Y2813" s="79">
        <v>21</v>
      </c>
      <c r="Z2813" s="10" t="s">
        <v>13</v>
      </c>
    </row>
    <row r="2814" spans="1:28" ht="23.1" customHeight="1" x14ac:dyDescent="0.25">
      <c r="A2814" s="14" t="s">
        <v>1333</v>
      </c>
      <c r="B2814" s="10" t="s">
        <v>113</v>
      </c>
      <c r="C2814" s="10">
        <v>108</v>
      </c>
      <c r="D2814" s="10" t="s">
        <v>889</v>
      </c>
      <c r="E2814" s="78" t="s">
        <v>887</v>
      </c>
      <c r="F2814" s="90" t="s">
        <v>887</v>
      </c>
      <c r="G2814" s="21" t="str">
        <f>VLOOKUP(D2814,[6]成飞半成品!$A:$B,2,0)</f>
        <v>外侧梁</v>
      </c>
      <c r="H2814" s="10" t="s">
        <v>154</v>
      </c>
      <c r="I2814" s="10">
        <v>30</v>
      </c>
      <c r="J2814" s="10" t="s">
        <v>2528</v>
      </c>
      <c r="K2814" s="10">
        <v>2</v>
      </c>
      <c r="L2814" s="10">
        <v>0.5</v>
      </c>
      <c r="M2814" s="10">
        <v>28</v>
      </c>
      <c r="O2814" s="55" t="s">
        <v>234</v>
      </c>
      <c r="Q2814" s="10">
        <v>720</v>
      </c>
      <c r="R2814" s="10">
        <v>60</v>
      </c>
      <c r="T2814" s="10">
        <v>1</v>
      </c>
      <c r="U2814" s="10">
        <v>90</v>
      </c>
      <c r="W2814" s="10">
        <v>1</v>
      </c>
      <c r="Y2814" s="79">
        <v>8.5</v>
      </c>
      <c r="Z2814" s="10" t="s">
        <v>13</v>
      </c>
    </row>
    <row r="2815" spans="1:28" ht="23.1" customHeight="1" x14ac:dyDescent="0.25">
      <c r="A2815" s="14" t="s">
        <v>1333</v>
      </c>
      <c r="B2815" s="10" t="s">
        <v>113</v>
      </c>
      <c r="C2815" s="10">
        <v>108</v>
      </c>
      <c r="D2815" s="10" t="s">
        <v>886</v>
      </c>
      <c r="E2815" s="78" t="s">
        <v>887</v>
      </c>
      <c r="F2815" s="90" t="s">
        <v>887</v>
      </c>
      <c r="G2815" s="21" t="str">
        <f>VLOOKUP(D2815,[6]成飞半成品!$A:$B,2,0)</f>
        <v>外侧梁</v>
      </c>
      <c r="H2815" s="10" t="s">
        <v>154</v>
      </c>
      <c r="I2815" s="10">
        <v>30</v>
      </c>
      <c r="J2815" s="10" t="s">
        <v>2347</v>
      </c>
      <c r="K2815" s="10">
        <v>1</v>
      </c>
      <c r="L2815" s="10">
        <v>1</v>
      </c>
      <c r="M2815" s="10">
        <v>26</v>
      </c>
      <c r="O2815" s="55" t="s">
        <v>234</v>
      </c>
      <c r="Q2815" s="10">
        <v>720</v>
      </c>
      <c r="R2815" s="10">
        <v>60</v>
      </c>
      <c r="T2815" s="10">
        <v>1</v>
      </c>
      <c r="U2815" s="10">
        <v>90</v>
      </c>
      <c r="W2815" s="10">
        <v>1</v>
      </c>
      <c r="X2815" s="10">
        <v>2</v>
      </c>
      <c r="Y2815" s="79">
        <v>16.5</v>
      </c>
      <c r="Z2815" s="10" t="s">
        <v>13</v>
      </c>
      <c r="AA2815" s="14" t="s">
        <v>1245</v>
      </c>
      <c r="AB2815" s="14" t="s">
        <v>238</v>
      </c>
    </row>
    <row r="2816" spans="1:28" ht="23.1" customHeight="1" x14ac:dyDescent="0.25">
      <c r="A2816" s="14" t="s">
        <v>1333</v>
      </c>
      <c r="B2816" s="10" t="s">
        <v>113</v>
      </c>
      <c r="C2816" s="10">
        <v>23</v>
      </c>
      <c r="D2816" s="10" t="s">
        <v>987</v>
      </c>
      <c r="E2816" s="78" t="s">
        <v>988</v>
      </c>
      <c r="F2816" s="90" t="s">
        <v>988</v>
      </c>
      <c r="G2816" s="21" t="str">
        <f>VLOOKUP(D2816,[6]成飞半成品!$A:$B,2,0)</f>
        <v>8270左隔框</v>
      </c>
      <c r="H2816" s="10" t="s">
        <v>300</v>
      </c>
      <c r="I2816" s="10">
        <v>25</v>
      </c>
      <c r="J2816" s="10" t="s">
        <v>2224</v>
      </c>
      <c r="K2816" s="10">
        <v>1.2</v>
      </c>
      <c r="L2816" s="10">
        <v>1.2</v>
      </c>
      <c r="M2816" s="10">
        <v>31</v>
      </c>
      <c r="N2816" s="10">
        <v>9</v>
      </c>
      <c r="O2816" s="55" t="s">
        <v>256</v>
      </c>
      <c r="Q2816" s="10">
        <v>720</v>
      </c>
      <c r="R2816" s="10">
        <v>60</v>
      </c>
      <c r="T2816" s="10">
        <v>1</v>
      </c>
      <c r="U2816" s="10">
        <v>90</v>
      </c>
      <c r="Y2816" s="79">
        <v>15.4</v>
      </c>
      <c r="Z2816" s="10" t="s">
        <v>22</v>
      </c>
    </row>
    <row r="2817" spans="1:28" ht="23.1" customHeight="1" x14ac:dyDescent="0.25">
      <c r="A2817" s="14" t="s">
        <v>1333</v>
      </c>
      <c r="B2817" s="10" t="s">
        <v>113</v>
      </c>
      <c r="C2817" s="10">
        <v>47</v>
      </c>
      <c r="D2817" s="25" t="s">
        <v>294</v>
      </c>
      <c r="E2817" s="78" t="s">
        <v>284</v>
      </c>
      <c r="F2817" s="90" t="s">
        <v>284</v>
      </c>
      <c r="G2817" s="21" t="str">
        <f>VLOOKUP(D2817,[6]成飞半成品!$A:$B,2,0)</f>
        <v>梁（左件）</v>
      </c>
      <c r="H2817" s="10" t="s">
        <v>154</v>
      </c>
      <c r="I2817" s="10">
        <v>20</v>
      </c>
      <c r="J2817" s="10" t="s">
        <v>1936</v>
      </c>
      <c r="K2817" s="10">
        <v>3</v>
      </c>
      <c r="L2817" s="10">
        <v>3</v>
      </c>
      <c r="M2817" s="10">
        <v>37</v>
      </c>
      <c r="N2817" s="10">
        <v>37</v>
      </c>
      <c r="O2817" s="55" t="s">
        <v>260</v>
      </c>
      <c r="Q2817" s="10">
        <v>120</v>
      </c>
      <c r="R2817" s="10">
        <v>60</v>
      </c>
      <c r="T2817" s="10">
        <v>3</v>
      </c>
      <c r="U2817" s="10">
        <v>60</v>
      </c>
      <c r="W2817" s="10">
        <v>1</v>
      </c>
      <c r="Y2817" s="79">
        <v>10</v>
      </c>
      <c r="Z2817" s="10" t="s">
        <v>22</v>
      </c>
    </row>
    <row r="2818" spans="1:28" ht="23.1" customHeight="1" x14ac:dyDescent="0.25">
      <c r="A2818" s="14" t="s">
        <v>1333</v>
      </c>
      <c r="B2818" s="10" t="s">
        <v>113</v>
      </c>
      <c r="C2818" s="10">
        <v>47</v>
      </c>
      <c r="D2818" s="10" t="s">
        <v>2560</v>
      </c>
      <c r="E2818" s="78" t="s">
        <v>979</v>
      </c>
      <c r="F2818" s="90" t="s">
        <v>979</v>
      </c>
      <c r="G2818" s="21" t="str">
        <f>VLOOKUP(D2818,[6]成飞半成品!$A:$B,2,0)</f>
        <v>翼尖接头</v>
      </c>
      <c r="H2818" s="10" t="s">
        <v>154</v>
      </c>
      <c r="I2818" s="10">
        <v>20</v>
      </c>
      <c r="J2818" s="10" t="s">
        <v>1936</v>
      </c>
      <c r="K2818" s="10">
        <v>3</v>
      </c>
      <c r="L2818" s="10">
        <v>3</v>
      </c>
      <c r="M2818" s="10">
        <v>37</v>
      </c>
      <c r="N2818" s="10">
        <v>37</v>
      </c>
      <c r="O2818" s="55" t="s">
        <v>980</v>
      </c>
      <c r="Q2818" s="10">
        <v>120</v>
      </c>
      <c r="R2818" s="10">
        <v>60</v>
      </c>
      <c r="T2818" s="10">
        <v>3</v>
      </c>
      <c r="U2818" s="10">
        <v>60</v>
      </c>
      <c r="W2818" s="10">
        <v>1</v>
      </c>
      <c r="Y2818" s="79">
        <v>10</v>
      </c>
      <c r="Z2818" s="10" t="s">
        <v>22</v>
      </c>
    </row>
    <row r="2819" spans="1:28" ht="23.1" customHeight="1" x14ac:dyDescent="0.25">
      <c r="A2819" s="14" t="s">
        <v>1333</v>
      </c>
      <c r="B2819" s="10" t="s">
        <v>113</v>
      </c>
      <c r="C2819" s="10">
        <v>58</v>
      </c>
      <c r="D2819" s="10" t="s">
        <v>1311</v>
      </c>
      <c r="E2819" s="78" t="s">
        <v>409</v>
      </c>
      <c r="F2819" s="90" t="s">
        <v>409</v>
      </c>
      <c r="G2819" s="21" t="str">
        <f>VLOOKUP(D2819,[6]成飞半成品!$A:$B,2,0)</f>
        <v>接头</v>
      </c>
      <c r="H2819" s="10" t="s">
        <v>102</v>
      </c>
      <c r="I2819" s="10">
        <v>10</v>
      </c>
      <c r="J2819" s="10" t="s">
        <v>1952</v>
      </c>
      <c r="L2819" s="10">
        <v>1</v>
      </c>
      <c r="M2819" s="10">
        <v>37</v>
      </c>
      <c r="N2819" s="10">
        <v>26</v>
      </c>
      <c r="O2819" s="55" t="s">
        <v>596</v>
      </c>
      <c r="Q2819" s="10">
        <v>35</v>
      </c>
      <c r="U2819" s="10">
        <v>60</v>
      </c>
      <c r="W2819" s="10">
        <v>1</v>
      </c>
      <c r="Y2819" s="79">
        <v>1.6</v>
      </c>
      <c r="Z2819" s="10" t="s">
        <v>23</v>
      </c>
    </row>
    <row r="2820" spans="1:28" ht="23.1" customHeight="1" x14ac:dyDescent="0.25">
      <c r="A2820" s="14" t="s">
        <v>1333</v>
      </c>
      <c r="B2820" s="10" t="s">
        <v>113</v>
      </c>
      <c r="C2820" s="10">
        <v>58</v>
      </c>
      <c r="D2820" s="10" t="s">
        <v>1311</v>
      </c>
      <c r="E2820" s="78" t="s">
        <v>409</v>
      </c>
      <c r="F2820" s="90" t="s">
        <v>409</v>
      </c>
      <c r="G2820" s="21" t="str">
        <f>VLOOKUP(D2820,[6]成飞半成品!$A:$B,2,0)</f>
        <v>接头</v>
      </c>
      <c r="H2820" s="10" t="s">
        <v>102</v>
      </c>
      <c r="I2820" s="10">
        <v>15</v>
      </c>
      <c r="J2820" s="10" t="s">
        <v>1852</v>
      </c>
      <c r="L2820" s="10">
        <v>1</v>
      </c>
      <c r="M2820" s="10">
        <v>37</v>
      </c>
      <c r="N2820" s="10">
        <v>26</v>
      </c>
      <c r="O2820" s="55" t="s">
        <v>596</v>
      </c>
      <c r="Q2820" s="10">
        <v>35</v>
      </c>
      <c r="U2820" s="10">
        <v>90</v>
      </c>
      <c r="W2820" s="10">
        <v>1</v>
      </c>
      <c r="X2820" s="14">
        <v>2</v>
      </c>
      <c r="Y2820" s="79">
        <v>4.0999999999999996</v>
      </c>
      <c r="Z2820" s="10" t="s">
        <v>23</v>
      </c>
      <c r="AA2820" s="14" t="s">
        <v>1796</v>
      </c>
      <c r="AB2820" s="14" t="s">
        <v>238</v>
      </c>
    </row>
    <row r="2821" spans="1:28" ht="23.1" customHeight="1" x14ac:dyDescent="0.25">
      <c r="A2821" s="14" t="s">
        <v>1333</v>
      </c>
      <c r="B2821" s="10" t="s">
        <v>113</v>
      </c>
      <c r="C2821" s="10">
        <v>58</v>
      </c>
      <c r="D2821" s="10" t="s">
        <v>1264</v>
      </c>
      <c r="E2821" s="78" t="s">
        <v>409</v>
      </c>
      <c r="F2821" s="90" t="s">
        <v>409</v>
      </c>
      <c r="G2821" s="21" t="str">
        <f>VLOOKUP(D2821,[6]成飞半成品!$A:$B,2,0)</f>
        <v>接头</v>
      </c>
      <c r="H2821" s="10" t="s">
        <v>102</v>
      </c>
      <c r="I2821" s="10">
        <v>10</v>
      </c>
      <c r="J2821" s="10" t="s">
        <v>1952</v>
      </c>
      <c r="L2821" s="10">
        <v>1</v>
      </c>
      <c r="M2821" s="10">
        <v>37</v>
      </c>
      <c r="N2821" s="10">
        <v>37</v>
      </c>
      <c r="O2821" s="55" t="s">
        <v>596</v>
      </c>
      <c r="Q2821" s="10">
        <v>35</v>
      </c>
      <c r="U2821" s="10">
        <v>60</v>
      </c>
      <c r="W2821" s="10">
        <v>1</v>
      </c>
      <c r="Y2821" s="79">
        <v>1.6</v>
      </c>
      <c r="Z2821" s="10" t="s">
        <v>23</v>
      </c>
    </row>
    <row r="2822" spans="1:28" ht="23.1" customHeight="1" x14ac:dyDescent="0.25">
      <c r="A2822" s="14" t="s">
        <v>1333</v>
      </c>
      <c r="B2822" s="10" t="s">
        <v>113</v>
      </c>
      <c r="C2822" s="10">
        <v>58</v>
      </c>
      <c r="D2822" s="10" t="s">
        <v>1264</v>
      </c>
      <c r="E2822" s="78" t="s">
        <v>409</v>
      </c>
      <c r="F2822" s="90" t="s">
        <v>409</v>
      </c>
      <c r="G2822" s="21" t="str">
        <f>VLOOKUP(D2822,[6]成飞半成品!$A:$B,2,0)</f>
        <v>接头</v>
      </c>
      <c r="H2822" s="10" t="s">
        <v>102</v>
      </c>
      <c r="I2822" s="10">
        <v>15</v>
      </c>
      <c r="J2822" s="10" t="s">
        <v>1852</v>
      </c>
      <c r="L2822" s="10">
        <v>1</v>
      </c>
      <c r="M2822" s="10">
        <v>37</v>
      </c>
      <c r="N2822" s="10">
        <v>37</v>
      </c>
      <c r="O2822" s="55" t="s">
        <v>596</v>
      </c>
      <c r="Q2822" s="10">
        <v>35</v>
      </c>
      <c r="U2822" s="10">
        <v>90</v>
      </c>
      <c r="W2822" s="10">
        <v>1</v>
      </c>
      <c r="X2822" s="14">
        <v>2</v>
      </c>
      <c r="Y2822" s="79">
        <v>4.0999999999999996</v>
      </c>
      <c r="Z2822" s="10" t="s">
        <v>23</v>
      </c>
      <c r="AA2822" s="14" t="s">
        <v>1540</v>
      </c>
      <c r="AB2822" s="14" t="s">
        <v>238</v>
      </c>
    </row>
    <row r="2823" spans="1:28" ht="23.1" customHeight="1" x14ac:dyDescent="0.25">
      <c r="A2823" s="14" t="s">
        <v>1333</v>
      </c>
      <c r="B2823" s="10" t="s">
        <v>113</v>
      </c>
      <c r="C2823" s="10">
        <v>22</v>
      </c>
      <c r="D2823" s="10" t="s">
        <v>611</v>
      </c>
      <c r="E2823" s="78" t="s">
        <v>612</v>
      </c>
      <c r="F2823" s="90" t="s">
        <v>612</v>
      </c>
      <c r="G2823" s="21" t="str">
        <f>VLOOKUP(D2823,[6]成飞半成品!$A:$B,2,0)</f>
        <v>前梁二段</v>
      </c>
      <c r="H2823" s="10" t="s">
        <v>154</v>
      </c>
      <c r="I2823" s="10">
        <v>10</v>
      </c>
      <c r="J2823" s="10" t="s">
        <v>1952</v>
      </c>
      <c r="K2823" s="10">
        <v>0.1</v>
      </c>
      <c r="L2823" s="10">
        <v>0.1</v>
      </c>
      <c r="M2823" s="10">
        <v>28</v>
      </c>
      <c r="O2823" s="55" t="s">
        <v>613</v>
      </c>
      <c r="Q2823" s="10">
        <v>1500</v>
      </c>
      <c r="R2823" s="10">
        <v>180</v>
      </c>
      <c r="U2823" s="10">
        <v>180</v>
      </c>
      <c r="Y2823" s="79">
        <v>2.5</v>
      </c>
      <c r="Z2823" s="10" t="s">
        <v>49</v>
      </c>
    </row>
    <row r="2824" spans="1:28" ht="23.1" customHeight="1" x14ac:dyDescent="0.25">
      <c r="A2824" s="14" t="s">
        <v>1333</v>
      </c>
      <c r="B2824" s="10" t="s">
        <v>113</v>
      </c>
      <c r="C2824" s="10">
        <v>22</v>
      </c>
      <c r="D2824" s="10" t="s">
        <v>635</v>
      </c>
      <c r="E2824" s="78" t="s">
        <v>612</v>
      </c>
      <c r="F2824" s="90" t="s">
        <v>612</v>
      </c>
      <c r="G2824" s="21" t="str">
        <f>VLOOKUP(D2824,[6]成飞半成品!$A:$B,2,0)</f>
        <v>前梁二段</v>
      </c>
      <c r="H2824" s="10" t="s">
        <v>154</v>
      </c>
      <c r="I2824" s="10">
        <v>5</v>
      </c>
      <c r="J2824" s="10" t="s">
        <v>1957</v>
      </c>
      <c r="K2824" s="10">
        <v>1</v>
      </c>
      <c r="L2824" s="10">
        <v>1</v>
      </c>
      <c r="M2824" s="10">
        <v>28</v>
      </c>
      <c r="O2824" s="55" t="s">
        <v>613</v>
      </c>
      <c r="Q2824" s="10">
        <v>2400</v>
      </c>
      <c r="R2824" s="10">
        <v>210</v>
      </c>
      <c r="U2824" s="10">
        <v>210</v>
      </c>
      <c r="Y2824" s="79">
        <v>40</v>
      </c>
      <c r="Z2824" s="10" t="s">
        <v>49</v>
      </c>
    </row>
    <row r="2825" spans="1:28" ht="23.1" customHeight="1" x14ac:dyDescent="0.25">
      <c r="A2825" s="14" t="s">
        <v>1333</v>
      </c>
      <c r="B2825" s="10" t="s">
        <v>113</v>
      </c>
      <c r="C2825" s="10">
        <v>16</v>
      </c>
      <c r="D2825" s="10" t="s">
        <v>1280</v>
      </c>
      <c r="E2825" s="78" t="s">
        <v>595</v>
      </c>
      <c r="F2825" s="90" t="s">
        <v>595</v>
      </c>
      <c r="G2825" s="21" t="str">
        <f>VLOOKUP(D2825,[6]成飞半成品!$A:$B,2,0)</f>
        <v>加强件</v>
      </c>
      <c r="H2825" s="10" t="s">
        <v>102</v>
      </c>
      <c r="I2825" s="10">
        <v>20</v>
      </c>
      <c r="J2825" s="10" t="s">
        <v>2212</v>
      </c>
      <c r="K2825" s="10">
        <v>2</v>
      </c>
      <c r="L2825" s="10">
        <v>1</v>
      </c>
      <c r="M2825" s="10">
        <v>9</v>
      </c>
      <c r="O2825" s="55" t="s">
        <v>596</v>
      </c>
      <c r="Q2825" s="10">
        <v>35</v>
      </c>
      <c r="U2825" s="10">
        <v>90</v>
      </c>
      <c r="W2825" s="10">
        <v>1</v>
      </c>
      <c r="X2825" s="14">
        <v>2</v>
      </c>
      <c r="Y2825" s="79">
        <v>4.0999999999999996</v>
      </c>
      <c r="Z2825" s="10" t="s">
        <v>71</v>
      </c>
      <c r="AA2825" s="14" t="s">
        <v>1441</v>
      </c>
      <c r="AB2825" s="14" t="s">
        <v>238</v>
      </c>
    </row>
    <row r="2826" spans="1:28" ht="23.1" customHeight="1" x14ac:dyDescent="0.25">
      <c r="A2826" s="14" t="s">
        <v>1333</v>
      </c>
      <c r="B2826" s="10" t="s">
        <v>113</v>
      </c>
      <c r="C2826" s="10">
        <v>59</v>
      </c>
      <c r="D2826" s="25" t="s">
        <v>2551</v>
      </c>
      <c r="F2826" s="90" t="s">
        <v>1800</v>
      </c>
      <c r="G2826" s="21" t="str">
        <f>VLOOKUP(D2826,[6]成飞半成品!$A:$B,2,0)</f>
        <v>工装</v>
      </c>
      <c r="X2826" s="14">
        <v>3</v>
      </c>
      <c r="Y2826" s="79">
        <v>3</v>
      </c>
      <c r="Z2826" s="10" t="s">
        <v>6</v>
      </c>
      <c r="AA2826" s="14" t="s">
        <v>1572</v>
      </c>
      <c r="AB2826" s="14" t="s">
        <v>238</v>
      </c>
    </row>
    <row r="2827" spans="1:28" ht="23.1" customHeight="1" x14ac:dyDescent="0.25">
      <c r="A2827" s="14" t="s">
        <v>188</v>
      </c>
      <c r="B2827" s="10" t="s">
        <v>137</v>
      </c>
      <c r="C2827" s="10">
        <v>59</v>
      </c>
      <c r="D2827" s="25" t="s">
        <v>2551</v>
      </c>
      <c r="E2827" s="78" t="s">
        <v>190</v>
      </c>
      <c r="F2827" s="90" t="e">
        <v>#N/A</v>
      </c>
      <c r="G2827" s="21" t="str">
        <f>VLOOKUP(D2827,[6]成飞半成品!$A:$B,2,0)</f>
        <v>工装</v>
      </c>
      <c r="H2827" s="10" t="s">
        <v>102</v>
      </c>
      <c r="I2827" s="10">
        <v>105</v>
      </c>
      <c r="L2827" s="10">
        <v>1</v>
      </c>
      <c r="O2827" s="55" t="s">
        <v>191</v>
      </c>
      <c r="X2827" s="14">
        <v>3</v>
      </c>
      <c r="Y2827" s="79">
        <v>3</v>
      </c>
      <c r="Z2827" s="10" t="s">
        <v>6</v>
      </c>
      <c r="AA2827" s="14" t="s">
        <v>1572</v>
      </c>
      <c r="AB2827" s="14" t="s">
        <v>238</v>
      </c>
    </row>
    <row r="2828" spans="1:28" ht="23.1" customHeight="1" x14ac:dyDescent="0.25">
      <c r="A2828" s="14" t="s">
        <v>188</v>
      </c>
      <c r="B2828" s="10" t="s">
        <v>137</v>
      </c>
      <c r="C2828" s="10">
        <v>59</v>
      </c>
      <c r="D2828" s="10" t="s">
        <v>138</v>
      </c>
      <c r="E2828" s="78" t="s">
        <v>139</v>
      </c>
      <c r="F2828" s="90" t="s">
        <v>139</v>
      </c>
      <c r="G2828" s="21" t="str">
        <f>VLOOKUP(D2828,[6]成飞半成品!$A:$B,2,0)</f>
        <v>支座</v>
      </c>
      <c r="H2828" s="10" t="s">
        <v>102</v>
      </c>
      <c r="I2828" s="10">
        <v>20</v>
      </c>
      <c r="J2828" s="10" t="s">
        <v>1880</v>
      </c>
      <c r="L2828" s="10">
        <v>1</v>
      </c>
      <c r="O2828" s="55" t="s">
        <v>140</v>
      </c>
      <c r="Q2828" s="10">
        <v>60</v>
      </c>
      <c r="U2828" s="10">
        <v>120</v>
      </c>
      <c r="X2828" s="14">
        <v>2</v>
      </c>
      <c r="Y2828" s="79">
        <v>3</v>
      </c>
      <c r="Z2828" s="10" t="s">
        <v>6</v>
      </c>
      <c r="AA2828" s="14" t="s">
        <v>1671</v>
      </c>
      <c r="AB2828" s="14" t="s">
        <v>238</v>
      </c>
    </row>
    <row r="2829" spans="1:28" ht="23.1" customHeight="1" x14ac:dyDescent="0.25">
      <c r="A2829" s="14" t="s">
        <v>329</v>
      </c>
      <c r="B2829" s="10" t="s">
        <v>137</v>
      </c>
      <c r="C2829" s="10">
        <v>59</v>
      </c>
      <c r="D2829" s="10" t="s">
        <v>1742</v>
      </c>
      <c r="E2829" s="78" t="s">
        <v>1743</v>
      </c>
      <c r="F2829" s="90" t="e">
        <v>#N/A</v>
      </c>
      <c r="G2829" s="21" t="e">
        <f>VLOOKUP(D2829,[6]成飞半成品!$A:$B,2,0)</f>
        <v>#N/A</v>
      </c>
      <c r="H2829" s="10" t="s">
        <v>154</v>
      </c>
      <c r="I2829" s="10">
        <v>20</v>
      </c>
      <c r="J2829" s="10" t="s">
        <v>2405</v>
      </c>
      <c r="L2829" s="10">
        <v>1</v>
      </c>
      <c r="O2829" s="55" t="s">
        <v>1552</v>
      </c>
      <c r="Q2829" s="10">
        <v>70</v>
      </c>
      <c r="U2829" s="10">
        <v>60</v>
      </c>
      <c r="Y2829" s="79">
        <v>1.2</v>
      </c>
      <c r="Z2829" s="10" t="s">
        <v>6</v>
      </c>
    </row>
    <row r="2830" spans="1:28" ht="23.1" customHeight="1" x14ac:dyDescent="0.25">
      <c r="A2830" s="14" t="s">
        <v>870</v>
      </c>
      <c r="B2830" s="10" t="s">
        <v>99</v>
      </c>
      <c r="C2830" s="10">
        <v>59</v>
      </c>
      <c r="D2830" s="10" t="s">
        <v>846</v>
      </c>
      <c r="E2830" s="78" t="s">
        <v>847</v>
      </c>
      <c r="F2830" s="90" t="s">
        <v>847</v>
      </c>
      <c r="G2830" s="21" t="str">
        <f>VLOOKUP(D2830,[6]成飞半成品!$A:$B,2,0)</f>
        <v>短框连接块</v>
      </c>
      <c r="H2830" s="10" t="s">
        <v>102</v>
      </c>
      <c r="I2830" s="10">
        <v>20</v>
      </c>
      <c r="J2830" s="10" t="s">
        <v>2087</v>
      </c>
      <c r="L2830" s="10">
        <v>8</v>
      </c>
      <c r="M2830" s="10">
        <v>9</v>
      </c>
      <c r="N2830" s="10">
        <v>9</v>
      </c>
      <c r="O2830" s="55" t="s">
        <v>596</v>
      </c>
      <c r="Q2830" s="10">
        <v>20</v>
      </c>
      <c r="U2830" s="10">
        <v>60</v>
      </c>
      <c r="W2830" s="10">
        <v>1</v>
      </c>
      <c r="X2830" s="14">
        <v>2</v>
      </c>
      <c r="Y2830" s="79">
        <v>5.7</v>
      </c>
      <c r="Z2830" s="10" t="s">
        <v>6</v>
      </c>
      <c r="AA2830" s="14" t="s">
        <v>1801</v>
      </c>
      <c r="AB2830" s="14" t="s">
        <v>238</v>
      </c>
    </row>
    <row r="2831" spans="1:28" ht="23.1" customHeight="1" x14ac:dyDescent="0.25">
      <c r="A2831" s="14" t="s">
        <v>870</v>
      </c>
      <c r="B2831" s="10" t="s">
        <v>99</v>
      </c>
      <c r="C2831" s="10">
        <v>59</v>
      </c>
      <c r="D2831" s="10" t="s">
        <v>846</v>
      </c>
      <c r="E2831" s="78" t="s">
        <v>847</v>
      </c>
      <c r="F2831" s="90" t="s">
        <v>847</v>
      </c>
      <c r="G2831" s="21" t="str">
        <f>VLOOKUP(D2831,[6]成飞半成品!$A:$B,2,0)</f>
        <v>短框连接块</v>
      </c>
      <c r="H2831" s="10" t="s">
        <v>102</v>
      </c>
      <c r="I2831" s="10">
        <v>25</v>
      </c>
      <c r="J2831" s="10" t="s">
        <v>2079</v>
      </c>
      <c r="K2831" s="10">
        <v>2</v>
      </c>
      <c r="L2831" s="10">
        <v>3</v>
      </c>
      <c r="M2831" s="10">
        <v>37</v>
      </c>
      <c r="N2831" s="10">
        <v>31</v>
      </c>
      <c r="O2831" s="55" t="s">
        <v>596</v>
      </c>
      <c r="Q2831" s="10">
        <v>90</v>
      </c>
      <c r="U2831" s="10">
        <v>90</v>
      </c>
      <c r="W2831" s="10">
        <v>1</v>
      </c>
      <c r="X2831" s="14">
        <v>2</v>
      </c>
      <c r="Y2831" s="79">
        <v>8</v>
      </c>
      <c r="Z2831" s="10" t="s">
        <v>6</v>
      </c>
      <c r="AA2831" s="14" t="s">
        <v>1548</v>
      </c>
      <c r="AB2831" s="14" t="s">
        <v>238</v>
      </c>
    </row>
    <row r="2832" spans="1:28" ht="23.1" customHeight="1" x14ac:dyDescent="0.25">
      <c r="A2832" s="14" t="s">
        <v>870</v>
      </c>
      <c r="B2832" s="10" t="s">
        <v>113</v>
      </c>
      <c r="C2832" s="10">
        <v>56</v>
      </c>
      <c r="D2832" s="10" t="s">
        <v>676</v>
      </c>
      <c r="E2832" s="78" t="s">
        <v>595</v>
      </c>
      <c r="F2832" s="90" t="s">
        <v>595</v>
      </c>
      <c r="G2832" s="21" t="str">
        <f>VLOOKUP(D2832,[6]成飞半成品!$A:$B,2,0)</f>
        <v>加强件</v>
      </c>
      <c r="H2832" s="10" t="s">
        <v>154</v>
      </c>
      <c r="I2832" s="10">
        <v>20</v>
      </c>
      <c r="J2832" s="10" t="s">
        <v>2367</v>
      </c>
      <c r="K2832" s="10">
        <v>3</v>
      </c>
      <c r="L2832" s="10">
        <v>5</v>
      </c>
      <c r="M2832" s="10">
        <v>5</v>
      </c>
      <c r="N2832" s="10">
        <v>19</v>
      </c>
      <c r="O2832" s="55" t="s">
        <v>506</v>
      </c>
      <c r="Q2832" s="10">
        <v>180</v>
      </c>
      <c r="U2832" s="10">
        <v>60</v>
      </c>
      <c r="Y2832" s="79">
        <v>15</v>
      </c>
      <c r="Z2832" s="10" t="s">
        <v>44</v>
      </c>
    </row>
    <row r="2833" spans="1:27" ht="23.1" customHeight="1" x14ac:dyDescent="0.25">
      <c r="A2833" s="14" t="s">
        <v>870</v>
      </c>
      <c r="B2833" s="10" t="s">
        <v>113</v>
      </c>
      <c r="C2833" s="10">
        <v>55</v>
      </c>
      <c r="D2833" s="10" t="s">
        <v>923</v>
      </c>
      <c r="E2833" s="78" t="s">
        <v>139</v>
      </c>
      <c r="F2833" s="90" t="s">
        <v>139</v>
      </c>
      <c r="G2833" s="21" t="str">
        <f>VLOOKUP(D2833,[6]成飞半成品!$A:$B,2,0)</f>
        <v>支座</v>
      </c>
      <c r="H2833" s="10" t="s">
        <v>250</v>
      </c>
      <c r="I2833" s="10">
        <v>10</v>
      </c>
      <c r="J2833" s="10" t="s">
        <v>2094</v>
      </c>
      <c r="K2833" s="10">
        <v>22</v>
      </c>
      <c r="L2833" s="10">
        <v>22</v>
      </c>
      <c r="M2833" s="10">
        <v>5</v>
      </c>
      <c r="N2833" s="10">
        <v>5</v>
      </c>
      <c r="O2833" s="55" t="s">
        <v>131</v>
      </c>
      <c r="Q2833" s="10">
        <v>25</v>
      </c>
      <c r="U2833" s="10">
        <v>60</v>
      </c>
      <c r="W2833" s="10">
        <v>1</v>
      </c>
      <c r="Y2833" s="79">
        <v>10.199999999999999</v>
      </c>
      <c r="Z2833" s="10" t="s">
        <v>44</v>
      </c>
    </row>
    <row r="2834" spans="1:27" ht="23.1" customHeight="1" x14ac:dyDescent="0.25">
      <c r="A2834" s="14" t="s">
        <v>870</v>
      </c>
      <c r="B2834" s="10" t="s">
        <v>113</v>
      </c>
      <c r="C2834" s="10">
        <v>55</v>
      </c>
      <c r="D2834" s="10" t="s">
        <v>923</v>
      </c>
      <c r="E2834" s="78" t="s">
        <v>139</v>
      </c>
      <c r="F2834" s="90" t="s">
        <v>139</v>
      </c>
      <c r="G2834" s="21" t="str">
        <f>VLOOKUP(D2834,[6]成飞半成品!$A:$B,2,0)</f>
        <v>支座</v>
      </c>
      <c r="H2834" s="10" t="s">
        <v>250</v>
      </c>
      <c r="I2834" s="10">
        <v>15</v>
      </c>
      <c r="J2834" s="10" t="s">
        <v>1946</v>
      </c>
      <c r="L2834" s="10">
        <v>6</v>
      </c>
      <c r="M2834" s="10">
        <v>23</v>
      </c>
      <c r="N2834" s="10">
        <v>5</v>
      </c>
      <c r="O2834" s="55" t="s">
        <v>131</v>
      </c>
      <c r="Q2834" s="10">
        <v>45</v>
      </c>
      <c r="U2834" s="10">
        <v>60</v>
      </c>
      <c r="W2834" s="10">
        <v>1</v>
      </c>
      <c r="Y2834" s="79">
        <v>5.5</v>
      </c>
      <c r="Z2834" s="10" t="s">
        <v>44</v>
      </c>
    </row>
    <row r="2835" spans="1:27" ht="23.1" customHeight="1" x14ac:dyDescent="0.25">
      <c r="A2835" s="14" t="s">
        <v>1002</v>
      </c>
      <c r="B2835" s="10" t="s">
        <v>113</v>
      </c>
      <c r="C2835" s="10">
        <v>56</v>
      </c>
      <c r="D2835" s="10" t="s">
        <v>273</v>
      </c>
      <c r="E2835" s="78" t="s">
        <v>274</v>
      </c>
      <c r="F2835" s="90" t="s">
        <v>274</v>
      </c>
      <c r="G2835" s="21" t="str">
        <f>VLOOKUP(D2835,[6]成飞半成品!$A:$B,2,0)</f>
        <v>前起落架水平接头</v>
      </c>
      <c r="H2835" s="10" t="s">
        <v>123</v>
      </c>
      <c r="I2835" s="10">
        <v>38</v>
      </c>
      <c r="K2835" s="10">
        <v>10</v>
      </c>
      <c r="L2835" s="10">
        <v>11</v>
      </c>
      <c r="M2835" s="10">
        <v>23</v>
      </c>
      <c r="N2835" s="10">
        <v>23</v>
      </c>
      <c r="O2835" s="55" t="s">
        <v>275</v>
      </c>
      <c r="P2835" s="10">
        <v>40</v>
      </c>
      <c r="V2835" s="10">
        <v>60</v>
      </c>
      <c r="Y2835" s="83">
        <v>7.3</v>
      </c>
      <c r="Z2835" s="10" t="s">
        <v>44</v>
      </c>
    </row>
    <row r="2836" spans="1:27" ht="23.1" customHeight="1" x14ac:dyDescent="0.25">
      <c r="A2836" s="14" t="s">
        <v>1002</v>
      </c>
      <c r="B2836" s="10" t="s">
        <v>113</v>
      </c>
      <c r="C2836" s="10">
        <v>56</v>
      </c>
      <c r="D2836" s="10" t="s">
        <v>273</v>
      </c>
      <c r="E2836" s="78" t="s">
        <v>274</v>
      </c>
      <c r="F2836" s="90" t="s">
        <v>274</v>
      </c>
      <c r="G2836" s="21" t="str">
        <f>VLOOKUP(D2836,[6]成飞半成品!$A:$B,2,0)</f>
        <v>前起落架水平接头</v>
      </c>
      <c r="H2836" s="10" t="s">
        <v>123</v>
      </c>
      <c r="I2836" s="10">
        <v>40</v>
      </c>
      <c r="J2836" s="10" t="s">
        <v>2326</v>
      </c>
      <c r="K2836" s="10">
        <v>0.5</v>
      </c>
      <c r="L2836" s="10">
        <v>0.1</v>
      </c>
      <c r="M2836" s="10">
        <v>26</v>
      </c>
      <c r="O2836" s="55" t="s">
        <v>275</v>
      </c>
      <c r="Q2836" s="10">
        <v>240</v>
      </c>
      <c r="U2836" s="10">
        <v>120</v>
      </c>
      <c r="W2836" s="10">
        <v>1</v>
      </c>
      <c r="Y2836" s="79">
        <v>2.4</v>
      </c>
      <c r="Z2836" s="10" t="s">
        <v>44</v>
      </c>
    </row>
    <row r="2837" spans="1:27" ht="23.1" customHeight="1" x14ac:dyDescent="0.25">
      <c r="A2837" s="14" t="s">
        <v>1002</v>
      </c>
      <c r="B2837" s="10" t="s">
        <v>113</v>
      </c>
      <c r="C2837" s="10">
        <v>55</v>
      </c>
      <c r="D2837" s="10" t="s">
        <v>923</v>
      </c>
      <c r="E2837" s="78" t="s">
        <v>139</v>
      </c>
      <c r="F2837" s="90" t="s">
        <v>139</v>
      </c>
      <c r="G2837" s="21" t="str">
        <f>VLOOKUP(D2837,[6]成飞半成品!$A:$B,2,0)</f>
        <v>支座</v>
      </c>
      <c r="H2837" s="10" t="s">
        <v>250</v>
      </c>
      <c r="I2837" s="10">
        <v>25</v>
      </c>
      <c r="J2837" s="10" t="s">
        <v>2334</v>
      </c>
      <c r="L2837" s="10">
        <v>6</v>
      </c>
      <c r="M2837" s="10">
        <v>26</v>
      </c>
      <c r="N2837" s="10">
        <v>26</v>
      </c>
      <c r="O2837" s="55" t="s">
        <v>131</v>
      </c>
      <c r="Q2837" s="10">
        <v>150</v>
      </c>
      <c r="U2837" s="10">
        <v>60</v>
      </c>
      <c r="Y2837" s="79">
        <v>15</v>
      </c>
      <c r="Z2837" s="10" t="s">
        <v>44</v>
      </c>
    </row>
    <row r="2838" spans="1:27" ht="23.1" customHeight="1" x14ac:dyDescent="0.25">
      <c r="A2838" s="14" t="s">
        <v>1002</v>
      </c>
      <c r="B2838" s="10" t="s">
        <v>137</v>
      </c>
      <c r="C2838" s="10">
        <v>10</v>
      </c>
      <c r="D2838" s="10" t="s">
        <v>946</v>
      </c>
      <c r="E2838" s="78" t="s">
        <v>947</v>
      </c>
      <c r="F2838" s="90" t="s">
        <v>947</v>
      </c>
      <c r="G2838" s="21" t="str">
        <f>VLOOKUP(D2838,[6]成飞半成品!$A:$B,2,0)</f>
        <v>5755横框</v>
      </c>
      <c r="H2838" s="10" t="s">
        <v>300</v>
      </c>
      <c r="I2838" s="10">
        <v>15</v>
      </c>
      <c r="J2838" s="10" t="s">
        <v>2112</v>
      </c>
      <c r="K2838" s="10">
        <v>1</v>
      </c>
      <c r="L2838" s="10">
        <v>2</v>
      </c>
      <c r="M2838" s="10">
        <v>37</v>
      </c>
      <c r="N2838" s="10">
        <v>37</v>
      </c>
      <c r="O2838" s="55" t="s">
        <v>1802</v>
      </c>
      <c r="Q2838" s="10">
        <v>80</v>
      </c>
      <c r="U2838" s="10">
        <v>60</v>
      </c>
      <c r="Y2838" s="79">
        <v>2.7</v>
      </c>
      <c r="Z2838" s="10" t="s">
        <v>30</v>
      </c>
    </row>
    <row r="2839" spans="1:27" ht="23.1" customHeight="1" x14ac:dyDescent="0.25">
      <c r="A2839" s="14" t="s">
        <v>1002</v>
      </c>
      <c r="B2839" s="10" t="s">
        <v>137</v>
      </c>
      <c r="C2839" s="10">
        <v>10</v>
      </c>
      <c r="D2839" s="10" t="s">
        <v>946</v>
      </c>
      <c r="E2839" s="78" t="s">
        <v>947</v>
      </c>
      <c r="F2839" s="90" t="s">
        <v>947</v>
      </c>
      <c r="G2839" s="21" t="str">
        <f>VLOOKUP(D2839,[6]成飞半成品!$A:$B,2,0)</f>
        <v>5755横框</v>
      </c>
      <c r="H2839" s="10" t="s">
        <v>300</v>
      </c>
      <c r="I2839" s="10">
        <v>20</v>
      </c>
      <c r="J2839" s="10" t="s">
        <v>2234</v>
      </c>
      <c r="K2839" s="10">
        <v>1.3</v>
      </c>
      <c r="L2839" s="10">
        <v>1.4</v>
      </c>
      <c r="M2839" s="10">
        <v>23</v>
      </c>
      <c r="N2839" s="10">
        <v>28</v>
      </c>
      <c r="O2839" s="55" t="s">
        <v>1802</v>
      </c>
      <c r="Q2839" s="10">
        <v>360</v>
      </c>
      <c r="U2839" s="10">
        <v>90</v>
      </c>
      <c r="Y2839" s="79">
        <v>8.4</v>
      </c>
      <c r="Z2839" s="10" t="s">
        <v>30</v>
      </c>
      <c r="AA2839" s="14" t="s">
        <v>1803</v>
      </c>
    </row>
    <row r="2840" spans="1:27" ht="23.1" customHeight="1" x14ac:dyDescent="0.25">
      <c r="A2840" s="14" t="s">
        <v>1002</v>
      </c>
      <c r="B2840" s="10" t="s">
        <v>137</v>
      </c>
      <c r="C2840" s="10">
        <v>9</v>
      </c>
      <c r="D2840" s="10" t="s">
        <v>911</v>
      </c>
      <c r="E2840" s="78" t="s">
        <v>912</v>
      </c>
      <c r="F2840" s="90" t="s">
        <v>912</v>
      </c>
      <c r="G2840" s="21" t="str">
        <f>VLOOKUP(D2840,[6]成飞半成品!$A:$B,2,0)</f>
        <v>安装支座</v>
      </c>
      <c r="H2840" s="10" t="s">
        <v>154</v>
      </c>
      <c r="I2840" s="10">
        <v>15</v>
      </c>
      <c r="J2840" s="10" t="s">
        <v>2111</v>
      </c>
      <c r="K2840" s="10">
        <v>5</v>
      </c>
      <c r="L2840" s="10">
        <v>7</v>
      </c>
      <c r="M2840" s="10">
        <v>28</v>
      </c>
      <c r="N2840" s="10">
        <v>28</v>
      </c>
      <c r="O2840" s="55" t="s">
        <v>1567</v>
      </c>
      <c r="Q2840" s="10">
        <v>100</v>
      </c>
      <c r="U2840" s="10">
        <v>60</v>
      </c>
      <c r="X2840" s="14">
        <v>2</v>
      </c>
      <c r="Y2840" s="79">
        <v>13.7</v>
      </c>
      <c r="Z2840" s="10" t="s">
        <v>30</v>
      </c>
      <c r="AA2840" s="14" t="s">
        <v>1804</v>
      </c>
    </row>
    <row r="2841" spans="1:27" ht="23.1" customHeight="1" x14ac:dyDescent="0.25">
      <c r="A2841" s="14" t="s">
        <v>1002</v>
      </c>
      <c r="B2841" s="10" t="s">
        <v>113</v>
      </c>
      <c r="C2841" s="10">
        <v>9</v>
      </c>
      <c r="D2841" s="10" t="s">
        <v>911</v>
      </c>
      <c r="E2841" s="78" t="s">
        <v>912</v>
      </c>
      <c r="F2841" s="90" t="s">
        <v>912</v>
      </c>
      <c r="G2841" s="21" t="str">
        <f>VLOOKUP(D2841,[6]成飞半成品!$A:$B,2,0)</f>
        <v>安装支座</v>
      </c>
      <c r="H2841" s="10" t="s">
        <v>154</v>
      </c>
      <c r="I2841" s="10">
        <v>15</v>
      </c>
      <c r="J2841" s="10" t="s">
        <v>2111</v>
      </c>
      <c r="K2841" s="10">
        <v>5</v>
      </c>
      <c r="L2841" s="10">
        <v>7</v>
      </c>
      <c r="M2841" s="10">
        <v>28</v>
      </c>
      <c r="N2841" s="10">
        <v>26</v>
      </c>
      <c r="O2841" s="55" t="s">
        <v>216</v>
      </c>
      <c r="Q2841" s="10">
        <v>100</v>
      </c>
      <c r="U2841" s="10">
        <v>60</v>
      </c>
      <c r="Y2841" s="79">
        <v>11.7</v>
      </c>
      <c r="Z2841" s="10" t="s">
        <v>55</v>
      </c>
    </row>
    <row r="2842" spans="1:27" ht="23.1" customHeight="1" x14ac:dyDescent="0.25">
      <c r="A2842" s="14" t="s">
        <v>1002</v>
      </c>
      <c r="B2842" s="10" t="s">
        <v>113</v>
      </c>
      <c r="C2842" s="10">
        <v>9</v>
      </c>
      <c r="D2842" s="10" t="s">
        <v>911</v>
      </c>
      <c r="E2842" s="78" t="s">
        <v>912</v>
      </c>
      <c r="F2842" s="90" t="s">
        <v>912</v>
      </c>
      <c r="G2842" s="21" t="str">
        <f>VLOOKUP(D2842,[6]成飞半成品!$A:$B,2,0)</f>
        <v>安装支座</v>
      </c>
      <c r="H2842" s="10" t="s">
        <v>154</v>
      </c>
      <c r="I2842" s="10">
        <v>20</v>
      </c>
      <c r="J2842" s="10" t="s">
        <v>2235</v>
      </c>
      <c r="L2842" s="10">
        <v>0.2</v>
      </c>
      <c r="M2842" s="10">
        <v>28</v>
      </c>
      <c r="O2842" s="55" t="s">
        <v>1635</v>
      </c>
      <c r="Q2842" s="10">
        <v>140</v>
      </c>
      <c r="U2842" s="10">
        <v>60</v>
      </c>
      <c r="W2842" s="10">
        <v>1</v>
      </c>
      <c r="Y2842" s="79">
        <v>1.5</v>
      </c>
      <c r="Z2842" s="10" t="s">
        <v>55</v>
      </c>
    </row>
    <row r="2843" spans="1:27" ht="23.1" customHeight="1" x14ac:dyDescent="0.25">
      <c r="A2843" s="14" t="s">
        <v>1002</v>
      </c>
      <c r="B2843" s="10" t="s">
        <v>113</v>
      </c>
      <c r="C2843" s="10">
        <v>10</v>
      </c>
      <c r="D2843" s="10" t="s">
        <v>946</v>
      </c>
      <c r="E2843" s="78" t="s">
        <v>947</v>
      </c>
      <c r="F2843" s="90" t="s">
        <v>947</v>
      </c>
      <c r="G2843" s="21" t="str">
        <f>VLOOKUP(D2843,[6]成飞半成品!$A:$B,2,0)</f>
        <v>5755横框</v>
      </c>
      <c r="H2843" s="10" t="s">
        <v>300</v>
      </c>
      <c r="I2843" s="10">
        <v>20</v>
      </c>
      <c r="J2843" s="10" t="s">
        <v>2234</v>
      </c>
      <c r="K2843" s="10">
        <v>2</v>
      </c>
      <c r="L2843" s="10">
        <v>0.8</v>
      </c>
      <c r="M2843" s="10">
        <v>28</v>
      </c>
      <c r="N2843" s="10">
        <v>19</v>
      </c>
      <c r="O2843" s="55" t="s">
        <v>1802</v>
      </c>
      <c r="Q2843" s="10">
        <v>360</v>
      </c>
      <c r="U2843" s="10">
        <v>90</v>
      </c>
      <c r="Y2843" s="79">
        <v>4.8</v>
      </c>
      <c r="Z2843" s="10" t="s">
        <v>55</v>
      </c>
      <c r="AA2843" s="14" t="s">
        <v>1805</v>
      </c>
    </row>
    <row r="2844" spans="1:27" ht="23.1" customHeight="1" x14ac:dyDescent="0.25">
      <c r="A2844" s="14" t="s">
        <v>1002</v>
      </c>
      <c r="B2844" s="10" t="s">
        <v>113</v>
      </c>
      <c r="C2844" s="10">
        <v>10</v>
      </c>
      <c r="D2844" s="10" t="s">
        <v>946</v>
      </c>
      <c r="E2844" s="78" t="s">
        <v>947</v>
      </c>
      <c r="F2844" s="90" t="s">
        <v>947</v>
      </c>
      <c r="G2844" s="21" t="str">
        <f>VLOOKUP(D2844,[6]成飞半成品!$A:$B,2,0)</f>
        <v>5755横框</v>
      </c>
      <c r="H2844" s="10" t="s">
        <v>300</v>
      </c>
      <c r="I2844" s="10">
        <v>20</v>
      </c>
      <c r="J2844" s="10" t="s">
        <v>2234</v>
      </c>
      <c r="L2844" s="10">
        <v>1</v>
      </c>
      <c r="M2844" s="10">
        <v>26</v>
      </c>
      <c r="O2844" s="55" t="s">
        <v>1802</v>
      </c>
      <c r="Q2844" s="10">
        <v>360</v>
      </c>
      <c r="U2844" s="10">
        <v>90</v>
      </c>
      <c r="Y2844" s="79">
        <v>6</v>
      </c>
      <c r="Z2844" s="10" t="s">
        <v>55</v>
      </c>
    </row>
    <row r="2845" spans="1:27" ht="23.1" customHeight="1" x14ac:dyDescent="0.25">
      <c r="A2845" s="14" t="s">
        <v>909</v>
      </c>
      <c r="B2845" s="10" t="s">
        <v>113</v>
      </c>
      <c r="C2845" s="10">
        <v>9</v>
      </c>
      <c r="D2845" s="10" t="s">
        <v>911</v>
      </c>
      <c r="E2845" s="78" t="s">
        <v>912</v>
      </c>
      <c r="F2845" s="90" t="s">
        <v>912</v>
      </c>
      <c r="G2845" s="21" t="str">
        <f>VLOOKUP(D2845,[6]成飞半成品!$A:$B,2,0)</f>
        <v>安装支座</v>
      </c>
      <c r="H2845" s="10" t="s">
        <v>154</v>
      </c>
      <c r="I2845" s="10">
        <v>15</v>
      </c>
      <c r="J2845" s="10" t="s">
        <v>2366</v>
      </c>
      <c r="K2845" s="10">
        <v>3</v>
      </c>
      <c r="L2845" s="10">
        <v>3.5</v>
      </c>
      <c r="M2845" s="10">
        <v>19</v>
      </c>
      <c r="N2845" s="10">
        <v>26</v>
      </c>
      <c r="O2845" s="55" t="s">
        <v>1022</v>
      </c>
      <c r="Q2845" s="10">
        <v>100</v>
      </c>
      <c r="U2845" s="10">
        <v>60</v>
      </c>
      <c r="W2845" s="10">
        <v>1</v>
      </c>
      <c r="Y2845" s="79">
        <v>6.8</v>
      </c>
      <c r="Z2845" s="10" t="s">
        <v>55</v>
      </c>
    </row>
    <row r="2846" spans="1:27" ht="23.1" customHeight="1" x14ac:dyDescent="0.25">
      <c r="A2846" s="14" t="s">
        <v>909</v>
      </c>
      <c r="B2846" s="10" t="s">
        <v>113</v>
      </c>
      <c r="C2846" s="10">
        <v>10</v>
      </c>
      <c r="D2846" s="10" t="s">
        <v>946</v>
      </c>
      <c r="E2846" s="78" t="s">
        <v>947</v>
      </c>
      <c r="F2846" s="90" t="s">
        <v>947</v>
      </c>
      <c r="G2846" s="21" t="str">
        <f>VLOOKUP(D2846,[6]成飞半成品!$A:$B,2,0)</f>
        <v>5755横框</v>
      </c>
      <c r="H2846" s="10" t="s">
        <v>300</v>
      </c>
      <c r="I2846" s="10">
        <v>15</v>
      </c>
      <c r="J2846" s="10" t="s">
        <v>2112</v>
      </c>
      <c r="K2846" s="10">
        <v>3</v>
      </c>
      <c r="L2846" s="10">
        <v>1</v>
      </c>
      <c r="M2846" s="10">
        <v>37</v>
      </c>
      <c r="O2846" s="55" t="s">
        <v>1055</v>
      </c>
      <c r="Q2846" s="10">
        <v>80</v>
      </c>
      <c r="U2846" s="10">
        <v>60</v>
      </c>
      <c r="W2846" s="10">
        <v>1</v>
      </c>
      <c r="Y2846" s="79">
        <v>2.2999999999999998</v>
      </c>
      <c r="Z2846" s="10" t="s">
        <v>55</v>
      </c>
    </row>
    <row r="2847" spans="1:27" ht="23.1" customHeight="1" x14ac:dyDescent="0.25">
      <c r="A2847" s="14" t="s">
        <v>98</v>
      </c>
      <c r="B2847" s="10" t="s">
        <v>99</v>
      </c>
      <c r="C2847" s="10">
        <v>22</v>
      </c>
      <c r="D2847" s="10" t="s">
        <v>100</v>
      </c>
      <c r="E2847" s="78" t="s">
        <v>101</v>
      </c>
      <c r="F2847" s="90" t="s">
        <v>101</v>
      </c>
      <c r="G2847" s="21" t="str">
        <f>VLOOKUP(D2847,[6]成飞半成品!$A:$B,2,0)</f>
        <v>前梁一段</v>
      </c>
      <c r="H2847" s="10" t="s">
        <v>102</v>
      </c>
      <c r="I2847" s="10">
        <v>30</v>
      </c>
      <c r="J2847" s="10" t="s">
        <v>2406</v>
      </c>
      <c r="K2847" s="10">
        <v>0.2</v>
      </c>
      <c r="L2847" s="10">
        <v>0.2</v>
      </c>
      <c r="M2847" s="10">
        <v>28</v>
      </c>
      <c r="O2847" s="55" t="s">
        <v>103</v>
      </c>
      <c r="Q2847" s="10">
        <v>6000</v>
      </c>
      <c r="R2847" s="10">
        <v>180</v>
      </c>
      <c r="U2847" s="10">
        <v>180</v>
      </c>
      <c r="Y2847" s="79">
        <v>20</v>
      </c>
      <c r="Z2847" s="10" t="s">
        <v>58</v>
      </c>
    </row>
    <row r="2848" spans="1:27" ht="23.1" customHeight="1" x14ac:dyDescent="0.25">
      <c r="A2848" s="14" t="s">
        <v>109</v>
      </c>
      <c r="B2848" s="10" t="s">
        <v>113</v>
      </c>
      <c r="C2848" s="10">
        <v>22</v>
      </c>
      <c r="D2848" s="10" t="s">
        <v>100</v>
      </c>
      <c r="E2848" s="78" t="s">
        <v>101</v>
      </c>
      <c r="F2848" s="90" t="s">
        <v>101</v>
      </c>
      <c r="G2848" s="21" t="str">
        <f>VLOOKUP(D2848,[6]成飞半成品!$A:$B,2,0)</f>
        <v>前梁一段</v>
      </c>
      <c r="H2848" s="10" t="s">
        <v>102</v>
      </c>
      <c r="I2848" s="10">
        <v>30</v>
      </c>
      <c r="J2848" s="10" t="s">
        <v>1877</v>
      </c>
      <c r="K2848" s="10">
        <v>0.15</v>
      </c>
      <c r="L2848" s="10">
        <v>0.2</v>
      </c>
      <c r="M2848" s="10">
        <v>26</v>
      </c>
      <c r="O2848" s="55" t="s">
        <v>103</v>
      </c>
      <c r="Q2848" s="10">
        <v>6000</v>
      </c>
      <c r="R2848" s="10">
        <v>180</v>
      </c>
      <c r="U2848" s="10">
        <v>180</v>
      </c>
      <c r="Y2848" s="79">
        <v>20</v>
      </c>
      <c r="Z2848" s="10" t="s">
        <v>58</v>
      </c>
    </row>
    <row r="2849" spans="1:28" ht="23.1" customHeight="1" x14ac:dyDescent="0.25">
      <c r="A2849" s="14" t="s">
        <v>796</v>
      </c>
      <c r="B2849" s="10" t="s">
        <v>113</v>
      </c>
      <c r="C2849" s="10">
        <v>22</v>
      </c>
      <c r="D2849" s="10" t="s">
        <v>635</v>
      </c>
      <c r="E2849" s="78" t="s">
        <v>612</v>
      </c>
      <c r="F2849" s="90" t="s">
        <v>612</v>
      </c>
      <c r="G2849" s="21" t="str">
        <f>VLOOKUP(D2849,[6]成飞半成品!$A:$B,2,0)</f>
        <v>前梁二段</v>
      </c>
      <c r="H2849" s="10" t="s">
        <v>102</v>
      </c>
      <c r="I2849" s="10">
        <v>45</v>
      </c>
      <c r="J2849" s="10" t="s">
        <v>2015</v>
      </c>
      <c r="K2849" s="10">
        <v>0.3</v>
      </c>
      <c r="L2849" s="10">
        <v>0.3</v>
      </c>
      <c r="M2849" s="10">
        <v>5</v>
      </c>
      <c r="O2849" s="55" t="s">
        <v>613</v>
      </c>
      <c r="Q2849" s="10">
        <v>6000</v>
      </c>
      <c r="R2849" s="10">
        <v>180</v>
      </c>
      <c r="U2849" s="10">
        <v>180</v>
      </c>
      <c r="Y2849" s="79">
        <v>30</v>
      </c>
      <c r="Z2849" s="10" t="s">
        <v>58</v>
      </c>
    </row>
    <row r="2850" spans="1:28" ht="23.1" customHeight="1" x14ac:dyDescent="0.25">
      <c r="A2850" s="14" t="s">
        <v>870</v>
      </c>
      <c r="B2850" s="10" t="s">
        <v>113</v>
      </c>
      <c r="C2850" s="10">
        <v>21</v>
      </c>
      <c r="D2850" s="10" t="s">
        <v>321</v>
      </c>
      <c r="E2850" s="78" t="s">
        <v>322</v>
      </c>
      <c r="F2850" s="90" t="s">
        <v>322</v>
      </c>
      <c r="G2850" s="21" t="str">
        <f>VLOOKUP(D2850,[6]成飞半成品!$A:$B,2,0)</f>
        <v>10860框</v>
      </c>
      <c r="H2850" s="10" t="s">
        <v>323</v>
      </c>
      <c r="I2850" s="10">
        <v>30</v>
      </c>
      <c r="J2850" s="10" t="s">
        <v>2078</v>
      </c>
      <c r="K2850" s="10">
        <v>0.6</v>
      </c>
      <c r="L2850" s="10">
        <v>0.5</v>
      </c>
      <c r="M2850" s="10">
        <v>5</v>
      </c>
      <c r="N2850" s="10">
        <v>5</v>
      </c>
      <c r="O2850" s="55" t="s">
        <v>780</v>
      </c>
      <c r="Q2850" s="10">
        <v>360</v>
      </c>
      <c r="R2850" s="10">
        <v>120</v>
      </c>
      <c r="U2850" s="10">
        <v>180</v>
      </c>
      <c r="Y2850" s="79">
        <v>3</v>
      </c>
      <c r="Z2850" s="10" t="s">
        <v>58</v>
      </c>
    </row>
    <row r="2851" spans="1:28" ht="23.1" customHeight="1" x14ac:dyDescent="0.25">
      <c r="A2851" s="14" t="s">
        <v>870</v>
      </c>
      <c r="B2851" s="10" t="s">
        <v>113</v>
      </c>
      <c r="C2851" s="10">
        <v>21</v>
      </c>
      <c r="D2851" s="10" t="s">
        <v>321</v>
      </c>
      <c r="E2851" s="78" t="s">
        <v>322</v>
      </c>
      <c r="F2851" s="90" t="s">
        <v>322</v>
      </c>
      <c r="G2851" s="21" t="str">
        <f>VLOOKUP(D2851,[6]成飞半成品!$A:$B,2,0)</f>
        <v>10860框</v>
      </c>
      <c r="H2851" s="10" t="s">
        <v>323</v>
      </c>
      <c r="I2851" s="10">
        <v>35</v>
      </c>
      <c r="J2851" s="10" t="s">
        <v>1925</v>
      </c>
      <c r="K2851" s="10">
        <v>1</v>
      </c>
      <c r="L2851" s="10">
        <v>1.6</v>
      </c>
      <c r="M2851" s="10">
        <v>28</v>
      </c>
      <c r="N2851" s="10">
        <v>26</v>
      </c>
      <c r="O2851" s="55" t="s">
        <v>1196</v>
      </c>
      <c r="Q2851" s="10">
        <v>480</v>
      </c>
      <c r="R2851" s="10">
        <v>120</v>
      </c>
      <c r="T2851" s="10">
        <v>2</v>
      </c>
      <c r="U2851" s="10">
        <v>180</v>
      </c>
      <c r="W2851" s="10">
        <v>1</v>
      </c>
      <c r="Y2851" s="79">
        <v>19.8</v>
      </c>
      <c r="Z2851" s="10" t="s">
        <v>58</v>
      </c>
    </row>
    <row r="2852" spans="1:28" ht="23.1" customHeight="1" x14ac:dyDescent="0.25">
      <c r="A2852" s="14" t="s">
        <v>1002</v>
      </c>
      <c r="B2852" s="10" t="s">
        <v>113</v>
      </c>
      <c r="C2852" s="10">
        <v>22</v>
      </c>
      <c r="D2852" s="10" t="s">
        <v>611</v>
      </c>
      <c r="E2852" s="78" t="s">
        <v>612</v>
      </c>
      <c r="F2852" s="90" t="s">
        <v>612</v>
      </c>
      <c r="G2852" s="21" t="str">
        <f>VLOOKUP(D2852,[6]成飞半成品!$A:$B,2,0)</f>
        <v>前梁二段</v>
      </c>
      <c r="H2852" s="10" t="s">
        <v>102</v>
      </c>
      <c r="I2852" s="10">
        <v>5</v>
      </c>
      <c r="J2852" s="10" t="s">
        <v>1957</v>
      </c>
      <c r="L2852" s="10">
        <v>0.7</v>
      </c>
      <c r="M2852" s="10">
        <v>5</v>
      </c>
      <c r="N2852" s="10">
        <v>37</v>
      </c>
      <c r="O2852" s="55" t="s">
        <v>1848</v>
      </c>
      <c r="Q2852" s="10">
        <v>2400</v>
      </c>
      <c r="R2852" s="10">
        <v>210</v>
      </c>
      <c r="T2852" s="10">
        <v>1</v>
      </c>
      <c r="U2852" s="10">
        <v>210</v>
      </c>
      <c r="Y2852" s="79">
        <v>31.5</v>
      </c>
      <c r="Z2852" s="10" t="s">
        <v>58</v>
      </c>
    </row>
    <row r="2853" spans="1:28" ht="23.1" customHeight="1" x14ac:dyDescent="0.25">
      <c r="A2853" s="14" t="s">
        <v>1002</v>
      </c>
      <c r="B2853" s="10" t="s">
        <v>113</v>
      </c>
      <c r="C2853" s="10">
        <v>22</v>
      </c>
      <c r="D2853" s="10" t="s">
        <v>635</v>
      </c>
      <c r="E2853" s="78" t="s">
        <v>612</v>
      </c>
      <c r="F2853" s="90" t="s">
        <v>612</v>
      </c>
      <c r="G2853" s="21" t="str">
        <f>VLOOKUP(D2853,[6]成飞半成品!$A:$B,2,0)</f>
        <v>前梁二段</v>
      </c>
      <c r="H2853" s="10" t="s">
        <v>102</v>
      </c>
      <c r="I2853" s="10">
        <v>5</v>
      </c>
      <c r="J2853" s="10" t="s">
        <v>1957</v>
      </c>
      <c r="L2853" s="10">
        <v>0.6</v>
      </c>
      <c r="M2853" s="10">
        <v>9</v>
      </c>
      <c r="N2853" s="10">
        <v>9</v>
      </c>
      <c r="Q2853" s="10">
        <v>2400</v>
      </c>
      <c r="R2853" s="10">
        <v>210</v>
      </c>
      <c r="U2853" s="10">
        <v>210</v>
      </c>
      <c r="W2853" s="10">
        <v>1</v>
      </c>
      <c r="Y2853" s="79">
        <v>27.5</v>
      </c>
      <c r="Z2853" s="10" t="s">
        <v>58</v>
      </c>
    </row>
    <row r="2854" spans="1:28" ht="23.1" customHeight="1" x14ac:dyDescent="0.25">
      <c r="A2854" s="14" t="s">
        <v>653</v>
      </c>
      <c r="B2854" s="10" t="s">
        <v>99</v>
      </c>
      <c r="C2854" s="10">
        <v>13</v>
      </c>
      <c r="D2854" s="31" t="s">
        <v>687</v>
      </c>
      <c r="E2854" s="78" t="s">
        <v>657</v>
      </c>
      <c r="F2854" s="90" t="s">
        <v>657</v>
      </c>
      <c r="G2854" s="21" t="str">
        <f>VLOOKUP(D2854,[6]成飞半成品!$A:$B,2,0)</f>
        <v>拨叉</v>
      </c>
      <c r="H2854" s="10" t="s">
        <v>658</v>
      </c>
      <c r="I2854" s="10">
        <v>50</v>
      </c>
      <c r="J2854" s="10" t="s">
        <v>2529</v>
      </c>
      <c r="L2854" s="10">
        <v>1</v>
      </c>
      <c r="Q2854" s="10">
        <v>60</v>
      </c>
      <c r="U2854" s="10">
        <v>120</v>
      </c>
      <c r="X2854" s="14">
        <v>2</v>
      </c>
      <c r="Y2854" s="79">
        <v>3</v>
      </c>
      <c r="Z2854" s="10" t="s">
        <v>72</v>
      </c>
      <c r="AA2854" s="14" t="s">
        <v>1671</v>
      </c>
      <c r="AB2854" s="25" t="s">
        <v>238</v>
      </c>
    </row>
    <row r="2855" spans="1:28" ht="23.1" customHeight="1" x14ac:dyDescent="0.25">
      <c r="A2855" s="14" t="s">
        <v>653</v>
      </c>
      <c r="B2855" s="10" t="s">
        <v>99</v>
      </c>
      <c r="C2855" s="10">
        <v>13</v>
      </c>
      <c r="D2855" s="31" t="s">
        <v>687</v>
      </c>
      <c r="E2855" s="78" t="s">
        <v>657</v>
      </c>
      <c r="F2855" s="90" t="s">
        <v>657</v>
      </c>
      <c r="G2855" s="21" t="str">
        <f>VLOOKUP(D2855,[6]成飞半成品!$A:$B,2,0)</f>
        <v>拨叉</v>
      </c>
      <c r="H2855" s="10" t="s">
        <v>658</v>
      </c>
      <c r="I2855" s="10">
        <v>55</v>
      </c>
      <c r="J2855" s="10" t="s">
        <v>1898</v>
      </c>
      <c r="L2855" s="10">
        <v>1</v>
      </c>
      <c r="Q2855" s="10">
        <v>30</v>
      </c>
      <c r="U2855" s="10">
        <v>120</v>
      </c>
      <c r="X2855" s="14">
        <v>2</v>
      </c>
      <c r="Y2855" s="79">
        <v>2.5</v>
      </c>
      <c r="Z2855" s="10" t="s">
        <v>72</v>
      </c>
      <c r="AA2855" s="14" t="s">
        <v>1671</v>
      </c>
      <c r="AB2855" s="25" t="s">
        <v>238</v>
      </c>
    </row>
    <row r="2856" spans="1:28" ht="23.1" customHeight="1" x14ac:dyDescent="0.25">
      <c r="A2856" s="14" t="s">
        <v>653</v>
      </c>
      <c r="B2856" s="10" t="s">
        <v>99</v>
      </c>
      <c r="C2856" s="10">
        <v>13</v>
      </c>
      <c r="D2856" s="31" t="s">
        <v>687</v>
      </c>
      <c r="E2856" s="78" t="s">
        <v>657</v>
      </c>
      <c r="F2856" s="90" t="s">
        <v>657</v>
      </c>
      <c r="G2856" s="21" t="str">
        <f>VLOOKUP(D2856,[6]成飞半成品!$A:$B,2,0)</f>
        <v>拨叉</v>
      </c>
      <c r="H2856" s="10" t="s">
        <v>658</v>
      </c>
      <c r="I2856" s="10">
        <v>45</v>
      </c>
      <c r="J2856" s="10" t="s">
        <v>2530</v>
      </c>
      <c r="L2856" s="10">
        <v>1</v>
      </c>
      <c r="X2856" s="14">
        <v>2</v>
      </c>
      <c r="Y2856" s="79">
        <v>2</v>
      </c>
      <c r="Z2856" s="10" t="s">
        <v>72</v>
      </c>
      <c r="AA2856" s="14" t="s">
        <v>1671</v>
      </c>
      <c r="AB2856" s="25" t="s">
        <v>238</v>
      </c>
    </row>
    <row r="2857" spans="1:28" ht="23.1" customHeight="1" x14ac:dyDescent="0.25">
      <c r="A2857" s="14" t="s">
        <v>1236</v>
      </c>
      <c r="B2857" s="10" t="s">
        <v>113</v>
      </c>
      <c r="C2857" s="10">
        <v>13</v>
      </c>
      <c r="D2857" s="10" t="s">
        <v>1727</v>
      </c>
      <c r="E2857" s="78" t="s">
        <v>1728</v>
      </c>
      <c r="F2857" s="90" t="s">
        <v>1728</v>
      </c>
      <c r="G2857" s="21" t="str">
        <f>VLOOKUP(D2857,[6]成飞半成品!$A:$B,2,0)</f>
        <v>球形杯</v>
      </c>
      <c r="H2857" s="10" t="s">
        <v>102</v>
      </c>
      <c r="I2857" s="10">
        <v>15</v>
      </c>
      <c r="J2857" s="10" t="s">
        <v>2346</v>
      </c>
      <c r="L2857" s="10">
        <v>1</v>
      </c>
      <c r="Q2857" s="10">
        <v>140</v>
      </c>
      <c r="U2857" s="10">
        <v>90</v>
      </c>
      <c r="X2857" s="14">
        <v>2</v>
      </c>
      <c r="Y2857" s="79">
        <v>4.3</v>
      </c>
      <c r="Z2857" s="10" t="s">
        <v>72</v>
      </c>
      <c r="AA2857" s="14" t="s">
        <v>1671</v>
      </c>
      <c r="AB2857" s="25" t="s">
        <v>238</v>
      </c>
    </row>
    <row r="2858" spans="1:28" ht="23.1" customHeight="1" x14ac:dyDescent="0.25">
      <c r="A2858" s="14" t="s">
        <v>870</v>
      </c>
      <c r="B2858" s="10" t="s">
        <v>110</v>
      </c>
      <c r="C2858" s="10">
        <v>24</v>
      </c>
      <c r="D2858" s="10" t="s">
        <v>738</v>
      </c>
      <c r="E2858" s="78" t="s">
        <v>739</v>
      </c>
      <c r="F2858" s="90" t="s">
        <v>739</v>
      </c>
      <c r="G2858" s="21" t="str">
        <f>VLOOKUP(D2858,[6]成飞半成品!$A:$B,2,0)</f>
        <v>BL280侧壁（右件）</v>
      </c>
      <c r="H2858" s="10" t="s">
        <v>107</v>
      </c>
      <c r="I2858" s="10">
        <v>30</v>
      </c>
      <c r="J2858" s="10" t="s">
        <v>2061</v>
      </c>
      <c r="K2858" s="10">
        <v>0.6</v>
      </c>
      <c r="L2858" s="10">
        <v>0.6</v>
      </c>
      <c r="M2858" s="10">
        <v>28</v>
      </c>
      <c r="O2858" s="55" t="s">
        <v>410</v>
      </c>
      <c r="Q2858" s="10">
        <v>1700</v>
      </c>
      <c r="R2858" s="10">
        <v>120</v>
      </c>
      <c r="T2858" s="10">
        <v>1</v>
      </c>
      <c r="U2858" s="10">
        <v>210</v>
      </c>
      <c r="Y2858" s="79">
        <v>19</v>
      </c>
      <c r="Z2858" s="10" t="s">
        <v>4</v>
      </c>
    </row>
    <row r="2859" spans="1:28" ht="23.1" customHeight="1" x14ac:dyDescent="0.25">
      <c r="A2859" s="14" t="s">
        <v>870</v>
      </c>
      <c r="B2859" s="10" t="s">
        <v>110</v>
      </c>
      <c r="C2859" s="10">
        <v>69</v>
      </c>
      <c r="D2859" s="10" t="s">
        <v>132</v>
      </c>
      <c r="E2859" s="78" t="s">
        <v>133</v>
      </c>
      <c r="F2859" s="90" t="s">
        <v>133</v>
      </c>
      <c r="G2859" s="21" t="str">
        <f>VLOOKUP(D2859,[6]成飞半成品!$A:$B,2,0)</f>
        <v>摇臂</v>
      </c>
      <c r="H2859" s="10" t="s">
        <v>102</v>
      </c>
      <c r="I2859" s="10">
        <v>80</v>
      </c>
      <c r="J2859" s="10" t="s">
        <v>2016</v>
      </c>
      <c r="K2859" s="10">
        <v>1</v>
      </c>
      <c r="L2859" s="10">
        <v>1</v>
      </c>
      <c r="M2859" s="10">
        <v>5</v>
      </c>
      <c r="O2859" s="55" t="s">
        <v>103</v>
      </c>
      <c r="Q2859" s="10">
        <v>210</v>
      </c>
      <c r="R2859" s="10">
        <v>60</v>
      </c>
      <c r="U2859" s="10">
        <v>120</v>
      </c>
      <c r="W2859" s="10">
        <v>1</v>
      </c>
      <c r="X2859" s="14">
        <v>8</v>
      </c>
      <c r="Y2859" s="79">
        <v>13.5</v>
      </c>
      <c r="Z2859" s="10" t="s">
        <v>4</v>
      </c>
      <c r="AA2859" s="14" t="s">
        <v>1806</v>
      </c>
    </row>
    <row r="2860" spans="1:28" ht="23.1" customHeight="1" x14ac:dyDescent="0.25">
      <c r="A2860" s="14" t="s">
        <v>870</v>
      </c>
      <c r="B2860" s="10" t="s">
        <v>110</v>
      </c>
      <c r="C2860" s="10">
        <v>91</v>
      </c>
      <c r="D2860" s="10" t="s">
        <v>790</v>
      </c>
      <c r="E2860" s="78" t="s">
        <v>1807</v>
      </c>
      <c r="F2860" s="90" t="e">
        <v>#N/A</v>
      </c>
      <c r="G2860" s="21" t="e">
        <f>VLOOKUP(D2860,[6]成飞半成品!$A:$B,2,0)</f>
        <v>#N/A</v>
      </c>
      <c r="H2860" s="10" t="s">
        <v>118</v>
      </c>
      <c r="I2860" s="10">
        <v>60</v>
      </c>
      <c r="J2860" s="10" t="s">
        <v>2531</v>
      </c>
      <c r="K2860" s="10">
        <v>1.3</v>
      </c>
      <c r="L2860" s="10">
        <v>1.2</v>
      </c>
      <c r="M2860" s="10">
        <v>37</v>
      </c>
      <c r="N2860" s="10">
        <v>28</v>
      </c>
      <c r="O2860" s="55" t="s">
        <v>1808</v>
      </c>
      <c r="Q2860" s="10">
        <v>720</v>
      </c>
      <c r="R2860" s="10">
        <v>60</v>
      </c>
      <c r="T2860" s="10">
        <v>1</v>
      </c>
      <c r="U2860" s="10">
        <v>120</v>
      </c>
      <c r="X2860" s="14">
        <v>3</v>
      </c>
      <c r="Y2860" s="79">
        <v>18.399999999999999</v>
      </c>
      <c r="Z2860" s="10" t="s">
        <v>4</v>
      </c>
      <c r="AA2860" s="14" t="s">
        <v>1691</v>
      </c>
    </row>
    <row r="2861" spans="1:28" ht="23.1" customHeight="1" x14ac:dyDescent="0.25">
      <c r="A2861" s="14" t="s">
        <v>870</v>
      </c>
      <c r="B2861" s="10" t="s">
        <v>110</v>
      </c>
      <c r="C2861" s="10">
        <v>119</v>
      </c>
      <c r="D2861" s="65" t="s">
        <v>2551</v>
      </c>
      <c r="E2861" s="78" t="s">
        <v>938</v>
      </c>
      <c r="F2861" s="90" t="s">
        <v>938</v>
      </c>
      <c r="G2861" s="21" t="str">
        <f>VLOOKUP(D2861,[6]成飞半成品!$A:$B,2,0)</f>
        <v>工装</v>
      </c>
      <c r="H2861" s="10" t="s">
        <v>939</v>
      </c>
      <c r="I2861" s="10">
        <v>60</v>
      </c>
      <c r="J2861" s="10" t="s">
        <v>2203</v>
      </c>
      <c r="K2861" s="10">
        <v>1</v>
      </c>
      <c r="L2861" s="10">
        <v>0.6</v>
      </c>
      <c r="M2861" s="10">
        <v>9</v>
      </c>
      <c r="O2861" s="55" t="s">
        <v>421</v>
      </c>
      <c r="Q2861" s="10">
        <v>900</v>
      </c>
      <c r="R2861" s="10">
        <v>90</v>
      </c>
      <c r="U2861" s="10">
        <v>180</v>
      </c>
      <c r="W2861" s="10">
        <v>1</v>
      </c>
      <c r="X2861" s="14">
        <v>4</v>
      </c>
      <c r="Y2861" s="79">
        <v>16</v>
      </c>
      <c r="Z2861" s="10" t="s">
        <v>4</v>
      </c>
      <c r="AA2861" s="14" t="s">
        <v>1809</v>
      </c>
      <c r="AB2861" s="14" t="s">
        <v>1475</v>
      </c>
    </row>
    <row r="2862" spans="1:28" ht="23.1" customHeight="1" x14ac:dyDescent="0.25">
      <c r="A2862" s="14" t="s">
        <v>870</v>
      </c>
      <c r="B2862" s="10" t="s">
        <v>110</v>
      </c>
      <c r="C2862" s="10">
        <v>121</v>
      </c>
      <c r="D2862" s="10" t="s">
        <v>1239</v>
      </c>
      <c r="E2862" s="78" t="s">
        <v>835</v>
      </c>
      <c r="F2862" s="90" t="s">
        <v>835</v>
      </c>
      <c r="G2862" s="21" t="str">
        <f>VLOOKUP(D2862,[6]成飞半成品!$A:$B,2,0)</f>
        <v>根肋三段</v>
      </c>
      <c r="H2862" s="10" t="s">
        <v>154</v>
      </c>
      <c r="I2862" s="10">
        <v>60</v>
      </c>
      <c r="J2862" s="10" t="s">
        <v>2064</v>
      </c>
      <c r="K2862" s="10">
        <v>4</v>
      </c>
      <c r="L2862" s="10">
        <v>3.6</v>
      </c>
      <c r="M2862" s="10">
        <v>26</v>
      </c>
      <c r="N2862" s="10">
        <v>28</v>
      </c>
      <c r="O2862" s="55" t="s">
        <v>1810</v>
      </c>
      <c r="Q2862" s="10">
        <v>270</v>
      </c>
      <c r="R2862" s="10">
        <v>60</v>
      </c>
      <c r="U2862" s="10">
        <v>180</v>
      </c>
      <c r="W2862" s="10">
        <v>1</v>
      </c>
      <c r="Y2862" s="79">
        <v>19.2</v>
      </c>
      <c r="Z2862" s="10" t="s">
        <v>4</v>
      </c>
    </row>
    <row r="2863" spans="1:28" ht="23.1" customHeight="1" x14ac:dyDescent="0.25">
      <c r="A2863" s="14" t="s">
        <v>870</v>
      </c>
      <c r="B2863" s="10" t="s">
        <v>110</v>
      </c>
      <c r="C2863" s="10">
        <v>84</v>
      </c>
      <c r="D2863" s="10" t="s">
        <v>866</v>
      </c>
      <c r="E2863" s="78" t="s">
        <v>317</v>
      </c>
      <c r="F2863" s="90" t="s">
        <v>317</v>
      </c>
      <c r="G2863" s="21" t="str">
        <f>VLOOKUP(D2863,[6]成飞半成品!$A:$B,2,0)</f>
        <v>角盒</v>
      </c>
      <c r="H2863" s="10" t="s">
        <v>154</v>
      </c>
      <c r="I2863" s="10">
        <v>30</v>
      </c>
      <c r="J2863" s="10" t="s">
        <v>2407</v>
      </c>
      <c r="L2863" s="10">
        <v>0.6</v>
      </c>
      <c r="M2863" s="10">
        <v>19</v>
      </c>
      <c r="O2863" s="55" t="s">
        <v>159</v>
      </c>
      <c r="Q2863" s="10">
        <v>600</v>
      </c>
      <c r="R2863" s="10">
        <v>60</v>
      </c>
      <c r="U2863" s="10">
        <v>120</v>
      </c>
      <c r="X2863" s="14">
        <v>3</v>
      </c>
      <c r="Y2863" s="79">
        <v>9</v>
      </c>
      <c r="Z2863" s="10" t="s">
        <v>4</v>
      </c>
      <c r="AA2863" s="14" t="s">
        <v>1691</v>
      </c>
    </row>
    <row r="2864" spans="1:28" ht="23.1" customHeight="1" x14ac:dyDescent="0.25">
      <c r="A2864" s="14" t="s">
        <v>870</v>
      </c>
      <c r="B2864" s="10" t="s">
        <v>110</v>
      </c>
      <c r="C2864" s="10">
        <v>84</v>
      </c>
      <c r="D2864" s="10" t="s">
        <v>423</v>
      </c>
      <c r="E2864" s="78" t="s">
        <v>424</v>
      </c>
      <c r="F2864" s="90" t="s">
        <v>424</v>
      </c>
      <c r="G2864" s="21" t="str">
        <f>VLOOKUP(D2864,[6]成飞半成品!$A:$B,2,0)</f>
        <v>后梁四段</v>
      </c>
      <c r="H2864" s="10" t="s">
        <v>107</v>
      </c>
      <c r="I2864" s="10">
        <v>38</v>
      </c>
      <c r="K2864" s="10">
        <v>1</v>
      </c>
      <c r="L2864" s="10">
        <v>1</v>
      </c>
      <c r="M2864" s="10">
        <v>26</v>
      </c>
      <c r="O2864" s="55" t="s">
        <v>545</v>
      </c>
      <c r="P2864" s="10">
        <v>90</v>
      </c>
      <c r="R2864" s="10">
        <v>30</v>
      </c>
      <c r="S2864" s="10">
        <v>30</v>
      </c>
      <c r="T2864" s="10">
        <v>1</v>
      </c>
      <c r="V2864" s="10">
        <v>120</v>
      </c>
      <c r="W2864" s="10">
        <v>1</v>
      </c>
      <c r="X2864" s="10">
        <v>3</v>
      </c>
      <c r="Y2864" s="83">
        <v>7</v>
      </c>
      <c r="Z2864" s="10" t="s">
        <v>4</v>
      </c>
      <c r="AA2864" s="14" t="s">
        <v>1548</v>
      </c>
    </row>
    <row r="2865" spans="1:27" ht="23.1" customHeight="1" x14ac:dyDescent="0.25">
      <c r="A2865" s="14" t="s">
        <v>870</v>
      </c>
      <c r="B2865" s="10" t="s">
        <v>110</v>
      </c>
      <c r="C2865" s="10">
        <v>84</v>
      </c>
      <c r="D2865" s="10" t="s">
        <v>423</v>
      </c>
      <c r="E2865" s="78" t="s">
        <v>424</v>
      </c>
      <c r="F2865" s="90" t="s">
        <v>424</v>
      </c>
      <c r="G2865" s="21" t="str">
        <f>VLOOKUP(D2865,[6]成飞半成品!$A:$B,2,0)</f>
        <v>后梁四段</v>
      </c>
      <c r="H2865" s="10" t="s">
        <v>107</v>
      </c>
      <c r="I2865" s="10">
        <v>40</v>
      </c>
      <c r="J2865" s="10" t="s">
        <v>2096</v>
      </c>
      <c r="K2865" s="10">
        <v>1</v>
      </c>
      <c r="L2865" s="10">
        <v>1</v>
      </c>
      <c r="M2865" s="10">
        <v>26</v>
      </c>
      <c r="O2865" s="55" t="s">
        <v>545</v>
      </c>
      <c r="Q2865" s="10">
        <v>360</v>
      </c>
      <c r="R2865" s="10">
        <v>30</v>
      </c>
      <c r="T2865" s="10">
        <v>1</v>
      </c>
      <c r="U2865" s="10">
        <v>120</v>
      </c>
      <c r="W2865" s="10">
        <v>1</v>
      </c>
      <c r="Y2865" s="79">
        <v>8.5</v>
      </c>
      <c r="Z2865" s="10" t="s">
        <v>4</v>
      </c>
    </row>
    <row r="2866" spans="1:27" ht="23.1" customHeight="1" x14ac:dyDescent="0.25">
      <c r="A2866" s="14" t="s">
        <v>575</v>
      </c>
      <c r="B2866" s="10" t="s">
        <v>113</v>
      </c>
      <c r="C2866" s="10">
        <v>14</v>
      </c>
      <c r="D2866" s="10" t="s">
        <v>235</v>
      </c>
      <c r="E2866" s="78" t="s">
        <v>236</v>
      </c>
      <c r="F2866" s="90" t="s">
        <v>236</v>
      </c>
      <c r="G2866" s="21" t="str">
        <f>VLOOKUP(D2866,[6]成飞半成品!$A:$B,2,0)</f>
        <v>右外侧接头</v>
      </c>
      <c r="H2866" s="10" t="s">
        <v>154</v>
      </c>
      <c r="I2866" s="10">
        <v>70</v>
      </c>
      <c r="J2866" s="10" t="s">
        <v>1995</v>
      </c>
      <c r="K2866" s="10">
        <v>0</v>
      </c>
      <c r="L2866" s="10">
        <v>0.5</v>
      </c>
      <c r="M2866" s="10">
        <v>19</v>
      </c>
      <c r="O2866" s="55" t="s">
        <v>159</v>
      </c>
      <c r="Q2866" s="10">
        <v>1320</v>
      </c>
      <c r="U2866" s="10">
        <v>120</v>
      </c>
      <c r="W2866" s="10">
        <v>1</v>
      </c>
      <c r="Y2866" s="79">
        <v>13</v>
      </c>
      <c r="Z2866" s="10" t="s">
        <v>60</v>
      </c>
    </row>
    <row r="2867" spans="1:27" ht="23.1" customHeight="1" x14ac:dyDescent="0.25">
      <c r="A2867" s="14" t="s">
        <v>796</v>
      </c>
      <c r="B2867" s="10" t="s">
        <v>110</v>
      </c>
      <c r="C2867" s="10">
        <v>14</v>
      </c>
      <c r="D2867" s="10" t="s">
        <v>235</v>
      </c>
      <c r="E2867" s="78" t="s">
        <v>236</v>
      </c>
      <c r="F2867" s="90" t="s">
        <v>236</v>
      </c>
      <c r="G2867" s="21" t="str">
        <f>VLOOKUP(D2867,[6]成飞半成品!$A:$B,2,0)</f>
        <v>右外侧接头</v>
      </c>
      <c r="H2867" s="10" t="s">
        <v>154</v>
      </c>
      <c r="I2867" s="10">
        <v>35</v>
      </c>
      <c r="J2867" s="10" t="s">
        <v>2230</v>
      </c>
      <c r="L2867" s="10">
        <v>1</v>
      </c>
      <c r="M2867" s="10">
        <v>9</v>
      </c>
      <c r="O2867" s="55" t="s">
        <v>159</v>
      </c>
      <c r="Q2867" s="10">
        <v>480</v>
      </c>
      <c r="U2867" s="10">
        <v>60</v>
      </c>
      <c r="W2867" s="10">
        <v>1</v>
      </c>
      <c r="Y2867" s="79">
        <v>9</v>
      </c>
      <c r="Z2867" s="10" t="s">
        <v>60</v>
      </c>
    </row>
    <row r="2868" spans="1:27" ht="23.1" customHeight="1" x14ac:dyDescent="0.25">
      <c r="A2868" s="14" t="s">
        <v>796</v>
      </c>
      <c r="B2868" s="10" t="s">
        <v>110</v>
      </c>
      <c r="C2868" s="10">
        <v>14</v>
      </c>
      <c r="D2868" s="10" t="s">
        <v>235</v>
      </c>
      <c r="E2868" s="78" t="s">
        <v>236</v>
      </c>
      <c r="F2868" s="90" t="s">
        <v>236</v>
      </c>
      <c r="G2868" s="21" t="str">
        <f>VLOOKUP(D2868,[6]成飞半成品!$A:$B,2,0)</f>
        <v>右外侧接头</v>
      </c>
      <c r="H2868" s="10" t="s">
        <v>154</v>
      </c>
      <c r="I2868" s="10">
        <v>40</v>
      </c>
      <c r="J2868" s="10" t="s">
        <v>2066</v>
      </c>
      <c r="L2868" s="10">
        <v>1</v>
      </c>
      <c r="N2868" s="10">
        <v>5</v>
      </c>
      <c r="O2868" s="55" t="s">
        <v>159</v>
      </c>
      <c r="Q2868" s="10">
        <v>180</v>
      </c>
      <c r="U2868" s="10">
        <v>90</v>
      </c>
      <c r="W2868" s="10">
        <v>1</v>
      </c>
      <c r="X2868" s="14">
        <v>2</v>
      </c>
      <c r="Y2868" s="79">
        <v>6.5</v>
      </c>
      <c r="Z2868" s="10" t="s">
        <v>60</v>
      </c>
      <c r="AA2868" s="14" t="s">
        <v>1753</v>
      </c>
    </row>
    <row r="2869" spans="1:27" ht="23.1" customHeight="1" x14ac:dyDescent="0.25">
      <c r="A2869" s="14" t="s">
        <v>796</v>
      </c>
      <c r="B2869" s="10" t="s">
        <v>110</v>
      </c>
      <c r="C2869" s="10">
        <v>14</v>
      </c>
      <c r="D2869" s="10" t="s">
        <v>235</v>
      </c>
      <c r="E2869" s="78" t="s">
        <v>236</v>
      </c>
      <c r="F2869" s="90" t="s">
        <v>236</v>
      </c>
      <c r="G2869" s="21" t="str">
        <f>VLOOKUP(D2869,[6]成飞半成品!$A:$B,2,0)</f>
        <v>右外侧接头</v>
      </c>
      <c r="H2869" s="10" t="s">
        <v>154</v>
      </c>
      <c r="I2869" s="10">
        <v>45</v>
      </c>
      <c r="J2869" s="10" t="s">
        <v>2067</v>
      </c>
      <c r="L2869" s="10">
        <v>1</v>
      </c>
      <c r="N2869" s="10">
        <v>19</v>
      </c>
      <c r="O2869" s="55" t="s">
        <v>159</v>
      </c>
      <c r="Q2869" s="10">
        <v>120</v>
      </c>
      <c r="U2869" s="10">
        <v>90</v>
      </c>
      <c r="W2869" s="10">
        <v>1</v>
      </c>
      <c r="Y2869" s="79">
        <v>3.5</v>
      </c>
      <c r="Z2869" s="10" t="s">
        <v>60</v>
      </c>
    </row>
    <row r="2870" spans="1:27" ht="23.1" customHeight="1" x14ac:dyDescent="0.25">
      <c r="A2870" s="14" t="s">
        <v>796</v>
      </c>
      <c r="B2870" s="10" t="s">
        <v>110</v>
      </c>
      <c r="C2870" s="10">
        <v>14</v>
      </c>
      <c r="D2870" s="10" t="s">
        <v>235</v>
      </c>
      <c r="E2870" s="78" t="s">
        <v>236</v>
      </c>
      <c r="F2870" s="90" t="s">
        <v>236</v>
      </c>
      <c r="G2870" s="21" t="str">
        <f>VLOOKUP(D2870,[6]成飞半成品!$A:$B,2,0)</f>
        <v>右外侧接头</v>
      </c>
      <c r="H2870" s="10" t="s">
        <v>154</v>
      </c>
      <c r="I2870" s="10">
        <v>90</v>
      </c>
      <c r="J2870" s="10" t="s">
        <v>2025</v>
      </c>
      <c r="L2870" s="10">
        <v>1</v>
      </c>
      <c r="M2870" s="10">
        <v>5</v>
      </c>
      <c r="O2870" s="55" t="s">
        <v>159</v>
      </c>
      <c r="Q2870" s="10">
        <v>240</v>
      </c>
      <c r="U2870" s="10">
        <v>90</v>
      </c>
      <c r="W2870" s="10">
        <v>1</v>
      </c>
      <c r="Y2870" s="79">
        <v>5.5</v>
      </c>
      <c r="Z2870" s="10" t="s">
        <v>60</v>
      </c>
    </row>
    <row r="2871" spans="1:27" ht="23.1" customHeight="1" x14ac:dyDescent="0.25">
      <c r="A2871" s="14" t="s">
        <v>870</v>
      </c>
      <c r="B2871" s="10" t="s">
        <v>110</v>
      </c>
      <c r="C2871" s="10">
        <v>14</v>
      </c>
      <c r="D2871" s="10" t="s">
        <v>235</v>
      </c>
      <c r="E2871" s="78" t="s">
        <v>236</v>
      </c>
      <c r="F2871" s="90" t="s">
        <v>236</v>
      </c>
      <c r="G2871" s="21" t="str">
        <f>VLOOKUP(D2871,[6]成飞半成品!$A:$B,2,0)</f>
        <v>右外侧接头</v>
      </c>
      <c r="H2871" s="10" t="s">
        <v>154</v>
      </c>
      <c r="I2871" s="10">
        <v>50</v>
      </c>
      <c r="J2871" s="10" t="s">
        <v>1899</v>
      </c>
      <c r="K2871" s="10">
        <v>0.4</v>
      </c>
      <c r="L2871" s="10">
        <v>0.4</v>
      </c>
      <c r="M2871" s="10">
        <v>37</v>
      </c>
      <c r="N2871" s="10">
        <v>37</v>
      </c>
      <c r="O2871" s="55" t="s">
        <v>234</v>
      </c>
      <c r="Q2871" s="10">
        <v>2640</v>
      </c>
      <c r="U2871" s="10">
        <v>90</v>
      </c>
      <c r="Y2871" s="79">
        <v>17.600000000000001</v>
      </c>
      <c r="Z2871" s="10" t="s">
        <v>60</v>
      </c>
    </row>
    <row r="2872" spans="1:27" ht="23.1" customHeight="1" x14ac:dyDescent="0.25">
      <c r="A2872" s="14" t="s">
        <v>870</v>
      </c>
      <c r="B2872" s="10" t="s">
        <v>110</v>
      </c>
      <c r="C2872" s="10">
        <v>15</v>
      </c>
      <c r="D2872" s="10" t="s">
        <v>592</v>
      </c>
      <c r="E2872" s="78" t="s">
        <v>218</v>
      </c>
      <c r="F2872" s="90" t="s">
        <v>218</v>
      </c>
      <c r="G2872" s="21" t="str">
        <f>VLOOKUP(D2872,[6]成飞半成品!$A:$B,2,0)</f>
        <v>横梁</v>
      </c>
      <c r="H2872" s="10" t="s">
        <v>107</v>
      </c>
      <c r="I2872" s="10">
        <v>40</v>
      </c>
      <c r="J2872" s="10" t="s">
        <v>1915</v>
      </c>
      <c r="K2872" s="10">
        <v>4</v>
      </c>
      <c r="L2872" s="10">
        <v>4</v>
      </c>
      <c r="M2872" s="10">
        <v>26</v>
      </c>
      <c r="N2872" s="10">
        <v>26</v>
      </c>
      <c r="O2872" s="55" t="s">
        <v>456</v>
      </c>
      <c r="Q2872" s="10">
        <v>150</v>
      </c>
      <c r="U2872" s="10">
        <v>90</v>
      </c>
      <c r="Y2872" s="79">
        <v>10</v>
      </c>
      <c r="Z2872" s="10" t="s">
        <v>60</v>
      </c>
    </row>
    <row r="2873" spans="1:27" ht="23.1" customHeight="1" x14ac:dyDescent="0.25">
      <c r="A2873" s="14" t="s">
        <v>870</v>
      </c>
      <c r="B2873" s="10" t="s">
        <v>110</v>
      </c>
      <c r="C2873" s="10">
        <v>15</v>
      </c>
      <c r="D2873" s="10" t="s">
        <v>592</v>
      </c>
      <c r="E2873" s="78" t="s">
        <v>218</v>
      </c>
      <c r="F2873" s="90" t="s">
        <v>218</v>
      </c>
      <c r="G2873" s="21" t="str">
        <f>VLOOKUP(D2873,[6]成飞半成品!$A:$B,2,0)</f>
        <v>横梁</v>
      </c>
      <c r="H2873" s="10" t="s">
        <v>107</v>
      </c>
      <c r="I2873" s="10">
        <v>45</v>
      </c>
      <c r="J2873" s="10" t="s">
        <v>1927</v>
      </c>
      <c r="L2873" s="10">
        <v>1</v>
      </c>
      <c r="M2873" s="10">
        <v>23</v>
      </c>
      <c r="O2873" s="55" t="s">
        <v>247</v>
      </c>
      <c r="Q2873" s="10">
        <v>420</v>
      </c>
      <c r="U2873" s="10">
        <v>90</v>
      </c>
      <c r="W2873" s="10">
        <v>1</v>
      </c>
      <c r="Y2873" s="79">
        <v>8.5</v>
      </c>
      <c r="Z2873" s="10" t="s">
        <v>60</v>
      </c>
    </row>
    <row r="2874" spans="1:27" ht="23.1" customHeight="1" x14ac:dyDescent="0.25">
      <c r="A2874" s="14" t="s">
        <v>796</v>
      </c>
      <c r="B2874" s="10" t="s">
        <v>113</v>
      </c>
      <c r="C2874" s="10">
        <v>14</v>
      </c>
      <c r="D2874" s="10" t="s">
        <v>276</v>
      </c>
      <c r="E2874" s="78" t="s">
        <v>277</v>
      </c>
      <c r="F2874" s="90" t="s">
        <v>277</v>
      </c>
      <c r="G2874" s="21" t="str">
        <f>VLOOKUP(D2874,[6]成飞半成品!$A:$B,2,0)</f>
        <v>左外侧接头</v>
      </c>
      <c r="H2874" s="10" t="s">
        <v>154</v>
      </c>
      <c r="I2874" s="10">
        <v>90</v>
      </c>
      <c r="J2874" s="10" t="s">
        <v>2025</v>
      </c>
      <c r="K2874" s="10">
        <v>1</v>
      </c>
      <c r="L2874" s="10">
        <v>1</v>
      </c>
      <c r="M2874" s="10">
        <v>28</v>
      </c>
      <c r="O2874" s="55" t="s">
        <v>234</v>
      </c>
      <c r="Q2874" s="10">
        <v>240</v>
      </c>
      <c r="U2874" s="10">
        <v>90</v>
      </c>
      <c r="W2874" s="10">
        <v>1</v>
      </c>
      <c r="Y2874" s="79">
        <v>5.5</v>
      </c>
      <c r="Z2874" s="10" t="s">
        <v>31</v>
      </c>
    </row>
    <row r="2875" spans="1:27" ht="23.1" customHeight="1" x14ac:dyDescent="0.25">
      <c r="A2875" s="14" t="s">
        <v>796</v>
      </c>
      <c r="B2875" s="10" t="s">
        <v>113</v>
      </c>
      <c r="C2875" s="10">
        <v>14</v>
      </c>
      <c r="D2875" s="10" t="s">
        <v>235</v>
      </c>
      <c r="E2875" s="78" t="s">
        <v>236</v>
      </c>
      <c r="F2875" s="90" t="s">
        <v>236</v>
      </c>
      <c r="G2875" s="21" t="str">
        <f>VLOOKUP(D2875,[6]成飞半成品!$A:$B,2,0)</f>
        <v>右外侧接头</v>
      </c>
      <c r="H2875" s="10" t="s">
        <v>154</v>
      </c>
      <c r="I2875" s="10">
        <v>50</v>
      </c>
      <c r="J2875" s="10" t="s">
        <v>1899</v>
      </c>
      <c r="K2875" s="10">
        <v>0.1</v>
      </c>
      <c r="L2875" s="10">
        <v>0.05</v>
      </c>
      <c r="M2875" s="10">
        <v>37</v>
      </c>
      <c r="O2875" s="55" t="s">
        <v>234</v>
      </c>
      <c r="Q2875" s="10">
        <v>2640</v>
      </c>
      <c r="U2875" s="10">
        <v>90</v>
      </c>
      <c r="W2875" s="10">
        <v>1</v>
      </c>
      <c r="Y2875" s="79">
        <v>3.7</v>
      </c>
      <c r="Z2875" s="10" t="s">
        <v>31</v>
      </c>
    </row>
    <row r="2876" spans="1:27" ht="23.1" customHeight="1" x14ac:dyDescent="0.25">
      <c r="A2876" s="14" t="s">
        <v>870</v>
      </c>
      <c r="B2876" s="10" t="s">
        <v>113</v>
      </c>
      <c r="C2876" s="10">
        <v>14</v>
      </c>
      <c r="D2876" s="10" t="s">
        <v>235</v>
      </c>
      <c r="E2876" s="78" t="s">
        <v>236</v>
      </c>
      <c r="F2876" s="90" t="s">
        <v>236</v>
      </c>
      <c r="G2876" s="21" t="str">
        <f>VLOOKUP(D2876,[6]成飞半成品!$A:$B,2,0)</f>
        <v>右外侧接头</v>
      </c>
      <c r="H2876" s="10" t="s">
        <v>154</v>
      </c>
      <c r="I2876" s="10">
        <v>50</v>
      </c>
      <c r="J2876" s="10" t="s">
        <v>1899</v>
      </c>
      <c r="K2876" s="10">
        <v>0.4</v>
      </c>
      <c r="L2876" s="10">
        <v>0.4</v>
      </c>
      <c r="M2876" s="10">
        <v>37</v>
      </c>
      <c r="N2876" s="10">
        <v>37</v>
      </c>
      <c r="O2876" s="55" t="s">
        <v>234</v>
      </c>
      <c r="Q2876" s="10">
        <v>2640</v>
      </c>
      <c r="U2876" s="10">
        <v>90</v>
      </c>
      <c r="Y2876" s="79">
        <v>17.600000000000001</v>
      </c>
      <c r="Z2876" s="10" t="s">
        <v>31</v>
      </c>
    </row>
    <row r="2877" spans="1:27" ht="23.1" customHeight="1" x14ac:dyDescent="0.25">
      <c r="A2877" s="14" t="s">
        <v>870</v>
      </c>
      <c r="B2877" s="10" t="s">
        <v>113</v>
      </c>
      <c r="C2877" s="10">
        <v>15</v>
      </c>
      <c r="D2877" s="10" t="s">
        <v>592</v>
      </c>
      <c r="E2877" s="78" t="s">
        <v>218</v>
      </c>
      <c r="F2877" s="90" t="s">
        <v>218</v>
      </c>
      <c r="G2877" s="21" t="str">
        <f>VLOOKUP(D2877,[6]成飞半成品!$A:$B,2,0)</f>
        <v>横梁</v>
      </c>
      <c r="H2877" s="10" t="s">
        <v>107</v>
      </c>
      <c r="I2877" s="10">
        <v>45</v>
      </c>
      <c r="J2877" s="10" t="s">
        <v>1927</v>
      </c>
      <c r="K2877" s="10">
        <v>1.5</v>
      </c>
      <c r="L2877" s="10">
        <v>3</v>
      </c>
      <c r="M2877" s="10">
        <v>23</v>
      </c>
      <c r="N2877" s="10">
        <v>9</v>
      </c>
      <c r="O2877" s="55" t="s">
        <v>456</v>
      </c>
      <c r="Q2877" s="10">
        <v>420</v>
      </c>
      <c r="U2877" s="10">
        <v>90</v>
      </c>
      <c r="Y2877" s="79">
        <v>21</v>
      </c>
      <c r="Z2877" s="10" t="s">
        <v>31</v>
      </c>
    </row>
    <row r="2878" spans="1:27" ht="23.1" customHeight="1" x14ac:dyDescent="0.25">
      <c r="A2878" s="14" t="s">
        <v>909</v>
      </c>
      <c r="B2878" s="10" t="s">
        <v>113</v>
      </c>
      <c r="C2878" s="10">
        <v>14</v>
      </c>
      <c r="D2878" s="10" t="s">
        <v>235</v>
      </c>
      <c r="E2878" s="78" t="s">
        <v>236</v>
      </c>
      <c r="F2878" s="90" t="s">
        <v>236</v>
      </c>
      <c r="G2878" s="21" t="str">
        <f>VLOOKUP(D2878,[6]成飞半成品!$A:$B,2,0)</f>
        <v>右外侧接头</v>
      </c>
      <c r="H2878" s="10" t="s">
        <v>154</v>
      </c>
      <c r="I2878" s="10">
        <v>65</v>
      </c>
      <c r="J2878" s="10" t="s">
        <v>2532</v>
      </c>
      <c r="K2878" s="10">
        <v>0.5</v>
      </c>
      <c r="L2878" s="10">
        <v>0.7</v>
      </c>
      <c r="M2878" s="10">
        <v>23</v>
      </c>
      <c r="O2878" s="55" t="s">
        <v>234</v>
      </c>
      <c r="Q2878" s="10">
        <v>600</v>
      </c>
      <c r="U2878" s="10">
        <v>120</v>
      </c>
      <c r="W2878" s="10">
        <v>1</v>
      </c>
      <c r="Y2878" s="79">
        <v>9</v>
      </c>
      <c r="Z2878" s="10" t="s">
        <v>31</v>
      </c>
    </row>
    <row r="2879" spans="1:27" ht="23.1" customHeight="1" x14ac:dyDescent="0.25">
      <c r="A2879" s="14" t="s">
        <v>909</v>
      </c>
      <c r="B2879" s="10" t="s">
        <v>113</v>
      </c>
      <c r="C2879" s="10">
        <v>14</v>
      </c>
      <c r="D2879" s="10" t="s">
        <v>235</v>
      </c>
      <c r="E2879" s="78" t="s">
        <v>236</v>
      </c>
      <c r="F2879" s="90" t="s">
        <v>236</v>
      </c>
      <c r="G2879" s="21" t="str">
        <f>VLOOKUP(D2879,[6]成飞半成品!$A:$B,2,0)</f>
        <v>右外侧接头</v>
      </c>
      <c r="H2879" s="10" t="s">
        <v>154</v>
      </c>
      <c r="I2879" s="10">
        <v>70</v>
      </c>
      <c r="J2879" s="10" t="s">
        <v>1995</v>
      </c>
      <c r="K2879" s="10">
        <v>0.3</v>
      </c>
      <c r="L2879" s="10">
        <v>0.6</v>
      </c>
      <c r="M2879" s="10">
        <v>9</v>
      </c>
      <c r="O2879" s="55" t="s">
        <v>234</v>
      </c>
      <c r="Q2879" s="10">
        <v>1320</v>
      </c>
      <c r="U2879" s="10">
        <v>120</v>
      </c>
      <c r="W2879" s="10">
        <v>1</v>
      </c>
      <c r="Y2879" s="79">
        <v>15.2</v>
      </c>
      <c r="Z2879" s="10" t="s">
        <v>31</v>
      </c>
    </row>
    <row r="2880" spans="1:27" ht="23.1" customHeight="1" x14ac:dyDescent="0.25">
      <c r="A2880" s="14" t="s">
        <v>1002</v>
      </c>
      <c r="B2880" s="10" t="s">
        <v>113</v>
      </c>
      <c r="C2880" s="10">
        <v>108</v>
      </c>
      <c r="D2880" s="10" t="s">
        <v>2574</v>
      </c>
      <c r="E2880" s="78" t="s">
        <v>993</v>
      </c>
      <c r="F2880" s="90" t="s">
        <v>993</v>
      </c>
      <c r="G2880" s="21" t="str">
        <f>VLOOKUP(D2880,[6]成飞半成品!$A:$B,2,0)</f>
        <v>6820框内段</v>
      </c>
      <c r="H2880" s="10" t="s">
        <v>154</v>
      </c>
      <c r="I2880" s="10">
        <v>5</v>
      </c>
      <c r="J2880" s="10" t="s">
        <v>1957</v>
      </c>
      <c r="K2880" s="10">
        <v>1</v>
      </c>
      <c r="L2880" s="10">
        <v>1.5</v>
      </c>
      <c r="M2880" s="10">
        <v>23</v>
      </c>
      <c r="N2880" s="10">
        <v>37</v>
      </c>
      <c r="O2880" s="55" t="s">
        <v>1322</v>
      </c>
      <c r="Q2880" s="10">
        <v>720</v>
      </c>
      <c r="R2880" s="10">
        <v>60</v>
      </c>
      <c r="T2880" s="10">
        <v>1</v>
      </c>
      <c r="U2880" s="10">
        <v>90</v>
      </c>
      <c r="Y2880" s="79">
        <v>19</v>
      </c>
      <c r="Z2880" s="10" t="s">
        <v>45</v>
      </c>
    </row>
    <row r="2881" spans="1:28" ht="23.1" customHeight="1" x14ac:dyDescent="0.25">
      <c r="A2881" s="14" t="s">
        <v>1002</v>
      </c>
      <c r="B2881" s="10" t="s">
        <v>99</v>
      </c>
      <c r="C2881" s="10">
        <v>76</v>
      </c>
      <c r="D2881" s="10" t="s">
        <v>1811</v>
      </c>
      <c r="E2881" s="78" t="s">
        <v>965</v>
      </c>
      <c r="F2881" s="90" t="s">
        <v>965</v>
      </c>
      <c r="G2881" s="21" t="str">
        <f>VLOOKUP(D2881,[6]成飞半成品!$A:$B,2,0)</f>
        <v>螺栓</v>
      </c>
      <c r="H2881" s="10" t="s">
        <v>154</v>
      </c>
      <c r="I2881" s="10">
        <v>20</v>
      </c>
      <c r="J2881" s="10" t="s">
        <v>2087</v>
      </c>
      <c r="K2881" s="10">
        <v>30</v>
      </c>
      <c r="L2881" s="10">
        <v>10</v>
      </c>
      <c r="M2881" s="10">
        <v>19</v>
      </c>
      <c r="N2881" s="10">
        <v>5</v>
      </c>
      <c r="O2881" s="55" t="s">
        <v>287</v>
      </c>
      <c r="Q2881" s="10">
        <v>20</v>
      </c>
      <c r="U2881" s="10">
        <v>60</v>
      </c>
      <c r="W2881" s="10">
        <v>1</v>
      </c>
      <c r="X2881" s="14">
        <v>3</v>
      </c>
      <c r="Y2881" s="79">
        <v>7.3</v>
      </c>
      <c r="Z2881" s="10" t="s">
        <v>12</v>
      </c>
      <c r="AA2881" s="14" t="s">
        <v>1812</v>
      </c>
      <c r="AB2881" s="25" t="s">
        <v>238</v>
      </c>
    </row>
    <row r="2882" spans="1:28" ht="23.1" customHeight="1" x14ac:dyDescent="0.25">
      <c r="A2882" s="14" t="s">
        <v>1002</v>
      </c>
      <c r="B2882" s="10" t="s">
        <v>99</v>
      </c>
      <c r="C2882" s="10">
        <v>76</v>
      </c>
      <c r="D2882" s="10" t="s">
        <v>1688</v>
      </c>
      <c r="E2882" s="78" t="s">
        <v>409</v>
      </c>
      <c r="F2882" s="90" t="s">
        <v>409</v>
      </c>
      <c r="G2882" s="21" t="str">
        <f>VLOOKUP(D2882,[6]成飞半成品!$A:$B,2,0)</f>
        <v>接头</v>
      </c>
      <c r="H2882" s="10" t="s">
        <v>300</v>
      </c>
      <c r="I2882" s="10">
        <v>30</v>
      </c>
      <c r="J2882" s="10" t="s">
        <v>1901</v>
      </c>
      <c r="M2882" s="10">
        <v>5</v>
      </c>
      <c r="O2882" s="55" t="s">
        <v>393</v>
      </c>
      <c r="Q2882" s="10">
        <v>30</v>
      </c>
      <c r="U2882" s="10">
        <v>60</v>
      </c>
      <c r="W2882" s="10">
        <v>1</v>
      </c>
      <c r="Y2882" s="79">
        <v>1</v>
      </c>
      <c r="Z2882" s="10" t="s">
        <v>12</v>
      </c>
    </row>
    <row r="2883" spans="1:28" ht="23.1" customHeight="1" x14ac:dyDescent="0.25">
      <c r="A2883" s="14" t="s">
        <v>539</v>
      </c>
      <c r="B2883" s="10" t="s">
        <v>99</v>
      </c>
      <c r="C2883" s="10">
        <v>12</v>
      </c>
      <c r="D2883" s="10" t="s">
        <v>248</v>
      </c>
      <c r="E2883" s="78" t="s">
        <v>249</v>
      </c>
      <c r="F2883" s="90" t="s">
        <v>249</v>
      </c>
      <c r="G2883" s="21" t="str">
        <f>VLOOKUP(D2883,[6]成飞半成品!$A:$B,2,0)</f>
        <v>10060下接头</v>
      </c>
      <c r="H2883" s="10" t="s">
        <v>250</v>
      </c>
      <c r="I2883" s="10">
        <v>25</v>
      </c>
      <c r="J2883" s="10" t="s">
        <v>1923</v>
      </c>
      <c r="K2883" s="10">
        <v>0.6</v>
      </c>
      <c r="L2883" s="10">
        <v>1</v>
      </c>
      <c r="N2883" s="10">
        <v>28</v>
      </c>
      <c r="O2883" s="55" t="s">
        <v>556</v>
      </c>
      <c r="Q2883" s="10">
        <v>1080</v>
      </c>
      <c r="U2883" s="10">
        <v>120</v>
      </c>
      <c r="Y2883" s="79">
        <v>18</v>
      </c>
      <c r="Z2883" s="10" t="s">
        <v>72</v>
      </c>
    </row>
    <row r="2884" spans="1:28" ht="23.1" customHeight="1" x14ac:dyDescent="0.25">
      <c r="A2884" s="14" t="s">
        <v>539</v>
      </c>
      <c r="B2884" s="10" t="s">
        <v>99</v>
      </c>
      <c r="C2884" s="10">
        <v>13</v>
      </c>
      <c r="D2884" s="10" t="s">
        <v>245</v>
      </c>
      <c r="E2884" s="78" t="s">
        <v>246</v>
      </c>
      <c r="F2884" s="90" t="s">
        <v>246</v>
      </c>
      <c r="G2884" s="21" t="str">
        <f>VLOOKUP(D2884,[6]成飞半成品!$A:$B,2,0)</f>
        <v>外侧轴承盖</v>
      </c>
      <c r="H2884" s="10" t="s">
        <v>123</v>
      </c>
      <c r="I2884" s="10">
        <v>45</v>
      </c>
      <c r="J2884" s="10" t="s">
        <v>1954</v>
      </c>
      <c r="K2884" s="10">
        <v>3</v>
      </c>
      <c r="L2884" s="10">
        <v>3</v>
      </c>
      <c r="M2884" s="10">
        <v>28</v>
      </c>
      <c r="N2884" s="10">
        <v>28</v>
      </c>
      <c r="O2884" s="55" t="s">
        <v>247</v>
      </c>
      <c r="Q2884" s="10">
        <v>250</v>
      </c>
      <c r="U2884" s="10">
        <v>90</v>
      </c>
      <c r="Y2884" s="79">
        <v>12.5</v>
      </c>
      <c r="Z2884" s="10" t="s">
        <v>72</v>
      </c>
    </row>
    <row r="2885" spans="1:28" ht="23.1" customHeight="1" x14ac:dyDescent="0.25">
      <c r="A2885" s="14" t="s">
        <v>1002</v>
      </c>
      <c r="B2885" s="10" t="s">
        <v>113</v>
      </c>
      <c r="C2885" s="10">
        <v>79</v>
      </c>
      <c r="D2885" s="10" t="s">
        <v>420</v>
      </c>
      <c r="E2885" s="78" t="s">
        <v>1247</v>
      </c>
      <c r="F2885" s="90" t="s">
        <v>1247</v>
      </c>
      <c r="G2885" s="21" t="str">
        <f>VLOOKUP(D2885,[6]成飞半成品!$A:$B,2,0)</f>
        <v>根肋前段</v>
      </c>
      <c r="H2885" s="10" t="s">
        <v>154</v>
      </c>
      <c r="I2885" s="10">
        <v>45</v>
      </c>
      <c r="J2885" s="10" t="s">
        <v>2533</v>
      </c>
      <c r="K2885" s="10">
        <v>0.7</v>
      </c>
      <c r="L2885" s="10">
        <v>0.4</v>
      </c>
      <c r="M2885" s="10">
        <v>23</v>
      </c>
      <c r="O2885" s="55" t="s">
        <v>784</v>
      </c>
      <c r="Q2885" s="10">
        <v>2460</v>
      </c>
      <c r="R2885" s="10">
        <v>90</v>
      </c>
      <c r="U2885" s="10">
        <v>240</v>
      </c>
      <c r="Y2885" s="79">
        <v>16.399999999999999</v>
      </c>
      <c r="Z2885" s="10" t="s">
        <v>19</v>
      </c>
    </row>
    <row r="2886" spans="1:28" ht="23.1" customHeight="1" x14ac:dyDescent="0.25">
      <c r="A2886" s="14" t="s">
        <v>1002</v>
      </c>
      <c r="B2886" s="10" t="s">
        <v>113</v>
      </c>
      <c r="C2886" s="10">
        <v>78</v>
      </c>
      <c r="D2886" s="25" t="s">
        <v>2551</v>
      </c>
      <c r="E2886" s="78" t="s">
        <v>1499</v>
      </c>
      <c r="F2886" s="90" t="e">
        <v>#N/A</v>
      </c>
      <c r="G2886" s="21" t="str">
        <f>VLOOKUP(D2886,[6]成飞半成品!$A:$B,2,0)</f>
        <v>工装</v>
      </c>
      <c r="H2886" s="10" t="s">
        <v>102</v>
      </c>
      <c r="I2886" s="10">
        <v>20</v>
      </c>
      <c r="L2886" s="10">
        <v>1</v>
      </c>
      <c r="O2886" s="55" t="s">
        <v>108</v>
      </c>
      <c r="X2886" s="14">
        <v>10</v>
      </c>
      <c r="Y2886" s="79">
        <v>10</v>
      </c>
      <c r="Z2886" s="10" t="s">
        <v>19</v>
      </c>
      <c r="AB2886" s="14" t="s">
        <v>238</v>
      </c>
    </row>
    <row r="2887" spans="1:28" ht="23.1" customHeight="1" x14ac:dyDescent="0.25">
      <c r="A2887" s="14" t="s">
        <v>1002</v>
      </c>
      <c r="B2887" s="10" t="s">
        <v>113</v>
      </c>
      <c r="C2887" s="10">
        <v>78</v>
      </c>
      <c r="D2887" s="25" t="s">
        <v>2551</v>
      </c>
      <c r="E2887" s="78" t="s">
        <v>1499</v>
      </c>
      <c r="F2887" s="90" t="e">
        <v>#N/A</v>
      </c>
      <c r="G2887" s="21" t="str">
        <f>VLOOKUP(D2887,[6]成飞半成品!$A:$B,2,0)</f>
        <v>工装</v>
      </c>
      <c r="H2887" s="10" t="s">
        <v>102</v>
      </c>
      <c r="I2887" s="10">
        <v>25</v>
      </c>
      <c r="L2887" s="10">
        <v>1</v>
      </c>
      <c r="O2887" s="55" t="s">
        <v>108</v>
      </c>
      <c r="X2887" s="14">
        <v>10</v>
      </c>
      <c r="Y2887" s="79">
        <v>10</v>
      </c>
      <c r="Z2887" s="10" t="s">
        <v>19</v>
      </c>
      <c r="AB2887" s="14" t="s">
        <v>238</v>
      </c>
    </row>
    <row r="2888" spans="1:28" ht="23.1" customHeight="1" x14ac:dyDescent="0.25">
      <c r="A2888" s="14" t="s">
        <v>1002</v>
      </c>
      <c r="B2888" s="10" t="s">
        <v>113</v>
      </c>
      <c r="C2888" s="10">
        <v>78</v>
      </c>
      <c r="D2888" s="10" t="s">
        <v>261</v>
      </c>
      <c r="E2888" s="78" t="s">
        <v>133</v>
      </c>
      <c r="F2888" s="90" t="s">
        <v>133</v>
      </c>
      <c r="G2888" s="21" t="str">
        <f>VLOOKUP(D2888,[6]成飞半成品!$A:$B,2,0)</f>
        <v>摇臂</v>
      </c>
      <c r="H2888" s="10" t="s">
        <v>102</v>
      </c>
      <c r="I2888" s="10">
        <v>85</v>
      </c>
      <c r="J2888" s="10" t="s">
        <v>2330</v>
      </c>
      <c r="K2888" s="10">
        <v>1</v>
      </c>
      <c r="L2888" s="10">
        <v>0.2</v>
      </c>
      <c r="M2888" s="10">
        <v>5</v>
      </c>
      <c r="O2888" s="55" t="s">
        <v>103</v>
      </c>
      <c r="Q2888" s="10">
        <v>1020</v>
      </c>
      <c r="R2888" s="10">
        <v>60</v>
      </c>
      <c r="U2888" s="10">
        <v>120</v>
      </c>
      <c r="W2888" s="10">
        <v>1</v>
      </c>
      <c r="X2888" s="14">
        <v>2</v>
      </c>
      <c r="Y2888" s="79">
        <v>7.4</v>
      </c>
      <c r="Z2888" s="10" t="s">
        <v>19</v>
      </c>
      <c r="AA2888" s="14" t="s">
        <v>1245</v>
      </c>
      <c r="AB2888" s="14" t="s">
        <v>238</v>
      </c>
    </row>
    <row r="2889" spans="1:28" ht="23.1" customHeight="1" x14ac:dyDescent="0.25">
      <c r="A2889" s="14" t="s">
        <v>188</v>
      </c>
      <c r="B2889" s="10" t="s">
        <v>99</v>
      </c>
      <c r="C2889" s="10">
        <v>15</v>
      </c>
      <c r="D2889" s="10" t="s">
        <v>217</v>
      </c>
      <c r="E2889" s="78" t="s">
        <v>218</v>
      </c>
      <c r="F2889" s="90" t="s">
        <v>218</v>
      </c>
      <c r="G2889" s="21" t="str">
        <f>VLOOKUP(D2889,[6]成飞半成品!$A:$B,2,0)</f>
        <v>横梁</v>
      </c>
      <c r="H2889" s="10" t="s">
        <v>107</v>
      </c>
      <c r="I2889" s="10">
        <v>15</v>
      </c>
      <c r="J2889" s="10" t="s">
        <v>1895</v>
      </c>
      <c r="K2889" s="10">
        <v>1</v>
      </c>
      <c r="L2889" s="10">
        <v>1</v>
      </c>
      <c r="M2889" s="10">
        <v>28</v>
      </c>
      <c r="O2889" s="55" t="s">
        <v>221</v>
      </c>
      <c r="Q2889" s="10">
        <v>90</v>
      </c>
      <c r="U2889" s="10">
        <v>90</v>
      </c>
      <c r="W2889" s="10">
        <v>1</v>
      </c>
      <c r="X2889" s="14">
        <v>4</v>
      </c>
      <c r="Y2889" s="79">
        <v>7</v>
      </c>
      <c r="Z2889" s="10" t="s">
        <v>31</v>
      </c>
      <c r="AA2889" s="14" t="s">
        <v>1814</v>
      </c>
      <c r="AB2889" s="25" t="s">
        <v>238</v>
      </c>
    </row>
    <row r="2890" spans="1:28" ht="23.1" customHeight="1" x14ac:dyDescent="0.25">
      <c r="A2890" s="14" t="s">
        <v>1002</v>
      </c>
      <c r="B2890" s="10" t="s">
        <v>113</v>
      </c>
      <c r="C2890" s="10">
        <v>23</v>
      </c>
      <c r="D2890" s="10" t="s">
        <v>987</v>
      </c>
      <c r="E2890" s="78" t="s">
        <v>988</v>
      </c>
      <c r="F2890" s="90" t="s">
        <v>988</v>
      </c>
      <c r="G2890" s="21" t="str">
        <f>VLOOKUP(D2890,[6]成飞半成品!$A:$B,2,0)</f>
        <v>8270左隔框</v>
      </c>
      <c r="H2890" s="10" t="s">
        <v>300</v>
      </c>
      <c r="I2890" s="10">
        <v>15</v>
      </c>
      <c r="J2890" s="10" t="s">
        <v>2534</v>
      </c>
      <c r="K2890" s="10">
        <v>3</v>
      </c>
      <c r="L2890" s="10">
        <v>3</v>
      </c>
      <c r="M2890" s="10">
        <v>28</v>
      </c>
      <c r="N2890" s="10">
        <v>28</v>
      </c>
      <c r="O2890" s="55" t="s">
        <v>989</v>
      </c>
      <c r="Q2890" s="10">
        <v>120</v>
      </c>
      <c r="R2890" s="10">
        <v>60</v>
      </c>
      <c r="T2890" s="10">
        <v>3</v>
      </c>
      <c r="U2890" s="10">
        <v>90</v>
      </c>
      <c r="W2890" s="10">
        <v>1</v>
      </c>
      <c r="Y2890" s="79">
        <v>10.5</v>
      </c>
      <c r="Z2890" s="10" t="s">
        <v>33</v>
      </c>
    </row>
    <row r="2891" spans="1:28" ht="23.1" customHeight="1" x14ac:dyDescent="0.25">
      <c r="A2891" s="14" t="s">
        <v>1002</v>
      </c>
      <c r="B2891" s="10" t="s">
        <v>113</v>
      </c>
      <c r="C2891" s="10">
        <v>23</v>
      </c>
      <c r="D2891" s="10" t="s">
        <v>990</v>
      </c>
      <c r="E2891" s="78" t="s">
        <v>991</v>
      </c>
      <c r="F2891" s="90" t="s">
        <v>991</v>
      </c>
      <c r="G2891" s="21" t="str">
        <f>VLOOKUP(D2891,[6]成飞半成品!$A:$B,2,0)</f>
        <v>8270右隔框</v>
      </c>
      <c r="H2891" s="10" t="s">
        <v>300</v>
      </c>
      <c r="I2891" s="10">
        <v>15</v>
      </c>
      <c r="J2891" s="10" t="s">
        <v>1926</v>
      </c>
      <c r="K2891" s="10">
        <v>3</v>
      </c>
      <c r="L2891" s="10">
        <v>3</v>
      </c>
      <c r="M2891" s="10">
        <v>28</v>
      </c>
      <c r="N2891" s="10">
        <v>28</v>
      </c>
      <c r="O2891" s="55" t="s">
        <v>989</v>
      </c>
      <c r="Q2891" s="10">
        <v>120</v>
      </c>
      <c r="R2891" s="10">
        <v>60</v>
      </c>
      <c r="T2891" s="10">
        <v>3</v>
      </c>
      <c r="U2891" s="10">
        <v>90</v>
      </c>
      <c r="W2891" s="10">
        <v>1</v>
      </c>
      <c r="Y2891" s="79">
        <v>10.5</v>
      </c>
      <c r="Z2891" s="10" t="s">
        <v>33</v>
      </c>
    </row>
    <row r="2892" spans="1:28" ht="23.1" customHeight="1" x14ac:dyDescent="0.25">
      <c r="A2892" s="14" t="s">
        <v>1002</v>
      </c>
      <c r="B2892" s="10" t="s">
        <v>113</v>
      </c>
      <c r="C2892" s="10">
        <v>23</v>
      </c>
      <c r="D2892" s="10" t="s">
        <v>987</v>
      </c>
      <c r="E2892" s="78" t="s">
        <v>988</v>
      </c>
      <c r="F2892" s="90" t="s">
        <v>988</v>
      </c>
      <c r="G2892" s="21" t="str">
        <f>VLOOKUP(D2892,[6]成飞半成品!$A:$B,2,0)</f>
        <v>8270左隔框</v>
      </c>
      <c r="H2892" s="10" t="s">
        <v>300</v>
      </c>
      <c r="I2892" s="10">
        <v>20</v>
      </c>
      <c r="J2892" s="10" t="s">
        <v>2332</v>
      </c>
      <c r="K2892" s="10">
        <v>0.85</v>
      </c>
      <c r="L2892" s="10">
        <v>0.85</v>
      </c>
      <c r="M2892" s="10">
        <v>19</v>
      </c>
      <c r="O2892" s="55" t="s">
        <v>256</v>
      </c>
      <c r="Q2892" s="10">
        <v>420</v>
      </c>
      <c r="R2892" s="10">
        <v>60</v>
      </c>
      <c r="T2892" s="10">
        <v>1</v>
      </c>
      <c r="U2892" s="10">
        <v>90</v>
      </c>
      <c r="W2892" s="10">
        <v>1</v>
      </c>
      <c r="X2892" s="10">
        <v>2</v>
      </c>
      <c r="Y2892" s="79">
        <v>10.5</v>
      </c>
      <c r="Z2892" s="10" t="s">
        <v>33</v>
      </c>
      <c r="AA2892" s="14" t="s">
        <v>1548</v>
      </c>
    </row>
    <row r="2893" spans="1:28" ht="23.1" customHeight="1" x14ac:dyDescent="0.25">
      <c r="A2893" s="14" t="s">
        <v>1002</v>
      </c>
      <c r="B2893" s="10" t="s">
        <v>113</v>
      </c>
      <c r="C2893" s="10">
        <v>47</v>
      </c>
      <c r="D2893" s="10" t="s">
        <v>826</v>
      </c>
      <c r="E2893" s="78" t="s">
        <v>827</v>
      </c>
      <c r="F2893" s="90" t="s">
        <v>827</v>
      </c>
      <c r="G2893" s="21" t="str">
        <f>VLOOKUP(D2893,[6]成飞半成品!$A:$B,2,0)</f>
        <v>BL900侧梁</v>
      </c>
      <c r="H2893" s="10" t="s">
        <v>118</v>
      </c>
      <c r="I2893" s="10">
        <v>20</v>
      </c>
      <c r="J2893" s="10" t="s">
        <v>2107</v>
      </c>
      <c r="K2893" s="10">
        <v>1</v>
      </c>
      <c r="L2893" s="10">
        <v>1.2</v>
      </c>
      <c r="M2893" s="10">
        <v>28</v>
      </c>
      <c r="N2893" s="10">
        <v>28</v>
      </c>
      <c r="O2893" s="55" t="s">
        <v>828</v>
      </c>
      <c r="Q2893" s="10">
        <v>780</v>
      </c>
      <c r="R2893" s="10">
        <v>90</v>
      </c>
      <c r="T2893" s="10">
        <v>1</v>
      </c>
      <c r="U2893" s="10">
        <v>60</v>
      </c>
      <c r="Y2893" s="79">
        <v>17.100000000000001</v>
      </c>
      <c r="Z2893" s="10" t="s">
        <v>33</v>
      </c>
    </row>
    <row r="2894" spans="1:28" ht="23.1" customHeight="1" x14ac:dyDescent="0.25">
      <c r="A2894" s="14" t="s">
        <v>1002</v>
      </c>
      <c r="B2894" s="10" t="s">
        <v>113</v>
      </c>
      <c r="C2894" s="10">
        <v>47</v>
      </c>
      <c r="D2894" s="10" t="s">
        <v>826</v>
      </c>
      <c r="E2894" s="78" t="s">
        <v>827</v>
      </c>
      <c r="F2894" s="90" t="s">
        <v>827</v>
      </c>
      <c r="G2894" s="21" t="str">
        <f>VLOOKUP(D2894,[6]成飞半成品!$A:$B,2,0)</f>
        <v>BL900侧梁</v>
      </c>
      <c r="H2894" s="10" t="s">
        <v>118</v>
      </c>
      <c r="I2894" s="10">
        <v>20</v>
      </c>
      <c r="J2894" s="10" t="s">
        <v>2107</v>
      </c>
      <c r="K2894" s="10">
        <v>0.25</v>
      </c>
      <c r="L2894" s="10">
        <v>0.25</v>
      </c>
      <c r="M2894" s="10">
        <v>19</v>
      </c>
      <c r="O2894" s="55" t="s">
        <v>860</v>
      </c>
      <c r="Q2894" s="10">
        <v>780</v>
      </c>
      <c r="R2894" s="10">
        <v>90</v>
      </c>
      <c r="T2894" s="10">
        <v>1</v>
      </c>
      <c r="U2894" s="10">
        <v>60</v>
      </c>
      <c r="Y2894" s="79">
        <v>4.8</v>
      </c>
      <c r="Z2894" s="10" t="s">
        <v>33</v>
      </c>
    </row>
    <row r="2895" spans="1:28" ht="23.1" customHeight="1" x14ac:dyDescent="0.25">
      <c r="A2895" s="14" t="s">
        <v>1002</v>
      </c>
      <c r="B2895" s="10" t="s">
        <v>113</v>
      </c>
      <c r="C2895" s="10">
        <v>24</v>
      </c>
      <c r="D2895" s="10" t="s">
        <v>776</v>
      </c>
      <c r="E2895" s="78" t="s">
        <v>777</v>
      </c>
      <c r="F2895" s="90" t="s">
        <v>777</v>
      </c>
      <c r="G2895" s="21" t="str">
        <f>VLOOKUP(D2895,[6]成飞半成品!$A:$B,2,0)</f>
        <v>BL280侧壁（左件）</v>
      </c>
      <c r="H2895" s="10" t="s">
        <v>107</v>
      </c>
      <c r="I2895" s="10">
        <v>25</v>
      </c>
      <c r="J2895" s="10" t="s">
        <v>2035</v>
      </c>
      <c r="K2895" s="10">
        <v>1.4</v>
      </c>
      <c r="L2895" s="10">
        <v>1</v>
      </c>
      <c r="M2895" s="10">
        <v>28</v>
      </c>
      <c r="O2895" s="55" t="s">
        <v>1106</v>
      </c>
      <c r="Q2895" s="10">
        <v>840</v>
      </c>
      <c r="R2895" s="10">
        <v>120</v>
      </c>
      <c r="T2895" s="10">
        <v>1</v>
      </c>
      <c r="U2895" s="10">
        <v>150</v>
      </c>
      <c r="Y2895" s="79">
        <v>16</v>
      </c>
      <c r="Z2895" s="10" t="s">
        <v>53</v>
      </c>
    </row>
    <row r="2896" spans="1:28" ht="23.1" customHeight="1" x14ac:dyDescent="0.25">
      <c r="A2896" s="14" t="s">
        <v>1002</v>
      </c>
      <c r="B2896" s="10" t="s">
        <v>113</v>
      </c>
      <c r="C2896" s="10">
        <v>69</v>
      </c>
      <c r="D2896" s="10" t="s">
        <v>2557</v>
      </c>
      <c r="E2896" s="78" t="s">
        <v>1013</v>
      </c>
      <c r="F2896" s="90" t="s">
        <v>1013</v>
      </c>
      <c r="G2896" s="21" t="str">
        <f>VLOOKUP(D2896,[6]成飞半成品!$A:$B,2,0)</f>
        <v>9350-11140左侧上梁</v>
      </c>
      <c r="H2896" s="10" t="s">
        <v>250</v>
      </c>
      <c r="I2896" s="10">
        <v>35</v>
      </c>
      <c r="J2896" s="10" t="s">
        <v>2109</v>
      </c>
      <c r="K2896" s="10">
        <v>6</v>
      </c>
      <c r="L2896" s="10">
        <v>5</v>
      </c>
      <c r="M2896" s="10">
        <v>28</v>
      </c>
      <c r="N2896" s="10">
        <v>28</v>
      </c>
      <c r="O2896" s="55" t="s">
        <v>216</v>
      </c>
      <c r="Q2896" s="10">
        <v>120</v>
      </c>
      <c r="R2896" s="10">
        <v>60</v>
      </c>
      <c r="T2896" s="10">
        <v>5</v>
      </c>
      <c r="U2896" s="10">
        <v>120</v>
      </c>
      <c r="Y2896" s="79">
        <v>15</v>
      </c>
      <c r="Z2896" s="10" t="s">
        <v>53</v>
      </c>
    </row>
    <row r="2897" spans="1:28" ht="23.1" customHeight="1" x14ac:dyDescent="0.25">
      <c r="A2897" s="14" t="s">
        <v>1002</v>
      </c>
      <c r="B2897" s="10" t="s">
        <v>113</v>
      </c>
      <c r="C2897" s="10">
        <v>69</v>
      </c>
      <c r="D2897" s="10" t="s">
        <v>2557</v>
      </c>
      <c r="E2897" s="78" t="s">
        <v>1013</v>
      </c>
      <c r="F2897" s="90" t="s">
        <v>1013</v>
      </c>
      <c r="G2897" s="21" t="str">
        <f>VLOOKUP(D2897,[6]成飞半成品!$A:$B,2,0)</f>
        <v>9350-11140左侧上梁</v>
      </c>
      <c r="H2897" s="10" t="s">
        <v>250</v>
      </c>
      <c r="I2897" s="10">
        <v>35</v>
      </c>
      <c r="J2897" s="10" t="s">
        <v>2109</v>
      </c>
      <c r="K2897" s="10">
        <v>1</v>
      </c>
      <c r="L2897" s="10">
        <v>6</v>
      </c>
      <c r="M2897" s="10">
        <v>28</v>
      </c>
      <c r="N2897" s="10">
        <v>28</v>
      </c>
      <c r="O2897" s="55" t="s">
        <v>216</v>
      </c>
      <c r="Q2897" s="10">
        <v>120</v>
      </c>
      <c r="R2897" s="10">
        <v>60</v>
      </c>
      <c r="T2897" s="10">
        <v>6</v>
      </c>
      <c r="U2897" s="10">
        <v>120</v>
      </c>
      <c r="W2897" s="10">
        <v>1</v>
      </c>
      <c r="X2897" s="10">
        <v>3</v>
      </c>
      <c r="Y2897" s="79">
        <v>23</v>
      </c>
      <c r="Z2897" s="10" t="s">
        <v>53</v>
      </c>
      <c r="AA2897" s="14" t="s">
        <v>1778</v>
      </c>
    </row>
    <row r="2898" spans="1:28" ht="23.1" customHeight="1" x14ac:dyDescent="0.25">
      <c r="A2898" s="14" t="s">
        <v>1002</v>
      </c>
      <c r="B2898" s="10" t="s">
        <v>113</v>
      </c>
      <c r="C2898" s="10">
        <v>91</v>
      </c>
      <c r="D2898" s="10" t="s">
        <v>254</v>
      </c>
      <c r="E2898" s="78" t="s">
        <v>1016</v>
      </c>
      <c r="F2898" s="90" t="s">
        <v>1016</v>
      </c>
      <c r="G2898" s="21" t="str">
        <f>VLOOKUP(D2898,[6]成飞半成品!$A:$B,2,0)</f>
        <v>9350-11140右侧上梁</v>
      </c>
      <c r="H2898" s="10" t="s">
        <v>375</v>
      </c>
      <c r="I2898" s="10">
        <v>40</v>
      </c>
      <c r="J2898" s="10" t="s">
        <v>2110</v>
      </c>
      <c r="K2898" s="10">
        <v>0.3</v>
      </c>
      <c r="L2898" s="10">
        <v>0.3</v>
      </c>
      <c r="M2898" s="10">
        <v>28</v>
      </c>
      <c r="N2898" s="10">
        <v>28</v>
      </c>
      <c r="O2898" s="55" t="s">
        <v>664</v>
      </c>
      <c r="Q2898" s="10">
        <v>3000</v>
      </c>
      <c r="R2898" s="10">
        <v>90</v>
      </c>
      <c r="T2898" s="10">
        <v>1</v>
      </c>
      <c r="U2898" s="10">
        <v>120</v>
      </c>
      <c r="W2898" s="10">
        <v>1</v>
      </c>
      <c r="X2898" s="10">
        <v>4</v>
      </c>
      <c r="Y2898" s="79">
        <v>22.5</v>
      </c>
      <c r="Z2898" s="10" t="s">
        <v>53</v>
      </c>
      <c r="AA2898" s="14" t="s">
        <v>1815</v>
      </c>
    </row>
    <row r="2899" spans="1:28" ht="23.1" customHeight="1" x14ac:dyDescent="0.25">
      <c r="A2899" s="14" t="s">
        <v>1002</v>
      </c>
      <c r="B2899" s="10" t="s">
        <v>113</v>
      </c>
      <c r="C2899" s="10">
        <v>84</v>
      </c>
      <c r="D2899" s="10" t="s">
        <v>958</v>
      </c>
      <c r="E2899" s="78" t="s">
        <v>317</v>
      </c>
      <c r="F2899" s="90" t="s">
        <v>317</v>
      </c>
      <c r="G2899" s="21" t="str">
        <f>VLOOKUP(D2899,[6]成飞半成品!$A:$B,2,0)</f>
        <v>角盒</v>
      </c>
      <c r="H2899" s="10" t="s">
        <v>154</v>
      </c>
      <c r="I2899" s="10">
        <v>30</v>
      </c>
      <c r="J2899" s="10" t="s">
        <v>2072</v>
      </c>
      <c r="K2899" s="10">
        <v>1.2</v>
      </c>
      <c r="L2899" s="10">
        <v>1.2</v>
      </c>
      <c r="M2899" s="10">
        <v>5</v>
      </c>
      <c r="N2899" s="10">
        <v>28</v>
      </c>
      <c r="O2899" s="55" t="s">
        <v>438</v>
      </c>
      <c r="Q2899" s="10">
        <v>600</v>
      </c>
      <c r="R2899" s="10">
        <v>60</v>
      </c>
      <c r="T2899" s="10">
        <v>1</v>
      </c>
      <c r="U2899" s="10">
        <v>120</v>
      </c>
      <c r="Y2899" s="79">
        <v>13</v>
      </c>
      <c r="Z2899" s="10" t="s">
        <v>53</v>
      </c>
    </row>
    <row r="2900" spans="1:28" ht="23.1" customHeight="1" x14ac:dyDescent="0.25">
      <c r="A2900" s="14" t="s">
        <v>1002</v>
      </c>
      <c r="B2900" s="10" t="s">
        <v>113</v>
      </c>
      <c r="C2900" s="10">
        <v>119</v>
      </c>
      <c r="D2900" s="25" t="s">
        <v>294</v>
      </c>
      <c r="E2900" s="78" t="s">
        <v>284</v>
      </c>
      <c r="F2900" s="90" t="s">
        <v>284</v>
      </c>
      <c r="G2900" s="21" t="str">
        <f>VLOOKUP(D2900,[6]成飞半成品!$A:$B,2,0)</f>
        <v>梁（左件）</v>
      </c>
      <c r="H2900" s="10" t="s">
        <v>154</v>
      </c>
      <c r="I2900" s="10">
        <v>55</v>
      </c>
      <c r="J2900" s="10" t="s">
        <v>2010</v>
      </c>
      <c r="K2900" s="10">
        <v>2</v>
      </c>
      <c r="L2900" s="10">
        <v>2.2000000000000002</v>
      </c>
      <c r="M2900" s="10">
        <v>23</v>
      </c>
      <c r="N2900" s="10">
        <v>28</v>
      </c>
      <c r="O2900" s="55" t="s">
        <v>1816</v>
      </c>
      <c r="Q2900" s="10">
        <v>540</v>
      </c>
      <c r="R2900" s="10">
        <v>180</v>
      </c>
      <c r="T2900" s="10">
        <v>2</v>
      </c>
      <c r="U2900" s="10">
        <v>120</v>
      </c>
      <c r="X2900" s="14">
        <v>3</v>
      </c>
      <c r="Y2900" s="79">
        <v>28.8</v>
      </c>
      <c r="Z2900" s="10" t="s">
        <v>53</v>
      </c>
      <c r="AA2900" s="14" t="s">
        <v>1697</v>
      </c>
    </row>
    <row r="2901" spans="1:28" ht="23.1" customHeight="1" x14ac:dyDescent="0.25">
      <c r="A2901" s="14" t="s">
        <v>1002</v>
      </c>
      <c r="B2901" s="10" t="s">
        <v>113</v>
      </c>
      <c r="C2901" s="10">
        <v>121</v>
      </c>
      <c r="D2901" s="10" t="s">
        <v>1817</v>
      </c>
      <c r="E2901" s="78" t="s">
        <v>982</v>
      </c>
      <c r="F2901" s="90" t="s">
        <v>982</v>
      </c>
      <c r="G2901" s="21" t="str">
        <f>VLOOKUP(D2901,[6]成飞半成品!$A:$B,2,0)</f>
        <v>纵向加强件</v>
      </c>
      <c r="H2901" s="10" t="s">
        <v>102</v>
      </c>
      <c r="I2901" s="10">
        <v>50</v>
      </c>
      <c r="K2901" s="10">
        <v>1</v>
      </c>
      <c r="L2901" s="10">
        <v>1</v>
      </c>
      <c r="M2901" s="10">
        <v>28</v>
      </c>
      <c r="N2901" s="10">
        <v>28</v>
      </c>
      <c r="O2901" s="55" t="s">
        <v>108</v>
      </c>
      <c r="T2901" s="10">
        <v>1</v>
      </c>
      <c r="W2901" s="10">
        <v>1</v>
      </c>
      <c r="X2901" s="14">
        <v>3</v>
      </c>
      <c r="Y2901" s="79">
        <v>3</v>
      </c>
      <c r="Z2901" s="10" t="s">
        <v>53</v>
      </c>
      <c r="AA2901" s="14" t="s">
        <v>1697</v>
      </c>
    </row>
    <row r="2902" spans="1:28" ht="23.1" customHeight="1" x14ac:dyDescent="0.25">
      <c r="A2902" s="14" t="s">
        <v>1002</v>
      </c>
      <c r="B2902" s="10" t="s">
        <v>113</v>
      </c>
      <c r="C2902" s="10">
        <v>121</v>
      </c>
      <c r="D2902" s="10" t="s">
        <v>1071</v>
      </c>
      <c r="E2902" s="78" t="s">
        <v>1072</v>
      </c>
      <c r="F2902" s="90" t="e">
        <v>#N/A</v>
      </c>
      <c r="G2902" s="21" t="e">
        <f>VLOOKUP(D2902,[6]成飞半成品!$A:$B,2,0)</f>
        <v>#N/A</v>
      </c>
      <c r="O2902" s="55" t="s">
        <v>108</v>
      </c>
      <c r="X2902" s="14">
        <v>3</v>
      </c>
      <c r="Y2902" s="79">
        <v>3</v>
      </c>
      <c r="Z2902" s="10" t="s">
        <v>53</v>
      </c>
      <c r="AA2902" s="14" t="s">
        <v>1697</v>
      </c>
    </row>
    <row r="2903" spans="1:28" ht="23.1" customHeight="1" x14ac:dyDescent="0.25">
      <c r="A2903" s="14" t="s">
        <v>1002</v>
      </c>
      <c r="B2903" s="10" t="s">
        <v>113</v>
      </c>
      <c r="C2903" s="10">
        <v>76</v>
      </c>
      <c r="D2903" s="10" t="s">
        <v>1811</v>
      </c>
      <c r="E2903" s="78" t="s">
        <v>965</v>
      </c>
      <c r="F2903" s="90" t="s">
        <v>965</v>
      </c>
      <c r="G2903" s="21" t="str">
        <f>VLOOKUP(D2903,[6]成飞半成品!$A:$B,2,0)</f>
        <v>螺栓</v>
      </c>
      <c r="H2903" s="10" t="s">
        <v>154</v>
      </c>
      <c r="I2903" s="10">
        <v>20</v>
      </c>
      <c r="J2903" s="10" t="s">
        <v>2217</v>
      </c>
      <c r="K2903" s="10">
        <v>20</v>
      </c>
      <c r="L2903" s="10">
        <v>16</v>
      </c>
      <c r="M2903" s="10">
        <v>5</v>
      </c>
      <c r="N2903" s="10">
        <v>5</v>
      </c>
      <c r="O2903" s="55" t="s">
        <v>287</v>
      </c>
      <c r="Q2903" s="10">
        <v>20</v>
      </c>
      <c r="U2903" s="10">
        <v>60</v>
      </c>
      <c r="Y2903" s="79">
        <v>5.3</v>
      </c>
      <c r="Z2903" s="10" t="s">
        <v>46</v>
      </c>
    </row>
    <row r="2904" spans="1:28" ht="23.1" customHeight="1" x14ac:dyDescent="0.25">
      <c r="A2904" s="14" t="s">
        <v>1002</v>
      </c>
      <c r="B2904" s="10" t="s">
        <v>113</v>
      </c>
      <c r="C2904" s="10">
        <v>76</v>
      </c>
      <c r="D2904" s="10" t="s">
        <v>1688</v>
      </c>
      <c r="E2904" s="78" t="s">
        <v>409</v>
      </c>
      <c r="F2904" s="90" t="s">
        <v>409</v>
      </c>
      <c r="G2904" s="21" t="str">
        <f>VLOOKUP(D2904,[6]成飞半成品!$A:$B,2,0)</f>
        <v>接头</v>
      </c>
      <c r="H2904" s="10" t="s">
        <v>300</v>
      </c>
      <c r="I2904" s="10">
        <v>30</v>
      </c>
      <c r="J2904" s="10" t="s">
        <v>2535</v>
      </c>
      <c r="K2904" s="10">
        <v>1</v>
      </c>
      <c r="L2904" s="10">
        <v>12</v>
      </c>
      <c r="M2904" s="10">
        <v>31</v>
      </c>
      <c r="N2904" s="10">
        <v>31</v>
      </c>
      <c r="O2904" s="55" t="s">
        <v>393</v>
      </c>
      <c r="Q2904" s="10">
        <v>30</v>
      </c>
      <c r="U2904" s="10">
        <v>60</v>
      </c>
      <c r="W2904" s="10">
        <v>1</v>
      </c>
      <c r="Y2904" s="79">
        <v>7</v>
      </c>
      <c r="Z2904" s="10" t="s">
        <v>46</v>
      </c>
    </row>
    <row r="2905" spans="1:28" ht="23.1" customHeight="1" x14ac:dyDescent="0.25">
      <c r="A2905" s="14" t="s">
        <v>1002</v>
      </c>
      <c r="B2905" s="10" t="s">
        <v>113</v>
      </c>
      <c r="C2905" s="10">
        <v>59</v>
      </c>
      <c r="D2905" s="10" t="s">
        <v>1686</v>
      </c>
      <c r="E2905" s="78" t="s">
        <v>1687</v>
      </c>
      <c r="F2905" s="90" t="s">
        <v>1687</v>
      </c>
      <c r="G2905" s="21" t="str">
        <f>VLOOKUP(D2905,[6]成飞半成品!$A:$B,2,0)</f>
        <v>底板连接接头</v>
      </c>
      <c r="H2905" s="10" t="s">
        <v>102</v>
      </c>
      <c r="I2905" s="10">
        <v>10</v>
      </c>
      <c r="J2905" s="10" t="s">
        <v>2038</v>
      </c>
      <c r="L2905" s="10">
        <v>8</v>
      </c>
      <c r="M2905" s="10">
        <v>26</v>
      </c>
      <c r="N2905" s="10">
        <v>26</v>
      </c>
      <c r="O2905" s="55" t="s">
        <v>596</v>
      </c>
      <c r="Q2905" s="10">
        <v>40</v>
      </c>
      <c r="U2905" s="10">
        <v>60</v>
      </c>
      <c r="W2905" s="10">
        <v>1</v>
      </c>
      <c r="Y2905" s="79">
        <v>6.3</v>
      </c>
      <c r="Z2905" s="10" t="s">
        <v>42</v>
      </c>
    </row>
    <row r="2906" spans="1:28" ht="23.1" customHeight="1" x14ac:dyDescent="0.25">
      <c r="A2906" s="14" t="s">
        <v>870</v>
      </c>
      <c r="B2906" s="10" t="s">
        <v>110</v>
      </c>
      <c r="C2906" s="10">
        <v>58</v>
      </c>
      <c r="D2906" s="10" t="s">
        <v>813</v>
      </c>
      <c r="E2906" s="78" t="s">
        <v>409</v>
      </c>
      <c r="F2906" s="90" t="s">
        <v>409</v>
      </c>
      <c r="G2906" s="21" t="str">
        <f>VLOOKUP(D2906,[6]成飞半成品!$A:$B,2,0)</f>
        <v>接头</v>
      </c>
      <c r="H2906" s="10" t="s">
        <v>102</v>
      </c>
      <c r="I2906" s="10">
        <v>35</v>
      </c>
      <c r="J2906" s="10" t="s">
        <v>1997</v>
      </c>
      <c r="L2906" s="10">
        <v>1</v>
      </c>
      <c r="M2906" s="10">
        <v>26</v>
      </c>
      <c r="O2906" s="55" t="s">
        <v>596</v>
      </c>
      <c r="Q2906" s="10">
        <v>40</v>
      </c>
      <c r="U2906" s="10">
        <v>90</v>
      </c>
      <c r="W2906" s="10">
        <v>1</v>
      </c>
      <c r="X2906" s="14">
        <v>2</v>
      </c>
      <c r="Y2906" s="79">
        <v>4.2</v>
      </c>
      <c r="Z2906" s="10" t="s">
        <v>0</v>
      </c>
      <c r="AA2906" s="14" t="s">
        <v>1441</v>
      </c>
      <c r="AB2906" s="25" t="s">
        <v>238</v>
      </c>
    </row>
    <row r="2907" spans="1:28" ht="23.1" customHeight="1" x14ac:dyDescent="0.25">
      <c r="A2907" s="14" t="s">
        <v>870</v>
      </c>
      <c r="B2907" s="10" t="s">
        <v>110</v>
      </c>
      <c r="C2907" s="10">
        <v>78</v>
      </c>
      <c r="D2907" s="10" t="s">
        <v>821</v>
      </c>
      <c r="E2907" s="78" t="s">
        <v>822</v>
      </c>
      <c r="F2907" s="90" t="s">
        <v>822</v>
      </c>
      <c r="G2907" s="21" t="str">
        <f>VLOOKUP(D2907,[6]成飞半成品!$A:$B,2,0)</f>
        <v>1#竖梁</v>
      </c>
      <c r="H2907" s="10" t="s">
        <v>123</v>
      </c>
      <c r="L2907" s="10">
        <v>1</v>
      </c>
      <c r="O2907" s="55" t="s">
        <v>108</v>
      </c>
      <c r="X2907" s="14">
        <v>4</v>
      </c>
      <c r="Y2907" s="79">
        <v>4</v>
      </c>
      <c r="Z2907" s="10" t="s">
        <v>5</v>
      </c>
      <c r="AA2907" s="14" t="s">
        <v>1754</v>
      </c>
      <c r="AB2907" s="14" t="s">
        <v>238</v>
      </c>
    </row>
    <row r="2908" spans="1:28" ht="23.1" customHeight="1" x14ac:dyDescent="0.25">
      <c r="A2908" s="14" t="s">
        <v>870</v>
      </c>
      <c r="B2908" s="10" t="s">
        <v>110</v>
      </c>
      <c r="C2908" s="10">
        <v>16</v>
      </c>
      <c r="D2908" s="10" t="s">
        <v>892</v>
      </c>
      <c r="E2908" s="78" t="s">
        <v>893</v>
      </c>
      <c r="F2908" s="90" t="s">
        <v>893</v>
      </c>
      <c r="G2908" s="21" t="str">
        <f>VLOOKUP(D2908,[6]成飞半成品!$A:$B,2,0)</f>
        <v>连接接头</v>
      </c>
      <c r="H2908" s="10" t="s">
        <v>102</v>
      </c>
      <c r="I2908" s="10">
        <v>10</v>
      </c>
      <c r="J2908" s="10" t="s">
        <v>1952</v>
      </c>
      <c r="K2908" s="10">
        <v>10</v>
      </c>
      <c r="L2908" s="10">
        <v>32</v>
      </c>
      <c r="M2908" s="10">
        <v>37</v>
      </c>
      <c r="N2908" s="10">
        <v>37</v>
      </c>
      <c r="O2908" s="55" t="s">
        <v>596</v>
      </c>
      <c r="Q2908" s="10">
        <v>30</v>
      </c>
      <c r="U2908" s="10">
        <v>60</v>
      </c>
      <c r="W2908" s="10">
        <v>1</v>
      </c>
      <c r="Y2908" s="79">
        <v>17</v>
      </c>
      <c r="Z2908" s="10" t="s">
        <v>71</v>
      </c>
    </row>
    <row r="2909" spans="1:28" ht="23.1" customHeight="1" x14ac:dyDescent="0.25">
      <c r="A2909" s="14" t="s">
        <v>870</v>
      </c>
      <c r="B2909" s="10" t="s">
        <v>110</v>
      </c>
      <c r="C2909" s="10">
        <v>14</v>
      </c>
      <c r="D2909" s="10" t="s">
        <v>235</v>
      </c>
      <c r="E2909" s="78" t="s">
        <v>236</v>
      </c>
      <c r="F2909" s="90" t="s">
        <v>236</v>
      </c>
      <c r="G2909" s="21" t="str">
        <f>VLOOKUP(D2909,[6]成飞半成品!$A:$B,2,0)</f>
        <v>右外侧接头</v>
      </c>
      <c r="H2909" s="10" t="s">
        <v>154</v>
      </c>
      <c r="I2909" s="10">
        <v>50</v>
      </c>
      <c r="J2909" s="10" t="s">
        <v>1899</v>
      </c>
      <c r="K2909" s="10">
        <v>0.4</v>
      </c>
      <c r="L2909" s="10">
        <v>0.4</v>
      </c>
      <c r="M2909" s="10">
        <v>37</v>
      </c>
      <c r="N2909" s="10">
        <v>37</v>
      </c>
      <c r="O2909" s="55" t="s">
        <v>234</v>
      </c>
      <c r="Q2909" s="10">
        <v>2640</v>
      </c>
      <c r="U2909" s="10">
        <v>90</v>
      </c>
      <c r="Y2909" s="79">
        <v>17.600000000000001</v>
      </c>
      <c r="Z2909" s="10" t="s">
        <v>60</v>
      </c>
    </row>
    <row r="2910" spans="1:28" ht="23.1" customHeight="1" x14ac:dyDescent="0.25">
      <c r="A2910" s="14" t="s">
        <v>870</v>
      </c>
      <c r="B2910" s="10" t="s">
        <v>110</v>
      </c>
      <c r="C2910" s="10">
        <v>59</v>
      </c>
      <c r="D2910" s="10" t="s">
        <v>846</v>
      </c>
      <c r="E2910" s="78" t="s">
        <v>847</v>
      </c>
      <c r="F2910" s="90" t="s">
        <v>847</v>
      </c>
      <c r="G2910" s="21" t="str">
        <f>VLOOKUP(D2910,[6]成飞半成品!$A:$B,2,0)</f>
        <v>短框连接块</v>
      </c>
      <c r="H2910" s="10" t="s">
        <v>102</v>
      </c>
      <c r="I2910" s="10">
        <v>20</v>
      </c>
      <c r="J2910" s="10" t="s">
        <v>2087</v>
      </c>
      <c r="L2910" s="10">
        <v>8</v>
      </c>
      <c r="M2910" s="10">
        <v>9</v>
      </c>
      <c r="N2910" s="10">
        <v>9</v>
      </c>
      <c r="O2910" s="55" t="s">
        <v>596</v>
      </c>
      <c r="Q2910" s="10">
        <v>20</v>
      </c>
      <c r="U2910" s="10">
        <v>60</v>
      </c>
      <c r="W2910" s="10">
        <v>1</v>
      </c>
      <c r="X2910" s="14">
        <v>2</v>
      </c>
      <c r="Y2910" s="79">
        <v>5.7</v>
      </c>
      <c r="Z2910" s="10" t="s">
        <v>6</v>
      </c>
      <c r="AA2910" s="14" t="s">
        <v>1729</v>
      </c>
    </row>
    <row r="2911" spans="1:28" ht="23.1" customHeight="1" x14ac:dyDescent="0.25">
      <c r="A2911" s="14" t="s">
        <v>870</v>
      </c>
      <c r="B2911" s="10" t="s">
        <v>110</v>
      </c>
      <c r="C2911" s="10">
        <v>59</v>
      </c>
      <c r="D2911" s="10" t="s">
        <v>846</v>
      </c>
      <c r="E2911" s="78" t="s">
        <v>847</v>
      </c>
      <c r="F2911" s="90" t="s">
        <v>847</v>
      </c>
      <c r="G2911" s="21" t="str">
        <f>VLOOKUP(D2911,[6]成飞半成品!$A:$B,2,0)</f>
        <v>短框连接块</v>
      </c>
      <c r="H2911" s="10" t="s">
        <v>102</v>
      </c>
      <c r="I2911" s="10">
        <v>25</v>
      </c>
      <c r="J2911" s="10" t="s">
        <v>2079</v>
      </c>
      <c r="K2911" s="10">
        <v>2</v>
      </c>
      <c r="L2911" s="10">
        <v>3</v>
      </c>
      <c r="M2911" s="10">
        <v>37</v>
      </c>
      <c r="N2911" s="10">
        <v>31</v>
      </c>
      <c r="O2911" s="55" t="s">
        <v>596</v>
      </c>
      <c r="Q2911" s="10">
        <v>90</v>
      </c>
      <c r="U2911" s="10">
        <v>90</v>
      </c>
      <c r="W2911" s="10">
        <v>1</v>
      </c>
      <c r="X2911" s="14">
        <v>2</v>
      </c>
      <c r="Y2911" s="79">
        <v>8</v>
      </c>
      <c r="Z2911" s="10" t="s">
        <v>6</v>
      </c>
      <c r="AA2911" s="14" t="s">
        <v>1245</v>
      </c>
      <c r="AB2911" s="25" t="s">
        <v>238</v>
      </c>
    </row>
    <row r="2912" spans="1:28" ht="23.1" customHeight="1" x14ac:dyDescent="0.25">
      <c r="A2912" s="14" t="s">
        <v>870</v>
      </c>
      <c r="B2912" s="10" t="s">
        <v>110</v>
      </c>
      <c r="C2912" s="10">
        <v>107</v>
      </c>
      <c r="D2912" s="10" t="s">
        <v>173</v>
      </c>
      <c r="E2912" s="78" t="s">
        <v>1246</v>
      </c>
      <c r="F2912" s="90" t="s">
        <v>1246</v>
      </c>
      <c r="G2912" s="21" t="str">
        <f>VLOOKUP(D2912,[6]成飞半成品!$A:$B,2,0)</f>
        <v>根肋后段</v>
      </c>
      <c r="H2912" s="10" t="s">
        <v>154</v>
      </c>
      <c r="I2912" s="10">
        <v>25</v>
      </c>
      <c r="J2912" s="10" t="s">
        <v>2006</v>
      </c>
      <c r="L2912" s="10">
        <v>1</v>
      </c>
      <c r="M2912" s="10">
        <v>28</v>
      </c>
      <c r="O2912" s="55" t="s">
        <v>128</v>
      </c>
      <c r="Q2912" s="10">
        <v>1050</v>
      </c>
      <c r="R2912" s="10">
        <v>90</v>
      </c>
      <c r="T2912" s="10">
        <v>1</v>
      </c>
      <c r="U2912" s="10">
        <v>120</v>
      </c>
      <c r="Y2912" s="79">
        <v>19</v>
      </c>
      <c r="Z2912" s="10" t="s">
        <v>13</v>
      </c>
    </row>
    <row r="2913" spans="1:28" ht="23.1" customHeight="1" x14ac:dyDescent="0.25">
      <c r="A2913" s="14" t="s">
        <v>870</v>
      </c>
      <c r="B2913" s="10" t="s">
        <v>110</v>
      </c>
      <c r="C2913" s="10">
        <v>108</v>
      </c>
      <c r="D2913" s="10" t="s">
        <v>886</v>
      </c>
      <c r="E2913" s="78" t="s">
        <v>887</v>
      </c>
      <c r="F2913" s="90" t="s">
        <v>887</v>
      </c>
      <c r="G2913" s="21" t="str">
        <f>VLOOKUP(D2913,[6]成飞半成品!$A:$B,2,0)</f>
        <v>外侧梁</v>
      </c>
      <c r="H2913" s="10" t="s">
        <v>154</v>
      </c>
      <c r="I2913" s="10">
        <v>5</v>
      </c>
      <c r="J2913" s="10" t="s">
        <v>1930</v>
      </c>
      <c r="L2913" s="10">
        <v>0.5</v>
      </c>
      <c r="M2913" s="10">
        <v>28</v>
      </c>
      <c r="O2913" s="55" t="s">
        <v>159</v>
      </c>
      <c r="Q2913" s="10">
        <v>660</v>
      </c>
      <c r="R2913" s="10">
        <v>60</v>
      </c>
      <c r="T2913" s="10">
        <v>1</v>
      </c>
      <c r="U2913" s="10">
        <v>90</v>
      </c>
      <c r="Y2913" s="79">
        <v>6.5</v>
      </c>
      <c r="Z2913" s="10" t="s">
        <v>13</v>
      </c>
    </row>
    <row r="2914" spans="1:28" ht="23.1" customHeight="1" x14ac:dyDescent="0.25">
      <c r="A2914" s="14" t="s">
        <v>870</v>
      </c>
      <c r="B2914" s="10" t="s">
        <v>110</v>
      </c>
      <c r="C2914" s="10">
        <v>79</v>
      </c>
      <c r="D2914" s="10" t="s">
        <v>152</v>
      </c>
      <c r="E2914" s="78" t="s">
        <v>1247</v>
      </c>
      <c r="F2914" s="90" t="s">
        <v>1247</v>
      </c>
      <c r="G2914" s="21" t="str">
        <f>VLOOKUP(D2914,[6]成飞半成品!$A:$B,2,0)</f>
        <v>根肋前段</v>
      </c>
      <c r="H2914" s="10" t="s">
        <v>154</v>
      </c>
      <c r="I2914" s="10">
        <v>30</v>
      </c>
      <c r="J2914" s="10" t="s">
        <v>2053</v>
      </c>
      <c r="K2914" s="10">
        <v>0.7</v>
      </c>
      <c r="L2914" s="10">
        <v>0.7</v>
      </c>
      <c r="M2914" s="10">
        <v>31</v>
      </c>
      <c r="O2914" s="55" t="s">
        <v>675</v>
      </c>
      <c r="Q2914" s="10">
        <v>1830</v>
      </c>
      <c r="R2914" s="10">
        <v>90</v>
      </c>
      <c r="T2914" s="10">
        <v>1</v>
      </c>
      <c r="U2914" s="10">
        <v>120</v>
      </c>
      <c r="W2914" s="10">
        <v>1</v>
      </c>
      <c r="Y2914" s="79">
        <v>24.9</v>
      </c>
      <c r="Z2914" s="10" t="s">
        <v>5</v>
      </c>
    </row>
    <row r="2915" spans="1:28" ht="23.1" customHeight="1" x14ac:dyDescent="0.25">
      <c r="A2915" s="14" t="s">
        <v>870</v>
      </c>
      <c r="B2915" s="10" t="s">
        <v>110</v>
      </c>
      <c r="C2915" s="10">
        <v>56</v>
      </c>
      <c r="D2915" s="10" t="s">
        <v>676</v>
      </c>
      <c r="E2915" s="78" t="s">
        <v>595</v>
      </c>
      <c r="F2915" s="90" t="s">
        <v>595</v>
      </c>
      <c r="G2915" s="21" t="str">
        <f>VLOOKUP(D2915,[6]成飞半成品!$A:$B,2,0)</f>
        <v>加强件</v>
      </c>
      <c r="H2915" s="10" t="s">
        <v>154</v>
      </c>
      <c r="I2915" s="10">
        <v>20</v>
      </c>
      <c r="J2915" s="10" t="s">
        <v>2367</v>
      </c>
      <c r="K2915" s="10">
        <v>3</v>
      </c>
      <c r="L2915" s="10">
        <v>5</v>
      </c>
      <c r="M2915" s="10">
        <v>37</v>
      </c>
      <c r="N2915" s="10">
        <v>19</v>
      </c>
      <c r="O2915" s="55" t="s">
        <v>1818</v>
      </c>
      <c r="Q2915" s="10">
        <v>180</v>
      </c>
      <c r="U2915" s="10">
        <v>60</v>
      </c>
      <c r="W2915" s="10">
        <v>1</v>
      </c>
      <c r="X2915" s="14">
        <v>2</v>
      </c>
      <c r="Y2915" s="79">
        <v>18</v>
      </c>
      <c r="Z2915" s="10" t="s">
        <v>18</v>
      </c>
      <c r="AA2915" s="14" t="s">
        <v>1245</v>
      </c>
      <c r="AB2915" s="25" t="s">
        <v>238</v>
      </c>
    </row>
    <row r="2916" spans="1:28" ht="23.1" customHeight="1" x14ac:dyDescent="0.25">
      <c r="A2916" s="14" t="s">
        <v>870</v>
      </c>
      <c r="B2916" s="10" t="s">
        <v>137</v>
      </c>
      <c r="C2916" s="10">
        <v>17</v>
      </c>
      <c r="D2916" s="10" t="s">
        <v>352</v>
      </c>
      <c r="E2916" s="78" t="s">
        <v>353</v>
      </c>
      <c r="F2916" s="90" t="e">
        <v>#N/A</v>
      </c>
      <c r="G2916" s="21" t="e">
        <f>VLOOKUP(D2916,[6]成飞半成品!$A:$B,2,0)</f>
        <v>#N/A</v>
      </c>
      <c r="H2916" s="10" t="s">
        <v>300</v>
      </c>
      <c r="I2916" s="10">
        <v>30</v>
      </c>
      <c r="J2916" s="10" t="s">
        <v>2005</v>
      </c>
      <c r="L2916" s="10">
        <v>2</v>
      </c>
      <c r="M2916" s="10">
        <v>19</v>
      </c>
      <c r="N2916" s="10">
        <v>19</v>
      </c>
      <c r="O2916" s="55" t="s">
        <v>168</v>
      </c>
      <c r="Q2916" s="10">
        <v>480</v>
      </c>
      <c r="U2916" s="10">
        <v>120</v>
      </c>
      <c r="Y2916" s="79">
        <v>16</v>
      </c>
      <c r="Z2916" s="10" t="s">
        <v>16</v>
      </c>
    </row>
    <row r="2917" spans="1:28" ht="23.1" customHeight="1" x14ac:dyDescent="0.25">
      <c r="A2917" s="14" t="s">
        <v>870</v>
      </c>
      <c r="B2917" s="10" t="s">
        <v>110</v>
      </c>
      <c r="C2917" s="10">
        <v>22</v>
      </c>
      <c r="D2917" s="10" t="s">
        <v>635</v>
      </c>
      <c r="E2917" s="78" t="s">
        <v>612</v>
      </c>
      <c r="F2917" s="90" t="s">
        <v>612</v>
      </c>
      <c r="G2917" s="21" t="str">
        <f>VLOOKUP(D2917,[6]成飞半成品!$A:$B,2,0)</f>
        <v>前梁二段</v>
      </c>
      <c r="H2917" s="10" t="s">
        <v>102</v>
      </c>
      <c r="I2917" s="10">
        <v>45</v>
      </c>
      <c r="J2917" s="10" t="s">
        <v>2015</v>
      </c>
      <c r="K2917" s="10">
        <v>0.3</v>
      </c>
      <c r="L2917" s="10">
        <v>0.3</v>
      </c>
      <c r="M2917" s="10">
        <v>5</v>
      </c>
      <c r="O2917" s="55" t="s">
        <v>613</v>
      </c>
      <c r="Q2917" s="10">
        <v>6000</v>
      </c>
      <c r="R2917" s="10">
        <v>180</v>
      </c>
      <c r="U2917" s="10">
        <v>180</v>
      </c>
      <c r="Y2917" s="79">
        <v>30</v>
      </c>
      <c r="Z2917" s="10" t="s">
        <v>49</v>
      </c>
    </row>
    <row r="2918" spans="1:28" ht="23.1" customHeight="1" x14ac:dyDescent="0.25">
      <c r="A2918" s="14" t="s">
        <v>870</v>
      </c>
      <c r="B2918" s="10" t="s">
        <v>113</v>
      </c>
      <c r="C2918" s="10">
        <v>24</v>
      </c>
      <c r="D2918" s="10" t="s">
        <v>738</v>
      </c>
      <c r="E2918" s="78" t="s">
        <v>739</v>
      </c>
      <c r="F2918" s="90" t="s">
        <v>739</v>
      </c>
      <c r="G2918" s="21" t="str">
        <f>VLOOKUP(D2918,[6]成飞半成品!$A:$B,2,0)</f>
        <v>BL280侧壁（右件）</v>
      </c>
      <c r="H2918" s="10" t="s">
        <v>107</v>
      </c>
      <c r="I2918" s="10">
        <v>30</v>
      </c>
      <c r="J2918" s="10" t="s">
        <v>2061</v>
      </c>
      <c r="K2918" s="10">
        <v>0.4</v>
      </c>
      <c r="L2918" s="10">
        <v>0.4</v>
      </c>
      <c r="M2918" s="10">
        <v>28</v>
      </c>
      <c r="O2918" s="55" t="s">
        <v>410</v>
      </c>
      <c r="Q2918" s="10">
        <v>1700</v>
      </c>
      <c r="R2918" s="10">
        <v>120</v>
      </c>
      <c r="U2918" s="10">
        <v>210</v>
      </c>
      <c r="Y2918" s="79">
        <v>11.3</v>
      </c>
      <c r="Z2918" s="10" t="s">
        <v>52</v>
      </c>
    </row>
    <row r="2919" spans="1:28" ht="23.1" customHeight="1" x14ac:dyDescent="0.25">
      <c r="A2919" s="14" t="s">
        <v>870</v>
      </c>
      <c r="B2919" s="10" t="s">
        <v>113</v>
      </c>
      <c r="C2919" s="10">
        <v>24</v>
      </c>
      <c r="D2919" s="10" t="s">
        <v>776</v>
      </c>
      <c r="E2919" s="78" t="s">
        <v>777</v>
      </c>
      <c r="F2919" s="90" t="s">
        <v>777</v>
      </c>
      <c r="G2919" s="21" t="str">
        <f>VLOOKUP(D2919,[6]成飞半成品!$A:$B,2,0)</f>
        <v>BL280侧壁（左件）</v>
      </c>
      <c r="H2919" s="10" t="s">
        <v>107</v>
      </c>
      <c r="I2919" s="10">
        <v>30</v>
      </c>
      <c r="J2919" s="10" t="s">
        <v>2061</v>
      </c>
      <c r="K2919" s="10">
        <v>0.1</v>
      </c>
      <c r="L2919" s="10">
        <v>0.2</v>
      </c>
      <c r="M2919" s="10">
        <v>5</v>
      </c>
      <c r="O2919" s="55" t="s">
        <v>487</v>
      </c>
      <c r="Q2919" s="10">
        <v>1700</v>
      </c>
      <c r="R2919" s="10">
        <v>120</v>
      </c>
      <c r="T2919" s="10">
        <v>1</v>
      </c>
      <c r="U2919" s="10">
        <v>210</v>
      </c>
      <c r="W2919" s="10">
        <v>1</v>
      </c>
      <c r="Y2919" s="79">
        <v>11.2</v>
      </c>
      <c r="Z2919" s="10" t="s">
        <v>52</v>
      </c>
    </row>
    <row r="2920" spans="1:28" ht="23.1" customHeight="1" x14ac:dyDescent="0.25">
      <c r="A2920" s="14" t="s">
        <v>870</v>
      </c>
      <c r="B2920" s="10" t="s">
        <v>113</v>
      </c>
      <c r="C2920" s="10">
        <v>69</v>
      </c>
      <c r="D2920" s="10" t="s">
        <v>1819</v>
      </c>
      <c r="E2920" s="78" t="s">
        <v>133</v>
      </c>
      <c r="F2920" s="90" t="e">
        <v>#N/A</v>
      </c>
      <c r="G2920" s="21" t="e">
        <f>VLOOKUP(D2920,[6]成飞半成品!$A:$B,2,0)</f>
        <v>#N/A</v>
      </c>
      <c r="H2920" s="10" t="s">
        <v>102</v>
      </c>
      <c r="I2920" s="10">
        <v>80</v>
      </c>
      <c r="L2920" s="10">
        <v>1</v>
      </c>
      <c r="M2920" s="10">
        <v>28</v>
      </c>
      <c r="N2920" s="10">
        <v>28</v>
      </c>
      <c r="O2920" s="55" t="s">
        <v>103</v>
      </c>
      <c r="T2920" s="10">
        <v>1</v>
      </c>
      <c r="W2920" s="10">
        <v>1</v>
      </c>
      <c r="X2920" s="14">
        <v>3</v>
      </c>
      <c r="Y2920" s="79">
        <v>3</v>
      </c>
      <c r="Z2920" s="10" t="s">
        <v>52</v>
      </c>
      <c r="AA2920" s="14" t="s">
        <v>1697</v>
      </c>
    </row>
    <row r="2921" spans="1:28" ht="23.1" customHeight="1" x14ac:dyDescent="0.25">
      <c r="A2921" s="14" t="s">
        <v>870</v>
      </c>
      <c r="B2921" s="10" t="s">
        <v>113</v>
      </c>
      <c r="C2921" s="10">
        <v>84</v>
      </c>
      <c r="D2921" s="10" t="s">
        <v>423</v>
      </c>
      <c r="E2921" s="78" t="s">
        <v>424</v>
      </c>
      <c r="F2921" s="90" t="s">
        <v>424</v>
      </c>
      <c r="G2921" s="21" t="str">
        <f>VLOOKUP(D2921,[6]成飞半成品!$A:$B,2,0)</f>
        <v>后梁四段</v>
      </c>
      <c r="H2921" s="10" t="s">
        <v>107</v>
      </c>
      <c r="I2921" s="10">
        <v>38</v>
      </c>
      <c r="K2921" s="10">
        <v>3</v>
      </c>
      <c r="L2921" s="10">
        <v>3</v>
      </c>
      <c r="M2921" s="10">
        <v>23</v>
      </c>
      <c r="N2921" s="10">
        <v>31</v>
      </c>
      <c r="O2921" s="55" t="s">
        <v>1664</v>
      </c>
      <c r="P2921" s="10">
        <v>90</v>
      </c>
      <c r="S2921" s="10">
        <v>30</v>
      </c>
      <c r="T2921" s="10">
        <v>3</v>
      </c>
      <c r="Y2921" s="83">
        <v>6</v>
      </c>
      <c r="Z2921" s="10" t="s">
        <v>52</v>
      </c>
    </row>
    <row r="2922" spans="1:28" ht="23.1" customHeight="1" x14ac:dyDescent="0.25">
      <c r="A2922" s="14" t="s">
        <v>870</v>
      </c>
      <c r="B2922" s="10" t="s">
        <v>113</v>
      </c>
      <c r="C2922" s="10">
        <v>84</v>
      </c>
      <c r="D2922" s="10" t="s">
        <v>423</v>
      </c>
      <c r="E2922" s="78" t="s">
        <v>424</v>
      </c>
      <c r="F2922" s="90" t="s">
        <v>424</v>
      </c>
      <c r="G2922" s="21" t="str">
        <f>VLOOKUP(D2922,[6]成飞半成品!$A:$B,2,0)</f>
        <v>后梁四段</v>
      </c>
      <c r="H2922" s="10" t="s">
        <v>107</v>
      </c>
      <c r="I2922" s="10">
        <v>40</v>
      </c>
      <c r="J2922" s="10" t="s">
        <v>2096</v>
      </c>
      <c r="L2922" s="10">
        <v>3</v>
      </c>
      <c r="M2922" s="10">
        <v>23</v>
      </c>
      <c r="N2922" s="10">
        <v>31</v>
      </c>
      <c r="O2922" s="55" t="s">
        <v>1664</v>
      </c>
      <c r="Q2922" s="10">
        <v>360</v>
      </c>
      <c r="R2922" s="10">
        <v>30</v>
      </c>
      <c r="T2922" s="10">
        <v>3</v>
      </c>
      <c r="U2922" s="10">
        <v>120</v>
      </c>
      <c r="Y2922" s="79">
        <v>19.5</v>
      </c>
      <c r="Z2922" s="10" t="s">
        <v>52</v>
      </c>
    </row>
    <row r="2923" spans="1:28" ht="23.1" customHeight="1" x14ac:dyDescent="0.25">
      <c r="A2923" s="14" t="s">
        <v>870</v>
      </c>
      <c r="B2923" s="10" t="s">
        <v>113</v>
      </c>
      <c r="C2923" s="10">
        <v>121</v>
      </c>
      <c r="D2923" s="10" t="s">
        <v>787</v>
      </c>
      <c r="E2923" s="78" t="s">
        <v>788</v>
      </c>
      <c r="F2923" s="90" t="s">
        <v>788</v>
      </c>
      <c r="G2923" s="21" t="str">
        <f>VLOOKUP(D2923,[6]成飞半成品!$A:$B,2,0)</f>
        <v>根肋二段</v>
      </c>
      <c r="H2923" s="10" t="s">
        <v>123</v>
      </c>
      <c r="I2923" s="10">
        <v>45</v>
      </c>
      <c r="J2923" s="10" t="s">
        <v>2368</v>
      </c>
      <c r="K2923" s="10">
        <v>3</v>
      </c>
      <c r="L2923" s="10">
        <v>1</v>
      </c>
      <c r="M2923" s="10">
        <v>28</v>
      </c>
      <c r="O2923" s="55" t="s">
        <v>292</v>
      </c>
      <c r="Q2923" s="10">
        <v>1000</v>
      </c>
      <c r="R2923" s="10">
        <v>60</v>
      </c>
      <c r="U2923" s="10">
        <v>90</v>
      </c>
      <c r="X2923" s="14">
        <v>5</v>
      </c>
      <c r="Y2923" s="79">
        <v>21.7</v>
      </c>
      <c r="Z2923" s="10" t="s">
        <v>52</v>
      </c>
      <c r="AA2923" s="14" t="s">
        <v>1797</v>
      </c>
    </row>
    <row r="2924" spans="1:28" ht="23.1" customHeight="1" x14ac:dyDescent="0.25">
      <c r="A2924" s="14" t="s">
        <v>870</v>
      </c>
      <c r="B2924" s="10" t="s">
        <v>113</v>
      </c>
      <c r="C2924" s="10">
        <v>121</v>
      </c>
      <c r="D2924" s="10" t="s">
        <v>1239</v>
      </c>
      <c r="E2924" s="78" t="s">
        <v>835</v>
      </c>
      <c r="F2924" s="90" t="s">
        <v>835</v>
      </c>
      <c r="G2924" s="21" t="str">
        <f>VLOOKUP(D2924,[6]成飞半成品!$A:$B,2,0)</f>
        <v>根肋三段</v>
      </c>
      <c r="H2924" s="10" t="s">
        <v>154</v>
      </c>
      <c r="I2924" s="10">
        <v>60</v>
      </c>
      <c r="J2924" s="10" t="s">
        <v>2369</v>
      </c>
      <c r="L2924" s="10">
        <v>0.4</v>
      </c>
      <c r="M2924" s="10">
        <v>28</v>
      </c>
      <c r="N2924" s="10">
        <v>28</v>
      </c>
      <c r="O2924" s="55" t="s">
        <v>470</v>
      </c>
      <c r="Q2924" s="10">
        <v>270</v>
      </c>
      <c r="R2924" s="10">
        <v>60</v>
      </c>
      <c r="U2924" s="10">
        <v>180</v>
      </c>
      <c r="X2924" s="14">
        <v>3</v>
      </c>
      <c r="Y2924" s="79">
        <v>4.8</v>
      </c>
      <c r="Z2924" s="10" t="s">
        <v>52</v>
      </c>
      <c r="AA2924" s="14" t="s">
        <v>1697</v>
      </c>
    </row>
    <row r="2925" spans="1:28" ht="23.1" customHeight="1" x14ac:dyDescent="0.25">
      <c r="A2925" s="14" t="s">
        <v>870</v>
      </c>
      <c r="B2925" s="10" t="s">
        <v>113</v>
      </c>
      <c r="C2925" s="10">
        <v>79</v>
      </c>
      <c r="D2925" s="10" t="s">
        <v>152</v>
      </c>
      <c r="E2925" s="78" t="s">
        <v>1247</v>
      </c>
      <c r="F2925" s="90" t="s">
        <v>1247</v>
      </c>
      <c r="G2925" s="21" t="str">
        <f>VLOOKUP(D2925,[6]成飞半成品!$A:$B,2,0)</f>
        <v>根肋前段</v>
      </c>
      <c r="H2925" s="10" t="s">
        <v>154</v>
      </c>
      <c r="I2925" s="10">
        <v>30</v>
      </c>
      <c r="J2925" s="10" t="s">
        <v>2053</v>
      </c>
      <c r="K2925" s="10">
        <v>0.7</v>
      </c>
      <c r="L2925" s="10">
        <v>0.6</v>
      </c>
      <c r="M2925" s="10">
        <v>31</v>
      </c>
      <c r="N2925" s="10">
        <v>23</v>
      </c>
      <c r="O2925" s="55" t="s">
        <v>1701</v>
      </c>
      <c r="Q2925" s="10">
        <v>1830</v>
      </c>
      <c r="R2925" s="10">
        <v>90</v>
      </c>
      <c r="T2925" s="10">
        <v>1</v>
      </c>
      <c r="U2925" s="10">
        <v>120</v>
      </c>
      <c r="Y2925" s="79">
        <v>19.8</v>
      </c>
      <c r="Z2925" s="10" t="s">
        <v>5</v>
      </c>
    </row>
    <row r="2926" spans="1:28" ht="23.1" customHeight="1" x14ac:dyDescent="0.25">
      <c r="A2926" s="14" t="s">
        <v>870</v>
      </c>
      <c r="B2926" s="10" t="s">
        <v>113</v>
      </c>
      <c r="C2926" s="10">
        <v>23</v>
      </c>
      <c r="D2926" s="10" t="s">
        <v>717</v>
      </c>
      <c r="E2926" s="78" t="s">
        <v>718</v>
      </c>
      <c r="F2926" s="90" t="s">
        <v>718</v>
      </c>
      <c r="G2926" s="21" t="str">
        <f>VLOOKUP(D2926,[6]成飞半成品!$A:$B,2,0)</f>
        <v>上边肋</v>
      </c>
      <c r="H2926" s="10" t="s">
        <v>118</v>
      </c>
      <c r="I2926" s="10">
        <v>45</v>
      </c>
      <c r="J2926" s="10" t="s">
        <v>2028</v>
      </c>
      <c r="K2926" s="10">
        <v>0.6</v>
      </c>
      <c r="L2926" s="10">
        <v>1.1499999999999999</v>
      </c>
      <c r="M2926" s="10">
        <v>28</v>
      </c>
      <c r="N2926" s="10">
        <v>26</v>
      </c>
      <c r="O2926" s="55" t="s">
        <v>1820</v>
      </c>
      <c r="Q2926" s="10">
        <v>1080</v>
      </c>
      <c r="R2926" s="10">
        <v>90</v>
      </c>
      <c r="T2926" s="10">
        <v>1</v>
      </c>
      <c r="U2926" s="10">
        <v>120</v>
      </c>
      <c r="Y2926" s="79">
        <v>22.2</v>
      </c>
      <c r="Z2926" s="10" t="s">
        <v>33</v>
      </c>
    </row>
    <row r="2927" spans="1:28" ht="23.1" customHeight="1" x14ac:dyDescent="0.25">
      <c r="A2927" s="14" t="s">
        <v>870</v>
      </c>
      <c r="B2927" s="10" t="s">
        <v>113</v>
      </c>
      <c r="C2927" s="10">
        <v>23</v>
      </c>
      <c r="D2927" s="10" t="s">
        <v>717</v>
      </c>
      <c r="E2927" s="78" t="s">
        <v>718</v>
      </c>
      <c r="F2927" s="90" t="s">
        <v>718</v>
      </c>
      <c r="G2927" s="21" t="str">
        <f>VLOOKUP(D2927,[6]成飞半成品!$A:$B,2,0)</f>
        <v>上边肋</v>
      </c>
      <c r="H2927" s="10" t="s">
        <v>118</v>
      </c>
      <c r="I2927" s="10">
        <v>48</v>
      </c>
      <c r="K2927" s="10">
        <v>1</v>
      </c>
      <c r="L2927" s="10">
        <v>1</v>
      </c>
      <c r="M2927" s="10">
        <v>28</v>
      </c>
      <c r="O2927" s="55" t="s">
        <v>1574</v>
      </c>
      <c r="P2927" s="10">
        <v>40</v>
      </c>
      <c r="S2927" s="10">
        <v>90</v>
      </c>
      <c r="T2927" s="10">
        <v>1</v>
      </c>
      <c r="Y2927" s="83">
        <v>2.2000000000000002</v>
      </c>
      <c r="Z2927" s="10" t="s">
        <v>33</v>
      </c>
    </row>
    <row r="2928" spans="1:28" ht="23.1" customHeight="1" x14ac:dyDescent="0.25">
      <c r="A2928" s="14" t="s">
        <v>870</v>
      </c>
      <c r="B2928" s="10" t="s">
        <v>113</v>
      </c>
      <c r="C2928" s="10">
        <v>47</v>
      </c>
      <c r="D2928" s="10" t="s">
        <v>826</v>
      </c>
      <c r="E2928" s="78" t="s">
        <v>827</v>
      </c>
      <c r="F2928" s="90" t="s">
        <v>827</v>
      </c>
      <c r="G2928" s="21" t="str">
        <f>VLOOKUP(D2928,[6]成飞半成品!$A:$B,2,0)</f>
        <v>BL900侧梁</v>
      </c>
      <c r="H2928" s="10" t="s">
        <v>118</v>
      </c>
      <c r="I2928" s="10">
        <v>15</v>
      </c>
      <c r="J2928" s="10" t="s">
        <v>2536</v>
      </c>
      <c r="K2928" s="10">
        <v>0.6</v>
      </c>
      <c r="L2928" s="10">
        <v>0.7</v>
      </c>
      <c r="M2928" s="10">
        <v>26</v>
      </c>
      <c r="O2928" s="55" t="s">
        <v>780</v>
      </c>
      <c r="Q2928" s="10">
        <v>1440</v>
      </c>
      <c r="R2928" s="10">
        <v>90</v>
      </c>
      <c r="T2928" s="10">
        <v>1</v>
      </c>
      <c r="U2928" s="10">
        <v>90</v>
      </c>
      <c r="Y2928" s="79">
        <v>18.3</v>
      </c>
      <c r="Z2928" s="10" t="s">
        <v>33</v>
      </c>
    </row>
    <row r="2929" spans="1:28" ht="23.1" customHeight="1" x14ac:dyDescent="0.25">
      <c r="A2929" s="14" t="s">
        <v>870</v>
      </c>
      <c r="B2929" s="10" t="s">
        <v>113</v>
      </c>
      <c r="C2929" s="10">
        <v>57</v>
      </c>
      <c r="D2929" s="10" t="s">
        <v>698</v>
      </c>
      <c r="E2929" s="78" t="s">
        <v>699</v>
      </c>
      <c r="F2929" s="90" t="e">
        <v>#N/A</v>
      </c>
      <c r="G2929" s="21" t="e">
        <f>VLOOKUP(D2929,[6]成飞半成品!$A:$B,2,0)</f>
        <v>#N/A</v>
      </c>
      <c r="H2929" s="10" t="s">
        <v>123</v>
      </c>
      <c r="I2929" s="10">
        <v>20</v>
      </c>
      <c r="J2929" s="10" t="s">
        <v>2076</v>
      </c>
      <c r="K2929" s="10">
        <v>3.5</v>
      </c>
      <c r="L2929" s="10">
        <v>3</v>
      </c>
      <c r="M2929" s="10">
        <v>28</v>
      </c>
      <c r="N2929" s="10">
        <v>9</v>
      </c>
      <c r="O2929" s="55" t="s">
        <v>355</v>
      </c>
      <c r="Q2929" s="10">
        <v>210</v>
      </c>
      <c r="U2929" s="10">
        <v>90</v>
      </c>
      <c r="Y2929" s="79">
        <v>10.5</v>
      </c>
      <c r="Z2929" s="10" t="s">
        <v>57</v>
      </c>
    </row>
    <row r="2930" spans="1:28" ht="23.1" customHeight="1" x14ac:dyDescent="0.25">
      <c r="A2930" s="14" t="s">
        <v>870</v>
      </c>
      <c r="B2930" s="10" t="s">
        <v>113</v>
      </c>
      <c r="C2930" s="10">
        <v>16</v>
      </c>
      <c r="D2930" s="10" t="s">
        <v>892</v>
      </c>
      <c r="E2930" s="78" t="s">
        <v>893</v>
      </c>
      <c r="F2930" s="90" t="s">
        <v>893</v>
      </c>
      <c r="G2930" s="21" t="str">
        <f>VLOOKUP(D2930,[6]成飞半成品!$A:$B,2,0)</f>
        <v>连接接头</v>
      </c>
      <c r="H2930" s="10" t="s">
        <v>102</v>
      </c>
      <c r="I2930" s="10">
        <v>15</v>
      </c>
      <c r="J2930" s="10" t="s">
        <v>2537</v>
      </c>
      <c r="K2930" s="10">
        <v>12</v>
      </c>
      <c r="L2930" s="10">
        <v>13</v>
      </c>
      <c r="M2930" s="10">
        <v>28</v>
      </c>
      <c r="O2930" s="55" t="s">
        <v>596</v>
      </c>
      <c r="Q2930" s="10">
        <v>35</v>
      </c>
      <c r="U2930" s="10">
        <v>90</v>
      </c>
      <c r="Y2930" s="79">
        <v>7.6</v>
      </c>
      <c r="Z2930" s="10" t="s">
        <v>38</v>
      </c>
    </row>
    <row r="2931" spans="1:28" ht="23.1" customHeight="1" x14ac:dyDescent="0.25">
      <c r="A2931" s="14" t="s">
        <v>870</v>
      </c>
      <c r="B2931" s="10" t="s">
        <v>113</v>
      </c>
      <c r="C2931" s="10">
        <v>16</v>
      </c>
      <c r="D2931" s="10" t="s">
        <v>892</v>
      </c>
      <c r="E2931" s="78" t="s">
        <v>893</v>
      </c>
      <c r="F2931" s="90" t="s">
        <v>893</v>
      </c>
      <c r="G2931" s="21" t="str">
        <f>VLOOKUP(D2931,[6]成飞半成品!$A:$B,2,0)</f>
        <v>连接接头</v>
      </c>
      <c r="H2931" s="10" t="s">
        <v>102</v>
      </c>
      <c r="I2931" s="10">
        <v>20</v>
      </c>
      <c r="J2931" s="10" t="s">
        <v>2447</v>
      </c>
      <c r="K2931" s="10">
        <v>10</v>
      </c>
      <c r="L2931" s="10">
        <v>5</v>
      </c>
      <c r="M2931" s="10">
        <v>26</v>
      </c>
      <c r="N2931" s="10">
        <v>26</v>
      </c>
      <c r="O2931" s="55" t="s">
        <v>596</v>
      </c>
      <c r="Q2931" s="10">
        <v>25</v>
      </c>
      <c r="U2931" s="10">
        <v>60</v>
      </c>
      <c r="W2931" s="10">
        <v>1</v>
      </c>
      <c r="Y2931" s="79">
        <v>3.1</v>
      </c>
      <c r="Z2931" s="10" t="s">
        <v>38</v>
      </c>
    </row>
    <row r="2932" spans="1:28" ht="23.1" customHeight="1" x14ac:dyDescent="0.25">
      <c r="A2932" s="14" t="s">
        <v>870</v>
      </c>
      <c r="B2932" s="10" t="s">
        <v>113</v>
      </c>
      <c r="C2932" s="10">
        <v>13</v>
      </c>
      <c r="D2932" s="10" t="s">
        <v>654</v>
      </c>
      <c r="E2932" s="78" t="s">
        <v>246</v>
      </c>
      <c r="F2932" s="90" t="s">
        <v>246</v>
      </c>
      <c r="G2932" s="21" t="str">
        <f>VLOOKUP(D2932,[6]成飞半成品!$A:$B,2,0)</f>
        <v>外侧轴承盖</v>
      </c>
      <c r="H2932" s="10" t="s">
        <v>154</v>
      </c>
      <c r="I2932" s="10">
        <v>40</v>
      </c>
      <c r="J2932" s="10" t="s">
        <v>1902</v>
      </c>
      <c r="K2932" s="10">
        <v>3.5</v>
      </c>
      <c r="L2932" s="10">
        <v>5</v>
      </c>
      <c r="M2932" s="10">
        <v>23</v>
      </c>
      <c r="N2932" s="10">
        <v>9</v>
      </c>
      <c r="O2932" s="55" t="s">
        <v>247</v>
      </c>
      <c r="Q2932" s="10">
        <v>230</v>
      </c>
      <c r="U2932" s="10">
        <v>60</v>
      </c>
      <c r="W2932" s="10">
        <v>1</v>
      </c>
      <c r="Y2932" s="79">
        <v>20.2</v>
      </c>
      <c r="Z2932" s="10" t="s">
        <v>72</v>
      </c>
    </row>
    <row r="2933" spans="1:28" ht="23.1" customHeight="1" x14ac:dyDescent="0.25">
      <c r="A2933" s="14" t="s">
        <v>870</v>
      </c>
      <c r="B2933" s="10" t="s">
        <v>113</v>
      </c>
      <c r="C2933" s="10">
        <v>11</v>
      </c>
      <c r="D2933" s="10" t="s">
        <v>2561</v>
      </c>
      <c r="E2933" s="78" t="s">
        <v>691</v>
      </c>
      <c r="F2933" s="90" t="s">
        <v>691</v>
      </c>
      <c r="G2933" s="21" t="str">
        <f>VLOOKUP(D2933,[6]成飞半成品!$A:$B,2,0)</f>
        <v>地板支撑件</v>
      </c>
      <c r="H2933" s="10" t="s">
        <v>123</v>
      </c>
      <c r="I2933" s="10">
        <v>30</v>
      </c>
      <c r="J2933" s="10" t="s">
        <v>2538</v>
      </c>
      <c r="K2933" s="10">
        <v>5</v>
      </c>
      <c r="L2933" s="10">
        <v>8</v>
      </c>
      <c r="M2933" s="10">
        <v>31</v>
      </c>
      <c r="N2933" s="10">
        <v>37</v>
      </c>
      <c r="O2933" s="55" t="s">
        <v>1821</v>
      </c>
      <c r="Q2933" s="10">
        <v>100</v>
      </c>
      <c r="U2933" s="10">
        <v>60</v>
      </c>
      <c r="Y2933" s="79">
        <v>13.3</v>
      </c>
      <c r="Z2933" s="10" t="s">
        <v>38</v>
      </c>
    </row>
    <row r="2934" spans="1:28" ht="23.1" customHeight="1" x14ac:dyDescent="0.25">
      <c r="A2934" s="14" t="s">
        <v>870</v>
      </c>
      <c r="B2934" s="10" t="s">
        <v>113</v>
      </c>
      <c r="C2934" s="10">
        <v>77</v>
      </c>
      <c r="D2934" s="10" t="s">
        <v>211</v>
      </c>
      <c r="E2934" s="78" t="s">
        <v>212</v>
      </c>
      <c r="F2934" s="90" t="s">
        <v>212</v>
      </c>
      <c r="G2934" s="21" t="str">
        <f>VLOOKUP(D2934,[6]成飞半成品!$A:$B,2,0)</f>
        <v>压板</v>
      </c>
      <c r="H2934" s="10" t="s">
        <v>123</v>
      </c>
      <c r="I2934" s="10">
        <v>30</v>
      </c>
      <c r="J2934" s="10" t="s">
        <v>2081</v>
      </c>
      <c r="M2934" s="10">
        <v>31</v>
      </c>
      <c r="O2934" s="55" t="s">
        <v>213</v>
      </c>
      <c r="Q2934" s="10">
        <v>25</v>
      </c>
      <c r="U2934" s="10">
        <v>60</v>
      </c>
      <c r="X2934" s="14">
        <v>2</v>
      </c>
      <c r="Y2934" s="79">
        <v>2</v>
      </c>
      <c r="Z2934" s="10" t="s">
        <v>15</v>
      </c>
      <c r="AA2934" s="14" t="s">
        <v>1330</v>
      </c>
    </row>
    <row r="2935" spans="1:28" ht="23.1" customHeight="1" x14ac:dyDescent="0.25">
      <c r="A2935" s="14" t="s">
        <v>870</v>
      </c>
      <c r="B2935" s="10" t="s">
        <v>113</v>
      </c>
      <c r="C2935" s="10">
        <v>59</v>
      </c>
      <c r="D2935" s="10" t="s">
        <v>895</v>
      </c>
      <c r="E2935" s="78" t="s">
        <v>896</v>
      </c>
      <c r="F2935" s="90" t="s">
        <v>896</v>
      </c>
      <c r="G2935" s="21" t="str">
        <f>VLOOKUP(D2935,[6]成飞半成品!$A:$B,2,0)</f>
        <v>回收锁销接头</v>
      </c>
      <c r="H2935" s="10" t="s">
        <v>102</v>
      </c>
      <c r="I2935" s="10">
        <v>10</v>
      </c>
      <c r="J2935" s="10" t="s">
        <v>2539</v>
      </c>
      <c r="K2935" s="10">
        <v>8</v>
      </c>
      <c r="L2935" s="10">
        <v>8</v>
      </c>
      <c r="M2935" s="10">
        <v>28</v>
      </c>
      <c r="N2935" s="10">
        <v>31</v>
      </c>
      <c r="O2935" s="55" t="s">
        <v>596</v>
      </c>
      <c r="Q2935" s="10">
        <v>60</v>
      </c>
      <c r="U2935" s="10">
        <v>90</v>
      </c>
      <c r="W2935" s="10">
        <v>1</v>
      </c>
      <c r="X2935" s="14">
        <v>1</v>
      </c>
      <c r="Y2935" s="79">
        <v>10.5</v>
      </c>
      <c r="Z2935" s="10" t="s">
        <v>42</v>
      </c>
      <c r="AA2935" s="14" t="s">
        <v>1822</v>
      </c>
      <c r="AB2935" s="25" t="s">
        <v>238</v>
      </c>
    </row>
    <row r="2936" spans="1:28" ht="23.1" customHeight="1" x14ac:dyDescent="0.25">
      <c r="A2936" s="14" t="s">
        <v>870</v>
      </c>
      <c r="B2936" s="10" t="s">
        <v>113</v>
      </c>
      <c r="C2936" s="10">
        <v>59</v>
      </c>
      <c r="D2936" s="10" t="s">
        <v>924</v>
      </c>
      <c r="E2936" s="78" t="s">
        <v>409</v>
      </c>
      <c r="F2936" s="90" t="s">
        <v>409</v>
      </c>
      <c r="G2936" s="21" t="str">
        <f>VLOOKUP(D2936,[6]成飞半成品!$A:$B,2,0)</f>
        <v>接头</v>
      </c>
      <c r="H2936" s="10" t="s">
        <v>102</v>
      </c>
      <c r="I2936" s="10">
        <v>5</v>
      </c>
      <c r="J2936" s="10" t="s">
        <v>2060</v>
      </c>
      <c r="K2936" s="10">
        <v>2</v>
      </c>
      <c r="L2936" s="10">
        <v>8</v>
      </c>
      <c r="M2936" s="10">
        <v>26</v>
      </c>
      <c r="N2936" s="10">
        <v>26</v>
      </c>
      <c r="O2936" s="55" t="s">
        <v>925</v>
      </c>
      <c r="Q2936" s="10">
        <v>50</v>
      </c>
      <c r="U2936" s="10">
        <v>60</v>
      </c>
      <c r="W2936" s="10">
        <v>1</v>
      </c>
      <c r="Y2936" s="79">
        <v>7.7</v>
      </c>
      <c r="Z2936" s="10" t="s">
        <v>42</v>
      </c>
    </row>
    <row r="2937" spans="1:28" ht="23.1" customHeight="1" x14ac:dyDescent="0.25">
      <c r="A2937" s="14" t="s">
        <v>452</v>
      </c>
      <c r="B2937" s="10" t="s">
        <v>113</v>
      </c>
      <c r="C2937" s="10">
        <v>9</v>
      </c>
      <c r="D2937" s="10" t="s">
        <v>500</v>
      </c>
      <c r="E2937" s="78" t="s">
        <v>389</v>
      </c>
      <c r="F2937" s="90" t="s">
        <v>389</v>
      </c>
      <c r="G2937" s="21" t="str">
        <f>VLOOKUP(D2937,[6]成飞半成品!$A:$B,2,0)</f>
        <v>11968下口盖</v>
      </c>
      <c r="H2937" s="10" t="s">
        <v>300</v>
      </c>
      <c r="I2937" s="10">
        <v>5</v>
      </c>
      <c r="J2937" s="10" t="s">
        <v>1973</v>
      </c>
      <c r="L2937" s="10">
        <v>20</v>
      </c>
      <c r="O2937" s="55" t="s">
        <v>536</v>
      </c>
      <c r="Q2937" s="10">
        <v>20</v>
      </c>
      <c r="Y2937" s="79">
        <v>6.7</v>
      </c>
      <c r="Z2937" s="10" t="s">
        <v>30</v>
      </c>
      <c r="AA2937" s="14" t="s">
        <v>537</v>
      </c>
      <c r="AB2937" s="14" t="s">
        <v>238</v>
      </c>
    </row>
    <row r="2938" spans="1:28" ht="23.1" customHeight="1" x14ac:dyDescent="0.25">
      <c r="A2938" s="14" t="s">
        <v>452</v>
      </c>
      <c r="B2938" s="10" t="s">
        <v>113</v>
      </c>
      <c r="C2938" s="10">
        <v>9</v>
      </c>
      <c r="D2938" s="10" t="s">
        <v>1823</v>
      </c>
      <c r="E2938" s="78" t="s">
        <v>389</v>
      </c>
      <c r="F2938" s="90" t="s">
        <v>389</v>
      </c>
      <c r="G2938" s="21" t="e">
        <f>VLOOKUP(D2938,[6]成飞半成品!$A:$B,2,0)</f>
        <v>#N/A</v>
      </c>
      <c r="H2938" s="10" t="s">
        <v>300</v>
      </c>
      <c r="I2938" s="10">
        <v>5</v>
      </c>
      <c r="J2938" s="10" t="s">
        <v>1973</v>
      </c>
      <c r="L2938" s="10">
        <v>20</v>
      </c>
      <c r="O2938" s="55" t="s">
        <v>536</v>
      </c>
      <c r="Q2938" s="10">
        <v>20</v>
      </c>
      <c r="Y2938" s="79">
        <v>6.7</v>
      </c>
      <c r="Z2938" s="10" t="s">
        <v>30</v>
      </c>
      <c r="AB2938" s="14" t="s">
        <v>238</v>
      </c>
    </row>
    <row r="2939" spans="1:28" ht="23.1" customHeight="1" x14ac:dyDescent="0.25">
      <c r="A2939" s="14" t="s">
        <v>452</v>
      </c>
      <c r="B2939" s="10" t="s">
        <v>113</v>
      </c>
      <c r="C2939" s="10">
        <v>9</v>
      </c>
      <c r="D2939" s="10" t="s">
        <v>388</v>
      </c>
      <c r="E2939" s="78" t="s">
        <v>389</v>
      </c>
      <c r="F2939" s="90" t="s">
        <v>389</v>
      </c>
      <c r="G2939" s="21" t="str">
        <f>VLOOKUP(D2939,[6]成飞半成品!$A:$B,2,0)</f>
        <v>11968下口盖</v>
      </c>
      <c r="H2939" s="10" t="s">
        <v>300</v>
      </c>
      <c r="I2939" s="10">
        <v>5</v>
      </c>
      <c r="J2939" s="10" t="s">
        <v>1973</v>
      </c>
      <c r="L2939" s="10">
        <v>20</v>
      </c>
      <c r="O2939" s="55" t="s">
        <v>536</v>
      </c>
      <c r="Q2939" s="10">
        <v>20</v>
      </c>
      <c r="Y2939" s="79">
        <v>6.7</v>
      </c>
      <c r="Z2939" s="10" t="s">
        <v>30</v>
      </c>
      <c r="AB2939" s="14" t="s">
        <v>238</v>
      </c>
    </row>
    <row r="2940" spans="1:28" ht="23.1" customHeight="1" x14ac:dyDescent="0.25">
      <c r="A2940" s="14" t="s">
        <v>870</v>
      </c>
      <c r="B2940" s="10" t="s">
        <v>113</v>
      </c>
      <c r="C2940" s="10">
        <v>15</v>
      </c>
      <c r="D2940" s="10" t="s">
        <v>592</v>
      </c>
      <c r="E2940" s="78" t="s">
        <v>218</v>
      </c>
      <c r="F2940" s="90" t="s">
        <v>218</v>
      </c>
      <c r="G2940" s="21" t="str">
        <f>VLOOKUP(D2940,[6]成飞半成品!$A:$B,2,0)</f>
        <v>横梁</v>
      </c>
      <c r="H2940" s="10" t="s">
        <v>107</v>
      </c>
      <c r="I2940" s="10">
        <v>40</v>
      </c>
      <c r="J2940" s="10" t="s">
        <v>1915</v>
      </c>
      <c r="K2940" s="10">
        <v>4</v>
      </c>
      <c r="L2940" s="10">
        <v>4</v>
      </c>
      <c r="M2940" s="10">
        <v>26</v>
      </c>
      <c r="N2940" s="10">
        <v>26</v>
      </c>
      <c r="O2940" s="55" t="s">
        <v>456</v>
      </c>
      <c r="Q2940" s="10">
        <v>150</v>
      </c>
      <c r="U2940" s="10">
        <v>90</v>
      </c>
      <c r="Y2940" s="79">
        <v>10</v>
      </c>
      <c r="Z2940" s="10" t="s">
        <v>60</v>
      </c>
    </row>
    <row r="2941" spans="1:28" ht="23.1" customHeight="1" x14ac:dyDescent="0.25">
      <c r="A2941" s="14" t="s">
        <v>870</v>
      </c>
      <c r="B2941" s="10" t="s">
        <v>113</v>
      </c>
      <c r="C2941" s="10">
        <v>15</v>
      </c>
      <c r="D2941" s="10" t="s">
        <v>592</v>
      </c>
      <c r="E2941" s="78" t="s">
        <v>218</v>
      </c>
      <c r="F2941" s="90" t="s">
        <v>218</v>
      </c>
      <c r="G2941" s="21" t="str">
        <f>VLOOKUP(D2941,[6]成飞半成品!$A:$B,2,0)</f>
        <v>横梁</v>
      </c>
      <c r="H2941" s="10" t="s">
        <v>107</v>
      </c>
      <c r="I2941" s="10">
        <v>45</v>
      </c>
      <c r="J2941" s="10" t="s">
        <v>1927</v>
      </c>
      <c r="L2941" s="10">
        <v>1</v>
      </c>
      <c r="M2941" s="10">
        <v>23</v>
      </c>
      <c r="O2941" s="55" t="s">
        <v>1824</v>
      </c>
      <c r="Q2941" s="10">
        <v>420</v>
      </c>
      <c r="U2941" s="10">
        <v>90</v>
      </c>
      <c r="W2941" s="10">
        <v>1</v>
      </c>
      <c r="Y2941" s="79">
        <v>8.5</v>
      </c>
      <c r="Z2941" s="10" t="s">
        <v>60</v>
      </c>
    </row>
    <row r="2942" spans="1:28" ht="23.1" customHeight="1" x14ac:dyDescent="0.25">
      <c r="A2942" s="14" t="s">
        <v>653</v>
      </c>
      <c r="B2942" s="10" t="s">
        <v>113</v>
      </c>
      <c r="C2942" s="10">
        <v>22</v>
      </c>
      <c r="D2942" s="10" t="s">
        <v>611</v>
      </c>
      <c r="E2942" s="78" t="s">
        <v>612</v>
      </c>
      <c r="F2942" s="90" t="s">
        <v>612</v>
      </c>
      <c r="G2942" s="21" t="str">
        <f>VLOOKUP(D2942,[6]成飞半成品!$A:$B,2,0)</f>
        <v>前梁二段</v>
      </c>
      <c r="H2942" s="10" t="s">
        <v>102</v>
      </c>
      <c r="I2942" s="10">
        <v>45</v>
      </c>
      <c r="J2942" s="10" t="s">
        <v>2015</v>
      </c>
      <c r="K2942" s="10">
        <v>0.3</v>
      </c>
      <c r="L2942" s="10">
        <v>0.3</v>
      </c>
      <c r="M2942" s="10">
        <v>37</v>
      </c>
      <c r="N2942" s="10">
        <v>37</v>
      </c>
      <c r="O2942" s="55" t="s">
        <v>195</v>
      </c>
      <c r="Q2942" s="10">
        <v>6000</v>
      </c>
      <c r="R2942" s="10">
        <v>180</v>
      </c>
      <c r="U2942" s="10">
        <v>180</v>
      </c>
      <c r="Y2942" s="79">
        <v>30</v>
      </c>
      <c r="Z2942" s="10" t="s">
        <v>49</v>
      </c>
    </row>
    <row r="2943" spans="1:28" ht="23.1" customHeight="1" x14ac:dyDescent="0.25">
      <c r="A2943" s="14" t="s">
        <v>653</v>
      </c>
      <c r="B2943" s="10" t="s">
        <v>113</v>
      </c>
      <c r="C2943" s="10">
        <v>12</v>
      </c>
      <c r="D2943" s="10" t="s">
        <v>735</v>
      </c>
      <c r="E2943" s="78" t="s">
        <v>249</v>
      </c>
      <c r="F2943" s="90" t="s">
        <v>249</v>
      </c>
      <c r="G2943" s="21" t="str">
        <f>VLOOKUP(D2943,[6]成飞半成品!$A:$B,2,0)</f>
        <v>10060下接头</v>
      </c>
      <c r="H2943" s="10" t="s">
        <v>250</v>
      </c>
      <c r="I2943" s="10">
        <v>5</v>
      </c>
      <c r="J2943" s="10" t="s">
        <v>1930</v>
      </c>
      <c r="K2943" s="10">
        <v>12</v>
      </c>
      <c r="L2943" s="10">
        <v>12</v>
      </c>
      <c r="M2943" s="10">
        <v>5</v>
      </c>
      <c r="N2943" s="10">
        <v>5</v>
      </c>
      <c r="O2943" s="55" t="s">
        <v>736</v>
      </c>
      <c r="Q2943" s="10">
        <v>30</v>
      </c>
      <c r="U2943" s="10">
        <v>60</v>
      </c>
      <c r="W2943" s="10">
        <v>1</v>
      </c>
      <c r="Y2943" s="79">
        <v>7</v>
      </c>
      <c r="Z2943" s="10" t="s">
        <v>10</v>
      </c>
    </row>
    <row r="2944" spans="1:28" ht="23.1" customHeight="1" x14ac:dyDescent="0.25">
      <c r="A2944" s="14" t="s">
        <v>653</v>
      </c>
      <c r="B2944" s="10" t="s">
        <v>113</v>
      </c>
      <c r="C2944" s="10">
        <v>12</v>
      </c>
      <c r="D2944" s="10" t="s">
        <v>735</v>
      </c>
      <c r="E2944" s="78" t="s">
        <v>249</v>
      </c>
      <c r="F2944" s="90" t="s">
        <v>249</v>
      </c>
      <c r="G2944" s="21" t="str">
        <f>VLOOKUP(D2944,[6]成飞半成品!$A:$B,2,0)</f>
        <v>10060下接头</v>
      </c>
      <c r="H2944" s="10" t="s">
        <v>250</v>
      </c>
      <c r="I2944" s="10">
        <v>8</v>
      </c>
      <c r="L2944" s="10">
        <v>12</v>
      </c>
      <c r="M2944" s="10">
        <v>5</v>
      </c>
      <c r="N2944" s="10">
        <v>5</v>
      </c>
      <c r="O2944" s="55" t="s">
        <v>736</v>
      </c>
      <c r="P2944" s="10">
        <v>80</v>
      </c>
      <c r="V2944" s="10">
        <v>60</v>
      </c>
      <c r="W2944" s="10">
        <v>1</v>
      </c>
      <c r="Y2944" s="83">
        <v>17</v>
      </c>
      <c r="Z2944" s="10" t="s">
        <v>10</v>
      </c>
    </row>
    <row r="2945" spans="1:28" ht="23.1" customHeight="1" x14ac:dyDescent="0.25">
      <c r="A2945" s="14" t="s">
        <v>870</v>
      </c>
      <c r="B2945" s="10" t="s">
        <v>113</v>
      </c>
      <c r="C2945" s="10">
        <v>79</v>
      </c>
      <c r="D2945" s="10" t="s">
        <v>152</v>
      </c>
      <c r="E2945" s="78" t="s">
        <v>1247</v>
      </c>
      <c r="F2945" s="90" t="s">
        <v>1247</v>
      </c>
      <c r="G2945" s="21" t="str">
        <f>VLOOKUP(D2945,[6]成飞半成品!$A:$B,2,0)</f>
        <v>根肋前段</v>
      </c>
      <c r="H2945" s="10" t="s">
        <v>154</v>
      </c>
      <c r="I2945" s="10">
        <v>30</v>
      </c>
      <c r="J2945" s="10" t="s">
        <v>2053</v>
      </c>
      <c r="K2945" s="10">
        <v>0.6</v>
      </c>
      <c r="L2945" s="10">
        <v>0.3</v>
      </c>
      <c r="M2945" s="10">
        <v>23</v>
      </c>
      <c r="N2945" s="10">
        <v>31</v>
      </c>
      <c r="O2945" s="55" t="s">
        <v>1701</v>
      </c>
      <c r="Q2945" s="10">
        <v>1830</v>
      </c>
      <c r="R2945" s="10">
        <v>90</v>
      </c>
      <c r="T2945" s="10">
        <v>1</v>
      </c>
      <c r="U2945" s="10">
        <v>120</v>
      </c>
      <c r="Y2945" s="79">
        <v>10.7</v>
      </c>
      <c r="Z2945" s="10" t="s">
        <v>19</v>
      </c>
    </row>
    <row r="2946" spans="1:28" ht="23.1" customHeight="1" x14ac:dyDescent="0.25">
      <c r="A2946" s="14" t="s">
        <v>1002</v>
      </c>
      <c r="B2946" s="10" t="s">
        <v>99</v>
      </c>
      <c r="C2946" s="10">
        <v>79</v>
      </c>
      <c r="D2946" s="10" t="s">
        <v>420</v>
      </c>
      <c r="E2946" s="78" t="s">
        <v>1247</v>
      </c>
      <c r="F2946" s="90" t="s">
        <v>1247</v>
      </c>
      <c r="G2946" s="21" t="str">
        <f>VLOOKUP(D2946,[6]成飞半成品!$A:$B,2,0)</f>
        <v>根肋前段</v>
      </c>
      <c r="H2946" s="10" t="s">
        <v>154</v>
      </c>
      <c r="I2946" s="10">
        <v>40</v>
      </c>
      <c r="J2946" s="10" t="s">
        <v>2093</v>
      </c>
      <c r="K2946" s="10">
        <v>0.7</v>
      </c>
      <c r="L2946" s="10">
        <v>1</v>
      </c>
      <c r="M2946" s="10">
        <v>26</v>
      </c>
      <c r="O2946" s="55" t="s">
        <v>784</v>
      </c>
      <c r="Q2946" s="10">
        <v>270</v>
      </c>
      <c r="R2946" s="10">
        <v>90</v>
      </c>
      <c r="T2946" s="10">
        <v>1</v>
      </c>
      <c r="U2946" s="10">
        <v>120</v>
      </c>
      <c r="W2946" s="10">
        <v>1</v>
      </c>
      <c r="Y2946" s="79">
        <v>8</v>
      </c>
      <c r="Z2946" s="10" t="s">
        <v>5</v>
      </c>
    </row>
    <row r="2947" spans="1:28" ht="23.1" customHeight="1" x14ac:dyDescent="0.25">
      <c r="A2947" s="14" t="s">
        <v>1002</v>
      </c>
      <c r="B2947" s="10" t="s">
        <v>99</v>
      </c>
      <c r="C2947" s="10">
        <v>79</v>
      </c>
      <c r="D2947" s="10" t="s">
        <v>420</v>
      </c>
      <c r="E2947" s="78" t="s">
        <v>1247</v>
      </c>
      <c r="F2947" s="90" t="s">
        <v>1247</v>
      </c>
      <c r="G2947" s="21" t="str">
        <f>VLOOKUP(D2947,[6]成飞半成品!$A:$B,2,0)</f>
        <v>根肋前段</v>
      </c>
      <c r="H2947" s="10" t="s">
        <v>154</v>
      </c>
      <c r="I2947" s="10">
        <v>45</v>
      </c>
      <c r="J2947" s="10" t="s">
        <v>2236</v>
      </c>
      <c r="L2947" s="10">
        <v>0.3</v>
      </c>
      <c r="M2947" s="10">
        <v>23</v>
      </c>
      <c r="O2947" s="55" t="s">
        <v>784</v>
      </c>
      <c r="Q2947" s="10">
        <v>2460</v>
      </c>
      <c r="R2947" s="10">
        <v>90</v>
      </c>
      <c r="T2947" s="10">
        <v>1</v>
      </c>
      <c r="U2947" s="10">
        <v>240</v>
      </c>
      <c r="W2947" s="10">
        <v>1</v>
      </c>
      <c r="X2947" s="10">
        <v>2</v>
      </c>
      <c r="Y2947" s="79">
        <v>19.8</v>
      </c>
      <c r="Z2947" s="10" t="s">
        <v>5</v>
      </c>
      <c r="AA2947" s="14" t="s">
        <v>1548</v>
      </c>
      <c r="AB2947" s="25" t="s">
        <v>238</v>
      </c>
    </row>
    <row r="2948" spans="1:28" ht="23.1" customHeight="1" x14ac:dyDescent="0.25">
      <c r="A2948" s="14" t="s">
        <v>329</v>
      </c>
      <c r="B2948" s="10" t="s">
        <v>113</v>
      </c>
      <c r="C2948" s="10">
        <v>10</v>
      </c>
      <c r="D2948" s="25" t="s">
        <v>2551</v>
      </c>
      <c r="E2948" s="78" t="e">
        <v>#N/A</v>
      </c>
      <c r="F2948" s="90" t="e">
        <v>#N/A</v>
      </c>
      <c r="G2948" s="21" t="str">
        <f>VLOOKUP(D2948,[6]成飞半成品!$A:$B,2,0)</f>
        <v>工装</v>
      </c>
      <c r="X2948" s="14">
        <v>4</v>
      </c>
      <c r="Y2948" s="79">
        <v>4</v>
      </c>
      <c r="Z2948" s="10" t="s">
        <v>30</v>
      </c>
      <c r="AA2948" s="14" t="s">
        <v>891</v>
      </c>
      <c r="AB2948" s="14" t="s">
        <v>238</v>
      </c>
    </row>
    <row r="2949" spans="1:28" ht="23.1" customHeight="1" x14ac:dyDescent="0.25">
      <c r="A2949" s="14" t="s">
        <v>452</v>
      </c>
      <c r="B2949" s="10" t="s">
        <v>113</v>
      </c>
      <c r="C2949" s="10">
        <v>10</v>
      </c>
      <c r="D2949" s="10" t="s">
        <v>1826</v>
      </c>
      <c r="E2949" s="78" t="s">
        <v>389</v>
      </c>
      <c r="F2949" s="90" t="e">
        <v>#N/A</v>
      </c>
      <c r="G2949" s="21" t="e">
        <f>VLOOKUP(D2949,[6]成飞半成品!$A:$B,2,0)</f>
        <v>#N/A</v>
      </c>
      <c r="O2949" s="55" t="e">
        <v>#N/A</v>
      </c>
      <c r="X2949" s="14">
        <v>2</v>
      </c>
      <c r="Y2949" s="79">
        <v>2</v>
      </c>
      <c r="Z2949" s="10" t="s">
        <v>30</v>
      </c>
      <c r="AA2949" s="14" t="s">
        <v>1671</v>
      </c>
      <c r="AB2949" s="14" t="s">
        <v>238</v>
      </c>
    </row>
    <row r="2950" spans="1:28" ht="23.1" customHeight="1" x14ac:dyDescent="0.25">
      <c r="A2950" s="91" t="s">
        <v>1827</v>
      </c>
      <c r="B2950" s="10" t="s">
        <v>99</v>
      </c>
      <c r="C2950" s="10">
        <v>77</v>
      </c>
      <c r="D2950" s="47" t="s">
        <v>1828</v>
      </c>
      <c r="E2950" s="78" t="s">
        <v>1384</v>
      </c>
      <c r="F2950" s="14"/>
      <c r="G2950" s="21" t="str">
        <f>VLOOKUP(D2950,[6]成飞半成品!$A:$B,2,0)</f>
        <v>角材</v>
      </c>
      <c r="H2950" s="10" t="s">
        <v>154</v>
      </c>
      <c r="I2950" s="10">
        <v>10</v>
      </c>
      <c r="J2950" s="10" t="s">
        <v>2241</v>
      </c>
      <c r="K2950" s="10">
        <v>24</v>
      </c>
      <c r="L2950" s="10">
        <v>26</v>
      </c>
      <c r="M2950" s="10">
        <v>9</v>
      </c>
      <c r="N2950" s="10">
        <v>9</v>
      </c>
      <c r="O2950" s="55" t="s">
        <v>1169</v>
      </c>
      <c r="P2950" s="14"/>
      <c r="Q2950" s="10">
        <v>30</v>
      </c>
      <c r="R2950" s="14"/>
      <c r="S2950" s="14"/>
      <c r="T2950" s="14"/>
      <c r="U2950" s="10">
        <v>60</v>
      </c>
      <c r="V2950" s="14"/>
      <c r="W2950" s="14"/>
      <c r="Y2950" s="79">
        <v>13</v>
      </c>
      <c r="Z2950" s="47" t="s">
        <v>46</v>
      </c>
      <c r="AB2950" s="14" t="s">
        <v>238</v>
      </c>
    </row>
    <row r="2951" spans="1:28" ht="23.1" customHeight="1" x14ac:dyDescent="0.25">
      <c r="A2951" s="91" t="s">
        <v>1221</v>
      </c>
      <c r="B2951" s="10" t="s">
        <v>113</v>
      </c>
      <c r="C2951" s="10">
        <v>76</v>
      </c>
      <c r="D2951" s="47" t="s">
        <v>1553</v>
      </c>
      <c r="E2951" s="78" t="s">
        <v>409</v>
      </c>
      <c r="F2951" s="14"/>
      <c r="G2951" s="21" t="e">
        <f>VLOOKUP(D2951,[6]成飞半成品!$A:$B,2,0)</f>
        <v>#N/A</v>
      </c>
      <c r="H2951" s="10" t="s">
        <v>102</v>
      </c>
      <c r="I2951" s="10">
        <v>20</v>
      </c>
      <c r="O2951" s="55" t="s">
        <v>596</v>
      </c>
      <c r="P2951" s="14">
        <v>20</v>
      </c>
      <c r="R2951" s="14"/>
      <c r="S2951" s="14"/>
      <c r="T2951" s="14"/>
      <c r="V2951" s="14">
        <v>60</v>
      </c>
      <c r="W2951" s="14"/>
      <c r="X2951" s="14">
        <v>3</v>
      </c>
      <c r="Y2951" s="83">
        <v>3</v>
      </c>
      <c r="Z2951" s="47" t="s">
        <v>46</v>
      </c>
      <c r="AA2951" s="14" t="s">
        <v>1326</v>
      </c>
      <c r="AB2951" s="14" t="s">
        <v>238</v>
      </c>
    </row>
    <row r="2952" spans="1:28" ht="23.1" customHeight="1" x14ac:dyDescent="0.25">
      <c r="A2952" s="91" t="s">
        <v>1221</v>
      </c>
      <c r="B2952" s="10" t="s">
        <v>113</v>
      </c>
      <c r="C2952" s="10">
        <v>76</v>
      </c>
      <c r="D2952" s="47" t="s">
        <v>1553</v>
      </c>
      <c r="E2952" s="78" t="s">
        <v>409</v>
      </c>
      <c r="F2952" s="14"/>
      <c r="G2952" s="21" t="e">
        <f>VLOOKUP(D2952,[6]成飞半成品!$A:$B,2,0)</f>
        <v>#N/A</v>
      </c>
      <c r="H2952" s="10" t="s">
        <v>102</v>
      </c>
      <c r="I2952" s="10">
        <v>15</v>
      </c>
      <c r="O2952" s="55" t="s">
        <v>596</v>
      </c>
      <c r="P2952" s="14">
        <v>35</v>
      </c>
      <c r="R2952" s="14"/>
      <c r="S2952" s="14"/>
      <c r="T2952" s="14"/>
      <c r="V2952" s="14"/>
      <c r="W2952" s="14"/>
      <c r="X2952" s="14">
        <v>3</v>
      </c>
      <c r="Y2952" s="83">
        <v>3</v>
      </c>
      <c r="Z2952" s="47" t="s">
        <v>46</v>
      </c>
      <c r="AA2952" s="14" t="s">
        <v>1572</v>
      </c>
      <c r="AB2952" s="14" t="s">
        <v>238</v>
      </c>
    </row>
    <row r="2953" spans="1:28" ht="23.1" customHeight="1" x14ac:dyDescent="0.25">
      <c r="A2953" s="91" t="s">
        <v>653</v>
      </c>
      <c r="B2953" s="10" t="s">
        <v>113</v>
      </c>
      <c r="C2953" s="10">
        <v>76</v>
      </c>
      <c r="D2953" s="47" t="s">
        <v>543</v>
      </c>
      <c r="E2953" s="78" t="s">
        <v>544</v>
      </c>
      <c r="F2953" s="14"/>
      <c r="G2953" s="21" t="str">
        <f>VLOOKUP(D2953,[6]成飞半成品!$A:$B,2,0)</f>
        <v>3#上垫片</v>
      </c>
      <c r="H2953" s="10" t="s">
        <v>154</v>
      </c>
      <c r="I2953" s="10">
        <v>15</v>
      </c>
      <c r="J2953" s="10" t="s">
        <v>1926</v>
      </c>
      <c r="O2953" s="55" t="s">
        <v>463</v>
      </c>
      <c r="P2953" s="14"/>
      <c r="Q2953" s="10">
        <v>90</v>
      </c>
      <c r="R2953" s="14"/>
      <c r="S2953" s="14"/>
      <c r="T2953" s="14"/>
      <c r="U2953" s="10">
        <v>90</v>
      </c>
      <c r="V2953" s="14"/>
      <c r="W2953" s="14"/>
      <c r="X2953" s="14">
        <v>2</v>
      </c>
      <c r="Y2953" s="79">
        <v>2</v>
      </c>
      <c r="Z2953" s="47" t="s">
        <v>46</v>
      </c>
      <c r="AA2953" s="14" t="s">
        <v>1671</v>
      </c>
      <c r="AB2953" s="14" t="s">
        <v>238</v>
      </c>
    </row>
    <row r="2954" spans="1:28" ht="23.1" customHeight="1" x14ac:dyDescent="0.25">
      <c r="A2954" s="91" t="s">
        <v>329</v>
      </c>
      <c r="B2954" s="10" t="s">
        <v>113</v>
      </c>
      <c r="C2954" s="10">
        <v>76</v>
      </c>
      <c r="D2954" s="47" t="s">
        <v>349</v>
      </c>
      <c r="E2954" s="78" t="s">
        <v>350</v>
      </c>
      <c r="F2954" s="14"/>
      <c r="G2954" s="21" t="str">
        <f>VLOOKUP(D2954,[6]成飞半成品!$A:$B,2,0)</f>
        <v>4#下垫片</v>
      </c>
      <c r="H2954" s="10" t="s">
        <v>154</v>
      </c>
      <c r="I2954" s="10">
        <v>10</v>
      </c>
      <c r="J2954" s="10" t="s">
        <v>1916</v>
      </c>
      <c r="O2954" s="55" t="s">
        <v>351</v>
      </c>
      <c r="P2954" s="14"/>
      <c r="Q2954" s="10">
        <v>30</v>
      </c>
      <c r="R2954" s="14"/>
      <c r="S2954" s="14"/>
      <c r="T2954" s="14"/>
      <c r="U2954" s="10">
        <v>60</v>
      </c>
      <c r="V2954" s="14"/>
      <c r="W2954" s="14"/>
      <c r="X2954" s="14">
        <v>2</v>
      </c>
      <c r="Y2954" s="79">
        <v>2</v>
      </c>
      <c r="Z2954" s="47" t="s">
        <v>46</v>
      </c>
      <c r="AA2954" s="14" t="s">
        <v>1671</v>
      </c>
      <c r="AB2954" s="14" t="s">
        <v>238</v>
      </c>
    </row>
    <row r="2955" spans="1:28" ht="23.1" customHeight="1" x14ac:dyDescent="0.25">
      <c r="A2955" s="91" t="s">
        <v>329</v>
      </c>
      <c r="B2955" s="10" t="s">
        <v>113</v>
      </c>
      <c r="C2955" s="10">
        <v>76</v>
      </c>
      <c r="D2955" s="47" t="s">
        <v>280</v>
      </c>
      <c r="E2955" s="78" t="s">
        <v>281</v>
      </c>
      <c r="F2955" s="14"/>
      <c r="G2955" s="21" t="str">
        <f>VLOOKUP(D2955,[6]成飞半成品!$A:$B,2,0)</f>
        <v>4#上垫片</v>
      </c>
      <c r="H2955" s="10" t="s">
        <v>154</v>
      </c>
      <c r="I2955" s="10">
        <v>15</v>
      </c>
      <c r="J2955" s="10" t="s">
        <v>1926</v>
      </c>
      <c r="O2955" s="55" t="s">
        <v>330</v>
      </c>
      <c r="P2955" s="14"/>
      <c r="Q2955" s="10">
        <v>90</v>
      </c>
      <c r="R2955" s="14"/>
      <c r="S2955" s="14"/>
      <c r="T2955" s="14"/>
      <c r="U2955" s="10">
        <v>90</v>
      </c>
      <c r="V2955" s="14"/>
      <c r="W2955" s="14"/>
      <c r="X2955" s="14">
        <v>2</v>
      </c>
      <c r="Y2955" s="79">
        <v>2</v>
      </c>
      <c r="Z2955" s="47" t="s">
        <v>46</v>
      </c>
      <c r="AA2955" s="14" t="s">
        <v>1671</v>
      </c>
      <c r="AB2955" s="14" t="s">
        <v>238</v>
      </c>
    </row>
    <row r="2956" spans="1:28" ht="23.1" customHeight="1" x14ac:dyDescent="0.25">
      <c r="A2956" s="91" t="s">
        <v>329</v>
      </c>
      <c r="B2956" s="10" t="s">
        <v>113</v>
      </c>
      <c r="C2956" s="10">
        <v>56</v>
      </c>
      <c r="D2956" s="47" t="s">
        <v>273</v>
      </c>
      <c r="E2956" s="78" t="s">
        <v>274</v>
      </c>
      <c r="F2956" s="14"/>
      <c r="G2956" s="21" t="str">
        <f>VLOOKUP(D2956,[6]成飞半成品!$A:$B,2,0)</f>
        <v>前起落架水平接头</v>
      </c>
      <c r="H2956" s="10" t="s">
        <v>123</v>
      </c>
      <c r="I2956" s="10">
        <v>15</v>
      </c>
      <c r="J2956" s="10" t="s">
        <v>2540</v>
      </c>
      <c r="O2956" s="55" t="s">
        <v>231</v>
      </c>
      <c r="P2956" s="14"/>
      <c r="Q2956" s="10">
        <v>60</v>
      </c>
      <c r="R2956" s="14"/>
      <c r="S2956" s="14"/>
      <c r="T2956" s="14"/>
      <c r="U2956" s="10">
        <v>60</v>
      </c>
      <c r="V2956" s="14"/>
      <c r="W2956" s="14"/>
      <c r="X2956" s="14">
        <v>2</v>
      </c>
      <c r="Y2956" s="79">
        <v>2</v>
      </c>
      <c r="Z2956" s="47" t="s">
        <v>46</v>
      </c>
      <c r="AA2956" s="14" t="s">
        <v>1671</v>
      </c>
      <c r="AB2956" s="14" t="s">
        <v>238</v>
      </c>
    </row>
    <row r="2957" spans="1:28" ht="23.1" customHeight="1" x14ac:dyDescent="0.25">
      <c r="A2957" s="91" t="s">
        <v>188</v>
      </c>
      <c r="B2957" s="10" t="s">
        <v>113</v>
      </c>
      <c r="C2957" s="10">
        <v>76</v>
      </c>
      <c r="D2957" s="47" t="s">
        <v>239</v>
      </c>
      <c r="E2957" s="78" t="s">
        <v>240</v>
      </c>
      <c r="F2957" s="14"/>
      <c r="G2957" s="21" t="str">
        <f>VLOOKUP(D2957,[6]成飞半成品!$A:$B,2,0)</f>
        <v>角片</v>
      </c>
      <c r="H2957" s="10" t="s">
        <v>154</v>
      </c>
      <c r="I2957" s="10">
        <v>25</v>
      </c>
      <c r="J2957" s="10" t="s">
        <v>1904</v>
      </c>
      <c r="O2957" s="55" t="s">
        <v>155</v>
      </c>
      <c r="P2957" s="14"/>
      <c r="Q2957" s="10">
        <v>40</v>
      </c>
      <c r="R2957" s="14"/>
      <c r="S2957" s="14"/>
      <c r="T2957" s="14"/>
      <c r="U2957" s="10">
        <v>60</v>
      </c>
      <c r="V2957" s="14"/>
      <c r="W2957" s="14"/>
      <c r="X2957" s="14">
        <v>2</v>
      </c>
      <c r="Y2957" s="79">
        <v>2</v>
      </c>
      <c r="Z2957" s="47" t="s">
        <v>46</v>
      </c>
      <c r="AA2957" s="14" t="s">
        <v>1671</v>
      </c>
      <c r="AB2957" s="14" t="s">
        <v>238</v>
      </c>
    </row>
    <row r="2958" spans="1:28" ht="23.1" customHeight="1" x14ac:dyDescent="0.25">
      <c r="A2958" s="91" t="s">
        <v>188</v>
      </c>
      <c r="B2958" s="10" t="s">
        <v>113</v>
      </c>
      <c r="C2958" s="10">
        <v>76</v>
      </c>
      <c r="D2958" s="47" t="s">
        <v>242</v>
      </c>
      <c r="E2958" s="78" t="s">
        <v>243</v>
      </c>
      <c r="F2958" s="14"/>
      <c r="G2958" s="21" t="str">
        <f>VLOOKUP(D2958,[6]成飞半成品!$A:$B,2,0)</f>
        <v>管接头</v>
      </c>
      <c r="H2958" s="10" t="s">
        <v>123</v>
      </c>
      <c r="I2958" s="10">
        <v>30</v>
      </c>
      <c r="J2958" s="10" t="s">
        <v>1901</v>
      </c>
      <c r="O2958" s="55" t="s">
        <v>131</v>
      </c>
      <c r="P2958" s="14"/>
      <c r="Q2958" s="10">
        <v>30</v>
      </c>
      <c r="R2958" s="14"/>
      <c r="S2958" s="14"/>
      <c r="T2958" s="14"/>
      <c r="U2958" s="10">
        <v>60</v>
      </c>
      <c r="V2958" s="14"/>
      <c r="W2958" s="14"/>
      <c r="X2958" s="14">
        <v>2</v>
      </c>
      <c r="Y2958" s="79">
        <v>2</v>
      </c>
      <c r="Z2958" s="47" t="s">
        <v>46</v>
      </c>
      <c r="AA2958" s="14" t="s">
        <v>1671</v>
      </c>
      <c r="AB2958" s="14" t="s">
        <v>238</v>
      </c>
    </row>
    <row r="2959" spans="1:28" ht="23.1" customHeight="1" x14ac:dyDescent="0.25">
      <c r="A2959" s="91" t="s">
        <v>1002</v>
      </c>
      <c r="B2959" s="10" t="s">
        <v>113</v>
      </c>
      <c r="C2959" s="10">
        <v>76</v>
      </c>
      <c r="D2959" s="47" t="s">
        <v>1688</v>
      </c>
      <c r="E2959" s="78" t="s">
        <v>409</v>
      </c>
      <c r="F2959" s="14"/>
      <c r="G2959" s="21" t="str">
        <f>VLOOKUP(D2959,[6]成飞半成品!$A:$B,2,0)</f>
        <v>接头</v>
      </c>
      <c r="H2959" s="10" t="s">
        <v>300</v>
      </c>
      <c r="I2959" s="10">
        <v>30</v>
      </c>
      <c r="J2959" s="10" t="s">
        <v>1901</v>
      </c>
      <c r="O2959" s="55" t="s">
        <v>393</v>
      </c>
      <c r="P2959" s="14"/>
      <c r="Q2959" s="10">
        <v>30</v>
      </c>
      <c r="R2959" s="14"/>
      <c r="S2959" s="14"/>
      <c r="T2959" s="14"/>
      <c r="U2959" s="10">
        <v>60</v>
      </c>
      <c r="V2959" s="14"/>
      <c r="W2959" s="14"/>
      <c r="X2959" s="14">
        <v>3</v>
      </c>
      <c r="Y2959" s="79">
        <v>3</v>
      </c>
      <c r="Z2959" s="47" t="s">
        <v>46</v>
      </c>
      <c r="AA2959" s="14" t="s">
        <v>1572</v>
      </c>
      <c r="AB2959" s="14" t="s">
        <v>238</v>
      </c>
    </row>
    <row r="2960" spans="1:28" ht="23.1" customHeight="1" x14ac:dyDescent="0.25">
      <c r="A2960" s="91" t="s">
        <v>188</v>
      </c>
      <c r="B2960" s="10" t="s">
        <v>113</v>
      </c>
      <c r="C2960" s="10">
        <v>76</v>
      </c>
      <c r="D2960" s="47" t="s">
        <v>1057</v>
      </c>
      <c r="E2960" s="78" t="s">
        <v>625</v>
      </c>
      <c r="F2960" s="14"/>
      <c r="G2960" s="21" t="str">
        <f>VLOOKUP(D2960,[6]成飞半成品!$A:$B,2,0)</f>
        <v>支架</v>
      </c>
      <c r="H2960" s="10" t="s">
        <v>102</v>
      </c>
      <c r="O2960" s="55" t="s">
        <v>596</v>
      </c>
      <c r="P2960" s="14"/>
      <c r="R2960" s="14"/>
      <c r="S2960" s="14"/>
      <c r="T2960" s="14"/>
      <c r="V2960" s="14"/>
      <c r="W2960" s="14"/>
      <c r="X2960" s="14">
        <v>2</v>
      </c>
      <c r="Y2960" s="79">
        <v>2</v>
      </c>
      <c r="Z2960" s="47" t="s">
        <v>46</v>
      </c>
      <c r="AA2960" s="14" t="s">
        <v>1671</v>
      </c>
      <c r="AB2960" s="14" t="s">
        <v>238</v>
      </c>
    </row>
    <row r="2961" spans="1:28" ht="23.1" customHeight="1" x14ac:dyDescent="0.25">
      <c r="A2961" s="91" t="s">
        <v>870</v>
      </c>
      <c r="B2961" s="10" t="s">
        <v>113</v>
      </c>
      <c r="C2961" s="10">
        <v>76</v>
      </c>
      <c r="D2961" s="47" t="s">
        <v>364</v>
      </c>
      <c r="E2961" s="78" t="s">
        <v>365</v>
      </c>
      <c r="F2961" s="14"/>
      <c r="G2961" s="21" t="str">
        <f>VLOOKUP(D2961,[6]成飞半成品!$A:$B,2,0)</f>
        <v>卡箍扣</v>
      </c>
      <c r="H2961" s="10" t="s">
        <v>154</v>
      </c>
      <c r="I2961" s="10">
        <v>30</v>
      </c>
      <c r="J2961" s="10" t="s">
        <v>1863</v>
      </c>
      <c r="O2961" s="55" t="s">
        <v>221</v>
      </c>
      <c r="P2961" s="14"/>
      <c r="Q2961" s="10">
        <v>17</v>
      </c>
      <c r="R2961" s="14"/>
      <c r="S2961" s="14"/>
      <c r="T2961" s="14"/>
      <c r="U2961" s="10">
        <v>60</v>
      </c>
      <c r="V2961" s="14"/>
      <c r="W2961" s="14"/>
      <c r="X2961" s="14">
        <v>3</v>
      </c>
      <c r="Y2961" s="79">
        <v>3</v>
      </c>
      <c r="Z2961" s="47" t="s">
        <v>46</v>
      </c>
      <c r="AA2961" s="14" t="s">
        <v>1572</v>
      </c>
      <c r="AB2961" s="14" t="s">
        <v>238</v>
      </c>
    </row>
    <row r="2962" spans="1:28" ht="23.1" customHeight="1" x14ac:dyDescent="0.25">
      <c r="A2962" s="91" t="s">
        <v>870</v>
      </c>
      <c r="B2962" s="10" t="s">
        <v>113</v>
      </c>
      <c r="C2962" s="10">
        <v>76</v>
      </c>
      <c r="D2962" s="47" t="s">
        <v>364</v>
      </c>
      <c r="E2962" s="78" t="s">
        <v>365</v>
      </c>
      <c r="F2962" s="14"/>
      <c r="G2962" s="21" t="str">
        <f>VLOOKUP(D2962,[6]成飞半成品!$A:$B,2,0)</f>
        <v>卡箍扣</v>
      </c>
      <c r="H2962" s="10" t="s">
        <v>154</v>
      </c>
      <c r="I2962" s="10">
        <v>40</v>
      </c>
      <c r="J2962" s="10" t="s">
        <v>1915</v>
      </c>
      <c r="O2962" s="55" t="s">
        <v>221</v>
      </c>
      <c r="P2962" s="14"/>
      <c r="Q2962" s="10">
        <v>20</v>
      </c>
      <c r="R2962" s="14"/>
      <c r="S2962" s="14"/>
      <c r="T2962" s="14"/>
      <c r="U2962" s="10">
        <v>90</v>
      </c>
      <c r="V2962" s="14"/>
      <c r="W2962" s="14"/>
      <c r="X2962" s="14">
        <v>2</v>
      </c>
      <c r="Y2962" s="79">
        <v>2</v>
      </c>
      <c r="Z2962" s="47" t="s">
        <v>46</v>
      </c>
      <c r="AA2962" s="14" t="s">
        <v>1671</v>
      </c>
      <c r="AB2962" s="14" t="s">
        <v>238</v>
      </c>
    </row>
    <row r="2963" spans="1:28" ht="23.1" customHeight="1" x14ac:dyDescent="0.25">
      <c r="A2963" s="91" t="s">
        <v>329</v>
      </c>
      <c r="B2963" s="10" t="s">
        <v>110</v>
      </c>
      <c r="C2963" s="10">
        <v>55</v>
      </c>
      <c r="D2963" s="25" t="s">
        <v>2551</v>
      </c>
      <c r="E2963" s="78" t="s">
        <v>1830</v>
      </c>
      <c r="F2963" s="14"/>
      <c r="G2963" s="21" t="str">
        <f>VLOOKUP(D2963,[6]成飞半成品!$A:$B,2,0)</f>
        <v>工装</v>
      </c>
      <c r="I2963" s="10">
        <v>20</v>
      </c>
      <c r="L2963" s="10">
        <v>2</v>
      </c>
      <c r="M2963" s="10">
        <v>28</v>
      </c>
      <c r="N2963" s="10">
        <v>29</v>
      </c>
      <c r="P2963" s="14"/>
      <c r="R2963" s="14"/>
      <c r="S2963" s="14"/>
      <c r="T2963" s="14"/>
      <c r="V2963" s="14"/>
      <c r="W2963" s="14"/>
      <c r="X2963" s="14">
        <v>5</v>
      </c>
      <c r="Y2963" s="79">
        <v>5</v>
      </c>
      <c r="Z2963" s="47" t="s">
        <v>15</v>
      </c>
      <c r="AA2963" s="14" t="s">
        <v>1831</v>
      </c>
      <c r="AB2963" s="14" t="s">
        <v>238</v>
      </c>
    </row>
    <row r="2964" spans="1:28" ht="23.1" customHeight="1" x14ac:dyDescent="0.25">
      <c r="A2964" s="91" t="s">
        <v>329</v>
      </c>
      <c r="B2964" s="10" t="s">
        <v>110</v>
      </c>
      <c r="C2964" s="10">
        <v>55</v>
      </c>
      <c r="D2964" s="25" t="s">
        <v>2551</v>
      </c>
      <c r="E2964" s="78" t="s">
        <v>1830</v>
      </c>
      <c r="F2964" s="14"/>
      <c r="G2964" s="21" t="str">
        <f>VLOOKUP(D2964,[6]成飞半成品!$A:$B,2,0)</f>
        <v>工装</v>
      </c>
      <c r="I2964" s="10">
        <v>25</v>
      </c>
      <c r="L2964" s="10">
        <v>2</v>
      </c>
      <c r="M2964" s="10">
        <v>28</v>
      </c>
      <c r="N2964" s="10">
        <v>31</v>
      </c>
      <c r="P2964" s="14"/>
      <c r="R2964" s="14"/>
      <c r="S2964" s="14"/>
      <c r="T2964" s="14"/>
      <c r="V2964" s="14"/>
      <c r="W2964" s="14"/>
      <c r="X2964" s="14">
        <v>5</v>
      </c>
      <c r="Y2964" s="79">
        <v>5</v>
      </c>
      <c r="Z2964" s="47" t="s">
        <v>15</v>
      </c>
      <c r="AA2964" s="14" t="s">
        <v>1831</v>
      </c>
      <c r="AB2964" s="14" t="s">
        <v>238</v>
      </c>
    </row>
    <row r="2965" spans="1:28" ht="23.1" customHeight="1" x14ac:dyDescent="0.25">
      <c r="A2965" s="91" t="s">
        <v>329</v>
      </c>
      <c r="B2965" s="10" t="s">
        <v>110</v>
      </c>
      <c r="C2965" s="10">
        <v>55</v>
      </c>
      <c r="D2965" s="25" t="s">
        <v>2551</v>
      </c>
      <c r="E2965" s="78" t="s">
        <v>1830</v>
      </c>
      <c r="F2965" s="14"/>
      <c r="G2965" s="21" t="str">
        <f>VLOOKUP(D2965,[6]成飞半成品!$A:$B,2,0)</f>
        <v>工装</v>
      </c>
      <c r="I2965" s="10">
        <v>30</v>
      </c>
      <c r="L2965" s="10">
        <v>2</v>
      </c>
      <c r="M2965" s="10">
        <v>28</v>
      </c>
      <c r="N2965" s="10">
        <v>31</v>
      </c>
      <c r="P2965" s="14"/>
      <c r="R2965" s="14"/>
      <c r="S2965" s="14"/>
      <c r="T2965" s="14"/>
      <c r="V2965" s="14"/>
      <c r="W2965" s="14"/>
      <c r="X2965" s="14">
        <v>5</v>
      </c>
      <c r="Y2965" s="79">
        <v>5</v>
      </c>
      <c r="Z2965" s="47" t="s">
        <v>15</v>
      </c>
      <c r="AA2965" s="14" t="s">
        <v>1831</v>
      </c>
      <c r="AB2965" s="14" t="s">
        <v>238</v>
      </c>
    </row>
    <row r="2966" spans="1:28" ht="23.1" customHeight="1" x14ac:dyDescent="0.25">
      <c r="A2966" s="91" t="s">
        <v>796</v>
      </c>
      <c r="B2966" s="10" t="s">
        <v>110</v>
      </c>
      <c r="C2966" s="10">
        <v>55</v>
      </c>
      <c r="D2966" s="47" t="s">
        <v>211</v>
      </c>
      <c r="E2966" s="78" t="s">
        <v>212</v>
      </c>
      <c r="F2966" s="14"/>
      <c r="G2966" s="21" t="str">
        <f>VLOOKUP(D2966,[6]成飞半成品!$A:$B,2,0)</f>
        <v>压板</v>
      </c>
      <c r="I2966" s="10">
        <v>1</v>
      </c>
      <c r="L2966" s="10">
        <v>1</v>
      </c>
      <c r="M2966" s="10">
        <v>31</v>
      </c>
      <c r="P2966" s="14"/>
      <c r="R2966" s="14"/>
      <c r="S2966" s="14"/>
      <c r="T2966" s="14"/>
      <c r="V2966" s="14"/>
      <c r="W2966" s="14"/>
      <c r="X2966" s="14">
        <v>3</v>
      </c>
      <c r="Y2966" s="79">
        <v>3</v>
      </c>
      <c r="Z2966" s="47" t="s">
        <v>15</v>
      </c>
      <c r="AA2966" s="14" t="s">
        <v>1832</v>
      </c>
      <c r="AB2966" s="14" t="s">
        <v>238</v>
      </c>
    </row>
    <row r="2967" spans="1:28" ht="23.1" customHeight="1" x14ac:dyDescent="0.25">
      <c r="A2967" s="91" t="s">
        <v>1002</v>
      </c>
      <c r="B2967" s="10" t="s">
        <v>110</v>
      </c>
      <c r="C2967" s="10">
        <v>108</v>
      </c>
      <c r="D2967" s="47" t="s">
        <v>992</v>
      </c>
      <c r="E2967" s="78" t="s">
        <v>993</v>
      </c>
      <c r="F2967" s="14"/>
      <c r="G2967" s="21" t="str">
        <f>VLOOKUP(D2967,[6]成飞半成品!$A:$B,2,0)</f>
        <v>内侧梁</v>
      </c>
      <c r="H2967" s="10" t="s">
        <v>154</v>
      </c>
      <c r="I2967" s="10">
        <v>5</v>
      </c>
      <c r="J2967" s="10" t="s">
        <v>1957</v>
      </c>
      <c r="K2967" s="10">
        <v>1</v>
      </c>
      <c r="L2967" s="10">
        <v>1</v>
      </c>
      <c r="M2967" s="10">
        <v>23</v>
      </c>
      <c r="O2967" s="55" t="s">
        <v>234</v>
      </c>
      <c r="P2967" s="14"/>
      <c r="Q2967" s="10">
        <v>720</v>
      </c>
      <c r="R2967" s="14">
        <v>60</v>
      </c>
      <c r="S2967" s="14"/>
      <c r="T2967" s="14">
        <v>1</v>
      </c>
      <c r="U2967" s="10">
        <v>90</v>
      </c>
      <c r="V2967" s="14"/>
      <c r="W2967" s="14"/>
      <c r="Y2967" s="79">
        <v>13</v>
      </c>
      <c r="Z2967" s="47" t="s">
        <v>13</v>
      </c>
    </row>
    <row r="2968" spans="1:28" ht="23.1" customHeight="1" x14ac:dyDescent="0.25">
      <c r="A2968" s="91" t="s">
        <v>1002</v>
      </c>
      <c r="B2968" s="10" t="s">
        <v>110</v>
      </c>
      <c r="C2968" s="10">
        <v>108</v>
      </c>
      <c r="D2968" s="47" t="s">
        <v>2575</v>
      </c>
      <c r="E2968" s="78" t="s">
        <v>993</v>
      </c>
      <c r="F2968" s="14"/>
      <c r="G2968" s="21" t="str">
        <f>VLOOKUP(D2968,[6]成飞半成品!$A:$B,2,0)</f>
        <v>6940框内段</v>
      </c>
      <c r="H2968" s="10" t="s">
        <v>154</v>
      </c>
      <c r="I2968" s="10">
        <v>5</v>
      </c>
      <c r="J2968" s="10" t="s">
        <v>1957</v>
      </c>
      <c r="K2968" s="10">
        <v>1</v>
      </c>
      <c r="L2968" s="10">
        <v>0.5</v>
      </c>
      <c r="M2968" s="10">
        <v>23</v>
      </c>
      <c r="N2968" s="14"/>
      <c r="O2968" s="55" t="s">
        <v>159</v>
      </c>
      <c r="P2968" s="14"/>
      <c r="Q2968" s="10">
        <v>720</v>
      </c>
      <c r="R2968" s="14">
        <v>60</v>
      </c>
      <c r="S2968" s="14"/>
      <c r="T2968" s="14">
        <v>1</v>
      </c>
      <c r="U2968" s="10">
        <v>90</v>
      </c>
      <c r="V2968" s="14"/>
      <c r="W2968" s="14">
        <v>1</v>
      </c>
      <c r="Y2968" s="79">
        <v>8.5</v>
      </c>
      <c r="Z2968" s="47" t="s">
        <v>13</v>
      </c>
    </row>
    <row r="2969" spans="1:28" ht="23.1" customHeight="1" x14ac:dyDescent="0.25">
      <c r="A2969" s="91" t="s">
        <v>109</v>
      </c>
      <c r="B2969" s="10" t="s">
        <v>137</v>
      </c>
      <c r="C2969" s="78">
        <v>59</v>
      </c>
      <c r="D2969" s="47" t="s">
        <v>2576</v>
      </c>
      <c r="E2969" s="78" t="s">
        <v>1834</v>
      </c>
      <c r="F2969" s="14"/>
      <c r="G2969" s="21" t="str">
        <f>VLOOKUP(D2969,[6]成飞半成品!$A:$B,2,0)</f>
        <v>拉杆支座</v>
      </c>
      <c r="H2969" s="10" t="s">
        <v>154</v>
      </c>
      <c r="I2969" s="10">
        <v>50</v>
      </c>
      <c r="J2969" s="10" t="s">
        <v>2371</v>
      </c>
      <c r="L2969" s="10">
        <v>12</v>
      </c>
      <c r="M2969" s="10">
        <v>31</v>
      </c>
      <c r="N2969" s="14">
        <v>31</v>
      </c>
      <c r="O2969" s="55" t="s">
        <v>221</v>
      </c>
      <c r="P2969" s="14"/>
      <c r="Q2969" s="10">
        <v>20</v>
      </c>
      <c r="R2969" s="14"/>
      <c r="S2969" s="14"/>
      <c r="T2969" s="14"/>
      <c r="U2969" s="10">
        <v>60</v>
      </c>
      <c r="V2969" s="14"/>
      <c r="W2969" s="14">
        <v>1</v>
      </c>
      <c r="Y2969" s="79"/>
      <c r="Z2969" s="47" t="s">
        <v>42</v>
      </c>
    </row>
    <row r="2970" spans="1:28" ht="23.1" customHeight="1" x14ac:dyDescent="0.25">
      <c r="A2970" s="91" t="s">
        <v>109</v>
      </c>
      <c r="B2970" s="10" t="s">
        <v>137</v>
      </c>
      <c r="C2970" s="78">
        <v>59</v>
      </c>
      <c r="D2970" s="47" t="s">
        <v>142</v>
      </c>
      <c r="E2970" s="78" t="s">
        <v>133</v>
      </c>
      <c r="F2970" s="14"/>
      <c r="G2970" s="21" t="str">
        <f>VLOOKUP(D2970,[6]成飞半成品!$A:$B,2,0)</f>
        <v>摇臂</v>
      </c>
      <c r="H2970" s="10" t="s">
        <v>102</v>
      </c>
      <c r="I2970" s="10">
        <v>10</v>
      </c>
      <c r="J2970" s="10" t="s">
        <v>2300</v>
      </c>
      <c r="L2970" s="10">
        <v>2</v>
      </c>
      <c r="M2970" s="10">
        <v>31</v>
      </c>
      <c r="N2970" s="14">
        <v>12</v>
      </c>
      <c r="O2970" s="55" t="s">
        <v>140</v>
      </c>
      <c r="P2970" s="14"/>
      <c r="Q2970" s="10">
        <v>35</v>
      </c>
      <c r="R2970" s="14"/>
      <c r="S2970" s="14"/>
      <c r="T2970" s="14"/>
      <c r="U2970" s="10">
        <v>90</v>
      </c>
      <c r="V2970" s="14"/>
      <c r="W2970" s="14">
        <v>1</v>
      </c>
      <c r="Y2970" s="79"/>
      <c r="Z2970" s="47" t="s">
        <v>42</v>
      </c>
    </row>
    <row r="2971" spans="1:28" ht="23.1" customHeight="1" x14ac:dyDescent="0.25">
      <c r="A2971" s="91" t="s">
        <v>109</v>
      </c>
      <c r="B2971" s="10" t="s">
        <v>137</v>
      </c>
      <c r="C2971" s="78">
        <v>59</v>
      </c>
      <c r="D2971" s="47" t="s">
        <v>142</v>
      </c>
      <c r="E2971" s="78" t="s">
        <v>133</v>
      </c>
      <c r="F2971" s="14"/>
      <c r="G2971" s="21" t="str">
        <f>VLOOKUP(D2971,[6]成飞半成品!$A:$B,2,0)</f>
        <v>摇臂</v>
      </c>
      <c r="H2971" s="10" t="s">
        <v>102</v>
      </c>
      <c r="I2971" s="10">
        <v>15</v>
      </c>
      <c r="J2971" s="10" t="s">
        <v>2372</v>
      </c>
      <c r="L2971" s="10">
        <v>0.2</v>
      </c>
      <c r="M2971" s="10">
        <v>12</v>
      </c>
      <c r="N2971" s="14"/>
      <c r="O2971" s="55" t="s">
        <v>140</v>
      </c>
      <c r="P2971" s="14"/>
      <c r="Q2971" s="10">
        <v>100</v>
      </c>
      <c r="R2971" s="14"/>
      <c r="S2971" s="14"/>
      <c r="T2971" s="14"/>
      <c r="U2971" s="10">
        <v>60</v>
      </c>
      <c r="V2971" s="14"/>
      <c r="W2971" s="14">
        <v>1</v>
      </c>
      <c r="Y2971" s="79"/>
      <c r="Z2971" s="47" t="s">
        <v>42</v>
      </c>
    </row>
  </sheetData>
  <phoneticPr fontId="13" type="noConversion"/>
  <pageMargins left="0.69930555555555596" right="0.69930555555555596" top="0.75" bottom="0.75" header="0.3" footer="0.3"/>
  <pageSetup paperSize="9" orientation="portrait" horizontalDpi="2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G488"/>
  <sheetViews>
    <sheetView workbookViewId="0">
      <pane ySplit="3" topLeftCell="A462" activePane="bottomLeft" state="frozen"/>
      <selection pane="bottomLeft" activeCell="B486" sqref="B486"/>
    </sheetView>
  </sheetViews>
  <sheetFormatPr defaultRowHeight="14.4" x14ac:dyDescent="0.25"/>
  <cols>
    <col min="1" max="1" width="10.109375" bestFit="1" customWidth="1"/>
    <col min="2" max="3" width="36" customWidth="1"/>
    <col min="4" max="4" width="18.109375" bestFit="1" customWidth="1"/>
    <col min="5" max="5" width="13.5546875" customWidth="1"/>
    <col min="6" max="6" width="14.77734375" bestFit="1" customWidth="1"/>
  </cols>
  <sheetData>
    <row r="3" spans="1:7" x14ac:dyDescent="0.25">
      <c r="A3" s="93" t="s">
        <v>77</v>
      </c>
      <c r="B3" s="93" t="s">
        <v>2580</v>
      </c>
      <c r="C3" s="93" t="s">
        <v>79</v>
      </c>
      <c r="D3" t="s">
        <v>2581</v>
      </c>
      <c r="E3" t="s">
        <v>2582</v>
      </c>
      <c r="F3" t="s">
        <v>2583</v>
      </c>
      <c r="G3" t="s">
        <v>2584</v>
      </c>
    </row>
    <row r="4" spans="1:7" x14ac:dyDescent="0.25">
      <c r="A4">
        <v>9</v>
      </c>
      <c r="B4" t="s">
        <v>1287</v>
      </c>
      <c r="D4" s="94">
        <v>26.2</v>
      </c>
      <c r="E4" s="94">
        <v>125.4</v>
      </c>
      <c r="F4" s="95">
        <v>0.15741903088124526</v>
      </c>
    </row>
    <row r="5" spans="1:7" x14ac:dyDescent="0.25">
      <c r="A5">
        <v>9</v>
      </c>
      <c r="B5" t="s">
        <v>1366</v>
      </c>
      <c r="D5" s="94">
        <v>2.2000000000000002</v>
      </c>
      <c r="E5" s="94">
        <v>19.8</v>
      </c>
      <c r="F5" s="95">
        <v>2.4855636454933459E-2</v>
      </c>
    </row>
    <row r="6" spans="1:7" x14ac:dyDescent="0.25">
      <c r="A6">
        <v>9</v>
      </c>
      <c r="B6" t="s">
        <v>1419</v>
      </c>
      <c r="D6" s="94">
        <v>4</v>
      </c>
      <c r="E6" s="94">
        <v>9.4</v>
      </c>
      <c r="F6" s="95">
        <v>1.1800150640220936E-2</v>
      </c>
    </row>
    <row r="7" spans="1:7" x14ac:dyDescent="0.25">
      <c r="A7">
        <v>9</v>
      </c>
      <c r="B7" t="s">
        <v>1364</v>
      </c>
      <c r="D7" s="94">
        <v>3</v>
      </c>
      <c r="E7" s="94">
        <v>6.4</v>
      </c>
      <c r="F7" s="95">
        <v>8.0341451167461695E-3</v>
      </c>
    </row>
    <row r="8" spans="1:7" x14ac:dyDescent="0.25">
      <c r="A8">
        <v>9</v>
      </c>
      <c r="B8" t="s">
        <v>1503</v>
      </c>
      <c r="D8" s="94">
        <v>3</v>
      </c>
      <c r="E8" s="94">
        <v>8.8000000000000007</v>
      </c>
      <c r="F8" s="95">
        <v>1.1046949535525983E-2</v>
      </c>
    </row>
    <row r="9" spans="1:7" x14ac:dyDescent="0.25">
      <c r="A9">
        <v>9</v>
      </c>
      <c r="B9" t="s">
        <v>1472</v>
      </c>
      <c r="D9" s="94">
        <v>8</v>
      </c>
      <c r="E9" s="94">
        <v>15.5</v>
      </c>
      <c r="F9" s="95">
        <v>1.9457695204619627E-2</v>
      </c>
    </row>
    <row r="10" spans="1:7" x14ac:dyDescent="0.25">
      <c r="A10">
        <v>9</v>
      </c>
      <c r="B10" t="s">
        <v>1362</v>
      </c>
      <c r="D10" s="94">
        <v>4</v>
      </c>
      <c r="E10" s="94">
        <v>7.5</v>
      </c>
      <c r="F10" s="95">
        <v>9.4150138086869159E-3</v>
      </c>
    </row>
    <row r="11" spans="1:7" x14ac:dyDescent="0.25">
      <c r="A11">
        <v>9</v>
      </c>
      <c r="B11" t="s">
        <v>229</v>
      </c>
      <c r="D11" s="94">
        <v>116.5</v>
      </c>
      <c r="E11" s="94">
        <v>194.5</v>
      </c>
      <c r="F11" s="95">
        <v>0.24416269143861402</v>
      </c>
    </row>
    <row r="12" spans="1:7" x14ac:dyDescent="0.25">
      <c r="A12">
        <v>9</v>
      </c>
      <c r="B12" t="s">
        <v>205</v>
      </c>
      <c r="D12" s="94">
        <v>1</v>
      </c>
      <c r="E12" s="94">
        <v>8</v>
      </c>
      <c r="F12" s="95">
        <v>1.0042681395932711E-2</v>
      </c>
    </row>
    <row r="13" spans="1:7" x14ac:dyDescent="0.25">
      <c r="A13">
        <v>9</v>
      </c>
      <c r="B13" t="s">
        <v>911</v>
      </c>
      <c r="D13" s="94">
        <v>71.5</v>
      </c>
      <c r="E13" s="94">
        <v>127.50000000000001</v>
      </c>
      <c r="F13" s="95">
        <v>0.1600552347476776</v>
      </c>
    </row>
    <row r="14" spans="1:7" x14ac:dyDescent="0.25">
      <c r="A14">
        <v>9</v>
      </c>
      <c r="B14" t="s">
        <v>1714</v>
      </c>
      <c r="D14" s="94">
        <v>38</v>
      </c>
      <c r="E14" s="94">
        <v>15.8</v>
      </c>
      <c r="F14" s="95">
        <v>1.9834295756967105E-2</v>
      </c>
    </row>
    <row r="15" spans="1:7" x14ac:dyDescent="0.25">
      <c r="A15">
        <v>9</v>
      </c>
      <c r="B15" t="s">
        <v>459</v>
      </c>
      <c r="D15" s="94">
        <v>6</v>
      </c>
      <c r="E15" s="94">
        <v>7.5</v>
      </c>
      <c r="F15" s="95">
        <v>9.4150138086869159E-3</v>
      </c>
    </row>
    <row r="16" spans="1:7" x14ac:dyDescent="0.25">
      <c r="A16">
        <v>9</v>
      </c>
      <c r="B16" t="s">
        <v>1539</v>
      </c>
      <c r="D16" s="94">
        <v>88</v>
      </c>
      <c r="E16" s="94">
        <v>59.7</v>
      </c>
      <c r="F16" s="95">
        <v>7.4943509917147863E-2</v>
      </c>
    </row>
    <row r="17" spans="1:6" x14ac:dyDescent="0.25">
      <c r="A17">
        <v>9</v>
      </c>
      <c r="B17" t="s">
        <v>1678</v>
      </c>
      <c r="D17" s="94">
        <v>8.5</v>
      </c>
      <c r="E17" s="94">
        <v>36.799999999999997</v>
      </c>
      <c r="F17" s="95">
        <v>4.6196334421290466E-2</v>
      </c>
    </row>
    <row r="18" spans="1:6" x14ac:dyDescent="0.25">
      <c r="A18">
        <v>9</v>
      </c>
      <c r="B18" t="s">
        <v>500</v>
      </c>
      <c r="D18" s="94">
        <v>80</v>
      </c>
      <c r="E18" s="94">
        <v>26.7</v>
      </c>
      <c r="F18" s="95">
        <v>3.3517449158925419E-2</v>
      </c>
    </row>
    <row r="19" spans="1:6" x14ac:dyDescent="0.25">
      <c r="A19">
        <v>9</v>
      </c>
      <c r="B19" t="s">
        <v>1823</v>
      </c>
      <c r="D19" s="94">
        <v>20</v>
      </c>
      <c r="E19" s="94">
        <v>6.7</v>
      </c>
      <c r="F19" s="95">
        <v>8.4107456690936458E-3</v>
      </c>
    </row>
    <row r="20" spans="1:6" x14ac:dyDescent="0.25">
      <c r="A20">
        <v>9</v>
      </c>
      <c r="B20" t="s">
        <v>388</v>
      </c>
      <c r="D20" s="94">
        <v>20</v>
      </c>
      <c r="E20" s="94">
        <v>6.7</v>
      </c>
      <c r="F20" s="95">
        <v>8.4107456690936458E-3</v>
      </c>
    </row>
    <row r="21" spans="1:6" x14ac:dyDescent="0.25">
      <c r="A21">
        <v>9</v>
      </c>
      <c r="B21" t="s">
        <v>513</v>
      </c>
      <c r="D21" s="94"/>
      <c r="E21" s="94">
        <v>0</v>
      </c>
      <c r="F21" s="95">
        <v>0</v>
      </c>
    </row>
    <row r="22" spans="1:6" x14ac:dyDescent="0.25">
      <c r="A22">
        <v>9</v>
      </c>
      <c r="B22" t="s">
        <v>624</v>
      </c>
      <c r="D22" s="94">
        <v>48</v>
      </c>
      <c r="E22" s="94">
        <v>59</v>
      </c>
      <c r="F22" s="95">
        <v>7.4064775295003743E-2</v>
      </c>
    </row>
    <row r="23" spans="1:6" x14ac:dyDescent="0.25">
      <c r="A23">
        <v>9</v>
      </c>
      <c r="B23" t="s">
        <v>1341</v>
      </c>
      <c r="D23" s="94">
        <v>21</v>
      </c>
      <c r="E23" s="94">
        <v>15.7</v>
      </c>
      <c r="F23" s="95">
        <v>1.9708762239517945E-2</v>
      </c>
    </row>
    <row r="24" spans="1:6" x14ac:dyDescent="0.25">
      <c r="A24">
        <v>9</v>
      </c>
      <c r="B24" t="s">
        <v>2570</v>
      </c>
      <c r="D24" s="94">
        <v>15</v>
      </c>
      <c r="E24" s="94">
        <v>39.200000000000003</v>
      </c>
      <c r="F24" s="95">
        <v>4.9209138840070284E-2</v>
      </c>
    </row>
    <row r="25" spans="1:6" x14ac:dyDescent="0.25">
      <c r="A25">
        <v>10</v>
      </c>
      <c r="B25" t="s">
        <v>232</v>
      </c>
      <c r="D25" s="94">
        <v>6</v>
      </c>
      <c r="E25" s="94">
        <v>53</v>
      </c>
      <c r="F25" s="95">
        <v>7.3123620309050771E-2</v>
      </c>
    </row>
    <row r="26" spans="1:6" x14ac:dyDescent="0.25">
      <c r="A26">
        <v>10</v>
      </c>
      <c r="B26" t="s">
        <v>308</v>
      </c>
      <c r="D26" s="94">
        <v>6</v>
      </c>
      <c r="E26" s="94">
        <v>48.5</v>
      </c>
      <c r="F26" s="95">
        <v>6.6915011037527602E-2</v>
      </c>
    </row>
    <row r="27" spans="1:6" x14ac:dyDescent="0.25">
      <c r="A27">
        <v>10</v>
      </c>
      <c r="B27" t="s">
        <v>197</v>
      </c>
      <c r="D27" s="94">
        <v>11</v>
      </c>
      <c r="E27" s="94">
        <v>35.200000000000003</v>
      </c>
      <c r="F27" s="95">
        <v>4.8565121412803537E-2</v>
      </c>
    </row>
    <row r="28" spans="1:6" x14ac:dyDescent="0.25">
      <c r="A28">
        <v>10</v>
      </c>
      <c r="B28" t="s">
        <v>517</v>
      </c>
      <c r="D28" s="94">
        <v>21.999999999999996</v>
      </c>
      <c r="E28" s="94">
        <v>103.7</v>
      </c>
      <c r="F28" s="95">
        <v>0.14307395143487861</v>
      </c>
    </row>
    <row r="29" spans="1:6" x14ac:dyDescent="0.25">
      <c r="A29">
        <v>10</v>
      </c>
      <c r="B29" t="s">
        <v>217</v>
      </c>
      <c r="D29" s="94">
        <v>20</v>
      </c>
      <c r="E29" s="94">
        <v>111.3</v>
      </c>
      <c r="F29" s="95">
        <v>0.15355960264900662</v>
      </c>
    </row>
    <row r="30" spans="1:6" x14ac:dyDescent="0.25">
      <c r="A30">
        <v>10</v>
      </c>
      <c r="B30" t="s">
        <v>1826</v>
      </c>
      <c r="D30" s="94"/>
      <c r="E30" s="94">
        <v>2</v>
      </c>
      <c r="F30" s="95">
        <v>2.7593818984547464E-3</v>
      </c>
    </row>
    <row r="31" spans="1:6" x14ac:dyDescent="0.25">
      <c r="A31">
        <v>10</v>
      </c>
      <c r="B31" t="s">
        <v>500</v>
      </c>
      <c r="D31" s="94">
        <v>40</v>
      </c>
      <c r="E31" s="94">
        <v>42</v>
      </c>
      <c r="F31" s="95">
        <v>5.7947019867549673E-2</v>
      </c>
    </row>
    <row r="32" spans="1:6" x14ac:dyDescent="0.25">
      <c r="A32">
        <v>10</v>
      </c>
      <c r="B32" t="s">
        <v>388</v>
      </c>
      <c r="D32" s="94">
        <v>69</v>
      </c>
      <c r="E32" s="94">
        <v>62</v>
      </c>
      <c r="F32" s="95">
        <v>8.5540838852097137E-2</v>
      </c>
    </row>
    <row r="33" spans="1:6" x14ac:dyDescent="0.25">
      <c r="A33">
        <v>10</v>
      </c>
      <c r="B33" t="s">
        <v>513</v>
      </c>
      <c r="D33" s="94">
        <v>50</v>
      </c>
      <c r="E33" s="94">
        <v>44</v>
      </c>
      <c r="F33" s="95">
        <v>6.070640176600442E-2</v>
      </c>
    </row>
    <row r="34" spans="1:6" x14ac:dyDescent="0.25">
      <c r="A34">
        <v>10</v>
      </c>
      <c r="B34" t="s">
        <v>946</v>
      </c>
      <c r="D34" s="94">
        <v>61.699999999999996</v>
      </c>
      <c r="E34" s="94">
        <v>201.1</v>
      </c>
      <c r="F34" s="95">
        <v>0.27745584988962474</v>
      </c>
    </row>
    <row r="35" spans="1:6" x14ac:dyDescent="0.25">
      <c r="A35">
        <v>10</v>
      </c>
      <c r="B35" t="s">
        <v>2570</v>
      </c>
      <c r="D35" s="94">
        <v>2.2000000000000002</v>
      </c>
      <c r="E35" s="94">
        <v>22</v>
      </c>
      <c r="F35" s="95">
        <v>3.035320088300221E-2</v>
      </c>
    </row>
    <row r="36" spans="1:6" x14ac:dyDescent="0.25">
      <c r="A36">
        <v>11</v>
      </c>
      <c r="B36" t="s">
        <v>2565</v>
      </c>
      <c r="D36" s="94">
        <v>9</v>
      </c>
      <c r="E36" s="94">
        <v>52.7</v>
      </c>
      <c r="F36" s="95">
        <v>7.2191780821917809E-2</v>
      </c>
    </row>
    <row r="37" spans="1:6" x14ac:dyDescent="0.25">
      <c r="A37">
        <v>11</v>
      </c>
      <c r="B37" t="s">
        <v>2561</v>
      </c>
      <c r="D37" s="94">
        <v>13</v>
      </c>
      <c r="E37" s="94">
        <v>47.5</v>
      </c>
      <c r="F37" s="95">
        <v>6.5068493150684928E-2</v>
      </c>
    </row>
    <row r="38" spans="1:6" x14ac:dyDescent="0.25">
      <c r="A38">
        <v>11</v>
      </c>
      <c r="B38" t="s">
        <v>2562</v>
      </c>
      <c r="D38" s="94">
        <v>29</v>
      </c>
      <c r="E38" s="94">
        <v>67.8</v>
      </c>
      <c r="F38" s="95">
        <v>9.2876712328767125E-2</v>
      </c>
    </row>
    <row r="39" spans="1:6" x14ac:dyDescent="0.25">
      <c r="A39">
        <v>11</v>
      </c>
      <c r="B39" t="s">
        <v>2563</v>
      </c>
      <c r="D39" s="94">
        <v>13</v>
      </c>
      <c r="E39" s="94">
        <v>40.1</v>
      </c>
      <c r="F39" s="95">
        <v>5.4931506849315068E-2</v>
      </c>
    </row>
    <row r="40" spans="1:6" x14ac:dyDescent="0.25">
      <c r="A40">
        <v>11</v>
      </c>
      <c r="B40" t="s">
        <v>2564</v>
      </c>
      <c r="D40" s="94">
        <v>8</v>
      </c>
      <c r="E40" s="94">
        <v>21.3</v>
      </c>
      <c r="F40" s="95">
        <v>2.9178082191780821E-2</v>
      </c>
    </row>
    <row r="41" spans="1:6" x14ac:dyDescent="0.25">
      <c r="A41">
        <v>11</v>
      </c>
      <c r="B41" t="s">
        <v>200</v>
      </c>
      <c r="D41" s="94">
        <v>67</v>
      </c>
      <c r="E41" s="94">
        <v>147.80000000000001</v>
      </c>
      <c r="F41" s="95">
        <v>0.20246575342465756</v>
      </c>
    </row>
    <row r="42" spans="1:6" x14ac:dyDescent="0.25">
      <c r="A42">
        <v>11</v>
      </c>
      <c r="B42" t="s">
        <v>203</v>
      </c>
      <c r="D42" s="94">
        <v>54</v>
      </c>
      <c r="E42" s="94">
        <v>89.899999999999991</v>
      </c>
      <c r="F42" s="95">
        <v>0.12315068493150684</v>
      </c>
    </row>
    <row r="43" spans="1:6" x14ac:dyDescent="0.25">
      <c r="A43">
        <v>11</v>
      </c>
      <c r="B43" t="s">
        <v>1535</v>
      </c>
      <c r="D43" s="94">
        <v>3</v>
      </c>
      <c r="E43" s="94">
        <v>9</v>
      </c>
      <c r="F43" s="95">
        <v>1.2328767123287671E-2</v>
      </c>
    </row>
    <row r="44" spans="1:6" x14ac:dyDescent="0.25">
      <c r="A44">
        <v>11</v>
      </c>
      <c r="B44" t="s">
        <v>1296</v>
      </c>
      <c r="D44" s="94">
        <v>75</v>
      </c>
      <c r="E44" s="94">
        <v>126.9</v>
      </c>
      <c r="F44" s="95">
        <v>0.17383561643835618</v>
      </c>
    </row>
    <row r="45" spans="1:6" x14ac:dyDescent="0.25">
      <c r="A45">
        <v>11</v>
      </c>
      <c r="B45" t="s">
        <v>2570</v>
      </c>
      <c r="D45" s="94">
        <v>65</v>
      </c>
      <c r="E45" s="94">
        <v>127</v>
      </c>
      <c r="F45" s="95">
        <v>0.17397260273972603</v>
      </c>
    </row>
    <row r="46" spans="1:6" x14ac:dyDescent="0.25">
      <c r="A46">
        <v>12</v>
      </c>
      <c r="B46" t="s">
        <v>248</v>
      </c>
      <c r="D46" s="94">
        <v>61</v>
      </c>
      <c r="E46" s="94">
        <v>301.2</v>
      </c>
      <c r="F46" s="95">
        <v>0.4156202566579274</v>
      </c>
    </row>
    <row r="47" spans="1:6" x14ac:dyDescent="0.25">
      <c r="A47">
        <v>12</v>
      </c>
      <c r="B47" t="s">
        <v>735</v>
      </c>
      <c r="D47" s="94">
        <v>97</v>
      </c>
      <c r="E47" s="94">
        <v>423.5</v>
      </c>
      <c r="F47" s="95">
        <v>0.58437974334207254</v>
      </c>
    </row>
    <row r="48" spans="1:6" x14ac:dyDescent="0.25">
      <c r="A48">
        <v>13</v>
      </c>
      <c r="B48" t="s">
        <v>1727</v>
      </c>
      <c r="D48" s="94">
        <v>36</v>
      </c>
      <c r="E48" s="94">
        <v>67</v>
      </c>
      <c r="F48" s="95">
        <v>8.8425498218292223E-2</v>
      </c>
    </row>
    <row r="49" spans="1:6" x14ac:dyDescent="0.25">
      <c r="A49">
        <v>13</v>
      </c>
      <c r="B49" t="s">
        <v>895</v>
      </c>
      <c r="D49" s="94">
        <v>17</v>
      </c>
      <c r="E49" s="94">
        <v>18</v>
      </c>
      <c r="F49" s="95">
        <v>2.3756103998944178E-2</v>
      </c>
    </row>
    <row r="50" spans="1:6" x14ac:dyDescent="0.25">
      <c r="A50">
        <v>13</v>
      </c>
      <c r="B50" t="s">
        <v>1541</v>
      </c>
      <c r="D50" s="94">
        <v>16</v>
      </c>
      <c r="E50" s="94">
        <v>19.8</v>
      </c>
      <c r="F50" s="95">
        <v>2.6131714398838598E-2</v>
      </c>
    </row>
    <row r="51" spans="1:6" x14ac:dyDescent="0.25">
      <c r="A51">
        <v>13</v>
      </c>
      <c r="B51" t="s">
        <v>1668</v>
      </c>
      <c r="D51" s="94">
        <v>6</v>
      </c>
      <c r="E51" s="94">
        <v>10.3</v>
      </c>
      <c r="F51" s="95">
        <v>1.3593770621618059E-2</v>
      </c>
    </row>
    <row r="52" spans="1:6" x14ac:dyDescent="0.25">
      <c r="A52">
        <v>13</v>
      </c>
      <c r="B52" t="s">
        <v>654</v>
      </c>
      <c r="D52" s="94">
        <v>98</v>
      </c>
      <c r="E52" s="94">
        <v>223.29999999999998</v>
      </c>
      <c r="F52" s="95">
        <v>0.29470766794245751</v>
      </c>
    </row>
    <row r="53" spans="1:6" x14ac:dyDescent="0.25">
      <c r="A53">
        <v>13</v>
      </c>
      <c r="B53" t="s">
        <v>245</v>
      </c>
      <c r="D53" s="94">
        <v>37</v>
      </c>
      <c r="E53" s="94">
        <v>151</v>
      </c>
      <c r="F53" s="95">
        <v>0.19928731688003173</v>
      </c>
    </row>
    <row r="54" spans="1:6" x14ac:dyDescent="0.25">
      <c r="A54">
        <v>13</v>
      </c>
      <c r="B54" t="s">
        <v>687</v>
      </c>
      <c r="D54" s="94">
        <v>18</v>
      </c>
      <c r="E54" s="94">
        <v>25.5</v>
      </c>
      <c r="F54" s="95">
        <v>3.3654480665170919E-2</v>
      </c>
    </row>
    <row r="55" spans="1:6" x14ac:dyDescent="0.25">
      <c r="A55">
        <v>13</v>
      </c>
      <c r="B55" t="s">
        <v>1277</v>
      </c>
      <c r="D55" s="94">
        <v>204</v>
      </c>
      <c r="E55" s="94">
        <v>122.9</v>
      </c>
      <c r="F55" s="95">
        <v>0.16220139897056887</v>
      </c>
    </row>
    <row r="56" spans="1:6" x14ac:dyDescent="0.25">
      <c r="A56">
        <v>13</v>
      </c>
      <c r="B56" t="s">
        <v>1519</v>
      </c>
      <c r="D56" s="94">
        <v>12</v>
      </c>
      <c r="E56" s="94">
        <v>22</v>
      </c>
      <c r="F56" s="95">
        <v>2.9035238220931774E-2</v>
      </c>
    </row>
    <row r="57" spans="1:6" x14ac:dyDescent="0.25">
      <c r="A57">
        <v>13</v>
      </c>
      <c r="B57" t="s">
        <v>1672</v>
      </c>
      <c r="D57" s="94">
        <v>20</v>
      </c>
      <c r="E57" s="94">
        <v>14.3</v>
      </c>
      <c r="F57" s="95">
        <v>1.8872904843605653E-2</v>
      </c>
    </row>
    <row r="58" spans="1:6" x14ac:dyDescent="0.25">
      <c r="A58">
        <v>13</v>
      </c>
      <c r="B58" t="s">
        <v>1394</v>
      </c>
      <c r="D58" s="94">
        <v>64</v>
      </c>
      <c r="E58" s="94">
        <v>65.3</v>
      </c>
      <c r="F58" s="95">
        <v>8.6181866173947491E-2</v>
      </c>
    </row>
    <row r="59" spans="1:6" x14ac:dyDescent="0.25">
      <c r="A59">
        <v>13</v>
      </c>
      <c r="B59" t="s">
        <v>1513</v>
      </c>
      <c r="D59" s="94">
        <v>20</v>
      </c>
      <c r="E59" s="94">
        <v>8.3000000000000007</v>
      </c>
      <c r="F59" s="95">
        <v>1.0954203510624261E-2</v>
      </c>
    </row>
    <row r="60" spans="1:6" x14ac:dyDescent="0.25">
      <c r="A60">
        <v>13</v>
      </c>
      <c r="B60" t="s">
        <v>2570</v>
      </c>
      <c r="D60" s="94"/>
      <c r="E60" s="94">
        <v>10</v>
      </c>
      <c r="F60" s="95">
        <v>1.3197835554968989E-2</v>
      </c>
    </row>
    <row r="61" spans="1:6" x14ac:dyDescent="0.25">
      <c r="A61">
        <v>14</v>
      </c>
      <c r="B61" t="s">
        <v>1293</v>
      </c>
      <c r="D61" s="94">
        <v>8</v>
      </c>
      <c r="E61" s="94">
        <v>9</v>
      </c>
      <c r="F61" s="95">
        <v>1.2853470437017997E-2</v>
      </c>
    </row>
    <row r="62" spans="1:6" x14ac:dyDescent="0.25">
      <c r="A62">
        <v>14</v>
      </c>
      <c r="B62" t="s">
        <v>1294</v>
      </c>
      <c r="D62" s="94">
        <v>8</v>
      </c>
      <c r="E62" s="94">
        <v>11</v>
      </c>
      <c r="F62" s="95">
        <v>1.5709797200799774E-2</v>
      </c>
    </row>
    <row r="63" spans="1:6" x14ac:dyDescent="0.25">
      <c r="A63">
        <v>14</v>
      </c>
      <c r="B63" t="s">
        <v>1295</v>
      </c>
      <c r="D63" s="94">
        <v>8</v>
      </c>
      <c r="E63" s="94">
        <v>9</v>
      </c>
      <c r="F63" s="95">
        <v>1.2853470437017997E-2</v>
      </c>
    </row>
    <row r="64" spans="1:6" x14ac:dyDescent="0.25">
      <c r="A64">
        <v>14</v>
      </c>
      <c r="B64" t="s">
        <v>1292</v>
      </c>
      <c r="D64" s="94">
        <v>8</v>
      </c>
      <c r="E64" s="94">
        <v>9</v>
      </c>
      <c r="F64" s="95">
        <v>1.2853470437017997E-2</v>
      </c>
    </row>
    <row r="65" spans="1:6" x14ac:dyDescent="0.25">
      <c r="A65">
        <v>14</v>
      </c>
      <c r="B65" t="s">
        <v>276</v>
      </c>
      <c r="D65" s="94">
        <v>6.4</v>
      </c>
      <c r="E65" s="94">
        <v>116.6</v>
      </c>
      <c r="F65" s="95">
        <v>0.16652385032847758</v>
      </c>
    </row>
    <row r="66" spans="1:6" x14ac:dyDescent="0.25">
      <c r="A66">
        <v>14</v>
      </c>
      <c r="B66" t="s">
        <v>235</v>
      </c>
      <c r="D66" s="94">
        <v>18.549999999999997</v>
      </c>
      <c r="E66" s="94">
        <v>259.7</v>
      </c>
      <c r="F66" s="95">
        <v>0.37089403027706369</v>
      </c>
    </row>
    <row r="67" spans="1:6" x14ac:dyDescent="0.25">
      <c r="A67">
        <v>14</v>
      </c>
      <c r="B67" t="s">
        <v>1257</v>
      </c>
      <c r="D67" s="94">
        <v>6</v>
      </c>
      <c r="E67" s="94">
        <v>47.2</v>
      </c>
      <c r="F67" s="95">
        <v>6.7409311625249935E-2</v>
      </c>
    </row>
    <row r="68" spans="1:6" x14ac:dyDescent="0.25">
      <c r="A68">
        <v>14</v>
      </c>
      <c r="B68" t="s">
        <v>1388</v>
      </c>
      <c r="D68" s="94">
        <v>35</v>
      </c>
      <c r="E68" s="94">
        <v>75.900000000000006</v>
      </c>
      <c r="F68" s="95">
        <v>0.10839760068551844</v>
      </c>
    </row>
    <row r="69" spans="1:6" x14ac:dyDescent="0.25">
      <c r="A69">
        <v>14</v>
      </c>
      <c r="B69" t="s">
        <v>116</v>
      </c>
      <c r="D69" s="94">
        <v>18</v>
      </c>
      <c r="E69" s="94">
        <v>25</v>
      </c>
      <c r="F69" s="95">
        <v>3.5704084547272211E-2</v>
      </c>
    </row>
    <row r="70" spans="1:6" x14ac:dyDescent="0.25">
      <c r="A70">
        <v>14</v>
      </c>
      <c r="B70" t="s">
        <v>1331</v>
      </c>
      <c r="D70" s="94">
        <v>96</v>
      </c>
      <c r="E70" s="94">
        <v>55.5</v>
      </c>
      <c r="F70" s="95">
        <v>7.9263067694944303E-2</v>
      </c>
    </row>
    <row r="71" spans="1:6" x14ac:dyDescent="0.25">
      <c r="A71">
        <v>14</v>
      </c>
      <c r="B71" t="s">
        <v>1653</v>
      </c>
      <c r="D71" s="94">
        <v>35</v>
      </c>
      <c r="E71" s="94">
        <v>82.3</v>
      </c>
      <c r="F71" s="95">
        <v>0.11753784632962011</v>
      </c>
    </row>
    <row r="72" spans="1:6" x14ac:dyDescent="0.25">
      <c r="A72">
        <v>15</v>
      </c>
      <c r="B72" t="s">
        <v>1255</v>
      </c>
      <c r="D72" s="94">
        <v>88.800000000000011</v>
      </c>
      <c r="E72" s="94">
        <v>348.5</v>
      </c>
      <c r="F72" s="95">
        <v>0.44394904458598727</v>
      </c>
    </row>
    <row r="73" spans="1:6" x14ac:dyDescent="0.25">
      <c r="A73">
        <v>15</v>
      </c>
      <c r="B73" t="s">
        <v>116</v>
      </c>
      <c r="D73" s="94">
        <v>31.2</v>
      </c>
      <c r="E73" s="94">
        <v>71</v>
      </c>
      <c r="F73" s="95">
        <v>9.0445859872611459E-2</v>
      </c>
    </row>
    <row r="74" spans="1:6" x14ac:dyDescent="0.25">
      <c r="A74">
        <v>15</v>
      </c>
      <c r="B74" t="s">
        <v>217</v>
      </c>
      <c r="D74" s="94">
        <v>27</v>
      </c>
      <c r="E74" s="94">
        <v>137</v>
      </c>
      <c r="F74" s="95">
        <v>0.17452229299363056</v>
      </c>
    </row>
    <row r="75" spans="1:6" x14ac:dyDescent="0.25">
      <c r="A75">
        <v>15</v>
      </c>
      <c r="B75" t="s">
        <v>592</v>
      </c>
      <c r="D75" s="94">
        <v>67</v>
      </c>
      <c r="E75" s="94">
        <v>228.5</v>
      </c>
      <c r="F75" s="95">
        <v>0.29108280254777069</v>
      </c>
    </row>
    <row r="76" spans="1:6" x14ac:dyDescent="0.25">
      <c r="A76">
        <v>16</v>
      </c>
      <c r="B76" t="s">
        <v>1249</v>
      </c>
      <c r="D76" s="94">
        <v>6</v>
      </c>
      <c r="E76" s="94">
        <v>19.199999999999996</v>
      </c>
      <c r="F76" s="95">
        <v>3.4788911034607704E-2</v>
      </c>
    </row>
    <row r="77" spans="1:6" x14ac:dyDescent="0.25">
      <c r="A77">
        <v>16</v>
      </c>
      <c r="B77" t="s">
        <v>1280</v>
      </c>
      <c r="D77" s="94">
        <v>16</v>
      </c>
      <c r="E77" s="94">
        <v>35.300000000000004</v>
      </c>
      <c r="F77" s="95">
        <v>6.3960862475086061E-2</v>
      </c>
    </row>
    <row r="78" spans="1:6" x14ac:dyDescent="0.25">
      <c r="A78">
        <v>16</v>
      </c>
      <c r="B78" t="s">
        <v>1045</v>
      </c>
      <c r="D78" s="94">
        <v>32</v>
      </c>
      <c r="E78" s="94">
        <v>32.900000000000006</v>
      </c>
      <c r="F78" s="95">
        <v>5.9612248595760101E-2</v>
      </c>
    </row>
    <row r="79" spans="1:6" x14ac:dyDescent="0.25">
      <c r="A79">
        <v>16</v>
      </c>
      <c r="B79" t="s">
        <v>753</v>
      </c>
      <c r="D79" s="94">
        <v>16</v>
      </c>
      <c r="E79" s="94">
        <v>15.100000000000001</v>
      </c>
      <c r="F79" s="95">
        <v>2.7360028990759195E-2</v>
      </c>
    </row>
    <row r="80" spans="1:6" x14ac:dyDescent="0.25">
      <c r="A80">
        <v>16</v>
      </c>
      <c r="B80" t="s">
        <v>1718</v>
      </c>
      <c r="D80" s="94">
        <v>12</v>
      </c>
      <c r="E80" s="94">
        <v>14.5</v>
      </c>
      <c r="F80" s="95">
        <v>2.6272875520927701E-2</v>
      </c>
    </row>
    <row r="81" spans="1:6" x14ac:dyDescent="0.25">
      <c r="A81">
        <v>16</v>
      </c>
      <c r="B81" t="s">
        <v>892</v>
      </c>
      <c r="D81" s="94">
        <v>159</v>
      </c>
      <c r="E81" s="94">
        <v>86.5</v>
      </c>
      <c r="F81" s="95">
        <v>0.15673129190070662</v>
      </c>
    </row>
    <row r="82" spans="1:6" x14ac:dyDescent="0.25">
      <c r="A82">
        <v>16</v>
      </c>
      <c r="B82" t="s">
        <v>626</v>
      </c>
      <c r="D82" s="94">
        <v>26</v>
      </c>
      <c r="E82" s="94">
        <v>22</v>
      </c>
      <c r="F82" s="95">
        <v>3.9862293893821336E-2</v>
      </c>
    </row>
    <row r="83" spans="1:6" x14ac:dyDescent="0.25">
      <c r="A83">
        <v>16</v>
      </c>
      <c r="B83" t="s">
        <v>449</v>
      </c>
      <c r="D83" s="94">
        <v>8.6999999999999993</v>
      </c>
      <c r="E83" s="94">
        <v>37.799999999999997</v>
      </c>
      <c r="F83" s="95">
        <v>6.8490668599383936E-2</v>
      </c>
    </row>
    <row r="84" spans="1:6" x14ac:dyDescent="0.25">
      <c r="A84">
        <v>16</v>
      </c>
      <c r="B84" t="s">
        <v>958</v>
      </c>
      <c r="D84" s="94">
        <v>2</v>
      </c>
      <c r="E84" s="94">
        <v>12</v>
      </c>
      <c r="F84" s="95">
        <v>2.174306939662982E-2</v>
      </c>
    </row>
    <row r="85" spans="1:6" x14ac:dyDescent="0.25">
      <c r="A85">
        <v>16</v>
      </c>
      <c r="B85" t="s">
        <v>805</v>
      </c>
      <c r="D85" s="94">
        <v>6</v>
      </c>
      <c r="E85" s="94">
        <v>41.3</v>
      </c>
      <c r="F85" s="95">
        <v>7.4832397173400955E-2</v>
      </c>
    </row>
    <row r="86" spans="1:6" x14ac:dyDescent="0.25">
      <c r="A86">
        <v>16</v>
      </c>
      <c r="B86" t="s">
        <v>1760</v>
      </c>
      <c r="D86" s="94">
        <v>2</v>
      </c>
      <c r="E86" s="94">
        <v>5.3</v>
      </c>
      <c r="F86" s="95">
        <v>9.6031889835115035E-3</v>
      </c>
    </row>
    <row r="87" spans="1:6" x14ac:dyDescent="0.25">
      <c r="A87">
        <v>16</v>
      </c>
      <c r="B87" t="s">
        <v>1301</v>
      </c>
      <c r="D87" s="94">
        <v>2</v>
      </c>
      <c r="E87" s="94">
        <v>7.4</v>
      </c>
      <c r="F87" s="95">
        <v>1.3408226127921724E-2</v>
      </c>
    </row>
    <row r="88" spans="1:6" x14ac:dyDescent="0.25">
      <c r="A88">
        <v>16</v>
      </c>
      <c r="B88" t="s">
        <v>1740</v>
      </c>
      <c r="D88" s="94">
        <v>2</v>
      </c>
      <c r="E88" s="94">
        <v>5.4</v>
      </c>
      <c r="F88" s="95">
        <v>9.7843812284834197E-3</v>
      </c>
    </row>
    <row r="89" spans="1:6" x14ac:dyDescent="0.25">
      <c r="A89">
        <v>16</v>
      </c>
      <c r="B89" t="s">
        <v>1692</v>
      </c>
      <c r="D89" s="94">
        <v>2</v>
      </c>
      <c r="E89" s="94">
        <v>1</v>
      </c>
      <c r="F89" s="95">
        <v>1.8119224497191518E-3</v>
      </c>
    </row>
    <row r="90" spans="1:6" x14ac:dyDescent="0.25">
      <c r="A90">
        <v>16</v>
      </c>
      <c r="B90" t="s">
        <v>436</v>
      </c>
      <c r="D90" s="94">
        <v>6</v>
      </c>
      <c r="E90" s="94">
        <v>13.8</v>
      </c>
      <c r="F90" s="95">
        <v>2.5004529806124293E-2</v>
      </c>
    </row>
    <row r="91" spans="1:6" x14ac:dyDescent="0.25">
      <c r="A91">
        <v>16</v>
      </c>
      <c r="B91" t="s">
        <v>441</v>
      </c>
      <c r="D91" s="94">
        <v>5</v>
      </c>
      <c r="E91" s="94">
        <v>11.2</v>
      </c>
      <c r="F91" s="95">
        <v>2.0293531436854497E-2</v>
      </c>
    </row>
    <row r="92" spans="1:6" x14ac:dyDescent="0.25">
      <c r="A92">
        <v>16</v>
      </c>
      <c r="B92" t="s">
        <v>1707</v>
      </c>
      <c r="D92" s="94">
        <v>2</v>
      </c>
      <c r="E92" s="94">
        <v>6.3</v>
      </c>
      <c r="F92" s="95">
        <v>1.1415111433230655E-2</v>
      </c>
    </row>
    <row r="93" spans="1:6" x14ac:dyDescent="0.25">
      <c r="A93">
        <v>16</v>
      </c>
      <c r="B93" t="s">
        <v>1299</v>
      </c>
      <c r="D93" s="94">
        <v>2</v>
      </c>
      <c r="E93" s="94">
        <v>4.3</v>
      </c>
      <c r="F93" s="95">
        <v>7.7912665337923522E-3</v>
      </c>
    </row>
    <row r="94" spans="1:6" x14ac:dyDescent="0.25">
      <c r="A94">
        <v>16</v>
      </c>
      <c r="B94" t="s">
        <v>727</v>
      </c>
      <c r="D94" s="94">
        <v>2</v>
      </c>
      <c r="E94" s="94">
        <v>4</v>
      </c>
      <c r="F94" s="95">
        <v>7.2476897988766071E-3</v>
      </c>
    </row>
    <row r="95" spans="1:6" x14ac:dyDescent="0.25">
      <c r="A95">
        <v>16</v>
      </c>
      <c r="B95" t="s">
        <v>1420</v>
      </c>
      <c r="D95" s="94">
        <v>27.3</v>
      </c>
      <c r="E95" s="94">
        <v>74.399999999999991</v>
      </c>
      <c r="F95" s="95">
        <v>0.13480703025910487</v>
      </c>
    </row>
    <row r="96" spans="1:6" x14ac:dyDescent="0.25">
      <c r="A96">
        <v>16</v>
      </c>
      <c r="B96" t="s">
        <v>1535</v>
      </c>
      <c r="D96" s="94">
        <v>2.7</v>
      </c>
      <c r="E96" s="94">
        <v>8.1</v>
      </c>
      <c r="F96" s="95">
        <v>1.4676571842725129E-2</v>
      </c>
    </row>
    <row r="97" spans="1:6" x14ac:dyDescent="0.25">
      <c r="A97">
        <v>16</v>
      </c>
      <c r="B97" t="s">
        <v>364</v>
      </c>
      <c r="D97" s="94">
        <v>126</v>
      </c>
      <c r="E97" s="94">
        <v>42.1</v>
      </c>
      <c r="F97" s="95">
        <v>7.6281935133176285E-2</v>
      </c>
    </row>
    <row r="98" spans="1:6" x14ac:dyDescent="0.25">
      <c r="A98">
        <v>16</v>
      </c>
      <c r="B98" t="s">
        <v>2570</v>
      </c>
      <c r="D98" s="94">
        <v>105.5</v>
      </c>
      <c r="E98" s="94">
        <v>52</v>
      </c>
      <c r="F98" s="95">
        <v>9.4219967385395884E-2</v>
      </c>
    </row>
    <row r="99" spans="1:6" x14ac:dyDescent="0.25">
      <c r="A99">
        <v>17</v>
      </c>
      <c r="B99" t="s">
        <v>1282</v>
      </c>
      <c r="D99" s="94">
        <v>9</v>
      </c>
      <c r="E99" s="94">
        <v>38.200000000000003</v>
      </c>
      <c r="F99" s="95">
        <v>4.8421853213335024E-2</v>
      </c>
    </row>
    <row r="100" spans="1:6" x14ac:dyDescent="0.25">
      <c r="A100">
        <v>17</v>
      </c>
      <c r="B100" t="s">
        <v>1285</v>
      </c>
      <c r="D100" s="94">
        <v>6</v>
      </c>
      <c r="E100" s="94">
        <v>37.200000000000003</v>
      </c>
      <c r="F100" s="95">
        <v>4.7154265432881225E-2</v>
      </c>
    </row>
    <row r="101" spans="1:6" x14ac:dyDescent="0.25">
      <c r="A101">
        <v>17</v>
      </c>
      <c r="B101" t="s">
        <v>273</v>
      </c>
      <c r="D101" s="94">
        <v>5</v>
      </c>
      <c r="E101" s="94">
        <v>3.5</v>
      </c>
      <c r="F101" s="95">
        <v>4.4365572315882866E-3</v>
      </c>
    </row>
    <row r="102" spans="1:6" x14ac:dyDescent="0.25">
      <c r="A102">
        <v>17</v>
      </c>
      <c r="B102" t="s">
        <v>1520</v>
      </c>
      <c r="D102" s="94">
        <v>26</v>
      </c>
      <c r="E102" s="94">
        <v>48.3</v>
      </c>
      <c r="F102" s="95">
        <v>6.1224489795918359E-2</v>
      </c>
    </row>
    <row r="103" spans="1:6" x14ac:dyDescent="0.25">
      <c r="A103">
        <v>17</v>
      </c>
      <c r="B103" t="s">
        <v>205</v>
      </c>
      <c r="D103" s="94">
        <v>3</v>
      </c>
      <c r="E103" s="94">
        <v>9</v>
      </c>
      <c r="F103" s="95">
        <v>1.1408290024084167E-2</v>
      </c>
    </row>
    <row r="104" spans="1:6" x14ac:dyDescent="0.25">
      <c r="A104">
        <v>17</v>
      </c>
      <c r="B104" t="s">
        <v>916</v>
      </c>
      <c r="D104" s="94">
        <v>120</v>
      </c>
      <c r="E104" s="94">
        <v>113.8</v>
      </c>
      <c r="F104" s="95">
        <v>0.144251489415642</v>
      </c>
    </row>
    <row r="105" spans="1:6" x14ac:dyDescent="0.25">
      <c r="A105">
        <v>17</v>
      </c>
      <c r="B105" t="s">
        <v>1702</v>
      </c>
      <c r="D105" s="94">
        <v>131</v>
      </c>
      <c r="E105" s="94">
        <v>143.70000000000002</v>
      </c>
      <c r="F105" s="95">
        <v>0.18215236405121055</v>
      </c>
    </row>
    <row r="106" spans="1:6" x14ac:dyDescent="0.25">
      <c r="A106">
        <v>17</v>
      </c>
      <c r="B106" t="s">
        <v>197</v>
      </c>
      <c r="D106" s="94">
        <v>2</v>
      </c>
      <c r="E106" s="94">
        <v>18.7</v>
      </c>
      <c r="F106" s="95">
        <v>2.3703891494485988E-2</v>
      </c>
    </row>
    <row r="107" spans="1:6" x14ac:dyDescent="0.25">
      <c r="A107">
        <v>17</v>
      </c>
      <c r="B107" t="s">
        <v>314</v>
      </c>
      <c r="D107" s="94">
        <v>8</v>
      </c>
      <c r="E107" s="94">
        <v>9</v>
      </c>
      <c r="F107" s="95">
        <v>1.1408290024084167E-2</v>
      </c>
    </row>
    <row r="108" spans="1:6" x14ac:dyDescent="0.25">
      <c r="A108">
        <v>17</v>
      </c>
      <c r="B108" t="s">
        <v>352</v>
      </c>
      <c r="D108" s="94">
        <v>65</v>
      </c>
      <c r="E108" s="94">
        <v>300.5</v>
      </c>
      <c r="F108" s="95">
        <v>0.38091012802636576</v>
      </c>
    </row>
    <row r="109" spans="1:6" x14ac:dyDescent="0.25">
      <c r="A109">
        <v>17</v>
      </c>
      <c r="B109" t="s">
        <v>173</v>
      </c>
      <c r="D109" s="94">
        <v>11</v>
      </c>
      <c r="E109" s="94">
        <v>16.5</v>
      </c>
      <c r="F109" s="95">
        <v>2.0915198377487638E-2</v>
      </c>
    </row>
    <row r="110" spans="1:6" x14ac:dyDescent="0.25">
      <c r="A110">
        <v>17</v>
      </c>
      <c r="B110" t="s">
        <v>291</v>
      </c>
      <c r="D110" s="94">
        <v>6</v>
      </c>
      <c r="E110" s="94">
        <v>9</v>
      </c>
      <c r="F110" s="95">
        <v>1.1408290024084167E-2</v>
      </c>
    </row>
    <row r="111" spans="1:6" x14ac:dyDescent="0.25">
      <c r="A111">
        <v>17</v>
      </c>
      <c r="B111" t="s">
        <v>1468</v>
      </c>
      <c r="D111" s="94">
        <v>6</v>
      </c>
      <c r="E111" s="94">
        <v>18.5</v>
      </c>
      <c r="F111" s="95">
        <v>2.345037393839523E-2</v>
      </c>
    </row>
    <row r="112" spans="1:6" x14ac:dyDescent="0.25">
      <c r="A112">
        <v>17</v>
      </c>
      <c r="B112" t="s">
        <v>2570</v>
      </c>
      <c r="D112" s="94">
        <v>5</v>
      </c>
      <c r="E112" s="94">
        <v>23</v>
      </c>
      <c r="F112" s="95">
        <v>2.9154518950437313E-2</v>
      </c>
    </row>
    <row r="113" spans="1:6" x14ac:dyDescent="0.25">
      <c r="A113">
        <v>18</v>
      </c>
      <c r="B113" t="s">
        <v>1734</v>
      </c>
      <c r="D113" s="94">
        <v>2</v>
      </c>
      <c r="E113" s="94">
        <v>3</v>
      </c>
      <c r="F113" s="95">
        <v>3.353079244439477E-3</v>
      </c>
    </row>
    <row r="114" spans="1:6" x14ac:dyDescent="0.25">
      <c r="A114">
        <v>18</v>
      </c>
      <c r="B114" t="s">
        <v>229</v>
      </c>
      <c r="D114" s="94">
        <v>3.5</v>
      </c>
      <c r="E114" s="94">
        <v>12.1</v>
      </c>
      <c r="F114" s="95">
        <v>1.352408628590589E-2</v>
      </c>
    </row>
    <row r="115" spans="1:6" x14ac:dyDescent="0.25">
      <c r="A115">
        <v>18</v>
      </c>
      <c r="B115" t="s">
        <v>205</v>
      </c>
      <c r="D115" s="94">
        <v>60.5</v>
      </c>
      <c r="E115" s="94">
        <v>354.5</v>
      </c>
      <c r="F115" s="95">
        <v>0.39622219738459824</v>
      </c>
    </row>
    <row r="116" spans="1:6" x14ac:dyDescent="0.25">
      <c r="A116">
        <v>18</v>
      </c>
      <c r="B116" t="s">
        <v>911</v>
      </c>
      <c r="D116" s="94">
        <v>9</v>
      </c>
      <c r="E116" s="94">
        <v>11.3</v>
      </c>
      <c r="F116" s="95">
        <v>1.2629931820722031E-2</v>
      </c>
    </row>
    <row r="117" spans="1:6" x14ac:dyDescent="0.25">
      <c r="A117">
        <v>18</v>
      </c>
      <c r="B117" t="s">
        <v>1702</v>
      </c>
      <c r="D117" s="94">
        <v>8</v>
      </c>
      <c r="E117" s="94">
        <v>14.3</v>
      </c>
      <c r="F117" s="95">
        <v>1.598301106516151E-2</v>
      </c>
    </row>
    <row r="118" spans="1:6" x14ac:dyDescent="0.25">
      <c r="A118">
        <v>18</v>
      </c>
      <c r="B118" t="s">
        <v>964</v>
      </c>
      <c r="D118" s="94">
        <v>20</v>
      </c>
      <c r="E118" s="94">
        <v>11.8</v>
      </c>
      <c r="F118" s="95">
        <v>1.3188778361461944E-2</v>
      </c>
    </row>
    <row r="119" spans="1:6" x14ac:dyDescent="0.25">
      <c r="A119">
        <v>18</v>
      </c>
      <c r="B119" t="s">
        <v>918</v>
      </c>
      <c r="D119" s="94">
        <v>42</v>
      </c>
      <c r="E119" s="94">
        <v>107</v>
      </c>
      <c r="F119" s="95">
        <v>0.11959315971834135</v>
      </c>
    </row>
    <row r="120" spans="1:6" x14ac:dyDescent="0.25">
      <c r="A120">
        <v>18</v>
      </c>
      <c r="B120" t="s">
        <v>920</v>
      </c>
      <c r="D120" s="94">
        <v>36</v>
      </c>
      <c r="E120" s="94">
        <v>62.9</v>
      </c>
      <c r="F120" s="95">
        <v>7.0302894825081036E-2</v>
      </c>
    </row>
    <row r="121" spans="1:6" x14ac:dyDescent="0.25">
      <c r="A121">
        <v>18</v>
      </c>
      <c r="B121" t="s">
        <v>1061</v>
      </c>
      <c r="D121" s="94">
        <v>30</v>
      </c>
      <c r="E121" s="94">
        <v>10</v>
      </c>
      <c r="F121" s="95">
        <v>1.1176930814798256E-2</v>
      </c>
    </row>
    <row r="122" spans="1:6" x14ac:dyDescent="0.25">
      <c r="A122">
        <v>18</v>
      </c>
      <c r="B122" t="s">
        <v>1030</v>
      </c>
      <c r="D122" s="94">
        <v>62</v>
      </c>
      <c r="E122" s="94">
        <v>134.9</v>
      </c>
      <c r="F122" s="95">
        <v>0.1507767966916285</v>
      </c>
    </row>
    <row r="123" spans="1:6" x14ac:dyDescent="0.25">
      <c r="A123">
        <v>18</v>
      </c>
      <c r="B123" t="s">
        <v>921</v>
      </c>
      <c r="D123" s="94">
        <v>58</v>
      </c>
      <c r="E123" s="94">
        <v>116.9</v>
      </c>
      <c r="F123" s="95">
        <v>0.13065832122499163</v>
      </c>
    </row>
    <row r="124" spans="1:6" x14ac:dyDescent="0.25">
      <c r="A124">
        <v>18</v>
      </c>
      <c r="B124" t="s">
        <v>2570</v>
      </c>
      <c r="D124" s="94">
        <v>2</v>
      </c>
      <c r="E124" s="94">
        <v>56</v>
      </c>
      <c r="F124" s="95">
        <v>6.2590812562870246E-2</v>
      </c>
    </row>
    <row r="125" spans="1:6" x14ac:dyDescent="0.25">
      <c r="A125">
        <v>19</v>
      </c>
      <c r="B125" t="s">
        <v>1071</v>
      </c>
      <c r="D125" s="94">
        <v>10.670000000000002</v>
      </c>
      <c r="E125" s="94">
        <v>133.69999999999999</v>
      </c>
      <c r="F125" s="95">
        <v>0.26006613499319198</v>
      </c>
    </row>
    <row r="126" spans="1:6" x14ac:dyDescent="0.25">
      <c r="A126">
        <v>19</v>
      </c>
      <c r="B126" t="s">
        <v>169</v>
      </c>
      <c r="D126" s="94">
        <v>12.5</v>
      </c>
      <c r="E126" s="94">
        <v>98.3</v>
      </c>
      <c r="F126" s="95">
        <v>0.19120793619918303</v>
      </c>
    </row>
    <row r="127" spans="1:6" x14ac:dyDescent="0.25">
      <c r="A127">
        <v>19</v>
      </c>
      <c r="B127" t="s">
        <v>395</v>
      </c>
      <c r="D127" s="94">
        <v>33.5</v>
      </c>
      <c r="E127" s="94">
        <v>224</v>
      </c>
      <c r="F127" s="95">
        <v>0.43571289632367244</v>
      </c>
    </row>
    <row r="128" spans="1:6" x14ac:dyDescent="0.25">
      <c r="A128">
        <v>19</v>
      </c>
      <c r="B128" t="s">
        <v>1604</v>
      </c>
      <c r="D128" s="94">
        <v>8</v>
      </c>
      <c r="E128" s="94">
        <v>28.5</v>
      </c>
      <c r="F128" s="95">
        <v>5.5436685469752965E-2</v>
      </c>
    </row>
    <row r="129" spans="1:6" x14ac:dyDescent="0.25">
      <c r="A129">
        <v>19</v>
      </c>
      <c r="B129" t="s">
        <v>1607</v>
      </c>
      <c r="D129" s="94">
        <v>5.5</v>
      </c>
      <c r="E129" s="94">
        <v>26.5</v>
      </c>
      <c r="F129" s="95">
        <v>5.1546391752577317E-2</v>
      </c>
    </row>
    <row r="130" spans="1:6" x14ac:dyDescent="0.25">
      <c r="A130">
        <v>19</v>
      </c>
      <c r="B130" t="s">
        <v>1423</v>
      </c>
      <c r="D130" s="94">
        <v>1.7</v>
      </c>
      <c r="E130" s="94">
        <v>3.1</v>
      </c>
      <c r="F130" s="95">
        <v>6.0299552616222525E-3</v>
      </c>
    </row>
    <row r="131" spans="1:6" x14ac:dyDescent="0.25">
      <c r="A131">
        <v>20</v>
      </c>
      <c r="B131" t="s">
        <v>1074</v>
      </c>
      <c r="D131" s="94">
        <v>3</v>
      </c>
      <c r="E131" s="94">
        <v>25</v>
      </c>
      <c r="F131" s="95">
        <v>0.22143489813994691</v>
      </c>
    </row>
    <row r="132" spans="1:6" x14ac:dyDescent="0.25">
      <c r="A132">
        <v>20</v>
      </c>
      <c r="B132" t="s">
        <v>484</v>
      </c>
      <c r="D132" s="94">
        <v>11.200000000000001</v>
      </c>
      <c r="E132" s="94">
        <v>71.399999999999977</v>
      </c>
      <c r="F132" s="95">
        <v>0.63241806908768816</v>
      </c>
    </row>
    <row r="133" spans="1:6" x14ac:dyDescent="0.25">
      <c r="A133">
        <v>20</v>
      </c>
      <c r="B133" t="s">
        <v>298</v>
      </c>
      <c r="D133" s="94">
        <v>3</v>
      </c>
      <c r="E133" s="94">
        <v>13.5</v>
      </c>
      <c r="F133" s="95">
        <v>0.11957484499557132</v>
      </c>
    </row>
    <row r="134" spans="1:6" x14ac:dyDescent="0.25">
      <c r="A134">
        <v>20</v>
      </c>
      <c r="B134" t="s">
        <v>2567</v>
      </c>
      <c r="D134" s="94">
        <v>5</v>
      </c>
      <c r="E134" s="94">
        <v>3</v>
      </c>
      <c r="F134" s="95">
        <v>2.6572187776793627E-2</v>
      </c>
    </row>
    <row r="135" spans="1:6" x14ac:dyDescent="0.25">
      <c r="A135">
        <v>21</v>
      </c>
      <c r="B135" t="s">
        <v>100</v>
      </c>
      <c r="D135" s="94">
        <v>0.15</v>
      </c>
      <c r="E135" s="94">
        <v>15</v>
      </c>
      <c r="F135" s="95">
        <v>1.9669551534225022E-2</v>
      </c>
    </row>
    <row r="136" spans="1:6" x14ac:dyDescent="0.25">
      <c r="A136">
        <v>21</v>
      </c>
      <c r="B136" t="s">
        <v>2559</v>
      </c>
      <c r="D136" s="94">
        <v>1</v>
      </c>
      <c r="E136" s="94">
        <v>22</v>
      </c>
      <c r="F136" s="95">
        <v>2.8848675583530031E-2</v>
      </c>
    </row>
    <row r="137" spans="1:6" x14ac:dyDescent="0.25">
      <c r="A137">
        <v>21</v>
      </c>
      <c r="B137" t="s">
        <v>321</v>
      </c>
      <c r="D137" s="94">
        <v>65.799999999999983</v>
      </c>
      <c r="E137" s="94">
        <v>725.59999999999991</v>
      </c>
      <c r="F137" s="95">
        <v>0.95148177288224489</v>
      </c>
    </row>
    <row r="138" spans="1:6" x14ac:dyDescent="0.25">
      <c r="A138">
        <v>22</v>
      </c>
      <c r="B138" t="s">
        <v>100</v>
      </c>
      <c r="D138" s="94">
        <v>2.1</v>
      </c>
      <c r="E138" s="94">
        <v>125.5</v>
      </c>
      <c r="F138" s="95">
        <v>0.10253267973856209</v>
      </c>
    </row>
    <row r="139" spans="1:6" x14ac:dyDescent="0.25">
      <c r="A139">
        <v>22</v>
      </c>
      <c r="B139" t="s">
        <v>111</v>
      </c>
      <c r="D139" s="94">
        <v>3.5</v>
      </c>
      <c r="E139" s="94">
        <v>203.5</v>
      </c>
      <c r="F139" s="95">
        <v>0.16625816993464052</v>
      </c>
    </row>
    <row r="140" spans="1:6" x14ac:dyDescent="0.25">
      <c r="A140">
        <v>22</v>
      </c>
      <c r="B140" t="s">
        <v>611</v>
      </c>
      <c r="D140" s="94">
        <v>7.9</v>
      </c>
      <c r="E140" s="94">
        <v>412</v>
      </c>
      <c r="F140" s="95">
        <v>0.33660130718954251</v>
      </c>
    </row>
    <row r="141" spans="1:6" x14ac:dyDescent="0.25">
      <c r="A141">
        <v>22</v>
      </c>
      <c r="B141" t="s">
        <v>635</v>
      </c>
      <c r="D141" s="94">
        <v>10.9</v>
      </c>
      <c r="E141" s="94">
        <v>464</v>
      </c>
      <c r="F141" s="95">
        <v>0.37908496732026142</v>
      </c>
    </row>
    <row r="142" spans="1:6" x14ac:dyDescent="0.25">
      <c r="A142">
        <v>22</v>
      </c>
      <c r="B142" t="s">
        <v>1673</v>
      </c>
      <c r="D142" s="94">
        <v>1</v>
      </c>
      <c r="E142" s="94">
        <v>19</v>
      </c>
      <c r="F142" s="95">
        <v>1.5522875816993464E-2</v>
      </c>
    </row>
    <row r="143" spans="1:6" x14ac:dyDescent="0.25">
      <c r="A143">
        <v>23</v>
      </c>
      <c r="B143" t="s">
        <v>332</v>
      </c>
      <c r="D143" s="94">
        <v>2</v>
      </c>
      <c r="E143" s="94">
        <v>14</v>
      </c>
      <c r="F143" s="95">
        <v>2.0106276030446648E-2</v>
      </c>
    </row>
    <row r="144" spans="1:6" x14ac:dyDescent="0.25">
      <c r="A144">
        <v>23</v>
      </c>
      <c r="B144" t="s">
        <v>498</v>
      </c>
      <c r="D144" s="94">
        <v>26.25</v>
      </c>
      <c r="E144" s="94">
        <v>166.2</v>
      </c>
      <c r="F144" s="95">
        <v>0.23869021973287377</v>
      </c>
    </row>
    <row r="145" spans="1:6" x14ac:dyDescent="0.25">
      <c r="A145">
        <v>23</v>
      </c>
      <c r="B145" t="s">
        <v>288</v>
      </c>
      <c r="D145" s="94">
        <v>4.8000000000000007</v>
      </c>
      <c r="E145" s="94">
        <v>61.800000000000004</v>
      </c>
      <c r="F145" s="95">
        <v>8.8754847048685928E-2</v>
      </c>
    </row>
    <row r="146" spans="1:6" x14ac:dyDescent="0.25">
      <c r="A146">
        <v>23</v>
      </c>
      <c r="B146" t="s">
        <v>254</v>
      </c>
      <c r="D146" s="94">
        <v>5.3999999999999995</v>
      </c>
      <c r="E146" s="94">
        <v>77.5</v>
      </c>
      <c r="F146" s="95">
        <v>0.11130259945425823</v>
      </c>
    </row>
    <row r="147" spans="1:6" x14ac:dyDescent="0.25">
      <c r="A147">
        <v>23</v>
      </c>
      <c r="B147" t="s">
        <v>2555</v>
      </c>
      <c r="D147" s="94">
        <v>2</v>
      </c>
      <c r="E147" s="94">
        <v>4</v>
      </c>
      <c r="F147" s="95">
        <v>5.7446502944133284E-3</v>
      </c>
    </row>
    <row r="148" spans="1:6" x14ac:dyDescent="0.25">
      <c r="A148">
        <v>23</v>
      </c>
      <c r="B148" t="s">
        <v>987</v>
      </c>
      <c r="D148" s="94">
        <v>14.999999999999998</v>
      </c>
      <c r="E148" s="94">
        <v>104.10000000000001</v>
      </c>
      <c r="F148" s="95">
        <v>0.14950452391210686</v>
      </c>
    </row>
    <row r="149" spans="1:6" x14ac:dyDescent="0.25">
      <c r="A149">
        <v>23</v>
      </c>
      <c r="B149" t="s">
        <v>2556</v>
      </c>
      <c r="D149" s="94">
        <v>2</v>
      </c>
      <c r="E149" s="94">
        <v>4</v>
      </c>
      <c r="F149" s="95">
        <v>5.7446502944133284E-3</v>
      </c>
    </row>
    <row r="150" spans="1:6" x14ac:dyDescent="0.25">
      <c r="A150">
        <v>23</v>
      </c>
      <c r="B150" t="s">
        <v>990</v>
      </c>
      <c r="D150" s="94">
        <v>15.000000000000002</v>
      </c>
      <c r="E150" s="94">
        <v>103.49999999999999</v>
      </c>
      <c r="F150" s="95">
        <v>0.14864282636794485</v>
      </c>
    </row>
    <row r="151" spans="1:6" x14ac:dyDescent="0.25">
      <c r="A151">
        <v>23</v>
      </c>
      <c r="B151" t="s">
        <v>717</v>
      </c>
      <c r="D151" s="94">
        <v>13.000000000000002</v>
      </c>
      <c r="E151" s="94">
        <v>157.69999999999999</v>
      </c>
      <c r="F151" s="95">
        <v>0.22648283785724543</v>
      </c>
    </row>
    <row r="152" spans="1:6" x14ac:dyDescent="0.25">
      <c r="A152">
        <v>23</v>
      </c>
      <c r="B152" t="s">
        <v>2570</v>
      </c>
      <c r="D152" s="94">
        <v>0</v>
      </c>
      <c r="E152" s="94">
        <v>3.5</v>
      </c>
      <c r="F152" s="95">
        <v>5.026569007611662E-3</v>
      </c>
    </row>
    <row r="153" spans="1:6" x14ac:dyDescent="0.25">
      <c r="A153">
        <v>24</v>
      </c>
      <c r="B153" t="s">
        <v>254</v>
      </c>
      <c r="D153" s="94">
        <v>0.5</v>
      </c>
      <c r="E153" s="94">
        <v>25</v>
      </c>
      <c r="F153" s="95">
        <v>2.7451411002525527E-2</v>
      </c>
    </row>
    <row r="154" spans="1:6" x14ac:dyDescent="0.25">
      <c r="A154">
        <v>24</v>
      </c>
      <c r="B154" t="s">
        <v>738</v>
      </c>
      <c r="D154" s="94">
        <v>9.1</v>
      </c>
      <c r="E154" s="94">
        <v>239.20000000000002</v>
      </c>
      <c r="F154" s="95">
        <v>0.26265510047216428</v>
      </c>
    </row>
    <row r="155" spans="1:6" x14ac:dyDescent="0.25">
      <c r="A155">
        <v>24</v>
      </c>
      <c r="B155" t="s">
        <v>776</v>
      </c>
      <c r="D155" s="94">
        <v>11.100000000000001</v>
      </c>
      <c r="E155" s="94">
        <v>275.2</v>
      </c>
      <c r="F155" s="95">
        <v>0.30218513231580102</v>
      </c>
    </row>
    <row r="156" spans="1:6" x14ac:dyDescent="0.25">
      <c r="A156">
        <v>24</v>
      </c>
      <c r="B156" t="s">
        <v>321</v>
      </c>
      <c r="D156" s="94">
        <v>0.7</v>
      </c>
      <c r="E156" s="94">
        <v>10.6</v>
      </c>
      <c r="F156" s="95">
        <v>1.1639398265070823E-2</v>
      </c>
    </row>
    <row r="157" spans="1:6" x14ac:dyDescent="0.25">
      <c r="A157">
        <v>24</v>
      </c>
      <c r="B157" t="s">
        <v>294</v>
      </c>
      <c r="D157" s="94">
        <v>17.000000000000004</v>
      </c>
      <c r="E157" s="94">
        <v>245.90000000000003</v>
      </c>
      <c r="F157" s="95">
        <v>0.27001207862084114</v>
      </c>
    </row>
    <row r="158" spans="1:6" x14ac:dyDescent="0.25">
      <c r="A158">
        <v>24</v>
      </c>
      <c r="B158" t="s">
        <v>2570</v>
      </c>
      <c r="D158" s="94">
        <v>2.2999999999999998</v>
      </c>
      <c r="E158" s="94">
        <v>114.80000000000001</v>
      </c>
      <c r="F158" s="95">
        <v>0.12605687932359724</v>
      </c>
    </row>
    <row r="159" spans="1:6" x14ac:dyDescent="0.25">
      <c r="A159">
        <v>44</v>
      </c>
      <c r="B159" t="s">
        <v>1074</v>
      </c>
      <c r="D159" s="94">
        <v>13.999999999999998</v>
      </c>
      <c r="E159" s="94">
        <v>110.10000000000001</v>
      </c>
      <c r="F159" s="95">
        <v>0.24224422442244226</v>
      </c>
    </row>
    <row r="160" spans="1:6" x14ac:dyDescent="0.25">
      <c r="A160">
        <v>44</v>
      </c>
      <c r="B160" t="s">
        <v>495</v>
      </c>
      <c r="D160" s="94">
        <v>10.9</v>
      </c>
      <c r="E160" s="94">
        <v>150.9</v>
      </c>
      <c r="F160" s="95">
        <v>0.33201320132013201</v>
      </c>
    </row>
    <row r="161" spans="1:6" x14ac:dyDescent="0.25">
      <c r="A161">
        <v>44</v>
      </c>
      <c r="B161" t="s">
        <v>266</v>
      </c>
      <c r="D161" s="94">
        <v>18</v>
      </c>
      <c r="E161" s="94">
        <v>193.49999999999997</v>
      </c>
      <c r="F161" s="95">
        <v>0.42574257425742568</v>
      </c>
    </row>
    <row r="162" spans="1:6" x14ac:dyDescent="0.25">
      <c r="A162">
        <v>45</v>
      </c>
      <c r="B162" t="s">
        <v>395</v>
      </c>
      <c r="D162" s="94">
        <v>22</v>
      </c>
      <c r="E162" s="94">
        <v>50.2</v>
      </c>
      <c r="F162" s="95">
        <v>0.17788802267895112</v>
      </c>
    </row>
    <row r="163" spans="1:6" x14ac:dyDescent="0.25">
      <c r="A163">
        <v>45</v>
      </c>
      <c r="B163" t="s">
        <v>484</v>
      </c>
      <c r="D163" s="94">
        <v>30</v>
      </c>
      <c r="E163" s="94">
        <v>87</v>
      </c>
      <c r="F163" s="95">
        <v>0.30829199149539332</v>
      </c>
    </row>
    <row r="164" spans="1:6" x14ac:dyDescent="0.25">
      <c r="A164">
        <v>45</v>
      </c>
      <c r="B164" t="s">
        <v>298</v>
      </c>
      <c r="D164" s="94">
        <v>15</v>
      </c>
      <c r="E164" s="94">
        <v>48</v>
      </c>
      <c r="F164" s="95">
        <v>0.17009213323883771</v>
      </c>
    </row>
    <row r="165" spans="1:6" x14ac:dyDescent="0.25">
      <c r="A165">
        <v>45</v>
      </c>
      <c r="B165" t="s">
        <v>1128</v>
      </c>
      <c r="D165" s="94">
        <v>20</v>
      </c>
      <c r="E165" s="94">
        <v>82</v>
      </c>
      <c r="F165" s="95">
        <v>0.29057406094968108</v>
      </c>
    </row>
    <row r="166" spans="1:6" x14ac:dyDescent="0.25">
      <c r="A166">
        <v>45</v>
      </c>
      <c r="B166" t="s">
        <v>2570</v>
      </c>
      <c r="D166" s="94">
        <v>2</v>
      </c>
      <c r="E166" s="94">
        <v>15</v>
      </c>
      <c r="F166" s="95">
        <v>5.3153791637136787E-2</v>
      </c>
    </row>
    <row r="167" spans="1:6" x14ac:dyDescent="0.25">
      <c r="A167">
        <v>47</v>
      </c>
      <c r="B167" t="s">
        <v>332</v>
      </c>
      <c r="D167" s="94">
        <v>18.349999999999994</v>
      </c>
      <c r="E167" s="94">
        <v>175.70000000000002</v>
      </c>
      <c r="F167" s="95">
        <v>0.25830638047633048</v>
      </c>
    </row>
    <row r="168" spans="1:6" x14ac:dyDescent="0.25">
      <c r="A168">
        <v>47</v>
      </c>
      <c r="B168" t="s">
        <v>790</v>
      </c>
      <c r="D168" s="94">
        <v>2</v>
      </c>
      <c r="E168" s="94">
        <v>9</v>
      </c>
      <c r="F168" s="95">
        <v>1.3231402528668038E-2</v>
      </c>
    </row>
    <row r="169" spans="1:6" x14ac:dyDescent="0.25">
      <c r="A169">
        <v>47</v>
      </c>
      <c r="B169" t="s">
        <v>826</v>
      </c>
      <c r="D169" s="94">
        <v>11.999999999999998</v>
      </c>
      <c r="E169" s="94">
        <v>156.10000000000005</v>
      </c>
      <c r="F169" s="95">
        <v>0.22949132608056461</v>
      </c>
    </row>
    <row r="170" spans="1:6" x14ac:dyDescent="0.25">
      <c r="A170">
        <v>47</v>
      </c>
      <c r="B170" t="s">
        <v>294</v>
      </c>
      <c r="D170" s="94">
        <v>13</v>
      </c>
      <c r="E170" s="94">
        <v>139.1</v>
      </c>
      <c r="F170" s="95">
        <v>0.20449867685974712</v>
      </c>
    </row>
    <row r="171" spans="1:6" x14ac:dyDescent="0.25">
      <c r="A171">
        <v>47</v>
      </c>
      <c r="B171" t="s">
        <v>2560</v>
      </c>
      <c r="D171" s="94">
        <v>18.5</v>
      </c>
      <c r="E171" s="94">
        <v>154.30000000000001</v>
      </c>
      <c r="F171" s="95">
        <v>0.22684504557483093</v>
      </c>
    </row>
    <row r="172" spans="1:6" x14ac:dyDescent="0.25">
      <c r="A172">
        <v>47</v>
      </c>
      <c r="B172" t="s">
        <v>2570</v>
      </c>
      <c r="D172" s="94">
        <v>7</v>
      </c>
      <c r="E172" s="94">
        <v>46</v>
      </c>
      <c r="F172" s="95">
        <v>6.7627168479858862E-2</v>
      </c>
    </row>
    <row r="173" spans="1:6" x14ac:dyDescent="0.25">
      <c r="A173">
        <v>55</v>
      </c>
      <c r="B173" t="s">
        <v>1289</v>
      </c>
      <c r="D173" s="94">
        <v>1</v>
      </c>
      <c r="E173" s="94">
        <v>15</v>
      </c>
      <c r="F173" s="95">
        <v>3.2188841201716736E-2</v>
      </c>
    </row>
    <row r="174" spans="1:6" x14ac:dyDescent="0.25">
      <c r="A174">
        <v>55</v>
      </c>
      <c r="B174" t="s">
        <v>1268</v>
      </c>
      <c r="D174" s="94">
        <v>36</v>
      </c>
      <c r="E174" s="94">
        <v>38.599999999999994</v>
      </c>
      <c r="F174" s="95">
        <v>8.2832618025751065E-2</v>
      </c>
    </row>
    <row r="175" spans="1:6" x14ac:dyDescent="0.25">
      <c r="A175">
        <v>55</v>
      </c>
      <c r="B175" t="s">
        <v>1270</v>
      </c>
      <c r="D175" s="94">
        <v>7</v>
      </c>
      <c r="E175" s="94">
        <v>31.100000000000005</v>
      </c>
      <c r="F175" s="95">
        <v>6.6738197424892717E-2</v>
      </c>
    </row>
    <row r="176" spans="1:6" x14ac:dyDescent="0.25">
      <c r="A176">
        <v>55</v>
      </c>
      <c r="B176" t="s">
        <v>1457</v>
      </c>
      <c r="D176" s="94">
        <v>7</v>
      </c>
      <c r="E176" s="94">
        <v>10.5</v>
      </c>
      <c r="F176" s="95">
        <v>2.2532188841201718E-2</v>
      </c>
    </row>
    <row r="177" spans="1:6" x14ac:dyDescent="0.25">
      <c r="A177">
        <v>55</v>
      </c>
      <c r="B177" t="s">
        <v>273</v>
      </c>
      <c r="D177" s="94">
        <v>40</v>
      </c>
      <c r="E177" s="94">
        <v>91.5</v>
      </c>
      <c r="F177" s="95">
        <v>0.1963519313304721</v>
      </c>
    </row>
    <row r="178" spans="1:6" x14ac:dyDescent="0.25">
      <c r="A178">
        <v>55</v>
      </c>
      <c r="B178" t="s">
        <v>749</v>
      </c>
      <c r="D178" s="94">
        <v>120</v>
      </c>
      <c r="E178" s="94">
        <v>55.400000000000006</v>
      </c>
      <c r="F178" s="95">
        <v>0.11888412017167384</v>
      </c>
    </row>
    <row r="179" spans="1:6" x14ac:dyDescent="0.25">
      <c r="A179">
        <v>55</v>
      </c>
      <c r="B179" t="s">
        <v>923</v>
      </c>
      <c r="D179" s="94">
        <v>82</v>
      </c>
      <c r="E179" s="94">
        <v>74.400000000000006</v>
      </c>
      <c r="F179" s="95">
        <v>0.15965665236051504</v>
      </c>
    </row>
    <row r="180" spans="1:6" x14ac:dyDescent="0.25">
      <c r="A180">
        <v>55</v>
      </c>
      <c r="B180" t="s">
        <v>680</v>
      </c>
      <c r="D180" s="94">
        <v>45</v>
      </c>
      <c r="E180" s="94">
        <v>34</v>
      </c>
      <c r="F180" s="95">
        <v>7.2961373390557943E-2</v>
      </c>
    </row>
    <row r="181" spans="1:6" x14ac:dyDescent="0.25">
      <c r="A181">
        <v>55</v>
      </c>
      <c r="B181" t="s">
        <v>211</v>
      </c>
      <c r="D181" s="94">
        <v>1</v>
      </c>
      <c r="E181" s="94">
        <v>3</v>
      </c>
      <c r="F181" s="95">
        <v>6.4377682403433476E-3</v>
      </c>
    </row>
    <row r="182" spans="1:6" x14ac:dyDescent="0.25">
      <c r="A182">
        <v>55</v>
      </c>
      <c r="B182" t="s">
        <v>415</v>
      </c>
      <c r="D182" s="94">
        <v>58</v>
      </c>
      <c r="E182" s="94">
        <v>43.5</v>
      </c>
      <c r="F182" s="95">
        <v>9.334763948497854E-2</v>
      </c>
    </row>
    <row r="183" spans="1:6" x14ac:dyDescent="0.25">
      <c r="A183">
        <v>55</v>
      </c>
      <c r="B183" t="s">
        <v>589</v>
      </c>
      <c r="D183" s="94">
        <v>24</v>
      </c>
      <c r="E183" s="94">
        <v>18.5</v>
      </c>
      <c r="F183" s="95">
        <v>3.9699570815450641E-2</v>
      </c>
    </row>
    <row r="184" spans="1:6" x14ac:dyDescent="0.25">
      <c r="A184">
        <v>55</v>
      </c>
      <c r="B184" t="s">
        <v>1506</v>
      </c>
      <c r="D184" s="94">
        <v>12</v>
      </c>
      <c r="E184" s="94">
        <v>35.5</v>
      </c>
      <c r="F184" s="95">
        <v>7.6180257510729613E-2</v>
      </c>
    </row>
    <row r="185" spans="1:6" x14ac:dyDescent="0.25">
      <c r="A185">
        <v>55</v>
      </c>
      <c r="B185" t="s">
        <v>2570</v>
      </c>
      <c r="D185" s="94">
        <v>6</v>
      </c>
      <c r="E185" s="94">
        <v>15</v>
      </c>
      <c r="F185" s="95">
        <v>3.2188841201716736E-2</v>
      </c>
    </row>
    <row r="186" spans="1:6" x14ac:dyDescent="0.25">
      <c r="A186">
        <v>56</v>
      </c>
      <c r="B186" t="s">
        <v>273</v>
      </c>
      <c r="D186" s="94">
        <v>288</v>
      </c>
      <c r="E186" s="94">
        <v>296.29999999999995</v>
      </c>
      <c r="F186" s="95">
        <v>0.56838672549395741</v>
      </c>
    </row>
    <row r="187" spans="1:6" x14ac:dyDescent="0.25">
      <c r="A187">
        <v>56</v>
      </c>
      <c r="B187" t="s">
        <v>676</v>
      </c>
      <c r="D187" s="94">
        <v>40</v>
      </c>
      <c r="E187" s="94">
        <v>100.4</v>
      </c>
      <c r="F187" s="95">
        <v>0.19259543449069635</v>
      </c>
    </row>
    <row r="188" spans="1:6" x14ac:dyDescent="0.25">
      <c r="A188">
        <v>56</v>
      </c>
      <c r="B188" t="s">
        <v>1418</v>
      </c>
      <c r="D188" s="94">
        <v>4</v>
      </c>
      <c r="E188" s="94">
        <v>5</v>
      </c>
      <c r="F188" s="95">
        <v>9.5914061001342813E-3</v>
      </c>
    </row>
    <row r="189" spans="1:6" x14ac:dyDescent="0.25">
      <c r="A189">
        <v>56</v>
      </c>
      <c r="B189" t="s">
        <v>1397</v>
      </c>
      <c r="D189" s="94">
        <v>57</v>
      </c>
      <c r="E189" s="94">
        <v>81.999999999999986</v>
      </c>
      <c r="F189" s="95">
        <v>0.15729906004220218</v>
      </c>
    </row>
    <row r="190" spans="1:6" x14ac:dyDescent="0.25">
      <c r="A190">
        <v>56</v>
      </c>
      <c r="B190" t="s">
        <v>1646</v>
      </c>
      <c r="D190" s="94">
        <v>12</v>
      </c>
      <c r="E190" s="94">
        <v>20.2</v>
      </c>
      <c r="F190" s="95">
        <v>3.8749280644542493E-2</v>
      </c>
    </row>
    <row r="191" spans="1:6" x14ac:dyDescent="0.25">
      <c r="A191">
        <v>56</v>
      </c>
      <c r="B191" t="s">
        <v>1683</v>
      </c>
      <c r="D191" s="94">
        <v>8</v>
      </c>
      <c r="E191" s="94">
        <v>12.899999999999999</v>
      </c>
      <c r="F191" s="95">
        <v>2.4745827738346441E-2</v>
      </c>
    </row>
    <row r="192" spans="1:6" x14ac:dyDescent="0.25">
      <c r="A192">
        <v>56</v>
      </c>
      <c r="B192" t="s">
        <v>226</v>
      </c>
      <c r="D192" s="94">
        <v>9</v>
      </c>
      <c r="E192" s="94">
        <v>4.5</v>
      </c>
      <c r="F192" s="95">
        <v>8.632265490120852E-3</v>
      </c>
    </row>
    <row r="193" spans="1:6" x14ac:dyDescent="0.25">
      <c r="A193">
        <v>57</v>
      </c>
      <c r="B193" t="s">
        <v>594</v>
      </c>
      <c r="D193" s="94">
        <v>32</v>
      </c>
      <c r="E193" s="94">
        <v>42.7</v>
      </c>
      <c r="F193" s="95">
        <v>6.6283762806581825E-2</v>
      </c>
    </row>
    <row r="194" spans="1:6" x14ac:dyDescent="0.25">
      <c r="A194">
        <v>57</v>
      </c>
      <c r="B194" t="s">
        <v>1039</v>
      </c>
      <c r="D194" s="94">
        <v>16</v>
      </c>
      <c r="E194" s="94">
        <v>12</v>
      </c>
      <c r="F194" s="95">
        <v>1.8627755355479666E-2</v>
      </c>
    </row>
    <row r="195" spans="1:6" x14ac:dyDescent="0.25">
      <c r="A195">
        <v>57</v>
      </c>
      <c r="B195" t="s">
        <v>459</v>
      </c>
      <c r="D195" s="94">
        <v>22</v>
      </c>
      <c r="E195" s="94">
        <v>51</v>
      </c>
      <c r="F195" s="95">
        <v>7.9167960260788581E-2</v>
      </c>
    </row>
    <row r="196" spans="1:6" x14ac:dyDescent="0.25">
      <c r="A196">
        <v>57</v>
      </c>
      <c r="B196" t="s">
        <v>698</v>
      </c>
      <c r="D196" s="94">
        <v>80</v>
      </c>
      <c r="E196" s="94">
        <v>143.39999999999998</v>
      </c>
      <c r="F196" s="95">
        <v>0.22260167649798199</v>
      </c>
    </row>
    <row r="197" spans="1:6" x14ac:dyDescent="0.25">
      <c r="A197">
        <v>57</v>
      </c>
      <c r="B197" t="s">
        <v>1042</v>
      </c>
      <c r="D197" s="94">
        <v>57.199999999999996</v>
      </c>
      <c r="E197" s="94">
        <v>207.20000000000002</v>
      </c>
      <c r="F197" s="95">
        <v>0.32163924247128228</v>
      </c>
    </row>
    <row r="198" spans="1:6" x14ac:dyDescent="0.25">
      <c r="A198">
        <v>57</v>
      </c>
      <c r="B198" t="s">
        <v>1031</v>
      </c>
      <c r="D198" s="94">
        <v>66.5</v>
      </c>
      <c r="E198" s="94">
        <v>180.4</v>
      </c>
      <c r="F198" s="95">
        <v>0.28003725551071101</v>
      </c>
    </row>
    <row r="199" spans="1:6" x14ac:dyDescent="0.25">
      <c r="A199">
        <v>57</v>
      </c>
      <c r="B199" t="s">
        <v>408</v>
      </c>
      <c r="D199" s="94">
        <v>15</v>
      </c>
      <c r="E199" s="94">
        <v>7.5</v>
      </c>
      <c r="F199" s="95">
        <v>1.1642347097174792E-2</v>
      </c>
    </row>
    <row r="200" spans="1:6" x14ac:dyDescent="0.25">
      <c r="A200">
        <v>58</v>
      </c>
      <c r="B200" t="s">
        <v>1289</v>
      </c>
      <c r="D200" s="94">
        <v>6.3</v>
      </c>
      <c r="E200" s="94">
        <v>83</v>
      </c>
      <c r="F200" s="95">
        <v>0.11091808098356275</v>
      </c>
    </row>
    <row r="201" spans="1:6" x14ac:dyDescent="0.25">
      <c r="A201">
        <v>58</v>
      </c>
      <c r="B201" t="s">
        <v>1386</v>
      </c>
      <c r="D201" s="94">
        <v>36</v>
      </c>
      <c r="E201" s="94">
        <v>12</v>
      </c>
      <c r="F201" s="95">
        <v>1.6036349057864493E-2</v>
      </c>
    </row>
    <row r="202" spans="1:6" x14ac:dyDescent="0.25">
      <c r="A202">
        <v>58</v>
      </c>
      <c r="B202" t="s">
        <v>1311</v>
      </c>
      <c r="D202" s="94">
        <v>3</v>
      </c>
      <c r="E202" s="94">
        <v>10.1</v>
      </c>
      <c r="F202" s="95">
        <v>1.3497260457035948E-2</v>
      </c>
    </row>
    <row r="203" spans="1:6" x14ac:dyDescent="0.25">
      <c r="A203">
        <v>58</v>
      </c>
      <c r="B203" t="s">
        <v>1264</v>
      </c>
      <c r="D203" s="94">
        <v>6</v>
      </c>
      <c r="E203" s="94">
        <v>16.8</v>
      </c>
      <c r="F203" s="95">
        <v>2.2450888681010292E-2</v>
      </c>
    </row>
    <row r="204" spans="1:6" x14ac:dyDescent="0.25">
      <c r="A204">
        <v>58</v>
      </c>
      <c r="B204" t="s">
        <v>813</v>
      </c>
      <c r="D204" s="94">
        <v>8</v>
      </c>
      <c r="E204" s="94">
        <v>23.7</v>
      </c>
      <c r="F204" s="95">
        <v>3.1671789389282376E-2</v>
      </c>
    </row>
    <row r="205" spans="1:6" x14ac:dyDescent="0.25">
      <c r="A205">
        <v>58</v>
      </c>
      <c r="B205" t="s">
        <v>815</v>
      </c>
      <c r="D205" s="94">
        <v>9</v>
      </c>
      <c r="E205" s="94">
        <v>38.000000000000007</v>
      </c>
      <c r="F205" s="95">
        <v>5.0781772016570907E-2</v>
      </c>
    </row>
    <row r="206" spans="1:6" x14ac:dyDescent="0.25">
      <c r="A206">
        <v>58</v>
      </c>
      <c r="B206" t="s">
        <v>899</v>
      </c>
      <c r="D206" s="94">
        <v>10.4</v>
      </c>
      <c r="E206" s="94">
        <v>27.7</v>
      </c>
      <c r="F206" s="95">
        <v>3.7017239075237206E-2</v>
      </c>
    </row>
    <row r="207" spans="1:6" x14ac:dyDescent="0.25">
      <c r="A207">
        <v>58</v>
      </c>
      <c r="B207" t="s">
        <v>1294</v>
      </c>
      <c r="D207" s="94">
        <v>4</v>
      </c>
      <c r="E207" s="94">
        <v>2.2999999999999998</v>
      </c>
      <c r="F207" s="95">
        <v>3.0736335694240276E-3</v>
      </c>
    </row>
    <row r="208" spans="1:6" x14ac:dyDescent="0.25">
      <c r="A208">
        <v>58</v>
      </c>
      <c r="B208" t="s">
        <v>1295</v>
      </c>
      <c r="D208" s="94">
        <v>4</v>
      </c>
      <c r="E208" s="94">
        <v>2.7</v>
      </c>
      <c r="F208" s="95">
        <v>3.6081785380195114E-3</v>
      </c>
    </row>
    <row r="209" spans="1:6" x14ac:dyDescent="0.25">
      <c r="A209">
        <v>58</v>
      </c>
      <c r="B209" t="s">
        <v>142</v>
      </c>
      <c r="D209" s="94">
        <v>8</v>
      </c>
      <c r="E209" s="94">
        <v>29.5</v>
      </c>
      <c r="F209" s="95">
        <v>3.9422691433916877E-2</v>
      </c>
    </row>
    <row r="210" spans="1:6" x14ac:dyDescent="0.25">
      <c r="A210">
        <v>58</v>
      </c>
      <c r="B210" t="s">
        <v>214</v>
      </c>
      <c r="D210" s="94">
        <v>17</v>
      </c>
      <c r="E210" s="94">
        <v>50.099999999999994</v>
      </c>
      <c r="F210" s="95">
        <v>6.6951757316584259E-2</v>
      </c>
    </row>
    <row r="211" spans="1:6" x14ac:dyDescent="0.25">
      <c r="A211">
        <v>58</v>
      </c>
      <c r="B211" t="s">
        <v>1759</v>
      </c>
      <c r="D211" s="94">
        <v>152</v>
      </c>
      <c r="E211" s="94">
        <v>93.2</v>
      </c>
      <c r="F211" s="95">
        <v>0.12454897768274757</v>
      </c>
    </row>
    <row r="212" spans="1:6" x14ac:dyDescent="0.25">
      <c r="A212">
        <v>58</v>
      </c>
      <c r="B212" t="s">
        <v>211</v>
      </c>
      <c r="D212" s="94">
        <v>41</v>
      </c>
      <c r="E212" s="94">
        <v>17.100000000000001</v>
      </c>
      <c r="F212" s="95">
        <v>2.2851797407456905E-2</v>
      </c>
    </row>
    <row r="213" spans="1:6" x14ac:dyDescent="0.25">
      <c r="A213">
        <v>58</v>
      </c>
      <c r="B213" t="s">
        <v>946</v>
      </c>
      <c r="D213" s="94">
        <v>10</v>
      </c>
      <c r="E213" s="94">
        <v>13</v>
      </c>
      <c r="F213" s="95">
        <v>1.7372711479353202E-2</v>
      </c>
    </row>
    <row r="214" spans="1:6" x14ac:dyDescent="0.25">
      <c r="A214">
        <v>58</v>
      </c>
      <c r="B214" t="s">
        <v>1047</v>
      </c>
      <c r="D214" s="94">
        <v>42</v>
      </c>
      <c r="E214" s="94">
        <v>75.7</v>
      </c>
      <c r="F214" s="95">
        <v>0.10116263530669518</v>
      </c>
    </row>
    <row r="215" spans="1:6" x14ac:dyDescent="0.25">
      <c r="A215">
        <v>58</v>
      </c>
      <c r="B215" t="s">
        <v>423</v>
      </c>
      <c r="D215" s="94">
        <v>78</v>
      </c>
      <c r="E215" s="94">
        <v>119.39999999999998</v>
      </c>
      <c r="F215" s="95">
        <v>0.15956167312575167</v>
      </c>
    </row>
    <row r="216" spans="1:6" x14ac:dyDescent="0.25">
      <c r="A216">
        <v>58</v>
      </c>
      <c r="B216" t="s">
        <v>695</v>
      </c>
      <c r="D216" s="94">
        <v>24</v>
      </c>
      <c r="E216" s="94">
        <v>26.3</v>
      </c>
      <c r="F216" s="95">
        <v>3.5146331685153014E-2</v>
      </c>
    </row>
    <row r="217" spans="1:6" x14ac:dyDescent="0.25">
      <c r="A217">
        <v>58</v>
      </c>
      <c r="B217" t="s">
        <v>1470</v>
      </c>
      <c r="D217" s="94">
        <v>20</v>
      </c>
      <c r="E217" s="94">
        <v>20</v>
      </c>
      <c r="F217" s="95">
        <v>2.6727248429774156E-2</v>
      </c>
    </row>
    <row r="218" spans="1:6" x14ac:dyDescent="0.25">
      <c r="A218">
        <v>58</v>
      </c>
      <c r="B218" t="s">
        <v>1513</v>
      </c>
      <c r="D218" s="94">
        <v>40</v>
      </c>
      <c r="E218" s="94">
        <v>16.7</v>
      </c>
      <c r="F218" s="95">
        <v>2.2317252438861419E-2</v>
      </c>
    </row>
    <row r="219" spans="1:6" x14ac:dyDescent="0.25">
      <c r="A219">
        <v>58</v>
      </c>
      <c r="B219" t="s">
        <v>2570</v>
      </c>
      <c r="D219" s="94">
        <v>4</v>
      </c>
      <c r="E219" s="94">
        <v>71</v>
      </c>
      <c r="F219" s="95">
        <v>9.4881731925698251E-2</v>
      </c>
    </row>
    <row r="220" spans="1:6" x14ac:dyDescent="0.25">
      <c r="A220">
        <v>59</v>
      </c>
      <c r="B220" t="s">
        <v>1386</v>
      </c>
      <c r="D220" s="94">
        <v>78</v>
      </c>
      <c r="E220" s="94">
        <v>29.5</v>
      </c>
      <c r="F220" s="95">
        <v>3.9811066126855602E-2</v>
      </c>
    </row>
    <row r="221" spans="1:6" x14ac:dyDescent="0.25">
      <c r="A221">
        <v>59</v>
      </c>
      <c r="B221" t="s">
        <v>1661</v>
      </c>
      <c r="D221" s="94">
        <v>5</v>
      </c>
      <c r="E221" s="94">
        <v>17.899999999999999</v>
      </c>
      <c r="F221" s="95">
        <v>2.4156545209176785E-2</v>
      </c>
    </row>
    <row r="222" spans="1:6" x14ac:dyDescent="0.25">
      <c r="A222">
        <v>59</v>
      </c>
      <c r="B222" t="s">
        <v>1428</v>
      </c>
      <c r="D222" s="94">
        <v>18</v>
      </c>
      <c r="E222" s="94">
        <v>36.6</v>
      </c>
      <c r="F222" s="95">
        <v>4.9392712550607287E-2</v>
      </c>
    </row>
    <row r="223" spans="1:6" x14ac:dyDescent="0.25">
      <c r="A223">
        <v>59</v>
      </c>
      <c r="B223" t="s">
        <v>1791</v>
      </c>
      <c r="D223" s="94">
        <v>4</v>
      </c>
      <c r="E223" s="94">
        <v>12.500000000000002</v>
      </c>
      <c r="F223" s="95">
        <v>1.6869095816464241E-2</v>
      </c>
    </row>
    <row r="224" spans="1:6" x14ac:dyDescent="0.25">
      <c r="A224">
        <v>59</v>
      </c>
      <c r="B224" t="s">
        <v>895</v>
      </c>
      <c r="D224" s="94">
        <v>16</v>
      </c>
      <c r="E224" s="94">
        <v>16.5</v>
      </c>
      <c r="F224" s="95">
        <v>2.2267206477732792E-2</v>
      </c>
    </row>
    <row r="225" spans="1:6" x14ac:dyDescent="0.25">
      <c r="A225">
        <v>59</v>
      </c>
      <c r="B225" t="s">
        <v>616</v>
      </c>
      <c r="D225" s="94">
        <v>52</v>
      </c>
      <c r="E225" s="94">
        <v>72.399999999999991</v>
      </c>
      <c r="F225" s="95">
        <v>9.770580296896085E-2</v>
      </c>
    </row>
    <row r="226" spans="1:6" x14ac:dyDescent="0.25">
      <c r="A226">
        <v>59</v>
      </c>
      <c r="B226" t="s">
        <v>924</v>
      </c>
      <c r="D226" s="94">
        <v>40</v>
      </c>
      <c r="E226" s="94">
        <v>55.800000000000004</v>
      </c>
      <c r="F226" s="95">
        <v>7.5303643724696362E-2</v>
      </c>
    </row>
    <row r="227" spans="1:6" x14ac:dyDescent="0.25">
      <c r="A227">
        <v>59</v>
      </c>
      <c r="B227" t="s">
        <v>753</v>
      </c>
      <c r="D227" s="94">
        <v>16</v>
      </c>
      <c r="E227" s="94">
        <v>11.3</v>
      </c>
      <c r="F227" s="95">
        <v>1.5249662618083672E-2</v>
      </c>
    </row>
    <row r="228" spans="1:6" x14ac:dyDescent="0.25">
      <c r="A228">
        <v>59</v>
      </c>
      <c r="B228" t="s">
        <v>1261</v>
      </c>
      <c r="D228" s="94">
        <v>5</v>
      </c>
      <c r="E228" s="94">
        <v>16.2</v>
      </c>
      <c r="F228" s="95">
        <v>2.1862348178137651E-2</v>
      </c>
    </row>
    <row r="229" spans="1:6" x14ac:dyDescent="0.25">
      <c r="A229">
        <v>59</v>
      </c>
      <c r="B229" t="s">
        <v>1262</v>
      </c>
      <c r="D229" s="94">
        <v>8</v>
      </c>
      <c r="E229" s="94">
        <v>13.600000000000001</v>
      </c>
      <c r="F229" s="95">
        <v>1.8353576248313092E-2</v>
      </c>
    </row>
    <row r="230" spans="1:6" x14ac:dyDescent="0.25">
      <c r="A230">
        <v>59</v>
      </c>
      <c r="B230" t="s">
        <v>1293</v>
      </c>
      <c r="D230" s="94">
        <v>8</v>
      </c>
      <c r="E230" s="94">
        <v>7</v>
      </c>
      <c r="F230" s="95">
        <v>9.4466936572199737E-3</v>
      </c>
    </row>
    <row r="231" spans="1:6" x14ac:dyDescent="0.25">
      <c r="A231">
        <v>59</v>
      </c>
      <c r="B231" t="s">
        <v>1294</v>
      </c>
      <c r="D231" s="94">
        <v>4</v>
      </c>
      <c r="E231" s="94">
        <v>7</v>
      </c>
      <c r="F231" s="95">
        <v>9.4466936572199737E-3</v>
      </c>
    </row>
    <row r="232" spans="1:6" x14ac:dyDescent="0.25">
      <c r="A232">
        <v>59</v>
      </c>
      <c r="B232" t="s">
        <v>1295</v>
      </c>
      <c r="D232" s="94">
        <v>4</v>
      </c>
      <c r="E232" s="94">
        <v>2.2999999999999998</v>
      </c>
      <c r="F232" s="95">
        <v>3.1039136302294197E-3</v>
      </c>
    </row>
    <row r="233" spans="1:6" x14ac:dyDescent="0.25">
      <c r="A233">
        <v>59</v>
      </c>
      <c r="B233" t="s">
        <v>1292</v>
      </c>
      <c r="D233" s="94">
        <v>8</v>
      </c>
      <c r="E233" s="94">
        <v>7</v>
      </c>
      <c r="F233" s="95">
        <v>9.4466936572199737E-3</v>
      </c>
    </row>
    <row r="234" spans="1:6" x14ac:dyDescent="0.25">
      <c r="A234">
        <v>59</v>
      </c>
      <c r="B234" t="s">
        <v>846</v>
      </c>
      <c r="D234" s="94">
        <v>51</v>
      </c>
      <c r="E234" s="94">
        <v>58.1</v>
      </c>
      <c r="F234" s="95">
        <v>7.8407557354925772E-2</v>
      </c>
    </row>
    <row r="235" spans="1:6" x14ac:dyDescent="0.25">
      <c r="A235">
        <v>59</v>
      </c>
      <c r="B235" t="s">
        <v>1039</v>
      </c>
      <c r="D235" s="94">
        <v>12</v>
      </c>
      <c r="E235" s="94">
        <v>18.899999999999999</v>
      </c>
      <c r="F235" s="95">
        <v>2.5506072874493926E-2</v>
      </c>
    </row>
    <row r="236" spans="1:6" x14ac:dyDescent="0.25">
      <c r="A236">
        <v>59</v>
      </c>
      <c r="B236" t="s">
        <v>1686</v>
      </c>
      <c r="D236" s="94">
        <v>28</v>
      </c>
      <c r="E236" s="94">
        <v>44</v>
      </c>
      <c r="F236" s="95">
        <v>5.9379217273954114E-2</v>
      </c>
    </row>
    <row r="237" spans="1:6" x14ac:dyDescent="0.25">
      <c r="A237">
        <v>59</v>
      </c>
      <c r="B237" t="s">
        <v>142</v>
      </c>
      <c r="D237" s="94">
        <v>5.2</v>
      </c>
      <c r="E237" s="94">
        <v>6.5</v>
      </c>
      <c r="F237" s="95">
        <v>8.771929824561403E-3</v>
      </c>
    </row>
    <row r="238" spans="1:6" x14ac:dyDescent="0.25">
      <c r="A238">
        <v>59</v>
      </c>
      <c r="B238" t="s">
        <v>138</v>
      </c>
      <c r="D238" s="94">
        <v>26</v>
      </c>
      <c r="E238" s="94">
        <v>57.4</v>
      </c>
      <c r="F238" s="95">
        <v>7.7462887989203782E-2</v>
      </c>
    </row>
    <row r="239" spans="1:6" x14ac:dyDescent="0.25">
      <c r="A239">
        <v>59</v>
      </c>
      <c r="B239" t="s">
        <v>552</v>
      </c>
      <c r="D239" s="94">
        <v>4</v>
      </c>
      <c r="E239" s="94">
        <v>17.5</v>
      </c>
      <c r="F239" s="95">
        <v>2.3616734143049933E-2</v>
      </c>
    </row>
    <row r="240" spans="1:6" x14ac:dyDescent="0.25">
      <c r="A240">
        <v>59</v>
      </c>
      <c r="B240" t="s">
        <v>2573</v>
      </c>
      <c r="D240" s="94"/>
      <c r="E240" s="94">
        <v>3.5</v>
      </c>
      <c r="F240" s="95">
        <v>4.7233468286099868E-3</v>
      </c>
    </row>
    <row r="241" spans="1:6" x14ac:dyDescent="0.25">
      <c r="A241">
        <v>59</v>
      </c>
      <c r="B241" t="s">
        <v>2572</v>
      </c>
      <c r="D241" s="94">
        <v>2</v>
      </c>
      <c r="E241" s="94">
        <v>4.7</v>
      </c>
      <c r="F241" s="95">
        <v>6.3427800269905531E-3</v>
      </c>
    </row>
    <row r="242" spans="1:6" x14ac:dyDescent="0.25">
      <c r="A242">
        <v>59</v>
      </c>
      <c r="B242" t="s">
        <v>966</v>
      </c>
      <c r="D242" s="94">
        <v>40</v>
      </c>
      <c r="E242" s="94">
        <v>4</v>
      </c>
      <c r="F242" s="95">
        <v>5.3981106612685558E-3</v>
      </c>
    </row>
    <row r="243" spans="1:6" x14ac:dyDescent="0.25">
      <c r="A243">
        <v>59</v>
      </c>
      <c r="B243" t="s">
        <v>1745</v>
      </c>
      <c r="D243" s="94">
        <v>20</v>
      </c>
      <c r="E243" s="94">
        <v>15.8</v>
      </c>
      <c r="F243" s="95">
        <v>2.1322537112010796E-2</v>
      </c>
    </row>
    <row r="244" spans="1:6" x14ac:dyDescent="0.25">
      <c r="A244">
        <v>59</v>
      </c>
      <c r="B244" t="s">
        <v>1742</v>
      </c>
      <c r="D244" s="94">
        <v>81</v>
      </c>
      <c r="E244" s="94">
        <v>85.000000000000014</v>
      </c>
      <c r="F244" s="95">
        <v>0.11470985155195683</v>
      </c>
    </row>
    <row r="245" spans="1:6" x14ac:dyDescent="0.25">
      <c r="A245">
        <v>59</v>
      </c>
      <c r="B245" t="s">
        <v>807</v>
      </c>
      <c r="D245" s="94">
        <v>15</v>
      </c>
      <c r="E245" s="94">
        <v>8</v>
      </c>
      <c r="F245" s="95">
        <v>1.0796221322537112E-2</v>
      </c>
    </row>
    <row r="246" spans="1:6" x14ac:dyDescent="0.25">
      <c r="A246">
        <v>59</v>
      </c>
      <c r="B246" t="s">
        <v>408</v>
      </c>
      <c r="D246" s="94">
        <v>57</v>
      </c>
      <c r="E246" s="94">
        <v>58</v>
      </c>
      <c r="F246" s="95">
        <v>7.8272604588394065E-2</v>
      </c>
    </row>
    <row r="247" spans="1:6" x14ac:dyDescent="0.25">
      <c r="A247">
        <v>59</v>
      </c>
      <c r="B247" t="s">
        <v>2576</v>
      </c>
      <c r="D247" s="94">
        <v>12</v>
      </c>
      <c r="E247" s="94"/>
      <c r="F247" s="95">
        <v>0</v>
      </c>
    </row>
    <row r="248" spans="1:6" x14ac:dyDescent="0.25">
      <c r="A248">
        <v>59</v>
      </c>
      <c r="B248" t="s">
        <v>2570</v>
      </c>
      <c r="D248" s="94">
        <v>10</v>
      </c>
      <c r="E248" s="94">
        <v>54</v>
      </c>
      <c r="F248" s="95">
        <v>7.28744939271255E-2</v>
      </c>
    </row>
    <row r="249" spans="1:6" x14ac:dyDescent="0.25">
      <c r="A249">
        <v>69</v>
      </c>
      <c r="B249" t="s">
        <v>1285</v>
      </c>
      <c r="D249" s="94">
        <v>1</v>
      </c>
      <c r="E249" s="94">
        <v>14.100000000000001</v>
      </c>
      <c r="F249" s="95">
        <v>1.0835318527626222E-2</v>
      </c>
    </row>
    <row r="250" spans="1:6" x14ac:dyDescent="0.25">
      <c r="A250">
        <v>69</v>
      </c>
      <c r="B250" t="s">
        <v>276</v>
      </c>
      <c r="D250" s="94">
        <v>1</v>
      </c>
      <c r="E250" s="94">
        <v>11</v>
      </c>
      <c r="F250" s="95">
        <v>8.4530853761623E-3</v>
      </c>
    </row>
    <row r="251" spans="1:6" x14ac:dyDescent="0.25">
      <c r="A251">
        <v>69</v>
      </c>
      <c r="B251" t="s">
        <v>1819</v>
      </c>
      <c r="D251" s="94">
        <v>1</v>
      </c>
      <c r="E251" s="94">
        <v>3</v>
      </c>
      <c r="F251" s="95">
        <v>2.3053869207715363E-3</v>
      </c>
    </row>
    <row r="252" spans="1:6" x14ac:dyDescent="0.25">
      <c r="A252">
        <v>69</v>
      </c>
      <c r="B252" t="s">
        <v>132</v>
      </c>
      <c r="D252" s="94">
        <v>1</v>
      </c>
      <c r="E252" s="94">
        <v>18.5</v>
      </c>
      <c r="F252" s="95">
        <v>1.4216552678091141E-2</v>
      </c>
    </row>
    <row r="253" spans="1:6" x14ac:dyDescent="0.25">
      <c r="A253">
        <v>69</v>
      </c>
      <c r="B253" t="s">
        <v>404</v>
      </c>
      <c r="D253" s="94">
        <v>24</v>
      </c>
      <c r="E253" s="94">
        <v>62.899999999999991</v>
      </c>
      <c r="F253" s="95">
        <v>4.8336279105509868E-2</v>
      </c>
    </row>
    <row r="254" spans="1:6" x14ac:dyDescent="0.25">
      <c r="A254">
        <v>69</v>
      </c>
      <c r="B254" t="s">
        <v>2557</v>
      </c>
      <c r="D254" s="94">
        <v>23</v>
      </c>
      <c r="E254" s="94">
        <v>78</v>
      </c>
      <c r="F254" s="95">
        <v>5.9940059940059943E-2</v>
      </c>
    </row>
    <row r="255" spans="1:6" x14ac:dyDescent="0.25">
      <c r="A255">
        <v>69</v>
      </c>
      <c r="B255" t="s">
        <v>217</v>
      </c>
      <c r="D255" s="94">
        <v>10</v>
      </c>
      <c r="E255" s="94">
        <v>47.5</v>
      </c>
      <c r="F255" s="95">
        <v>3.6501959578882658E-2</v>
      </c>
    </row>
    <row r="256" spans="1:6" x14ac:dyDescent="0.25">
      <c r="A256">
        <v>69</v>
      </c>
      <c r="B256" t="s">
        <v>592</v>
      </c>
      <c r="D256" s="94">
        <v>10</v>
      </c>
      <c r="E256" s="94">
        <v>45.5</v>
      </c>
      <c r="F256" s="95">
        <v>3.4965034965034968E-2</v>
      </c>
    </row>
    <row r="257" spans="1:6" x14ac:dyDescent="0.25">
      <c r="A257">
        <v>69</v>
      </c>
      <c r="B257" t="s">
        <v>662</v>
      </c>
      <c r="D257" s="94">
        <v>8</v>
      </c>
      <c r="E257" s="94">
        <v>80.5</v>
      </c>
      <c r="F257" s="95">
        <v>6.1861215707369556E-2</v>
      </c>
    </row>
    <row r="258" spans="1:6" x14ac:dyDescent="0.25">
      <c r="A258">
        <v>69</v>
      </c>
      <c r="B258" t="s">
        <v>742</v>
      </c>
      <c r="D258" s="94">
        <v>9</v>
      </c>
      <c r="E258" s="94">
        <v>91.5</v>
      </c>
      <c r="F258" s="95">
        <v>7.0314301083531858E-2</v>
      </c>
    </row>
    <row r="259" spans="1:6" x14ac:dyDescent="0.25">
      <c r="A259">
        <v>69</v>
      </c>
      <c r="B259" t="s">
        <v>495</v>
      </c>
      <c r="D259" s="94">
        <v>11</v>
      </c>
      <c r="E259" s="94">
        <v>63</v>
      </c>
      <c r="F259" s="95">
        <v>4.8413125336202262E-2</v>
      </c>
    </row>
    <row r="260" spans="1:6" x14ac:dyDescent="0.25">
      <c r="A260">
        <v>69</v>
      </c>
      <c r="B260" t="s">
        <v>266</v>
      </c>
      <c r="D260" s="94">
        <v>13</v>
      </c>
      <c r="E260" s="94">
        <v>88.4</v>
      </c>
      <c r="F260" s="95">
        <v>6.7932067932067935E-2</v>
      </c>
    </row>
    <row r="261" spans="1:6" x14ac:dyDescent="0.25">
      <c r="A261">
        <v>69</v>
      </c>
      <c r="B261" t="s">
        <v>169</v>
      </c>
      <c r="D261" s="94">
        <v>1</v>
      </c>
      <c r="E261" s="94">
        <v>14.5</v>
      </c>
      <c r="F261" s="95">
        <v>1.1142703450395759E-2</v>
      </c>
    </row>
    <row r="262" spans="1:6" x14ac:dyDescent="0.25">
      <c r="A262">
        <v>69</v>
      </c>
      <c r="B262" t="s">
        <v>395</v>
      </c>
      <c r="D262" s="94">
        <v>2</v>
      </c>
      <c r="E262" s="94">
        <v>18.8</v>
      </c>
      <c r="F262" s="95">
        <v>1.4447091370168294E-2</v>
      </c>
    </row>
    <row r="263" spans="1:6" x14ac:dyDescent="0.25">
      <c r="A263">
        <v>69</v>
      </c>
      <c r="B263" t="s">
        <v>484</v>
      </c>
      <c r="D263" s="94">
        <v>6</v>
      </c>
      <c r="E263" s="94">
        <v>80</v>
      </c>
      <c r="F263" s="95">
        <v>6.1476984553907633E-2</v>
      </c>
    </row>
    <row r="264" spans="1:6" x14ac:dyDescent="0.25">
      <c r="A264">
        <v>69</v>
      </c>
      <c r="B264" t="s">
        <v>298</v>
      </c>
      <c r="D264" s="94">
        <v>2.6</v>
      </c>
      <c r="E264" s="94">
        <v>46.1</v>
      </c>
      <c r="F264" s="95">
        <v>3.5426112349189277E-2</v>
      </c>
    </row>
    <row r="265" spans="1:6" x14ac:dyDescent="0.25">
      <c r="A265">
        <v>69</v>
      </c>
      <c r="B265" t="s">
        <v>787</v>
      </c>
      <c r="D265" s="94">
        <v>18</v>
      </c>
      <c r="E265" s="94">
        <v>63.5</v>
      </c>
      <c r="F265" s="95">
        <v>4.8797356489664184E-2</v>
      </c>
    </row>
    <row r="266" spans="1:6" x14ac:dyDescent="0.25">
      <c r="A266">
        <v>69</v>
      </c>
      <c r="B266" t="s">
        <v>830</v>
      </c>
      <c r="D266" s="94">
        <v>9</v>
      </c>
      <c r="E266" s="94">
        <v>28.5</v>
      </c>
      <c r="F266" s="95">
        <v>2.1901175747329596E-2</v>
      </c>
    </row>
    <row r="267" spans="1:6" x14ac:dyDescent="0.25">
      <c r="A267">
        <v>69</v>
      </c>
      <c r="B267" t="s">
        <v>1197</v>
      </c>
      <c r="D267" s="94">
        <v>14</v>
      </c>
      <c r="E267" s="94">
        <v>94</v>
      </c>
      <c r="F267" s="95">
        <v>7.223545685084147E-2</v>
      </c>
    </row>
    <row r="268" spans="1:6" x14ac:dyDescent="0.25">
      <c r="A268">
        <v>69</v>
      </c>
      <c r="B268" t="s">
        <v>1095</v>
      </c>
      <c r="D268" s="94">
        <v>22</v>
      </c>
      <c r="E268" s="94">
        <v>115.6</v>
      </c>
      <c r="F268" s="95">
        <v>8.8834242680396525E-2</v>
      </c>
    </row>
    <row r="269" spans="1:6" x14ac:dyDescent="0.25">
      <c r="A269">
        <v>69</v>
      </c>
      <c r="B269" t="s">
        <v>1411</v>
      </c>
      <c r="D269" s="94">
        <v>8</v>
      </c>
      <c r="E269" s="94">
        <v>31.5</v>
      </c>
      <c r="F269" s="95">
        <v>2.4206562668101131E-2</v>
      </c>
    </row>
    <row r="270" spans="1:6" x14ac:dyDescent="0.25">
      <c r="A270">
        <v>69</v>
      </c>
      <c r="B270" t="s">
        <v>1371</v>
      </c>
      <c r="D270" s="94">
        <v>10</v>
      </c>
      <c r="E270" s="94">
        <v>49</v>
      </c>
      <c r="F270" s="95">
        <v>3.7654653039268425E-2</v>
      </c>
    </row>
    <row r="271" spans="1:6" x14ac:dyDescent="0.25">
      <c r="A271">
        <v>69</v>
      </c>
      <c r="B271" t="s">
        <v>2558</v>
      </c>
      <c r="D271" s="94">
        <v>1.1000000000000003</v>
      </c>
      <c r="E271" s="94">
        <v>121.5</v>
      </c>
      <c r="F271" s="95">
        <v>9.3368170291247221E-2</v>
      </c>
    </row>
    <row r="272" spans="1:6" x14ac:dyDescent="0.25">
      <c r="A272">
        <v>69</v>
      </c>
      <c r="B272" t="s">
        <v>2570</v>
      </c>
      <c r="D272" s="94">
        <v>1</v>
      </c>
      <c r="E272" s="94">
        <v>34.4</v>
      </c>
      <c r="F272" s="95">
        <v>2.6435103358180282E-2</v>
      </c>
    </row>
    <row r="273" spans="1:6" x14ac:dyDescent="0.25">
      <c r="A273">
        <v>76</v>
      </c>
      <c r="B273" t="s">
        <v>1386</v>
      </c>
      <c r="D273" s="94">
        <v>60</v>
      </c>
      <c r="E273" s="94">
        <v>21.5</v>
      </c>
      <c r="F273" s="95">
        <v>4.0750568612585289E-2</v>
      </c>
    </row>
    <row r="274" spans="1:6" x14ac:dyDescent="0.25">
      <c r="A274">
        <v>76</v>
      </c>
      <c r="B274" t="s">
        <v>1663</v>
      </c>
      <c r="D274" s="94">
        <v>19</v>
      </c>
      <c r="E274" s="94">
        <v>20.7</v>
      </c>
      <c r="F274" s="95">
        <v>3.9234268385140256E-2</v>
      </c>
    </row>
    <row r="275" spans="1:6" x14ac:dyDescent="0.25">
      <c r="A275">
        <v>76</v>
      </c>
      <c r="B275" t="s">
        <v>1251</v>
      </c>
      <c r="D275" s="94">
        <v>16</v>
      </c>
      <c r="E275" s="94">
        <v>9</v>
      </c>
      <c r="F275" s="95">
        <v>1.7058377558756634E-2</v>
      </c>
    </row>
    <row r="276" spans="1:6" x14ac:dyDescent="0.25">
      <c r="A276">
        <v>76</v>
      </c>
      <c r="B276" t="s">
        <v>1553</v>
      </c>
      <c r="D276" s="94">
        <v>33</v>
      </c>
      <c r="E276" s="94">
        <v>36.5</v>
      </c>
      <c r="F276" s="95">
        <v>6.9181197877179676E-2</v>
      </c>
    </row>
    <row r="277" spans="1:6" x14ac:dyDescent="0.25">
      <c r="A277">
        <v>76</v>
      </c>
      <c r="B277" t="s">
        <v>1057</v>
      </c>
      <c r="D277" s="94">
        <v>24</v>
      </c>
      <c r="E277" s="94">
        <v>24.4</v>
      </c>
      <c r="F277" s="95">
        <v>4.6247156937073534E-2</v>
      </c>
    </row>
    <row r="278" spans="1:6" x14ac:dyDescent="0.25">
      <c r="A278">
        <v>76</v>
      </c>
      <c r="B278" t="s">
        <v>1259</v>
      </c>
      <c r="D278" s="94">
        <v>16</v>
      </c>
      <c r="E278" s="94">
        <v>23.3</v>
      </c>
      <c r="F278" s="95">
        <v>4.4162244124336621E-2</v>
      </c>
    </row>
    <row r="279" spans="1:6" x14ac:dyDescent="0.25">
      <c r="A279">
        <v>76</v>
      </c>
      <c r="B279" t="s">
        <v>1634</v>
      </c>
      <c r="D279" s="94">
        <v>9</v>
      </c>
      <c r="E279" s="94">
        <v>14.5</v>
      </c>
      <c r="F279" s="95">
        <v>2.7482941622441241E-2</v>
      </c>
    </row>
    <row r="280" spans="1:6" x14ac:dyDescent="0.25">
      <c r="A280">
        <v>76</v>
      </c>
      <c r="B280" t="s">
        <v>872</v>
      </c>
      <c r="D280" s="94">
        <v>12</v>
      </c>
      <c r="E280" s="94">
        <v>7</v>
      </c>
      <c r="F280" s="95">
        <v>1.3267626990144048E-2</v>
      </c>
    </row>
    <row r="281" spans="1:6" x14ac:dyDescent="0.25">
      <c r="A281">
        <v>76</v>
      </c>
      <c r="B281" t="s">
        <v>239</v>
      </c>
      <c r="D281" s="94">
        <v>30</v>
      </c>
      <c r="E281" s="94">
        <v>24.2</v>
      </c>
      <c r="F281" s="95">
        <v>4.5868081880212276E-2</v>
      </c>
    </row>
    <row r="282" spans="1:6" x14ac:dyDescent="0.25">
      <c r="A282">
        <v>76</v>
      </c>
      <c r="B282" t="s">
        <v>543</v>
      </c>
      <c r="D282" s="94">
        <v>35</v>
      </c>
      <c r="E282" s="94">
        <v>37</v>
      </c>
      <c r="F282" s="95">
        <v>7.0128885519332829E-2</v>
      </c>
    </row>
    <row r="283" spans="1:6" x14ac:dyDescent="0.25">
      <c r="A283">
        <v>76</v>
      </c>
      <c r="B283" t="s">
        <v>541</v>
      </c>
      <c r="D283" s="94">
        <v>17</v>
      </c>
      <c r="E283" s="94">
        <v>31</v>
      </c>
      <c r="F283" s="95">
        <v>5.8756633813495072E-2</v>
      </c>
    </row>
    <row r="284" spans="1:6" x14ac:dyDescent="0.25">
      <c r="A284">
        <v>76</v>
      </c>
      <c r="B284" t="s">
        <v>280</v>
      </c>
      <c r="D284" s="94">
        <v>43</v>
      </c>
      <c r="E284" s="94">
        <v>43.5</v>
      </c>
      <c r="F284" s="95">
        <v>8.2448824867323731E-2</v>
      </c>
    </row>
    <row r="285" spans="1:6" x14ac:dyDescent="0.25">
      <c r="A285">
        <v>76</v>
      </c>
      <c r="B285" t="s">
        <v>349</v>
      </c>
      <c r="D285" s="94">
        <v>37</v>
      </c>
      <c r="E285" s="94">
        <v>38.5</v>
      </c>
      <c r="F285" s="95">
        <v>7.2971948445792259E-2</v>
      </c>
    </row>
    <row r="286" spans="1:6" x14ac:dyDescent="0.25">
      <c r="A286">
        <v>76</v>
      </c>
      <c r="B286" t="s">
        <v>1811</v>
      </c>
      <c r="D286" s="94">
        <v>26</v>
      </c>
      <c r="E286" s="94">
        <v>12.6</v>
      </c>
      <c r="F286" s="95">
        <v>2.3881728582259287E-2</v>
      </c>
    </row>
    <row r="287" spans="1:6" x14ac:dyDescent="0.25">
      <c r="A287">
        <v>76</v>
      </c>
      <c r="B287" t="s">
        <v>242</v>
      </c>
      <c r="D287" s="94">
        <v>20</v>
      </c>
      <c r="E287" s="94">
        <v>13</v>
      </c>
      <c r="F287" s="95">
        <v>2.4639878695981804E-2</v>
      </c>
    </row>
    <row r="288" spans="1:6" x14ac:dyDescent="0.25">
      <c r="A288">
        <v>76</v>
      </c>
      <c r="B288" t="s">
        <v>1350</v>
      </c>
      <c r="D288" s="94">
        <v>26</v>
      </c>
      <c r="E288" s="94">
        <v>16.5</v>
      </c>
      <c r="F288" s="95">
        <v>3.1273692191053824E-2</v>
      </c>
    </row>
    <row r="289" spans="1:6" x14ac:dyDescent="0.25">
      <c r="A289">
        <v>76</v>
      </c>
      <c r="B289" t="s">
        <v>1433</v>
      </c>
      <c r="D289" s="94">
        <v>88</v>
      </c>
      <c r="E289" s="94">
        <v>47</v>
      </c>
      <c r="F289" s="95">
        <v>8.9082638362395744E-2</v>
      </c>
    </row>
    <row r="290" spans="1:6" x14ac:dyDescent="0.25">
      <c r="A290">
        <v>76</v>
      </c>
      <c r="B290" t="s">
        <v>1383</v>
      </c>
      <c r="D290" s="94">
        <v>78</v>
      </c>
      <c r="E290" s="94">
        <v>43</v>
      </c>
      <c r="F290" s="95">
        <v>8.1501137225170578E-2</v>
      </c>
    </row>
    <row r="291" spans="1:6" x14ac:dyDescent="0.25">
      <c r="A291">
        <v>76</v>
      </c>
      <c r="B291" t="s">
        <v>1688</v>
      </c>
      <c r="D291" s="94">
        <v>21</v>
      </c>
      <c r="E291" s="94">
        <v>15.5</v>
      </c>
      <c r="F291" s="95">
        <v>2.9378316906747536E-2</v>
      </c>
    </row>
    <row r="292" spans="1:6" x14ac:dyDescent="0.25">
      <c r="A292">
        <v>76</v>
      </c>
      <c r="B292" t="s">
        <v>364</v>
      </c>
      <c r="D292" s="94">
        <v>127</v>
      </c>
      <c r="E292" s="94">
        <v>48.9</v>
      </c>
      <c r="F292" s="95">
        <v>9.2683851402577705E-2</v>
      </c>
    </row>
    <row r="293" spans="1:6" x14ac:dyDescent="0.25">
      <c r="A293">
        <v>77</v>
      </c>
      <c r="B293" t="s">
        <v>1457</v>
      </c>
      <c r="D293" s="94">
        <v>8</v>
      </c>
      <c r="E293" s="94">
        <v>5.7</v>
      </c>
      <c r="F293" s="95">
        <v>7.8599007170435751E-3</v>
      </c>
    </row>
    <row r="294" spans="1:6" x14ac:dyDescent="0.25">
      <c r="A294">
        <v>77</v>
      </c>
      <c r="B294" t="s">
        <v>1663</v>
      </c>
      <c r="D294" s="94">
        <v>25</v>
      </c>
      <c r="E294" s="94">
        <v>36.700000000000003</v>
      </c>
      <c r="F294" s="95">
        <v>5.0606729178157756E-2</v>
      </c>
    </row>
    <row r="295" spans="1:6" x14ac:dyDescent="0.25">
      <c r="A295">
        <v>77</v>
      </c>
      <c r="B295" t="s">
        <v>1259</v>
      </c>
      <c r="D295" s="94">
        <v>11</v>
      </c>
      <c r="E295" s="94">
        <v>7.7</v>
      </c>
      <c r="F295" s="95">
        <v>1.0617760617760619E-2</v>
      </c>
    </row>
    <row r="296" spans="1:6" x14ac:dyDescent="0.25">
      <c r="A296">
        <v>77</v>
      </c>
      <c r="B296" t="s">
        <v>968</v>
      </c>
      <c r="D296" s="94">
        <v>40</v>
      </c>
      <c r="E296" s="94">
        <v>29.3</v>
      </c>
      <c r="F296" s="95">
        <v>4.040264754550469E-2</v>
      </c>
    </row>
    <row r="297" spans="1:6" x14ac:dyDescent="0.25">
      <c r="A297">
        <v>77</v>
      </c>
      <c r="B297" t="s">
        <v>727</v>
      </c>
      <c r="D297" s="94">
        <v>36</v>
      </c>
      <c r="E297" s="94">
        <v>39</v>
      </c>
      <c r="F297" s="95">
        <v>5.3778268063982358E-2</v>
      </c>
    </row>
    <row r="298" spans="1:6" x14ac:dyDescent="0.25">
      <c r="A298">
        <v>77</v>
      </c>
      <c r="B298" t="s">
        <v>1465</v>
      </c>
      <c r="D298" s="94">
        <v>71</v>
      </c>
      <c r="E298" s="94">
        <v>36.5</v>
      </c>
      <c r="F298" s="95">
        <v>5.033094318808605E-2</v>
      </c>
    </row>
    <row r="299" spans="1:6" x14ac:dyDescent="0.25">
      <c r="A299">
        <v>77</v>
      </c>
      <c r="B299" t="s">
        <v>1253</v>
      </c>
      <c r="D299" s="94">
        <v>20</v>
      </c>
      <c r="E299" s="94">
        <v>24.7</v>
      </c>
      <c r="F299" s="95">
        <v>3.4059569773855491E-2</v>
      </c>
    </row>
    <row r="300" spans="1:6" x14ac:dyDescent="0.25">
      <c r="A300">
        <v>77</v>
      </c>
      <c r="B300" t="s">
        <v>1380</v>
      </c>
      <c r="D300" s="94">
        <v>18</v>
      </c>
      <c r="E300" s="94">
        <v>7</v>
      </c>
      <c r="F300" s="95">
        <v>9.652509652509654E-3</v>
      </c>
    </row>
    <row r="301" spans="1:6" x14ac:dyDescent="0.25">
      <c r="A301">
        <v>77</v>
      </c>
      <c r="B301" t="s">
        <v>541</v>
      </c>
      <c r="D301" s="94">
        <v>25</v>
      </c>
      <c r="E301" s="94">
        <v>17.5</v>
      </c>
      <c r="F301" s="95">
        <v>2.4131274131274135E-2</v>
      </c>
    </row>
    <row r="302" spans="1:6" x14ac:dyDescent="0.25">
      <c r="A302">
        <v>77</v>
      </c>
      <c r="B302" t="s">
        <v>280</v>
      </c>
      <c r="D302" s="94">
        <v>10</v>
      </c>
      <c r="E302" s="94">
        <v>16.5</v>
      </c>
      <c r="F302" s="95">
        <v>2.2752344180915613E-2</v>
      </c>
    </row>
    <row r="303" spans="1:6" x14ac:dyDescent="0.25">
      <c r="A303">
        <v>77</v>
      </c>
      <c r="B303" t="s">
        <v>349</v>
      </c>
      <c r="D303" s="94">
        <v>3</v>
      </c>
      <c r="E303" s="94">
        <v>6</v>
      </c>
      <c r="F303" s="95">
        <v>8.273579702151132E-3</v>
      </c>
    </row>
    <row r="304" spans="1:6" x14ac:dyDescent="0.25">
      <c r="A304">
        <v>77</v>
      </c>
      <c r="B304" t="s">
        <v>211</v>
      </c>
      <c r="D304" s="94">
        <v>365</v>
      </c>
      <c r="E304" s="94">
        <v>277.79999999999995</v>
      </c>
      <c r="F304" s="95">
        <v>0.3830667402095973</v>
      </c>
    </row>
    <row r="305" spans="1:6" x14ac:dyDescent="0.25">
      <c r="A305">
        <v>77</v>
      </c>
      <c r="B305" t="s">
        <v>1698</v>
      </c>
      <c r="D305" s="94">
        <v>304</v>
      </c>
      <c r="E305" s="94">
        <v>138.29999999999998</v>
      </c>
      <c r="F305" s="95">
        <v>0.19070601213458355</v>
      </c>
    </row>
    <row r="306" spans="1:6" x14ac:dyDescent="0.25">
      <c r="A306">
        <v>77</v>
      </c>
      <c r="B306" t="s">
        <v>1383</v>
      </c>
      <c r="D306" s="94">
        <v>84</v>
      </c>
      <c r="E306" s="94">
        <v>39.4</v>
      </c>
      <c r="F306" s="95">
        <v>5.4329840044125763E-2</v>
      </c>
    </row>
    <row r="307" spans="1:6" x14ac:dyDescent="0.25">
      <c r="A307">
        <v>77</v>
      </c>
      <c r="B307" t="s">
        <v>1785</v>
      </c>
      <c r="D307" s="94">
        <v>63</v>
      </c>
      <c r="E307" s="94">
        <v>33.6</v>
      </c>
      <c r="F307" s="95">
        <v>4.6332046332046337E-2</v>
      </c>
    </row>
    <row r="308" spans="1:6" x14ac:dyDescent="0.25">
      <c r="A308">
        <v>77</v>
      </c>
      <c r="B308" t="s">
        <v>364</v>
      </c>
      <c r="D308" s="94">
        <v>18</v>
      </c>
      <c r="E308" s="94">
        <v>4.5</v>
      </c>
      <c r="F308" s="95">
        <v>6.205184776613349E-3</v>
      </c>
    </row>
    <row r="309" spans="1:6" x14ac:dyDescent="0.25">
      <c r="A309">
        <v>77</v>
      </c>
      <c r="B309" t="s">
        <v>2570</v>
      </c>
      <c r="D309" s="94">
        <v>1</v>
      </c>
      <c r="E309" s="94">
        <v>5</v>
      </c>
      <c r="F309" s="95">
        <v>6.8946497517926092E-3</v>
      </c>
    </row>
    <row r="310" spans="1:6" x14ac:dyDescent="0.25">
      <c r="A310">
        <v>78</v>
      </c>
      <c r="B310" t="s">
        <v>992</v>
      </c>
      <c r="D310" s="94">
        <v>4.3</v>
      </c>
      <c r="E310" s="94">
        <v>39.700000000000003</v>
      </c>
      <c r="F310" s="95">
        <v>5.1364989002458269E-2</v>
      </c>
    </row>
    <row r="311" spans="1:6" x14ac:dyDescent="0.25">
      <c r="A311">
        <v>78</v>
      </c>
      <c r="B311" t="s">
        <v>276</v>
      </c>
      <c r="D311" s="94">
        <v>2</v>
      </c>
      <c r="E311" s="94">
        <v>22</v>
      </c>
      <c r="F311" s="95">
        <v>2.8464225643679644E-2</v>
      </c>
    </row>
    <row r="312" spans="1:6" x14ac:dyDescent="0.25">
      <c r="A312">
        <v>78</v>
      </c>
      <c r="B312" t="s">
        <v>235</v>
      </c>
      <c r="D312" s="94">
        <v>2</v>
      </c>
      <c r="E312" s="94">
        <v>20</v>
      </c>
      <c r="F312" s="95">
        <v>2.5876568766981495E-2</v>
      </c>
    </row>
    <row r="313" spans="1:6" x14ac:dyDescent="0.25">
      <c r="A313">
        <v>78</v>
      </c>
      <c r="B313" t="s">
        <v>194</v>
      </c>
      <c r="D313" s="94">
        <v>3</v>
      </c>
      <c r="E313" s="94">
        <v>36.6</v>
      </c>
      <c r="F313" s="95">
        <v>4.7354120843576139E-2</v>
      </c>
    </row>
    <row r="314" spans="1:6" x14ac:dyDescent="0.25">
      <c r="A314">
        <v>78</v>
      </c>
      <c r="B314" t="s">
        <v>177</v>
      </c>
      <c r="D314" s="94">
        <v>6</v>
      </c>
      <c r="E314" s="94">
        <v>79</v>
      </c>
      <c r="F314" s="95">
        <v>0.1022124466295769</v>
      </c>
    </row>
    <row r="315" spans="1:6" x14ac:dyDescent="0.25">
      <c r="A315">
        <v>78</v>
      </c>
      <c r="B315" t="s">
        <v>132</v>
      </c>
      <c r="D315" s="94">
        <v>3.8</v>
      </c>
      <c r="E315" s="94">
        <v>94.5</v>
      </c>
      <c r="F315" s="95">
        <v>0.12226678742398757</v>
      </c>
    </row>
    <row r="316" spans="1:6" x14ac:dyDescent="0.25">
      <c r="A316">
        <v>78</v>
      </c>
      <c r="B316" t="s">
        <v>261</v>
      </c>
      <c r="D316" s="94">
        <v>5.8999999999999995</v>
      </c>
      <c r="E316" s="94">
        <v>170.2</v>
      </c>
      <c r="F316" s="95">
        <v>0.2202096002070125</v>
      </c>
    </row>
    <row r="317" spans="1:6" x14ac:dyDescent="0.25">
      <c r="A317">
        <v>78</v>
      </c>
      <c r="B317" t="s">
        <v>2557</v>
      </c>
      <c r="D317" s="94">
        <v>22</v>
      </c>
      <c r="E317" s="94">
        <v>123.69999999999999</v>
      </c>
      <c r="F317" s="95">
        <v>0.16004657782378054</v>
      </c>
    </row>
    <row r="318" spans="1:6" x14ac:dyDescent="0.25">
      <c r="A318">
        <v>78</v>
      </c>
      <c r="B318" t="s">
        <v>152</v>
      </c>
      <c r="D318" s="94">
        <v>2</v>
      </c>
      <c r="E318" s="94">
        <v>29.7</v>
      </c>
      <c r="F318" s="95">
        <v>3.8426704618967522E-2</v>
      </c>
    </row>
    <row r="319" spans="1:6" x14ac:dyDescent="0.25">
      <c r="A319">
        <v>78</v>
      </c>
      <c r="B319" t="s">
        <v>1423</v>
      </c>
      <c r="D319" s="94">
        <v>8</v>
      </c>
      <c r="E319" s="94">
        <v>43.900000000000006</v>
      </c>
      <c r="F319" s="95">
        <v>5.6799068443524392E-2</v>
      </c>
    </row>
    <row r="320" spans="1:6" x14ac:dyDescent="0.25">
      <c r="A320">
        <v>78</v>
      </c>
      <c r="B320" t="s">
        <v>821</v>
      </c>
      <c r="D320" s="94">
        <v>10</v>
      </c>
      <c r="E320" s="94">
        <v>37.6</v>
      </c>
      <c r="F320" s="95">
        <v>4.8647949281925215E-2</v>
      </c>
    </row>
    <row r="321" spans="1:6" x14ac:dyDescent="0.25">
      <c r="A321">
        <v>78</v>
      </c>
      <c r="B321" t="s">
        <v>854</v>
      </c>
      <c r="D321" s="94">
        <v>10</v>
      </c>
      <c r="E321" s="94">
        <v>39</v>
      </c>
      <c r="F321" s="95">
        <v>5.0459309095613913E-2</v>
      </c>
    </row>
    <row r="322" spans="1:6" x14ac:dyDescent="0.25">
      <c r="A322">
        <v>78</v>
      </c>
      <c r="B322" t="s">
        <v>2570</v>
      </c>
      <c r="D322" s="94">
        <v>4.0999999999999996</v>
      </c>
      <c r="E322" s="94">
        <v>37</v>
      </c>
      <c r="F322" s="95">
        <v>4.7871652218915768E-2</v>
      </c>
    </row>
    <row r="323" spans="1:6" x14ac:dyDescent="0.25">
      <c r="A323">
        <v>79</v>
      </c>
      <c r="B323" t="s">
        <v>132</v>
      </c>
      <c r="D323" s="94">
        <v>0.3</v>
      </c>
      <c r="E323" s="94">
        <v>20</v>
      </c>
      <c r="F323" s="95">
        <v>2.3372677340189319E-2</v>
      </c>
    </row>
    <row r="324" spans="1:6" x14ac:dyDescent="0.25">
      <c r="A324">
        <v>79</v>
      </c>
      <c r="B324" t="s">
        <v>152</v>
      </c>
      <c r="D324" s="94">
        <v>21.700000000000003</v>
      </c>
      <c r="E324" s="94">
        <v>468.2</v>
      </c>
      <c r="F324" s="95">
        <v>0.54715437653383192</v>
      </c>
    </row>
    <row r="325" spans="1:6" x14ac:dyDescent="0.25">
      <c r="A325">
        <v>79</v>
      </c>
      <c r="B325" t="s">
        <v>420</v>
      </c>
      <c r="D325" s="94">
        <v>12.923000000000004</v>
      </c>
      <c r="E325" s="94">
        <v>367.5</v>
      </c>
      <c r="F325" s="95">
        <v>0.42947294612597869</v>
      </c>
    </row>
    <row r="326" spans="1:6" x14ac:dyDescent="0.25">
      <c r="A326">
        <v>82</v>
      </c>
      <c r="B326" t="s">
        <v>1584</v>
      </c>
      <c r="D326" s="94">
        <v>1</v>
      </c>
      <c r="E326" s="94">
        <v>3.5</v>
      </c>
      <c r="F326" s="95">
        <v>9.485094850948509E-3</v>
      </c>
    </row>
    <row r="327" spans="1:6" x14ac:dyDescent="0.25">
      <c r="A327">
        <v>82</v>
      </c>
      <c r="B327" t="s">
        <v>1571</v>
      </c>
      <c r="D327" s="94">
        <v>7</v>
      </c>
      <c r="E327" s="94">
        <v>8</v>
      </c>
      <c r="F327" s="95">
        <v>2.1680216802168022E-2</v>
      </c>
    </row>
    <row r="328" spans="1:6" x14ac:dyDescent="0.25">
      <c r="A328">
        <v>82</v>
      </c>
      <c r="B328" t="s">
        <v>1569</v>
      </c>
      <c r="D328" s="94">
        <v>1</v>
      </c>
      <c r="E328" s="94">
        <v>5</v>
      </c>
      <c r="F328" s="95">
        <v>1.3550135501355014E-2</v>
      </c>
    </row>
    <row r="329" spans="1:6" x14ac:dyDescent="0.25">
      <c r="A329">
        <v>82</v>
      </c>
      <c r="B329" t="s">
        <v>1582</v>
      </c>
      <c r="D329" s="94">
        <v>2</v>
      </c>
      <c r="E329" s="94">
        <v>10</v>
      </c>
      <c r="F329" s="95">
        <v>2.7100271002710029E-2</v>
      </c>
    </row>
    <row r="330" spans="1:6" x14ac:dyDescent="0.25">
      <c r="A330">
        <v>82</v>
      </c>
      <c r="B330" t="s">
        <v>1583</v>
      </c>
      <c r="D330" s="94">
        <v>1</v>
      </c>
      <c r="E330" s="94">
        <v>5</v>
      </c>
      <c r="F330" s="95">
        <v>1.3550135501355014E-2</v>
      </c>
    </row>
    <row r="331" spans="1:6" x14ac:dyDescent="0.25">
      <c r="A331">
        <v>82</v>
      </c>
      <c r="B331" t="s">
        <v>1074</v>
      </c>
      <c r="D331" s="94">
        <v>24.9</v>
      </c>
      <c r="E331" s="94">
        <v>152.19999999999999</v>
      </c>
      <c r="F331" s="95">
        <v>0.4124661246612466</v>
      </c>
    </row>
    <row r="332" spans="1:6" x14ac:dyDescent="0.25">
      <c r="A332">
        <v>82</v>
      </c>
      <c r="B332" t="s">
        <v>484</v>
      </c>
      <c r="D332" s="94">
        <v>11</v>
      </c>
      <c r="E332" s="94">
        <v>96.5</v>
      </c>
      <c r="F332" s="95">
        <v>0.26151761517615174</v>
      </c>
    </row>
    <row r="333" spans="1:6" x14ac:dyDescent="0.25">
      <c r="A333">
        <v>82</v>
      </c>
      <c r="B333" t="s">
        <v>298</v>
      </c>
      <c r="D333" s="94">
        <v>2</v>
      </c>
      <c r="E333" s="94">
        <v>7.5</v>
      </c>
      <c r="F333" s="95">
        <v>2.032520325203252E-2</v>
      </c>
    </row>
    <row r="334" spans="1:6" x14ac:dyDescent="0.25">
      <c r="A334">
        <v>82</v>
      </c>
      <c r="B334" t="s">
        <v>1095</v>
      </c>
      <c r="D334" s="94">
        <v>32</v>
      </c>
      <c r="E334" s="94">
        <v>81.3</v>
      </c>
      <c r="F334" s="95">
        <v>0.2203252032520325</v>
      </c>
    </row>
    <row r="335" spans="1:6" x14ac:dyDescent="0.25">
      <c r="A335">
        <v>83</v>
      </c>
      <c r="B335" t="s">
        <v>1197</v>
      </c>
      <c r="D335" s="94">
        <v>23</v>
      </c>
      <c r="E335" s="94">
        <v>71.5</v>
      </c>
      <c r="F335" s="95">
        <v>0.10280373831775701</v>
      </c>
    </row>
    <row r="336" spans="1:6" x14ac:dyDescent="0.25">
      <c r="A336">
        <v>83</v>
      </c>
      <c r="B336" t="s">
        <v>1095</v>
      </c>
      <c r="D336" s="94">
        <v>119.69999999999999</v>
      </c>
      <c r="E336" s="94">
        <v>624</v>
      </c>
      <c r="F336" s="95">
        <v>0.89719626168224298</v>
      </c>
    </row>
    <row r="337" spans="1:6" x14ac:dyDescent="0.25">
      <c r="A337">
        <v>84</v>
      </c>
      <c r="B337" t="s">
        <v>594</v>
      </c>
      <c r="D337" s="94">
        <v>8</v>
      </c>
      <c r="E337" s="94">
        <v>34</v>
      </c>
      <c r="F337" s="95">
        <v>4.074295985620132E-2</v>
      </c>
    </row>
    <row r="338" spans="1:6" x14ac:dyDescent="0.25">
      <c r="A338">
        <v>84</v>
      </c>
      <c r="B338" t="s">
        <v>1457</v>
      </c>
      <c r="D338" s="94">
        <v>2</v>
      </c>
      <c r="E338" s="94">
        <v>8.8000000000000007</v>
      </c>
      <c r="F338" s="95">
        <v>1.0545236668663872E-2</v>
      </c>
    </row>
    <row r="339" spans="1:6" x14ac:dyDescent="0.25">
      <c r="A339">
        <v>84</v>
      </c>
      <c r="B339" t="s">
        <v>1045</v>
      </c>
      <c r="D339" s="94">
        <v>9</v>
      </c>
      <c r="E339" s="94">
        <v>45.5</v>
      </c>
      <c r="F339" s="95">
        <v>5.4523666866387065E-2</v>
      </c>
    </row>
    <row r="340" spans="1:6" x14ac:dyDescent="0.25">
      <c r="A340">
        <v>84</v>
      </c>
      <c r="B340" t="s">
        <v>924</v>
      </c>
      <c r="D340" s="94">
        <v>7</v>
      </c>
      <c r="E340" s="94">
        <v>21</v>
      </c>
      <c r="F340" s="95">
        <v>2.5164769322947877E-2</v>
      </c>
    </row>
    <row r="341" spans="1:6" x14ac:dyDescent="0.25">
      <c r="A341">
        <v>84</v>
      </c>
      <c r="B341" t="s">
        <v>142</v>
      </c>
      <c r="D341" s="94">
        <v>4</v>
      </c>
      <c r="E341" s="94">
        <v>11.8</v>
      </c>
      <c r="F341" s="95">
        <v>1.4140203714799284E-2</v>
      </c>
    </row>
    <row r="342" spans="1:6" x14ac:dyDescent="0.25">
      <c r="A342">
        <v>84</v>
      </c>
      <c r="B342" t="s">
        <v>449</v>
      </c>
      <c r="D342" s="94">
        <v>3</v>
      </c>
      <c r="E342" s="94">
        <v>39</v>
      </c>
      <c r="F342" s="95">
        <v>4.6734571599760341E-2</v>
      </c>
    </row>
    <row r="343" spans="1:6" x14ac:dyDescent="0.25">
      <c r="A343">
        <v>84</v>
      </c>
      <c r="B343" t="s">
        <v>775</v>
      </c>
      <c r="D343" s="94">
        <v>1</v>
      </c>
      <c r="E343" s="94">
        <v>9</v>
      </c>
      <c r="F343" s="95">
        <v>1.0784901138406232E-2</v>
      </c>
    </row>
    <row r="344" spans="1:6" x14ac:dyDescent="0.25">
      <c r="A344">
        <v>84</v>
      </c>
      <c r="B344" t="s">
        <v>866</v>
      </c>
      <c r="D344" s="94">
        <v>2</v>
      </c>
      <c r="E344" s="94">
        <v>30</v>
      </c>
      <c r="F344" s="95">
        <v>3.5949670461354111E-2</v>
      </c>
    </row>
    <row r="345" spans="1:6" x14ac:dyDescent="0.25">
      <c r="A345">
        <v>84</v>
      </c>
      <c r="B345" t="s">
        <v>958</v>
      </c>
      <c r="D345" s="94">
        <v>2</v>
      </c>
      <c r="E345" s="94">
        <v>21</v>
      </c>
      <c r="F345" s="95">
        <v>2.5164769322947877E-2</v>
      </c>
    </row>
    <row r="346" spans="1:6" x14ac:dyDescent="0.25">
      <c r="A346">
        <v>84</v>
      </c>
      <c r="B346" t="s">
        <v>805</v>
      </c>
      <c r="D346" s="94">
        <v>2</v>
      </c>
      <c r="E346" s="94">
        <v>27</v>
      </c>
      <c r="F346" s="95">
        <v>3.2354703415218698E-2</v>
      </c>
    </row>
    <row r="347" spans="1:6" x14ac:dyDescent="0.25">
      <c r="A347">
        <v>84</v>
      </c>
      <c r="B347" t="s">
        <v>1301</v>
      </c>
      <c r="D347" s="94">
        <v>3</v>
      </c>
      <c r="E347" s="94">
        <v>16.5</v>
      </c>
      <c r="F347" s="95">
        <v>1.9772318753744762E-2</v>
      </c>
    </row>
    <row r="348" spans="1:6" x14ac:dyDescent="0.25">
      <c r="A348">
        <v>84</v>
      </c>
      <c r="B348" t="s">
        <v>1740</v>
      </c>
      <c r="D348" s="94">
        <v>2</v>
      </c>
      <c r="E348" s="94">
        <v>13</v>
      </c>
      <c r="F348" s="95">
        <v>1.5578190533253447E-2</v>
      </c>
    </row>
    <row r="349" spans="1:6" x14ac:dyDescent="0.25">
      <c r="A349">
        <v>84</v>
      </c>
      <c r="B349" t="s">
        <v>1692</v>
      </c>
      <c r="D349" s="94">
        <v>4</v>
      </c>
      <c r="E349" s="94">
        <v>14</v>
      </c>
      <c r="F349" s="95">
        <v>1.6776512881965251E-2</v>
      </c>
    </row>
    <row r="350" spans="1:6" x14ac:dyDescent="0.25">
      <c r="A350">
        <v>84</v>
      </c>
      <c r="B350" t="s">
        <v>436</v>
      </c>
      <c r="D350" s="94">
        <v>4</v>
      </c>
      <c r="E350" s="94">
        <v>19</v>
      </c>
      <c r="F350" s="95">
        <v>2.2768124625524268E-2</v>
      </c>
    </row>
    <row r="351" spans="1:6" x14ac:dyDescent="0.25">
      <c r="A351">
        <v>84</v>
      </c>
      <c r="B351" t="s">
        <v>441</v>
      </c>
      <c r="D351" s="94">
        <v>4</v>
      </c>
      <c r="E351" s="94">
        <v>16</v>
      </c>
      <c r="F351" s="95">
        <v>1.917315757938886E-2</v>
      </c>
    </row>
    <row r="352" spans="1:6" x14ac:dyDescent="0.25">
      <c r="A352">
        <v>84</v>
      </c>
      <c r="B352" t="s">
        <v>1707</v>
      </c>
      <c r="D352" s="94">
        <v>2</v>
      </c>
      <c r="E352" s="94">
        <v>13</v>
      </c>
      <c r="F352" s="95">
        <v>1.5578190533253447E-2</v>
      </c>
    </row>
    <row r="353" spans="1:6" x14ac:dyDescent="0.25">
      <c r="A353">
        <v>84</v>
      </c>
      <c r="B353" t="s">
        <v>1299</v>
      </c>
      <c r="D353" s="94">
        <v>4</v>
      </c>
      <c r="E353" s="94">
        <v>23</v>
      </c>
      <c r="F353" s="95">
        <v>2.7561414020371485E-2</v>
      </c>
    </row>
    <row r="354" spans="1:6" x14ac:dyDescent="0.25">
      <c r="A354">
        <v>84</v>
      </c>
      <c r="B354" t="s">
        <v>162</v>
      </c>
      <c r="D354" s="94">
        <v>9</v>
      </c>
      <c r="E354" s="94">
        <v>48.8</v>
      </c>
      <c r="F354" s="95">
        <v>5.8478130617136012E-2</v>
      </c>
    </row>
    <row r="355" spans="1:6" x14ac:dyDescent="0.25">
      <c r="A355">
        <v>84</v>
      </c>
      <c r="B355" t="s">
        <v>214</v>
      </c>
      <c r="D355" s="94">
        <v>21</v>
      </c>
      <c r="E355" s="94">
        <v>43</v>
      </c>
      <c r="F355" s="95">
        <v>5.1527860994607558E-2</v>
      </c>
    </row>
    <row r="356" spans="1:6" x14ac:dyDescent="0.25">
      <c r="A356">
        <v>84</v>
      </c>
      <c r="B356" t="s">
        <v>517</v>
      </c>
      <c r="D356" s="94">
        <v>21</v>
      </c>
      <c r="E356" s="94">
        <v>28.400000000000002</v>
      </c>
      <c r="F356" s="95">
        <v>3.4032354703415223E-2</v>
      </c>
    </row>
    <row r="357" spans="1:6" x14ac:dyDescent="0.25">
      <c r="A357">
        <v>84</v>
      </c>
      <c r="B357" t="s">
        <v>478</v>
      </c>
      <c r="D357" s="94">
        <v>20</v>
      </c>
      <c r="E357" s="94">
        <v>40</v>
      </c>
      <c r="F357" s="95">
        <v>4.7932893948472145E-2</v>
      </c>
    </row>
    <row r="358" spans="1:6" x14ac:dyDescent="0.25">
      <c r="A358">
        <v>84</v>
      </c>
      <c r="B358" t="s">
        <v>401</v>
      </c>
      <c r="D358" s="94">
        <v>26</v>
      </c>
      <c r="E358" s="94">
        <v>47</v>
      </c>
      <c r="F358" s="95">
        <v>5.6321150389454774E-2</v>
      </c>
    </row>
    <row r="359" spans="1:6" x14ac:dyDescent="0.25">
      <c r="A359">
        <v>84</v>
      </c>
      <c r="B359" t="s">
        <v>1047</v>
      </c>
      <c r="D359" s="94">
        <v>16</v>
      </c>
      <c r="E359" s="94">
        <v>99.9</v>
      </c>
      <c r="F359" s="95">
        <v>0.1197124026363092</v>
      </c>
    </row>
    <row r="360" spans="1:6" x14ac:dyDescent="0.25">
      <c r="A360">
        <v>84</v>
      </c>
      <c r="B360" t="s">
        <v>423</v>
      </c>
      <c r="D360" s="94">
        <v>22</v>
      </c>
      <c r="E360" s="94">
        <v>105</v>
      </c>
      <c r="F360" s="95">
        <v>0.12582384661473939</v>
      </c>
    </row>
    <row r="361" spans="1:6" x14ac:dyDescent="0.25">
      <c r="A361">
        <v>84</v>
      </c>
      <c r="B361" t="s">
        <v>2577</v>
      </c>
      <c r="D361" s="94">
        <v>5.8</v>
      </c>
      <c r="E361" s="94">
        <v>45.8</v>
      </c>
      <c r="F361" s="95">
        <v>5.4883163571000607E-2</v>
      </c>
    </row>
    <row r="362" spans="1:6" x14ac:dyDescent="0.25">
      <c r="A362">
        <v>84</v>
      </c>
      <c r="B362" t="s">
        <v>2578</v>
      </c>
      <c r="D362" s="94">
        <v>2</v>
      </c>
      <c r="E362" s="94">
        <v>12</v>
      </c>
      <c r="F362" s="95">
        <v>1.4379868184541643E-2</v>
      </c>
    </row>
    <row r="363" spans="1:6" x14ac:dyDescent="0.25">
      <c r="A363">
        <v>84</v>
      </c>
      <c r="B363" t="s">
        <v>2570</v>
      </c>
      <c r="D363" s="94">
        <v>1</v>
      </c>
      <c r="E363" s="94">
        <v>3</v>
      </c>
      <c r="F363" s="95">
        <v>3.5949670461354107E-3</v>
      </c>
    </row>
    <row r="364" spans="1:6" x14ac:dyDescent="0.25">
      <c r="A364">
        <v>91</v>
      </c>
      <c r="B364" t="s">
        <v>235</v>
      </c>
      <c r="D364" s="94">
        <v>1</v>
      </c>
      <c r="E364" s="94">
        <v>12</v>
      </c>
      <c r="F364" s="95">
        <v>1.3440860215053764E-2</v>
      </c>
    </row>
    <row r="365" spans="1:6" x14ac:dyDescent="0.25">
      <c r="A365">
        <v>91</v>
      </c>
      <c r="B365" t="s">
        <v>931</v>
      </c>
      <c r="D365" s="94">
        <v>1</v>
      </c>
      <c r="E365" s="94">
        <v>29.7</v>
      </c>
      <c r="F365" s="95">
        <v>3.3266129032258063E-2</v>
      </c>
    </row>
    <row r="366" spans="1:6" x14ac:dyDescent="0.25">
      <c r="A366">
        <v>91</v>
      </c>
      <c r="B366" t="s">
        <v>116</v>
      </c>
      <c r="D366" s="94">
        <v>5</v>
      </c>
      <c r="E366" s="94">
        <v>42.5</v>
      </c>
      <c r="F366" s="95">
        <v>4.7603046594982081E-2</v>
      </c>
    </row>
    <row r="367" spans="1:6" x14ac:dyDescent="0.25">
      <c r="A367">
        <v>91</v>
      </c>
      <c r="B367" t="s">
        <v>254</v>
      </c>
      <c r="D367" s="94">
        <v>6.7999999999999989</v>
      </c>
      <c r="E367" s="94">
        <v>370.5</v>
      </c>
      <c r="F367" s="95">
        <v>0.41498655913978499</v>
      </c>
    </row>
    <row r="368" spans="1:6" x14ac:dyDescent="0.25">
      <c r="A368">
        <v>91</v>
      </c>
      <c r="B368" t="s">
        <v>643</v>
      </c>
      <c r="D368" s="94">
        <v>5</v>
      </c>
      <c r="E368" s="94">
        <v>35</v>
      </c>
      <c r="F368" s="95">
        <v>3.9202508960573479E-2</v>
      </c>
    </row>
    <row r="369" spans="1:6" x14ac:dyDescent="0.25">
      <c r="A369">
        <v>91</v>
      </c>
      <c r="B369" t="s">
        <v>169</v>
      </c>
      <c r="D369" s="94">
        <v>4</v>
      </c>
      <c r="E369" s="94">
        <v>56</v>
      </c>
      <c r="F369" s="95">
        <v>6.2724014336917572E-2</v>
      </c>
    </row>
    <row r="370" spans="1:6" x14ac:dyDescent="0.25">
      <c r="A370">
        <v>91</v>
      </c>
      <c r="B370" t="s">
        <v>484</v>
      </c>
      <c r="D370" s="94">
        <v>6</v>
      </c>
      <c r="E370" s="94">
        <v>86.899999999999991</v>
      </c>
      <c r="F370" s="95">
        <v>9.7334229390680996E-2</v>
      </c>
    </row>
    <row r="371" spans="1:6" x14ac:dyDescent="0.25">
      <c r="A371">
        <v>91</v>
      </c>
      <c r="B371" t="s">
        <v>298</v>
      </c>
      <c r="D371" s="94">
        <v>6</v>
      </c>
      <c r="E371" s="94">
        <v>75.499999999999986</v>
      </c>
      <c r="F371" s="95">
        <v>8.4565412186379918E-2</v>
      </c>
    </row>
    <row r="372" spans="1:6" x14ac:dyDescent="0.25">
      <c r="A372">
        <v>91</v>
      </c>
      <c r="B372" t="s">
        <v>790</v>
      </c>
      <c r="D372" s="94">
        <v>3</v>
      </c>
      <c r="E372" s="94">
        <v>58.4</v>
      </c>
      <c r="F372" s="95">
        <v>6.5412186379928322E-2</v>
      </c>
    </row>
    <row r="373" spans="1:6" x14ac:dyDescent="0.25">
      <c r="A373">
        <v>91</v>
      </c>
      <c r="B373" t="s">
        <v>759</v>
      </c>
      <c r="D373" s="94">
        <v>12</v>
      </c>
      <c r="E373" s="94">
        <v>64</v>
      </c>
      <c r="F373" s="95">
        <v>7.1684587813620082E-2</v>
      </c>
    </row>
    <row r="374" spans="1:6" x14ac:dyDescent="0.25">
      <c r="A374">
        <v>91</v>
      </c>
      <c r="B374" t="s">
        <v>707</v>
      </c>
      <c r="D374" s="94">
        <v>5</v>
      </c>
      <c r="E374" s="94">
        <v>32.5</v>
      </c>
      <c r="F374" s="95">
        <v>3.6402329749103943E-2</v>
      </c>
    </row>
    <row r="375" spans="1:6" x14ac:dyDescent="0.25">
      <c r="A375">
        <v>91</v>
      </c>
      <c r="B375" t="s">
        <v>744</v>
      </c>
      <c r="D375" s="94">
        <v>5</v>
      </c>
      <c r="E375" s="94">
        <v>29.8</v>
      </c>
      <c r="F375" s="95">
        <v>3.3378136200716849E-2</v>
      </c>
    </row>
    <row r="376" spans="1:6" x14ac:dyDescent="0.25">
      <c r="A376">
        <v>97</v>
      </c>
      <c r="B376" t="s">
        <v>1176</v>
      </c>
      <c r="D376" s="94">
        <v>6</v>
      </c>
      <c r="E376" s="94">
        <v>30</v>
      </c>
      <c r="F376" s="95">
        <v>6.5217391304347824E-2</v>
      </c>
    </row>
    <row r="377" spans="1:6" x14ac:dyDescent="0.25">
      <c r="A377">
        <v>97</v>
      </c>
      <c r="B377" t="s">
        <v>1097</v>
      </c>
      <c r="D377" s="94">
        <v>6.9</v>
      </c>
      <c r="E377" s="94">
        <v>62.7</v>
      </c>
      <c r="F377" s="95">
        <v>0.13630434782608697</v>
      </c>
    </row>
    <row r="378" spans="1:6" x14ac:dyDescent="0.25">
      <c r="A378">
        <v>97</v>
      </c>
      <c r="B378" t="s">
        <v>787</v>
      </c>
      <c r="D378" s="94">
        <v>9</v>
      </c>
      <c r="E378" s="94">
        <v>94.7</v>
      </c>
      <c r="F378" s="95">
        <v>0.2058695652173913</v>
      </c>
    </row>
    <row r="379" spans="1:6" x14ac:dyDescent="0.25">
      <c r="A379">
        <v>97</v>
      </c>
      <c r="B379" t="s">
        <v>830</v>
      </c>
      <c r="D379" s="94">
        <v>15.999999999999998</v>
      </c>
      <c r="E379" s="94">
        <v>83.5</v>
      </c>
      <c r="F379" s="95">
        <v>0.18152173913043479</v>
      </c>
    </row>
    <row r="380" spans="1:6" x14ac:dyDescent="0.25">
      <c r="A380">
        <v>97</v>
      </c>
      <c r="B380" t="s">
        <v>834</v>
      </c>
      <c r="D380" s="94">
        <v>7.1</v>
      </c>
      <c r="E380" s="94">
        <v>54</v>
      </c>
      <c r="F380" s="95">
        <v>0.11739130434782609</v>
      </c>
    </row>
    <row r="381" spans="1:6" x14ac:dyDescent="0.25">
      <c r="A381">
        <v>97</v>
      </c>
      <c r="B381" t="s">
        <v>1239</v>
      </c>
      <c r="D381" s="94">
        <v>38.799999999999997</v>
      </c>
      <c r="E381" s="94">
        <v>135.1</v>
      </c>
      <c r="F381" s="95">
        <v>0.29369565217391302</v>
      </c>
    </row>
    <row r="382" spans="1:6" x14ac:dyDescent="0.25">
      <c r="A382">
        <v>98</v>
      </c>
      <c r="B382" t="s">
        <v>481</v>
      </c>
      <c r="D382" s="94">
        <v>40.599999999999994</v>
      </c>
      <c r="E382" s="94">
        <v>340.2000000000001</v>
      </c>
      <c r="F382" s="95">
        <v>0.52137931034482765</v>
      </c>
    </row>
    <row r="383" spans="1:6" x14ac:dyDescent="0.25">
      <c r="A383">
        <v>98</v>
      </c>
      <c r="B383" t="s">
        <v>404</v>
      </c>
      <c r="D383" s="94">
        <v>40.300000000000004</v>
      </c>
      <c r="E383" s="94">
        <v>312.3</v>
      </c>
      <c r="F383" s="95">
        <v>0.47862068965517235</v>
      </c>
    </row>
    <row r="384" spans="1:6" x14ac:dyDescent="0.25">
      <c r="A384">
        <v>99</v>
      </c>
      <c r="B384" t="s">
        <v>1191</v>
      </c>
      <c r="D384" s="94">
        <v>27.800000000000004</v>
      </c>
      <c r="E384" s="94">
        <v>275.70000000000005</v>
      </c>
      <c r="F384" s="95">
        <v>0.39800779558250327</v>
      </c>
    </row>
    <row r="385" spans="1:6" x14ac:dyDescent="0.25">
      <c r="A385">
        <v>99</v>
      </c>
      <c r="B385" t="s">
        <v>1099</v>
      </c>
      <c r="D385" s="94">
        <v>10</v>
      </c>
      <c r="E385" s="94">
        <v>41</v>
      </c>
      <c r="F385" s="95">
        <v>5.9188681969106392E-2</v>
      </c>
    </row>
    <row r="386" spans="1:6" x14ac:dyDescent="0.25">
      <c r="A386">
        <v>99</v>
      </c>
      <c r="B386" t="s">
        <v>787</v>
      </c>
      <c r="D386" s="94">
        <v>13</v>
      </c>
      <c r="E386" s="94">
        <v>38.200000000000003</v>
      </c>
      <c r="F386" s="95">
        <v>5.5146528078533277E-2</v>
      </c>
    </row>
    <row r="387" spans="1:6" x14ac:dyDescent="0.25">
      <c r="A387">
        <v>99</v>
      </c>
      <c r="B387" t="s">
        <v>830</v>
      </c>
      <c r="D387" s="94">
        <v>9</v>
      </c>
      <c r="E387" s="94">
        <v>25.5</v>
      </c>
      <c r="F387" s="95">
        <v>3.6812472932005194E-2</v>
      </c>
    </row>
    <row r="388" spans="1:6" x14ac:dyDescent="0.25">
      <c r="A388">
        <v>99</v>
      </c>
      <c r="B388" t="s">
        <v>2566</v>
      </c>
      <c r="D388" s="94">
        <v>2.7</v>
      </c>
      <c r="E388" s="94">
        <v>18</v>
      </c>
      <c r="F388" s="95">
        <v>2.5985275010827195E-2</v>
      </c>
    </row>
    <row r="389" spans="1:6" x14ac:dyDescent="0.25">
      <c r="A389">
        <v>99</v>
      </c>
      <c r="B389" t="s">
        <v>738</v>
      </c>
      <c r="D389" s="94">
        <v>2.9000000000000004</v>
      </c>
      <c r="E389" s="94">
        <v>31.200000000000003</v>
      </c>
      <c r="F389" s="95">
        <v>4.5041143352100479E-2</v>
      </c>
    </row>
    <row r="390" spans="1:6" x14ac:dyDescent="0.25">
      <c r="A390">
        <v>99</v>
      </c>
      <c r="B390" t="s">
        <v>776</v>
      </c>
      <c r="D390" s="94">
        <v>4</v>
      </c>
      <c r="E390" s="94">
        <v>41</v>
      </c>
      <c r="F390" s="95">
        <v>5.9188681969106392E-2</v>
      </c>
    </row>
    <row r="391" spans="1:6" x14ac:dyDescent="0.25">
      <c r="A391">
        <v>99</v>
      </c>
      <c r="B391" t="s">
        <v>1091</v>
      </c>
      <c r="D391" s="94">
        <v>38</v>
      </c>
      <c r="E391" s="94">
        <v>222.1</v>
      </c>
      <c r="F391" s="95">
        <v>0.32062942110581777</v>
      </c>
    </row>
    <row r="392" spans="1:6" x14ac:dyDescent="0.25">
      <c r="A392">
        <v>100</v>
      </c>
      <c r="B392" t="s">
        <v>1191</v>
      </c>
      <c r="D392" s="94">
        <v>20</v>
      </c>
      <c r="E392" s="94">
        <v>81.8</v>
      </c>
      <c r="F392" s="95">
        <v>0.1244106463878327</v>
      </c>
    </row>
    <row r="393" spans="1:6" x14ac:dyDescent="0.25">
      <c r="A393">
        <v>100</v>
      </c>
      <c r="B393" t="s">
        <v>643</v>
      </c>
      <c r="D393" s="94">
        <v>1.5</v>
      </c>
      <c r="E393" s="94">
        <v>67.5</v>
      </c>
      <c r="F393" s="95">
        <v>0.10266159695817491</v>
      </c>
    </row>
    <row r="394" spans="1:6" x14ac:dyDescent="0.25">
      <c r="A394">
        <v>100</v>
      </c>
      <c r="B394" t="s">
        <v>484</v>
      </c>
      <c r="D394" s="94">
        <v>10.3</v>
      </c>
      <c r="E394" s="94">
        <v>79.3</v>
      </c>
      <c r="F394" s="95">
        <v>0.1206083650190114</v>
      </c>
    </row>
    <row r="395" spans="1:6" x14ac:dyDescent="0.25">
      <c r="A395">
        <v>100</v>
      </c>
      <c r="B395" t="s">
        <v>298</v>
      </c>
      <c r="D395" s="94">
        <v>13.7</v>
      </c>
      <c r="E395" s="94">
        <v>135.70000000000002</v>
      </c>
      <c r="F395" s="95">
        <v>0.2063878326996198</v>
      </c>
    </row>
    <row r="396" spans="1:6" x14ac:dyDescent="0.25">
      <c r="A396">
        <v>100</v>
      </c>
      <c r="B396" t="s">
        <v>759</v>
      </c>
      <c r="D396" s="94">
        <v>10</v>
      </c>
      <c r="E396" s="94">
        <v>41</v>
      </c>
      <c r="F396" s="95">
        <v>6.2357414448669199E-2</v>
      </c>
    </row>
    <row r="397" spans="1:6" x14ac:dyDescent="0.25">
      <c r="A397">
        <v>100</v>
      </c>
      <c r="B397" t="s">
        <v>2570</v>
      </c>
      <c r="D397" s="94">
        <v>33.299999999999997</v>
      </c>
      <c r="E397" s="94">
        <v>252.2</v>
      </c>
      <c r="F397" s="95">
        <v>0.38357414448669197</v>
      </c>
    </row>
    <row r="398" spans="1:6" x14ac:dyDescent="0.25">
      <c r="A398">
        <v>101</v>
      </c>
      <c r="B398" t="s">
        <v>1099</v>
      </c>
      <c r="D398" s="94">
        <v>38.29999999999999</v>
      </c>
      <c r="E398" s="94">
        <v>315.8</v>
      </c>
      <c r="F398" s="95">
        <v>0.4553056516724337</v>
      </c>
    </row>
    <row r="399" spans="1:6" x14ac:dyDescent="0.25">
      <c r="A399">
        <v>101</v>
      </c>
      <c r="B399" t="s">
        <v>1211</v>
      </c>
      <c r="D399" s="94">
        <v>11.4</v>
      </c>
      <c r="E399" s="94">
        <v>43</v>
      </c>
      <c r="F399" s="95">
        <v>6.1995386389850055E-2</v>
      </c>
    </row>
    <row r="400" spans="1:6" x14ac:dyDescent="0.25">
      <c r="A400">
        <v>101</v>
      </c>
      <c r="B400" t="s">
        <v>759</v>
      </c>
      <c r="D400" s="94">
        <v>7</v>
      </c>
      <c r="E400" s="94">
        <v>25.5</v>
      </c>
      <c r="F400" s="95">
        <v>3.6764705882352942E-2</v>
      </c>
    </row>
    <row r="401" spans="1:6" x14ac:dyDescent="0.25">
      <c r="A401">
        <v>101</v>
      </c>
      <c r="B401" t="s">
        <v>1128</v>
      </c>
      <c r="D401" s="94">
        <v>41</v>
      </c>
      <c r="E401" s="94">
        <v>309.3</v>
      </c>
      <c r="F401" s="95">
        <v>0.4459342560553633</v>
      </c>
    </row>
    <row r="402" spans="1:6" x14ac:dyDescent="0.25">
      <c r="A402">
        <v>102</v>
      </c>
      <c r="B402" t="s">
        <v>1097</v>
      </c>
      <c r="D402" s="94">
        <v>31.000000000000007</v>
      </c>
      <c r="E402" s="94">
        <v>294.30000000000007</v>
      </c>
      <c r="F402" s="95">
        <v>0.52310700319943115</v>
      </c>
    </row>
    <row r="403" spans="1:6" x14ac:dyDescent="0.25">
      <c r="A403">
        <v>102</v>
      </c>
      <c r="B403" t="s">
        <v>1067</v>
      </c>
      <c r="D403" s="94">
        <v>34</v>
      </c>
      <c r="E403" s="94">
        <v>215.70000000000002</v>
      </c>
      <c r="F403" s="95">
        <v>0.38339850693210092</v>
      </c>
    </row>
    <row r="404" spans="1:6" x14ac:dyDescent="0.25">
      <c r="A404">
        <v>102</v>
      </c>
      <c r="B404" t="s">
        <v>1108</v>
      </c>
      <c r="D404" s="94">
        <v>9.2000000000000011</v>
      </c>
      <c r="E404" s="94">
        <v>34.6</v>
      </c>
      <c r="F404" s="95">
        <v>6.1500177746178442E-2</v>
      </c>
    </row>
    <row r="405" spans="1:6" x14ac:dyDescent="0.25">
      <c r="A405">
        <v>102</v>
      </c>
      <c r="B405" t="s">
        <v>1095</v>
      </c>
      <c r="D405" s="94">
        <v>3</v>
      </c>
      <c r="E405" s="94">
        <v>18</v>
      </c>
      <c r="F405" s="95">
        <v>3.1994312122289363E-2</v>
      </c>
    </row>
    <row r="406" spans="1:6" x14ac:dyDescent="0.25">
      <c r="A406">
        <v>103</v>
      </c>
      <c r="B406" t="s">
        <v>1601</v>
      </c>
      <c r="D406" s="94">
        <v>4</v>
      </c>
      <c r="E406" s="94">
        <v>34</v>
      </c>
      <c r="F406" s="95">
        <v>6.8163592622293503E-2</v>
      </c>
    </row>
    <row r="407" spans="1:6" x14ac:dyDescent="0.25">
      <c r="A407">
        <v>103</v>
      </c>
      <c r="B407" t="s">
        <v>1071</v>
      </c>
      <c r="D407" s="94">
        <v>3</v>
      </c>
      <c r="E407" s="94">
        <v>59.999999999999993</v>
      </c>
      <c r="F407" s="95">
        <v>0.12028869286287087</v>
      </c>
    </row>
    <row r="408" spans="1:6" x14ac:dyDescent="0.25">
      <c r="A408">
        <v>103</v>
      </c>
      <c r="B408" t="s">
        <v>395</v>
      </c>
      <c r="D408" s="94">
        <v>2</v>
      </c>
      <c r="E408" s="94">
        <v>29</v>
      </c>
      <c r="F408" s="95">
        <v>5.8139534883720929E-2</v>
      </c>
    </row>
    <row r="409" spans="1:6" x14ac:dyDescent="0.25">
      <c r="A409">
        <v>103</v>
      </c>
      <c r="B409" t="s">
        <v>834</v>
      </c>
      <c r="D409" s="94">
        <v>5</v>
      </c>
      <c r="E409" s="94">
        <v>20.3</v>
      </c>
      <c r="F409" s="95">
        <v>4.0697674418604654E-2</v>
      </c>
    </row>
    <row r="410" spans="1:6" x14ac:dyDescent="0.25">
      <c r="A410">
        <v>103</v>
      </c>
      <c r="B410" t="s">
        <v>1239</v>
      </c>
      <c r="D410" s="94">
        <v>3</v>
      </c>
      <c r="E410" s="94">
        <v>8</v>
      </c>
      <c r="F410" s="95">
        <v>1.6038492381716118E-2</v>
      </c>
    </row>
    <row r="411" spans="1:6" x14ac:dyDescent="0.25">
      <c r="A411">
        <v>103</v>
      </c>
      <c r="B411" t="s">
        <v>1148</v>
      </c>
      <c r="D411" s="94">
        <v>21.9</v>
      </c>
      <c r="E411" s="94">
        <v>163.19999999999999</v>
      </c>
      <c r="F411" s="95">
        <v>0.32718524458700882</v>
      </c>
    </row>
    <row r="412" spans="1:6" x14ac:dyDescent="0.25">
      <c r="A412">
        <v>103</v>
      </c>
      <c r="B412" t="s">
        <v>1615</v>
      </c>
      <c r="D412" s="94">
        <v>8</v>
      </c>
      <c r="E412" s="94">
        <v>31.3</v>
      </c>
      <c r="F412" s="95">
        <v>6.275060144346431E-2</v>
      </c>
    </row>
    <row r="413" spans="1:6" x14ac:dyDescent="0.25">
      <c r="A413">
        <v>103</v>
      </c>
      <c r="B413" t="s">
        <v>738</v>
      </c>
      <c r="D413" s="94">
        <v>8</v>
      </c>
      <c r="E413" s="94">
        <v>72</v>
      </c>
      <c r="F413" s="95">
        <v>0.14434643143544507</v>
      </c>
    </row>
    <row r="414" spans="1:6" x14ac:dyDescent="0.25">
      <c r="A414">
        <v>103</v>
      </c>
      <c r="B414" t="s">
        <v>776</v>
      </c>
      <c r="D414" s="94">
        <v>4</v>
      </c>
      <c r="E414" s="94">
        <v>36.999999999999993</v>
      </c>
      <c r="F414" s="95">
        <v>7.4178027265437027E-2</v>
      </c>
    </row>
    <row r="415" spans="1:6" x14ac:dyDescent="0.25">
      <c r="A415">
        <v>103</v>
      </c>
      <c r="B415" t="s">
        <v>2570</v>
      </c>
      <c r="D415" s="94">
        <v>5</v>
      </c>
      <c r="E415" s="94">
        <v>44</v>
      </c>
      <c r="F415" s="95">
        <v>8.8211708099438652E-2</v>
      </c>
    </row>
    <row r="416" spans="1:6" x14ac:dyDescent="0.25">
      <c r="A416">
        <v>104</v>
      </c>
      <c r="B416" t="s">
        <v>1627</v>
      </c>
      <c r="D416" s="94">
        <v>1</v>
      </c>
      <c r="E416" s="94">
        <v>3</v>
      </c>
      <c r="F416" s="95">
        <v>2.2918258212375857E-2</v>
      </c>
    </row>
    <row r="417" spans="1:6" x14ac:dyDescent="0.25">
      <c r="A417">
        <v>104</v>
      </c>
      <c r="B417" t="s">
        <v>1589</v>
      </c>
      <c r="D417" s="94">
        <v>1</v>
      </c>
      <c r="E417" s="94">
        <v>3.3</v>
      </c>
      <c r="F417" s="95">
        <v>2.5210084033613443E-2</v>
      </c>
    </row>
    <row r="418" spans="1:6" x14ac:dyDescent="0.25">
      <c r="A418">
        <v>104</v>
      </c>
      <c r="B418" t="s">
        <v>1595</v>
      </c>
      <c r="D418" s="94">
        <v>2</v>
      </c>
      <c r="E418" s="94">
        <v>8.3000000000000007</v>
      </c>
      <c r="F418" s="95">
        <v>6.3407181054239883E-2</v>
      </c>
    </row>
    <row r="419" spans="1:6" x14ac:dyDescent="0.25">
      <c r="A419">
        <v>104</v>
      </c>
      <c r="B419" t="s">
        <v>1569</v>
      </c>
      <c r="D419" s="94">
        <v>1</v>
      </c>
      <c r="E419" s="94">
        <v>5</v>
      </c>
      <c r="F419" s="95">
        <v>3.819709702062643E-2</v>
      </c>
    </row>
    <row r="420" spans="1:6" x14ac:dyDescent="0.25">
      <c r="A420">
        <v>104</v>
      </c>
      <c r="B420" t="s">
        <v>1582</v>
      </c>
      <c r="D420" s="94">
        <v>3.8000000000000003</v>
      </c>
      <c r="E420" s="94">
        <v>19.600000000000001</v>
      </c>
      <c r="F420" s="95">
        <v>0.14973262032085563</v>
      </c>
    </row>
    <row r="421" spans="1:6" x14ac:dyDescent="0.25">
      <c r="A421">
        <v>104</v>
      </c>
      <c r="B421" t="s">
        <v>1583</v>
      </c>
      <c r="D421" s="94">
        <v>4.2</v>
      </c>
      <c r="E421" s="94">
        <v>29.200000000000003</v>
      </c>
      <c r="F421" s="95">
        <v>0.22307104660045837</v>
      </c>
    </row>
    <row r="422" spans="1:6" x14ac:dyDescent="0.25">
      <c r="A422">
        <v>104</v>
      </c>
      <c r="B422" t="s">
        <v>395</v>
      </c>
      <c r="D422" s="94">
        <v>11</v>
      </c>
      <c r="E422" s="94">
        <v>17.5</v>
      </c>
      <c r="F422" s="95">
        <v>0.13368983957219252</v>
      </c>
    </row>
    <row r="423" spans="1:6" x14ac:dyDescent="0.25">
      <c r="A423">
        <v>104</v>
      </c>
      <c r="B423" t="s">
        <v>298</v>
      </c>
      <c r="D423" s="94">
        <v>12</v>
      </c>
      <c r="E423" s="94">
        <v>27</v>
      </c>
      <c r="F423" s="95">
        <v>0.20626432391138272</v>
      </c>
    </row>
    <row r="424" spans="1:6" x14ac:dyDescent="0.25">
      <c r="A424">
        <v>104</v>
      </c>
      <c r="B424" t="s">
        <v>2570</v>
      </c>
      <c r="D424" s="94">
        <v>4</v>
      </c>
      <c r="E424" s="94">
        <v>18</v>
      </c>
      <c r="F424" s="95">
        <v>0.13750954927425516</v>
      </c>
    </row>
    <row r="425" spans="1:6" x14ac:dyDescent="0.25">
      <c r="A425">
        <v>105</v>
      </c>
      <c r="B425" t="s">
        <v>1176</v>
      </c>
      <c r="D425" s="94">
        <v>42.7</v>
      </c>
      <c r="E425" s="94">
        <v>307.5</v>
      </c>
      <c r="F425" s="95">
        <v>0.62347931873479323</v>
      </c>
    </row>
    <row r="426" spans="1:6" x14ac:dyDescent="0.25">
      <c r="A426">
        <v>105</v>
      </c>
      <c r="B426" t="s">
        <v>1097</v>
      </c>
      <c r="D426" s="94">
        <v>23.299999999999997</v>
      </c>
      <c r="E426" s="94">
        <v>174.69999999999996</v>
      </c>
      <c r="F426" s="95">
        <v>0.35421735604217353</v>
      </c>
    </row>
    <row r="427" spans="1:6" x14ac:dyDescent="0.25">
      <c r="A427">
        <v>105</v>
      </c>
      <c r="B427" t="s">
        <v>834</v>
      </c>
      <c r="D427" s="94">
        <v>5</v>
      </c>
      <c r="E427" s="94">
        <v>11</v>
      </c>
      <c r="F427" s="95">
        <v>2.2303325223033254E-2</v>
      </c>
    </row>
    <row r="428" spans="1:6" x14ac:dyDescent="0.25">
      <c r="A428">
        <v>106</v>
      </c>
      <c r="B428" t="s">
        <v>1070</v>
      </c>
      <c r="D428" s="94">
        <v>11.600000000000001</v>
      </c>
      <c r="E428" s="94">
        <v>540.29999999999995</v>
      </c>
      <c r="F428" s="95">
        <v>0.9586586231369767</v>
      </c>
    </row>
    <row r="429" spans="1:6" x14ac:dyDescent="0.25">
      <c r="A429">
        <v>106</v>
      </c>
      <c r="B429" t="s">
        <v>1111</v>
      </c>
      <c r="D429" s="94">
        <v>0.4</v>
      </c>
      <c r="E429" s="94">
        <v>23.3</v>
      </c>
      <c r="F429" s="95">
        <v>4.134137686302343E-2</v>
      </c>
    </row>
    <row r="430" spans="1:6" x14ac:dyDescent="0.25">
      <c r="A430">
        <v>107</v>
      </c>
      <c r="B430" t="s">
        <v>273</v>
      </c>
      <c r="D430" s="94">
        <v>8</v>
      </c>
      <c r="E430" s="94">
        <v>16.399999999999999</v>
      </c>
      <c r="F430" s="95">
        <v>2.6011102299762091E-2</v>
      </c>
    </row>
    <row r="431" spans="1:6" x14ac:dyDescent="0.25">
      <c r="A431">
        <v>107</v>
      </c>
      <c r="B431" t="s">
        <v>1415</v>
      </c>
      <c r="D431" s="94">
        <v>12</v>
      </c>
      <c r="E431" s="94">
        <v>44.1</v>
      </c>
      <c r="F431" s="95">
        <v>6.9944488501189533E-2</v>
      </c>
    </row>
    <row r="432" spans="1:6" x14ac:dyDescent="0.25">
      <c r="A432">
        <v>107</v>
      </c>
      <c r="B432" t="s">
        <v>1275</v>
      </c>
      <c r="D432" s="94">
        <v>20.5</v>
      </c>
      <c r="E432" s="94">
        <v>101.4</v>
      </c>
      <c r="F432" s="95">
        <v>0.16082474226804125</v>
      </c>
    </row>
    <row r="433" spans="1:6" x14ac:dyDescent="0.25">
      <c r="A433">
        <v>107</v>
      </c>
      <c r="B433" t="s">
        <v>886</v>
      </c>
      <c r="D433" s="94">
        <v>1</v>
      </c>
      <c r="E433" s="94">
        <v>10</v>
      </c>
      <c r="F433" s="95">
        <v>1.5860428231562251E-2</v>
      </c>
    </row>
    <row r="434" spans="1:6" x14ac:dyDescent="0.25">
      <c r="A434">
        <v>107</v>
      </c>
      <c r="B434" t="s">
        <v>232</v>
      </c>
      <c r="D434" s="94">
        <v>2</v>
      </c>
      <c r="E434" s="94">
        <v>16</v>
      </c>
      <c r="F434" s="95">
        <v>2.5376685170499604E-2</v>
      </c>
    </row>
    <row r="435" spans="1:6" x14ac:dyDescent="0.25">
      <c r="A435">
        <v>107</v>
      </c>
      <c r="B435" t="s">
        <v>308</v>
      </c>
      <c r="D435" s="94">
        <v>2</v>
      </c>
      <c r="E435" s="94">
        <v>16</v>
      </c>
      <c r="F435" s="95">
        <v>2.5376685170499604E-2</v>
      </c>
    </row>
    <row r="436" spans="1:6" x14ac:dyDescent="0.25">
      <c r="A436">
        <v>107</v>
      </c>
      <c r="B436" t="s">
        <v>194</v>
      </c>
      <c r="D436" s="94">
        <v>3</v>
      </c>
      <c r="E436" s="94">
        <v>32.6</v>
      </c>
      <c r="F436" s="95">
        <v>5.1704996034892946E-2</v>
      </c>
    </row>
    <row r="437" spans="1:6" x14ac:dyDescent="0.25">
      <c r="A437">
        <v>107</v>
      </c>
      <c r="B437" t="s">
        <v>177</v>
      </c>
      <c r="D437" s="94">
        <v>2.5</v>
      </c>
      <c r="E437" s="94">
        <v>25.3</v>
      </c>
      <c r="F437" s="95">
        <v>4.0126883425852501E-2</v>
      </c>
    </row>
    <row r="438" spans="1:6" x14ac:dyDescent="0.25">
      <c r="A438">
        <v>107</v>
      </c>
      <c r="B438" t="s">
        <v>173</v>
      </c>
      <c r="D438" s="94">
        <v>16.5</v>
      </c>
      <c r="E438" s="94">
        <v>366.7</v>
      </c>
      <c r="F438" s="95">
        <v>0.58160190325138772</v>
      </c>
    </row>
    <row r="439" spans="1:6" x14ac:dyDescent="0.25">
      <c r="A439">
        <v>107</v>
      </c>
      <c r="B439" t="s">
        <v>2570</v>
      </c>
      <c r="D439" s="94">
        <v>1</v>
      </c>
      <c r="E439" s="94">
        <v>2</v>
      </c>
      <c r="F439" s="95">
        <v>3.1720856463124504E-3</v>
      </c>
    </row>
    <row r="440" spans="1:6" x14ac:dyDescent="0.25">
      <c r="A440">
        <v>108</v>
      </c>
      <c r="B440" t="s">
        <v>273</v>
      </c>
      <c r="D440" s="94">
        <v>6</v>
      </c>
      <c r="E440" s="94">
        <v>10</v>
      </c>
      <c r="F440" s="95">
        <v>1.289656951250967E-2</v>
      </c>
    </row>
    <row r="441" spans="1:6" x14ac:dyDescent="0.25">
      <c r="A441">
        <v>108</v>
      </c>
      <c r="B441" t="s">
        <v>889</v>
      </c>
      <c r="D441" s="94">
        <v>11.5</v>
      </c>
      <c r="E441" s="94">
        <v>243</v>
      </c>
      <c r="F441" s="95">
        <v>0.31338663915398501</v>
      </c>
    </row>
    <row r="442" spans="1:6" x14ac:dyDescent="0.25">
      <c r="A442">
        <v>108</v>
      </c>
      <c r="B442" t="s">
        <v>886</v>
      </c>
      <c r="D442" s="94">
        <v>12</v>
      </c>
      <c r="E442" s="94">
        <v>175</v>
      </c>
      <c r="F442" s="95">
        <v>0.22568996646891923</v>
      </c>
    </row>
    <row r="443" spans="1:6" x14ac:dyDescent="0.25">
      <c r="A443">
        <v>108</v>
      </c>
      <c r="B443" t="s">
        <v>992</v>
      </c>
      <c r="D443" s="94">
        <v>5.5</v>
      </c>
      <c r="E443" s="94">
        <v>61.8</v>
      </c>
      <c r="F443" s="95">
        <v>7.9700799587309759E-2</v>
      </c>
    </row>
    <row r="444" spans="1:6" x14ac:dyDescent="0.25">
      <c r="A444">
        <v>108</v>
      </c>
      <c r="B444" t="s">
        <v>611</v>
      </c>
      <c r="D444" s="94">
        <v>2</v>
      </c>
      <c r="E444" s="94">
        <v>14.8</v>
      </c>
      <c r="F444" s="95">
        <v>1.9086922878514313E-2</v>
      </c>
    </row>
    <row r="445" spans="1:6" x14ac:dyDescent="0.25">
      <c r="A445">
        <v>108</v>
      </c>
      <c r="B445" t="s">
        <v>2574</v>
      </c>
      <c r="D445" s="94">
        <v>1.5</v>
      </c>
      <c r="E445" s="94">
        <v>19</v>
      </c>
      <c r="F445" s="95">
        <v>2.4503482073768373E-2</v>
      </c>
    </row>
    <row r="446" spans="1:6" x14ac:dyDescent="0.25">
      <c r="A446">
        <v>108</v>
      </c>
      <c r="B446" t="s">
        <v>2575</v>
      </c>
      <c r="D446" s="94">
        <v>0.5</v>
      </c>
      <c r="E446" s="94">
        <v>8.5</v>
      </c>
      <c r="F446" s="95">
        <v>1.096208408563322E-2</v>
      </c>
    </row>
    <row r="447" spans="1:6" x14ac:dyDescent="0.25">
      <c r="A447">
        <v>108</v>
      </c>
      <c r="B447" t="s">
        <v>173</v>
      </c>
      <c r="D447" s="94">
        <v>15.5</v>
      </c>
      <c r="E447" s="94">
        <v>193.3</v>
      </c>
      <c r="F447" s="95">
        <v>0.24929068867681195</v>
      </c>
    </row>
    <row r="448" spans="1:6" x14ac:dyDescent="0.25">
      <c r="A448">
        <v>108</v>
      </c>
      <c r="B448" t="s">
        <v>291</v>
      </c>
      <c r="D448" s="94">
        <v>4</v>
      </c>
      <c r="E448" s="94">
        <v>50</v>
      </c>
      <c r="F448" s="95">
        <v>6.4482847562548351E-2</v>
      </c>
    </row>
    <row r="449" spans="1:6" x14ac:dyDescent="0.25">
      <c r="A449">
        <v>117</v>
      </c>
      <c r="B449" t="s">
        <v>395</v>
      </c>
      <c r="D449" s="94">
        <v>11</v>
      </c>
      <c r="E449" s="94">
        <v>28.5</v>
      </c>
      <c r="F449" s="95">
        <v>0.10045823052520268</v>
      </c>
    </row>
    <row r="450" spans="1:6" x14ac:dyDescent="0.25">
      <c r="A450">
        <v>117</v>
      </c>
      <c r="B450" t="s">
        <v>1197</v>
      </c>
      <c r="D450" s="94">
        <v>10</v>
      </c>
      <c r="E450" s="94">
        <v>25</v>
      </c>
      <c r="F450" s="95">
        <v>8.8121254846669023E-2</v>
      </c>
    </row>
    <row r="451" spans="1:6" x14ac:dyDescent="0.25">
      <c r="A451">
        <v>117</v>
      </c>
      <c r="B451" t="s">
        <v>1083</v>
      </c>
      <c r="D451" s="94">
        <v>18.8</v>
      </c>
      <c r="E451" s="94">
        <v>109.7</v>
      </c>
      <c r="F451" s="95">
        <v>0.38667606626718365</v>
      </c>
    </row>
    <row r="452" spans="1:6" x14ac:dyDescent="0.25">
      <c r="A452">
        <v>117</v>
      </c>
      <c r="B452" t="s">
        <v>1225</v>
      </c>
      <c r="D452" s="94">
        <v>2</v>
      </c>
      <c r="E452" s="94">
        <v>15</v>
      </c>
      <c r="F452" s="95">
        <v>5.2872752908001412E-2</v>
      </c>
    </row>
    <row r="453" spans="1:6" x14ac:dyDescent="0.25">
      <c r="A453">
        <v>117</v>
      </c>
      <c r="B453" t="s">
        <v>1081</v>
      </c>
      <c r="D453" s="94">
        <v>19.399999999999999</v>
      </c>
      <c r="E453" s="94">
        <v>105.49999999999999</v>
      </c>
      <c r="F453" s="95">
        <v>0.37187169545294324</v>
      </c>
    </row>
    <row r="454" spans="1:6" x14ac:dyDescent="0.25">
      <c r="A454">
        <v>118</v>
      </c>
      <c r="B454" t="s">
        <v>1171</v>
      </c>
      <c r="D454" s="94">
        <v>19.100000000000001</v>
      </c>
      <c r="E454" s="94">
        <v>258.3</v>
      </c>
      <c r="F454" s="95">
        <v>0.97729852440408627</v>
      </c>
    </row>
    <row r="455" spans="1:6" x14ac:dyDescent="0.25">
      <c r="A455">
        <v>118</v>
      </c>
      <c r="B455" t="s">
        <v>2570</v>
      </c>
      <c r="D455" s="94"/>
      <c r="E455" s="94">
        <v>6</v>
      </c>
      <c r="F455" s="95">
        <v>2.2701475595913734E-2</v>
      </c>
    </row>
    <row r="456" spans="1:6" x14ac:dyDescent="0.25">
      <c r="A456">
        <v>119</v>
      </c>
      <c r="B456" t="s">
        <v>157</v>
      </c>
      <c r="D456" s="94">
        <v>2</v>
      </c>
      <c r="E456" s="94">
        <v>18</v>
      </c>
      <c r="F456" s="95">
        <v>2.3913909924272621E-2</v>
      </c>
    </row>
    <row r="457" spans="1:6" x14ac:dyDescent="0.25">
      <c r="A457">
        <v>119</v>
      </c>
      <c r="B457" t="s">
        <v>481</v>
      </c>
      <c r="D457" s="94">
        <v>15</v>
      </c>
      <c r="E457" s="94">
        <v>43.7</v>
      </c>
      <c r="F457" s="95">
        <v>5.8057659093928536E-2</v>
      </c>
    </row>
    <row r="458" spans="1:6" x14ac:dyDescent="0.25">
      <c r="A458">
        <v>119</v>
      </c>
      <c r="B458" t="s">
        <v>404</v>
      </c>
      <c r="D458" s="94">
        <v>12</v>
      </c>
      <c r="E458" s="94">
        <v>52.899999999999991</v>
      </c>
      <c r="F458" s="95">
        <v>7.0280324166334521E-2</v>
      </c>
    </row>
    <row r="459" spans="1:6" x14ac:dyDescent="0.25">
      <c r="A459">
        <v>119</v>
      </c>
      <c r="B459" t="s">
        <v>498</v>
      </c>
      <c r="D459" s="94">
        <v>5</v>
      </c>
      <c r="E459" s="94">
        <v>20.5</v>
      </c>
      <c r="F459" s="95">
        <v>2.7235286302643817E-2</v>
      </c>
    </row>
    <row r="460" spans="1:6" x14ac:dyDescent="0.25">
      <c r="A460">
        <v>119</v>
      </c>
      <c r="B460" t="s">
        <v>288</v>
      </c>
      <c r="D460" s="94">
        <v>2</v>
      </c>
      <c r="E460" s="94">
        <v>114.5</v>
      </c>
      <c r="F460" s="95">
        <v>0.15211903812940084</v>
      </c>
    </row>
    <row r="461" spans="1:6" x14ac:dyDescent="0.25">
      <c r="A461">
        <v>119</v>
      </c>
      <c r="B461" t="s">
        <v>254</v>
      </c>
      <c r="D461" s="94">
        <v>5</v>
      </c>
      <c r="E461" s="94">
        <v>19</v>
      </c>
      <c r="F461" s="95">
        <v>2.5242460475621099E-2</v>
      </c>
    </row>
    <row r="462" spans="1:6" x14ac:dyDescent="0.25">
      <c r="A462">
        <v>119</v>
      </c>
      <c r="B462" t="s">
        <v>352</v>
      </c>
      <c r="D462" s="94">
        <v>1.2999999999999998</v>
      </c>
      <c r="E462" s="94">
        <v>40.700000000000003</v>
      </c>
      <c r="F462" s="95">
        <v>5.4072007439883094E-2</v>
      </c>
    </row>
    <row r="463" spans="1:6" x14ac:dyDescent="0.25">
      <c r="A463">
        <v>119</v>
      </c>
      <c r="B463" t="s">
        <v>1176</v>
      </c>
      <c r="D463" s="94">
        <v>4</v>
      </c>
      <c r="E463" s="94">
        <v>46.5</v>
      </c>
      <c r="F463" s="95">
        <v>6.1777600637704273E-2</v>
      </c>
    </row>
    <row r="464" spans="1:6" x14ac:dyDescent="0.25">
      <c r="A464">
        <v>119</v>
      </c>
      <c r="B464" t="s">
        <v>1097</v>
      </c>
      <c r="D464" s="94">
        <v>5</v>
      </c>
      <c r="E464" s="94">
        <v>54.5</v>
      </c>
      <c r="F464" s="95">
        <v>7.2406005048492109E-2</v>
      </c>
    </row>
    <row r="465" spans="1:6" x14ac:dyDescent="0.25">
      <c r="A465">
        <v>119</v>
      </c>
      <c r="B465" t="s">
        <v>787</v>
      </c>
      <c r="D465" s="94">
        <v>13</v>
      </c>
      <c r="E465" s="94">
        <v>63</v>
      </c>
      <c r="F465" s="95">
        <v>8.3698684734954176E-2</v>
      </c>
    </row>
    <row r="466" spans="1:6" x14ac:dyDescent="0.25">
      <c r="A466">
        <v>119</v>
      </c>
      <c r="B466" t="s">
        <v>830</v>
      </c>
      <c r="D466" s="94">
        <v>10</v>
      </c>
      <c r="E466" s="94">
        <v>60.5</v>
      </c>
      <c r="F466" s="95">
        <v>8.037730835658298E-2</v>
      </c>
    </row>
    <row r="467" spans="1:6" x14ac:dyDescent="0.25">
      <c r="A467">
        <v>119</v>
      </c>
      <c r="B467" t="s">
        <v>2566</v>
      </c>
      <c r="D467" s="94">
        <v>3</v>
      </c>
      <c r="E467" s="94">
        <v>10.5</v>
      </c>
      <c r="F467" s="95">
        <v>1.3949780789159028E-2</v>
      </c>
    </row>
    <row r="468" spans="1:6" x14ac:dyDescent="0.25">
      <c r="A468">
        <v>119</v>
      </c>
      <c r="B468" t="s">
        <v>1067</v>
      </c>
      <c r="D468" s="94">
        <v>4</v>
      </c>
      <c r="E468" s="94">
        <v>26.1</v>
      </c>
      <c r="F468" s="95">
        <v>3.4675169390195305E-2</v>
      </c>
    </row>
    <row r="469" spans="1:6" x14ac:dyDescent="0.25">
      <c r="A469">
        <v>119</v>
      </c>
      <c r="B469" t="s">
        <v>1081</v>
      </c>
      <c r="D469" s="94">
        <v>2</v>
      </c>
      <c r="E469" s="94">
        <v>11</v>
      </c>
      <c r="F469" s="95">
        <v>1.4614056064833267E-2</v>
      </c>
    </row>
    <row r="470" spans="1:6" x14ac:dyDescent="0.25">
      <c r="A470">
        <v>119</v>
      </c>
      <c r="B470" t="s">
        <v>294</v>
      </c>
      <c r="D470" s="94">
        <v>4</v>
      </c>
      <c r="E470" s="94">
        <v>53</v>
      </c>
      <c r="F470" s="95">
        <v>7.0413179221469377E-2</v>
      </c>
    </row>
    <row r="471" spans="1:6" x14ac:dyDescent="0.25">
      <c r="A471">
        <v>119</v>
      </c>
      <c r="B471" t="s">
        <v>2560</v>
      </c>
      <c r="D471" s="94">
        <v>3.1999999999999997</v>
      </c>
      <c r="E471" s="94">
        <v>43.800000000000004</v>
      </c>
      <c r="F471" s="95">
        <v>5.8190514149063385E-2</v>
      </c>
    </row>
    <row r="472" spans="1:6" x14ac:dyDescent="0.25">
      <c r="A472">
        <v>119</v>
      </c>
      <c r="B472" t="s">
        <v>2570</v>
      </c>
      <c r="D472" s="94">
        <v>3.7</v>
      </c>
      <c r="E472" s="94">
        <v>74.5</v>
      </c>
      <c r="F472" s="95">
        <v>9.897701607546168E-2</v>
      </c>
    </row>
    <row r="473" spans="1:6" x14ac:dyDescent="0.25">
      <c r="A473">
        <v>121</v>
      </c>
      <c r="B473" t="s">
        <v>157</v>
      </c>
      <c r="D473" s="94"/>
      <c r="E473" s="94">
        <v>6.5</v>
      </c>
      <c r="F473" s="95">
        <v>1.087320173971228E-2</v>
      </c>
    </row>
    <row r="474" spans="1:6" x14ac:dyDescent="0.25">
      <c r="A474">
        <v>121</v>
      </c>
      <c r="B474" t="s">
        <v>1191</v>
      </c>
      <c r="D474" s="94">
        <v>2</v>
      </c>
      <c r="E474" s="94">
        <v>45.5</v>
      </c>
      <c r="F474" s="95">
        <v>7.611241217798595E-2</v>
      </c>
    </row>
    <row r="475" spans="1:6" x14ac:dyDescent="0.25">
      <c r="A475">
        <v>121</v>
      </c>
      <c r="B475" t="s">
        <v>288</v>
      </c>
      <c r="D475" s="94">
        <v>3</v>
      </c>
      <c r="E475" s="94">
        <v>160.5</v>
      </c>
      <c r="F475" s="95">
        <v>0.26848444295751089</v>
      </c>
    </row>
    <row r="476" spans="1:6" x14ac:dyDescent="0.25">
      <c r="A476">
        <v>121</v>
      </c>
      <c r="B476" t="s">
        <v>1071</v>
      </c>
      <c r="D476" s="94">
        <v>3</v>
      </c>
      <c r="E476" s="94">
        <v>61.5</v>
      </c>
      <c r="F476" s="95">
        <v>0.10287721646035464</v>
      </c>
    </row>
    <row r="477" spans="1:6" x14ac:dyDescent="0.25">
      <c r="A477">
        <v>121</v>
      </c>
      <c r="B477" t="s">
        <v>1755</v>
      </c>
      <c r="D477" s="94">
        <v>5</v>
      </c>
      <c r="E477" s="94">
        <v>40</v>
      </c>
      <c r="F477" s="95">
        <v>6.6912010705921718E-2</v>
      </c>
    </row>
    <row r="478" spans="1:6" x14ac:dyDescent="0.25">
      <c r="A478">
        <v>121</v>
      </c>
      <c r="B478" t="s">
        <v>173</v>
      </c>
      <c r="D478" s="94">
        <v>3</v>
      </c>
      <c r="E478" s="94">
        <v>68.3</v>
      </c>
      <c r="F478" s="95">
        <v>0.11425225828036133</v>
      </c>
    </row>
    <row r="479" spans="1:6" x14ac:dyDescent="0.25">
      <c r="A479">
        <v>121</v>
      </c>
      <c r="B479" t="s">
        <v>291</v>
      </c>
      <c r="D479" s="94">
        <v>2</v>
      </c>
      <c r="E479" s="94">
        <v>53.5</v>
      </c>
      <c r="F479" s="95">
        <v>8.9494814319170293E-2</v>
      </c>
    </row>
    <row r="480" spans="1:6" x14ac:dyDescent="0.25">
      <c r="A480">
        <v>121</v>
      </c>
      <c r="B480" t="s">
        <v>787</v>
      </c>
      <c r="D480" s="94">
        <v>1</v>
      </c>
      <c r="E480" s="94">
        <v>21.7</v>
      </c>
      <c r="F480" s="95">
        <v>3.6299765807962528E-2</v>
      </c>
    </row>
    <row r="481" spans="1:6" x14ac:dyDescent="0.25">
      <c r="A481">
        <v>121</v>
      </c>
      <c r="B481" t="s">
        <v>834</v>
      </c>
      <c r="D481" s="94">
        <v>4</v>
      </c>
      <c r="E481" s="94">
        <v>32</v>
      </c>
      <c r="F481" s="95">
        <v>5.3529608564737374E-2</v>
      </c>
    </row>
    <row r="482" spans="1:6" x14ac:dyDescent="0.25">
      <c r="A482">
        <v>121</v>
      </c>
      <c r="B482" t="s">
        <v>1239</v>
      </c>
      <c r="D482" s="94">
        <v>4</v>
      </c>
      <c r="E482" s="94">
        <v>24</v>
      </c>
      <c r="F482" s="95">
        <v>4.0147206423553031E-2</v>
      </c>
    </row>
    <row r="483" spans="1:6" x14ac:dyDescent="0.25">
      <c r="A483">
        <v>121</v>
      </c>
      <c r="B483" t="s">
        <v>2566</v>
      </c>
      <c r="D483" s="94">
        <v>1</v>
      </c>
      <c r="E483" s="94">
        <v>22.3</v>
      </c>
      <c r="F483" s="95">
        <v>3.7303445968551362E-2</v>
      </c>
    </row>
    <row r="484" spans="1:6" x14ac:dyDescent="0.25">
      <c r="A484">
        <v>121</v>
      </c>
      <c r="B484" t="s">
        <v>717</v>
      </c>
      <c r="D484" s="94">
        <v>6</v>
      </c>
      <c r="E484" s="94">
        <v>20</v>
      </c>
      <c r="F484" s="95">
        <v>3.3456005352960859E-2</v>
      </c>
    </row>
    <row r="485" spans="1:6" x14ac:dyDescent="0.25">
      <c r="A485">
        <v>121</v>
      </c>
      <c r="B485" t="s">
        <v>981</v>
      </c>
      <c r="D485" s="94">
        <v>1</v>
      </c>
      <c r="E485" s="94">
        <v>23</v>
      </c>
      <c r="F485" s="95">
        <v>3.8474406155904986E-2</v>
      </c>
    </row>
    <row r="486" spans="1:6" x14ac:dyDescent="0.25">
      <c r="A486">
        <v>121</v>
      </c>
      <c r="B486" t="s">
        <v>1817</v>
      </c>
      <c r="D486" s="94">
        <v>1</v>
      </c>
      <c r="E486" s="94">
        <v>3</v>
      </c>
      <c r="F486" s="95">
        <v>5.0184008029441288E-3</v>
      </c>
    </row>
    <row r="487" spans="1:6" x14ac:dyDescent="0.25">
      <c r="A487">
        <v>121</v>
      </c>
      <c r="B487" t="s">
        <v>2570</v>
      </c>
      <c r="D487" s="94">
        <v>2</v>
      </c>
      <c r="E487" s="94">
        <v>16</v>
      </c>
      <c r="F487" s="95">
        <v>2.6764804282368687E-2</v>
      </c>
    </row>
    <row r="488" spans="1:6" x14ac:dyDescent="0.25">
      <c r="A488" t="s">
        <v>2579</v>
      </c>
      <c r="D488" s="94">
        <v>10210.992999999995</v>
      </c>
      <c r="E488" s="94">
        <v>31897.100000000002</v>
      </c>
      <c r="F488" s="95">
        <v>1</v>
      </c>
    </row>
  </sheetData>
  <phoneticPr fontId="1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数据源</vt:lpstr>
      <vt:lpstr>数据源 (整理)</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微软用户</cp:lastModifiedBy>
  <dcterms:created xsi:type="dcterms:W3CDTF">2020-12-10T09:57:00Z</dcterms:created>
  <dcterms:modified xsi:type="dcterms:W3CDTF">2021-02-19T02:28:42Z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2052-11.1.0.9828</vt:lpwstr>
  </property>
</Properties>
</file>